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elharouchi/Desktop/HULT/ASSET VALUATION/"/>
    </mc:Choice>
  </mc:AlternateContent>
  <xr:revisionPtr revIDLastSave="0" documentId="13_ncr:1_{B9433C9A-44D9-0B42-99FE-E51A4DCDF0B6}" xr6:coauthVersionLast="47" xr6:coauthVersionMax="47" xr10:uidLastSave="{00000000-0000-0000-0000-000000000000}"/>
  <bookViews>
    <workbookView xWindow="0" yWindow="680" windowWidth="30240" windowHeight="17700" activeTab="2" xr2:uid="{673A135F-57EF-FC4F-BABB-1C6C3DF0FC9C}"/>
  </bookViews>
  <sheets>
    <sheet name="ROE &amp; Growth" sheetId="36" r:id="rId1"/>
    <sheet name="DDM Nonconstant g" sheetId="37" r:id="rId2"/>
    <sheet name="EX. DDM Basics" sheetId="38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_FDS_HYPERLINK_TOGGLE_STATE__" hidden="1">"ON"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Div1">#REF!</definedName>
    <definedName name="_Div2">#REF!</definedName>
    <definedName name="_Div3">#REF!</definedName>
    <definedName name="_Div4">#REF!</definedName>
    <definedName name="_Regression_Int">1</definedName>
    <definedName name="BaseYear">[1]Controls!$C$23</definedName>
    <definedName name="BLPH1" hidden="1">'[2]Mthly Data'!$A$3</definedName>
    <definedName name="BLPH2" hidden="1">'[3]Mthly Data'!#REF!</definedName>
    <definedName name="BLPH3" hidden="1">'[3]Mthly Data'!#REF!</definedName>
    <definedName name="blph4" hidden="1">'[3]Mthly Data'!#REF!</definedName>
    <definedName name="CIQWBGuid" hidden="1">"2cd8126d-26c3-430c-b7fa-a069e3a1fc62"</definedName>
    <definedName name="coup">[4]Convexity!$C$7</definedName>
    <definedName name="DateHeader">[1]Controls!$E$27</definedName>
    <definedName name="DollarHeader">[1]Controls!$E$20</definedName>
    <definedName name="FX">#REF!</definedName>
    <definedName name="g_firm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localSheetId="1" hidden="1">41666.7099189815</definedName>
    <definedName name="IQ_NAMES_REVISION_DATE_" localSheetId="2" hidden="1">41666.7099189815</definedName>
    <definedName name="IQ_NAMES_REVISION_DATE_" localSheetId="0" hidden="1">41666.7099189815</definedName>
    <definedName name="IQ_NAMES_REVISION_DATE_" hidden="1">42436.8542824074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">#REF!</definedName>
    <definedName name="k_eq">#REF!</definedName>
    <definedName name="mat">[4]Convexity!$C$9</definedName>
    <definedName name="price">[4]Convexity!$C$10</definedName>
    <definedName name="Price4">#REF!</definedName>
    <definedName name="_xlnm.Print_Area">#REF!</definedName>
    <definedName name="Print_Area_MI">#REF!</definedName>
    <definedName name="rdebt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elling_Price">'[5]Base Case'!$B$11</definedName>
    <definedName name="tax_rate">#REF!</definedName>
    <definedName name="taxtable">#REF!</definedName>
    <definedName name="term_g">#REF!</definedName>
    <definedName name="Variable_Cost_per_unit">'[5]Base Case'!$B$12</definedName>
    <definedName name="WACC_5">#REF!</definedName>
    <definedName name="ytm">[4]Convexity!$C$8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6" i="38" l="1"/>
  <c r="C65" i="38"/>
  <c r="C62" i="38"/>
  <c r="C59" i="38"/>
  <c r="C56" i="38"/>
  <c r="C53" i="38"/>
  <c r="C52" i="38"/>
  <c r="C51" i="38"/>
  <c r="C46" i="38"/>
  <c r="C45" i="38"/>
  <c r="C41" i="38"/>
  <c r="C44" i="38"/>
  <c r="C38" i="38"/>
  <c r="C24" i="38"/>
  <c r="D24" i="38" s="1"/>
  <c r="E24" i="38" s="1"/>
  <c r="C13" i="38"/>
  <c r="C10" i="38"/>
  <c r="D15" i="36"/>
  <c r="D16" i="36"/>
  <c r="C19" i="37"/>
  <c r="G15" i="37"/>
  <c r="F15" i="37"/>
  <c r="E15" i="37"/>
  <c r="D15" i="37"/>
  <c r="D12" i="37"/>
  <c r="C15" i="37"/>
  <c r="D10" i="37"/>
  <c r="C13" i="37"/>
  <c r="C12" i="37"/>
  <c r="C11" i="37"/>
  <c r="C10" i="37"/>
  <c r="C18" i="37"/>
  <c r="C48" i="36"/>
  <c r="C46" i="36"/>
  <c r="C45" i="36"/>
  <c r="C44" i="36"/>
  <c r="C43" i="36"/>
  <c r="C42" i="36"/>
  <c r="C40" i="36"/>
  <c r="C41" i="36"/>
  <c r="F32" i="36"/>
  <c r="C33" i="36"/>
  <c r="F28" i="36"/>
  <c r="C28" i="36"/>
  <c r="F29" i="36"/>
  <c r="F30" i="36" s="1"/>
  <c r="F25" i="36"/>
  <c r="F26" i="36"/>
  <c r="C26" i="36"/>
  <c r="F24" i="36"/>
  <c r="C27" i="36"/>
  <c r="F27" i="36" s="1"/>
  <c r="C25" i="36"/>
  <c r="C24" i="36"/>
  <c r="G26" i="36"/>
  <c r="G29" i="36"/>
  <c r="D66" i="38"/>
  <c r="G30" i="36"/>
  <c r="D41" i="36"/>
  <c r="G32" i="36"/>
  <c r="D62" i="38"/>
  <c r="G31" i="36"/>
  <c r="G27" i="36"/>
  <c r="G28" i="36"/>
  <c r="D43" i="36"/>
  <c r="D42" i="36"/>
  <c r="G24" i="36"/>
  <c r="G25" i="36"/>
  <c r="D65" i="38"/>
  <c r="F31" i="36" l="1"/>
  <c r="F33" i="36"/>
  <c r="F34" i="36"/>
  <c r="C29" i="36"/>
  <c r="D13" i="36"/>
  <c r="C13" i="36"/>
  <c r="C12" i="36"/>
  <c r="K10" i="37"/>
  <c r="L10" i="37"/>
  <c r="G34" i="36"/>
  <c r="I10" i="37"/>
  <c r="J10" i="37"/>
  <c r="G33" i="36"/>
  <c r="H10" i="37"/>
  <c r="C14" i="36" l="1"/>
  <c r="C15" i="36" s="1"/>
  <c r="C16" i="36" s="1"/>
  <c r="C30" i="36"/>
  <c r="C32" i="36" s="1"/>
  <c r="D14" i="36"/>
  <c r="C26" i="38"/>
  <c r="E15" i="36"/>
  <c r="K12" i="37"/>
  <c r="F24" i="38"/>
  <c r="D48" i="36"/>
  <c r="L15" i="37"/>
  <c r="D27" i="36"/>
  <c r="H12" i="37"/>
  <c r="D45" i="38"/>
  <c r="D46" i="38"/>
  <c r="D18" i="37"/>
  <c r="I12" i="37"/>
  <c r="D31" i="36"/>
  <c r="H11" i="37"/>
  <c r="D45" i="36"/>
  <c r="D40" i="36"/>
  <c r="D44" i="38"/>
  <c r="E14" i="36"/>
  <c r="D10" i="38"/>
  <c r="C27" i="38"/>
  <c r="D25" i="36"/>
  <c r="D59" i="38"/>
  <c r="J15" i="37"/>
  <c r="K11" i="37"/>
  <c r="E27" i="38"/>
  <c r="I11" i="37"/>
  <c r="D44" i="36"/>
  <c r="L12" i="37"/>
  <c r="D19" i="37"/>
  <c r="D34" i="36"/>
  <c r="F25" i="38"/>
  <c r="H15" i="37"/>
  <c r="D46" i="36"/>
  <c r="D27" i="38"/>
  <c r="D13" i="38"/>
  <c r="L11" i="37"/>
  <c r="J13" i="37"/>
  <c r="I13" i="37"/>
  <c r="D28" i="36"/>
  <c r="J11" i="37"/>
  <c r="D32" i="36"/>
  <c r="K15" i="37"/>
  <c r="L13" i="37"/>
  <c r="D26" i="36"/>
  <c r="K13" i="37"/>
  <c r="D24" i="36"/>
  <c r="B29" i="38"/>
  <c r="D38" i="38"/>
  <c r="D30" i="36"/>
  <c r="J12" i="37"/>
  <c r="D33" i="36"/>
  <c r="D41" i="38"/>
  <c r="E16" i="36"/>
  <c r="H13" i="37"/>
  <c r="I15" i="37"/>
  <c r="D29" i="36"/>
  <c r="D56" i="38"/>
  <c r="C31" i="36" l="1"/>
  <c r="C34" i="36"/>
  <c r="D26" i="38"/>
  <c r="E25" i="38" l="1"/>
  <c r="E26" i="38" s="1"/>
  <c r="B28" i="38" s="1"/>
  <c r="D11" i="37"/>
  <c r="D13" i="37" l="1"/>
  <c r="E10" i="37" s="1"/>
  <c r="E11" i="37" s="1"/>
  <c r="E12" i="37" l="1"/>
  <c r="E13" i="37"/>
  <c r="F10" i="37" s="1"/>
  <c r="F11" i="37" l="1"/>
  <c r="F12" i="37" s="1"/>
  <c r="F13" i="37"/>
  <c r="G10" i="37" s="1"/>
  <c r="G11" i="37" l="1"/>
  <c r="G12" i="37" s="1"/>
  <c r="G13" i="3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E691E-0111-AE4B-BEB4-C1CC607C6D6F}" keepAlive="1" name="Query - Table 0" description="Connection to the 'Table 0' query in the workbook." type="5" refreshedVersion="6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<sst xmlns="http://schemas.openxmlformats.org/spreadsheetml/2006/main" count="136" uniqueCount="106">
  <si>
    <t>Current Price</t>
  </si>
  <si>
    <t xml:space="preserve"> </t>
  </si>
  <si>
    <t>Part I. DDM w/ Dividend Growth</t>
  </si>
  <si>
    <t>as of 9/23/2024, (ttm: trailing 12 months)</t>
  </si>
  <si>
    <t>Stock A</t>
  </si>
  <si>
    <t>Stock B</t>
  </si>
  <si>
    <t>Discount rate</t>
  </si>
  <si>
    <t>Return on equity at year 1</t>
  </si>
  <si>
    <t>Earnings per share at year 1</t>
  </si>
  <si>
    <t>Dividends per share at year 1</t>
  </si>
  <si>
    <t>a. Dividend payout ratio</t>
  </si>
  <si>
    <t>b. Expected dividend growth</t>
  </si>
  <si>
    <t>c. Stock value today</t>
  </si>
  <si>
    <t>Payout Ratio (PR, % Distribution of profit) = Dividend1 / Net Income1 (or EPS1)</t>
  </si>
  <si>
    <t xml:space="preserve">Expected growth rate (%) = Return on Equity x (1 – Payout Ratio) </t>
  </si>
  <si>
    <t>PVcs  = D1 / (r – g)</t>
  </si>
  <si>
    <t>Part II. DDM w/ Return on Equity &amp; P/E, P/B ratio</t>
  </si>
  <si>
    <t>Return on equity (%)</t>
  </si>
  <si>
    <t>Return on Equity (ROE, %) = Net Income1 / Equity</t>
  </si>
  <si>
    <t>Plowback(Retention) ratio (%)</t>
  </si>
  <si>
    <t>g (%)</t>
  </si>
  <si>
    <t xml:space="preserve">growth (g, %) = Return on Equity x Retention Ratio = Return on Equity x (1 – Payout Ratio) </t>
  </si>
  <si>
    <t>Discount rate (%)</t>
  </si>
  <si>
    <t>BV of equity beginning balance ($, million)</t>
  </si>
  <si>
    <t xml:space="preserve"> + Earnings or net Income of the year ($, million) </t>
  </si>
  <si>
    <t>Net Income = Equity x Return on Equity</t>
  </si>
  <si>
    <t xml:space="preserve"> - Dividends of the year ($, million)</t>
  </si>
  <si>
    <t>Dividend1 = Net Income1 x Payout Ratio = Net Income1 x (1 - Retention Ratio)</t>
  </si>
  <si>
    <t xml:space="preserve"> = BV of equity ending balance ($, million)</t>
  </si>
  <si>
    <t>BV of Equity ending balance = BV of Equity beginning balance + net income - dividend</t>
  </si>
  <si>
    <t>Market value by DDM ($, million)</t>
  </si>
  <si>
    <t>P/E ratio</t>
  </si>
  <si>
    <t>P/E = Market Value / Earnings</t>
  </si>
  <si>
    <t>P/B ratio</t>
  </si>
  <si>
    <t>P/B = Market Value / Book Value of Equity</t>
  </si>
  <si>
    <t>Discount rate (Cost of Equity by CAPM)</t>
  </si>
  <si>
    <t>Earnings per share ($)</t>
  </si>
  <si>
    <t>Dividends per share ($)</t>
  </si>
  <si>
    <t>Dividend payout ratio (%)</t>
  </si>
  <si>
    <t>Expected dividend growth (%)</t>
  </si>
  <si>
    <t>Intrinsic Stock Value today by DDM ($)</t>
  </si>
  <si>
    <t>Stock Price today ($)</t>
  </si>
  <si>
    <t>Expected Rate of Return (%)</t>
  </si>
  <si>
    <t>Buy / Hold / Sell</t>
  </si>
  <si>
    <t>Hold</t>
  </si>
  <si>
    <t>Intrinsic Value of Equity by DDM</t>
  </si>
  <si>
    <t>A. Projected years by DDM ($ in million)</t>
  </si>
  <si>
    <t>Book Value of Equity (beginning balance)</t>
  </si>
  <si>
    <t xml:space="preserve"> +</t>
  </si>
  <si>
    <t>Earnings (Net Income) of the year</t>
  </si>
  <si>
    <t xml:space="preserve"> -</t>
  </si>
  <si>
    <t>Dividends of the year</t>
  </si>
  <si>
    <t xml:space="preserve"> =</t>
  </si>
  <si>
    <t>Book Value of Equity (ending balance)</t>
  </si>
  <si>
    <t xml:space="preserve">Permanent Value </t>
  </si>
  <si>
    <t>Total Free Cash Flows by DDM</t>
  </si>
  <si>
    <t>B. Stock Valuation by DDM</t>
  </si>
  <si>
    <t>Intrinsic Value of the equity by DDM  ($ in million)</t>
  </si>
  <si>
    <t>Part I. Discount Dividend Model.</t>
  </si>
  <si>
    <t xml:space="preserve">a. What price based on DDM should the stock sell at if the discount rate is 15%? </t>
  </si>
  <si>
    <t>Current Price. PVcs  = D1 / (r – g)</t>
  </si>
  <si>
    <t>Part II. Stock Price with Permanent Value</t>
  </si>
  <si>
    <t>Input Data.</t>
  </si>
  <si>
    <t>Growth rate for Years 1-3</t>
  </si>
  <si>
    <t>Last dividend paid</t>
  </si>
  <si>
    <t>Growth rate after 3 years</t>
  </si>
  <si>
    <t>Year 0</t>
  </si>
  <si>
    <r>
      <t>PV</t>
    </r>
    <r>
      <rPr>
        <sz val="8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 = DIV</t>
    </r>
    <r>
      <rPr>
        <sz val="8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/ (r – g)</t>
    </r>
  </si>
  <si>
    <t>Part III. Preferred Stock Valuation</t>
  </si>
  <si>
    <t>Input variables:</t>
  </si>
  <si>
    <t>Annual dividend</t>
  </si>
  <si>
    <t>Discount rate (Required Rate of Return)</t>
  </si>
  <si>
    <t xml:space="preserve">a. If the discount rate is 12%, at what price should the preferred sell?  </t>
  </si>
  <si>
    <r>
      <t>Price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>. PV of preferred stock = D / r</t>
    </r>
  </si>
  <si>
    <t xml:space="preserve">b. At what price should the stock sell 1 year from now?  </t>
  </si>
  <si>
    <r>
      <t>Price</t>
    </r>
    <r>
      <rPr>
        <vertAlign val="subscript"/>
        <sz val="11"/>
        <color theme="1"/>
        <rFont val="Times New Roman"/>
        <family val="1"/>
      </rPr>
      <t>1</t>
    </r>
  </si>
  <si>
    <t xml:space="preserve">c. What is the dividend yield, the capital gains yield, and the required rate of return of the stock?  </t>
  </si>
  <si>
    <t>Required rate of return = Dividend Yield + Capital Yield</t>
  </si>
  <si>
    <t>Dividend yield = D/Price</t>
  </si>
  <si>
    <t>Capital yield = Required rate of return - Dividend Yield</t>
  </si>
  <si>
    <t>Part IV. Yields. Income Gain and Capital Gain in DDM Model</t>
  </si>
  <si>
    <t>Input data.</t>
  </si>
  <si>
    <t>Annual growth rate</t>
  </si>
  <si>
    <t>Required return</t>
  </si>
  <si>
    <r>
      <t>DIV</t>
    </r>
    <r>
      <rPr>
        <vertAlign val="subscript"/>
        <sz val="11"/>
        <color theme="1"/>
        <rFont val="Times New Roman"/>
        <family val="1"/>
      </rPr>
      <t>1</t>
    </r>
  </si>
  <si>
    <t xml:space="preserve">a. what is the value of a share today? </t>
  </si>
  <si>
    <t>Value of a share</t>
  </si>
  <si>
    <t xml:space="preserve">b. What price do you forecast for the stock next year? </t>
  </si>
  <si>
    <t>Stock price</t>
  </si>
  <si>
    <t>c. What rate of return should you expect if you buy the stock today and sell it in one year?</t>
  </si>
  <si>
    <t>Expected rate of return</t>
  </si>
  <si>
    <t>r = (D1 / PVcs) + g</t>
  </si>
  <si>
    <t>c-1. What is the income gain and the capital gain if you buy the stock today and sell it in one year?</t>
  </si>
  <si>
    <t>Income gain (Dividend Yield)</t>
  </si>
  <si>
    <t>Capital gain (Investment Yield, g)</t>
  </si>
  <si>
    <t>Total Cash Flows</t>
  </si>
  <si>
    <t>Terminal Value at year 3 end</t>
  </si>
  <si>
    <t>Dividends</t>
  </si>
  <si>
    <r>
      <t>Dividend Stock price PV</t>
    </r>
    <r>
      <rPr>
        <sz val="8"/>
        <color theme="1"/>
        <rFont val="Times New Roman"/>
        <family val="1"/>
      </rPr>
      <t>0</t>
    </r>
  </si>
  <si>
    <t>Part III. DDM Application to Coca-Cola</t>
  </si>
  <si>
    <t>a. when ROE is 15%</t>
  </si>
  <si>
    <t>KO</t>
  </si>
  <si>
    <t>Permanent Growth Rate of Dividend after year 2024 (%)</t>
  </si>
  <si>
    <t>b. when ROE is 18%</t>
  </si>
  <si>
    <t xml:space="preserve">b. What price based on DDM should the stock sell at if the discount rate is 18%.  </t>
  </si>
  <si>
    <t>Source: https://finance.yahoo.com/quote/KO/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</si>
</sst>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#.00"/>
    <numFmt numFmtId="166" formatCode="&quot;$&quot;#,##0.00"/>
    <numFmt numFmtId="167" formatCode="_(* #,##0.0_);_(* \(#,##0.0\);_(* &quot;-&quot;??_);_(@_)"/>
    <numFmt numFmtId="168" formatCode="&quot;$&quot;#,##0"/>
    <numFmt numFmtId="169" formatCode="0.000"/>
    <numFmt numFmtId="170" formatCode="0.0%"/>
  </numFmts>
  <fonts count="3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Calibri-Light"/>
      <family val="2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0"/>
      <name val="Times New Roman"/>
      <family val="1"/>
    </font>
    <font>
      <u/>
      <sz val="11"/>
      <name val="Times New Roman"/>
      <family val="1"/>
    </font>
    <font>
      <sz val="11"/>
      <color rgb="FF000000"/>
      <name val="Times New Roman"/>
      <family val="1"/>
    </font>
    <font>
      <i/>
      <sz val="11"/>
      <name val="Times New Roman"/>
      <family val="1"/>
    </font>
    <font>
      <i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i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8"/>
      <color theme="1"/>
      <name val="Times New Roman"/>
      <family val="1"/>
    </font>
    <font>
      <i/>
      <sz val="11"/>
      <color rgb="FFFF0000"/>
      <name val="Times New Roman"/>
      <family val="1"/>
    </font>
    <font>
      <vertAlign val="subscript"/>
      <sz val="11"/>
      <color theme="1"/>
      <name val="Times New Roman"/>
      <family val="1"/>
    </font>
    <font>
      <u val="singleAccounting"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1" applyFont="1"/>
    <xf numFmtId="164" fontId="3" fillId="0" borderId="0" xfId="2" applyNumberFormat="1" applyFont="1" applyAlignment="1">
      <alignment horizontal="left"/>
    </xf>
    <xf numFmtId="0" fontId="15" fillId="0" borderId="0" xfId="1" applyFont="1"/>
    <xf numFmtId="0" fontId="3" fillId="0" borderId="0" xfId="1" applyFont="1" applyAlignment="1">
      <alignment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top" wrapText="1"/>
    </xf>
    <xf numFmtId="0" fontId="3" fillId="0" borderId="1" xfId="1" applyFont="1" applyBorder="1" applyAlignment="1">
      <alignment horizontal="left" vertical="center" wrapText="1"/>
    </xf>
    <xf numFmtId="9" fontId="3" fillId="0" borderId="0" xfId="3" applyFont="1" applyFill="1"/>
    <xf numFmtId="2" fontId="3" fillId="0" borderId="0" xfId="1" applyNumberFormat="1" applyFont="1"/>
    <xf numFmtId="165" fontId="3" fillId="0" borderId="0" xfId="16" applyNumberFormat="1" applyFont="1" applyFill="1"/>
    <xf numFmtId="0" fontId="3" fillId="0" borderId="1" xfId="1" applyFont="1" applyBorder="1"/>
    <xf numFmtId="165" fontId="3" fillId="0" borderId="1" xfId="16" applyNumberFormat="1" applyFont="1" applyFill="1" applyBorder="1"/>
    <xf numFmtId="9" fontId="16" fillId="0" borderId="0" xfId="3" applyFont="1" applyAlignment="1">
      <alignment horizontal="left"/>
    </xf>
    <xf numFmtId="0" fontId="16" fillId="0" borderId="0" xfId="1" applyFont="1"/>
    <xf numFmtId="0" fontId="17" fillId="0" borderId="0" xfId="1" applyFont="1"/>
    <xf numFmtId="0" fontId="19" fillId="0" borderId="0" xfId="1" applyFont="1" applyAlignment="1">
      <alignment horizontal="center"/>
    </xf>
    <xf numFmtId="0" fontId="20" fillId="0" borderId="0" xfId="1" applyFont="1"/>
    <xf numFmtId="0" fontId="21" fillId="0" borderId="0" xfId="1" applyFont="1" applyAlignment="1">
      <alignment horizontal="left"/>
    </xf>
    <xf numFmtId="0" fontId="22" fillId="0" borderId="0" xfId="1" applyFont="1"/>
    <xf numFmtId="0" fontId="20" fillId="0" borderId="1" xfId="1" applyFont="1" applyBorder="1"/>
    <xf numFmtId="0" fontId="23" fillId="0" borderId="0" xfId="1" applyFont="1"/>
    <xf numFmtId="2" fontId="24" fillId="0" borderId="0" xfId="3" applyNumberFormat="1" applyFont="1" applyAlignment="1">
      <alignment horizontal="center"/>
    </xf>
    <xf numFmtId="164" fontId="7" fillId="0" borderId="0" xfId="17" applyNumberFormat="1" applyFont="1" applyAlignment="1">
      <alignment vertical="center"/>
    </xf>
    <xf numFmtId="164" fontId="13" fillId="0" borderId="0" xfId="17" applyNumberFormat="1" applyFont="1" applyFill="1" applyAlignment="1">
      <alignment vertical="center"/>
    </xf>
    <xf numFmtId="164" fontId="7" fillId="0" borderId="0" xfId="17" applyNumberFormat="1" applyFont="1" applyFill="1" applyAlignment="1">
      <alignment vertical="center"/>
    </xf>
    <xf numFmtId="164" fontId="10" fillId="0" borderId="0" xfId="17" applyNumberFormat="1" applyFont="1" applyBorder="1" applyAlignment="1">
      <alignment vertical="center"/>
    </xf>
    <xf numFmtId="164" fontId="7" fillId="0" borderId="0" xfId="17" applyNumberFormat="1" applyFont="1" applyBorder="1" applyAlignment="1">
      <alignment vertical="center"/>
    </xf>
    <xf numFmtId="164" fontId="7" fillId="0" borderId="1" xfId="17" applyNumberFormat="1" applyFont="1" applyBorder="1" applyAlignment="1">
      <alignment vertical="center"/>
    </xf>
    <xf numFmtId="164" fontId="7" fillId="0" borderId="0" xfId="17" applyNumberFormat="1" applyFont="1" applyAlignment="1">
      <alignment horizontal="right" vertical="center"/>
    </xf>
    <xf numFmtId="164" fontId="7" fillId="0" borderId="1" xfId="17" applyNumberFormat="1" applyFont="1" applyFill="1" applyBorder="1" applyAlignment="1">
      <alignment vertical="center"/>
    </xf>
    <xf numFmtId="167" fontId="7" fillId="0" borderId="1" xfId="17" applyNumberFormat="1" applyFont="1" applyFill="1" applyBorder="1" applyAlignment="1">
      <alignment vertical="center"/>
    </xf>
    <xf numFmtId="167" fontId="7" fillId="0" borderId="0" xfId="17" applyNumberFormat="1" applyFont="1" applyFill="1" applyBorder="1" applyAlignment="1">
      <alignment vertical="center"/>
    </xf>
    <xf numFmtId="164" fontId="7" fillId="0" borderId="0" xfId="17" applyNumberFormat="1" applyFont="1" applyFill="1" applyAlignment="1">
      <alignment horizontal="left" vertical="center"/>
    </xf>
    <xf numFmtId="10" fontId="7" fillId="0" borderId="0" xfId="3" applyNumberFormat="1" applyFont="1" applyAlignment="1">
      <alignment vertical="center"/>
    </xf>
    <xf numFmtId="0" fontId="5" fillId="0" borderId="1" xfId="1" applyFont="1" applyBorder="1"/>
    <xf numFmtId="166" fontId="27" fillId="0" borderId="1" xfId="2" applyNumberFormat="1" applyFont="1" applyBorder="1"/>
    <xf numFmtId="0" fontId="27" fillId="0" borderId="0" xfId="1" applyFont="1"/>
    <xf numFmtId="0" fontId="17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right" vertical="center" wrapText="1"/>
    </xf>
    <xf numFmtId="0" fontId="20" fillId="0" borderId="0" xfId="1" applyFont="1" applyAlignment="1">
      <alignment horizontal="left" vertical="center" wrapText="1"/>
    </xf>
    <xf numFmtId="0" fontId="20" fillId="0" borderId="1" xfId="1" applyFont="1" applyBorder="1" applyAlignment="1">
      <alignment horizontal="left" vertical="center" wrapText="1"/>
    </xf>
    <xf numFmtId="2" fontId="3" fillId="0" borderId="0" xfId="1" applyNumberFormat="1" applyFont="1" applyAlignment="1">
      <alignment vertical="center"/>
    </xf>
    <xf numFmtId="9" fontId="3" fillId="0" borderId="0" xfId="3" applyFont="1" applyFill="1" applyAlignment="1">
      <alignment horizontal="right" vertical="center"/>
    </xf>
    <xf numFmtId="0" fontId="3" fillId="0" borderId="1" xfId="1" applyFont="1" applyBorder="1" applyAlignment="1">
      <alignment vertical="center"/>
    </xf>
    <xf numFmtId="0" fontId="3" fillId="0" borderId="3" xfId="1" applyFont="1" applyBorder="1" applyAlignment="1">
      <alignment horizontal="right" vertical="center"/>
    </xf>
    <xf numFmtId="0" fontId="16" fillId="0" borderId="1" xfId="1" applyFont="1" applyBorder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6" fillId="0" borderId="0" xfId="1" applyFont="1" applyAlignment="1">
      <alignment horizontal="right" vertical="center"/>
    </xf>
    <xf numFmtId="0" fontId="29" fillId="0" borderId="0" xfId="1" applyFont="1" applyAlignment="1">
      <alignment vertical="center"/>
    </xf>
    <xf numFmtId="0" fontId="6" fillId="0" borderId="0" xfId="1" applyFont="1"/>
    <xf numFmtId="0" fontId="17" fillId="0" borderId="1" xfId="1" applyFont="1" applyBorder="1" applyAlignment="1">
      <alignment horizontal="left"/>
    </xf>
    <xf numFmtId="49" fontId="3" fillId="0" borderId="0" xfId="1" applyNumberFormat="1" applyFont="1"/>
    <xf numFmtId="0" fontId="17" fillId="0" borderId="1" xfId="1" applyFont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3" fillId="0" borderId="0" xfId="1" applyFont="1" applyAlignment="1">
      <alignment vertical="top" wrapText="1"/>
    </xf>
    <xf numFmtId="3" fontId="3" fillId="0" borderId="0" xfId="2" applyNumberFormat="1" applyFont="1"/>
    <xf numFmtId="0" fontId="17" fillId="0" borderId="1" xfId="1" applyFont="1" applyBorder="1" applyAlignment="1">
      <alignment vertical="center"/>
    </xf>
    <xf numFmtId="2" fontId="3" fillId="0" borderId="0" xfId="16" applyNumberFormat="1" applyFont="1"/>
    <xf numFmtId="0" fontId="17" fillId="0" borderId="1" xfId="1" applyFont="1" applyBorder="1"/>
    <xf numFmtId="0" fontId="16" fillId="0" borderId="0" xfId="1" applyFont="1" applyAlignment="1">
      <alignment horizontal="left" vertical="center" wrapText="1"/>
    </xf>
    <xf numFmtId="10" fontId="3" fillId="0" borderId="0" xfId="3" applyNumberFormat="1" applyFont="1" applyFill="1"/>
    <xf numFmtId="168" fontId="3" fillId="0" borderId="0" xfId="3" applyNumberFormat="1" applyFont="1" applyFill="1"/>
    <xf numFmtId="0" fontId="17" fillId="0" borderId="1" xfId="1" applyFont="1" applyBorder="1" applyAlignment="1">
      <alignment horizontal="left" vertical="top"/>
    </xf>
    <xf numFmtId="0" fontId="16" fillId="0" borderId="0" xfId="1" applyFont="1" applyAlignment="1">
      <alignment horizontal="left" vertical="top" wrapText="1"/>
    </xf>
    <xf numFmtId="0" fontId="17" fillId="0" borderId="1" xfId="1" applyFont="1" applyBorder="1" applyAlignment="1">
      <alignment horizontal="left" vertical="center"/>
    </xf>
    <xf numFmtId="3" fontId="27" fillId="0" borderId="0" xfId="2" applyNumberFormat="1" applyFont="1"/>
    <xf numFmtId="0" fontId="3" fillId="0" borderId="1" xfId="1" applyFont="1" applyBorder="1" applyAlignment="1">
      <alignment horizontal="left" vertical="top" wrapText="1"/>
    </xf>
    <xf numFmtId="166" fontId="3" fillId="0" borderId="0" xfId="3" applyNumberFormat="1" applyFont="1" applyFill="1"/>
    <xf numFmtId="0" fontId="3" fillId="0" borderId="4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3" xfId="2" applyNumberFormat="1" applyFont="1" applyFill="1" applyBorder="1" applyAlignment="1">
      <alignment vertical="center"/>
    </xf>
    <xf numFmtId="0" fontId="3" fillId="0" borderId="1" xfId="1" applyFont="1" applyBorder="1" applyAlignment="1">
      <alignment horizontal="right" vertical="center"/>
    </xf>
    <xf numFmtId="0" fontId="3" fillId="2" borderId="0" xfId="1" applyFont="1" applyFill="1"/>
    <xf numFmtId="0" fontId="9" fillId="2" borderId="1" xfId="1" applyFont="1" applyFill="1" applyBorder="1"/>
    <xf numFmtId="0" fontId="9" fillId="2" borderId="1" xfId="1" applyFont="1" applyFill="1" applyBorder="1" applyAlignment="1">
      <alignment horizontal="right"/>
    </xf>
    <xf numFmtId="10" fontId="4" fillId="2" borderId="0" xfId="3" applyNumberFormat="1" applyFont="1" applyFill="1" applyAlignment="1">
      <alignment horizontal="right"/>
    </xf>
    <xf numFmtId="0" fontId="18" fillId="2" borderId="1" xfId="1" applyFont="1" applyFill="1" applyBorder="1" applyAlignment="1">
      <alignment horizontal="center"/>
    </xf>
    <xf numFmtId="9" fontId="4" fillId="2" borderId="0" xfId="3" applyFont="1" applyFill="1"/>
    <xf numFmtId="9" fontId="4" fillId="2" borderId="1" xfId="3" applyFont="1" applyFill="1" applyBorder="1"/>
    <xf numFmtId="164" fontId="4" fillId="2" borderId="0" xfId="2" applyNumberFormat="1" applyFont="1" applyFill="1" applyAlignment="1"/>
    <xf numFmtId="164" fontId="31" fillId="2" borderId="0" xfId="2" applyNumberFormat="1" applyFont="1" applyFill="1" applyAlignment="1"/>
    <xf numFmtId="164" fontId="4" fillId="2" borderId="1" xfId="2" applyNumberFormat="1" applyFont="1" applyFill="1" applyBorder="1" applyAlignment="1"/>
    <xf numFmtId="43" fontId="4" fillId="2" borderId="0" xfId="2" applyFont="1" applyFill="1" applyAlignment="1"/>
    <xf numFmtId="0" fontId="4" fillId="2" borderId="1" xfId="1" applyFont="1" applyFill="1" applyBorder="1"/>
    <xf numFmtId="10" fontId="4" fillId="2" borderId="0" xfId="3" applyNumberFormat="1" applyFont="1" applyFill="1"/>
    <xf numFmtId="43" fontId="4" fillId="2" borderId="0" xfId="2" applyFont="1" applyFill="1" applyBorder="1"/>
    <xf numFmtId="10" fontId="4" fillId="2" borderId="1" xfId="3" applyNumberFormat="1" applyFont="1" applyFill="1" applyBorder="1" applyAlignment="1">
      <alignment horizontal="right"/>
    </xf>
    <xf numFmtId="43" fontId="4" fillId="2" borderId="0" xfId="2" applyFont="1" applyFill="1" applyBorder="1" applyAlignment="1">
      <alignment horizontal="right"/>
    </xf>
    <xf numFmtId="43" fontId="4" fillId="2" borderId="1" xfId="2" applyFont="1" applyFill="1" applyBorder="1" applyAlignment="1">
      <alignment horizontal="right"/>
    </xf>
    <xf numFmtId="164" fontId="25" fillId="2" borderId="1" xfId="17" applyNumberFormat="1" applyFont="1" applyFill="1" applyBorder="1" applyAlignment="1">
      <alignment vertical="center"/>
    </xf>
    <xf numFmtId="0" fontId="12" fillId="2" borderId="1" xfId="17" applyNumberFormat="1" applyFont="1" applyFill="1" applyBorder="1" applyAlignment="1">
      <alignment vertical="center"/>
    </xf>
    <xf numFmtId="167" fontId="26" fillId="2" borderId="0" xfId="17" applyNumberFormat="1" applyFont="1" applyFill="1" applyAlignment="1">
      <alignment vertical="center"/>
    </xf>
    <xf numFmtId="167" fontId="26" fillId="2" borderId="0" xfId="17" applyNumberFormat="1" applyFont="1" applyFill="1" applyBorder="1" applyAlignment="1">
      <alignment vertical="center"/>
    </xf>
    <xf numFmtId="167" fontId="26" fillId="2" borderId="1" xfId="17" applyNumberFormat="1" applyFont="1" applyFill="1" applyBorder="1" applyAlignment="1">
      <alignment vertical="center"/>
    </xf>
    <xf numFmtId="167" fontId="12" fillId="2" borderId="0" xfId="17" applyNumberFormat="1" applyFont="1" applyFill="1" applyBorder="1" applyAlignment="1">
      <alignment vertical="center"/>
    </xf>
    <xf numFmtId="10" fontId="26" fillId="2" borderId="0" xfId="13" applyNumberFormat="1" applyFont="1" applyFill="1" applyBorder="1" applyAlignment="1">
      <alignment vertical="center"/>
    </xf>
    <xf numFmtId="166" fontId="4" fillId="2" borderId="0" xfId="3" applyNumberFormat="1" applyFont="1" applyFill="1"/>
    <xf numFmtId="43" fontId="4" fillId="2" borderId="0" xfId="2" applyFont="1" applyFill="1" applyAlignment="1">
      <alignment vertical="center"/>
    </xf>
    <xf numFmtId="43" fontId="4" fillId="2" borderId="1" xfId="2" applyFont="1" applyFill="1" applyBorder="1" applyAlignment="1">
      <alignment vertical="center"/>
    </xf>
    <xf numFmtId="43" fontId="4" fillId="2" borderId="0" xfId="1" applyNumberFormat="1" applyFont="1" applyFill="1" applyAlignment="1">
      <alignment vertical="center"/>
    </xf>
    <xf numFmtId="8" fontId="4" fillId="2" borderId="2" xfId="2" applyNumberFormat="1" applyFont="1" applyFill="1" applyBorder="1" applyAlignment="1">
      <alignment vertical="center"/>
    </xf>
    <xf numFmtId="166" fontId="4" fillId="2" borderId="0" xfId="16" applyNumberFormat="1" applyFont="1" applyFill="1"/>
    <xf numFmtId="9" fontId="4" fillId="2" borderId="0" xfId="1" applyNumberFormat="1" applyFont="1" applyFill="1"/>
    <xf numFmtId="169" fontId="4" fillId="2" borderId="0" xfId="1" applyNumberFormat="1" applyFont="1" applyFill="1"/>
    <xf numFmtId="10" fontId="4" fillId="2" borderId="0" xfId="1" applyNumberFormat="1" applyFont="1" applyFill="1"/>
    <xf numFmtId="10" fontId="4" fillId="2" borderId="0" xfId="19" applyNumberFormat="1" applyFont="1" applyFill="1" applyAlignment="1">
      <alignment horizontal="right"/>
    </xf>
    <xf numFmtId="44" fontId="4" fillId="2" borderId="1" xfId="18" applyFont="1" applyFill="1" applyBorder="1" applyAlignment="1">
      <alignment horizontal="right"/>
    </xf>
    <xf numFmtId="2" fontId="4" fillId="2" borderId="0" xfId="3" applyNumberFormat="1" applyFont="1" applyFill="1" applyAlignment="1">
      <alignment horizontal="right"/>
    </xf>
    <xf numFmtId="170" fontId="4" fillId="2" borderId="0" xfId="3" applyNumberFormat="1" applyFont="1" applyFill="1"/>
    <xf numFmtId="10" fontId="4" fillId="2" borderId="0" xfId="3" applyNumberFormat="1" applyFont="1" applyFill="1" applyAlignment="1"/>
    <xf numFmtId="9" fontId="4" fillId="2" borderId="0" xfId="19" applyFont="1" applyFill="1" applyBorder="1" applyAlignment="1">
      <alignment horizontal="right"/>
    </xf>
    <xf numFmtId="8" fontId="26" fillId="2" borderId="0" xfId="2" applyNumberFormat="1" applyFont="1" applyFill="1" applyAlignment="1">
      <alignment vertical="center"/>
    </xf>
    <xf numFmtId="164" fontId="26" fillId="2" borderId="0" xfId="17" applyNumberFormat="1" applyFont="1" applyFill="1" applyAlignment="1">
      <alignment vertical="center"/>
    </xf>
    <xf numFmtId="166" fontId="3" fillId="0" borderId="0" xfId="16" applyNumberFormat="1" applyFont="1" applyFill="1" applyAlignment="1">
      <alignment horizontal="right" vertical="center"/>
    </xf>
    <xf numFmtId="0" fontId="3" fillId="0" borderId="0" xfId="1" applyFont="1" applyAlignment="1">
      <alignment horizontal="left" vertical="center" wrapText="1"/>
    </xf>
  </cellXfs>
  <cellStyles count="20">
    <cellStyle name="Comma 2" xfId="2" xr:uid="{EF3C5F3F-73EB-BD42-A05F-909DD1D9EA71}"/>
    <cellStyle name="Comma 2 2" xfId="17" xr:uid="{892FBD5D-C5CE-3C40-A515-308C8546E39F}"/>
    <cellStyle name="Comma 3" xfId="7" xr:uid="{8DAC45FA-E56B-7244-909A-45C2CB6FF967}"/>
    <cellStyle name="Comma 4" xfId="11" xr:uid="{8773FB13-BD78-A44C-BB40-EEA8C78AA4A8}"/>
    <cellStyle name="Currency" xfId="18" builtinId="4"/>
    <cellStyle name="Currency 2" xfId="5" xr:uid="{E50B2C49-5F19-B948-9C84-1D4F35B13A73}"/>
    <cellStyle name="Currency 3" xfId="12" xr:uid="{A5B88E67-FD60-5B4A-9ABD-3F07250CAA7B}"/>
    <cellStyle name="Currency 4" xfId="16" xr:uid="{9860C351-D929-6F48-96D4-92C3891A36B4}"/>
    <cellStyle name="Hyperlink 2" xfId="8" xr:uid="{4C7FD21F-DE25-B44A-B579-FD32E7FE77B8}"/>
    <cellStyle name="Normal" xfId="0" builtinId="0"/>
    <cellStyle name="Normal 2" xfId="1" xr:uid="{05B6E6F8-A3E7-9941-B9A6-6A074445E3E1}"/>
    <cellStyle name="Normal 3" xfId="4" xr:uid="{266DF133-4880-D648-93F2-ABEC25CB6B9B}"/>
    <cellStyle name="Normal 3 2 2" xfId="15" xr:uid="{E2DA83E0-1FF5-9346-A33C-2D6CE2CC6383}"/>
    <cellStyle name="Normal 4" xfId="9" xr:uid="{BD26CCF5-CFB3-AD40-94DA-07B604DC5C11}"/>
    <cellStyle name="Normal 4 2" xfId="14" xr:uid="{903FA84B-2A29-3C41-B0E0-34D309663AD3}"/>
    <cellStyle name="Percent" xfId="19" builtinId="5"/>
    <cellStyle name="Percent 2" xfId="3" xr:uid="{0099FD40-F900-6643-A96B-E7052F5AF639}"/>
    <cellStyle name="Percent 2 2" xfId="13" xr:uid="{354A465F-C0D0-804F-8501-6DA204C4D7D4}"/>
    <cellStyle name="Percent 3" xfId="6" xr:uid="{F5B95F4F-62A0-E445-BDD3-13A4B4DD0684}"/>
    <cellStyle name="Percent 4" xfId="10" xr:uid="{EA7410C1-2F02-AF40-8FF5-E925ABE28493}"/>
  </cellStyles>
  <dxfs count="0"/>
  <tableStyles count="0" defaultTableStyle="TableStyleMedium2" defaultPivotStyle="PivotStyleLight16"/>
  <colors>
    <mruColors>
      <color rgb="FF1C2C14"/>
      <color rgb="FF413106"/>
      <color rgb="FF131E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connections" Target="connection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251604</xdr:colOff>
      <xdr:row>0</xdr:row>
      <xdr:rowOff>35943</xdr:rowOff>
    </xdr:from>
    <xdr:to>
      <xdr:col>1</xdr:col>
      <xdr:colOff>2719717</xdr:colOff>
      <xdr:row>4</xdr:row>
      <xdr:rowOff>139779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C00FB-8C85-EA30-510B-3BFA49A45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48" b="33019"/>
        <a:stretch>
          <a:fillRect/>
        </a:stretch>
      </xdr:blipFill>
      <xdr:spPr>
        <a:xfrm>
          <a:off x="515189" y="35943"/>
          <a:ext cx="2468113" cy="8227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223065</xdr:colOff>
      <xdr:row>0</xdr:row>
      <xdr:rowOff>93022</xdr:rowOff>
    </xdr:from>
    <xdr:to>
      <xdr:col>1</xdr:col>
      <xdr:colOff>2691178</xdr:colOff>
      <xdr:row>4</xdr:row>
      <xdr:rowOff>95258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ACB6EA-E4DD-F440-9448-D2A7F3B325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48" b="33019"/>
        <a:stretch>
          <a:fillRect/>
        </a:stretch>
      </xdr:blipFill>
      <xdr:spPr>
        <a:xfrm>
          <a:off x="422840" y="93022"/>
          <a:ext cx="2468113" cy="687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223065</xdr:colOff>
      <xdr:row>0</xdr:row>
      <xdr:rowOff>93022</xdr:rowOff>
    </xdr:from>
    <xdr:to>
      <xdr:col>1</xdr:col>
      <xdr:colOff>2691178</xdr:colOff>
      <xdr:row>4</xdr:row>
      <xdr:rowOff>95258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84436-980E-FE4E-8951-B27947C9B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48" b="33019"/>
        <a:stretch>
          <a:fillRect/>
        </a:stretch>
      </xdr:blipFill>
      <xdr:spPr>
        <a:xfrm>
          <a:off x="426265" y="93022"/>
          <a:ext cx="2468113" cy="7134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dikouchie/Local%20Settings/Temporary%20Internet%20Files/OLK6C/Old%20Reference%20Materials/Enrique%20LBO%20Cutou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IndexServices/Melinda/Global%20Index%20Review/US%20Indic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IndexServices/Melinda/Global%20Index%20Review/Index%20Review%204%20(US%20Indices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bumchanahn/Desktop/HULT/HULT%20Professor%20PG/PG%202023%20Spring_Investment%20/2023%20Spring_Investments_Excel_Application_Ch16.%20Holding%20Period%20Immunization.xls" TargetMode="External"/><Relationship Id="rId1" Type="http://schemas.openxmlformats.org/officeDocument/2006/relationships/externalLinkPath" Target="/Users/paulbumchanahn/Desktop/HULT/HULT%20Professor%20PG/PG%202023%20Spring_Investment%20/2023%20Spring_Investments_Excel_Application_Ch16.%20Holding%20Period%20Immunizati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ahn/Desktop/Accounting%20TA/Performance%20Management/C:\Users\John\Accounting%20HULT%20My%20Files\accounting%20hult%20team%20files\Managerial%20Accounting\Chapter%202\C-V-P%20Graph%20for%20Class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Summary 30.04.02"/>
      <sheetName val="Summary 14.05.02"/>
      <sheetName val="Comparison"/>
      <sheetName val="Assump"/>
      <sheetName val="Conso Adj"/>
      <sheetName val="Adjust"/>
      <sheetName val="Conso"/>
      <sheetName val="Enrique Holding"/>
      <sheetName val="ENV"/>
      <sheetName val="India"/>
      <sheetName val="Depr"/>
      <sheetName val="Amort"/>
      <sheetName val="WACC"/>
      <sheetName val="LBO (Apr 30 Bid) 18 Month"/>
      <sheetName val="PrintMacro"/>
      <sheetName val="DebtMacro"/>
      <sheetName val="Module1"/>
    </sheetNames>
    <sheetDataSet>
      <sheetData sheetId="0" refreshError="1">
        <row r="20">
          <cell r="E20" t="str">
            <v>(GBP in millions, Except per Share Data)</v>
          </cell>
        </row>
        <row r="23">
          <cell r="C23">
            <v>2002</v>
          </cell>
        </row>
        <row r="27">
          <cell r="E27" t="str">
            <v>Projected Quarter / Fiscal Year Ending March 31,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uration Concept"/>
      <sheetName val="Duration Function"/>
      <sheetName val="Convexity (2)"/>
      <sheetName val="Convexity"/>
      <sheetName val="Immunization"/>
      <sheetName val="Book Model"/>
      <sheetName val="OLC Model"/>
    </sheetNames>
    <sheetDataSet>
      <sheetData sheetId="0" refreshError="1"/>
      <sheetData sheetId="1" refreshError="1"/>
      <sheetData sheetId="2" refreshError="1"/>
      <sheetData sheetId="3">
        <row r="7">
          <cell r="C7">
            <v>8</v>
          </cell>
        </row>
        <row r="8">
          <cell r="C8">
            <v>0.08</v>
          </cell>
        </row>
        <row r="9">
          <cell r="C9">
            <v>30</v>
          </cell>
        </row>
        <row r="10">
          <cell r="C10">
            <v>100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ase"/>
      <sheetName val="FCFF vs. FCFE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5728-C8C1-9245-AD2F-36048349E2FE}">
  <sheetPr codeName="Sheet2">
    <pageSetUpPr fitToPage="1"/>
  </sheetPr>
  <dimension ref="A1:I53"/>
  <sheetViews>
    <sheetView showGridLines="0" zoomScale="81" workbookViewId="0">
      <selection activeCell="V22" sqref="V22"/>
    </sheetView>
  </sheetViews>
  <sheetFormatPr baseColWidth="10" defaultColWidth="9.1640625" defaultRowHeight="14"/>
  <cols>
    <col min="1" max="1" width="3.5" style="1" customWidth="1"/>
    <col min="2" max="2" width="40" style="1" customWidth="1"/>
    <col min="3" max="3" width="10.6640625" style="1" customWidth="1"/>
    <col min="4" max="4" width="14.83203125" style="1" customWidth="1"/>
    <col min="5" max="5" width="37.6640625" style="1" customWidth="1"/>
    <col min="6" max="6" width="10.83203125" style="1" customWidth="1"/>
    <col min="7" max="7" width="9.1640625" style="1"/>
    <col min="8" max="8" width="6.6640625" style="1" customWidth="1"/>
    <col min="9" max="16384" width="9.1640625" style="1"/>
  </cols>
  <sheetData>
    <row r="1" spans="1:5" s="76" customFormat="1"/>
    <row r="2" spans="1:5" s="76" customFormat="1"/>
    <row r="3" spans="1:5" s="76" customFormat="1"/>
    <row r="4" spans="1:5" s="76" customFormat="1"/>
    <row r="5" spans="1:5" s="76" customFormat="1"/>
    <row r="7" spans="1:5" ht="18">
      <c r="A7" s="1" t="s">
        <v>1</v>
      </c>
      <c r="B7" s="3" t="s">
        <v>2</v>
      </c>
      <c r="E7" s="2"/>
    </row>
    <row r="8" spans="1:5" ht="15" customHeight="1">
      <c r="A8" s="4"/>
      <c r="B8" s="118"/>
      <c r="C8" s="118"/>
      <c r="D8" s="118"/>
      <c r="E8" s="118"/>
    </row>
    <row r="9" spans="1:5" ht="15" customHeight="1">
      <c r="A9" s="4"/>
      <c r="B9" s="77" t="s">
        <v>3</v>
      </c>
      <c r="C9" s="78" t="s">
        <v>4</v>
      </c>
      <c r="D9" s="78" t="s">
        <v>5</v>
      </c>
      <c r="E9" s="2"/>
    </row>
    <row r="10" spans="1:5" ht="15" customHeight="1">
      <c r="A10" s="4"/>
      <c r="B10" s="1" t="s">
        <v>6</v>
      </c>
      <c r="C10" s="8">
        <v>7.0000000000000007E-2</v>
      </c>
      <c r="D10" s="8">
        <v>7.0000000000000007E-2</v>
      </c>
      <c r="E10" s="2"/>
    </row>
    <row r="11" spans="1:5">
      <c r="A11" s="4"/>
      <c r="B11" s="1" t="s">
        <v>7</v>
      </c>
      <c r="C11" s="8">
        <v>0.15</v>
      </c>
      <c r="D11" s="8">
        <v>0.18</v>
      </c>
      <c r="E11" s="2"/>
    </row>
    <row r="12" spans="1:5" ht="11" customHeight="1">
      <c r="A12" s="4"/>
      <c r="B12" s="1" t="s">
        <v>8</v>
      </c>
      <c r="C12" s="10">
        <f>3.35*(1+0.0587)</f>
        <v>3.5466449999999998</v>
      </c>
      <c r="D12" s="10">
        <v>4</v>
      </c>
      <c r="E12" s="2"/>
    </row>
    <row r="13" spans="1:5">
      <c r="B13" s="11" t="s">
        <v>9</v>
      </c>
      <c r="C13" s="12">
        <f>2.04*(1.0587)</f>
        <v>2.159748</v>
      </c>
      <c r="D13" s="12">
        <f>2*1.04</f>
        <v>2.08</v>
      </c>
      <c r="E13" s="2"/>
    </row>
    <row r="14" spans="1:5">
      <c r="B14" s="1" t="s">
        <v>10</v>
      </c>
      <c r="C14" s="111">
        <f>C13/C12</f>
        <v>0.60895522388059709</v>
      </c>
      <c r="D14" s="111">
        <f>D13/D12</f>
        <v>0.52</v>
      </c>
      <c r="E14" s="13" t="str">
        <f ca="1">_xlfn.FORMULATEXT(D14)</f>
        <v>=D13/D12</v>
      </c>
    </row>
    <row r="15" spans="1:5">
      <c r="A15" s="9"/>
      <c r="B15" s="1" t="s">
        <v>11</v>
      </c>
      <c r="C15" s="109">
        <f>(1-C14)*C11</f>
        <v>5.8656716417910433E-2</v>
      </c>
      <c r="D15" s="79">
        <f>D11*(1-D14)</f>
        <v>8.6399999999999991E-2</v>
      </c>
      <c r="E15" s="13" t="str">
        <f ca="1">_xlfn.FORMULATEXT(D15)</f>
        <v>=D11*(1-D14)</v>
      </c>
    </row>
    <row r="16" spans="1:5">
      <c r="A16" s="9"/>
      <c r="B16" s="11" t="s">
        <v>12</v>
      </c>
      <c r="C16" s="110">
        <f>C13/(C10-C15)</f>
        <v>190.39883684210491</v>
      </c>
      <c r="D16" s="110">
        <f>-(D13/(D10-D15))</f>
        <v>126.82926829268305</v>
      </c>
      <c r="E16" s="13" t="str">
        <f ca="1">_xlfn.FORMULATEXT(D16)</f>
        <v>=-(D13/(D10-D15))</v>
      </c>
    </row>
    <row r="17" spans="1:9">
      <c r="A17" s="9"/>
      <c r="B17" s="14" t="s">
        <v>13</v>
      </c>
      <c r="E17" s="2"/>
    </row>
    <row r="18" spans="1:9">
      <c r="A18" s="9"/>
      <c r="B18" s="14" t="s">
        <v>14</v>
      </c>
      <c r="E18" s="2"/>
      <c r="G18" s="14"/>
    </row>
    <row r="19" spans="1:9">
      <c r="A19" s="9"/>
      <c r="B19" s="14" t="s">
        <v>15</v>
      </c>
      <c r="G19" s="14"/>
    </row>
    <row r="20" spans="1:9">
      <c r="A20" s="9"/>
      <c r="G20" s="14"/>
    </row>
    <row r="21" spans="1:9" ht="18">
      <c r="B21" s="3" t="s">
        <v>16</v>
      </c>
    </row>
    <row r="23" spans="1:9">
      <c r="A23" s="15"/>
      <c r="B23" s="77" t="s">
        <v>100</v>
      </c>
      <c r="C23" s="80"/>
      <c r="D23" s="16"/>
      <c r="E23" s="77" t="s">
        <v>103</v>
      </c>
      <c r="F23" s="87"/>
    </row>
    <row r="24" spans="1:9">
      <c r="A24" s="15"/>
      <c r="B24" s="17" t="s">
        <v>17</v>
      </c>
      <c r="C24" s="81">
        <f>15%</f>
        <v>0.15</v>
      </c>
      <c r="D24" s="18" t="str">
        <f t="shared" ref="D24:D34" ca="1" si="0">_xlfn.FORMULATEXT(C24)</f>
        <v>=15%</v>
      </c>
      <c r="E24" s="17" t="s">
        <v>17</v>
      </c>
      <c r="F24" s="81">
        <f>18%</f>
        <v>0.18</v>
      </c>
      <c r="G24" s="18" t="str">
        <f t="shared" ref="G24:G34" ca="1" si="1">_xlfn.FORMULATEXT(F24)</f>
        <v>=18%</v>
      </c>
      <c r="I24" s="14" t="s">
        <v>18</v>
      </c>
    </row>
    <row r="25" spans="1:9">
      <c r="B25" s="17" t="s">
        <v>19</v>
      </c>
      <c r="C25" s="112">
        <f>39.1%</f>
        <v>0.39100000000000001</v>
      </c>
      <c r="D25" s="18" t="str">
        <f t="shared" ca="1" si="0"/>
        <v>=39.1%</v>
      </c>
      <c r="E25" s="17" t="s">
        <v>19</v>
      </c>
      <c r="F25" s="112">
        <f>36.1%</f>
        <v>0.36099999999999999</v>
      </c>
      <c r="G25" s="18" t="str">
        <f t="shared" ca="1" si="1"/>
        <v>=36.1%</v>
      </c>
      <c r="I25" s="14"/>
    </row>
    <row r="26" spans="1:9">
      <c r="A26" s="15" t="s">
        <v>1</v>
      </c>
      <c r="B26" s="19" t="s">
        <v>20</v>
      </c>
      <c r="C26" s="113">
        <f>C24*C25</f>
        <v>5.8650000000000001E-2</v>
      </c>
      <c r="D26" s="18" t="str">
        <f t="shared" ca="1" si="0"/>
        <v>=C24*C25</v>
      </c>
      <c r="E26" s="19" t="s">
        <v>20</v>
      </c>
      <c r="F26" s="113">
        <f>6.05%</f>
        <v>6.0499999999999998E-2</v>
      </c>
      <c r="G26" s="18" t="str">
        <f t="shared" ca="1" si="1"/>
        <v>=6.05%</v>
      </c>
      <c r="I26" s="14" t="s">
        <v>21</v>
      </c>
    </row>
    <row r="27" spans="1:9" ht="15" customHeight="1">
      <c r="A27" s="4"/>
      <c r="B27" s="20" t="s">
        <v>22</v>
      </c>
      <c r="C27" s="82">
        <f>7%</f>
        <v>7.0000000000000007E-2</v>
      </c>
      <c r="D27" s="18" t="str">
        <f t="shared" ca="1" si="0"/>
        <v>=7%</v>
      </c>
      <c r="E27" s="20" t="s">
        <v>22</v>
      </c>
      <c r="F27" s="82">
        <f>C27</f>
        <v>7.0000000000000007E-2</v>
      </c>
      <c r="G27" s="18" t="str">
        <f t="shared" ca="1" si="1"/>
        <v>=C27</v>
      </c>
      <c r="I27" s="14"/>
    </row>
    <row r="28" spans="1:9" ht="12" customHeight="1">
      <c r="A28" s="4"/>
      <c r="B28" s="17" t="s">
        <v>23</v>
      </c>
      <c r="C28" s="83">
        <f>24856</f>
        <v>24856</v>
      </c>
      <c r="D28" s="18" t="str">
        <f t="shared" ca="1" si="0"/>
        <v>=24856</v>
      </c>
      <c r="E28" s="17" t="s">
        <v>23</v>
      </c>
      <c r="F28" s="83">
        <f>C28</f>
        <v>24856</v>
      </c>
      <c r="G28" s="18" t="str">
        <f t="shared" ca="1" si="1"/>
        <v>=C28</v>
      </c>
    </row>
    <row r="29" spans="1:9">
      <c r="A29" s="9"/>
      <c r="B29" s="17" t="s">
        <v>24</v>
      </c>
      <c r="C29" s="83">
        <f>C28*C24</f>
        <v>3728.3999999999996</v>
      </c>
      <c r="D29" s="18" t="str">
        <f t="shared" ca="1" si="0"/>
        <v>=C28*C24</v>
      </c>
      <c r="E29" s="17" t="s">
        <v>24</v>
      </c>
      <c r="F29" s="83">
        <f>F28*F24</f>
        <v>4474.08</v>
      </c>
      <c r="G29" s="18" t="str">
        <f t="shared" ca="1" si="1"/>
        <v>=F28*F24</v>
      </c>
      <c r="I29" s="14" t="s">
        <v>25</v>
      </c>
    </row>
    <row r="30" spans="1:9" ht="17">
      <c r="A30" s="9"/>
      <c r="B30" s="21" t="s">
        <v>26</v>
      </c>
      <c r="C30" s="84">
        <f>C29*(1-C25)</f>
        <v>2270.5955999999996</v>
      </c>
      <c r="D30" s="18" t="str">
        <f t="shared" ca="1" si="0"/>
        <v>=C29*(1-C25)</v>
      </c>
      <c r="E30" s="21" t="s">
        <v>26</v>
      </c>
      <c r="F30" s="84">
        <f>F29*(1-F25)</f>
        <v>2858.93712</v>
      </c>
      <c r="G30" s="18" t="str">
        <f t="shared" ca="1" si="1"/>
        <v>=F29*(1-F25)</v>
      </c>
      <c r="I30" s="14" t="s">
        <v>27</v>
      </c>
    </row>
    <row r="31" spans="1:9">
      <c r="A31" s="9"/>
      <c r="B31" s="20" t="s">
        <v>28</v>
      </c>
      <c r="C31" s="85">
        <f>C28+C29-C30</f>
        <v>26313.804400000001</v>
      </c>
      <c r="D31" s="18" t="str">
        <f t="shared" ca="1" si="0"/>
        <v>=C28+C29-C30</v>
      </c>
      <c r="E31" s="20" t="s">
        <v>28</v>
      </c>
      <c r="F31" s="85">
        <f>F28+F29-F30</f>
        <v>26471.142880000003</v>
      </c>
      <c r="G31" s="18" t="str">
        <f t="shared" ca="1" si="1"/>
        <v>=F28+F29-F30</v>
      </c>
      <c r="I31" s="14" t="s">
        <v>29</v>
      </c>
    </row>
    <row r="32" spans="1:9">
      <c r="A32" s="9"/>
      <c r="B32" s="1" t="s">
        <v>30</v>
      </c>
      <c r="C32" s="83">
        <f>C30/(C27-C26)</f>
        <v>200052.47577092497</v>
      </c>
      <c r="D32" s="18" t="str">
        <f t="shared" ca="1" si="0"/>
        <v>=C30/(C27-C26)</v>
      </c>
      <c r="E32" s="1" t="s">
        <v>30</v>
      </c>
      <c r="F32" s="83">
        <f>F30/(F27-F26)</f>
        <v>300940.74947368394</v>
      </c>
      <c r="G32" s="18" t="str">
        <f t="shared" ca="1" si="1"/>
        <v>=F30/(F27-F26)</v>
      </c>
      <c r="I32" s="14" t="s">
        <v>15</v>
      </c>
    </row>
    <row r="33" spans="1:9">
      <c r="A33" s="9"/>
      <c r="B33" s="1" t="s">
        <v>31</v>
      </c>
      <c r="C33" s="86">
        <f>C32/C29</f>
        <v>53.656387665198203</v>
      </c>
      <c r="D33" s="18" t="str">
        <f t="shared" ca="1" si="0"/>
        <v>=C32/C29</v>
      </c>
      <c r="E33" s="1" t="s">
        <v>31</v>
      </c>
      <c r="F33" s="86">
        <f>F32/F29</f>
        <v>67.263157894736779</v>
      </c>
      <c r="G33" s="18" t="str">
        <f t="shared" ca="1" si="1"/>
        <v>=F32/F29</v>
      </c>
      <c r="I33" s="14" t="s">
        <v>32</v>
      </c>
    </row>
    <row r="34" spans="1:9">
      <c r="A34" s="9"/>
      <c r="B34" s="17" t="s">
        <v>33</v>
      </c>
      <c r="C34" s="86">
        <f>C32/C28</f>
        <v>8.0484581497797301</v>
      </c>
      <c r="D34" s="18" t="str">
        <f t="shared" ca="1" si="0"/>
        <v>=C32/C28</v>
      </c>
      <c r="E34" s="17" t="s">
        <v>33</v>
      </c>
      <c r="F34" s="86">
        <f>F32/F28</f>
        <v>12.107368421052621</v>
      </c>
      <c r="G34" s="18" t="str">
        <f t="shared" ca="1" si="1"/>
        <v>=F32/F28</v>
      </c>
      <c r="I34" s="14" t="s">
        <v>34</v>
      </c>
    </row>
    <row r="35" spans="1:9">
      <c r="A35" s="9"/>
    </row>
    <row r="36" spans="1:9">
      <c r="A36" s="9"/>
    </row>
    <row r="37" spans="1:9" ht="18">
      <c r="A37" s="9"/>
      <c r="B37" s="3" t="s">
        <v>99</v>
      </c>
    </row>
    <row r="38" spans="1:9">
      <c r="A38" s="9"/>
    </row>
    <row r="39" spans="1:9">
      <c r="A39" s="9"/>
      <c r="B39" s="77" t="s">
        <v>3</v>
      </c>
      <c r="C39" s="78" t="s">
        <v>101</v>
      </c>
    </row>
    <row r="40" spans="1:9">
      <c r="A40" s="9"/>
      <c r="B40" s="1" t="s">
        <v>35</v>
      </c>
      <c r="C40" s="88">
        <f>7%</f>
        <v>7.0000000000000007E-2</v>
      </c>
      <c r="D40" s="1" t="str">
        <f ca="1">_xlfn.FORMULATEXT(C40)</f>
        <v>=7%</v>
      </c>
    </row>
    <row r="41" spans="1:9">
      <c r="A41" s="9"/>
      <c r="B41" s="1" t="s">
        <v>17</v>
      </c>
      <c r="C41" s="88">
        <f>15%</f>
        <v>0.15</v>
      </c>
      <c r="D41" s="1" t="str">
        <f t="shared" ref="D41:D43" ca="1" si="2">_xlfn.FORMULATEXT(C41)</f>
        <v>=15%</v>
      </c>
      <c r="E41" s="22"/>
    </row>
    <row r="42" spans="1:9">
      <c r="B42" s="1" t="s">
        <v>36</v>
      </c>
      <c r="C42" s="89">
        <f>3.35</f>
        <v>3.35</v>
      </c>
      <c r="D42" s="1" t="str">
        <f t="shared" ca="1" si="2"/>
        <v>=3.35</v>
      </c>
    </row>
    <row r="43" spans="1:9">
      <c r="B43" s="1" t="s">
        <v>37</v>
      </c>
      <c r="C43" s="89">
        <f>2.04</f>
        <v>2.04</v>
      </c>
      <c r="D43" s="1" t="str">
        <f t="shared" ca="1" si="2"/>
        <v>=2.04</v>
      </c>
    </row>
    <row r="44" spans="1:9" ht="12" customHeight="1">
      <c r="B44" s="1" t="s">
        <v>38</v>
      </c>
      <c r="C44" s="114">
        <f>C43/C42</f>
        <v>0.60895522388059697</v>
      </c>
      <c r="D44" s="1" t="str">
        <f ca="1">_xlfn.FORMULATEXT(C44)</f>
        <v>=C43/C42</v>
      </c>
    </row>
    <row r="45" spans="1:9">
      <c r="B45" s="11" t="s">
        <v>39</v>
      </c>
      <c r="C45" s="90">
        <f>C41*(1-C44)</f>
        <v>5.8656716417910454E-2</v>
      </c>
      <c r="D45" s="1" t="str">
        <f ca="1">_xlfn.FORMULATEXT(C45)</f>
        <v>=C41*(1-C44)</v>
      </c>
    </row>
    <row r="46" spans="1:9">
      <c r="B46" s="1" t="s">
        <v>40</v>
      </c>
      <c r="C46" s="91">
        <f>C43/(C40-C45)</f>
        <v>179.84210526315789</v>
      </c>
      <c r="D46" s="1" t="str">
        <f ca="1">_xlfn.FORMULATEXT(C46)</f>
        <v>=C43/(C40-C45)</v>
      </c>
    </row>
    <row r="47" spans="1:9">
      <c r="B47" s="1" t="s">
        <v>41</v>
      </c>
      <c r="C47" s="89">
        <v>70.52</v>
      </c>
    </row>
    <row r="48" spans="1:9">
      <c r="B48" s="1" t="s">
        <v>42</v>
      </c>
      <c r="C48" s="88">
        <f>((C43*(1+C45))/C47)+C45</f>
        <v>8.9281499479347465E-2</v>
      </c>
      <c r="D48" s="1" t="str">
        <f ca="1">_xlfn.FORMULATEXT(C48)</f>
        <v>=((C43*(1+C45))/C47)+C45</v>
      </c>
    </row>
    <row r="49" spans="2:3">
      <c r="B49" s="11" t="s">
        <v>43</v>
      </c>
      <c r="C49" s="92" t="s">
        <v>44</v>
      </c>
    </row>
    <row r="53" spans="2:3">
      <c r="B53" s="1" t="s">
        <v>105</v>
      </c>
    </row>
  </sheetData>
  <mergeCells count="1">
    <mergeCell ref="B8:E8"/>
  </mergeCells>
  <pageMargins left="0.7" right="0.7" top="0.75" bottom="0.75" header="0.3" footer="0.3"/>
  <pageSetup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20E2-5E18-5E49-9B5D-E94DD43F2CD3}">
  <sheetPr codeName="Sheet3">
    <pageSetUpPr fitToPage="1"/>
  </sheetPr>
  <dimension ref="A1:M24"/>
  <sheetViews>
    <sheetView showGridLines="0" zoomScale="89" workbookViewId="0">
      <selection activeCell="H37" sqref="H37"/>
    </sheetView>
  </sheetViews>
  <sheetFormatPr baseColWidth="10" defaultRowHeight="16"/>
  <cols>
    <col min="1" max="1" width="2.6640625" style="23" customWidth="1"/>
    <col min="2" max="2" width="54.83203125" style="23" bestFit="1" customWidth="1"/>
    <col min="3" max="7" width="15" style="23" customWidth="1"/>
    <col min="8" max="8" width="16.5" style="23" bestFit="1" customWidth="1"/>
    <col min="9" max="9" width="17" style="23" bestFit="1" customWidth="1"/>
    <col min="10" max="10" width="16.5" style="23" bestFit="1" customWidth="1"/>
    <col min="11" max="11" width="15.83203125" style="23" bestFit="1" customWidth="1"/>
    <col min="12" max="12" width="25.6640625" style="23" bestFit="1" customWidth="1"/>
    <col min="13" max="16384" width="10.83203125" style="23"/>
  </cols>
  <sheetData>
    <row r="1" spans="1:13" s="76" customFormat="1" ht="14"/>
    <row r="2" spans="1:13" s="76" customFormat="1" ht="14"/>
    <row r="3" spans="1:13" s="76" customFormat="1" ht="14"/>
    <row r="4" spans="1:13" s="76" customFormat="1" ht="14"/>
    <row r="5" spans="1:13" s="76" customFormat="1" ht="14"/>
    <row r="7" spans="1:13" ht="25">
      <c r="B7" s="24" t="s">
        <v>45</v>
      </c>
      <c r="C7" s="25"/>
      <c r="D7" s="25"/>
      <c r="E7" s="25"/>
      <c r="F7" s="25"/>
      <c r="G7" s="25"/>
    </row>
    <row r="9" spans="1:13">
      <c r="B9" s="93" t="s">
        <v>46</v>
      </c>
      <c r="C9" s="94">
        <v>2024</v>
      </c>
      <c r="D9" s="94">
        <v>2025</v>
      </c>
      <c r="E9" s="94">
        <v>2026</v>
      </c>
      <c r="F9" s="94">
        <v>2027</v>
      </c>
      <c r="G9" s="94">
        <v>2029</v>
      </c>
    </row>
    <row r="10" spans="1:13">
      <c r="B10" s="23" t="s">
        <v>47</v>
      </c>
      <c r="C10" s="95">
        <f>'ROE &amp; Growth'!C28</f>
        <v>24856</v>
      </c>
      <c r="D10" s="95">
        <f>C13</f>
        <v>30498</v>
      </c>
      <c r="E10" s="95">
        <f>D13</f>
        <v>32022.899999999998</v>
      </c>
      <c r="F10" s="95">
        <f>E13</f>
        <v>33624.044999999998</v>
      </c>
      <c r="G10" s="95">
        <f>F13</f>
        <v>35305.24725</v>
      </c>
      <c r="H10" s="23" t="str">
        <f ca="1">_xlfn.FORMULATEXT(C10)</f>
        <v>='ROE &amp; Growth'!C28</v>
      </c>
      <c r="I10" s="23" t="str">
        <f t="shared" ref="I10:L15" ca="1" si="0">_xlfn.FORMULATEXT(D10)</f>
        <v>=C13</v>
      </c>
      <c r="J10" s="23" t="str">
        <f t="shared" ca="1" si="0"/>
        <v>=D13</v>
      </c>
      <c r="K10" s="23" t="str">
        <f t="shared" ca="1" si="0"/>
        <v>=E13</v>
      </c>
      <c r="L10" s="23" t="str">
        <f t="shared" ca="1" si="0"/>
        <v>=F13</v>
      </c>
    </row>
    <row r="11" spans="1:13">
      <c r="B11" s="27" t="s">
        <v>49</v>
      </c>
      <c r="C11" s="116">
        <f>14448</f>
        <v>14448</v>
      </c>
      <c r="D11" s="95">
        <f>D10*20%</f>
        <v>6099.6</v>
      </c>
      <c r="E11" s="95">
        <f>E10*20%</f>
        <v>6404.58</v>
      </c>
      <c r="F11" s="95">
        <f>F10*20%</f>
        <v>6724.8090000000002</v>
      </c>
      <c r="G11" s="95">
        <f>G10*20%</f>
        <v>7061.0494500000004</v>
      </c>
      <c r="H11" s="23" t="str">
        <f ca="1">_xlfn.FORMULATEXT(C11)</f>
        <v>=14448</v>
      </c>
      <c r="I11" s="23" t="str">
        <f t="shared" ca="1" si="0"/>
        <v>=D10*20%</v>
      </c>
      <c r="J11" s="23" t="str">
        <f t="shared" ca="1" si="0"/>
        <v>=E10*20%</v>
      </c>
      <c r="K11" s="23" t="str">
        <f t="shared" ca="1" si="0"/>
        <v>=F10*20%</v>
      </c>
      <c r="L11" s="23" t="str">
        <f t="shared" ca="1" si="0"/>
        <v>=G10*20%</v>
      </c>
    </row>
    <row r="12" spans="1:13" s="27" customFormat="1">
      <c r="B12" s="27" t="s">
        <v>51</v>
      </c>
      <c r="C12" s="96">
        <f>8806</f>
        <v>8806</v>
      </c>
      <c r="D12" s="96">
        <f>D11*75%</f>
        <v>4574.7000000000007</v>
      </c>
      <c r="E12" s="96">
        <f>E11*75%</f>
        <v>4803.4349999999995</v>
      </c>
      <c r="F12" s="96">
        <f>F11*75%</f>
        <v>5043.6067499999999</v>
      </c>
      <c r="G12" s="96">
        <f>G11*75%</f>
        <v>5295.7870875000008</v>
      </c>
      <c r="H12" s="23" t="str">
        <f ca="1">_xlfn.FORMULATEXT(C12)</f>
        <v>=8806</v>
      </c>
      <c r="I12" s="23" t="str">
        <f t="shared" ca="1" si="0"/>
        <v>=D11*75%</v>
      </c>
      <c r="J12" s="23" t="str">
        <f t="shared" ca="1" si="0"/>
        <v>=E11*75%</v>
      </c>
      <c r="K12" s="23" t="str">
        <f t="shared" ca="1" si="0"/>
        <v>=F11*75%</v>
      </c>
      <c r="L12" s="23" t="str">
        <f t="shared" ca="1" si="0"/>
        <v>=G11*75%</v>
      </c>
      <c r="M12" s="23"/>
    </row>
    <row r="13" spans="1:13">
      <c r="B13" s="27" t="s">
        <v>53</v>
      </c>
      <c r="C13" s="96">
        <f>C10+C11-C12</f>
        <v>30498</v>
      </c>
      <c r="D13" s="96">
        <f>D10+D11-D12</f>
        <v>32022.899999999998</v>
      </c>
      <c r="E13" s="96">
        <f>E10+E11-E12</f>
        <v>33624.044999999998</v>
      </c>
      <c r="F13" s="96">
        <f>F10+F11-F12</f>
        <v>35305.24725</v>
      </c>
      <c r="G13" s="96">
        <f>G10+G11-G12</f>
        <v>37070.509612499998</v>
      </c>
      <c r="H13" s="23" t="str">
        <f ca="1">_xlfn.FORMULATEXT(C13)</f>
        <v>=C10+C11-C12</v>
      </c>
      <c r="I13" s="23" t="str">
        <f t="shared" ca="1" si="0"/>
        <v>=D10+D11-D12</v>
      </c>
      <c r="J13" s="23" t="str">
        <f t="shared" ca="1" si="0"/>
        <v>=E10+E11-E12</v>
      </c>
      <c r="K13" s="23" t="str">
        <f t="shared" ca="1" si="0"/>
        <v>=F10+F11-F12</v>
      </c>
      <c r="L13" s="23" t="str">
        <f t="shared" ca="1" si="0"/>
        <v>=G10+G11-G12</v>
      </c>
    </row>
    <row r="14" spans="1:13">
      <c r="B14" s="28" t="s">
        <v>54</v>
      </c>
      <c r="C14" s="97"/>
      <c r="D14" s="97"/>
      <c r="E14" s="97"/>
      <c r="F14" s="97"/>
      <c r="G14" s="97"/>
    </row>
    <row r="15" spans="1:13">
      <c r="A15" s="29" t="s">
        <v>48</v>
      </c>
      <c r="B15" s="26" t="s">
        <v>55</v>
      </c>
      <c r="C15" s="98">
        <f>C12+C14</f>
        <v>8806</v>
      </c>
      <c r="D15" s="98">
        <f>D12+D14</f>
        <v>4574.7000000000007</v>
      </c>
      <c r="E15" s="98">
        <f>E12+E14</f>
        <v>4803.4349999999995</v>
      </c>
      <c r="F15" s="98">
        <f>F12+F14</f>
        <v>5043.6067499999999</v>
      </c>
      <c r="G15" s="98">
        <f>G12+G14</f>
        <v>5295.7870875000008</v>
      </c>
      <c r="H15" s="23" t="str">
        <f ca="1">_xlfn.FORMULATEXT(C15)</f>
        <v>=C12+C14</v>
      </c>
      <c r="I15" s="23" t="str">
        <f t="shared" ca="1" si="0"/>
        <v>=D12+D14</v>
      </c>
      <c r="J15" s="23" t="str">
        <f t="shared" ca="1" si="0"/>
        <v>=E12+E14</v>
      </c>
      <c r="K15" s="23" t="str">
        <f t="shared" ca="1" si="0"/>
        <v>=F12+F14</v>
      </c>
      <c r="L15" s="23" t="str">
        <f t="shared" ca="1" si="0"/>
        <v>=G12+G14</v>
      </c>
    </row>
    <row r="16" spans="1:13">
      <c r="A16" s="29" t="s">
        <v>50</v>
      </c>
      <c r="B16" s="30"/>
      <c r="C16" s="31"/>
      <c r="D16" s="32"/>
      <c r="E16" s="32"/>
      <c r="F16" s="32"/>
      <c r="G16" s="32"/>
      <c r="H16" s="25"/>
      <c r="I16" s="25"/>
      <c r="J16" s="25"/>
      <c r="K16" s="25"/>
      <c r="L16" s="25"/>
      <c r="M16" s="25"/>
    </row>
    <row r="17" spans="1:13">
      <c r="A17" s="29" t="s">
        <v>52</v>
      </c>
      <c r="B17" s="93" t="s">
        <v>56</v>
      </c>
      <c r="C17" s="97"/>
      <c r="D17" s="32"/>
      <c r="E17" s="32"/>
      <c r="F17" s="32"/>
      <c r="G17" s="32"/>
      <c r="H17" s="25"/>
      <c r="I17" s="25"/>
      <c r="J17" s="25"/>
      <c r="K17" s="25"/>
      <c r="L17" s="25"/>
      <c r="M17" s="25"/>
    </row>
    <row r="18" spans="1:13">
      <c r="B18" s="27" t="s">
        <v>102</v>
      </c>
      <c r="C18" s="99">
        <f>20%*(1-65%)</f>
        <v>6.9999999999999993E-2</v>
      </c>
      <c r="D18" s="23" t="str">
        <f ca="1">_xlfn.FORMULATEXT(C18)</f>
        <v>=20%*(1-65%)</v>
      </c>
      <c r="E18" s="27"/>
      <c r="F18" s="27"/>
      <c r="G18" s="27"/>
    </row>
    <row r="19" spans="1:13">
      <c r="B19" s="33" t="s">
        <v>57</v>
      </c>
      <c r="C19" s="115">
        <f>NPV(C18,C15:G15)</f>
        <v>23770.22692847189</v>
      </c>
      <c r="D19" s="23" t="str">
        <f ca="1">_xlfn.FORMULATEXT(C19)</f>
        <v>=NPV(C18,C15:G15)</v>
      </c>
    </row>
    <row r="20" spans="1:13" s="25" customFormat="1"/>
    <row r="21" spans="1:13" s="25" customFormat="1"/>
    <row r="24" spans="1:13">
      <c r="E24" s="34"/>
      <c r="G24" s="34"/>
    </row>
  </sheetData>
  <pageMargins left="0.7" right="0.7" top="0.75" bottom="0.75" header="0.3" footer="0.3"/>
  <pageSetup scale="56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10E2-8CD0-3342-B9F6-2CE88162B81F}">
  <sheetPr codeName="Sheet4">
    <pageSetUpPr fitToPage="1"/>
  </sheetPr>
  <dimension ref="A1:H68"/>
  <sheetViews>
    <sheetView showGridLines="0" tabSelected="1" topLeftCell="A32" zoomScale="82" workbookViewId="0">
      <selection activeCell="C67" sqref="C67"/>
    </sheetView>
  </sheetViews>
  <sheetFormatPr baseColWidth="10" defaultColWidth="9.1640625" defaultRowHeight="14"/>
  <cols>
    <col min="1" max="1" width="3.5" style="1" customWidth="1"/>
    <col min="2" max="2" width="44.1640625" style="1" customWidth="1"/>
    <col min="3" max="3" width="13.1640625" style="1" customWidth="1"/>
    <col min="4" max="5" width="17.6640625" style="1" customWidth="1"/>
    <col min="6" max="6" width="9" style="1" customWidth="1"/>
    <col min="7" max="16384" width="9.1640625" style="1"/>
  </cols>
  <sheetData>
    <row r="1" spans="1:4" s="76" customFormat="1"/>
    <row r="2" spans="1:4" s="76" customFormat="1"/>
    <row r="3" spans="1:4" s="76" customFormat="1"/>
    <row r="4" spans="1:4" s="76" customFormat="1"/>
    <row r="5" spans="1:4" s="76" customFormat="1"/>
    <row r="7" spans="1:4" ht="18">
      <c r="B7" s="3" t="s">
        <v>58</v>
      </c>
    </row>
    <row r="8" spans="1:4">
      <c r="A8" s="9"/>
    </row>
    <row r="9" spans="1:4">
      <c r="A9" s="9"/>
      <c r="B9" s="11" t="s">
        <v>59</v>
      </c>
      <c r="C9" s="35"/>
    </row>
    <row r="10" spans="1:4">
      <c r="A10" s="9" t="s">
        <v>1</v>
      </c>
      <c r="B10" s="1" t="s">
        <v>60</v>
      </c>
      <c r="C10" s="100">
        <f>'ROE &amp; Growth'!C13/('ROE &amp; Growth'!C11-'ROE &amp; Growth'!C15)</f>
        <v>23.644299999999994</v>
      </c>
      <c r="D10" s="1" t="str">
        <f ca="1">_xlfn.FORMULATEXT(C10)</f>
        <v>='ROE &amp; Growth'!C13/('ROE &amp; Growth'!C11-'ROE &amp; Growth'!C15)</v>
      </c>
    </row>
    <row r="11" spans="1:4">
      <c r="A11" s="9"/>
    </row>
    <row r="12" spans="1:4">
      <c r="A12" s="9"/>
      <c r="B12" s="11" t="s">
        <v>104</v>
      </c>
      <c r="C12" s="36"/>
    </row>
    <row r="13" spans="1:4">
      <c r="A13" s="9"/>
      <c r="B13" s="1" t="s">
        <v>0</v>
      </c>
      <c r="C13" s="100">
        <f>'ROE &amp; Growth'!C13/('ROE &amp; Growth'!D11-'ROE &amp; Growth'!D15)</f>
        <v>23.07423076923077</v>
      </c>
      <c r="D13" s="1" t="str">
        <f ca="1">_xlfn.FORMULATEXT(C13)</f>
        <v>='ROE &amp; Growth'!C13/('ROE &amp; Growth'!D11-'ROE &amp; Growth'!D15)</v>
      </c>
    </row>
    <row r="14" spans="1:4">
      <c r="A14" s="9"/>
      <c r="C14" s="37"/>
    </row>
    <row r="15" spans="1:4" s="40" customFormat="1" ht="18">
      <c r="A15" s="38" t="s">
        <v>1</v>
      </c>
      <c r="B15" s="39" t="s">
        <v>61</v>
      </c>
    </row>
    <row r="16" spans="1:4" s="40" customFormat="1">
      <c r="A16" s="38"/>
      <c r="B16" s="38"/>
    </row>
    <row r="17" spans="1:8" s="40" customFormat="1" ht="16" customHeight="1">
      <c r="A17" s="41"/>
      <c r="B17" s="43" t="s">
        <v>62</v>
      </c>
      <c r="C17" s="43"/>
      <c r="D17" s="42"/>
      <c r="E17" s="42"/>
      <c r="F17" s="42"/>
      <c r="G17" s="42"/>
      <c r="H17" s="42"/>
    </row>
    <row r="18" spans="1:8" s="40" customFormat="1">
      <c r="A18" s="44"/>
      <c r="B18" s="40" t="s">
        <v>63</v>
      </c>
      <c r="C18" s="45">
        <v>0.06</v>
      </c>
    </row>
    <row r="19" spans="1:8" s="40" customFormat="1">
      <c r="A19" s="44"/>
      <c r="B19" s="40" t="s">
        <v>64</v>
      </c>
      <c r="C19" s="117">
        <v>2.04</v>
      </c>
    </row>
    <row r="20" spans="1:8" s="40" customFormat="1">
      <c r="A20" s="44"/>
      <c r="B20" s="40" t="s">
        <v>6</v>
      </c>
      <c r="C20" s="45">
        <v>7.0000000000000007E-2</v>
      </c>
    </row>
    <row r="21" spans="1:8" s="40" customFormat="1">
      <c r="A21" s="44"/>
      <c r="B21" s="40" t="s">
        <v>65</v>
      </c>
      <c r="C21" s="45">
        <v>0.05</v>
      </c>
    </row>
    <row r="22" spans="1:8" s="40" customFormat="1">
      <c r="A22" s="44"/>
      <c r="B22" s="46"/>
      <c r="C22" s="46"/>
      <c r="D22" s="46"/>
      <c r="E22" s="46"/>
    </row>
    <row r="23" spans="1:8" s="40" customFormat="1">
      <c r="A23" s="44"/>
      <c r="B23" s="47" t="s">
        <v>66</v>
      </c>
      <c r="C23" s="75">
        <v>1</v>
      </c>
      <c r="D23" s="75">
        <v>2</v>
      </c>
      <c r="E23" s="75">
        <v>3</v>
      </c>
    </row>
    <row r="24" spans="1:8" s="40" customFormat="1">
      <c r="A24" s="44"/>
      <c r="B24" s="71" t="s">
        <v>97</v>
      </c>
      <c r="C24" s="101">
        <f>C19*(1+C18)</f>
        <v>2.1624000000000003</v>
      </c>
      <c r="D24" s="101">
        <f>C24*(1+C18)</f>
        <v>2.2921440000000004</v>
      </c>
      <c r="E24" s="101">
        <f>D24*(1+C18)</f>
        <v>2.4296726400000006</v>
      </c>
      <c r="F24" s="40" t="str">
        <f ca="1">_xlfn.FORMULATEXT(E24)</f>
        <v>=D24*(1+C18)</v>
      </c>
    </row>
    <row r="25" spans="1:8" s="40" customFormat="1">
      <c r="A25" s="44"/>
      <c r="B25" s="74" t="s">
        <v>96</v>
      </c>
      <c r="C25" s="48"/>
      <c r="D25" s="48"/>
      <c r="E25" s="102">
        <f>(E24*(1+C21))/(C20-C21)</f>
        <v>127.55781360000002</v>
      </c>
      <c r="F25" s="40" t="str">
        <f ca="1">_xlfn.FORMULATEXT(E25)</f>
        <v>=(E24*(1+C21))/(C20-C21)</v>
      </c>
    </row>
    <row r="26" spans="1:8" s="40" customFormat="1">
      <c r="A26" s="44"/>
      <c r="B26" s="72" t="s">
        <v>95</v>
      </c>
      <c r="C26" s="103">
        <f>C24</f>
        <v>2.1624000000000003</v>
      </c>
      <c r="D26" s="103">
        <f>D24</f>
        <v>2.2921440000000004</v>
      </c>
      <c r="E26" s="103">
        <f>SUM(E24:E25)</f>
        <v>129.98748624000001</v>
      </c>
    </row>
    <row r="27" spans="1:8" s="40" customFormat="1">
      <c r="A27" s="44"/>
      <c r="B27" s="73" t="s">
        <v>98</v>
      </c>
      <c r="C27" s="50" t="str">
        <f ca="1">_xlfn.FORMULATEXT(C26)</f>
        <v>=C24</v>
      </c>
      <c r="D27" s="50" t="str">
        <f ca="1">_xlfn.FORMULATEXT(D26)</f>
        <v>=D24</v>
      </c>
      <c r="E27" s="50" t="str">
        <f ca="1">_xlfn.FORMULATEXT(E26)</f>
        <v>=SUM(E24:E25)</v>
      </c>
      <c r="G27" s="40" t="s">
        <v>67</v>
      </c>
    </row>
    <row r="28" spans="1:8" s="40" customFormat="1">
      <c r="B28" s="104">
        <f>NPV(C20,C26,D26,E26)</f>
        <v>110.13149095990916</v>
      </c>
      <c r="G28" s="51"/>
    </row>
    <row r="29" spans="1:8" s="40" customFormat="1">
      <c r="B29" s="49" t="str">
        <f ca="1">_xlfn.FORMULATEXT(B28)</f>
        <v>=NPV(C20,C26,D26,E26)</v>
      </c>
    </row>
    <row r="31" spans="1:8" ht="18">
      <c r="A31" s="15" t="s">
        <v>1</v>
      </c>
      <c r="B31" s="3" t="s">
        <v>68</v>
      </c>
    </row>
    <row r="32" spans="1:8">
      <c r="A32" s="15"/>
      <c r="B32" s="52"/>
      <c r="C32" s="52"/>
      <c r="D32" s="52"/>
      <c r="E32" s="52"/>
    </row>
    <row r="33" spans="1:5">
      <c r="B33" s="53" t="s">
        <v>69</v>
      </c>
      <c r="C33" s="11" t="s">
        <v>1</v>
      </c>
    </row>
    <row r="34" spans="1:5">
      <c r="A34" s="54" t="s">
        <v>1</v>
      </c>
      <c r="B34" s="1" t="s">
        <v>70</v>
      </c>
      <c r="C34" s="70">
        <v>3</v>
      </c>
    </row>
    <row r="35" spans="1:5">
      <c r="A35" s="9"/>
      <c r="B35" s="1" t="s">
        <v>71</v>
      </c>
      <c r="C35" s="63">
        <v>0.12</v>
      </c>
    </row>
    <row r="36" spans="1:5">
      <c r="A36" s="9"/>
    </row>
    <row r="37" spans="1:5" ht="15" customHeight="1">
      <c r="A37" s="9"/>
      <c r="B37" s="55" t="s">
        <v>72</v>
      </c>
      <c r="C37" s="56"/>
      <c r="D37" s="57"/>
      <c r="E37" s="57"/>
    </row>
    <row r="38" spans="1:5" ht="18">
      <c r="A38" s="9" t="s">
        <v>1</v>
      </c>
      <c r="B38" s="1" t="s">
        <v>73</v>
      </c>
      <c r="C38" s="105">
        <f>C34/C35</f>
        <v>25</v>
      </c>
      <c r="D38" s="1" t="str">
        <f ca="1">_xlfn.FORMULATEXT(C38)</f>
        <v>=C34/C35</v>
      </c>
    </row>
    <row r="39" spans="1:5">
      <c r="A39" s="9"/>
      <c r="B39" s="1" t="s">
        <v>1</v>
      </c>
      <c r="C39" s="58" t="s">
        <v>1</v>
      </c>
    </row>
    <row r="40" spans="1:5">
      <c r="A40" s="9"/>
      <c r="B40" s="59" t="s">
        <v>74</v>
      </c>
      <c r="C40" s="46"/>
      <c r="D40" s="40"/>
      <c r="E40" s="40"/>
    </row>
    <row r="41" spans="1:5" ht="18">
      <c r="A41" s="9"/>
      <c r="B41" s="1" t="s">
        <v>75</v>
      </c>
      <c r="C41" s="105">
        <f>C38</f>
        <v>25</v>
      </c>
      <c r="D41" s="1" t="str">
        <f ca="1">_xlfn.FORMULATEXT(C41)</f>
        <v>=C38</v>
      </c>
    </row>
    <row r="42" spans="1:5">
      <c r="A42" s="9"/>
      <c r="C42" s="60"/>
    </row>
    <row r="43" spans="1:5">
      <c r="A43" s="9"/>
      <c r="B43" s="59" t="s">
        <v>76</v>
      </c>
      <c r="C43" s="46"/>
      <c r="D43" s="40"/>
      <c r="E43" s="40"/>
    </row>
    <row r="44" spans="1:5">
      <c r="A44" s="9"/>
      <c r="B44" s="1" t="s">
        <v>77</v>
      </c>
      <c r="C44" s="106">
        <f>C35</f>
        <v>0.12</v>
      </c>
      <c r="D44" s="1" t="str">
        <f ca="1">_xlfn.FORMULATEXT(C44)</f>
        <v>=C35</v>
      </c>
    </row>
    <row r="45" spans="1:5">
      <c r="A45" s="9"/>
      <c r="B45" s="1" t="s">
        <v>78</v>
      </c>
      <c r="C45" s="81">
        <f>C34/C41</f>
        <v>0.12</v>
      </c>
      <c r="D45" s="1" t="str">
        <f ca="1">_xlfn.FORMULATEXT(C45)</f>
        <v>=C34/C41</v>
      </c>
    </row>
    <row r="46" spans="1:5">
      <c r="A46" s="9"/>
      <c r="B46" s="1" t="s">
        <v>79</v>
      </c>
      <c r="C46" s="81">
        <f>(C38-C41)/C41</f>
        <v>0</v>
      </c>
      <c r="D46" s="1" t="str">
        <f ca="1">_xlfn.FORMULATEXT(C46)</f>
        <v>=(C38-C41)/C41</v>
      </c>
    </row>
    <row r="47" spans="1:5">
      <c r="A47" s="9"/>
    </row>
    <row r="49" spans="1:5" ht="18">
      <c r="A49" s="1" t="s">
        <v>1</v>
      </c>
      <c r="B49" s="3" t="s">
        <v>80</v>
      </c>
      <c r="D49" s="14"/>
    </row>
    <row r="50" spans="1:5" ht="15" customHeight="1">
      <c r="A50" s="4"/>
      <c r="B50" s="61" t="s">
        <v>81</v>
      </c>
      <c r="C50" s="7"/>
      <c r="D50" s="62"/>
      <c r="E50" s="5"/>
    </row>
    <row r="51" spans="1:5">
      <c r="A51" s="9"/>
      <c r="B51" s="1" t="s">
        <v>82</v>
      </c>
      <c r="C51" s="63">
        <f>'ROE &amp; Growth'!C15</f>
        <v>5.8656716417910433E-2</v>
      </c>
      <c r="D51" s="14" t="s">
        <v>1</v>
      </c>
    </row>
    <row r="52" spans="1:5">
      <c r="A52" s="9"/>
      <c r="B52" s="1" t="s">
        <v>83</v>
      </c>
      <c r="C52" s="8">
        <f>'ROE &amp; Growth'!C10</f>
        <v>7.0000000000000007E-2</v>
      </c>
      <c r="D52" s="14"/>
    </row>
    <row r="53" spans="1:5" ht="18">
      <c r="A53" s="9"/>
      <c r="B53" s="1" t="s">
        <v>84</v>
      </c>
      <c r="C53" s="64">
        <f>C24</f>
        <v>2.1624000000000003</v>
      </c>
      <c r="D53" s="14"/>
    </row>
    <row r="54" spans="1:5">
      <c r="A54" s="9"/>
      <c r="C54" s="64"/>
      <c r="D54" s="14"/>
    </row>
    <row r="55" spans="1:5">
      <c r="A55" s="9"/>
      <c r="B55" s="65" t="s">
        <v>85</v>
      </c>
      <c r="C55" s="11"/>
      <c r="D55" s="66"/>
      <c r="E55" s="6"/>
    </row>
    <row r="56" spans="1:5">
      <c r="A56" s="9"/>
      <c r="B56" s="1" t="s">
        <v>86</v>
      </c>
      <c r="C56" s="100">
        <f>C53/(C52-C51)</f>
        <v>190.63263157894704</v>
      </c>
      <c r="D56" s="14" t="str">
        <f ca="1">_xlfn.FORMULATEXT(C56)</f>
        <v>=C53/(C52-C51)</v>
      </c>
      <c r="E56" s="14" t="s">
        <v>15</v>
      </c>
    </row>
    <row r="57" spans="1:5">
      <c r="A57" s="9"/>
      <c r="D57" s="14"/>
    </row>
    <row r="58" spans="1:5">
      <c r="A58" s="9"/>
      <c r="B58" s="67" t="s">
        <v>87</v>
      </c>
      <c r="C58" s="7"/>
      <c r="D58" s="62"/>
      <c r="E58" s="5"/>
    </row>
    <row r="59" spans="1:5">
      <c r="A59" s="9"/>
      <c r="B59" s="1" t="s">
        <v>88</v>
      </c>
      <c r="C59" s="107">
        <f>'ROE &amp; Growth'!C47*(1+'EX. DDM Basics'!C51)</f>
        <v>74.656471641791029</v>
      </c>
      <c r="D59" s="14" t="str">
        <f ca="1">_xlfn.FORMULATEXT(C59)</f>
        <v>='ROE &amp; Growth'!C47*(1+'EX. DDM Basics'!C51)</v>
      </c>
      <c r="E59" s="14" t="s">
        <v>15</v>
      </c>
    </row>
    <row r="60" spans="1:5">
      <c r="A60" s="9"/>
      <c r="C60" s="68"/>
      <c r="D60" s="14"/>
    </row>
    <row r="61" spans="1:5">
      <c r="A61" s="9"/>
      <c r="B61" s="65" t="s">
        <v>89</v>
      </c>
      <c r="C61" s="69"/>
      <c r="D61" s="66"/>
      <c r="E61" s="6"/>
    </row>
    <row r="62" spans="1:5">
      <c r="A62" s="9"/>
      <c r="B62" s="1" t="s">
        <v>90</v>
      </c>
      <c r="C62" s="88">
        <f>(C53/C59)+C51</f>
        <v>8.7621385554370629E-2</v>
      </c>
      <c r="D62" s="14" t="str">
        <f ca="1">_xlfn.FORMULATEXT(C62)</f>
        <v>=(C53/C59)+C51</v>
      </c>
      <c r="E62" s="14" t="s">
        <v>91</v>
      </c>
    </row>
    <row r="63" spans="1:5">
      <c r="A63" s="9"/>
      <c r="D63" s="14"/>
    </row>
    <row r="64" spans="1:5">
      <c r="A64" s="9"/>
      <c r="B64" s="65" t="s">
        <v>92</v>
      </c>
      <c r="C64" s="69"/>
      <c r="D64" s="66"/>
      <c r="E64" s="6"/>
    </row>
    <row r="65" spans="1:5">
      <c r="A65" s="9"/>
      <c r="B65" s="1" t="s">
        <v>93</v>
      </c>
      <c r="C65" s="88">
        <f>C53/'ROE &amp; Growth'!C47</f>
        <v>3.0663641520136137E-2</v>
      </c>
      <c r="D65" s="14" t="str">
        <f ca="1">_xlfn.FORMULATEXT(C65)</f>
        <v>=C53/'ROE &amp; Growth'!C47</v>
      </c>
      <c r="E65" s="14" t="s">
        <v>78</v>
      </c>
    </row>
    <row r="66" spans="1:5">
      <c r="B66" s="1" t="s">
        <v>94</v>
      </c>
      <c r="C66" s="108">
        <f>C51</f>
        <v>5.8656716417910433E-2</v>
      </c>
      <c r="D66" s="14" t="str">
        <f ca="1">_xlfn.FORMULATEXT(C66)</f>
        <v>=C51</v>
      </c>
      <c r="E66" s="14" t="s">
        <v>77</v>
      </c>
    </row>
    <row r="67" spans="1:5">
      <c r="D67" s="14"/>
    </row>
    <row r="68" spans="1:5">
      <c r="D68" s="14"/>
    </row>
  </sheetData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DEDD8-DFCA-4144-9D0F-2D69FED556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ROE &amp; Growth</vt:lpstr>
      <vt:lpstr>DDM Nonconstant g</vt:lpstr>
      <vt:lpstr>EX. DDM 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Bumchan Ahn</dc:creator>
  <cp:lastModifiedBy>Adam El Harouchi</cp:lastModifiedBy>
  <cp:lastPrinted>2023-10-02T11:56:05Z</cp:lastPrinted>
  <dcterms:created xsi:type="dcterms:W3CDTF">2019-01-23T04:21:25Z</dcterms:created>
  <dcterms:modified xsi:type="dcterms:W3CDTF">2025-12-16T20:22:54Z</dcterms:modified>
</cp:coreProperties>
</file>