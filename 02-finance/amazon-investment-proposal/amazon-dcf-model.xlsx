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charts/chartEx1.xml" ContentType="application/vnd.ms-office.chartex+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Ex2.xml" ContentType="application/vnd.ms-office.chartex+xml"/>
  <Override PartName="/xl/charts/style21.xml" ContentType="application/vnd.ms-office.chartstyle+xml"/>
  <Override PartName="/xl/charts/colors21.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8.xml" ContentType="application/vnd.openxmlformats-officedocument.drawing+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24.xml" ContentType="application/vnd.openxmlformats-officedocument.drawingml.chartshapes+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5.xml" ContentType="application/vnd.openxmlformats-officedocument.drawingml.chartshape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elharouchi/Desktop/HULT/CORPORATE FINANCE/Final/"/>
    </mc:Choice>
  </mc:AlternateContent>
  <xr:revisionPtr revIDLastSave="0" documentId="13_ncr:1_{CCC3E6DB-D103-484B-A30F-A0FA4274E376}" xr6:coauthVersionLast="47" xr6:coauthVersionMax="47" xr10:uidLastSave="{00000000-0000-0000-0000-000000000000}"/>
  <bookViews>
    <workbookView xWindow="0" yWindow="660" windowWidth="30240" windowHeight="18980" tabRatio="882" firstSheet="18" activeTab="25" xr2:uid="{5D932120-D2CD-41EB-B8E5-1025EF1E6FA5}"/>
  </bookViews>
  <sheets>
    <sheet name="General Info" sheetId="10" r:id="rId1"/>
    <sheet name="Tear Sheet" sheetId="5" r:id="rId2"/>
    <sheet name="Summary" sheetId="44" r:id="rId3"/>
    <sheet name="Actuals FS" sheetId="9" r:id="rId4"/>
    <sheet name="HWMS Model" sheetId="40" r:id="rId5"/>
    <sheet name="Revenue" sheetId="22" r:id="rId6"/>
    <sheet name="Scenarios" sheetId="18" r:id="rId7"/>
    <sheet name="Multiples" sheetId="48" r:id="rId8"/>
    <sheet name="Reg. Beta" sheetId="34" r:id="rId9"/>
    <sheet name="Forecasted FS" sheetId="20" r:id="rId10"/>
    <sheet name="WACC" sheetId="14" r:id="rId11"/>
    <sheet name="DCF" sheetId="13" r:id="rId12"/>
    <sheet name="References" sheetId="12" r:id="rId13"/>
    <sheet name="Appendix" sheetId="11" r:id="rId14"/>
    <sheet name="FS all" sheetId="63" r:id="rId15"/>
    <sheet name="Ratios" sheetId="17" r:id="rId16"/>
    <sheet name="Operating Margin" sheetId="50" r:id="rId17"/>
    <sheet name="D&amp;A" sheetId="21" r:id="rId18"/>
    <sheet name="Bonds" sheetId="23" r:id="rId19"/>
    <sheet name="Scenario Summary " sheetId="57" r:id="rId20"/>
    <sheet name="Peer Mkt Info" sheetId="27" r:id="rId21"/>
    <sheet name="Peer Fin Info" sheetId="43" r:id="rId22"/>
    <sheet name="10 Year Bond Average" sheetId="65" r:id="rId23"/>
    <sheet name="AMZN daily" sheetId="31" r:id="rId24"/>
    <sheet name="10yr TBill" sheetId="36" r:id="rId25"/>
    <sheet name="Tax Rate" sheetId="24" r:id="rId26"/>
    <sheet name="FX" sheetId="25" r:id="rId27"/>
    <sheet name="BoD" sheetId="51" r:id="rId28"/>
    <sheet name="Exec. Team" sheetId="52" r:id="rId29"/>
    <sheet name="Shareholders" sheetId="56" r:id="rId30"/>
    <sheet name="Abbreviations" sheetId="19" r:id="rId31"/>
    <sheet name="PB_CACHE_JS" sheetId="66" state="veryHidden" r:id="rId32"/>
    <sheet name="CACHE_CHARTS_JS" sheetId="67" state="veryHidden" r:id="rId33"/>
  </sheets>
  <externalReferences>
    <externalReference r:id="rId34"/>
    <externalReference r:id="rId35"/>
    <externalReference r:id="rId36"/>
    <externalReference r:id="rId37"/>
  </externalReferences>
  <definedNames>
    <definedName name="__FDS_HYPERLINK_TOGGLE_STATE__" hidden="1">"ON"</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24" hidden="1">'10yr TBill'!$S$10:$T$2747</definedName>
    <definedName name="_xlnm._FilterDatabase" localSheetId="23" hidden="1">'AMZN daily'!$C$7:$I$3330</definedName>
    <definedName name="_xlnm._FilterDatabase" localSheetId="21" hidden="1">'Peer Fin Info'!$W$24:$W$34</definedName>
    <definedName name="_xlchart.v1.0" hidden="1">DCF!$G$43:$G$47</definedName>
    <definedName name="_xlchart.v1.1" hidden="1">DCF!$I$43:$I$47</definedName>
    <definedName name="_xlchart.v1.2" hidden="1">DCF!$M$37:$M$39</definedName>
    <definedName name="_xlchart.v1.3" hidden="1">DCF!$O$37:$O$39</definedName>
    <definedName name="BaseYear">[1]Controls!$C$23</definedName>
    <definedName name="BLPH1" hidden="1">'[2]Mthly Data'!$A$3</definedName>
    <definedName name="BLPH2" localSheetId="22" hidden="1">'[3]Mthly Data'!#REF!</definedName>
    <definedName name="BLPH2" hidden="1">'[3]Mthly Data'!#REF!</definedName>
    <definedName name="BLPH3" localSheetId="22" hidden="1">'[3]Mthly Data'!#REF!</definedName>
    <definedName name="BLPH3" hidden="1">'[3]Mthly Data'!#REF!</definedName>
    <definedName name="blph4" localSheetId="22" hidden="1">'[3]Mthly Data'!#REF!</definedName>
    <definedName name="blph4" hidden="1">'[3]Mthly Data'!#REF!</definedName>
    <definedName name="CIQWBGuid" hidden="1">"2cd8126d-26c3-430c-b7fa-a069e3a1fc62"</definedName>
    <definedName name="DateHeader">[1]Controls!$E$27</definedName>
    <definedName name="DollarHeader">[1]Controls!$E$20</definedName>
    <definedName name="FX">#REF!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41666.7099189815</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localSheetId="22" hidden="1">39198.552349537</definedName>
    <definedName name="IQ_REVISION_DATE_" hidden="1">39198.552349537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_xlnm.Print_Area" localSheetId="4">'HWMS Model'!$D$15:$Q$30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Selling_Price">'[4]Base Case'!$B$11</definedName>
    <definedName name="solver_adj" localSheetId="4" hidden="1">'HWMS Model'!$G$8:$G$10</definedName>
    <definedName name="solver_cvg" localSheetId="4" hidden="1">0.0001</definedName>
    <definedName name="solver_drv" localSheetId="4" hidden="1">1</definedName>
    <definedName name="solver_eng" localSheetId="11" hidden="1">1</definedName>
    <definedName name="solver_eng" localSheetId="4" hidden="1">1</definedName>
    <definedName name="solver_est" localSheetId="4" hidden="1">1</definedName>
    <definedName name="solver_itr" localSheetId="4" hidden="1">2147483647</definedName>
    <definedName name="solver_lhs1" localSheetId="4" hidden="1">'HWMS Model'!$G$8:$G$10</definedName>
    <definedName name="solver_lhs2" localSheetId="4" hidden="1">'HWMS Model'!$G$8:$G$10</definedName>
    <definedName name="solver_lhs3" localSheetId="4" hidden="1">'HWMS Model'!$G$9</definedName>
    <definedName name="solver_lhs4" localSheetId="4" hidden="1">'HWMS Model'!$G$9</definedName>
    <definedName name="solver_lin" localSheetId="4" hidden="1">2</definedName>
    <definedName name="solver_mip" localSheetId="4" hidden="1">2147483647</definedName>
    <definedName name="solver_mni" localSheetId="4" hidden="1">30</definedName>
    <definedName name="solver_mrt" localSheetId="4" hidden="1">0.075</definedName>
    <definedName name="solver_msl" localSheetId="4" hidden="1">2</definedName>
    <definedName name="solver_neg" localSheetId="11" hidden="1">1</definedName>
    <definedName name="solver_neg" localSheetId="4" hidden="1">2</definedName>
    <definedName name="solver_nod" localSheetId="4" hidden="1">2147483647</definedName>
    <definedName name="solver_num" localSheetId="11" hidden="1">0</definedName>
    <definedName name="solver_num" localSheetId="4" hidden="1">2</definedName>
    <definedName name="solver_nwt" localSheetId="4" hidden="1">1</definedName>
    <definedName name="solver_opt" localSheetId="11" hidden="1">DCF!$D$56</definedName>
    <definedName name="solver_opt" localSheetId="4" hidden="1">'HWMS Model'!$G$11</definedName>
    <definedName name="solver_pre" localSheetId="4" hidden="1">0.000001</definedName>
    <definedName name="solver_rbv" localSheetId="4" hidden="1">1</definedName>
    <definedName name="solver_rel1" localSheetId="4" hidden="1">1</definedName>
    <definedName name="solver_rel2" localSheetId="4" hidden="1">3</definedName>
    <definedName name="solver_rel3" localSheetId="4" hidden="1">3</definedName>
    <definedName name="solver_rel4" localSheetId="4" hidden="1">3</definedName>
    <definedName name="solver_rhs1" localSheetId="4" hidden="1">1</definedName>
    <definedName name="solver_rhs2" localSheetId="4" hidden="1">0</definedName>
    <definedName name="solver_rhs3" localSheetId="4" hidden="1">0</definedName>
    <definedName name="solver_rhs4" localSheetId="4" hidden="1">0</definedName>
    <definedName name="solver_rlx" localSheetId="4" hidden="1">2</definedName>
    <definedName name="solver_rsd" localSheetId="4" hidden="1">0</definedName>
    <definedName name="solver_scl" localSheetId="4" hidden="1">1</definedName>
    <definedName name="solver_sho" localSheetId="4" hidden="1">2</definedName>
    <definedName name="solver_ssz" localSheetId="4" hidden="1">100</definedName>
    <definedName name="solver_tim" localSheetId="4" hidden="1">2147483647</definedName>
    <definedName name="solver_tol" localSheetId="4" hidden="1">0.01</definedName>
    <definedName name="solver_typ" localSheetId="11" hidden="1">1</definedName>
    <definedName name="solver_typ" localSheetId="4" hidden="1">2</definedName>
    <definedName name="solver_val" localSheetId="11" hidden="1">0</definedName>
    <definedName name="solver_val" localSheetId="4" hidden="1">0</definedName>
    <definedName name="solver_ver" localSheetId="11" hidden="1">3</definedName>
    <definedName name="solver_ver" localSheetId="4" hidden="1">2</definedName>
    <definedName name="taxtable">#REF!</definedName>
    <definedName name="Variable_Cost_per_unit">'[4]Base Case'!$B$12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4" i="43" l="1"/>
  <c r="W24" i="43"/>
  <c r="I46" i="13"/>
  <c r="E46" i="13" l="1"/>
  <c r="I44" i="13" l="1"/>
  <c r="E44" i="13"/>
  <c r="J16" i="34"/>
  <c r="B23" i="10"/>
  <c r="C23" i="10"/>
  <c r="B24" i="10"/>
  <c r="C24" i="10"/>
  <c r="B25" i="10"/>
  <c r="C25" i="10"/>
  <c r="B26" i="10"/>
  <c r="C26" i="10"/>
  <c r="B27" i="10"/>
  <c r="C27" i="10"/>
  <c r="B28" i="10"/>
  <c r="C28" i="10"/>
  <c r="B29" i="10"/>
  <c r="B30" i="10"/>
  <c r="C30" i="10"/>
  <c r="B31" i="10"/>
  <c r="C31" i="10"/>
  <c r="B32" i="10"/>
  <c r="C32" i="10"/>
  <c r="B33" i="10"/>
  <c r="C33" i="10"/>
  <c r="B34" i="10"/>
  <c r="C34" i="10"/>
  <c r="B35" i="10"/>
  <c r="C35" i="10"/>
  <c r="B36" i="10"/>
  <c r="C36" i="10"/>
  <c r="B37" i="10"/>
  <c r="C37" i="10"/>
  <c r="B38" i="10"/>
  <c r="C38" i="10"/>
  <c r="C22" i="10"/>
  <c r="B22" i="10"/>
  <c r="C24" i="11"/>
  <c r="C23" i="11"/>
  <c r="C22" i="11"/>
  <c r="C21" i="11"/>
  <c r="C20" i="11"/>
  <c r="C19" i="11"/>
  <c r="C18" i="11"/>
  <c r="C17" i="11"/>
  <c r="C16" i="11"/>
  <c r="C15" i="11"/>
  <c r="C29" i="10" s="1"/>
  <c r="C14" i="11"/>
  <c r="C13" i="11"/>
  <c r="C12" i="11"/>
  <c r="C11" i="11"/>
  <c r="C10" i="11"/>
  <c r="C9" i="11"/>
  <c r="C8" i="11"/>
  <c r="C19" i="10"/>
  <c r="C18" i="10"/>
  <c r="C17" i="10"/>
  <c r="C16" i="10"/>
  <c r="C15" i="10"/>
  <c r="C14" i="10"/>
  <c r="C13" i="10"/>
  <c r="C12" i="10"/>
  <c r="C11" i="10"/>
  <c r="C10" i="10"/>
  <c r="D156" i="9"/>
  <c r="E15" i="13"/>
  <c r="E49" i="13"/>
  <c r="D59" i="5"/>
  <c r="E59" i="5"/>
  <c r="F59" i="5"/>
  <c r="C59" i="5"/>
  <c r="D58" i="5"/>
  <c r="E58" i="5"/>
  <c r="F58" i="5"/>
  <c r="C58" i="5"/>
  <c r="D57" i="5"/>
  <c r="E57" i="5"/>
  <c r="F57" i="5"/>
  <c r="C57" i="5"/>
  <c r="D56" i="5"/>
  <c r="E56" i="5"/>
  <c r="F56" i="5"/>
  <c r="C56" i="5"/>
  <c r="D55" i="5"/>
  <c r="E55" i="5"/>
  <c r="F55" i="5"/>
  <c r="C55" i="5"/>
  <c r="D54" i="5"/>
  <c r="E54" i="5"/>
  <c r="F54" i="5"/>
  <c r="C54" i="5"/>
  <c r="D53" i="5"/>
  <c r="E53" i="5"/>
  <c r="F53" i="5"/>
  <c r="C53" i="5"/>
  <c r="D52" i="5"/>
  <c r="E52" i="5"/>
  <c r="F52" i="5"/>
  <c r="C52" i="5"/>
  <c r="D48" i="5"/>
  <c r="E48" i="5"/>
  <c r="F48" i="5"/>
  <c r="C48" i="5"/>
  <c r="D47" i="5"/>
  <c r="E47" i="5"/>
  <c r="F47" i="5"/>
  <c r="C47" i="5"/>
  <c r="D46" i="5"/>
  <c r="E46" i="5"/>
  <c r="F46" i="5"/>
  <c r="C46" i="5"/>
  <c r="D45" i="5"/>
  <c r="E45" i="5"/>
  <c r="F45" i="5"/>
  <c r="C45" i="5"/>
  <c r="D44" i="5"/>
  <c r="E44" i="5"/>
  <c r="F44" i="5"/>
  <c r="C44" i="5"/>
  <c r="D43" i="5"/>
  <c r="E43" i="5"/>
  <c r="F43" i="5"/>
  <c r="C43" i="5"/>
  <c r="D42" i="5"/>
  <c r="E42" i="5"/>
  <c r="F42" i="5"/>
  <c r="G42" i="5"/>
  <c r="H42" i="5"/>
  <c r="I42" i="5"/>
  <c r="J42" i="5"/>
  <c r="K42" i="5"/>
  <c r="L42" i="5"/>
  <c r="C42" i="5"/>
  <c r="K19" i="5"/>
  <c r="H20" i="5"/>
  <c r="H19" i="5"/>
  <c r="G18" i="5"/>
  <c r="E17" i="44" s="1"/>
  <c r="H18" i="5"/>
  <c r="E16" i="44" s="1"/>
  <c r="C22" i="5"/>
  <c r="C20" i="5"/>
  <c r="D12" i="50"/>
  <c r="E14" i="13"/>
  <c r="E8" i="5"/>
  <c r="E11" i="13"/>
  <c r="F83" i="14"/>
  <c r="F82" i="14"/>
  <c r="F80" i="14"/>
  <c r="F79" i="14"/>
  <c r="F78" i="14"/>
  <c r="F77" i="14"/>
  <c r="F76" i="14"/>
  <c r="F75" i="14"/>
  <c r="F74" i="14"/>
  <c r="E75" i="14"/>
  <c r="E76" i="14"/>
  <c r="E77" i="14"/>
  <c r="E78" i="14"/>
  <c r="E79" i="14"/>
  <c r="E80" i="14"/>
  <c r="E81" i="14"/>
  <c r="E82" i="14"/>
  <c r="E83" i="14"/>
  <c r="E74" i="14"/>
  <c r="G75" i="14"/>
  <c r="G76" i="14"/>
  <c r="G77" i="14"/>
  <c r="G78" i="14"/>
  <c r="H78" i="14" s="1"/>
  <c r="G79" i="14"/>
  <c r="G80" i="14"/>
  <c r="G81" i="14"/>
  <c r="G82" i="14"/>
  <c r="G83" i="14"/>
  <c r="E26" i="14"/>
  <c r="C21" i="5" l="1"/>
  <c r="H79" i="14"/>
  <c r="H81" i="14"/>
  <c r="H80" i="14"/>
  <c r="H77" i="14"/>
  <c r="H83" i="14"/>
  <c r="H76" i="14"/>
  <c r="H75" i="14"/>
  <c r="H82" i="14"/>
  <c r="B10" i="25" l="1"/>
  <c r="B11" i="25"/>
  <c r="D12" i="24"/>
  <c r="G8" i="36"/>
  <c r="G9" i="65"/>
  <c r="E18" i="14" s="1"/>
  <c r="E32" i="20"/>
  <c r="E169" i="20"/>
  <c r="H142" i="9"/>
  <c r="G142" i="9"/>
  <c r="E142" i="9"/>
  <c r="E144" i="9" s="1"/>
  <c r="F142" i="9"/>
  <c r="E146" i="9"/>
  <c r="D142" i="9"/>
  <c r="D147" i="9" s="1"/>
  <c r="N32" i="23"/>
  <c r="G40" i="23"/>
  <c r="G31" i="23"/>
  <c r="G20" i="23"/>
  <c r="E65" i="22"/>
  <c r="E45" i="22"/>
  <c r="J13" i="23"/>
  <c r="N13" i="23" s="1"/>
  <c r="G13" i="23"/>
  <c r="K44" i="23"/>
  <c r="I44" i="23"/>
  <c r="H44" i="23"/>
  <c r="F44" i="23"/>
  <c r="N40" i="23"/>
  <c r="O40" i="23"/>
  <c r="P40" i="23"/>
  <c r="Q40" i="23"/>
  <c r="G39" i="23"/>
  <c r="N39" i="23"/>
  <c r="O39" i="23"/>
  <c r="P39" i="23"/>
  <c r="Q39" i="23"/>
  <c r="G14" i="23"/>
  <c r="N14" i="23"/>
  <c r="O14" i="23"/>
  <c r="P14" i="23"/>
  <c r="Q14" i="23"/>
  <c r="G15" i="23"/>
  <c r="N15" i="23"/>
  <c r="O15" i="23"/>
  <c r="P15" i="23"/>
  <c r="Q15" i="23"/>
  <c r="G16" i="23"/>
  <c r="N16" i="23"/>
  <c r="O16" i="23"/>
  <c r="P16" i="23"/>
  <c r="Q16" i="23"/>
  <c r="G17" i="23"/>
  <c r="N17" i="23"/>
  <c r="O17" i="23"/>
  <c r="P17" i="23"/>
  <c r="Q17" i="23"/>
  <c r="G18" i="23"/>
  <c r="N18" i="23"/>
  <c r="O18" i="23"/>
  <c r="P18" i="23"/>
  <c r="Q18" i="23"/>
  <c r="G19" i="23"/>
  <c r="N19" i="23"/>
  <c r="O19" i="23"/>
  <c r="P19" i="23"/>
  <c r="Q19" i="23"/>
  <c r="N20" i="23"/>
  <c r="O20" i="23"/>
  <c r="P20" i="23"/>
  <c r="Q20" i="23"/>
  <c r="G21" i="23"/>
  <c r="N21" i="23"/>
  <c r="O21" i="23"/>
  <c r="P21" i="23"/>
  <c r="Q21" i="23"/>
  <c r="G22" i="23"/>
  <c r="N22" i="23"/>
  <c r="O22" i="23"/>
  <c r="P22" i="23"/>
  <c r="Q22" i="23"/>
  <c r="G23" i="23"/>
  <c r="N23" i="23"/>
  <c r="O23" i="23"/>
  <c r="P23" i="23"/>
  <c r="Q23" i="23"/>
  <c r="G24" i="23"/>
  <c r="N24" i="23"/>
  <c r="O24" i="23"/>
  <c r="P24" i="23"/>
  <c r="Q24" i="23"/>
  <c r="G25" i="23"/>
  <c r="N25" i="23"/>
  <c r="O25" i="23"/>
  <c r="P25" i="23"/>
  <c r="Q25" i="23"/>
  <c r="G26" i="23"/>
  <c r="N26" i="23"/>
  <c r="O26" i="23"/>
  <c r="P26" i="23"/>
  <c r="Q26" i="23"/>
  <c r="O31" i="23"/>
  <c r="O13" i="23"/>
  <c r="P13" i="23"/>
  <c r="Q13" i="23"/>
  <c r="G27" i="23"/>
  <c r="N27" i="23"/>
  <c r="O27" i="23"/>
  <c r="P27" i="23"/>
  <c r="Q27" i="23"/>
  <c r="G28" i="23"/>
  <c r="N28" i="23"/>
  <c r="O28" i="23"/>
  <c r="P28" i="23"/>
  <c r="Q28" i="23"/>
  <c r="G29" i="23"/>
  <c r="N29" i="23"/>
  <c r="O29" i="23"/>
  <c r="P29" i="23"/>
  <c r="Q29" i="23"/>
  <c r="G30" i="23"/>
  <c r="N30" i="23"/>
  <c r="O30" i="23"/>
  <c r="P30" i="23"/>
  <c r="Q30" i="23"/>
  <c r="N31" i="23"/>
  <c r="P31" i="23"/>
  <c r="Q31" i="23"/>
  <c r="G32" i="23"/>
  <c r="O32" i="23"/>
  <c r="P32" i="23"/>
  <c r="Q32" i="23"/>
  <c r="G33" i="23"/>
  <c r="N33" i="23"/>
  <c r="O33" i="23"/>
  <c r="P33" i="23"/>
  <c r="Q33" i="23"/>
  <c r="G34" i="23"/>
  <c r="N34" i="23"/>
  <c r="O34" i="23"/>
  <c r="P34" i="23"/>
  <c r="Q34" i="23"/>
  <c r="G35" i="23"/>
  <c r="N35" i="23"/>
  <c r="O35" i="23"/>
  <c r="P35" i="23"/>
  <c r="Q35" i="23"/>
  <c r="G36" i="23"/>
  <c r="N36" i="23"/>
  <c r="O36" i="23"/>
  <c r="P36" i="23"/>
  <c r="Q36" i="23"/>
  <c r="G37" i="23"/>
  <c r="N37" i="23"/>
  <c r="O37" i="23"/>
  <c r="P37" i="23"/>
  <c r="Q37" i="23"/>
  <c r="G38" i="23"/>
  <c r="N38" i="23"/>
  <c r="O38" i="23"/>
  <c r="P38" i="23"/>
  <c r="Q38" i="23"/>
  <c r="G41" i="23"/>
  <c r="N41" i="23"/>
  <c r="O41" i="23"/>
  <c r="P41" i="23"/>
  <c r="Q41" i="23"/>
  <c r="G42" i="23"/>
  <c r="N42" i="23"/>
  <c r="O42" i="23"/>
  <c r="P42" i="23"/>
  <c r="Q42" i="23"/>
  <c r="G43" i="23"/>
  <c r="N43" i="23"/>
  <c r="O43" i="23"/>
  <c r="P43" i="23"/>
  <c r="Q43" i="23"/>
  <c r="R11" i="43"/>
  <c r="H18" i="43"/>
  <c r="H52" i="22"/>
  <c r="J32" i="48"/>
  <c r="M32" i="48"/>
  <c r="N32" i="48"/>
  <c r="O32" i="48"/>
  <c r="P32" i="48"/>
  <c r="J33" i="48"/>
  <c r="M33" i="48"/>
  <c r="N33" i="48"/>
  <c r="O33" i="48"/>
  <c r="P33" i="48"/>
  <c r="J34" i="48"/>
  <c r="M34" i="48"/>
  <c r="N34" i="48"/>
  <c r="O34" i="48"/>
  <c r="P34" i="48"/>
  <c r="G32" i="48"/>
  <c r="D78" i="14" s="1"/>
  <c r="G33" i="48"/>
  <c r="D79" i="14" s="1"/>
  <c r="G34" i="48"/>
  <c r="D80" i="14" s="1"/>
  <c r="F32" i="48"/>
  <c r="I32" i="48" s="1"/>
  <c r="F33" i="48"/>
  <c r="I33" i="48" s="1"/>
  <c r="F34" i="48"/>
  <c r="I34" i="48" s="1"/>
  <c r="J28" i="48"/>
  <c r="F28" i="48"/>
  <c r="C29" i="48"/>
  <c r="C30" i="48" s="1"/>
  <c r="C31" i="48" s="1"/>
  <c r="C32" i="48" s="1"/>
  <c r="C33" i="48" s="1"/>
  <c r="C34" i="48" s="1"/>
  <c r="C35" i="48" s="1"/>
  <c r="C36" i="48" s="1"/>
  <c r="C37" i="48" s="1"/>
  <c r="R19" i="43"/>
  <c r="S11" i="43"/>
  <c r="S12" i="43"/>
  <c r="S13" i="43"/>
  <c r="S14" i="43"/>
  <c r="S15" i="43"/>
  <c r="S16" i="43"/>
  <c r="S17" i="43"/>
  <c r="S18" i="43"/>
  <c r="S19" i="43"/>
  <c r="R12" i="43"/>
  <c r="R13" i="43"/>
  <c r="R14" i="43"/>
  <c r="R15" i="43"/>
  <c r="K32" i="48" s="1"/>
  <c r="R16" i="43"/>
  <c r="K33" i="48" s="1"/>
  <c r="R17" i="43"/>
  <c r="K34" i="48" s="1"/>
  <c r="R18" i="43"/>
  <c r="P20" i="43"/>
  <c r="S20" i="43" s="1"/>
  <c r="M20" i="43"/>
  <c r="R20" i="43" s="1"/>
  <c r="L20" i="43"/>
  <c r="K20" i="43"/>
  <c r="J20" i="43"/>
  <c r="I20" i="43"/>
  <c r="H20" i="43"/>
  <c r="C12" i="43"/>
  <c r="C13" i="43" s="1"/>
  <c r="C14" i="43" s="1"/>
  <c r="C15" i="43" s="1"/>
  <c r="C16" i="43" s="1"/>
  <c r="C17" i="43" s="1"/>
  <c r="C18" i="43" s="1"/>
  <c r="C19" i="43" s="1"/>
  <c r="C20" i="43" s="1"/>
  <c r="F31" i="48"/>
  <c r="F30" i="48"/>
  <c r="E46" i="20"/>
  <c r="E47" i="20"/>
  <c r="E31" i="13" s="1"/>
  <c r="I17" i="27"/>
  <c r="N10" i="27"/>
  <c r="M11" i="27"/>
  <c r="N11" i="27" s="1"/>
  <c r="M12" i="27"/>
  <c r="N12" i="27" s="1"/>
  <c r="M13" i="27"/>
  <c r="N13" i="27" s="1"/>
  <c r="M14" i="27"/>
  <c r="N14" i="27" s="1"/>
  <c r="M15" i="27"/>
  <c r="N15" i="27" s="1"/>
  <c r="M16" i="27"/>
  <c r="N16" i="27" s="1"/>
  <c r="M17" i="27"/>
  <c r="N17" i="27" s="1"/>
  <c r="M18" i="27"/>
  <c r="N18" i="27" s="1"/>
  <c r="M19" i="27"/>
  <c r="N19" i="27" s="1"/>
  <c r="M10" i="27"/>
  <c r="E147" i="9" l="1"/>
  <c r="D144" i="9"/>
  <c r="J44" i="23"/>
  <c r="J47" i="23"/>
  <c r="G44" i="23"/>
  <c r="N44" i="23"/>
  <c r="R32" i="48"/>
  <c r="S32" i="48"/>
  <c r="S34" i="48"/>
  <c r="R34" i="48"/>
  <c r="R33" i="48"/>
  <c r="U33" i="48"/>
  <c r="T33" i="48"/>
  <c r="U34" i="48"/>
  <c r="T32" i="48"/>
  <c r="S33" i="48"/>
  <c r="T34" i="48"/>
  <c r="U32" i="48"/>
  <c r="I10" i="27" l="1"/>
  <c r="D41" i="18" l="1"/>
  <c r="F38" i="18"/>
  <c r="D37" i="18"/>
  <c r="D29" i="18"/>
  <c r="F46" i="18"/>
  <c r="E25" i="18"/>
  <c r="E21" i="18"/>
  <c r="E19" i="18"/>
  <c r="E31" i="56" l="1"/>
  <c r="J11" i="56"/>
  <c r="J12" i="56"/>
  <c r="J13" i="56"/>
  <c r="J14" i="56"/>
  <c r="J10" i="56"/>
  <c r="H11" i="56"/>
  <c r="H12" i="56"/>
  <c r="H13" i="56"/>
  <c r="H14" i="56"/>
  <c r="H10" i="56"/>
  <c r="E15" i="52"/>
  <c r="E14" i="52"/>
  <c r="E13" i="52"/>
  <c r="E12" i="52"/>
  <c r="E13" i="50"/>
  <c r="D13" i="50"/>
  <c r="E12" i="50"/>
  <c r="D19" i="50"/>
  <c r="D20" i="50" s="1"/>
  <c r="D21" i="50" s="1"/>
  <c r="D22" i="50" s="1"/>
  <c r="D23" i="50" s="1"/>
  <c r="D24" i="50" s="1"/>
  <c r="D25" i="50" s="1"/>
  <c r="D26" i="50" s="1"/>
  <c r="E19" i="50"/>
  <c r="E20" i="50" s="1"/>
  <c r="E21" i="50" s="1"/>
  <c r="E22" i="50" s="1"/>
  <c r="E23" i="50" s="1"/>
  <c r="E24" i="50" s="1"/>
  <c r="E25" i="50" s="1"/>
  <c r="E26" i="50" s="1"/>
  <c r="E18" i="50"/>
  <c r="D18" i="50"/>
  <c r="J15" i="56" l="1"/>
  <c r="I20" i="50"/>
  <c r="I19" i="50"/>
  <c r="I18" i="50"/>
  <c r="I17" i="50"/>
  <c r="H17" i="50" l="1"/>
  <c r="C17" i="50" s="1"/>
  <c r="C12" i="50" s="1"/>
  <c r="H20" i="50"/>
  <c r="C20" i="50" s="1"/>
  <c r="E19" i="57"/>
  <c r="Q19" i="57"/>
  <c r="R12" i="57"/>
  <c r="S12" i="57"/>
  <c r="T12" i="57"/>
  <c r="U12" i="57"/>
  <c r="R13" i="57"/>
  <c r="S13" i="57"/>
  <c r="T13" i="57"/>
  <c r="U13" i="57"/>
  <c r="R14" i="57"/>
  <c r="S14" i="57"/>
  <c r="T14" i="57"/>
  <c r="U14" i="57"/>
  <c r="R15" i="57"/>
  <c r="S15" i="57"/>
  <c r="T15" i="57"/>
  <c r="U15" i="57"/>
  <c r="R16" i="57"/>
  <c r="S16" i="57"/>
  <c r="T16" i="57"/>
  <c r="U16" i="57"/>
  <c r="R17" i="57"/>
  <c r="S17" i="57"/>
  <c r="T17" i="57"/>
  <c r="U17" i="57"/>
  <c r="R18" i="57"/>
  <c r="S18" i="57"/>
  <c r="T18" i="57"/>
  <c r="U18" i="57"/>
  <c r="Q18" i="57"/>
  <c r="Q17" i="57"/>
  <c r="Q16" i="57"/>
  <c r="Q15" i="57"/>
  <c r="Q14" i="57"/>
  <c r="Q13" i="57"/>
  <c r="Q12" i="57"/>
  <c r="L12" i="57"/>
  <c r="M12" i="57"/>
  <c r="N12" i="57"/>
  <c r="O12" i="57"/>
  <c r="L13" i="57"/>
  <c r="M13" i="57"/>
  <c r="N13" i="57"/>
  <c r="O13" i="57"/>
  <c r="L14" i="57"/>
  <c r="M14" i="57"/>
  <c r="N14" i="57"/>
  <c r="O14" i="57"/>
  <c r="L15" i="57"/>
  <c r="M15" i="57"/>
  <c r="N15" i="57"/>
  <c r="O15" i="57"/>
  <c r="L16" i="57"/>
  <c r="M16" i="57"/>
  <c r="N16" i="57"/>
  <c r="O16" i="57"/>
  <c r="L17" i="57"/>
  <c r="M17" i="57"/>
  <c r="N17" i="57"/>
  <c r="O17" i="57"/>
  <c r="L18" i="57"/>
  <c r="M18" i="57"/>
  <c r="N18" i="57"/>
  <c r="O18" i="57"/>
  <c r="K18" i="57"/>
  <c r="K17" i="57"/>
  <c r="K16" i="57"/>
  <c r="K15" i="57"/>
  <c r="K14" i="57"/>
  <c r="K13" i="57"/>
  <c r="K12" i="57"/>
  <c r="F18" i="57"/>
  <c r="G18" i="57"/>
  <c r="H18" i="57"/>
  <c r="I18" i="57"/>
  <c r="E18" i="57"/>
  <c r="F17" i="57"/>
  <c r="G17" i="57"/>
  <c r="H17" i="57"/>
  <c r="I17" i="57"/>
  <c r="E17" i="57"/>
  <c r="F16" i="57"/>
  <c r="G16" i="57"/>
  <c r="H16" i="57"/>
  <c r="I16" i="57"/>
  <c r="E16" i="57"/>
  <c r="F15" i="57"/>
  <c r="G15" i="57"/>
  <c r="H15" i="57"/>
  <c r="I15" i="57"/>
  <c r="E14" i="57"/>
  <c r="F13" i="57"/>
  <c r="G13" i="57"/>
  <c r="H13" i="57"/>
  <c r="I13" i="57"/>
  <c r="E13" i="57"/>
  <c r="F12" i="57"/>
  <c r="G12" i="57"/>
  <c r="H12" i="57"/>
  <c r="I12" i="57"/>
  <c r="E12" i="57"/>
  <c r="F14" i="57"/>
  <c r="D108" i="63"/>
  <c r="E108" i="63"/>
  <c r="F108" i="63"/>
  <c r="G108" i="63"/>
  <c r="D109" i="63"/>
  <c r="E109" i="63"/>
  <c r="F109" i="63"/>
  <c r="G109" i="63"/>
  <c r="D110" i="63"/>
  <c r="E110" i="63"/>
  <c r="F110" i="63"/>
  <c r="G110" i="63"/>
  <c r="D112" i="63"/>
  <c r="E112" i="63"/>
  <c r="F112" i="63"/>
  <c r="G112" i="63"/>
  <c r="D113" i="63"/>
  <c r="E113" i="63"/>
  <c r="F113" i="63"/>
  <c r="G113" i="63"/>
  <c r="D114" i="63"/>
  <c r="E114" i="63"/>
  <c r="F114" i="63"/>
  <c r="G114" i="63"/>
  <c r="D115" i="63"/>
  <c r="E115" i="63"/>
  <c r="F115" i="63"/>
  <c r="G115" i="63"/>
  <c r="D116" i="63"/>
  <c r="E116" i="63"/>
  <c r="F116" i="63"/>
  <c r="G116" i="63"/>
  <c r="D117" i="63"/>
  <c r="E117" i="63"/>
  <c r="F117" i="63"/>
  <c r="G117" i="63"/>
  <c r="D119" i="63"/>
  <c r="E119" i="63"/>
  <c r="F119" i="63"/>
  <c r="G119" i="63"/>
  <c r="D120" i="63"/>
  <c r="E120" i="63"/>
  <c r="F120" i="63"/>
  <c r="G120" i="63"/>
  <c r="D121" i="63"/>
  <c r="E121" i="63"/>
  <c r="F121" i="63"/>
  <c r="G121" i="63"/>
  <c r="D122" i="63"/>
  <c r="E122" i="63"/>
  <c r="F122" i="63"/>
  <c r="G122" i="63"/>
  <c r="D123" i="63"/>
  <c r="E123" i="63"/>
  <c r="F123" i="63"/>
  <c r="G123" i="63"/>
  <c r="D124" i="63"/>
  <c r="E124" i="63"/>
  <c r="F124" i="63"/>
  <c r="G124" i="63"/>
  <c r="D126" i="63"/>
  <c r="E126" i="63"/>
  <c r="F126" i="63"/>
  <c r="G126" i="63"/>
  <c r="D127" i="63"/>
  <c r="E127" i="63"/>
  <c r="F127" i="63"/>
  <c r="G127" i="63"/>
  <c r="D128" i="63"/>
  <c r="E128" i="63"/>
  <c r="F128" i="63"/>
  <c r="G128" i="63"/>
  <c r="D129" i="63"/>
  <c r="E129" i="63"/>
  <c r="F129" i="63"/>
  <c r="G129" i="63"/>
  <c r="D130" i="63"/>
  <c r="E130" i="63"/>
  <c r="F130" i="63"/>
  <c r="G130" i="63"/>
  <c r="D131" i="63"/>
  <c r="E131" i="63"/>
  <c r="F131" i="63"/>
  <c r="G131" i="63"/>
  <c r="D132" i="63"/>
  <c r="E132" i="63"/>
  <c r="F132" i="63"/>
  <c r="G132" i="63"/>
  <c r="D134" i="63"/>
  <c r="E134" i="63"/>
  <c r="F134" i="63"/>
  <c r="G134" i="63"/>
  <c r="D135" i="63"/>
  <c r="E135" i="63"/>
  <c r="F135" i="63"/>
  <c r="G135" i="63"/>
  <c r="D136" i="63"/>
  <c r="E136" i="63"/>
  <c r="F136" i="63"/>
  <c r="G136" i="63"/>
  <c r="D137" i="63"/>
  <c r="E137" i="63"/>
  <c r="F137" i="63"/>
  <c r="G137" i="63"/>
  <c r="D140" i="63"/>
  <c r="E140" i="63"/>
  <c r="F140" i="63"/>
  <c r="G140" i="63"/>
  <c r="D142" i="63"/>
  <c r="E142" i="63"/>
  <c r="F142" i="63"/>
  <c r="G142" i="63"/>
  <c r="D143" i="63"/>
  <c r="E143" i="63"/>
  <c r="F143" i="63"/>
  <c r="G143" i="63"/>
  <c r="D146" i="63"/>
  <c r="E146" i="63"/>
  <c r="F146" i="63"/>
  <c r="G146" i="63"/>
  <c r="D147" i="63"/>
  <c r="E147" i="63"/>
  <c r="F147" i="63"/>
  <c r="G147" i="63"/>
  <c r="D148" i="63"/>
  <c r="E148" i="63"/>
  <c r="F148" i="63"/>
  <c r="G148" i="63"/>
  <c r="D149" i="63"/>
  <c r="E149" i="63"/>
  <c r="F149" i="63"/>
  <c r="G149" i="63"/>
  <c r="D150" i="63"/>
  <c r="E150" i="63"/>
  <c r="F150" i="63"/>
  <c r="G150" i="63"/>
  <c r="D151" i="63"/>
  <c r="E151" i="63"/>
  <c r="F151" i="63"/>
  <c r="G151" i="63"/>
  <c r="D152" i="63"/>
  <c r="E152" i="63"/>
  <c r="F152" i="63"/>
  <c r="G152" i="63"/>
  <c r="D153" i="63"/>
  <c r="E153" i="63"/>
  <c r="F153" i="63"/>
  <c r="G153" i="63"/>
  <c r="D154" i="63"/>
  <c r="E154" i="63"/>
  <c r="F154" i="63"/>
  <c r="G154" i="63"/>
  <c r="D155" i="63"/>
  <c r="E155" i="63"/>
  <c r="F155" i="63"/>
  <c r="G155" i="63"/>
  <c r="D156" i="63"/>
  <c r="E156" i="63"/>
  <c r="F156" i="63"/>
  <c r="G156" i="63"/>
  <c r="D157" i="63"/>
  <c r="E157" i="63"/>
  <c r="F157" i="63"/>
  <c r="G157" i="63"/>
  <c r="D158" i="63"/>
  <c r="E158" i="63"/>
  <c r="F158" i="63"/>
  <c r="G158" i="63"/>
  <c r="G107" i="63"/>
  <c r="F107" i="63"/>
  <c r="E107" i="63"/>
  <c r="D107" i="63"/>
  <c r="E105" i="63"/>
  <c r="F105" i="63"/>
  <c r="G105" i="63"/>
  <c r="H105" i="63"/>
  <c r="I105" i="63"/>
  <c r="J105" i="63"/>
  <c r="K105" i="63"/>
  <c r="L105" i="63"/>
  <c r="M105" i="63"/>
  <c r="D73" i="63"/>
  <c r="E73" i="63"/>
  <c r="F73" i="63"/>
  <c r="G73" i="63"/>
  <c r="D75" i="63"/>
  <c r="E75" i="63"/>
  <c r="F75" i="63"/>
  <c r="G75" i="63"/>
  <c r="D76" i="63"/>
  <c r="E76" i="63"/>
  <c r="F76" i="63"/>
  <c r="G76" i="63"/>
  <c r="D77" i="63"/>
  <c r="E77" i="63"/>
  <c r="F77" i="63"/>
  <c r="G77" i="63"/>
  <c r="D78" i="63"/>
  <c r="E78" i="63"/>
  <c r="F78" i="63"/>
  <c r="G78" i="63"/>
  <c r="D80" i="63"/>
  <c r="E80" i="63"/>
  <c r="F80" i="63"/>
  <c r="G80" i="63"/>
  <c r="D81" i="63"/>
  <c r="E81" i="63"/>
  <c r="F81" i="63"/>
  <c r="G81" i="63"/>
  <c r="D82" i="63"/>
  <c r="E82" i="63"/>
  <c r="F82" i="63"/>
  <c r="G82" i="63"/>
  <c r="D83" i="63"/>
  <c r="E83" i="63"/>
  <c r="F83" i="63"/>
  <c r="G83" i="63"/>
  <c r="D84" i="63"/>
  <c r="E84" i="63"/>
  <c r="F84" i="63"/>
  <c r="G84" i="63"/>
  <c r="D85" i="63"/>
  <c r="E85" i="63"/>
  <c r="F85" i="63"/>
  <c r="G85" i="63"/>
  <c r="D86" i="63"/>
  <c r="E86" i="63"/>
  <c r="F86" i="63"/>
  <c r="G86" i="63"/>
  <c r="D87" i="63"/>
  <c r="E87" i="63"/>
  <c r="F87" i="63"/>
  <c r="G87" i="63"/>
  <c r="D88" i="63"/>
  <c r="E88" i="63"/>
  <c r="F88" i="63"/>
  <c r="G88" i="63"/>
  <c r="D89" i="63"/>
  <c r="E89" i="63"/>
  <c r="F89" i="63"/>
  <c r="G89" i="63"/>
  <c r="D90" i="63"/>
  <c r="E90" i="63"/>
  <c r="F90" i="63"/>
  <c r="G90" i="63"/>
  <c r="D91" i="63"/>
  <c r="E91" i="63"/>
  <c r="F91" i="63"/>
  <c r="G91" i="63"/>
  <c r="D92" i="63"/>
  <c r="E92" i="63"/>
  <c r="F92" i="63"/>
  <c r="G92" i="63"/>
  <c r="D93" i="63"/>
  <c r="E93" i="63"/>
  <c r="F93" i="63"/>
  <c r="G93" i="63"/>
  <c r="D94" i="63"/>
  <c r="E94" i="63"/>
  <c r="F94" i="63"/>
  <c r="G94" i="63"/>
  <c r="D95" i="63"/>
  <c r="E95" i="63"/>
  <c r="F95" i="63"/>
  <c r="G95" i="63"/>
  <c r="D96" i="63"/>
  <c r="E96" i="63"/>
  <c r="F96" i="63"/>
  <c r="G96" i="63"/>
  <c r="D97" i="63"/>
  <c r="E97" i="63"/>
  <c r="F97" i="63"/>
  <c r="G97" i="63"/>
  <c r="D98" i="63"/>
  <c r="E98" i="63"/>
  <c r="F98" i="63"/>
  <c r="G98" i="63"/>
  <c r="D99" i="63"/>
  <c r="E99" i="63"/>
  <c r="F99" i="63"/>
  <c r="G99" i="63"/>
  <c r="D100" i="63"/>
  <c r="E100" i="63"/>
  <c r="F100" i="63"/>
  <c r="G100" i="63"/>
  <c r="D101" i="63"/>
  <c r="E101" i="63"/>
  <c r="F101" i="63"/>
  <c r="G101" i="63"/>
  <c r="D102" i="63"/>
  <c r="E102" i="63"/>
  <c r="F102" i="63"/>
  <c r="G102" i="63"/>
  <c r="D103" i="63"/>
  <c r="E103" i="63"/>
  <c r="F103" i="63"/>
  <c r="G103" i="63"/>
  <c r="G71" i="63"/>
  <c r="F71" i="63"/>
  <c r="E71" i="63"/>
  <c r="D71" i="63"/>
  <c r="I77" i="63"/>
  <c r="J77" i="63"/>
  <c r="K77" i="63"/>
  <c r="L77" i="63"/>
  <c r="M77" i="63"/>
  <c r="I89" i="63"/>
  <c r="J89" i="63"/>
  <c r="K89" i="63"/>
  <c r="L89" i="63"/>
  <c r="M89" i="63"/>
  <c r="I90" i="63"/>
  <c r="J90" i="63"/>
  <c r="K90" i="63"/>
  <c r="L90" i="63"/>
  <c r="M90" i="63"/>
  <c r="I91" i="63"/>
  <c r="J91" i="63"/>
  <c r="K91" i="63"/>
  <c r="L91" i="63"/>
  <c r="M91" i="63"/>
  <c r="I94" i="63"/>
  <c r="J94" i="63"/>
  <c r="K94" i="63"/>
  <c r="L94" i="63"/>
  <c r="M94" i="63"/>
  <c r="I95" i="63"/>
  <c r="J95" i="63"/>
  <c r="K95" i="63"/>
  <c r="L95" i="63"/>
  <c r="M95" i="63"/>
  <c r="H70" i="63"/>
  <c r="I70" i="63"/>
  <c r="J70" i="63"/>
  <c r="K70" i="63"/>
  <c r="D67" i="63"/>
  <c r="E67" i="63"/>
  <c r="F67" i="63"/>
  <c r="G67" i="63"/>
  <c r="D68" i="63"/>
  <c r="E68" i="63"/>
  <c r="F68" i="63"/>
  <c r="G68" i="63"/>
  <c r="D62" i="63"/>
  <c r="E62" i="63"/>
  <c r="F62" i="63"/>
  <c r="G62" i="63"/>
  <c r="D63" i="63"/>
  <c r="E63" i="63"/>
  <c r="F63" i="63"/>
  <c r="G63" i="63"/>
  <c r="D64" i="63"/>
  <c r="E64" i="63"/>
  <c r="F64" i="63"/>
  <c r="G64" i="63"/>
  <c r="D65" i="63"/>
  <c r="E65" i="63"/>
  <c r="F65" i="63"/>
  <c r="G65" i="63"/>
  <c r="D66" i="63"/>
  <c r="E66" i="63"/>
  <c r="F66" i="63"/>
  <c r="G66" i="63"/>
  <c r="G61" i="63"/>
  <c r="F61" i="63"/>
  <c r="E61" i="63"/>
  <c r="D61" i="63"/>
  <c r="D59" i="63"/>
  <c r="E59" i="63"/>
  <c r="F59" i="63"/>
  <c r="G59" i="63"/>
  <c r="D55" i="63"/>
  <c r="E55" i="63"/>
  <c r="F55" i="63"/>
  <c r="G55" i="63"/>
  <c r="D56" i="63"/>
  <c r="E56" i="63"/>
  <c r="F56" i="63"/>
  <c r="G56" i="63"/>
  <c r="D57" i="63"/>
  <c r="E57" i="63"/>
  <c r="F57" i="63"/>
  <c r="G57" i="63"/>
  <c r="D54" i="63"/>
  <c r="E54" i="63"/>
  <c r="F54" i="63"/>
  <c r="G54" i="63"/>
  <c r="D52" i="63"/>
  <c r="E52" i="63"/>
  <c r="F52" i="63"/>
  <c r="G52" i="63"/>
  <c r="D50" i="63"/>
  <c r="E50" i="63"/>
  <c r="F50" i="63"/>
  <c r="G50" i="63"/>
  <c r="D51" i="63"/>
  <c r="E51" i="63"/>
  <c r="F51" i="63"/>
  <c r="G51" i="63"/>
  <c r="F49" i="63"/>
  <c r="E49" i="63"/>
  <c r="D49" i="63"/>
  <c r="G49" i="63"/>
  <c r="H21" i="9"/>
  <c r="D47" i="63" s="1"/>
  <c r="E47" i="63"/>
  <c r="F47" i="63"/>
  <c r="G47" i="63"/>
  <c r="D43" i="63"/>
  <c r="E43" i="63"/>
  <c r="F43" i="63"/>
  <c r="G43" i="63"/>
  <c r="D44" i="63"/>
  <c r="E44" i="63"/>
  <c r="F44" i="63"/>
  <c r="G44" i="63"/>
  <c r="D45" i="63"/>
  <c r="E45" i="63"/>
  <c r="F45" i="63"/>
  <c r="G45" i="63"/>
  <c r="E42" i="63"/>
  <c r="D42" i="63"/>
  <c r="F42" i="63"/>
  <c r="G42" i="63"/>
  <c r="D40" i="63"/>
  <c r="E40" i="63"/>
  <c r="F40" i="63"/>
  <c r="G40" i="63"/>
  <c r="D37" i="63"/>
  <c r="E37" i="63"/>
  <c r="F37" i="63"/>
  <c r="G37" i="63"/>
  <c r="D38" i="63"/>
  <c r="E38" i="63"/>
  <c r="F38" i="63"/>
  <c r="G38" i="63"/>
  <c r="D39" i="63"/>
  <c r="E39" i="63"/>
  <c r="F39" i="63"/>
  <c r="G39" i="63"/>
  <c r="D36" i="63"/>
  <c r="E36" i="63"/>
  <c r="F36" i="63"/>
  <c r="G36" i="63"/>
  <c r="E34" i="63"/>
  <c r="E70" i="63" s="1"/>
  <c r="F34" i="63"/>
  <c r="F70" i="63" s="1"/>
  <c r="G34" i="63"/>
  <c r="G70" i="63" s="1"/>
  <c r="H34" i="63"/>
  <c r="I34" i="63"/>
  <c r="J34" i="63"/>
  <c r="K34" i="63"/>
  <c r="L34" i="63"/>
  <c r="L70" i="63" s="1"/>
  <c r="M34" i="63"/>
  <c r="M70" i="63" s="1"/>
  <c r="D34" i="63"/>
  <c r="D70" i="63" s="1"/>
  <c r="D105" i="63" s="1"/>
  <c r="G32" i="63"/>
  <c r="G31" i="63"/>
  <c r="F32" i="63"/>
  <c r="F31" i="63"/>
  <c r="E32" i="63"/>
  <c r="E31" i="63"/>
  <c r="D32" i="63"/>
  <c r="D31" i="63"/>
  <c r="D30" i="63"/>
  <c r="E30" i="63"/>
  <c r="F30" i="63"/>
  <c r="G30" i="63"/>
  <c r="D29" i="63"/>
  <c r="E29" i="63"/>
  <c r="F29" i="63"/>
  <c r="G29" i="63"/>
  <c r="G27" i="63"/>
  <c r="G28" i="63" s="1"/>
  <c r="F27" i="63"/>
  <c r="E27" i="63"/>
  <c r="D27" i="63"/>
  <c r="D26" i="63"/>
  <c r="E26" i="63"/>
  <c r="F26" i="63"/>
  <c r="G26" i="63"/>
  <c r="D25" i="63"/>
  <c r="D23" i="63"/>
  <c r="D24" i="63"/>
  <c r="E23" i="63"/>
  <c r="E24" i="63"/>
  <c r="E25" i="63"/>
  <c r="F23" i="63"/>
  <c r="F24" i="63"/>
  <c r="F25" i="63"/>
  <c r="G25" i="63"/>
  <c r="G23" i="63"/>
  <c r="G24" i="63"/>
  <c r="D21" i="63"/>
  <c r="E21" i="63"/>
  <c r="F21" i="63"/>
  <c r="G21" i="63"/>
  <c r="G20" i="63"/>
  <c r="H21" i="63"/>
  <c r="D20" i="63"/>
  <c r="E20" i="63"/>
  <c r="F20" i="63"/>
  <c r="D16" i="63"/>
  <c r="E16" i="63"/>
  <c r="F16" i="63"/>
  <c r="G16" i="63"/>
  <c r="D17" i="63"/>
  <c r="E17" i="63"/>
  <c r="F17" i="63"/>
  <c r="G17" i="63"/>
  <c r="D18" i="63"/>
  <c r="E18" i="63"/>
  <c r="F18" i="63"/>
  <c r="G18" i="63"/>
  <c r="D19" i="63"/>
  <c r="E19" i="63"/>
  <c r="F19" i="63"/>
  <c r="G19" i="63"/>
  <c r="H20" i="63"/>
  <c r="G15" i="63"/>
  <c r="F15" i="63"/>
  <c r="E15" i="63"/>
  <c r="D15" i="63"/>
  <c r="E12" i="63"/>
  <c r="D12" i="63"/>
  <c r="D11" i="63"/>
  <c r="E11" i="63"/>
  <c r="F12" i="63"/>
  <c r="F11" i="63"/>
  <c r="G11" i="63"/>
  <c r="G12" i="63"/>
  <c r="H31" i="63"/>
  <c r="H32" i="63"/>
  <c r="G11" i="40"/>
  <c r="D57" i="17"/>
  <c r="E57" i="17"/>
  <c r="F57" i="17"/>
  <c r="G57" i="17"/>
  <c r="D58" i="17"/>
  <c r="E58" i="17"/>
  <c r="F58" i="17"/>
  <c r="G58" i="17"/>
  <c r="D59" i="17"/>
  <c r="E59" i="17"/>
  <c r="F59" i="17"/>
  <c r="G59" i="17"/>
  <c r="D60" i="17"/>
  <c r="E60" i="17"/>
  <c r="F60" i="17"/>
  <c r="G60" i="17"/>
  <c r="D61" i="17"/>
  <c r="E61" i="17"/>
  <c r="F61" i="17"/>
  <c r="G61" i="17"/>
  <c r="D62" i="17"/>
  <c r="E62" i="17"/>
  <c r="F62" i="17"/>
  <c r="G62" i="17"/>
  <c r="D63" i="17"/>
  <c r="E63" i="17"/>
  <c r="F63" i="17"/>
  <c r="G63" i="17"/>
  <c r="D64" i="17"/>
  <c r="E64" i="17"/>
  <c r="F64" i="17"/>
  <c r="G64" i="17"/>
  <c r="D65" i="17"/>
  <c r="E65" i="17"/>
  <c r="F65" i="17"/>
  <c r="G65" i="17"/>
  <c r="D66" i="17"/>
  <c r="E66" i="17"/>
  <c r="F66" i="17"/>
  <c r="G66" i="17"/>
  <c r="D67" i="17"/>
  <c r="E67" i="17"/>
  <c r="F67" i="17"/>
  <c r="G67" i="17"/>
  <c r="D68" i="17"/>
  <c r="E68" i="17"/>
  <c r="F68" i="17"/>
  <c r="G68" i="17"/>
  <c r="G56" i="17"/>
  <c r="F56" i="17"/>
  <c r="E56" i="17"/>
  <c r="D56" i="17"/>
  <c r="D49" i="17"/>
  <c r="E49" i="17"/>
  <c r="F49" i="17"/>
  <c r="G49" i="17"/>
  <c r="D51" i="17"/>
  <c r="E51" i="17"/>
  <c r="F51" i="17"/>
  <c r="G51" i="17"/>
  <c r="D52" i="17"/>
  <c r="E52" i="17"/>
  <c r="F52" i="17"/>
  <c r="G52" i="17"/>
  <c r="E43" i="17"/>
  <c r="F43" i="17"/>
  <c r="G43" i="17"/>
  <c r="E44" i="17"/>
  <c r="F44" i="17"/>
  <c r="G44" i="17"/>
  <c r="E45" i="17"/>
  <c r="F45" i="17"/>
  <c r="G45" i="17"/>
  <c r="G42" i="17"/>
  <c r="F42" i="17"/>
  <c r="E42" i="17"/>
  <c r="D42" i="17"/>
  <c r="G34" i="17"/>
  <c r="G35" i="17"/>
  <c r="G36" i="17"/>
  <c r="G37" i="17"/>
  <c r="G38" i="17"/>
  <c r="G39" i="17"/>
  <c r="G33" i="17"/>
  <c r="G30" i="17"/>
  <c r="F33" i="17"/>
  <c r="F34" i="17"/>
  <c r="F35" i="17"/>
  <c r="F36" i="17"/>
  <c r="F37" i="17"/>
  <c r="F38" i="17"/>
  <c r="F39" i="17"/>
  <c r="F30" i="17"/>
  <c r="E34" i="17"/>
  <c r="E35" i="17"/>
  <c r="E36" i="17"/>
  <c r="E37" i="17"/>
  <c r="E38" i="17"/>
  <c r="E39" i="17"/>
  <c r="E33" i="17"/>
  <c r="D35" i="17"/>
  <c r="D36" i="17"/>
  <c r="D37" i="17"/>
  <c r="D38" i="17"/>
  <c r="D39" i="17"/>
  <c r="D27" i="17"/>
  <c r="D28" i="17"/>
  <c r="D29" i="17"/>
  <c r="D30" i="17"/>
  <c r="D25" i="17"/>
  <c r="E26" i="17"/>
  <c r="E27" i="17"/>
  <c r="E28" i="17"/>
  <c r="E29" i="17"/>
  <c r="E30" i="17"/>
  <c r="E25" i="17"/>
  <c r="F26" i="17"/>
  <c r="F27" i="17"/>
  <c r="F28" i="17"/>
  <c r="F29" i="17"/>
  <c r="F25" i="17"/>
  <c r="G26" i="17"/>
  <c r="G27" i="17"/>
  <c r="G28" i="17"/>
  <c r="G29" i="17"/>
  <c r="G25" i="17"/>
  <c r="G22" i="17"/>
  <c r="H18" i="17"/>
  <c r="D17" i="17"/>
  <c r="E17" i="17"/>
  <c r="F17" i="17"/>
  <c r="G17" i="17"/>
  <c r="D115" i="9"/>
  <c r="H17" i="17"/>
  <c r="H14" i="17"/>
  <c r="D12" i="17"/>
  <c r="E12" i="17"/>
  <c r="F12" i="17"/>
  <c r="G12" i="17"/>
  <c r="H12" i="17"/>
  <c r="D13" i="17"/>
  <c r="E13" i="17"/>
  <c r="F13" i="17"/>
  <c r="G13" i="17"/>
  <c r="H13" i="17"/>
  <c r="D14" i="17"/>
  <c r="E14" i="17"/>
  <c r="F14" i="17"/>
  <c r="G14" i="17"/>
  <c r="H11" i="17"/>
  <c r="G11" i="17"/>
  <c r="F11" i="17"/>
  <c r="E11" i="17"/>
  <c r="D11" i="17"/>
  <c r="B16" i="17"/>
  <c r="B24" i="17" s="1"/>
  <c r="B32" i="17" s="1"/>
  <c r="B41" i="17" s="1"/>
  <c r="B47" i="17" s="1"/>
  <c r="B55" i="17" s="1"/>
  <c r="D18" i="17"/>
  <c r="E18" i="17"/>
  <c r="F18" i="17"/>
  <c r="G18" i="17"/>
  <c r="E19" i="17"/>
  <c r="F19" i="17"/>
  <c r="G19" i="17"/>
  <c r="D20" i="17"/>
  <c r="E20" i="17"/>
  <c r="F20" i="17"/>
  <c r="G20" i="17"/>
  <c r="D21" i="17"/>
  <c r="E21" i="17"/>
  <c r="F21" i="17"/>
  <c r="G21" i="17"/>
  <c r="D22" i="17"/>
  <c r="E22" i="17"/>
  <c r="F22" i="17"/>
  <c r="I28" i="48"/>
  <c r="G12" i="48"/>
  <c r="F12" i="48"/>
  <c r="E27" i="21"/>
  <c r="E102" i="20"/>
  <c r="H75" i="63" s="1"/>
  <c r="E18" i="21"/>
  <c r="E17" i="21"/>
  <c r="E15" i="21"/>
  <c r="E16" i="21" s="1"/>
  <c r="D27" i="21"/>
  <c r="E13" i="21" l="1"/>
  <c r="E14" i="21" s="1"/>
  <c r="E28" i="21"/>
  <c r="D58" i="63"/>
  <c r="E58" i="63"/>
  <c r="D13" i="63"/>
  <c r="G58" i="63"/>
  <c r="D28" i="63"/>
  <c r="F58" i="63"/>
  <c r="G13" i="63"/>
  <c r="F13" i="63"/>
  <c r="F46" i="63"/>
  <c r="E46" i="63"/>
  <c r="E13" i="63"/>
  <c r="F28" i="63"/>
  <c r="E28" i="63"/>
  <c r="D46" i="63"/>
  <c r="G46" i="63"/>
  <c r="E22" i="21"/>
  <c r="E75" i="20"/>
  <c r="E72" i="13" s="1"/>
  <c r="E28" i="13"/>
  <c r="E14" i="44"/>
  <c r="H49" i="63" l="1"/>
  <c r="F28" i="56"/>
  <c r="F30" i="56"/>
  <c r="F22" i="56"/>
  <c r="F12" i="56"/>
  <c r="F29" i="56"/>
  <c r="F27" i="56"/>
  <c r="F10" i="56"/>
  <c r="F11" i="56"/>
  <c r="I43" i="48"/>
  <c r="E10" i="44"/>
  <c r="N43" i="48"/>
  <c r="D34" i="14"/>
  <c r="D47" i="14"/>
  <c r="E22" i="14"/>
  <c r="K22" i="5" s="1"/>
  <c r="D149" i="9"/>
  <c r="D145" i="9"/>
  <c r="D146" i="9"/>
  <c r="D135" i="9"/>
  <c r="D134" i="9"/>
  <c r="G10" i="34"/>
  <c r="F10" i="34"/>
  <c r="F11" i="34"/>
  <c r="F12" i="34"/>
  <c r="F13" i="34"/>
  <c r="F14" i="34"/>
  <c r="F15" i="34"/>
  <c r="F16" i="34"/>
  <c r="F17" i="34"/>
  <c r="F18" i="34"/>
  <c r="F19" i="34"/>
  <c r="F20" i="34"/>
  <c r="F21" i="34"/>
  <c r="F22" i="34"/>
  <c r="F23" i="34"/>
  <c r="F24" i="34"/>
  <c r="F25" i="34"/>
  <c r="F26" i="34"/>
  <c r="F27" i="34"/>
  <c r="F28" i="34"/>
  <c r="F29" i="34"/>
  <c r="F30" i="34"/>
  <c r="F31" i="34"/>
  <c r="F32" i="34"/>
  <c r="F33" i="34"/>
  <c r="F34" i="34"/>
  <c r="F35" i="34"/>
  <c r="F36" i="34"/>
  <c r="F37" i="34"/>
  <c r="F38" i="34"/>
  <c r="F39" i="34"/>
  <c r="F40" i="34"/>
  <c r="F41" i="34"/>
  <c r="F42" i="34"/>
  <c r="F43" i="34"/>
  <c r="F44" i="34"/>
  <c r="F45" i="34"/>
  <c r="F46" i="34"/>
  <c r="F47" i="34"/>
  <c r="F48" i="34"/>
  <c r="F49" i="34"/>
  <c r="F50" i="34"/>
  <c r="F51" i="34"/>
  <c r="F52" i="34"/>
  <c r="F53" i="34"/>
  <c r="F54" i="34"/>
  <c r="F55" i="34"/>
  <c r="F56" i="34"/>
  <c r="F57" i="34"/>
  <c r="J14" i="34"/>
  <c r="D161" i="9"/>
  <c r="D160" i="9"/>
  <c r="D159" i="9"/>
  <c r="D158" i="9"/>
  <c r="D157" i="9"/>
  <c r="D153" i="9"/>
  <c r="D154" i="9"/>
  <c r="D155" i="9"/>
  <c r="E154" i="9"/>
  <c r="F154" i="9"/>
  <c r="G154" i="9"/>
  <c r="H154" i="9"/>
  <c r="E153" i="9"/>
  <c r="F153" i="9"/>
  <c r="G153" i="9"/>
  <c r="H153" i="9"/>
  <c r="E178" i="20"/>
  <c r="D150" i="9"/>
  <c r="D132" i="9"/>
  <c r="E159" i="20" s="1"/>
  <c r="G128" i="20"/>
  <c r="J101" i="63" s="1"/>
  <c r="H128" i="20"/>
  <c r="K101" i="63" s="1"/>
  <c r="I128" i="20"/>
  <c r="L101" i="63" s="1"/>
  <c r="J128" i="20"/>
  <c r="M101" i="63" s="1"/>
  <c r="F128" i="20"/>
  <c r="I101" i="63" s="1"/>
  <c r="E142" i="20"/>
  <c r="H112" i="63" s="1"/>
  <c r="E172" i="20"/>
  <c r="E100" i="20"/>
  <c r="H73" i="63" s="1"/>
  <c r="E103" i="20"/>
  <c r="E89" i="20"/>
  <c r="E87" i="20"/>
  <c r="E104" i="20"/>
  <c r="H77" i="63" s="1"/>
  <c r="E105" i="20"/>
  <c r="H78" i="63" s="1"/>
  <c r="E107" i="20"/>
  <c r="H80" i="63" s="1"/>
  <c r="E108" i="20"/>
  <c r="H81" i="63" s="1"/>
  <c r="E109" i="20"/>
  <c r="H82" i="63" s="1"/>
  <c r="E110" i="20"/>
  <c r="H83" i="63" s="1"/>
  <c r="E111" i="20"/>
  <c r="H84" i="63" s="1"/>
  <c r="E112" i="20"/>
  <c r="H85" i="63" s="1"/>
  <c r="E114" i="20"/>
  <c r="E115" i="20"/>
  <c r="H88" i="63" s="1"/>
  <c r="E116" i="20"/>
  <c r="H89" i="63" s="1"/>
  <c r="E117" i="20"/>
  <c r="H90" i="63" s="1"/>
  <c r="E118" i="20"/>
  <c r="H91" i="63" s="1"/>
  <c r="E120" i="20"/>
  <c r="E121" i="20"/>
  <c r="H94" i="63" s="1"/>
  <c r="E122" i="20"/>
  <c r="H95" i="63" s="1"/>
  <c r="E123" i="20"/>
  <c r="E124" i="20"/>
  <c r="E125" i="20"/>
  <c r="E126" i="20"/>
  <c r="H99" i="63" s="1"/>
  <c r="E128" i="20"/>
  <c r="H101" i="63" s="1"/>
  <c r="E98" i="20"/>
  <c r="H71" i="63" s="1"/>
  <c r="E88" i="20"/>
  <c r="E90" i="20"/>
  <c r="H64" i="63" s="1"/>
  <c r="E91" i="20"/>
  <c r="E92" i="20"/>
  <c r="E83" i="20"/>
  <c r="E82" i="20"/>
  <c r="H56" i="63" s="1"/>
  <c r="E81" i="20"/>
  <c r="H55" i="63" s="1"/>
  <c r="E80" i="20"/>
  <c r="H54" i="63" s="1"/>
  <c r="E77" i="20"/>
  <c r="H51" i="63" s="1"/>
  <c r="E76" i="20"/>
  <c r="H50" i="63" s="1"/>
  <c r="E69" i="20"/>
  <c r="H43" i="63" s="1"/>
  <c r="E70" i="20"/>
  <c r="E71" i="20"/>
  <c r="H45" i="63" s="1"/>
  <c r="E68" i="20"/>
  <c r="H42" i="63" s="1"/>
  <c r="E64" i="20"/>
  <c r="E63" i="20"/>
  <c r="E65" i="20"/>
  <c r="E62" i="20"/>
  <c r="E55" i="20"/>
  <c r="H29" i="63" s="1"/>
  <c r="E53" i="20"/>
  <c r="H27" i="63" s="1"/>
  <c r="E49" i="20"/>
  <c r="E50" i="20"/>
  <c r="D54" i="9"/>
  <c r="D8" i="20"/>
  <c r="H19" i="20"/>
  <c r="F17" i="20"/>
  <c r="F16" i="20"/>
  <c r="F21" i="18"/>
  <c r="G16" i="20" s="1"/>
  <c r="I78" i="22"/>
  <c r="J78" i="22" s="1"/>
  <c r="I74" i="22"/>
  <c r="I75" i="22"/>
  <c r="I76" i="22"/>
  <c r="I77" i="22"/>
  <c r="E69" i="22"/>
  <c r="F69" i="22"/>
  <c r="I68" i="22"/>
  <c r="I66" i="22"/>
  <c r="J66" i="22" s="1"/>
  <c r="K66" i="22" s="1"/>
  <c r="L66" i="22" s="1"/>
  <c r="M66" i="22" s="1"/>
  <c r="M38" i="22"/>
  <c r="E67" i="22"/>
  <c r="F67" i="22"/>
  <c r="G69" i="22"/>
  <c r="H69" i="22"/>
  <c r="I64" i="22"/>
  <c r="J64" i="22" s="1"/>
  <c r="H65" i="22"/>
  <c r="F65" i="22"/>
  <c r="G65" i="22"/>
  <c r="L43" i="22"/>
  <c r="J43" i="22"/>
  <c r="D79" i="22"/>
  <c r="D86" i="22" s="1"/>
  <c r="E79" i="22"/>
  <c r="E86" i="22" s="1"/>
  <c r="F79" i="22"/>
  <c r="F86" i="22" s="1"/>
  <c r="G79" i="22"/>
  <c r="G86" i="22" s="1"/>
  <c r="H79" i="22"/>
  <c r="H86" i="22" s="1"/>
  <c r="D83" i="13" s="1"/>
  <c r="F58" i="18"/>
  <c r="F54" i="18"/>
  <c r="G54" i="18" s="1"/>
  <c r="H54" i="18" s="1"/>
  <c r="I54" i="18" s="1"/>
  <c r="F53" i="18"/>
  <c r="G53" i="18" s="1"/>
  <c r="F50" i="18"/>
  <c r="G50" i="18" s="1"/>
  <c r="H50" i="18" s="1"/>
  <c r="I50" i="18" s="1"/>
  <c r="F49" i="18"/>
  <c r="G49" i="18" s="1"/>
  <c r="H49" i="18" s="1"/>
  <c r="I49" i="18" s="1"/>
  <c r="F48" i="18"/>
  <c r="G48" i="18" s="1"/>
  <c r="H48" i="18" s="1"/>
  <c r="I48" i="18" s="1"/>
  <c r="G46" i="18"/>
  <c r="F40" i="18"/>
  <c r="G40" i="18" s="1"/>
  <c r="H40" i="18" s="1"/>
  <c r="I40" i="18" s="1"/>
  <c r="F39" i="18"/>
  <c r="G39" i="18" s="1"/>
  <c r="H39" i="18" s="1"/>
  <c r="I39" i="18" s="1"/>
  <c r="G38" i="18"/>
  <c r="H38" i="18" s="1"/>
  <c r="I38" i="18" s="1"/>
  <c r="I36" i="18"/>
  <c r="H36" i="18"/>
  <c r="G36" i="18"/>
  <c r="F36" i="18"/>
  <c r="G35" i="18"/>
  <c r="H35" i="18" s="1"/>
  <c r="I35" i="18" s="1"/>
  <c r="F35" i="18"/>
  <c r="G34" i="18"/>
  <c r="H34" i="18" s="1"/>
  <c r="F34" i="18"/>
  <c r="G33" i="18"/>
  <c r="F33" i="18"/>
  <c r="G19" i="20" s="1"/>
  <c r="E33" i="18"/>
  <c r="F19" i="20" s="1"/>
  <c r="F17" i="18"/>
  <c r="G15" i="20" s="1"/>
  <c r="E17" i="18"/>
  <c r="F15" i="20" s="1"/>
  <c r="G17" i="18"/>
  <c r="H17" i="18"/>
  <c r="I17" i="18"/>
  <c r="E52" i="20"/>
  <c r="H26" i="63" s="1"/>
  <c r="E51" i="20"/>
  <c r="H25" i="63" s="1"/>
  <c r="E45" i="20"/>
  <c r="H19" i="63" s="1"/>
  <c r="E42" i="20"/>
  <c r="H16" i="63" s="1"/>
  <c r="E43" i="20"/>
  <c r="H17" i="63" s="1"/>
  <c r="E44" i="20"/>
  <c r="H18" i="63" s="1"/>
  <c r="E41" i="20"/>
  <c r="E38" i="20"/>
  <c r="H12" i="63" s="1"/>
  <c r="J34" i="22"/>
  <c r="F20" i="40"/>
  <c r="H20" i="40" s="1"/>
  <c r="F19" i="40"/>
  <c r="I79" i="22" l="1"/>
  <c r="I69" i="22"/>
  <c r="I51" i="22" s="1"/>
  <c r="H87" i="63"/>
  <c r="E36" i="13"/>
  <c r="H76" i="63"/>
  <c r="H15" i="63"/>
  <c r="F41" i="20"/>
  <c r="I15" i="63" s="1"/>
  <c r="G47" i="5"/>
  <c r="F87" i="20"/>
  <c r="H61" i="63"/>
  <c r="F125" i="20"/>
  <c r="H98" i="63"/>
  <c r="F89" i="20"/>
  <c r="I63" i="63" s="1"/>
  <c r="H63" i="63"/>
  <c r="H39" i="63"/>
  <c r="F65" i="20"/>
  <c r="E70" i="13"/>
  <c r="F63" i="20"/>
  <c r="H37" i="63"/>
  <c r="F124" i="20"/>
  <c r="F81" i="20" s="1"/>
  <c r="H97" i="63"/>
  <c r="H36" i="17"/>
  <c r="H129" i="63"/>
  <c r="H38" i="63"/>
  <c r="E71" i="13"/>
  <c r="F83" i="20"/>
  <c r="I57" i="63" s="1"/>
  <c r="H57" i="63"/>
  <c r="F123" i="20"/>
  <c r="H96" i="63"/>
  <c r="F91" i="20"/>
  <c r="I65" i="63" s="1"/>
  <c r="H65" i="63"/>
  <c r="H148" i="63"/>
  <c r="H58" i="17"/>
  <c r="F92" i="20"/>
  <c r="I66" i="63" s="1"/>
  <c r="H66" i="63"/>
  <c r="H51" i="17"/>
  <c r="H142" i="63"/>
  <c r="G59" i="5" s="1"/>
  <c r="F70" i="20"/>
  <c r="H44" i="63"/>
  <c r="F120" i="20"/>
  <c r="I93" i="63" s="1"/>
  <c r="H93" i="63"/>
  <c r="H36" i="63"/>
  <c r="E45" i="13"/>
  <c r="I45" i="13" s="1"/>
  <c r="H24" i="63"/>
  <c r="H23" i="63"/>
  <c r="F88" i="20"/>
  <c r="H62" i="63"/>
  <c r="H139" i="63"/>
  <c r="Q20" i="57"/>
  <c r="E20" i="57"/>
  <c r="E84" i="20"/>
  <c r="H58" i="63" s="1"/>
  <c r="E93" i="20"/>
  <c r="H67" i="63" s="1"/>
  <c r="G48" i="5" s="1"/>
  <c r="E72" i="20"/>
  <c r="H46" i="63" s="1"/>
  <c r="F44" i="20"/>
  <c r="F43" i="20"/>
  <c r="G20" i="40"/>
  <c r="F21" i="40" s="1"/>
  <c r="G21" i="40" s="1"/>
  <c r="I86" i="22"/>
  <c r="J68" i="22"/>
  <c r="J69" i="22" s="1"/>
  <c r="J65" i="22"/>
  <c r="K64" i="22"/>
  <c r="L64" i="22" s="1"/>
  <c r="M64" i="22" s="1"/>
  <c r="I65" i="22"/>
  <c r="I49" i="22" s="1"/>
  <c r="K65" i="22"/>
  <c r="F80" i="22"/>
  <c r="E80" i="22"/>
  <c r="I34" i="18"/>
  <c r="I33" i="18" s="1"/>
  <c r="J19" i="20" s="1"/>
  <c r="H33" i="18"/>
  <c r="I19" i="20" s="1"/>
  <c r="E54" i="20"/>
  <c r="H28" i="63" s="1"/>
  <c r="G120" i="20" l="1"/>
  <c r="J93" i="63" s="1"/>
  <c r="E73" i="13"/>
  <c r="E74" i="13" s="1"/>
  <c r="E37" i="13" s="1"/>
  <c r="G54" i="5"/>
  <c r="G63" i="20"/>
  <c r="I37" i="63"/>
  <c r="G70" i="20"/>
  <c r="I44" i="63"/>
  <c r="G123" i="20"/>
  <c r="I96" i="63"/>
  <c r="I39" i="63"/>
  <c r="F70" i="13"/>
  <c r="G65" i="20"/>
  <c r="G88" i="20"/>
  <c r="I62" i="63"/>
  <c r="G125" i="20"/>
  <c r="I98" i="63"/>
  <c r="F160" i="20"/>
  <c r="I55" i="63"/>
  <c r="H47" i="5" s="1"/>
  <c r="G124" i="20"/>
  <c r="I97" i="63"/>
  <c r="G43" i="20"/>
  <c r="I17" i="63"/>
  <c r="G44" i="20"/>
  <c r="I18" i="63"/>
  <c r="G87" i="20"/>
  <c r="I61" i="63"/>
  <c r="H48" i="17"/>
  <c r="H21" i="40"/>
  <c r="G81" i="20"/>
  <c r="J55" i="63" s="1"/>
  <c r="I47" i="5" s="1"/>
  <c r="H120" i="20"/>
  <c r="K93" i="63" s="1"/>
  <c r="K78" i="22"/>
  <c r="K68" i="22"/>
  <c r="K69" i="22"/>
  <c r="J51" i="22"/>
  <c r="K51" i="22" s="1"/>
  <c r="L65" i="22"/>
  <c r="M65" i="22"/>
  <c r="H44" i="20" l="1"/>
  <c r="J18" i="63"/>
  <c r="H88" i="20"/>
  <c r="J62" i="63"/>
  <c r="J39" i="63"/>
  <c r="H65" i="20"/>
  <c r="G70" i="13"/>
  <c r="H43" i="20"/>
  <c r="J17" i="63"/>
  <c r="H124" i="20"/>
  <c r="J97" i="63"/>
  <c r="H123" i="20"/>
  <c r="J96" i="63"/>
  <c r="I37" i="17"/>
  <c r="I130" i="63"/>
  <c r="H87" i="20"/>
  <c r="J61" i="63"/>
  <c r="H70" i="20"/>
  <c r="J44" i="63"/>
  <c r="H125" i="20"/>
  <c r="J98" i="63"/>
  <c r="H63" i="20"/>
  <c r="J37" i="63"/>
  <c r="H81" i="20"/>
  <c r="K55" i="63" s="1"/>
  <c r="J47" i="5" s="1"/>
  <c r="G160" i="20"/>
  <c r="I120" i="20"/>
  <c r="L93" i="63" s="1"/>
  <c r="L68" i="22"/>
  <c r="L69" i="22" s="1"/>
  <c r="L51" i="22" s="1"/>
  <c r="L78" i="22"/>
  <c r="H16" i="40"/>
  <c r="E145" i="9"/>
  <c r="F145" i="9"/>
  <c r="G145" i="9"/>
  <c r="H145" i="9"/>
  <c r="E174" i="20"/>
  <c r="E133" i="9"/>
  <c r="F133" i="9"/>
  <c r="G133" i="9"/>
  <c r="H133" i="9"/>
  <c r="D133" i="9"/>
  <c r="E132" i="9"/>
  <c r="F132" i="9"/>
  <c r="G132" i="9"/>
  <c r="H132" i="9"/>
  <c r="D116" i="9"/>
  <c r="E143" i="20" s="1"/>
  <c r="H113" i="63" s="1"/>
  <c r="E159" i="9"/>
  <c r="F159" i="9"/>
  <c r="G159" i="9"/>
  <c r="H159" i="9"/>
  <c r="E158" i="9"/>
  <c r="F158" i="9"/>
  <c r="G158" i="9"/>
  <c r="H158" i="9"/>
  <c r="E185" i="20"/>
  <c r="E119" i="9"/>
  <c r="F119" i="9"/>
  <c r="G119" i="9"/>
  <c r="H119" i="9"/>
  <c r="D119" i="9"/>
  <c r="E146" i="20" s="1"/>
  <c r="H116" i="63" s="1"/>
  <c r="E115" i="9"/>
  <c r="F115" i="9"/>
  <c r="G115" i="9"/>
  <c r="H115" i="9"/>
  <c r="F100" i="9"/>
  <c r="K97" i="63" l="1"/>
  <c r="I124" i="20"/>
  <c r="K39" i="63"/>
  <c r="H70" i="13"/>
  <c r="I65" i="20"/>
  <c r="K62" i="63"/>
  <c r="I88" i="20"/>
  <c r="H65" i="17"/>
  <c r="H155" i="63"/>
  <c r="I70" i="20"/>
  <c r="K44" i="63"/>
  <c r="I43" i="20"/>
  <c r="K17" i="63"/>
  <c r="J130" i="63"/>
  <c r="J37" i="17"/>
  <c r="I87" i="20"/>
  <c r="K61" i="63"/>
  <c r="I125" i="20"/>
  <c r="K98" i="63"/>
  <c r="I123" i="20"/>
  <c r="K96" i="63"/>
  <c r="I63" i="20"/>
  <c r="K37" i="63"/>
  <c r="I44" i="20"/>
  <c r="K18" i="63"/>
  <c r="F174" i="20"/>
  <c r="H53" i="17"/>
  <c r="H144" i="63"/>
  <c r="E186" i="20"/>
  <c r="E160" i="20"/>
  <c r="I81" i="20"/>
  <c r="L55" i="63" s="1"/>
  <c r="K47" i="5" s="1"/>
  <c r="H160" i="20"/>
  <c r="J120" i="20"/>
  <c r="M93" i="63" s="1"/>
  <c r="M78" i="22"/>
  <c r="M68" i="22"/>
  <c r="M69" i="22" s="1"/>
  <c r="M51" i="22" s="1"/>
  <c r="G68" i="34"/>
  <c r="D86" i="9"/>
  <c r="E86" i="9"/>
  <c r="F86" i="9"/>
  <c r="G86" i="9"/>
  <c r="H86" i="9"/>
  <c r="F64" i="9"/>
  <c r="G64" i="9"/>
  <c r="G47" i="9"/>
  <c r="G161" i="9" s="1"/>
  <c r="D64" i="9"/>
  <c r="E64" i="9"/>
  <c r="H64" i="9"/>
  <c r="E54" i="9"/>
  <c r="F54" i="9"/>
  <c r="G54" i="9"/>
  <c r="H54" i="9"/>
  <c r="E41" i="9"/>
  <c r="E126" i="9" s="1"/>
  <c r="F41" i="9"/>
  <c r="F126" i="9" s="1"/>
  <c r="G41" i="9"/>
  <c r="G126" i="9" s="1"/>
  <c r="H41" i="9"/>
  <c r="H126" i="9" s="1"/>
  <c r="D41" i="9"/>
  <c r="E162" i="20" s="1"/>
  <c r="E27" i="9"/>
  <c r="E131" i="9" s="1"/>
  <c r="F27" i="9"/>
  <c r="F131" i="9" s="1"/>
  <c r="G27" i="9"/>
  <c r="G131" i="9" s="1"/>
  <c r="H27" i="9"/>
  <c r="H131" i="9" s="1"/>
  <c r="D27" i="9"/>
  <c r="E16" i="9"/>
  <c r="E21" i="9" s="1"/>
  <c r="E129" i="9" s="1"/>
  <c r="F16" i="9"/>
  <c r="F21" i="9" s="1"/>
  <c r="F129" i="9" s="1"/>
  <c r="G16" i="9"/>
  <c r="G21" i="9" s="1"/>
  <c r="G129" i="9" s="1"/>
  <c r="H16" i="9"/>
  <c r="H129" i="9" s="1"/>
  <c r="D33" i="17" s="1"/>
  <c r="D16" i="9"/>
  <c r="J125" i="20" l="1"/>
  <c r="M98" i="63" s="1"/>
  <c r="L98" i="63"/>
  <c r="J87" i="20"/>
  <c r="M61" i="63" s="1"/>
  <c r="L61" i="63"/>
  <c r="L62" i="63"/>
  <c r="J88" i="20"/>
  <c r="M62" i="63" s="1"/>
  <c r="L39" i="63"/>
  <c r="I70" i="13"/>
  <c r="K130" i="63"/>
  <c r="K37" i="17"/>
  <c r="J63" i="20"/>
  <c r="M37" i="63" s="1"/>
  <c r="L37" i="63"/>
  <c r="H130" i="63"/>
  <c r="H37" i="17"/>
  <c r="J123" i="20"/>
  <c r="M96" i="63" s="1"/>
  <c r="L96" i="63"/>
  <c r="J70" i="20"/>
  <c r="M44" i="63" s="1"/>
  <c r="L44" i="63"/>
  <c r="L97" i="63"/>
  <c r="J124" i="20"/>
  <c r="M97" i="63" s="1"/>
  <c r="J44" i="20"/>
  <c r="M18" i="63" s="1"/>
  <c r="L18" i="63"/>
  <c r="J43" i="20"/>
  <c r="M17" i="63" s="1"/>
  <c r="L17" i="63"/>
  <c r="H132" i="63"/>
  <c r="H39" i="17"/>
  <c r="H156" i="63"/>
  <c r="H66" i="17"/>
  <c r="G174" i="20"/>
  <c r="I144" i="63"/>
  <c r="I53" i="17"/>
  <c r="D131" i="9"/>
  <c r="E158" i="20" s="1"/>
  <c r="D111" i="9"/>
  <c r="E138" i="20" s="1"/>
  <c r="H108" i="63" s="1"/>
  <c r="E113" i="20"/>
  <c r="H86" i="63" s="1"/>
  <c r="D110" i="9"/>
  <c r="E137" i="20" s="1"/>
  <c r="H107" i="63" s="1"/>
  <c r="E56" i="20"/>
  <c r="D143" i="9"/>
  <c r="E171" i="20" s="1"/>
  <c r="J81" i="20"/>
  <c r="M55" i="63" s="1"/>
  <c r="L47" i="5" s="1"/>
  <c r="I160" i="20"/>
  <c r="H32" i="9"/>
  <c r="H111" i="9"/>
  <c r="F32" i="9"/>
  <c r="F42" i="9" s="1"/>
  <c r="F111" i="9"/>
  <c r="D32" i="9"/>
  <c r="D42" i="9" s="1"/>
  <c r="F123" i="9"/>
  <c r="F125" i="9"/>
  <c r="F146" i="9"/>
  <c r="F156" i="9"/>
  <c r="F143" i="9"/>
  <c r="E123" i="9"/>
  <c r="E156" i="9"/>
  <c r="E143" i="9"/>
  <c r="E125" i="9"/>
  <c r="E32" i="9"/>
  <c r="E42" i="9" s="1"/>
  <c r="E111" i="9"/>
  <c r="E173" i="20"/>
  <c r="D125" i="9"/>
  <c r="G122" i="9"/>
  <c r="G160" i="9"/>
  <c r="G151" i="9"/>
  <c r="G112" i="9"/>
  <c r="G150" i="9"/>
  <c r="G118" i="9"/>
  <c r="G155" i="9"/>
  <c r="G32" i="9"/>
  <c r="G42" i="9" s="1"/>
  <c r="G111" i="9"/>
  <c r="D21" i="9"/>
  <c r="H123" i="9"/>
  <c r="D26" i="17" s="1"/>
  <c r="H146" i="9"/>
  <c r="H156" i="9"/>
  <c r="H143" i="9"/>
  <c r="H125" i="9"/>
  <c r="H127" i="9" s="1"/>
  <c r="G146" i="9"/>
  <c r="G137" i="9"/>
  <c r="G124" i="9"/>
  <c r="G156" i="9"/>
  <c r="G143" i="9"/>
  <c r="G123" i="9"/>
  <c r="G125" i="9"/>
  <c r="D126" i="9"/>
  <c r="E153" i="20" s="1"/>
  <c r="H42" i="9"/>
  <c r="H12" i="48" l="1"/>
  <c r="P43" i="48"/>
  <c r="H30" i="63"/>
  <c r="G45" i="5" s="1"/>
  <c r="H123" i="63"/>
  <c r="G57" i="5" s="1"/>
  <c r="H29" i="17"/>
  <c r="H128" i="63"/>
  <c r="H35" i="17"/>
  <c r="F173" i="20"/>
  <c r="H143" i="63"/>
  <c r="H52" i="17"/>
  <c r="L130" i="63"/>
  <c r="L37" i="17"/>
  <c r="H141" i="63"/>
  <c r="H50" i="17"/>
  <c r="H174" i="20"/>
  <c r="J144" i="63"/>
  <c r="J53" i="17"/>
  <c r="E152" i="20"/>
  <c r="D127" i="9"/>
  <c r="E154" i="20" s="1"/>
  <c r="F32" i="20"/>
  <c r="E170" i="20"/>
  <c r="D123" i="9"/>
  <c r="E150" i="20" s="1"/>
  <c r="D139" i="9"/>
  <c r="E166" i="20" s="1"/>
  <c r="D129" i="9"/>
  <c r="E156" i="20" s="1"/>
  <c r="D130" i="9"/>
  <c r="E157" i="20" s="1"/>
  <c r="E183" i="20"/>
  <c r="E161" i="20"/>
  <c r="J160" i="20"/>
  <c r="G127" i="9"/>
  <c r="E127" i="9"/>
  <c r="F127" i="9"/>
  <c r="F41" i="44"/>
  <c r="G32" i="20" l="1"/>
  <c r="H32" i="20" s="1"/>
  <c r="I32" i="20" s="1"/>
  <c r="J32" i="20" s="1"/>
  <c r="H122" i="63"/>
  <c r="H28" i="17"/>
  <c r="H38" i="17"/>
  <c r="H131" i="63"/>
  <c r="H140" i="63"/>
  <c r="G58" i="5" s="1"/>
  <c r="H49" i="17"/>
  <c r="M130" i="63"/>
  <c r="M37" i="17"/>
  <c r="H63" i="17"/>
  <c r="H153" i="63"/>
  <c r="G44" i="5" s="1"/>
  <c r="G173" i="20"/>
  <c r="I143" i="63"/>
  <c r="I52" i="17"/>
  <c r="H127" i="63"/>
  <c r="H34" i="17"/>
  <c r="H126" i="63"/>
  <c r="H33" i="17"/>
  <c r="H44" i="17"/>
  <c r="H136" i="63"/>
  <c r="H120" i="63"/>
  <c r="G56" i="5" s="1"/>
  <c r="H26" i="17"/>
  <c r="H124" i="63"/>
  <c r="H30" i="17"/>
  <c r="I174" i="20"/>
  <c r="K144" i="63"/>
  <c r="K53" i="17"/>
  <c r="B38" i="19"/>
  <c r="B39" i="19" s="1"/>
  <c r="B40" i="19" s="1"/>
  <c r="B17" i="11"/>
  <c r="B18" i="11" s="1"/>
  <c r="B19" i="11" s="1"/>
  <c r="B20" i="11" s="1"/>
  <c r="B21" i="11" s="1"/>
  <c r="B22" i="11" s="1"/>
  <c r="B23" i="11" s="1"/>
  <c r="B24" i="11" s="1"/>
  <c r="G14" i="57"/>
  <c r="H14" i="57"/>
  <c r="I14" i="57"/>
  <c r="H42" i="44"/>
  <c r="G41" i="44"/>
  <c r="H41" i="44" s="1"/>
  <c r="G42" i="44"/>
  <c r="F42" i="44"/>
  <c r="E10" i="13"/>
  <c r="D8" i="50" s="1"/>
  <c r="R11" i="57"/>
  <c r="S11" i="57" s="1"/>
  <c r="T11" i="57" s="1"/>
  <c r="U11" i="57" s="1"/>
  <c r="L11" i="57"/>
  <c r="M11" i="57" s="1"/>
  <c r="N11" i="57" s="1"/>
  <c r="O11" i="57" s="1"/>
  <c r="F11" i="57"/>
  <c r="G11" i="57" s="1"/>
  <c r="H11" i="57" s="1"/>
  <c r="I11" i="57" s="1"/>
  <c r="E15" i="56"/>
  <c r="D15" i="56"/>
  <c r="D16" i="56" s="1"/>
  <c r="M36" i="22"/>
  <c r="L36" i="22"/>
  <c r="K36" i="22"/>
  <c r="J36" i="22"/>
  <c r="M34" i="22"/>
  <c r="L34" i="22"/>
  <c r="K34" i="22"/>
  <c r="E32" i="22"/>
  <c r="F32" i="22" s="1"/>
  <c r="G32" i="22" s="1"/>
  <c r="H32" i="22" s="1"/>
  <c r="I32" i="22" s="1"/>
  <c r="J32" i="22" s="1"/>
  <c r="K32" i="22" s="1"/>
  <c r="L32" i="22" s="1"/>
  <c r="M32" i="22" s="1"/>
  <c r="H173" i="20" l="1"/>
  <c r="J52" i="17"/>
  <c r="J143" i="63"/>
  <c r="J174" i="20"/>
  <c r="L144" i="63"/>
  <c r="L53" i="17"/>
  <c r="E16" i="56"/>
  <c r="D26" i="56" s="1"/>
  <c r="J16" i="56"/>
  <c r="E63" i="22"/>
  <c r="F63" i="22" s="1"/>
  <c r="G63" i="22" s="1"/>
  <c r="H63" i="22" s="1"/>
  <c r="I63" i="22" s="1"/>
  <c r="J63" i="22" s="1"/>
  <c r="K63" i="22" s="1"/>
  <c r="L63" i="22" s="1"/>
  <c r="M63" i="22" s="1"/>
  <c r="I173" i="20" l="1"/>
  <c r="K143" i="63"/>
  <c r="K52" i="17"/>
  <c r="M144" i="63"/>
  <c r="M53" i="17"/>
  <c r="D25" i="56"/>
  <c r="D22" i="56"/>
  <c r="D29" i="56"/>
  <c r="D28" i="56"/>
  <c r="D24" i="56"/>
  <c r="D23" i="56"/>
  <c r="D30" i="56"/>
  <c r="D27" i="56"/>
  <c r="D21" i="56"/>
  <c r="G67" i="22"/>
  <c r="J173" i="20" l="1"/>
  <c r="L52" i="17"/>
  <c r="L143" i="63"/>
  <c r="D31" i="56"/>
  <c r="H67" i="22"/>
  <c r="H44" i="22"/>
  <c r="G44" i="22"/>
  <c r="F44" i="22"/>
  <c r="E42" i="22"/>
  <c r="F42" i="22" s="1"/>
  <c r="G42" i="22" s="1"/>
  <c r="H42" i="22" s="1"/>
  <c r="M143" i="63" l="1"/>
  <c r="M52" i="17"/>
  <c r="I67" i="22"/>
  <c r="I50" i="22" s="1"/>
  <c r="I52" i="22" s="1"/>
  <c r="Q47" i="23"/>
  <c r="Q46" i="23"/>
  <c r="Q45" i="23"/>
  <c r="Q44" i="23"/>
  <c r="I87" i="22" l="1"/>
  <c r="I53" i="22"/>
  <c r="E67" i="18" s="1"/>
  <c r="J67" i="22"/>
  <c r="J50" i="22" s="1"/>
  <c r="J77" i="22"/>
  <c r="J75" i="22"/>
  <c r="J76" i="22" l="1"/>
  <c r="I80" i="22"/>
  <c r="E66" i="18" s="1"/>
  <c r="K67" i="22"/>
  <c r="K50" i="22" s="1"/>
  <c r="K76" i="22"/>
  <c r="K75" i="22"/>
  <c r="K77" i="22"/>
  <c r="L67" i="22" l="1"/>
  <c r="L50" i="22" s="1"/>
  <c r="L77" i="22"/>
  <c r="L75" i="22"/>
  <c r="L76" i="22"/>
  <c r="M67" i="22" l="1"/>
  <c r="M50" i="22" s="1"/>
  <c r="M76" i="22"/>
  <c r="M75" i="22"/>
  <c r="M77" i="22"/>
  <c r="J74" i="22"/>
  <c r="E65" i="18"/>
  <c r="F29" i="48"/>
  <c r="G29" i="48"/>
  <c r="D75" i="14" s="1"/>
  <c r="H26" i="44"/>
  <c r="G26" i="44"/>
  <c r="F26" i="44"/>
  <c r="I26" i="44"/>
  <c r="P56" i="48" a="1"/>
  <c r="P56" i="48" s="1"/>
  <c r="P63" i="48" s="1"/>
  <c r="P37" i="48"/>
  <c r="O37" i="48"/>
  <c r="N37" i="48"/>
  <c r="M37" i="48"/>
  <c r="P36" i="48"/>
  <c r="O36" i="48"/>
  <c r="N36" i="48"/>
  <c r="M36" i="48"/>
  <c r="P35" i="48"/>
  <c r="O35" i="48"/>
  <c r="N35" i="48"/>
  <c r="M35" i="48"/>
  <c r="P31" i="48"/>
  <c r="O31" i="48"/>
  <c r="N31" i="48"/>
  <c r="M31" i="48"/>
  <c r="P30" i="48"/>
  <c r="O30" i="48"/>
  <c r="N30" i="48"/>
  <c r="M30" i="48"/>
  <c r="P29" i="48"/>
  <c r="O29" i="48"/>
  <c r="N29" i="48"/>
  <c r="M29" i="48"/>
  <c r="P28" i="48"/>
  <c r="O28" i="48"/>
  <c r="N28" i="48"/>
  <c r="M28" i="48"/>
  <c r="G37" i="48"/>
  <c r="D83" i="14" s="1"/>
  <c r="G36" i="48"/>
  <c r="D82" i="14" s="1"/>
  <c r="G35" i="48"/>
  <c r="D81" i="14" s="1"/>
  <c r="G31" i="48"/>
  <c r="D77" i="14" s="1"/>
  <c r="G30" i="48"/>
  <c r="D76" i="14" s="1"/>
  <c r="G28" i="48"/>
  <c r="D74" i="14" s="1"/>
  <c r="F37" i="48"/>
  <c r="F36" i="48"/>
  <c r="F35" i="48"/>
  <c r="D139" i="63" l="1"/>
  <c r="D48" i="17"/>
  <c r="F48" i="17"/>
  <c r="F139" i="63"/>
  <c r="G139" i="63"/>
  <c r="G48" i="17"/>
  <c r="E48" i="17"/>
  <c r="E139" i="63"/>
  <c r="J79" i="22"/>
  <c r="J83" i="22" s="1"/>
  <c r="F21" i="56"/>
  <c r="F23" i="56"/>
  <c r="F14" i="56"/>
  <c r="F24" i="56"/>
  <c r="F13" i="56"/>
  <c r="F16" i="56"/>
  <c r="F26" i="56"/>
  <c r="F25" i="56"/>
  <c r="K74" i="22"/>
  <c r="P66" i="48"/>
  <c r="P64" i="48"/>
  <c r="P65" i="48"/>
  <c r="C27" i="44"/>
  <c r="C28" i="44" s="1"/>
  <c r="C29" i="44" s="1"/>
  <c r="C30" i="44" s="1"/>
  <c r="K79" i="22" l="1"/>
  <c r="K83" i="22" s="1"/>
  <c r="J84" i="22"/>
  <c r="J86" i="22"/>
  <c r="J85" i="22"/>
  <c r="F15" i="56"/>
  <c r="F31" i="56"/>
  <c r="L74" i="22"/>
  <c r="L79" i="22" s="1"/>
  <c r="L86" i="22" s="1"/>
  <c r="C31" i="44"/>
  <c r="C32" i="44" s="1"/>
  <c r="C33" i="44" s="1"/>
  <c r="K85" i="22" l="1"/>
  <c r="K86" i="22"/>
  <c r="K84" i="22"/>
  <c r="M74" i="22"/>
  <c r="M79" i="22" s="1"/>
  <c r="M86" i="22" s="1"/>
  <c r="I37" i="48"/>
  <c r="I36" i="48"/>
  <c r="I35" i="48"/>
  <c r="I30" i="48"/>
  <c r="I31" i="48"/>
  <c r="E86" i="14"/>
  <c r="E85" i="14"/>
  <c r="E87" i="14"/>
  <c r="E84" i="14"/>
  <c r="J37" i="48" l="1"/>
  <c r="U37" i="48" s="1"/>
  <c r="J30" i="48"/>
  <c r="U30" i="48" s="1"/>
  <c r="J31" i="48"/>
  <c r="U31" i="48" s="1"/>
  <c r="J36" i="48"/>
  <c r="U36" i="48" s="1"/>
  <c r="J35" i="48"/>
  <c r="U35" i="48" s="1"/>
  <c r="P44" i="23"/>
  <c r="P45" i="23"/>
  <c r="P46" i="23"/>
  <c r="P47" i="23"/>
  <c r="K35" i="48" l="1"/>
  <c r="T35" i="48" s="1"/>
  <c r="K37" i="48"/>
  <c r="S37" i="48" s="1"/>
  <c r="K30" i="48"/>
  <c r="T30" i="48" s="1"/>
  <c r="U28" i="48"/>
  <c r="G74" i="14"/>
  <c r="K36" i="48"/>
  <c r="S36" i="48" s="1"/>
  <c r="K31" i="48"/>
  <c r="T31" i="48" s="1"/>
  <c r="E19" i="14"/>
  <c r="E17" i="13" s="1"/>
  <c r="F68" i="34"/>
  <c r="G67" i="34"/>
  <c r="F67" i="34"/>
  <c r="G66" i="34"/>
  <c r="F66" i="34"/>
  <c r="G65" i="34"/>
  <c r="F65" i="34"/>
  <c r="G64" i="34"/>
  <c r="F64" i="34"/>
  <c r="G63" i="34"/>
  <c r="F63" i="34"/>
  <c r="G62" i="34"/>
  <c r="F62" i="34"/>
  <c r="G61" i="34"/>
  <c r="F61" i="34"/>
  <c r="G60" i="34"/>
  <c r="F60" i="34"/>
  <c r="G59" i="34"/>
  <c r="F59" i="34"/>
  <c r="G58" i="34"/>
  <c r="F58" i="34"/>
  <c r="G57" i="34"/>
  <c r="G56" i="34"/>
  <c r="G55" i="34"/>
  <c r="G54" i="34"/>
  <c r="G53" i="34"/>
  <c r="G52" i="34"/>
  <c r="G51" i="34"/>
  <c r="G50" i="34"/>
  <c r="G49" i="34"/>
  <c r="G48" i="34"/>
  <c r="G47" i="34"/>
  <c r="G46" i="34"/>
  <c r="G45" i="34"/>
  <c r="G44" i="34"/>
  <c r="G43" i="34"/>
  <c r="G42" i="34"/>
  <c r="G41" i="34"/>
  <c r="G40" i="34"/>
  <c r="G39" i="34"/>
  <c r="G38" i="34"/>
  <c r="G37" i="34"/>
  <c r="G36" i="34"/>
  <c r="G35" i="34"/>
  <c r="G34" i="34"/>
  <c r="G33" i="34"/>
  <c r="G32" i="34"/>
  <c r="G31" i="34"/>
  <c r="G30" i="34"/>
  <c r="G29" i="34"/>
  <c r="G28" i="34"/>
  <c r="G27" i="34"/>
  <c r="G26" i="34"/>
  <c r="G25" i="34"/>
  <c r="G24" i="34"/>
  <c r="G23" i="34"/>
  <c r="G22" i="34"/>
  <c r="G21" i="34"/>
  <c r="G20" i="34"/>
  <c r="G19" i="34"/>
  <c r="G18" i="34"/>
  <c r="G17" i="34"/>
  <c r="G16" i="34"/>
  <c r="G15" i="34"/>
  <c r="G14" i="34"/>
  <c r="G13" i="34"/>
  <c r="G12" i="34"/>
  <c r="G11" i="34"/>
  <c r="B11" i="27"/>
  <c r="B12" i="27" s="1"/>
  <c r="B13" i="27" s="1"/>
  <c r="B14" i="27" s="1"/>
  <c r="B15" i="27" s="1"/>
  <c r="B16" i="27" s="1"/>
  <c r="B17" i="27" s="1"/>
  <c r="B18" i="27" s="1"/>
  <c r="B19" i="27" s="1"/>
  <c r="B9" i="24"/>
  <c r="B10" i="24" s="1"/>
  <c r="B11" i="24" s="1"/>
  <c r="B12" i="24" s="1"/>
  <c r="B11" i="19"/>
  <c r="B12" i="19" s="1"/>
  <c r="B13" i="19" s="1"/>
  <c r="B14" i="19" s="1"/>
  <c r="B15" i="19" s="1"/>
  <c r="B16" i="19" s="1"/>
  <c r="B17" i="19" s="1"/>
  <c r="B18" i="19" s="1"/>
  <c r="B19" i="19" s="1"/>
  <c r="B20" i="19" s="1"/>
  <c r="B21" i="19" s="1"/>
  <c r="B22" i="19" s="1"/>
  <c r="B23" i="19" s="1"/>
  <c r="B24" i="19" s="1"/>
  <c r="B25" i="19" s="1"/>
  <c r="B26" i="19" s="1"/>
  <c r="B27" i="19" s="1"/>
  <c r="B28" i="19" s="1"/>
  <c r="B29" i="19" s="1"/>
  <c r="B30" i="19" s="1"/>
  <c r="B31" i="19" s="1"/>
  <c r="B32" i="19" s="1"/>
  <c r="B33" i="19" s="1"/>
  <c r="B34" i="19" s="1"/>
  <c r="B35" i="19" s="1"/>
  <c r="B36" i="19" s="1"/>
  <c r="B37" i="19" s="1"/>
  <c r="B16" i="11"/>
  <c r="B15" i="11"/>
  <c r="B14" i="11"/>
  <c r="B13" i="11"/>
  <c r="B12" i="11"/>
  <c r="B11" i="11"/>
  <c r="B10" i="11"/>
  <c r="B9" i="11"/>
  <c r="E92" i="22"/>
  <c r="F92" i="22" s="1"/>
  <c r="G92" i="22" s="1"/>
  <c r="H92" i="22" s="1"/>
  <c r="I92" i="22" s="1"/>
  <c r="J92" i="22" s="1"/>
  <c r="K92" i="22" s="1"/>
  <c r="L92" i="22" s="1"/>
  <c r="M92" i="22" s="1"/>
  <c r="E82" i="22"/>
  <c r="F82" i="22" s="1"/>
  <c r="G82" i="22" s="1"/>
  <c r="H82" i="22" s="1"/>
  <c r="I82" i="22" s="1"/>
  <c r="J82" i="22" s="1"/>
  <c r="K82" i="22" s="1"/>
  <c r="L82" i="22" s="1"/>
  <c r="M82" i="22" s="1"/>
  <c r="E73" i="22"/>
  <c r="F73" i="22" s="1"/>
  <c r="G73" i="22" s="1"/>
  <c r="H73" i="22" s="1"/>
  <c r="I73" i="22" s="1"/>
  <c r="J73" i="22" s="1"/>
  <c r="K73" i="22" s="1"/>
  <c r="L73" i="22" s="1"/>
  <c r="M73" i="22" s="1"/>
  <c r="E55" i="22"/>
  <c r="F55" i="22" s="1"/>
  <c r="G55" i="22" s="1"/>
  <c r="H55" i="22" s="1"/>
  <c r="I55" i="22" s="1"/>
  <c r="J55" i="22" s="1"/>
  <c r="K55" i="22" s="1"/>
  <c r="L55" i="22" s="1"/>
  <c r="M55" i="22" s="1"/>
  <c r="G52" i="22"/>
  <c r="F52" i="22"/>
  <c r="E52" i="22"/>
  <c r="E48" i="22"/>
  <c r="F48" i="22" s="1"/>
  <c r="G48" i="22" s="1"/>
  <c r="H48" i="22" s="1"/>
  <c r="I48" i="22" s="1"/>
  <c r="J48" i="22" s="1"/>
  <c r="K48" i="22" s="1"/>
  <c r="L48" i="22" s="1"/>
  <c r="M48" i="22" s="1"/>
  <c r="O47" i="23"/>
  <c r="N47" i="23"/>
  <c r="K47" i="23"/>
  <c r="I47" i="23"/>
  <c r="H47" i="23"/>
  <c r="G47" i="23"/>
  <c r="F47" i="23"/>
  <c r="O46" i="23"/>
  <c r="E34" i="14" s="1"/>
  <c r="N46" i="23"/>
  <c r="K46" i="23"/>
  <c r="F47" i="14" s="1"/>
  <c r="J46" i="23"/>
  <c r="I46" i="23"/>
  <c r="H46" i="23"/>
  <c r="G46" i="23"/>
  <c r="F46" i="23"/>
  <c r="O45" i="23"/>
  <c r="N45" i="23"/>
  <c r="K45" i="23"/>
  <c r="J45" i="23"/>
  <c r="I45" i="23"/>
  <c r="H45" i="23"/>
  <c r="G45" i="23"/>
  <c r="F45" i="23"/>
  <c r="O44" i="23"/>
  <c r="E35" i="13"/>
  <c r="E29" i="13" s="1"/>
  <c r="O43" i="48" s="1"/>
  <c r="G10" i="21"/>
  <c r="H10" i="21" s="1"/>
  <c r="I10" i="21" s="1"/>
  <c r="J10" i="21" s="1"/>
  <c r="H19" i="40"/>
  <c r="H18" i="40"/>
  <c r="H17" i="40"/>
  <c r="E8" i="17"/>
  <c r="F8" i="17" s="1"/>
  <c r="G8" i="17" s="1"/>
  <c r="H8" i="17" s="1"/>
  <c r="E17" i="14"/>
  <c r="H21" i="17"/>
  <c r="H100" i="9"/>
  <c r="G100" i="9"/>
  <c r="E100" i="9"/>
  <c r="D100" i="9"/>
  <c r="E127" i="20" s="1"/>
  <c r="H100" i="63" s="1"/>
  <c r="H92" i="9"/>
  <c r="G92" i="9"/>
  <c r="F92" i="9"/>
  <c r="F103" i="9" s="1"/>
  <c r="E92" i="9"/>
  <c r="E103" i="9" s="1"/>
  <c r="D92" i="9"/>
  <c r="H47" i="9"/>
  <c r="H161" i="9" s="1"/>
  <c r="F47" i="9"/>
  <c r="F161" i="9" s="1"/>
  <c r="E47" i="9"/>
  <c r="E161" i="9" s="1"/>
  <c r="D47" i="9"/>
  <c r="D44" i="9"/>
  <c r="D70" i="9" s="1"/>
  <c r="D108" i="9" s="1"/>
  <c r="E10" i="9"/>
  <c r="E44" i="9" s="1"/>
  <c r="E70" i="9" s="1"/>
  <c r="E108" i="9" s="1"/>
  <c r="F26" i="13"/>
  <c r="F25" i="13" s="1"/>
  <c r="D33" i="13"/>
  <c r="I47" i="18"/>
  <c r="H47" i="18"/>
  <c r="G47" i="18"/>
  <c r="F47" i="18"/>
  <c r="I43" i="18"/>
  <c r="H43" i="18"/>
  <c r="G43" i="18"/>
  <c r="F43" i="18"/>
  <c r="B10" i="10"/>
  <c r="B11" i="10" s="1"/>
  <c r="B12" i="10" s="1"/>
  <c r="B13" i="10" s="1"/>
  <c r="B14" i="10" s="1"/>
  <c r="B15" i="10" s="1"/>
  <c r="B16" i="10" s="1"/>
  <c r="B17" i="10" s="1"/>
  <c r="B18" i="10" s="1"/>
  <c r="B19" i="10" s="1"/>
  <c r="F33" i="22" l="1"/>
  <c r="F56" i="22"/>
  <c r="F19" i="14"/>
  <c r="E18" i="13"/>
  <c r="F80" i="13" s="1"/>
  <c r="E23" i="14"/>
  <c r="G53" i="17"/>
  <c r="G144" i="63"/>
  <c r="E20" i="13"/>
  <c r="H74" i="14"/>
  <c r="H84" i="14" s="1"/>
  <c r="E33" i="13"/>
  <c r="F26" i="14"/>
  <c r="K16" i="34"/>
  <c r="J13" i="34"/>
  <c r="J15" i="34"/>
  <c r="E119" i="20"/>
  <c r="H92" i="63" s="1"/>
  <c r="D103" i="9"/>
  <c r="E130" i="20" s="1"/>
  <c r="F98" i="20" s="1"/>
  <c r="E188" i="20"/>
  <c r="E176" i="20"/>
  <c r="D112" i="9"/>
  <c r="D25" i="18"/>
  <c r="E33" i="22"/>
  <c r="E35" i="22" s="1"/>
  <c r="E87" i="22"/>
  <c r="F87" i="22"/>
  <c r="G33" i="22"/>
  <c r="G35" i="22" s="1"/>
  <c r="G37" i="22" s="1"/>
  <c r="G87" i="22"/>
  <c r="F57" i="22"/>
  <c r="F58" i="22"/>
  <c r="G57" i="22"/>
  <c r="G58" i="22"/>
  <c r="G56" i="22"/>
  <c r="E56" i="22"/>
  <c r="E57" i="22"/>
  <c r="E58" i="22"/>
  <c r="H87" i="22"/>
  <c r="D84" i="13" s="1"/>
  <c r="G53" i="22"/>
  <c r="D52" i="22"/>
  <c r="D151" i="9"/>
  <c r="E181" i="20"/>
  <c r="E180" i="20"/>
  <c r="F151" i="9"/>
  <c r="F122" i="9"/>
  <c r="F155" i="9"/>
  <c r="F112" i="9"/>
  <c r="F150" i="9"/>
  <c r="F118" i="9"/>
  <c r="F149" i="9"/>
  <c r="F160" i="9"/>
  <c r="F137" i="9"/>
  <c r="F124" i="9"/>
  <c r="H118" i="9"/>
  <c r="H160" i="9"/>
  <c r="H151" i="9"/>
  <c r="H112" i="9"/>
  <c r="H122" i="9"/>
  <c r="H155" i="9"/>
  <c r="H150" i="9"/>
  <c r="H137" i="9"/>
  <c r="G149" i="9"/>
  <c r="H124" i="9"/>
  <c r="E37" i="20"/>
  <c r="E14" i="20" s="1"/>
  <c r="F14" i="20" s="1"/>
  <c r="E182" i="20"/>
  <c r="D122" i="9"/>
  <c r="E149" i="20" s="1"/>
  <c r="E177" i="20"/>
  <c r="D138" i="9"/>
  <c r="E165" i="20" s="1"/>
  <c r="D118" i="9"/>
  <c r="E145" i="20" s="1"/>
  <c r="H115" i="63" s="1"/>
  <c r="D117" i="9"/>
  <c r="E144" i="20" s="1"/>
  <c r="H114" i="63" s="1"/>
  <c r="D124" i="9"/>
  <c r="E151" i="20" s="1"/>
  <c r="D137" i="9"/>
  <c r="E184" i="20"/>
  <c r="E150" i="9"/>
  <c r="E122" i="9"/>
  <c r="E160" i="9"/>
  <c r="E118" i="9"/>
  <c r="E149" i="9"/>
  <c r="E112" i="9"/>
  <c r="E155" i="9"/>
  <c r="E151" i="9"/>
  <c r="E137" i="9"/>
  <c r="E124" i="9"/>
  <c r="I20" i="40"/>
  <c r="D13" i="21" a="1"/>
  <c r="D13" i="21" s="1"/>
  <c r="H103" i="9"/>
  <c r="G103" i="9"/>
  <c r="H19" i="50"/>
  <c r="C19" i="50" s="1"/>
  <c r="H18" i="50"/>
  <c r="C18" i="50" s="1"/>
  <c r="C13" i="50" s="1"/>
  <c r="E15" i="44"/>
  <c r="E43" i="13"/>
  <c r="N26" i="44"/>
  <c r="T37" i="48"/>
  <c r="R31" i="48"/>
  <c r="R30" i="48"/>
  <c r="S30" i="48"/>
  <c r="R36" i="48"/>
  <c r="T36" i="48"/>
  <c r="K28" i="48"/>
  <c r="R37" i="48"/>
  <c r="S35" i="48"/>
  <c r="R35" i="48"/>
  <c r="S31" i="48"/>
  <c r="F35" i="22"/>
  <c r="F18" i="14"/>
  <c r="F53" i="22"/>
  <c r="H15" i="20"/>
  <c r="I15" i="20"/>
  <c r="J15" i="20"/>
  <c r="G80" i="22"/>
  <c r="H80" i="22"/>
  <c r="J80" i="22"/>
  <c r="F66" i="18" s="1"/>
  <c r="L80" i="22"/>
  <c r="H66" i="18" s="1"/>
  <c r="L85" i="22"/>
  <c r="L84" i="22"/>
  <c r="L83" i="22"/>
  <c r="K80" i="22"/>
  <c r="G66" i="18" s="1"/>
  <c r="M80" i="22"/>
  <c r="I66" i="18" s="1"/>
  <c r="M84" i="22"/>
  <c r="M85" i="22"/>
  <c r="M83" i="22"/>
  <c r="I85" i="22"/>
  <c r="I84" i="22"/>
  <c r="I83" i="22"/>
  <c r="F83" i="22"/>
  <c r="F84" i="22"/>
  <c r="E85" i="22"/>
  <c r="F85" i="22"/>
  <c r="E84" i="22"/>
  <c r="G83" i="22"/>
  <c r="G85" i="22"/>
  <c r="G84" i="22"/>
  <c r="E83" i="22"/>
  <c r="F65" i="18"/>
  <c r="H21" i="5"/>
  <c r="H22" i="5" s="1"/>
  <c r="G147" i="9"/>
  <c r="F147" i="9"/>
  <c r="H147" i="9"/>
  <c r="E110" i="9"/>
  <c r="E102" i="9"/>
  <c r="H102" i="9"/>
  <c r="H18" i="48"/>
  <c r="G18" i="48"/>
  <c r="F18" i="48"/>
  <c r="E18" i="48"/>
  <c r="H15" i="48"/>
  <c r="F15" i="48"/>
  <c r="G15" i="48"/>
  <c r="E15" i="48"/>
  <c r="D102" i="9"/>
  <c r="E129" i="20" s="1"/>
  <c r="H102" i="63" s="1"/>
  <c r="I29" i="48"/>
  <c r="O37" i="13"/>
  <c r="L26" i="44"/>
  <c r="K26" i="44"/>
  <c r="M26" i="44"/>
  <c r="G26" i="13"/>
  <c r="G25" i="13" s="1"/>
  <c r="F17" i="14"/>
  <c r="G102" i="9"/>
  <c r="F10" i="9"/>
  <c r="F44" i="9" s="1"/>
  <c r="F70" i="9" s="1"/>
  <c r="F108" i="9" s="1"/>
  <c r="E30" i="20"/>
  <c r="F30" i="20" s="1"/>
  <c r="G30" i="20" s="1"/>
  <c r="H30" i="20" s="1"/>
  <c r="I30" i="20" s="1"/>
  <c r="J30" i="20" s="1"/>
  <c r="D51" i="18"/>
  <c r="F102" i="9"/>
  <c r="G117" i="9"/>
  <c r="H20" i="17"/>
  <c r="F71" i="20"/>
  <c r="I45" i="63" s="1"/>
  <c r="D48" i="14"/>
  <c r="E35" i="14" s="1"/>
  <c r="I88" i="22" l="1"/>
  <c r="G14" i="20"/>
  <c r="F37" i="20"/>
  <c r="H158" i="63"/>
  <c r="H68" i="17"/>
  <c r="D57" i="20"/>
  <c r="E24" i="20" s="1"/>
  <c r="F24" i="20" s="1"/>
  <c r="D47" i="20"/>
  <c r="E27" i="13"/>
  <c r="H11" i="63"/>
  <c r="G43" i="5" s="1"/>
  <c r="E12" i="48"/>
  <c r="D12" i="21"/>
  <c r="F13" i="21" s="1"/>
  <c r="H154" i="63"/>
  <c r="G52" i="5" s="1"/>
  <c r="H64" i="17"/>
  <c r="H150" i="63"/>
  <c r="H60" i="17"/>
  <c r="H61" i="17"/>
  <c r="H151" i="63"/>
  <c r="H146" i="63"/>
  <c r="H56" i="17"/>
  <c r="H27" i="17"/>
  <c r="H121" i="63"/>
  <c r="I71" i="63"/>
  <c r="H103" i="63"/>
  <c r="H135" i="63"/>
  <c r="H43" i="17"/>
  <c r="H57" i="17"/>
  <c r="H147" i="63"/>
  <c r="H25" i="17"/>
  <c r="H119" i="63"/>
  <c r="G53" i="5" s="1"/>
  <c r="H152" i="63"/>
  <c r="H62" i="17"/>
  <c r="E53" i="17"/>
  <c r="E144" i="63"/>
  <c r="E36" i="14"/>
  <c r="J43" i="48"/>
  <c r="U43" i="48" s="1"/>
  <c r="D53" i="17"/>
  <c r="D144" i="63"/>
  <c r="F53" i="17"/>
  <c r="F144" i="63"/>
  <c r="T28" i="48"/>
  <c r="S28" i="48"/>
  <c r="R28" i="48"/>
  <c r="E164" i="20"/>
  <c r="D140" i="9"/>
  <c r="E167" i="20" s="1"/>
  <c r="D57" i="18"/>
  <c r="E31" i="20"/>
  <c r="F31" i="20" s="1"/>
  <c r="G31" i="20" s="1"/>
  <c r="H31" i="20" s="1"/>
  <c r="I31" i="20" s="1"/>
  <c r="J31" i="20" s="1"/>
  <c r="E187" i="20"/>
  <c r="D152" i="9"/>
  <c r="E179" i="20" s="1"/>
  <c r="E139" i="20"/>
  <c r="H109" i="63" s="1"/>
  <c r="D113" i="9"/>
  <c r="F109" i="20"/>
  <c r="I82" i="63" s="1"/>
  <c r="F108" i="20"/>
  <c r="I81" i="63" s="1"/>
  <c r="D87" i="20"/>
  <c r="D83" i="20"/>
  <c r="D88" i="20"/>
  <c r="D80" i="20"/>
  <c r="D81" i="20"/>
  <c r="D49" i="20"/>
  <c r="E20" i="20" s="1"/>
  <c r="F20" i="20" s="1"/>
  <c r="D62" i="20"/>
  <c r="D38" i="20"/>
  <c r="E16" i="20" s="1"/>
  <c r="D41" i="20"/>
  <c r="E17" i="20" s="1"/>
  <c r="D33" i="18"/>
  <c r="D33" i="22"/>
  <c r="D35" i="22" s="1"/>
  <c r="D87" i="22"/>
  <c r="D37" i="22"/>
  <c r="D57" i="22"/>
  <c r="D58" i="22"/>
  <c r="D56" i="22"/>
  <c r="D59" i="22" s="1"/>
  <c r="H56" i="22"/>
  <c r="H58" i="22"/>
  <c r="H57" i="22"/>
  <c r="E37" i="22"/>
  <c r="D83" i="22"/>
  <c r="D85" i="22"/>
  <c r="G36" i="22"/>
  <c r="E53" i="22"/>
  <c r="H53" i="22"/>
  <c r="H84" i="22"/>
  <c r="D81" i="13" s="1"/>
  <c r="H33" i="22"/>
  <c r="D84" i="22"/>
  <c r="D21" i="18"/>
  <c r="E57" i="18"/>
  <c r="F16" i="21" s="1"/>
  <c r="E43" i="18"/>
  <c r="E15" i="20"/>
  <c r="D17" i="18"/>
  <c r="D45" i="20"/>
  <c r="E22" i="20" s="1"/>
  <c r="F22" i="20" s="1"/>
  <c r="D50" i="20"/>
  <c r="E21" i="20" s="1"/>
  <c r="D84" i="20"/>
  <c r="D58" i="20"/>
  <c r="D54" i="20"/>
  <c r="D53" i="20"/>
  <c r="D51" i="20"/>
  <c r="D56" i="20"/>
  <c r="D46" i="20"/>
  <c r="D55" i="20"/>
  <c r="D44" i="20"/>
  <c r="D52" i="20"/>
  <c r="E39" i="20"/>
  <c r="I21" i="40"/>
  <c r="F22" i="40"/>
  <c r="D89" i="20"/>
  <c r="D75" i="20"/>
  <c r="D70" i="20"/>
  <c r="D90" i="20"/>
  <c r="D63" i="20"/>
  <c r="D68" i="20"/>
  <c r="D37" i="20"/>
  <c r="D43" i="20"/>
  <c r="D65" i="20"/>
  <c r="D82" i="20"/>
  <c r="D42" i="20"/>
  <c r="E18" i="20" s="1"/>
  <c r="D71" i="20"/>
  <c r="G110" i="9"/>
  <c r="D69" i="20"/>
  <c r="D76" i="20"/>
  <c r="G10" i="9"/>
  <c r="G44" i="9" s="1"/>
  <c r="G70" i="9" s="1"/>
  <c r="G108" i="9" s="1"/>
  <c r="G89" i="20"/>
  <c r="J63" i="63" s="1"/>
  <c r="E116" i="9"/>
  <c r="G116" i="9"/>
  <c r="G138" i="9"/>
  <c r="F37" i="22"/>
  <c r="F34" i="22"/>
  <c r="G34" i="22"/>
  <c r="H85" i="22"/>
  <c r="D82" i="13" s="1"/>
  <c r="H83" i="22"/>
  <c r="D80" i="13" s="1"/>
  <c r="H53" i="18"/>
  <c r="I53" i="18" s="1"/>
  <c r="E52" i="18"/>
  <c r="E88" i="22"/>
  <c r="F88" i="22"/>
  <c r="D77" i="20"/>
  <c r="G88" i="22"/>
  <c r="F59" i="22"/>
  <c r="E59" i="22"/>
  <c r="G59" i="22"/>
  <c r="G65" i="18"/>
  <c r="E78" i="20"/>
  <c r="D92" i="20"/>
  <c r="E66" i="20"/>
  <c r="D64" i="20"/>
  <c r="E29" i="20"/>
  <c r="F29" i="20" s="1"/>
  <c r="H26" i="13"/>
  <c r="H25" i="13" s="1"/>
  <c r="E48" i="14"/>
  <c r="G71" i="20"/>
  <c r="J45" i="63" s="1"/>
  <c r="G152" i="9"/>
  <c r="E152" i="9"/>
  <c r="E113" i="9"/>
  <c r="F116" i="9"/>
  <c r="D72" i="20"/>
  <c r="F152" i="9"/>
  <c r="H113" i="9"/>
  <c r="H152" i="9"/>
  <c r="F110" i="9"/>
  <c r="E157" i="9"/>
  <c r="H110" i="9"/>
  <c r="E47" i="14"/>
  <c r="F50" i="14" s="1"/>
  <c r="E25" i="14" s="1"/>
  <c r="F113" i="9"/>
  <c r="E19" i="21"/>
  <c r="G113" i="9"/>
  <c r="G120" i="9" s="1"/>
  <c r="H116" i="9"/>
  <c r="E134" i="9"/>
  <c r="G83" i="20"/>
  <c r="J57" i="63" s="1"/>
  <c r="E34" i="22" l="1"/>
  <c r="F15" i="21"/>
  <c r="G37" i="20"/>
  <c r="F27" i="13"/>
  <c r="F28" i="13" s="1"/>
  <c r="I11" i="63"/>
  <c r="H43" i="5" s="1"/>
  <c r="F102" i="20"/>
  <c r="F38" i="20"/>
  <c r="F103" i="20"/>
  <c r="G13" i="21"/>
  <c r="H13" i="21" s="1"/>
  <c r="I13" i="21" s="1"/>
  <c r="J13" i="21" s="1"/>
  <c r="F14" i="21"/>
  <c r="F22" i="21" s="1"/>
  <c r="F35" i="13" s="1"/>
  <c r="E85" i="20"/>
  <c r="H59" i="63" s="1"/>
  <c r="H52" i="63"/>
  <c r="D39" i="20"/>
  <c r="H13" i="63"/>
  <c r="G20" i="20"/>
  <c r="G49" i="20" s="1"/>
  <c r="J23" i="63" s="1"/>
  <c r="F49" i="20"/>
  <c r="I23" i="63" s="1"/>
  <c r="H59" i="17"/>
  <c r="H149" i="63"/>
  <c r="E27" i="14"/>
  <c r="E19" i="13"/>
  <c r="H67" i="17"/>
  <c r="H157" i="63"/>
  <c r="M43" i="48"/>
  <c r="E32" i="13"/>
  <c r="H137" i="63"/>
  <c r="G55" i="5" s="1"/>
  <c r="H45" i="17"/>
  <c r="D66" i="20"/>
  <c r="H40" i="63"/>
  <c r="H134" i="63"/>
  <c r="H42" i="17"/>
  <c r="F85" i="13"/>
  <c r="F87" i="13" s="1"/>
  <c r="F120" i="9"/>
  <c r="E140" i="20"/>
  <c r="H110" i="63" s="1"/>
  <c r="D120" i="9"/>
  <c r="E147" i="20" s="1"/>
  <c r="H117" i="63" s="1"/>
  <c r="E28" i="20"/>
  <c r="F28" i="20" s="1"/>
  <c r="G28" i="20" s="1"/>
  <c r="H28" i="20" s="1"/>
  <c r="I28" i="20" s="1"/>
  <c r="J28" i="20" s="1"/>
  <c r="G108" i="20"/>
  <c r="J81" i="63" s="1"/>
  <c r="G109" i="20"/>
  <c r="J82" i="63" s="1"/>
  <c r="G29" i="20"/>
  <c r="G24" i="20"/>
  <c r="H24" i="20" s="1"/>
  <c r="I24" i="20" s="1"/>
  <c r="J24" i="20" s="1"/>
  <c r="F58" i="20"/>
  <c r="F57" i="20"/>
  <c r="I31" i="63" s="1"/>
  <c r="G22" i="20"/>
  <c r="F51" i="20"/>
  <c r="I25" i="63" s="1"/>
  <c r="E19" i="20"/>
  <c r="H20" i="20"/>
  <c r="E120" i="9"/>
  <c r="D47" i="18"/>
  <c r="D43" i="18"/>
  <c r="D55" i="18" s="1"/>
  <c r="E38" i="22"/>
  <c r="F36" i="22"/>
  <c r="E36" i="22"/>
  <c r="G22" i="40"/>
  <c r="I23" i="40" s="1"/>
  <c r="H22" i="40"/>
  <c r="F38" i="22"/>
  <c r="H35" i="22"/>
  <c r="H37" i="22" s="1"/>
  <c r="D88" i="22"/>
  <c r="H120" i="9"/>
  <c r="I22" i="40"/>
  <c r="H10" i="9"/>
  <c r="H44" i="9" s="1"/>
  <c r="H70" i="9" s="1"/>
  <c r="H108" i="9" s="1"/>
  <c r="F134" i="9"/>
  <c r="F157" i="9"/>
  <c r="H19" i="17"/>
  <c r="H89" i="20"/>
  <c r="K63" i="63" s="1"/>
  <c r="E29" i="18"/>
  <c r="G92" i="20"/>
  <c r="J66" i="63" s="1"/>
  <c r="E117" i="9"/>
  <c r="E138" i="9"/>
  <c r="H46" i="18"/>
  <c r="I46" i="18" s="1"/>
  <c r="F45" i="18"/>
  <c r="J38" i="22"/>
  <c r="G38" i="22"/>
  <c r="H34" i="22"/>
  <c r="H59" i="22"/>
  <c r="H88" i="22"/>
  <c r="F52" i="18"/>
  <c r="E51" i="18"/>
  <c r="D78" i="20"/>
  <c r="I65" i="18"/>
  <c r="H65" i="18"/>
  <c r="J29" i="48"/>
  <c r="U29" i="48" s="1"/>
  <c r="E73" i="20"/>
  <c r="H47" i="63" s="1"/>
  <c r="G46" i="5" s="1"/>
  <c r="I26" i="13"/>
  <c r="I25" i="13" s="1"/>
  <c r="G157" i="9"/>
  <c r="G134" i="9"/>
  <c r="H157" i="9"/>
  <c r="H134" i="9"/>
  <c r="E37" i="14"/>
  <c r="H83" i="20"/>
  <c r="K57" i="63" s="1"/>
  <c r="H117" i="9"/>
  <c r="D19" i="17" s="1"/>
  <c r="H138" i="9"/>
  <c r="D43" i="17" s="1"/>
  <c r="H22" i="17"/>
  <c r="H71" i="20"/>
  <c r="K45" i="63" s="1"/>
  <c r="F117" i="9"/>
  <c r="F138" i="9"/>
  <c r="F18" i="20" l="1"/>
  <c r="F42" i="20" s="1"/>
  <c r="F172" i="20"/>
  <c r="I32" i="63"/>
  <c r="G141" i="63"/>
  <c r="G50" i="17"/>
  <c r="E12" i="14"/>
  <c r="D64" i="14" s="1"/>
  <c r="F35" i="14"/>
  <c r="E13" i="14"/>
  <c r="E29" i="14" s="1"/>
  <c r="E12" i="13" s="1"/>
  <c r="F36" i="14"/>
  <c r="F13" i="14"/>
  <c r="F37" i="14"/>
  <c r="F12" i="14"/>
  <c r="H108" i="20"/>
  <c r="K81" i="63" s="1"/>
  <c r="H109" i="20"/>
  <c r="K82" i="63" s="1"/>
  <c r="G58" i="20"/>
  <c r="G57" i="20"/>
  <c r="J31" i="63" s="1"/>
  <c r="H29" i="20"/>
  <c r="H22" i="20"/>
  <c r="G51" i="20"/>
  <c r="J25" i="63" s="1"/>
  <c r="I20" i="20"/>
  <c r="H49" i="20"/>
  <c r="K23" i="63" s="1"/>
  <c r="D85" i="20"/>
  <c r="H38" i="22"/>
  <c r="H36" i="22"/>
  <c r="G45" i="18"/>
  <c r="H45" i="18" s="1"/>
  <c r="I45" i="18" s="1"/>
  <c r="F144" i="9"/>
  <c r="F29" i="18"/>
  <c r="G18" i="20" s="1"/>
  <c r="H92" i="20"/>
  <c r="K66" i="63" s="1"/>
  <c r="E15" i="57"/>
  <c r="I89" i="20"/>
  <c r="L63" i="63" s="1"/>
  <c r="K38" i="22"/>
  <c r="K29" i="48"/>
  <c r="T29" i="48" s="1"/>
  <c r="G87" i="14"/>
  <c r="G84" i="14"/>
  <c r="G86" i="14"/>
  <c r="D59" i="13"/>
  <c r="O26" i="13"/>
  <c r="G61" i="14"/>
  <c r="G52" i="18"/>
  <c r="F51" i="18"/>
  <c r="G58" i="18"/>
  <c r="F57" i="18"/>
  <c r="G16" i="21" s="1"/>
  <c r="E47" i="18"/>
  <c r="E55" i="18" s="1"/>
  <c r="E37" i="18"/>
  <c r="F21" i="20" s="1"/>
  <c r="F50" i="20" s="1"/>
  <c r="I24" i="63" s="1"/>
  <c r="D73" i="20"/>
  <c r="U41" i="48"/>
  <c r="U40" i="48"/>
  <c r="U38" i="48"/>
  <c r="U39" i="48"/>
  <c r="H11" i="48" s="1"/>
  <c r="F14" i="48"/>
  <c r="H14" i="48"/>
  <c r="G14" i="48"/>
  <c r="E14" i="48"/>
  <c r="J26" i="13"/>
  <c r="J25" i="13" s="1"/>
  <c r="I71" i="20"/>
  <c r="L45" i="63" s="1"/>
  <c r="G144" i="9"/>
  <c r="F25" i="14"/>
  <c r="F27" i="14" s="1"/>
  <c r="H144" i="9"/>
  <c r="I83" i="20"/>
  <c r="L57" i="63" s="1"/>
  <c r="E41" i="18" l="1"/>
  <c r="G42" i="20"/>
  <c r="I16" i="63"/>
  <c r="H87" i="14"/>
  <c r="G85" i="14"/>
  <c r="G172" i="20"/>
  <c r="J32" i="63"/>
  <c r="I51" i="17"/>
  <c r="I142" i="63"/>
  <c r="H59" i="5" s="1"/>
  <c r="D141" i="63"/>
  <c r="D50" i="17"/>
  <c r="E50" i="17"/>
  <c r="E141" i="63"/>
  <c r="F141" i="63"/>
  <c r="F50" i="17"/>
  <c r="F14" i="14"/>
  <c r="E14" i="14"/>
  <c r="I109" i="20"/>
  <c r="L82" i="63" s="1"/>
  <c r="I108" i="20"/>
  <c r="L81" i="63" s="1"/>
  <c r="H57" i="20"/>
  <c r="K31" i="63" s="1"/>
  <c r="H58" i="20"/>
  <c r="I29" i="20"/>
  <c r="H51" i="20"/>
  <c r="K25" i="63" s="1"/>
  <c r="I22" i="20"/>
  <c r="J20" i="20"/>
  <c r="J49" i="20" s="1"/>
  <c r="M23" i="63" s="1"/>
  <c r="I49" i="20"/>
  <c r="L23" i="63" s="1"/>
  <c r="H58" i="18"/>
  <c r="I58" i="18" s="1"/>
  <c r="F23" i="40"/>
  <c r="J65" i="20"/>
  <c r="E34" i="13"/>
  <c r="J89" i="20"/>
  <c r="M63" i="63" s="1"/>
  <c r="I92" i="20"/>
  <c r="L66" i="63" s="1"/>
  <c r="R29" i="48"/>
  <c r="R38" i="48" s="1"/>
  <c r="L38" i="22"/>
  <c r="E19" i="44"/>
  <c r="E18" i="44"/>
  <c r="S29" i="48"/>
  <c r="S39" i="48" s="1"/>
  <c r="H85" i="14"/>
  <c r="H86" i="14"/>
  <c r="F21" i="14" s="1"/>
  <c r="D58" i="13"/>
  <c r="D60" i="13"/>
  <c r="K59" i="13"/>
  <c r="R59" i="13" s="1"/>
  <c r="F37" i="18"/>
  <c r="F55" i="18"/>
  <c r="G57" i="18"/>
  <c r="H16" i="21" s="1"/>
  <c r="H52" i="18"/>
  <c r="G51" i="18"/>
  <c r="E30" i="13"/>
  <c r="T41" i="48"/>
  <c r="T39" i="48"/>
  <c r="G11" i="48" s="1"/>
  <c r="G13" i="48" s="1"/>
  <c r="T40" i="48"/>
  <c r="T38" i="48"/>
  <c r="F25" i="18"/>
  <c r="G17" i="20" s="1"/>
  <c r="G41" i="20" s="1"/>
  <c r="K26" i="13"/>
  <c r="K25" i="13" s="1"/>
  <c r="D63" i="14"/>
  <c r="D65" i="14"/>
  <c r="J83" i="20"/>
  <c r="M57" i="63" s="1"/>
  <c r="J71" i="20"/>
  <c r="F41" i="18" l="1"/>
  <c r="G21" i="20"/>
  <c r="G50" i="20" s="1"/>
  <c r="J24" i="63" s="1"/>
  <c r="J15" i="63"/>
  <c r="J16" i="63"/>
  <c r="E21" i="14"/>
  <c r="G65" i="14" s="1"/>
  <c r="J109" i="20"/>
  <c r="M82" i="63" s="1"/>
  <c r="M45" i="63"/>
  <c r="H172" i="20"/>
  <c r="K32" i="63"/>
  <c r="M39" i="63"/>
  <c r="J70" i="13"/>
  <c r="J51" i="17"/>
  <c r="J142" i="63"/>
  <c r="I59" i="5" s="1"/>
  <c r="R39" i="48"/>
  <c r="E11" i="48" s="1"/>
  <c r="E13" i="48" s="1"/>
  <c r="R40" i="48"/>
  <c r="R41" i="48"/>
  <c r="J108" i="20"/>
  <c r="M81" i="63" s="1"/>
  <c r="I58" i="20"/>
  <c r="I57" i="20"/>
  <c r="L31" i="63" s="1"/>
  <c r="J29" i="20"/>
  <c r="J22" i="20"/>
  <c r="J51" i="20" s="1"/>
  <c r="M25" i="63" s="1"/>
  <c r="I51" i="20"/>
  <c r="L25" i="63" s="1"/>
  <c r="G23" i="40"/>
  <c r="I24" i="40" s="1"/>
  <c r="H23" i="40"/>
  <c r="J92" i="20"/>
  <c r="M66" i="63" s="1"/>
  <c r="O34" i="13"/>
  <c r="S40" i="48"/>
  <c r="G29" i="18"/>
  <c r="H18" i="20" s="1"/>
  <c r="H42" i="20" s="1"/>
  <c r="F22" i="14"/>
  <c r="F23" i="14" s="1"/>
  <c r="F29" i="14" s="1"/>
  <c r="S38" i="48"/>
  <c r="S41" i="48"/>
  <c r="D61" i="13"/>
  <c r="K61" i="13" s="1"/>
  <c r="R61" i="13" s="1"/>
  <c r="K60" i="13"/>
  <c r="R60" i="13" s="1"/>
  <c r="D57" i="13"/>
  <c r="K57" i="13" s="1"/>
  <c r="R57" i="13" s="1"/>
  <c r="K58" i="13"/>
  <c r="R58" i="13" s="1"/>
  <c r="G63" i="14"/>
  <c r="H57" i="18"/>
  <c r="H51" i="18"/>
  <c r="I52" i="18"/>
  <c r="I51" i="18" s="1"/>
  <c r="G55" i="18"/>
  <c r="G37" i="18"/>
  <c r="F11" i="48"/>
  <c r="F13" i="48" s="1"/>
  <c r="G21" i="18"/>
  <c r="H16" i="20" s="1"/>
  <c r="G25" i="18"/>
  <c r="H17" i="20" s="1"/>
  <c r="H41" i="20" s="1"/>
  <c r="D66" i="14"/>
  <c r="D62" i="14"/>
  <c r="K16" i="63" l="1"/>
  <c r="K15" i="63"/>
  <c r="G41" i="18"/>
  <c r="H21" i="20"/>
  <c r="H50" i="20" s="1"/>
  <c r="K24" i="63" s="1"/>
  <c r="G64" i="14"/>
  <c r="E16" i="13"/>
  <c r="O31" i="13" s="1"/>
  <c r="K21" i="5"/>
  <c r="G56" i="13"/>
  <c r="F56" i="13" s="1"/>
  <c r="E56" i="13" s="1"/>
  <c r="I172" i="20"/>
  <c r="L32" i="63"/>
  <c r="K142" i="63"/>
  <c r="J59" i="5" s="1"/>
  <c r="K51" i="17"/>
  <c r="J57" i="20"/>
  <c r="M31" i="63" s="1"/>
  <c r="J58" i="20"/>
  <c r="F24" i="40"/>
  <c r="I57" i="18"/>
  <c r="J16" i="21" s="1"/>
  <c r="G62" i="14"/>
  <c r="G66" i="14"/>
  <c r="H55" i="18"/>
  <c r="I55" i="18"/>
  <c r="I16" i="21"/>
  <c r="I37" i="18"/>
  <c r="H37" i="18"/>
  <c r="U50" i="48"/>
  <c r="F61" i="14"/>
  <c r="F62" i="14" s="1"/>
  <c r="H61" i="14"/>
  <c r="H64" i="14" s="1"/>
  <c r="H21" i="18"/>
  <c r="I16" i="20" s="1"/>
  <c r="H25" i="18"/>
  <c r="I17" i="20" s="1"/>
  <c r="I41" i="20" s="1"/>
  <c r="L15" i="63" l="1"/>
  <c r="I21" i="20"/>
  <c r="I50" i="20" s="1"/>
  <c r="L24" i="63" s="1"/>
  <c r="J21" i="20"/>
  <c r="J50" i="20" s="1"/>
  <c r="M24" i="63" s="1"/>
  <c r="J172" i="20"/>
  <c r="M32" i="63"/>
  <c r="L142" i="63"/>
  <c r="K59" i="5" s="1"/>
  <c r="L51" i="17"/>
  <c r="G24" i="40"/>
  <c r="I25" i="40" s="1"/>
  <c r="H24" i="40"/>
  <c r="I21" i="18"/>
  <c r="J16" i="20" s="1"/>
  <c r="H29" i="18"/>
  <c r="I18" i="20" s="1"/>
  <c r="I42" i="20" s="1"/>
  <c r="I25" i="18"/>
  <c r="J17" i="20" s="1"/>
  <c r="J41" i="20" s="1"/>
  <c r="M15" i="63" s="1"/>
  <c r="F66" i="14"/>
  <c r="U52" i="48"/>
  <c r="H63" i="14"/>
  <c r="H65" i="14"/>
  <c r="H66" i="14"/>
  <c r="F64" i="14"/>
  <c r="F65" i="14"/>
  <c r="F63" i="14"/>
  <c r="H62" i="14"/>
  <c r="H17" i="48"/>
  <c r="U49" i="48"/>
  <c r="N56" i="13"/>
  <c r="U56" i="13" s="1"/>
  <c r="T56" i="13" s="1"/>
  <c r="S56" i="13" s="1"/>
  <c r="I61" i="14"/>
  <c r="E61" i="14"/>
  <c r="L16" i="63" l="1"/>
  <c r="H41" i="18"/>
  <c r="M142" i="63"/>
  <c r="L59" i="5" s="1"/>
  <c r="M51" i="17"/>
  <c r="F25" i="40"/>
  <c r="I29" i="18"/>
  <c r="J18" i="20" s="1"/>
  <c r="J42" i="20" s="1"/>
  <c r="M16" i="63" s="1"/>
  <c r="I64" i="14"/>
  <c r="I65" i="14"/>
  <c r="I63" i="14"/>
  <c r="I66" i="14"/>
  <c r="I62" i="14"/>
  <c r="E65" i="14"/>
  <c r="E64" i="14"/>
  <c r="E63" i="14"/>
  <c r="E62" i="14"/>
  <c r="E66" i="14"/>
  <c r="H20" i="48"/>
  <c r="O56" i="13"/>
  <c r="P56" i="13" s="1"/>
  <c r="M56" i="13"/>
  <c r="L56" i="13" s="1"/>
  <c r="V56" i="13"/>
  <c r="W56" i="13" s="1"/>
  <c r="H56" i="13"/>
  <c r="I56" i="13" s="1"/>
  <c r="I41" i="18" l="1"/>
  <c r="G25" i="40"/>
  <c r="I26" i="40" s="1"/>
  <c r="H25" i="40"/>
  <c r="F26" i="40" l="1"/>
  <c r="G26" i="40" s="1"/>
  <c r="F27" i="40" s="1"/>
  <c r="H26" i="40" l="1"/>
  <c r="I27" i="40"/>
  <c r="G27" i="40"/>
  <c r="I28" i="40" s="1"/>
  <c r="H27" i="40"/>
  <c r="F28" i="40" l="1"/>
  <c r="G28" i="40" s="1"/>
  <c r="I29" i="40" s="1"/>
  <c r="H28" i="40" l="1"/>
  <c r="F29" i="40"/>
  <c r="G29" i="40"/>
  <c r="I30" i="40" s="1"/>
  <c r="H29" i="40"/>
  <c r="F30" i="40" l="1"/>
  <c r="G30" i="40"/>
  <c r="I31" i="40" s="1"/>
  <c r="H30" i="40"/>
  <c r="F31" i="40"/>
  <c r="G31" i="40" l="1"/>
  <c r="I32" i="40" s="1"/>
  <c r="H31" i="40"/>
  <c r="F32" i="40" l="1"/>
  <c r="G32" i="40"/>
  <c r="I33" i="40" s="1"/>
  <c r="H32" i="40"/>
  <c r="F33" i="40"/>
  <c r="N29" i="44"/>
  <c r="N28" i="44"/>
  <c r="K28" i="44"/>
  <c r="K29" i="44"/>
  <c r="L29" i="44"/>
  <c r="L28" i="44"/>
  <c r="M29" i="44"/>
  <c r="M28" i="44"/>
  <c r="G33" i="40" l="1"/>
  <c r="I34" i="40" s="1"/>
  <c r="H33" i="40"/>
  <c r="F34" i="40" l="1"/>
  <c r="G34" i="40" s="1"/>
  <c r="I35" i="40" s="1"/>
  <c r="H34" i="40" l="1"/>
  <c r="F35" i="40"/>
  <c r="G35" i="40" s="1"/>
  <c r="I36" i="40" s="1"/>
  <c r="H35" i="40" l="1"/>
  <c r="F36" i="40"/>
  <c r="G36" i="40" s="1"/>
  <c r="I37" i="40" s="1"/>
  <c r="H36" i="40" l="1"/>
  <c r="F37" i="40"/>
  <c r="G37" i="40" s="1"/>
  <c r="I38" i="40" s="1"/>
  <c r="F38" i="40" l="1"/>
  <c r="H37" i="40"/>
  <c r="G38" i="40"/>
  <c r="I39" i="40" s="1"/>
  <c r="H38" i="40"/>
  <c r="F39" i="40" l="1"/>
  <c r="G39" i="40" s="1"/>
  <c r="I40" i="40" l="1"/>
  <c r="F40" i="40"/>
  <c r="H40" i="40" s="1"/>
  <c r="H39" i="40"/>
  <c r="G40" i="40" l="1"/>
  <c r="I41" i="40" s="1"/>
  <c r="F41" i="40" l="1"/>
  <c r="G41" i="40" s="1"/>
  <c r="H41" i="40" l="1"/>
  <c r="F42" i="40"/>
  <c r="G42" i="40" s="1"/>
  <c r="I43" i="40" s="1"/>
  <c r="I42" i="40"/>
  <c r="F43" i="40"/>
  <c r="H42" i="40"/>
  <c r="G43" i="40"/>
  <c r="I44" i="40" s="1"/>
  <c r="H43" i="40"/>
  <c r="F44" i="40"/>
  <c r="G44" i="40" l="1"/>
  <c r="I45" i="40" s="1"/>
  <c r="H44" i="40"/>
  <c r="F45" i="40" l="1"/>
  <c r="G45" i="40" s="1"/>
  <c r="I46" i="40" s="1"/>
  <c r="H45" i="40" l="1"/>
  <c r="F46" i="40"/>
  <c r="G46" i="40" s="1"/>
  <c r="H46" i="40" l="1"/>
  <c r="I47" i="40"/>
  <c r="F47" i="40"/>
  <c r="G47" i="40" s="1"/>
  <c r="I48" i="40" s="1"/>
  <c r="H47" i="40" l="1"/>
  <c r="F48" i="40"/>
  <c r="G48" i="40" s="1"/>
  <c r="H48" i="40" l="1"/>
  <c r="I49" i="40"/>
  <c r="F49" i="40"/>
  <c r="G49" i="40" s="1"/>
  <c r="I50" i="40" s="1"/>
  <c r="H49" i="40" l="1"/>
  <c r="F50" i="40"/>
  <c r="G50" i="40" s="1"/>
  <c r="I51" i="40" s="1"/>
  <c r="H50" i="40" l="1"/>
  <c r="F51" i="40"/>
  <c r="G51" i="40" s="1"/>
  <c r="I52" i="40" s="1"/>
  <c r="H51" i="40" l="1"/>
  <c r="F52" i="40"/>
  <c r="G52" i="40" s="1"/>
  <c r="H52" i="40" l="1"/>
  <c r="I53" i="40"/>
  <c r="F53" i="40"/>
  <c r="H53" i="40" s="1"/>
  <c r="G53" i="40" l="1"/>
  <c r="I54" i="40" l="1"/>
  <c r="F54" i="40"/>
  <c r="H54" i="40" l="1"/>
  <c r="G54" i="40"/>
  <c r="I55" i="40" l="1"/>
  <c r="F55" i="40"/>
  <c r="G55" i="40" l="1"/>
  <c r="F56" i="40" s="1"/>
  <c r="H55" i="40"/>
  <c r="I56" i="40" l="1"/>
  <c r="G12" i="40" a="1"/>
  <c r="G12" i="40" s="1"/>
  <c r="H56" i="40"/>
  <c r="G56" i="40"/>
  <c r="E68" i="14"/>
  <c r="I68" i="14"/>
  <c r="E69" i="14"/>
  <c r="I69" i="14"/>
  <c r="I60" i="40" l="1"/>
  <c r="E67" i="40" s="1"/>
  <c r="I59" i="40"/>
  <c r="E68" i="40" s="1"/>
  <c r="I57" i="40"/>
  <c r="E70" i="40" s="1"/>
  <c r="I58" i="40"/>
  <c r="E69" i="40" s="1"/>
  <c r="H16" i="48" l="1"/>
  <c r="E47" i="13"/>
  <c r="K43" i="48" s="1"/>
  <c r="P26" i="44"/>
  <c r="Q26" i="44"/>
  <c r="S26" i="44"/>
  <c r="R26" i="44"/>
  <c r="Q28" i="44"/>
  <c r="P29" i="44"/>
  <c r="S29" i="44"/>
  <c r="S28" i="44"/>
  <c r="Q29" i="44"/>
  <c r="P28" i="44"/>
  <c r="R29" i="44"/>
  <c r="R28" i="44"/>
  <c r="I61" i="40"/>
  <c r="D93" i="20"/>
  <c r="E94" i="20"/>
  <c r="H68" i="63" s="1"/>
  <c r="G16" i="48"/>
  <c r="G17" i="48" s="1"/>
  <c r="G20" i="48" s="1"/>
  <c r="D91" i="20"/>
  <c r="F16" i="48" l="1"/>
  <c r="S50" i="48" s="1"/>
  <c r="E16" i="48"/>
  <c r="R50" i="48" s="1"/>
  <c r="R43" i="48"/>
  <c r="S43" i="48"/>
  <c r="T43" i="48"/>
  <c r="U51" i="48"/>
  <c r="F33" i="44" s="1" a="1"/>
  <c r="H13" i="48"/>
  <c r="E17" i="48"/>
  <c r="E20" i="48" s="1"/>
  <c r="R52" i="48"/>
  <c r="R51" i="48"/>
  <c r="E39" i="13"/>
  <c r="E40" i="13" s="1"/>
  <c r="S51" i="48"/>
  <c r="S49" i="48"/>
  <c r="S52" i="48"/>
  <c r="F17" i="48"/>
  <c r="F20" i="48" s="1"/>
  <c r="T52" i="48"/>
  <c r="T49" i="48"/>
  <c r="T51" i="48"/>
  <c r="T50" i="48"/>
  <c r="S56" i="48" s="1" a="1"/>
  <c r="S56" i="48" s="1"/>
  <c r="I33" i="22"/>
  <c r="I34" i="22" s="1"/>
  <c r="H14" i="20"/>
  <c r="I14" i="20" s="1"/>
  <c r="J14" i="20" s="1"/>
  <c r="G91" i="20"/>
  <c r="J65" i="63" s="1"/>
  <c r="D94" i="20"/>
  <c r="E95" i="20"/>
  <c r="R49" i="48" l="1"/>
  <c r="F30" i="44" s="1" a="1"/>
  <c r="F30" i="44" s="1"/>
  <c r="F17" i="21"/>
  <c r="F32" i="44" a="1"/>
  <c r="F32" i="44" s="1"/>
  <c r="K32" i="44" s="1"/>
  <c r="P32" i="44" s="1"/>
  <c r="R56" i="48" a="1"/>
  <c r="R66" i="48" s="1"/>
  <c r="T56" i="48" a="1"/>
  <c r="F31" i="44" a="1"/>
  <c r="M33" i="44"/>
  <c r="R33" i="44" s="1"/>
  <c r="N33" i="44"/>
  <c r="S33" i="44" s="1"/>
  <c r="L33" i="44"/>
  <c r="Q33" i="44" s="1"/>
  <c r="F33" i="44"/>
  <c r="K33" i="44" s="1"/>
  <c r="P33" i="44" s="1"/>
  <c r="I37" i="22"/>
  <c r="J37" i="22" s="1"/>
  <c r="K37" i="22" s="1"/>
  <c r="L37" i="22" s="1"/>
  <c r="M37" i="22" s="1"/>
  <c r="O37" i="22" s="1"/>
  <c r="I35" i="22"/>
  <c r="J35" i="22" s="1"/>
  <c r="K35" i="22" s="1"/>
  <c r="L35" i="22" s="1"/>
  <c r="M35" i="22" s="1"/>
  <c r="O35" i="22" s="1"/>
  <c r="J33" i="22"/>
  <c r="K33" i="22" s="1"/>
  <c r="L33" i="22" s="1"/>
  <c r="M33" i="22" s="1"/>
  <c r="O33" i="22" s="1"/>
  <c r="I76" i="63"/>
  <c r="F176" i="20"/>
  <c r="F77" i="20"/>
  <c r="F82" i="20"/>
  <c r="I56" i="63" s="1"/>
  <c r="F76" i="20"/>
  <c r="I50" i="63" s="1"/>
  <c r="F182" i="20"/>
  <c r="F80" i="20"/>
  <c r="I54" i="63" s="1"/>
  <c r="F69" i="20"/>
  <c r="I43" i="63" s="1"/>
  <c r="F140" i="20"/>
  <c r="F114" i="20"/>
  <c r="F36" i="13" s="1"/>
  <c r="I75" i="63"/>
  <c r="F180" i="20"/>
  <c r="F188" i="20"/>
  <c r="F139" i="20"/>
  <c r="F126" i="20"/>
  <c r="F55" i="20"/>
  <c r="I29" i="63" s="1"/>
  <c r="I12" i="63"/>
  <c r="F45" i="20"/>
  <c r="I19" i="63" s="1"/>
  <c r="H91" i="20"/>
  <c r="K65" i="63" s="1"/>
  <c r="J11" i="63" l="1"/>
  <c r="I43" i="5" s="1"/>
  <c r="G102" i="20"/>
  <c r="F112" i="20"/>
  <c r="I85" i="63" s="1"/>
  <c r="I51" i="63"/>
  <c r="I56" i="17"/>
  <c r="I146" i="63"/>
  <c r="I13" i="17"/>
  <c r="I109" i="63"/>
  <c r="F127" i="20"/>
  <c r="I100" i="63" s="1"/>
  <c r="I99" i="63"/>
  <c r="I62" i="17"/>
  <c r="I152" i="63"/>
  <c r="I60" i="17"/>
  <c r="I150" i="63"/>
  <c r="F187" i="20"/>
  <c r="I87" i="63"/>
  <c r="I14" i="17"/>
  <c r="I110" i="63"/>
  <c r="I68" i="17"/>
  <c r="I158" i="63"/>
  <c r="I38" i="22"/>
  <c r="G15" i="21"/>
  <c r="G27" i="13"/>
  <c r="F39" i="20"/>
  <c r="F75" i="20"/>
  <c r="N32" i="44"/>
  <c r="S32" i="44" s="1"/>
  <c r="M32" i="44"/>
  <c r="R32" i="44" s="1"/>
  <c r="R64" i="48"/>
  <c r="L32" i="44"/>
  <c r="Q32" i="44" s="1"/>
  <c r="R65" i="48"/>
  <c r="R56" i="48"/>
  <c r="R63" i="48" s="1"/>
  <c r="K30" i="44"/>
  <c r="P30" i="44" s="1"/>
  <c r="M30" i="44"/>
  <c r="R30" i="44" s="1"/>
  <c r="N30" i="44"/>
  <c r="S30" i="44" s="1"/>
  <c r="L30" i="44"/>
  <c r="Q30" i="44" s="1"/>
  <c r="M31" i="44"/>
  <c r="R31" i="44" s="1"/>
  <c r="F31" i="44"/>
  <c r="K31" i="44" s="1"/>
  <c r="P31" i="44" s="1"/>
  <c r="N31" i="44"/>
  <c r="S31" i="44" s="1"/>
  <c r="L31" i="44"/>
  <c r="Q31" i="44" s="1"/>
  <c r="T56" i="48"/>
  <c r="S66" i="48"/>
  <c r="T66" i="48" s="1"/>
  <c r="S64" i="48"/>
  <c r="S65" i="48"/>
  <c r="I36" i="22"/>
  <c r="E74" i="40" a="1"/>
  <c r="E65" i="40" s="1"/>
  <c r="F84" i="20"/>
  <c r="I58" i="63" s="1"/>
  <c r="F111" i="20"/>
  <c r="I84" i="63" s="1"/>
  <c r="F115" i="20"/>
  <c r="J75" i="63"/>
  <c r="F68" i="20"/>
  <c r="I42" i="63" s="1"/>
  <c r="G77" i="20"/>
  <c r="J51" i="63" s="1"/>
  <c r="G176" i="20"/>
  <c r="G76" i="20"/>
  <c r="J50" i="63" s="1"/>
  <c r="G180" i="20"/>
  <c r="G69" i="20"/>
  <c r="J43" i="63" s="1"/>
  <c r="G182" i="20"/>
  <c r="G80" i="20"/>
  <c r="J54" i="63" s="1"/>
  <c r="G82" i="20"/>
  <c r="J56" i="63" s="1"/>
  <c r="G114" i="20"/>
  <c r="G126" i="20"/>
  <c r="G188" i="20"/>
  <c r="G139" i="20"/>
  <c r="G38" i="20"/>
  <c r="J12" i="63" s="1"/>
  <c r="G45" i="20"/>
  <c r="J19" i="63" s="1"/>
  <c r="H37" i="20"/>
  <c r="K11" i="63" s="1"/>
  <c r="J43" i="5" s="1"/>
  <c r="G55" i="20"/>
  <c r="J29" i="63" s="1"/>
  <c r="G140" i="20"/>
  <c r="F178" i="20"/>
  <c r="I148" i="63" s="1"/>
  <c r="F177" i="20"/>
  <c r="F64" i="20"/>
  <c r="G103" i="20"/>
  <c r="J76" i="63" s="1"/>
  <c r="I91" i="20"/>
  <c r="L65" i="63" s="1"/>
  <c r="J87" i="63" l="1"/>
  <c r="G36" i="13"/>
  <c r="H102" i="20"/>
  <c r="K75" i="63" s="1"/>
  <c r="I57" i="17"/>
  <c r="I147" i="63"/>
  <c r="G127" i="20"/>
  <c r="J100" i="63" s="1"/>
  <c r="J99" i="63"/>
  <c r="F119" i="20"/>
  <c r="I92" i="63" s="1"/>
  <c r="I88" i="63"/>
  <c r="J14" i="17"/>
  <c r="J110" i="63"/>
  <c r="J13" i="17"/>
  <c r="J109" i="63"/>
  <c r="J68" i="17"/>
  <c r="J158" i="63"/>
  <c r="F71" i="13"/>
  <c r="I38" i="63"/>
  <c r="J62" i="17"/>
  <c r="J152" i="63"/>
  <c r="J56" i="17"/>
  <c r="J146" i="63"/>
  <c r="J60" i="17"/>
  <c r="J150" i="63"/>
  <c r="F72" i="13"/>
  <c r="I49" i="63"/>
  <c r="I67" i="17"/>
  <c r="I157" i="63"/>
  <c r="F181" i="20"/>
  <c r="F47" i="20"/>
  <c r="I13" i="63"/>
  <c r="G28" i="13"/>
  <c r="T65" i="48"/>
  <c r="T64" i="48"/>
  <c r="F46" i="20"/>
  <c r="I20" i="63" s="1"/>
  <c r="F179" i="20"/>
  <c r="I58" i="17"/>
  <c r="E64" i="40"/>
  <c r="E63" i="40"/>
  <c r="H15" i="21"/>
  <c r="H27" i="13"/>
  <c r="G39" i="20"/>
  <c r="G75" i="20"/>
  <c r="S63" i="48"/>
  <c r="T63" i="48" s="1"/>
  <c r="F18" i="21"/>
  <c r="F19" i="21" s="1"/>
  <c r="E74" i="40"/>
  <c r="E66" i="40" s="1"/>
  <c r="H103" i="20"/>
  <c r="K76" i="63" s="1"/>
  <c r="G84" i="20"/>
  <c r="J58" i="63" s="1"/>
  <c r="G111" i="20"/>
  <c r="J84" i="63" s="1"/>
  <c r="G17" i="21"/>
  <c r="G115" i="20"/>
  <c r="G112" i="20"/>
  <c r="J85" i="63" s="1"/>
  <c r="G187" i="20"/>
  <c r="F143" i="20"/>
  <c r="I113" i="63" s="1"/>
  <c r="F107" i="20"/>
  <c r="I80" i="63" s="1"/>
  <c r="H180" i="20"/>
  <c r="H45" i="20"/>
  <c r="K19" i="63" s="1"/>
  <c r="I37" i="20"/>
  <c r="L11" i="63" s="1"/>
  <c r="K43" i="5" s="1"/>
  <c r="H55" i="20"/>
  <c r="K29" i="63" s="1"/>
  <c r="H114" i="20"/>
  <c r="H80" i="20"/>
  <c r="K54" i="63" s="1"/>
  <c r="H69" i="20"/>
  <c r="K43" i="63" s="1"/>
  <c r="H126" i="20"/>
  <c r="H38" i="20"/>
  <c r="H75" i="20" s="1"/>
  <c r="H139" i="20"/>
  <c r="H77" i="20"/>
  <c r="H76" i="20"/>
  <c r="H176" i="20"/>
  <c r="H140" i="20"/>
  <c r="H188" i="20"/>
  <c r="H82" i="20"/>
  <c r="K56" i="63" s="1"/>
  <c r="H182" i="20"/>
  <c r="G68" i="20"/>
  <c r="J42" i="63" s="1"/>
  <c r="F145" i="20"/>
  <c r="F72" i="20"/>
  <c r="I46" i="63" s="1"/>
  <c r="F146" i="20"/>
  <c r="F78" i="20"/>
  <c r="F110" i="20"/>
  <c r="I83" i="63" s="1"/>
  <c r="G178" i="20"/>
  <c r="J148" i="63" s="1"/>
  <c r="G64" i="20"/>
  <c r="G177" i="20"/>
  <c r="J91" i="20"/>
  <c r="M65" i="63" s="1"/>
  <c r="E130" i="9"/>
  <c r="E135" i="9"/>
  <c r="F135" i="9"/>
  <c r="H130" i="9"/>
  <c r="D34" i="17" s="1"/>
  <c r="G135" i="9"/>
  <c r="H135" i="9"/>
  <c r="G130" i="9"/>
  <c r="F130" i="9"/>
  <c r="E139" i="9"/>
  <c r="E140" i="9" s="1"/>
  <c r="F139" i="9"/>
  <c r="G139" i="9"/>
  <c r="G140" i="9" s="1"/>
  <c r="H139" i="9"/>
  <c r="J38" i="63" l="1"/>
  <c r="K87" i="63"/>
  <c r="H36" i="13"/>
  <c r="F73" i="13"/>
  <c r="F74" i="13" s="1"/>
  <c r="F37" i="13" s="1"/>
  <c r="I102" i="20"/>
  <c r="L75" i="63" s="1"/>
  <c r="I21" i="63"/>
  <c r="F52" i="20"/>
  <c r="K13" i="17"/>
  <c r="K109" i="63"/>
  <c r="I20" i="17"/>
  <c r="I115" i="63"/>
  <c r="H39" i="20"/>
  <c r="K13" i="63" s="1"/>
  <c r="K12" i="63"/>
  <c r="H127" i="20"/>
  <c r="K100" i="63" s="1"/>
  <c r="K99" i="63"/>
  <c r="J67" i="17"/>
  <c r="J157" i="63"/>
  <c r="J57" i="17"/>
  <c r="J147" i="63"/>
  <c r="K62" i="17"/>
  <c r="K152" i="63"/>
  <c r="G119" i="20"/>
  <c r="J92" i="63" s="1"/>
  <c r="J88" i="63"/>
  <c r="I59" i="17"/>
  <c r="I149" i="63"/>
  <c r="I61" i="17"/>
  <c r="I151" i="63"/>
  <c r="K14" i="17"/>
  <c r="K110" i="63"/>
  <c r="F159" i="20"/>
  <c r="K56" i="17"/>
  <c r="K146" i="63"/>
  <c r="F149" i="20"/>
  <c r="G72" i="13"/>
  <c r="J49" i="63"/>
  <c r="F31" i="13"/>
  <c r="F33" i="13" s="1"/>
  <c r="G47" i="20"/>
  <c r="G149" i="20" s="1"/>
  <c r="J13" i="63"/>
  <c r="K68" i="17"/>
  <c r="K158" i="63"/>
  <c r="F158" i="20"/>
  <c r="I52" i="63"/>
  <c r="H111" i="20"/>
  <c r="K84" i="63" s="1"/>
  <c r="K50" i="63"/>
  <c r="F185" i="20"/>
  <c r="I21" i="17"/>
  <c r="I116" i="63"/>
  <c r="H112" i="20"/>
  <c r="K85" i="63" s="1"/>
  <c r="K51" i="63"/>
  <c r="K60" i="17"/>
  <c r="K150" i="63"/>
  <c r="H140" i="9"/>
  <c r="D45" i="17" s="1"/>
  <c r="D44" i="17"/>
  <c r="H17" i="21"/>
  <c r="G179" i="20"/>
  <c r="J58" i="17"/>
  <c r="F142" i="20"/>
  <c r="I18" i="17"/>
  <c r="G46" i="20"/>
  <c r="J20" i="63" s="1"/>
  <c r="I27" i="13"/>
  <c r="I15" i="21"/>
  <c r="G181" i="20"/>
  <c r="G107" i="20"/>
  <c r="J80" i="63" s="1"/>
  <c r="G71" i="13"/>
  <c r="G14" i="21"/>
  <c r="H84" i="20"/>
  <c r="K58" i="63" s="1"/>
  <c r="H28" i="13"/>
  <c r="G146" i="20"/>
  <c r="H115" i="20"/>
  <c r="K88" i="63" s="1"/>
  <c r="G143" i="20"/>
  <c r="G145" i="20"/>
  <c r="H68" i="20"/>
  <c r="K42" i="63" s="1"/>
  <c r="G72" i="20"/>
  <c r="J46" i="63" s="1"/>
  <c r="H187" i="20"/>
  <c r="G110" i="20"/>
  <c r="J83" i="63" s="1"/>
  <c r="I69" i="20"/>
  <c r="L43" i="63" s="1"/>
  <c r="I80" i="20"/>
  <c r="L54" i="63" s="1"/>
  <c r="I82" i="20"/>
  <c r="L56" i="63" s="1"/>
  <c r="I76" i="20"/>
  <c r="I77" i="20"/>
  <c r="I176" i="20"/>
  <c r="I188" i="20"/>
  <c r="I114" i="20"/>
  <c r="I126" i="20"/>
  <c r="I38" i="20"/>
  <c r="L12" i="63" s="1"/>
  <c r="I182" i="20"/>
  <c r="J37" i="20"/>
  <c r="M11" i="63" s="1"/>
  <c r="L43" i="5" s="1"/>
  <c r="I140" i="20"/>
  <c r="I55" i="20"/>
  <c r="L29" i="63" s="1"/>
  <c r="I180" i="20"/>
  <c r="I139" i="20"/>
  <c r="I45" i="20"/>
  <c r="L19" i="63" s="1"/>
  <c r="H178" i="20"/>
  <c r="K148" i="63" s="1"/>
  <c r="H64" i="20"/>
  <c r="H177" i="20"/>
  <c r="K49" i="63"/>
  <c r="F147" i="20"/>
  <c r="I103" i="20"/>
  <c r="L76" i="63" s="1"/>
  <c r="F140" i="9"/>
  <c r="F53" i="20" l="1"/>
  <c r="L87" i="63"/>
  <c r="I36" i="13"/>
  <c r="K38" i="63"/>
  <c r="H46" i="20"/>
  <c r="K20" i="63" s="1"/>
  <c r="J102" i="20"/>
  <c r="H47" i="20"/>
  <c r="H31" i="13" s="1"/>
  <c r="G73" i="13"/>
  <c r="G74" i="13" s="1"/>
  <c r="G37" i="13" s="1"/>
  <c r="H181" i="20"/>
  <c r="K61" i="17" s="1"/>
  <c r="G185" i="20"/>
  <c r="J155" i="63" s="1"/>
  <c r="G52" i="20"/>
  <c r="I17" i="21"/>
  <c r="J25" i="17"/>
  <c r="J119" i="63"/>
  <c r="I53" i="5" s="1"/>
  <c r="G159" i="20"/>
  <c r="J59" i="17"/>
  <c r="J149" i="63"/>
  <c r="I65" i="17"/>
  <c r="I155" i="63"/>
  <c r="I127" i="20"/>
  <c r="L100" i="63" s="1"/>
  <c r="L99" i="63"/>
  <c r="K67" i="17"/>
  <c r="K157" i="63"/>
  <c r="I25" i="17"/>
  <c r="I119" i="63"/>
  <c r="H53" i="5" s="1"/>
  <c r="L68" i="17"/>
  <c r="L158" i="63"/>
  <c r="J61" i="17"/>
  <c r="J151" i="63"/>
  <c r="I35" i="17"/>
  <c r="I128" i="63"/>
  <c r="I22" i="17"/>
  <c r="I117" i="63"/>
  <c r="K57" i="17"/>
  <c r="K147" i="63"/>
  <c r="L13" i="17"/>
  <c r="L109" i="63"/>
  <c r="L56" i="17"/>
  <c r="L146" i="63"/>
  <c r="J20" i="17"/>
  <c r="J115" i="63"/>
  <c r="L60" i="17"/>
  <c r="L150" i="63"/>
  <c r="I112" i="20"/>
  <c r="L85" i="63" s="1"/>
  <c r="L51" i="63"/>
  <c r="I36" i="17"/>
  <c r="I129" i="63"/>
  <c r="I111" i="20"/>
  <c r="L84" i="63" s="1"/>
  <c r="L50" i="63"/>
  <c r="J18" i="17"/>
  <c r="J113" i="63"/>
  <c r="L14" i="17"/>
  <c r="L110" i="63"/>
  <c r="I17" i="17"/>
  <c r="I112" i="63"/>
  <c r="G31" i="13"/>
  <c r="G33" i="13" s="1"/>
  <c r="J21" i="63"/>
  <c r="L62" i="17"/>
  <c r="L152" i="63"/>
  <c r="J21" i="17"/>
  <c r="J116" i="63"/>
  <c r="F32" i="13"/>
  <c r="H110" i="20"/>
  <c r="K83" i="63" s="1"/>
  <c r="H72" i="13"/>
  <c r="J27" i="13"/>
  <c r="H21" i="50" s="1" a="1"/>
  <c r="J15" i="21"/>
  <c r="H107" i="20"/>
  <c r="K80" i="63" s="1"/>
  <c r="H71" i="13"/>
  <c r="I178" i="20"/>
  <c r="L148" i="63" s="1"/>
  <c r="I64" i="20"/>
  <c r="H179" i="20"/>
  <c r="K58" i="17"/>
  <c r="H14" i="21"/>
  <c r="H22" i="21" s="1"/>
  <c r="H35" i="13" s="1"/>
  <c r="G22" i="21"/>
  <c r="G35" i="13" s="1"/>
  <c r="G18" i="21"/>
  <c r="F29" i="13"/>
  <c r="F30" i="13" s="1"/>
  <c r="J103" i="20"/>
  <c r="M76" i="63" s="1"/>
  <c r="I39" i="20"/>
  <c r="I84" i="20"/>
  <c r="L58" i="63" s="1"/>
  <c r="I115" i="20"/>
  <c r="I187" i="20"/>
  <c r="G147" i="20"/>
  <c r="I177" i="20"/>
  <c r="I75" i="20"/>
  <c r="L49" i="63" s="1"/>
  <c r="H145" i="20"/>
  <c r="I68" i="20"/>
  <c r="L42" i="63" s="1"/>
  <c r="H72" i="20"/>
  <c r="K46" i="63" s="1"/>
  <c r="I28" i="13"/>
  <c r="I21" i="50" s="1" a="1"/>
  <c r="I21" i="50" s="1"/>
  <c r="H143" i="20"/>
  <c r="H119" i="20"/>
  <c r="K92" i="63" s="1"/>
  <c r="H146" i="20"/>
  <c r="G142" i="20"/>
  <c r="J126" i="20"/>
  <c r="J77" i="20"/>
  <c r="J114" i="20"/>
  <c r="J36" i="13" s="1"/>
  <c r="J38" i="20"/>
  <c r="J55" i="20"/>
  <c r="M29" i="63" s="1"/>
  <c r="J139" i="20"/>
  <c r="J45" i="20"/>
  <c r="M19" i="63" s="1"/>
  <c r="J140" i="20"/>
  <c r="J188" i="20"/>
  <c r="J80" i="20"/>
  <c r="M54" i="63" s="1"/>
  <c r="J182" i="20"/>
  <c r="J69" i="20"/>
  <c r="M43" i="63" s="1"/>
  <c r="J82" i="20"/>
  <c r="M56" i="63" s="1"/>
  <c r="J180" i="20"/>
  <c r="J76" i="20"/>
  <c r="M50" i="63" s="1"/>
  <c r="J176" i="20"/>
  <c r="M75" i="63"/>
  <c r="H159" i="20" l="1"/>
  <c r="H149" i="20"/>
  <c r="H185" i="20"/>
  <c r="K65" i="17" s="1"/>
  <c r="H52" i="20"/>
  <c r="K26" i="63" s="1"/>
  <c r="J26" i="63"/>
  <c r="G53" i="20"/>
  <c r="G54" i="20" s="1"/>
  <c r="J28" i="63" s="1"/>
  <c r="I27" i="63"/>
  <c r="F105" i="20"/>
  <c r="I78" i="63" s="1"/>
  <c r="F54" i="20"/>
  <c r="K21" i="63"/>
  <c r="K151" i="63"/>
  <c r="J65" i="17"/>
  <c r="G29" i="13"/>
  <c r="G30" i="13" s="1"/>
  <c r="H73" i="13"/>
  <c r="H74" i="13" s="1"/>
  <c r="H37" i="13" s="1"/>
  <c r="G32" i="13"/>
  <c r="G34" i="13" s="1"/>
  <c r="G38" i="13" s="1"/>
  <c r="G40" i="13" s="1"/>
  <c r="H21" i="50"/>
  <c r="C21" i="50" s="1"/>
  <c r="C26" i="50"/>
  <c r="C24" i="50"/>
  <c r="C23" i="50"/>
  <c r="C22" i="50"/>
  <c r="C25" i="50"/>
  <c r="M62" i="17"/>
  <c r="M152" i="63"/>
  <c r="J127" i="20"/>
  <c r="M100" i="63" s="1"/>
  <c r="M99" i="63"/>
  <c r="J22" i="17"/>
  <c r="J117" i="63"/>
  <c r="L67" i="17"/>
  <c r="L157" i="63"/>
  <c r="K59" i="17"/>
  <c r="K149" i="63"/>
  <c r="J112" i="20"/>
  <c r="M85" i="63" s="1"/>
  <c r="M51" i="63"/>
  <c r="M68" i="17"/>
  <c r="M158" i="63"/>
  <c r="I119" i="20"/>
  <c r="L92" i="63" s="1"/>
  <c r="L88" i="63"/>
  <c r="I71" i="13"/>
  <c r="L38" i="63"/>
  <c r="M56" i="17"/>
  <c r="M146" i="63"/>
  <c r="M14" i="17"/>
  <c r="M110" i="63"/>
  <c r="J17" i="17"/>
  <c r="J112" i="63"/>
  <c r="K20" i="17"/>
  <c r="K115" i="63"/>
  <c r="J36" i="17"/>
  <c r="J129" i="63"/>
  <c r="K21" i="17"/>
  <c r="K116" i="63"/>
  <c r="I46" i="20"/>
  <c r="L20" i="63" s="1"/>
  <c r="L13" i="63"/>
  <c r="M13" i="17"/>
  <c r="M109" i="63"/>
  <c r="L57" i="17"/>
  <c r="L147" i="63"/>
  <c r="K36" i="17"/>
  <c r="K129" i="63"/>
  <c r="M60" i="17"/>
  <c r="M150" i="63"/>
  <c r="J64" i="20"/>
  <c r="M12" i="63"/>
  <c r="K25" i="17"/>
  <c r="K119" i="63"/>
  <c r="J53" i="5" s="1"/>
  <c r="J187" i="20"/>
  <c r="M87" i="63"/>
  <c r="K18" i="17"/>
  <c r="K113" i="63"/>
  <c r="K155" i="63"/>
  <c r="I107" i="20"/>
  <c r="L80" i="63" s="1"/>
  <c r="I110" i="20"/>
  <c r="L83" i="63" s="1"/>
  <c r="I72" i="13"/>
  <c r="I179" i="20"/>
  <c r="L58" i="17"/>
  <c r="I14" i="21"/>
  <c r="H18" i="21"/>
  <c r="G19" i="21"/>
  <c r="I47" i="20"/>
  <c r="I181" i="20"/>
  <c r="J115" i="20"/>
  <c r="J17" i="21"/>
  <c r="I145" i="20"/>
  <c r="J68" i="20"/>
  <c r="M42" i="63" s="1"/>
  <c r="I72" i="20"/>
  <c r="L46" i="63" s="1"/>
  <c r="I146" i="20"/>
  <c r="J178" i="20"/>
  <c r="M148" i="63" s="1"/>
  <c r="J75" i="20"/>
  <c r="J177" i="20"/>
  <c r="H142" i="20"/>
  <c r="H147" i="20"/>
  <c r="I143" i="20"/>
  <c r="J39" i="20"/>
  <c r="H29" i="13"/>
  <c r="H33" i="13"/>
  <c r="H32" i="13"/>
  <c r="J111" i="20"/>
  <c r="M84" i="63" s="1"/>
  <c r="J84" i="20"/>
  <c r="M58" i="63" s="1"/>
  <c r="H53" i="20" l="1"/>
  <c r="H54" i="20" s="1"/>
  <c r="H186" i="20"/>
  <c r="J27" i="63"/>
  <c r="G105" i="20"/>
  <c r="J78" i="63" s="1"/>
  <c r="G186" i="20"/>
  <c r="J156" i="63" s="1"/>
  <c r="K27" i="63"/>
  <c r="H105" i="20"/>
  <c r="K78" i="63" s="1"/>
  <c r="G56" i="20"/>
  <c r="G151" i="20" s="1"/>
  <c r="J66" i="17"/>
  <c r="I73" i="13"/>
  <c r="I74" i="13" s="1"/>
  <c r="I37" i="13" s="1"/>
  <c r="J46" i="20"/>
  <c r="M20" i="63" s="1"/>
  <c r="M13" i="63"/>
  <c r="L21" i="17"/>
  <c r="L116" i="63"/>
  <c r="M67" i="17"/>
  <c r="M157" i="63"/>
  <c r="L59" i="17"/>
  <c r="L149" i="63"/>
  <c r="K22" i="17"/>
  <c r="K117" i="63"/>
  <c r="K17" i="17"/>
  <c r="K112" i="63"/>
  <c r="K66" i="17"/>
  <c r="K156" i="63"/>
  <c r="L20" i="17"/>
  <c r="L115" i="63"/>
  <c r="J119" i="20"/>
  <c r="M92" i="63" s="1"/>
  <c r="M88" i="63"/>
  <c r="J71" i="13"/>
  <c r="M38" i="63"/>
  <c r="H56" i="20"/>
  <c r="K28" i="63"/>
  <c r="L61" i="17"/>
  <c r="L151" i="63"/>
  <c r="M57" i="17"/>
  <c r="M147" i="63"/>
  <c r="L18" i="17"/>
  <c r="L113" i="63"/>
  <c r="I31" i="13"/>
  <c r="I33" i="13" s="1"/>
  <c r="L21" i="63"/>
  <c r="J72" i="13"/>
  <c r="M49" i="63"/>
  <c r="J107" i="20"/>
  <c r="M80" i="63" s="1"/>
  <c r="J179" i="20"/>
  <c r="M58" i="17"/>
  <c r="I22" i="21"/>
  <c r="I35" i="13" s="1"/>
  <c r="I18" i="21"/>
  <c r="H19" i="21"/>
  <c r="J14" i="21"/>
  <c r="I149" i="20"/>
  <c r="I52" i="20"/>
  <c r="I53" i="20" s="1"/>
  <c r="I185" i="20"/>
  <c r="I159" i="20"/>
  <c r="J145" i="20"/>
  <c r="J72" i="20"/>
  <c r="M46" i="63" s="1"/>
  <c r="I142" i="20"/>
  <c r="I147" i="20"/>
  <c r="J181" i="20"/>
  <c r="J47" i="20"/>
  <c r="J143" i="20"/>
  <c r="H34" i="13"/>
  <c r="H38" i="13" s="1"/>
  <c r="H40" i="13" s="1"/>
  <c r="H30" i="13"/>
  <c r="J146" i="20"/>
  <c r="J110" i="20"/>
  <c r="M83" i="63" s="1"/>
  <c r="L27" i="63" l="1"/>
  <c r="I105" i="20"/>
  <c r="L78" i="63" s="1"/>
  <c r="K30" i="63"/>
  <c r="J45" i="5" s="1"/>
  <c r="H100" i="20"/>
  <c r="G170" i="20"/>
  <c r="J140" i="63" s="1"/>
  <c r="I58" i="5" s="1"/>
  <c r="G183" i="20"/>
  <c r="G184" i="20" s="1"/>
  <c r="J64" i="17" s="1"/>
  <c r="J30" i="63"/>
  <c r="I45" i="5" s="1"/>
  <c r="G100" i="20"/>
  <c r="J73" i="63" s="1"/>
  <c r="G164" i="20"/>
  <c r="J42" i="17" s="1"/>
  <c r="J73" i="13"/>
  <c r="J74" i="13" s="1"/>
  <c r="J37" i="13" s="1"/>
  <c r="M21" i="17"/>
  <c r="M116" i="63"/>
  <c r="I54" i="20"/>
  <c r="L26" i="63"/>
  <c r="M59" i="17"/>
  <c r="M149" i="63"/>
  <c r="M18" i="17"/>
  <c r="M113" i="63"/>
  <c r="L25" i="17"/>
  <c r="L119" i="63"/>
  <c r="K53" i="5" s="1"/>
  <c r="J31" i="13"/>
  <c r="M21" i="63"/>
  <c r="M61" i="17"/>
  <c r="M151" i="63"/>
  <c r="L22" i="17"/>
  <c r="L117" i="63"/>
  <c r="L17" i="17"/>
  <c r="L112" i="63"/>
  <c r="H170" i="20"/>
  <c r="K140" i="63" s="1"/>
  <c r="J58" i="5" s="1"/>
  <c r="H151" i="20"/>
  <c r="M20" i="17"/>
  <c r="M115" i="63"/>
  <c r="H164" i="20"/>
  <c r="L36" i="17"/>
  <c r="L129" i="63"/>
  <c r="H183" i="20"/>
  <c r="L65" i="17"/>
  <c r="L155" i="63"/>
  <c r="J27" i="17"/>
  <c r="J121" i="63"/>
  <c r="J22" i="21"/>
  <c r="J35" i="13" s="1"/>
  <c r="J18" i="21"/>
  <c r="J19" i="21" s="1"/>
  <c r="I19" i="21"/>
  <c r="I32" i="13"/>
  <c r="I29" i="13"/>
  <c r="I186" i="20"/>
  <c r="J52" i="20"/>
  <c r="J159" i="20"/>
  <c r="J185" i="20"/>
  <c r="J149" i="20"/>
  <c r="J142" i="20"/>
  <c r="J147" i="20"/>
  <c r="J154" i="63" l="1"/>
  <c r="I52" i="5" s="1"/>
  <c r="J49" i="17"/>
  <c r="J63" i="17"/>
  <c r="M26" i="63"/>
  <c r="J53" i="20"/>
  <c r="J186" i="20" s="1"/>
  <c r="G169" i="20"/>
  <c r="J139" i="63" s="1"/>
  <c r="J153" i="63"/>
  <c r="I44" i="5" s="1"/>
  <c r="G161" i="20"/>
  <c r="J38" i="17" s="1"/>
  <c r="J134" i="63"/>
  <c r="G113" i="20"/>
  <c r="J86" i="63" s="1"/>
  <c r="K49" i="17"/>
  <c r="M22" i="17"/>
  <c r="M117" i="63"/>
  <c r="K27" i="17"/>
  <c r="K121" i="63"/>
  <c r="M65" i="17"/>
  <c r="M155" i="63"/>
  <c r="K63" i="17"/>
  <c r="K153" i="63"/>
  <c r="J44" i="5" s="1"/>
  <c r="M25" i="17"/>
  <c r="M119" i="63"/>
  <c r="L53" i="5" s="1"/>
  <c r="M36" i="17"/>
  <c r="M129" i="63"/>
  <c r="H161" i="20"/>
  <c r="H169" i="20"/>
  <c r="K139" i="63" s="1"/>
  <c r="I56" i="20"/>
  <c r="L28" i="63"/>
  <c r="M17" i="17"/>
  <c r="M112" i="63"/>
  <c r="K42" i="17"/>
  <c r="K134" i="63"/>
  <c r="H184" i="20"/>
  <c r="L66" i="17"/>
  <c r="L156" i="63"/>
  <c r="H113" i="20"/>
  <c r="K73" i="63"/>
  <c r="I34" i="13"/>
  <c r="I38" i="13" s="1"/>
  <c r="I40" i="13" s="1"/>
  <c r="I30" i="13"/>
  <c r="J29" i="13"/>
  <c r="J32" i="13"/>
  <c r="J33" i="13"/>
  <c r="J54" i="20" l="1"/>
  <c r="G171" i="20"/>
  <c r="J50" i="17" s="1"/>
  <c r="J131" i="63"/>
  <c r="J105" i="20"/>
  <c r="M78" i="63" s="1"/>
  <c r="M27" i="63"/>
  <c r="J48" i="17"/>
  <c r="G129" i="20"/>
  <c r="J102" i="63" s="1"/>
  <c r="H171" i="20"/>
  <c r="K50" i="17" s="1"/>
  <c r="M66" i="17"/>
  <c r="M156" i="63"/>
  <c r="L30" i="63"/>
  <c r="K45" i="5" s="1"/>
  <c r="I183" i="20"/>
  <c r="I164" i="20"/>
  <c r="I151" i="20"/>
  <c r="I170" i="20"/>
  <c r="I100" i="20"/>
  <c r="K38" i="17"/>
  <c r="K131" i="63"/>
  <c r="H129" i="20"/>
  <c r="K102" i="63" s="1"/>
  <c r="K86" i="63"/>
  <c r="J141" i="63"/>
  <c r="J56" i="20"/>
  <c r="M30" i="63" s="1"/>
  <c r="L45" i="5" s="1"/>
  <c r="M28" i="63"/>
  <c r="K48" i="17"/>
  <c r="K64" i="17"/>
  <c r="K154" i="63"/>
  <c r="J52" i="5" s="1"/>
  <c r="J34" i="13"/>
  <c r="J38" i="13" s="1"/>
  <c r="J30" i="13"/>
  <c r="K141" i="63" l="1"/>
  <c r="J100" i="20"/>
  <c r="J113" i="20" s="1"/>
  <c r="J164" i="20"/>
  <c r="M42" i="17" s="1"/>
  <c r="J151" i="20"/>
  <c r="M27" i="17" s="1"/>
  <c r="I113" i="20"/>
  <c r="L73" i="63"/>
  <c r="L140" i="63"/>
  <c r="K58" i="5" s="1"/>
  <c r="I169" i="20"/>
  <c r="L49" i="17"/>
  <c r="L63" i="17"/>
  <c r="L153" i="63"/>
  <c r="K44" i="5" s="1"/>
  <c r="I184" i="20"/>
  <c r="I161" i="20"/>
  <c r="L27" i="17"/>
  <c r="L121" i="63"/>
  <c r="L42" i="17"/>
  <c r="L134" i="63"/>
  <c r="J183" i="20"/>
  <c r="J161" i="20" s="1"/>
  <c r="J170" i="20"/>
  <c r="M140" i="63" s="1"/>
  <c r="L58" i="5" s="1"/>
  <c r="O25" i="13"/>
  <c r="O27" i="13" s="1"/>
  <c r="K39" i="13" s="1"/>
  <c r="K40" i="13" s="1"/>
  <c r="J40" i="13"/>
  <c r="M121" i="63" l="1"/>
  <c r="M49" i="17"/>
  <c r="J169" i="20"/>
  <c r="M139" i="63" s="1"/>
  <c r="J184" i="20"/>
  <c r="M154" i="63" s="1"/>
  <c r="L52" i="5" s="1"/>
  <c r="M134" i="63"/>
  <c r="M73" i="63"/>
  <c r="L64" i="17"/>
  <c r="L154" i="63"/>
  <c r="K52" i="5" s="1"/>
  <c r="M63" i="17"/>
  <c r="M153" i="63"/>
  <c r="L44" i="5" s="1"/>
  <c r="J129" i="20"/>
  <c r="M102" i="63" s="1"/>
  <c r="M86" i="63"/>
  <c r="L139" i="63"/>
  <c r="I171" i="20"/>
  <c r="L48" i="17"/>
  <c r="M38" i="17"/>
  <c r="M131" i="63"/>
  <c r="L38" i="17"/>
  <c r="L131" i="63"/>
  <c r="I129" i="20"/>
  <c r="L102" i="63" s="1"/>
  <c r="L86" i="63"/>
  <c r="M64" i="17" l="1"/>
  <c r="M48" i="17"/>
  <c r="J171" i="20"/>
  <c r="M50" i="17" s="1"/>
  <c r="L50" i="17"/>
  <c r="L141" i="63"/>
  <c r="M141" i="63" l="1"/>
  <c r="I26" i="63"/>
  <c r="F186" i="20" l="1"/>
  <c r="F56" i="20" l="1"/>
  <c r="F100" i="20" s="1"/>
  <c r="I28" i="63"/>
  <c r="I66" i="17"/>
  <c r="I156" i="63"/>
  <c r="F170" i="20"/>
  <c r="F151" i="20"/>
  <c r="F90" i="20"/>
  <c r="F34" i="13"/>
  <c r="F38" i="13" s="1"/>
  <c r="F164" i="20" l="1"/>
  <c r="I140" i="63"/>
  <c r="H58" i="5" s="1"/>
  <c r="F169" i="20"/>
  <c r="I139" i="63" s="1"/>
  <c r="I27" i="17"/>
  <c r="I121" i="63"/>
  <c r="I42" i="17"/>
  <c r="I134" i="63"/>
  <c r="F93" i="20"/>
  <c r="I64" i="63"/>
  <c r="F113" i="20"/>
  <c r="I73" i="63"/>
  <c r="F183" i="20"/>
  <c r="I30" i="63"/>
  <c r="H45" i="5" s="1"/>
  <c r="I49" i="17"/>
  <c r="G90" i="20"/>
  <c r="I67" i="63" l="1"/>
  <c r="F152" i="20"/>
  <c r="I122" i="63" s="1"/>
  <c r="F162" i="20"/>
  <c r="I39" i="17" s="1"/>
  <c r="I63" i="17"/>
  <c r="I153" i="63"/>
  <c r="H44" i="5" s="1"/>
  <c r="F184" i="20"/>
  <c r="F161" i="20"/>
  <c r="G93" i="20"/>
  <c r="G153" i="20" s="1"/>
  <c r="J64" i="63"/>
  <c r="F129" i="20"/>
  <c r="F130" i="20" s="1"/>
  <c r="G98" i="20" s="1"/>
  <c r="I86" i="63"/>
  <c r="F153" i="20"/>
  <c r="I28" i="17"/>
  <c r="F171" i="20"/>
  <c r="I48" i="17"/>
  <c r="F40" i="13"/>
  <c r="I43" i="13" s="1"/>
  <c r="I47" i="13" s="1"/>
  <c r="I49" i="13" s="1"/>
  <c r="U61" i="13"/>
  <c r="N61" i="13" s="1"/>
  <c r="G61" i="13" s="1"/>
  <c r="U59" i="13"/>
  <c r="N59" i="13" s="1"/>
  <c r="G59" i="13" s="1"/>
  <c r="S60" i="13"/>
  <c r="L60" i="13" s="1"/>
  <c r="E60" i="13" s="1"/>
  <c r="T60" i="13"/>
  <c r="M60" i="13" s="1"/>
  <c r="F60" i="13" s="1"/>
  <c r="U58" i="13"/>
  <c r="N58" i="13" s="1"/>
  <c r="G58" i="13" s="1"/>
  <c r="W61" i="13"/>
  <c r="P61" i="13" s="1"/>
  <c r="I61" i="13" s="1"/>
  <c r="T59" i="13"/>
  <c r="M59" i="13" s="1"/>
  <c r="F59" i="13" s="1"/>
  <c r="U57" i="13"/>
  <c r="N57" i="13" s="1"/>
  <c r="G57" i="13" s="1"/>
  <c r="V58" i="13"/>
  <c r="O58" i="13" s="1"/>
  <c r="H58" i="13" s="1"/>
  <c r="V59" i="13"/>
  <c r="O59" i="13" s="1"/>
  <c r="H59" i="13" s="1"/>
  <c r="W57" i="13"/>
  <c r="P57" i="13" s="1"/>
  <c r="I57" i="13" s="1"/>
  <c r="V60" i="13"/>
  <c r="O60" i="13" s="1"/>
  <c r="H60" i="13" s="1"/>
  <c r="V61" i="13"/>
  <c r="O61" i="13" s="1"/>
  <c r="H61" i="13" s="1"/>
  <c r="W60" i="13"/>
  <c r="P60" i="13" s="1"/>
  <c r="I60" i="13" s="1"/>
  <c r="T58" i="13"/>
  <c r="M58" i="13" s="1"/>
  <c r="F58" i="13" s="1"/>
  <c r="T57" i="13"/>
  <c r="M57" i="13" s="1"/>
  <c r="F57" i="13" s="1"/>
  <c r="W58" i="13"/>
  <c r="P58" i="13" s="1"/>
  <c r="I58" i="13" s="1"/>
  <c r="S61" i="13"/>
  <c r="L61" i="13" s="1"/>
  <c r="E61" i="13" s="1"/>
  <c r="S57" i="13"/>
  <c r="S58" i="13"/>
  <c r="L58" i="13" s="1"/>
  <c r="E58" i="13" s="1"/>
  <c r="S59" i="13"/>
  <c r="L59" i="13" s="1"/>
  <c r="E59" i="13" s="1"/>
  <c r="V57" i="13"/>
  <c r="O57" i="13" s="1"/>
  <c r="H57" i="13" s="1"/>
  <c r="U60" i="13"/>
  <c r="N60" i="13" s="1"/>
  <c r="G60" i="13" s="1"/>
  <c r="W59" i="13"/>
  <c r="P59" i="13" s="1"/>
  <c r="I59" i="13" s="1"/>
  <c r="T61" i="13"/>
  <c r="M61" i="13" s="1"/>
  <c r="F61" i="13" s="1"/>
  <c r="H90" i="20"/>
  <c r="F154" i="20" l="1"/>
  <c r="O38" i="13"/>
  <c r="H54" i="5"/>
  <c r="H48" i="5"/>
  <c r="I132" i="63"/>
  <c r="G152" i="20"/>
  <c r="J122" i="63" s="1"/>
  <c r="I102" i="63"/>
  <c r="G162" i="20"/>
  <c r="J67" i="63"/>
  <c r="I50" i="17"/>
  <c r="I141" i="63"/>
  <c r="I38" i="17"/>
  <c r="I131" i="63"/>
  <c r="J29" i="17"/>
  <c r="J123" i="63"/>
  <c r="I57" i="5" s="1"/>
  <c r="I64" i="17"/>
  <c r="I154" i="63"/>
  <c r="H52" i="5" s="1"/>
  <c r="H93" i="20"/>
  <c r="K64" i="63"/>
  <c r="I30" i="17"/>
  <c r="I124" i="63"/>
  <c r="I29" i="17"/>
  <c r="I123" i="63"/>
  <c r="H57" i="5" s="1"/>
  <c r="O32" i="13"/>
  <c r="W64" i="13"/>
  <c r="S63" i="13"/>
  <c r="S64" i="13"/>
  <c r="L57" i="13"/>
  <c r="W63" i="13"/>
  <c r="I90" i="20"/>
  <c r="E11" i="44" l="1"/>
  <c r="E12" i="44" s="1"/>
  <c r="G154" i="20"/>
  <c r="J124" i="63" s="1"/>
  <c r="J28" i="17"/>
  <c r="I48" i="5"/>
  <c r="I54" i="5"/>
  <c r="H153" i="20"/>
  <c r="K123" i="63" s="1"/>
  <c r="J57" i="5" s="1"/>
  <c r="H152" i="20"/>
  <c r="K122" i="63" s="1"/>
  <c r="I93" i="20"/>
  <c r="I152" i="20" s="1"/>
  <c r="L122" i="63" s="1"/>
  <c r="L64" i="63"/>
  <c r="J30" i="17"/>
  <c r="H162" i="20"/>
  <c r="K67" i="63"/>
  <c r="J39" i="17"/>
  <c r="J132" i="63"/>
  <c r="I103" i="63"/>
  <c r="P63" i="13"/>
  <c r="E57" i="13"/>
  <c r="I63" i="13" s="1"/>
  <c r="P64" i="13"/>
  <c r="L64" i="13"/>
  <c r="L63" i="13"/>
  <c r="J90" i="20"/>
  <c r="K29" i="17" l="1"/>
  <c r="I153" i="20"/>
  <c r="H154" i="20"/>
  <c r="K124" i="63" s="1"/>
  <c r="J54" i="5"/>
  <c r="J48" i="5"/>
  <c r="K8" i="5"/>
  <c r="K28" i="17"/>
  <c r="L29" i="17"/>
  <c r="L123" i="63"/>
  <c r="K57" i="5" s="1"/>
  <c r="K39" i="17"/>
  <c r="K132" i="63"/>
  <c r="J93" i="20"/>
  <c r="J153" i="20" s="1"/>
  <c r="M64" i="63"/>
  <c r="G130" i="20"/>
  <c r="J71" i="63"/>
  <c r="I162" i="20"/>
  <c r="L67" i="63"/>
  <c r="I154" i="20"/>
  <c r="L28" i="17"/>
  <c r="I64" i="13"/>
  <c r="H27" i="44" s="1"/>
  <c r="G27" i="44"/>
  <c r="K19" i="57" s="1"/>
  <c r="K20" i="57" s="1"/>
  <c r="E64" i="13"/>
  <c r="F27" i="44" s="1"/>
  <c r="E63" i="13"/>
  <c r="I27" i="44" s="1"/>
  <c r="O39" i="13"/>
  <c r="O30" i="13" s="1"/>
  <c r="K30" i="17" l="1"/>
  <c r="K48" i="5"/>
  <c r="K54" i="5"/>
  <c r="M29" i="17"/>
  <c r="M123" i="63"/>
  <c r="L57" i="5" s="1"/>
  <c r="H98" i="20"/>
  <c r="J103" i="63"/>
  <c r="J152" i="20"/>
  <c r="L30" i="17"/>
  <c r="L124" i="63"/>
  <c r="J162" i="20"/>
  <c r="M67" i="63"/>
  <c r="L39" i="17"/>
  <c r="L132" i="63"/>
  <c r="L27" i="44"/>
  <c r="G36" i="44"/>
  <c r="G35" i="44"/>
  <c r="G37" i="44"/>
  <c r="G34" i="44"/>
  <c r="G43" i="44"/>
  <c r="F34" i="44"/>
  <c r="F37" i="44"/>
  <c r="F35" i="44"/>
  <c r="F43" i="44"/>
  <c r="F36" i="44"/>
  <c r="K27" i="44"/>
  <c r="I34" i="44"/>
  <c r="N27" i="44"/>
  <c r="I35" i="44"/>
  <c r="I36" i="44"/>
  <c r="I37" i="44"/>
  <c r="H36" i="44"/>
  <c r="H37" i="44"/>
  <c r="H34" i="44"/>
  <c r="M27" i="44"/>
  <c r="H35" i="44"/>
  <c r="J49" i="22"/>
  <c r="J52" i="22" s="1"/>
  <c r="L54" i="5" l="1"/>
  <c r="L48" i="5"/>
  <c r="M39" i="17"/>
  <c r="M132" i="63"/>
  <c r="M122" i="63"/>
  <c r="J154" i="20"/>
  <c r="M28" i="17"/>
  <c r="H130" i="20"/>
  <c r="K71" i="63"/>
  <c r="H43" i="44"/>
  <c r="N35" i="44"/>
  <c r="N37" i="44"/>
  <c r="S27" i="44"/>
  <c r="N34" i="44"/>
  <c r="N36" i="44"/>
  <c r="K35" i="44"/>
  <c r="P27" i="44"/>
  <c r="K37" i="44"/>
  <c r="K36" i="44"/>
  <c r="K34" i="44"/>
  <c r="R27" i="44"/>
  <c r="M35" i="44"/>
  <c r="M34" i="44"/>
  <c r="M36" i="44"/>
  <c r="M37" i="44"/>
  <c r="L35" i="44"/>
  <c r="L37" i="44"/>
  <c r="Q27" i="44"/>
  <c r="L36" i="44"/>
  <c r="L34" i="44"/>
  <c r="J87" i="22"/>
  <c r="J88" i="22" s="1"/>
  <c r="J57" i="22"/>
  <c r="J58" i="22"/>
  <c r="J56" i="22"/>
  <c r="J59" i="22" s="1"/>
  <c r="K49" i="22"/>
  <c r="I98" i="20" l="1"/>
  <c r="K103" i="63"/>
  <c r="M30" i="17"/>
  <c r="M124" i="63"/>
  <c r="P36" i="44"/>
  <c r="P34" i="44"/>
  <c r="P37" i="44"/>
  <c r="P35" i="44"/>
  <c r="Q35" i="44"/>
  <c r="Q36" i="44"/>
  <c r="Q34" i="44"/>
  <c r="Q37" i="44"/>
  <c r="S37" i="44"/>
  <c r="S35" i="44"/>
  <c r="S34" i="44"/>
  <c r="S36" i="44"/>
  <c r="R37" i="44"/>
  <c r="R34" i="44"/>
  <c r="R36" i="44"/>
  <c r="R35" i="44"/>
  <c r="I58" i="22"/>
  <c r="I57" i="22"/>
  <c r="L49" i="22"/>
  <c r="K52" i="22"/>
  <c r="K87" i="22" s="1"/>
  <c r="K88" i="22" s="1"/>
  <c r="J53" i="22"/>
  <c r="F67" i="18" s="1"/>
  <c r="I56" i="22"/>
  <c r="I59" i="22" s="1"/>
  <c r="I130" i="20" l="1"/>
  <c r="L71" i="63"/>
  <c r="K57" i="22"/>
  <c r="K58" i="22"/>
  <c r="K53" i="22"/>
  <c r="G67" i="18" s="1"/>
  <c r="K56" i="22"/>
  <c r="L52" i="22"/>
  <c r="M49" i="22"/>
  <c r="J98" i="20" l="1"/>
  <c r="L103" i="63"/>
  <c r="K59" i="22"/>
  <c r="L56" i="22"/>
  <c r="L87" i="22"/>
  <c r="L88" i="22" s="1"/>
  <c r="M52" i="22"/>
  <c r="M87" i="22" s="1"/>
  <c r="M88" i="22" s="1"/>
  <c r="L53" i="22"/>
  <c r="H67" i="18" s="1"/>
  <c r="L57" i="22"/>
  <c r="L58" i="22"/>
  <c r="J130" i="20" l="1"/>
  <c r="M103" i="63" s="1"/>
  <c r="M71" i="63"/>
  <c r="L59" i="22"/>
  <c r="M53" i="22"/>
  <c r="I67" i="18" s="1"/>
  <c r="M57" i="22"/>
  <c r="M58" i="22"/>
  <c r="M56" i="22"/>
  <c r="M59" i="22" l="1"/>
  <c r="F85" i="20" l="1"/>
  <c r="F62" i="20" s="1"/>
  <c r="F66" i="20" s="1"/>
  <c r="I59" i="63" l="1"/>
  <c r="F94" i="20"/>
  <c r="G78" i="20"/>
  <c r="I68" i="63" l="1"/>
  <c r="F138" i="20"/>
  <c r="I36" i="63"/>
  <c r="G158" i="20"/>
  <c r="J52" i="63"/>
  <c r="G85" i="20"/>
  <c r="J59" i="63" l="1"/>
  <c r="G62" i="20"/>
  <c r="J35" i="17"/>
  <c r="J128" i="63"/>
  <c r="F137" i="20"/>
  <c r="I40" i="63"/>
  <c r="I12" i="17"/>
  <c r="I108" i="63"/>
  <c r="F73" i="20"/>
  <c r="G94" i="20"/>
  <c r="J68" i="63" s="1"/>
  <c r="I47" i="63" l="1"/>
  <c r="H46" i="5" s="1"/>
  <c r="F95" i="20"/>
  <c r="G138" i="20"/>
  <c r="J36" i="63"/>
  <c r="I11" i="17"/>
  <c r="I107" i="63"/>
  <c r="F166" i="20"/>
  <c r="F165" i="20"/>
  <c r="F157" i="20"/>
  <c r="F156" i="20"/>
  <c r="F144" i="20"/>
  <c r="F150" i="20"/>
  <c r="G66" i="20"/>
  <c r="J40" i="63" s="1"/>
  <c r="I43" i="17" l="1"/>
  <c r="I135" i="63"/>
  <c r="I19" i="17"/>
  <c r="I114" i="63"/>
  <c r="I33" i="17"/>
  <c r="I126" i="63"/>
  <c r="I34" i="17"/>
  <c r="I127" i="63"/>
  <c r="I44" i="17"/>
  <c r="I136" i="63"/>
  <c r="I26" i="17"/>
  <c r="I120" i="63"/>
  <c r="H56" i="5" s="1"/>
  <c r="J12" i="17"/>
  <c r="J108" i="63"/>
  <c r="F167" i="20"/>
  <c r="G73" i="20"/>
  <c r="J47" i="63" s="1"/>
  <c r="I46" i="5" s="1"/>
  <c r="G137" i="20"/>
  <c r="H78" i="20"/>
  <c r="H158" i="20" l="1"/>
  <c r="K52" i="63"/>
  <c r="J11" i="17"/>
  <c r="J107" i="63"/>
  <c r="I45" i="17"/>
  <c r="I137" i="63"/>
  <c r="H55" i="5" s="1"/>
  <c r="G157" i="20"/>
  <c r="G165" i="20"/>
  <c r="G166" i="20"/>
  <c r="G156" i="20"/>
  <c r="G144" i="20"/>
  <c r="G150" i="20"/>
  <c r="G95" i="20"/>
  <c r="H85" i="20"/>
  <c r="K59" i="63" l="1"/>
  <c r="H62" i="20"/>
  <c r="J44" i="17"/>
  <c r="J136" i="63"/>
  <c r="J33" i="17"/>
  <c r="J126" i="63"/>
  <c r="J34" i="17"/>
  <c r="J127" i="63"/>
  <c r="J43" i="17"/>
  <c r="J135" i="63"/>
  <c r="J26" i="17"/>
  <c r="J120" i="63"/>
  <c r="I56" i="5" s="1"/>
  <c r="J19" i="17"/>
  <c r="J114" i="63"/>
  <c r="K35" i="17"/>
  <c r="K128" i="63"/>
  <c r="G167" i="20"/>
  <c r="H94" i="20"/>
  <c r="K68" i="63" s="1"/>
  <c r="J45" i="17" l="1"/>
  <c r="J137" i="63"/>
  <c r="I55" i="5" s="1"/>
  <c r="H138" i="20"/>
  <c r="K36" i="63"/>
  <c r="H66" i="20"/>
  <c r="H137" i="20" l="1"/>
  <c r="K40" i="63"/>
  <c r="K12" i="17"/>
  <c r="K108" i="63"/>
  <c r="I78" i="20"/>
  <c r="H73" i="20"/>
  <c r="K47" i="63" s="1"/>
  <c r="J46" i="5" s="1"/>
  <c r="I158" i="20" l="1"/>
  <c r="L52" i="63"/>
  <c r="K11" i="17"/>
  <c r="K107" i="63"/>
  <c r="H157" i="20"/>
  <c r="H165" i="20"/>
  <c r="H166" i="20"/>
  <c r="H156" i="20"/>
  <c r="H144" i="20"/>
  <c r="H150" i="20"/>
  <c r="H95" i="20"/>
  <c r="I85" i="20"/>
  <c r="L59" i="63" s="1"/>
  <c r="K33" i="17" l="1"/>
  <c r="K126" i="63"/>
  <c r="K19" i="17"/>
  <c r="K114" i="63"/>
  <c r="K43" i="17"/>
  <c r="K135" i="63"/>
  <c r="K26" i="17"/>
  <c r="K120" i="63"/>
  <c r="J56" i="5" s="1"/>
  <c r="K44" i="17"/>
  <c r="K136" i="63"/>
  <c r="K34" i="17"/>
  <c r="K127" i="63"/>
  <c r="L35" i="17"/>
  <c r="L128" i="63"/>
  <c r="H167" i="20"/>
  <c r="I62" i="20"/>
  <c r="I94" i="20"/>
  <c r="L68" i="63" s="1"/>
  <c r="I138" i="20" l="1"/>
  <c r="L36" i="63"/>
  <c r="K45" i="17"/>
  <c r="K137" i="63"/>
  <c r="J55" i="5" s="1"/>
  <c r="I66" i="20"/>
  <c r="I137" i="20" l="1"/>
  <c r="L40" i="63"/>
  <c r="L12" i="17"/>
  <c r="L108" i="63"/>
  <c r="I73" i="20"/>
  <c r="L47" i="63" s="1"/>
  <c r="K46" i="5" s="1"/>
  <c r="J78" i="20"/>
  <c r="J158" i="20" l="1"/>
  <c r="M52" i="63"/>
  <c r="L11" i="17"/>
  <c r="L107" i="63"/>
  <c r="I165" i="20"/>
  <c r="I157" i="20"/>
  <c r="I166" i="20"/>
  <c r="I156" i="20"/>
  <c r="I144" i="20"/>
  <c r="I150" i="20"/>
  <c r="J85" i="20"/>
  <c r="M59" i="63" s="1"/>
  <c r="I95" i="20"/>
  <c r="L26" i="17" l="1"/>
  <c r="L120" i="63"/>
  <c r="K56" i="5" s="1"/>
  <c r="L19" i="17"/>
  <c r="L114" i="63"/>
  <c r="L33" i="17"/>
  <c r="L126" i="63"/>
  <c r="L34" i="17"/>
  <c r="L127" i="63"/>
  <c r="L44" i="17"/>
  <c r="L136" i="63"/>
  <c r="L43" i="17"/>
  <c r="L135" i="63"/>
  <c r="M35" i="17"/>
  <c r="M128" i="63"/>
  <c r="I167" i="20"/>
  <c r="J94" i="20"/>
  <c r="M68" i="63" s="1"/>
  <c r="J62" i="20"/>
  <c r="O33" i="13"/>
  <c r="J138" i="20" l="1"/>
  <c r="M36" i="63"/>
  <c r="L45" i="17"/>
  <c r="L137" i="63"/>
  <c r="K55" i="5" s="1"/>
  <c r="J66" i="20"/>
  <c r="J137" i="20" l="1"/>
  <c r="M40" i="63"/>
  <c r="M12" i="17"/>
  <c r="M108" i="63"/>
  <c r="J73" i="20"/>
  <c r="M47" i="63" s="1"/>
  <c r="L46" i="5" s="1"/>
  <c r="M11" i="17" l="1"/>
  <c r="M107" i="63"/>
  <c r="J157" i="20"/>
  <c r="J165" i="20"/>
  <c r="J166" i="20"/>
  <c r="J156" i="20"/>
  <c r="J144" i="20"/>
  <c r="J150" i="20"/>
  <c r="J95" i="20"/>
  <c r="M33" i="17" l="1"/>
  <c r="M126" i="63"/>
  <c r="M26" i="17"/>
  <c r="M120" i="63"/>
  <c r="L56" i="5" s="1"/>
  <c r="M19" i="17"/>
  <c r="M114" i="63"/>
  <c r="M44" i="17"/>
  <c r="M136" i="63"/>
  <c r="M43" i="17"/>
  <c r="M135" i="63"/>
  <c r="M34" i="17"/>
  <c r="M127" i="63"/>
  <c r="J167" i="20"/>
  <c r="M45" i="17" l="1"/>
  <c r="M137" i="63"/>
  <c r="L55" i="5" s="1"/>
  <c r="E38"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850102-F0A3-4A8F-9015-DF3D5C5C747F}" keepAlive="1" name="Query - For non-financial service firms only" description="Connection to the 'For non-financial service firms only' query in the workbook." type="5" refreshedVersion="8" background="1" saveData="1">
    <dbPr connection="Provider=Microsoft.Mashup.OleDb.1;Data Source=$Workbook$;Location=&quot;For non-financial service firms only&quot;;Extended Properties=&quot;&quot;" command="SELECT * FROM [For non-financial service firms only]"/>
  </connection>
  <connection id="2" xr16:uid="{7A9FFF4B-EEB8-4859-BD17-85FAEA9A8A10}" keepAlive="1" name="Query - Foreign Exchange Rates -- H 10 Weekly" description="Connection to the 'Foreign Exchange Rates -- H 10 Weekly' query in the workbook." type="5" refreshedVersion="0" background="1" saveData="1">
    <dbPr connection="Provider=Microsoft.Mashup.OleDb.1;Data Source=$Workbook$;Location=&quot;Foreign Exchange Rates -- H 10 Weekly&quot;;Extended Properties=&quot;&quot;" command="SELECT * FROM [Foreign Exchange Rates -- H 10 Weekly]"/>
  </connection>
  <connection id="3" xr16:uid="{5EC74862-3671-40B4-97C4-0651E96E6F85}" keepAlive="1" name="Query - Table 0" description="Connection to the 'Table 0' query in the workbook." type="5" refreshedVersion="8" background="1" saveData="1">
    <dbPr connection="Provider=Microsoft.Mashup.OleDb.1;Data Source=$Workbook$;Location=&quot;Table 0&quot;;Extended Properties=&quot;&quot;" command="SELECT * FROM [Table 0]"/>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<sst xmlns="http://schemas.openxmlformats.org/spreadsheetml/2006/main" count="1739" uniqueCount="909">
  <si>
    <t>Table of Contents</t>
  </si>
  <si>
    <t>Tear Sheet</t>
  </si>
  <si>
    <t>Depreciation &amp; Amortization Schedule</t>
  </si>
  <si>
    <t>Weighted Average Cost of Capital</t>
  </si>
  <si>
    <t>References</t>
  </si>
  <si>
    <t>Appendix</t>
  </si>
  <si>
    <t>General information for the reader:</t>
  </si>
  <si>
    <t>- Forward looking statements were elaborated by the author for academic purposes</t>
  </si>
  <si>
    <t>- Assumptions made are referenced in each tab under "NOTES"</t>
  </si>
  <si>
    <t>Price:</t>
  </si>
  <si>
    <t>Target Price:</t>
  </si>
  <si>
    <t>Key Stock Statistics</t>
  </si>
  <si>
    <t>52-Week Range</t>
  </si>
  <si>
    <t>Inst. Ownership (%)</t>
  </si>
  <si>
    <t>Shares Outstanding (M)</t>
  </si>
  <si>
    <t>Unlevered Beta</t>
  </si>
  <si>
    <t>Dividend Yield (%)</t>
  </si>
  <si>
    <t>Levered Beta</t>
  </si>
  <si>
    <t>https://www.spglobal.com/spdji/en/indices/strategy/sp-us-equity-risk-premium-index/#overview</t>
  </si>
  <si>
    <t>- This report serves as supporting evidence to the written report that exhibits the authors conclusions and insights</t>
  </si>
  <si>
    <t>Recommendation:</t>
  </si>
  <si>
    <t>Financial Statements</t>
  </si>
  <si>
    <t>Caterpillar, Inc.</t>
  </si>
  <si>
    <t>Figures in USD millions, unless told otherwise</t>
  </si>
  <si>
    <t>General Information</t>
  </si>
  <si>
    <t>Additional Information</t>
  </si>
  <si>
    <t>Discounted Cash Flows Model</t>
  </si>
  <si>
    <t>Financial Ratios Analysis</t>
  </si>
  <si>
    <t>Abbreviations</t>
  </si>
  <si>
    <t>Historic Financial Statements</t>
  </si>
  <si>
    <t>USD</t>
  </si>
  <si>
    <t>Inventories</t>
  </si>
  <si>
    <t>Total current assets</t>
  </si>
  <si>
    <t>Goodwill</t>
  </si>
  <si>
    <t>Other assets</t>
  </si>
  <si>
    <t>Total assets</t>
  </si>
  <si>
    <t>Accounts payable</t>
  </si>
  <si>
    <t>Total current liabilities</t>
  </si>
  <si>
    <t>Total liabilities</t>
  </si>
  <si>
    <t>Treasury stock, at cost</t>
  </si>
  <si>
    <t>Accumulated other comprehensive income (loss)</t>
  </si>
  <si>
    <t>Total shareholders' equity</t>
  </si>
  <si>
    <t>ASSETS</t>
  </si>
  <si>
    <t>LIABILITIES</t>
  </si>
  <si>
    <t>SHAREHOLDERS EQUITY</t>
  </si>
  <si>
    <t>Total operating costs</t>
  </si>
  <si>
    <t>Operating profit</t>
  </si>
  <si>
    <t>Weighted average shares outstanding - basic</t>
  </si>
  <si>
    <t>Weighted average shares outstanding - diluted</t>
  </si>
  <si>
    <t>Net cash flows from investing activities</t>
  </si>
  <si>
    <t>Net cash flows from financing activities</t>
  </si>
  <si>
    <t>Increase (decrease) in cash, cash equivalents &amp; restricted cash</t>
  </si>
  <si>
    <t>Check</t>
  </si>
  <si>
    <t>Explanation</t>
  </si>
  <si>
    <t>CAT</t>
  </si>
  <si>
    <t>US Dollar</t>
  </si>
  <si>
    <t>WACC</t>
  </si>
  <si>
    <t>DCF</t>
  </si>
  <si>
    <t>Discounted Cash Flow</t>
  </si>
  <si>
    <t>FS</t>
  </si>
  <si>
    <t>F</t>
  </si>
  <si>
    <t>Forecast</t>
  </si>
  <si>
    <t>https://investors.caterpillar.com/financials/quarterly-results/default.aspx</t>
  </si>
  <si>
    <t>Source: Company Information</t>
  </si>
  <si>
    <t>Long-term debt</t>
  </si>
  <si>
    <t>Case Scenario</t>
  </si>
  <si>
    <t>Base Case</t>
  </si>
  <si>
    <t>Bull</t>
  </si>
  <si>
    <t>Bear</t>
  </si>
  <si>
    <t>Revenue Growth (%)</t>
  </si>
  <si>
    <t>Implied EBITDA Margin (%)</t>
  </si>
  <si>
    <t>5yr Avg.</t>
  </si>
  <si>
    <t>yr</t>
  </si>
  <si>
    <t>Year</t>
  </si>
  <si>
    <t>Avg.</t>
  </si>
  <si>
    <t>Average</t>
  </si>
  <si>
    <t>Implied Cash Conversion Cycle</t>
  </si>
  <si>
    <t>Minority Interest</t>
  </si>
  <si>
    <t>NOTES:</t>
  </si>
  <si>
    <t>Following scenario assumptions</t>
  </si>
  <si>
    <t>Depreciation</t>
  </si>
  <si>
    <t>PP&amp;E, net</t>
  </si>
  <si>
    <t>PP&amp;E, gross</t>
  </si>
  <si>
    <t>Accumulated Depreciation</t>
  </si>
  <si>
    <t>Depreciation for Fiscal Year</t>
  </si>
  <si>
    <t>Capex</t>
  </si>
  <si>
    <t>Capex as % of Sales</t>
  </si>
  <si>
    <t>PP&amp;E</t>
  </si>
  <si>
    <t>PP&amp;E gross depreciable</t>
  </si>
  <si>
    <t>A</t>
  </si>
  <si>
    <t>Revenue Breakdown &amp; Projections</t>
  </si>
  <si>
    <t>Revenues</t>
  </si>
  <si>
    <t>Date</t>
  </si>
  <si>
    <t>Time Periods</t>
  </si>
  <si>
    <t>Growth (%)</t>
  </si>
  <si>
    <t>EBITDA</t>
  </si>
  <si>
    <t>Margin (%)</t>
  </si>
  <si>
    <t>EBIT</t>
  </si>
  <si>
    <t>- Cash Taxes</t>
  </si>
  <si>
    <t>NOPAT</t>
  </si>
  <si>
    <t>+ D&amp;A</t>
  </si>
  <si>
    <t>- Capex</t>
  </si>
  <si>
    <t>- Changes in NWC</t>
  </si>
  <si>
    <t>Unlevered FCF</t>
  </si>
  <si>
    <t>(Entry)/Exit</t>
  </si>
  <si>
    <t>Transaction CF</t>
  </si>
  <si>
    <t>General Considerations</t>
  </si>
  <si>
    <t>Tax Rate</t>
  </si>
  <si>
    <t>Discount Rate</t>
  </si>
  <si>
    <t>Current Price</t>
  </si>
  <si>
    <t>Shares Outstanding</t>
  </si>
  <si>
    <t>Market Value</t>
  </si>
  <si>
    <t>Intrinsic Value</t>
  </si>
  <si>
    <t>Enterprise Value</t>
  </si>
  <si>
    <t>+ Debt</t>
  </si>
  <si>
    <t>- Debt</t>
  </si>
  <si>
    <t>- Cash</t>
  </si>
  <si>
    <t>+ Cash</t>
  </si>
  <si>
    <t>Equity Value</t>
  </si>
  <si>
    <t>Equity Value/Share</t>
  </si>
  <si>
    <t>Entry</t>
  </si>
  <si>
    <t>Exit</t>
  </si>
  <si>
    <t>Terminal Value</t>
  </si>
  <si>
    <t>IRR</t>
  </si>
  <si>
    <t>Market Value vs Intrinsic Value</t>
  </si>
  <si>
    <t xml:space="preserve">Capital Structure </t>
  </si>
  <si>
    <t>Debt / Total Capitalization</t>
  </si>
  <si>
    <t>Equity / Total Capitalization</t>
  </si>
  <si>
    <t>Debt / Equity</t>
  </si>
  <si>
    <t>Cost of Equity</t>
  </si>
  <si>
    <t>Cost of Debt</t>
  </si>
  <si>
    <t>After Tax Cost of Debt</t>
  </si>
  <si>
    <t>Equity Risk Premium</t>
  </si>
  <si>
    <t>Risk Free-Rate</t>
  </si>
  <si>
    <t>YTM</t>
  </si>
  <si>
    <t>Liquidity (Safety)</t>
  </si>
  <si>
    <t>Capital Expenditure</t>
  </si>
  <si>
    <t>R&amp;D</t>
  </si>
  <si>
    <t>Research &amp; Development</t>
  </si>
  <si>
    <t>SG&amp;A</t>
  </si>
  <si>
    <t>Selling, General &amp; Administrative expenses</t>
  </si>
  <si>
    <t>COGS</t>
  </si>
  <si>
    <t>Cost of Good Sold</t>
  </si>
  <si>
    <t>SL</t>
  </si>
  <si>
    <t>Straight Line</t>
  </si>
  <si>
    <t>D&amp;A</t>
  </si>
  <si>
    <t>Depreciation &amp; Amortization</t>
  </si>
  <si>
    <t>Property, Plant &amp; Equipment</t>
  </si>
  <si>
    <t>Actuals</t>
  </si>
  <si>
    <t>NWC</t>
  </si>
  <si>
    <t>FCF</t>
  </si>
  <si>
    <t>CF</t>
  </si>
  <si>
    <t>Market Cap.</t>
  </si>
  <si>
    <t>FY</t>
  </si>
  <si>
    <t>Net Operating Profit After Tax</t>
  </si>
  <si>
    <t>Earnings Before Interest and Tax</t>
  </si>
  <si>
    <t>Earnings Before Interest, Tax, Depreciation and Amortization</t>
  </si>
  <si>
    <t>Net Changes in Working Capital</t>
  </si>
  <si>
    <t>Free Cash Flow</t>
  </si>
  <si>
    <t>Cash Flow</t>
  </si>
  <si>
    <t>Market Capitalization</t>
  </si>
  <si>
    <t>Fiscal Year</t>
  </si>
  <si>
    <t>Net Income</t>
  </si>
  <si>
    <t>Total Debt</t>
  </si>
  <si>
    <t>EV</t>
  </si>
  <si>
    <t>Equity</t>
  </si>
  <si>
    <t>EV/EBITDA</t>
  </si>
  <si>
    <t>P/E</t>
  </si>
  <si>
    <t>D/E</t>
  </si>
  <si>
    <t>Min</t>
  </si>
  <si>
    <t>Max</t>
  </si>
  <si>
    <t>Median</t>
  </si>
  <si>
    <t>Mean</t>
  </si>
  <si>
    <t>Country</t>
  </si>
  <si>
    <t>Settlement Date</t>
  </si>
  <si>
    <t>Maturity Date</t>
  </si>
  <si>
    <t>Valuation Date</t>
  </si>
  <si>
    <t>Principal</t>
  </si>
  <si>
    <t>Redemption</t>
  </si>
  <si>
    <t>Frequency</t>
  </si>
  <si>
    <t>Maturity (years)</t>
  </si>
  <si>
    <t>Coupon Rate (%)</t>
  </si>
  <si>
    <t>YTM at issuance (%)</t>
  </si>
  <si>
    <t>Current YTM (%)</t>
  </si>
  <si>
    <t>Years left to Maturity</t>
  </si>
  <si>
    <t>Price at Issuance</t>
  </si>
  <si>
    <t>Heavy-Duty Diesel Engine Manufacturing</t>
  </si>
  <si>
    <t>Cummins</t>
  </si>
  <si>
    <t>Navistar International</t>
  </si>
  <si>
    <t>Daimler Ag</t>
  </si>
  <si>
    <t>Germany</t>
  </si>
  <si>
    <t>Financials</t>
  </si>
  <si>
    <t>USA</t>
  </si>
  <si>
    <t>Japan</t>
  </si>
  <si>
    <t>China</t>
  </si>
  <si>
    <t>https://taxsummaries.pwc.com/</t>
  </si>
  <si>
    <t xml:space="preserve">- Minority Interest </t>
  </si>
  <si>
    <t xml:space="preserve">+ Minority Interest </t>
  </si>
  <si>
    <t>Local Currency Exchange Rate to US Dollar</t>
  </si>
  <si>
    <t>EURO</t>
  </si>
  <si>
    <t>YEN</t>
  </si>
  <si>
    <t>CCY</t>
  </si>
  <si>
    <t>Source: PwC</t>
  </si>
  <si>
    <t>FX</t>
  </si>
  <si>
    <t>Foreign Exchange Rate</t>
  </si>
  <si>
    <t>LCY</t>
  </si>
  <si>
    <t>UNITED KINGDOM</t>
  </si>
  <si>
    <t>Country Corporate Income Tax Rate</t>
  </si>
  <si>
    <t>Industry Peers Market Information</t>
  </si>
  <si>
    <t>Symbol</t>
  </si>
  <si>
    <t>Open</t>
  </si>
  <si>
    <t>High</t>
  </si>
  <si>
    <t>Low</t>
  </si>
  <si>
    <t>Beta</t>
  </si>
  <si>
    <t>Equity Beta</t>
  </si>
  <si>
    <t>Ticker Symbol</t>
  </si>
  <si>
    <t>NYSE</t>
  </si>
  <si>
    <t>Stock Exchange</t>
  </si>
  <si>
    <t>Close Price</t>
  </si>
  <si>
    <t>https://my.pitchbook.com/dashboard</t>
  </si>
  <si>
    <t>No Shares</t>
  </si>
  <si>
    <t>% of Total Shares</t>
  </si>
  <si>
    <t>Pref. Shares</t>
  </si>
  <si>
    <t>Source: Morningstar</t>
  </si>
  <si>
    <t>https://finra-markets.morningstar.com/BondCenter/Default.jsp</t>
  </si>
  <si>
    <t>Cost of Equity Breakdown</t>
  </si>
  <si>
    <t>Cost of Debt Breakdown</t>
  </si>
  <si>
    <t>Productivity (Efficiency)</t>
  </si>
  <si>
    <t>Profitability (Performance)</t>
  </si>
  <si>
    <t>Insolvency (Leverage)</t>
  </si>
  <si>
    <t>DuPont Analysis. (ROE break-down)</t>
  </si>
  <si>
    <t>Days in Receivable</t>
  </si>
  <si>
    <t>a.</t>
  </si>
  <si>
    <t>b.</t>
  </si>
  <si>
    <t>c.</t>
  </si>
  <si>
    <t>d.</t>
  </si>
  <si>
    <t>Days in Inventory</t>
  </si>
  <si>
    <t>Operating profit margin (%)</t>
  </si>
  <si>
    <t>Return on Asset (%)</t>
  </si>
  <si>
    <t>Return on Sales, net profit margin (%)</t>
  </si>
  <si>
    <t>Return on Equity (%)</t>
  </si>
  <si>
    <t>Earnings Per Share</t>
  </si>
  <si>
    <t>Cash Conversion Cycle</t>
  </si>
  <si>
    <t>Dividend per Share</t>
  </si>
  <si>
    <t>Total Debt to Net Worth</t>
  </si>
  <si>
    <t>Total Debt to EBITDA (x)</t>
  </si>
  <si>
    <t>Asset to Equity (x)</t>
  </si>
  <si>
    <t>Asset Turnover (x)</t>
  </si>
  <si>
    <t>Interest Coverage (x)</t>
  </si>
  <si>
    <t>Current Liabilities to Total Debt Ratio (%)</t>
  </si>
  <si>
    <t>Asset to Equity (Equity Multiplier) (x)</t>
  </si>
  <si>
    <t>Debt Ratio (%)</t>
  </si>
  <si>
    <t>Total Fixed Asset Turnover (x)</t>
  </si>
  <si>
    <t>Total Asset Turnover (x)</t>
  </si>
  <si>
    <t>Inventory Turnover (x)</t>
  </si>
  <si>
    <t>Accounts Receivable Turnover (x)</t>
  </si>
  <si>
    <t>Quick ratio (x)</t>
  </si>
  <si>
    <t>Current ratio (x)</t>
  </si>
  <si>
    <t>Days in Payables</t>
  </si>
  <si>
    <t>Price to Earnings</t>
  </si>
  <si>
    <t>e.</t>
  </si>
  <si>
    <t>f.</t>
  </si>
  <si>
    <t>g.</t>
  </si>
  <si>
    <t>h.</t>
  </si>
  <si>
    <t>i.</t>
  </si>
  <si>
    <t>Dividend Payout Ratio (%)</t>
  </si>
  <si>
    <t>j.</t>
  </si>
  <si>
    <t>k.</t>
  </si>
  <si>
    <t>n.a</t>
  </si>
  <si>
    <t>Sustainable Growth (%)</t>
  </si>
  <si>
    <t>Gross Margin (%)</t>
  </si>
  <si>
    <t>SG&amp;A as % of Sales</t>
  </si>
  <si>
    <t>R&amp;D as % of Sales</t>
  </si>
  <si>
    <t>EBITDA Margin</t>
  </si>
  <si>
    <t>Effective Tax Rate</t>
  </si>
  <si>
    <t>COGS (excluding D&amp;A) as % of Sales</t>
  </si>
  <si>
    <t>Gross Profit</t>
  </si>
  <si>
    <t>Margins</t>
  </si>
  <si>
    <t>Dividend &amp; Price Metrics</t>
  </si>
  <si>
    <t>ROIC</t>
  </si>
  <si>
    <t>Return Over Invested Capital (%)</t>
  </si>
  <si>
    <t>Internal Rate of Return</t>
  </si>
  <si>
    <t>Return Over Invested Capital</t>
  </si>
  <si>
    <t>Local Currency</t>
  </si>
  <si>
    <t>Debt to Equity Ratio</t>
  </si>
  <si>
    <t>Working Capital Summary</t>
  </si>
  <si>
    <t>Inventory</t>
  </si>
  <si>
    <t>Working Capital</t>
  </si>
  <si>
    <t>Changes in W/C</t>
  </si>
  <si>
    <t>Accounts Payable</t>
  </si>
  <si>
    <t>Accounts Receivable</t>
  </si>
  <si>
    <t>Rating (S&amp;P/Moody's)</t>
  </si>
  <si>
    <t>Dividend per share</t>
  </si>
  <si>
    <t>Weight</t>
  </si>
  <si>
    <t>Median Current Price</t>
  </si>
  <si>
    <t>Market Value of Debt</t>
  </si>
  <si>
    <t>Capital Structure Breakdown</t>
  </si>
  <si>
    <t>Market Value of Equity</t>
  </si>
  <si>
    <t>Total Capitalization</t>
  </si>
  <si>
    <t>Value</t>
  </si>
  <si>
    <t>Market value of debt using current median price of outstanding bonds</t>
  </si>
  <si>
    <t>Current market capitalization</t>
  </si>
  <si>
    <t>Current YTM of US 10yr T-Bill</t>
  </si>
  <si>
    <t>Regression</t>
  </si>
  <si>
    <t>Comps</t>
  </si>
  <si>
    <t>Expected Market Return</t>
  </si>
  <si>
    <t>Enterprise Value (BN)</t>
  </si>
  <si>
    <t>Market Capitalization (BN)</t>
  </si>
  <si>
    <t>Avg. Volume ('000)</t>
  </si>
  <si>
    <t>Close</t>
  </si>
  <si>
    <t>Adj Close</t>
  </si>
  <si>
    <t>Volume</t>
  </si>
  <si>
    <t>Source: Yahoo Finance</t>
  </si>
  <si>
    <t>https://finance.yahoo.com/quote/CAT/history?p=CAT</t>
  </si>
  <si>
    <t>S&amp;P 500</t>
  </si>
  <si>
    <t>Beta Buildup Based on Regression Method</t>
  </si>
  <si>
    <t>In USD, unless told otherwise</t>
  </si>
  <si>
    <t>S&amp;P 500 Standard Deviation</t>
  </si>
  <si>
    <t>Beta Calculations</t>
  </si>
  <si>
    <t>Benchmark Risk Free-Rate</t>
  </si>
  <si>
    <t>10 year Historic Yield to Maturity of US 10 year Treasury Bill</t>
  </si>
  <si>
    <t>https://home.treasury.gov/resource-center/data-chart-center/interest-rates/TextView?type=daily_treasury_yield_curve&amp;field_tdr_date_value=2023</t>
  </si>
  <si>
    <t>Source: US Department of The Treasury</t>
  </si>
  <si>
    <t xml:space="preserve">Effective date </t>
  </si>
  <si>
    <t>S&amp;P US Equity Risk Premium Index TR</t>
  </si>
  <si>
    <t>10 year Historic S&amp;P Returns</t>
  </si>
  <si>
    <t>In percentage, as of 03/06/2023</t>
  </si>
  <si>
    <t>Source: S&amp;P</t>
  </si>
  <si>
    <t>10 YR CAGR</t>
  </si>
  <si>
    <t>Forecasted Financial Statements</t>
  </si>
  <si>
    <t>Sensitivity Factors &amp; Forecast Error</t>
  </si>
  <si>
    <t>Alpha</t>
  </si>
  <si>
    <t>Gamma</t>
  </si>
  <si>
    <t>Mean Squared Error (MSE)</t>
  </si>
  <si>
    <t>Mean Absolute % Error (MAPE)</t>
  </si>
  <si>
    <t>Sales Forecasting</t>
  </si>
  <si>
    <t xml:space="preserve">  Sales</t>
  </si>
  <si>
    <t>Level</t>
  </si>
  <si>
    <t>Trend</t>
  </si>
  <si>
    <t>Seasonal</t>
  </si>
  <si>
    <t>Actual</t>
  </si>
  <si>
    <t>Total Revenues</t>
  </si>
  <si>
    <t>As % of Total</t>
  </si>
  <si>
    <t>North America</t>
  </si>
  <si>
    <t>Scenario</t>
  </si>
  <si>
    <t>Interest expense</t>
  </si>
  <si>
    <t>US Monetary Policy (%)</t>
  </si>
  <si>
    <t>NOTE:</t>
  </si>
  <si>
    <t>S&amp;P Returns (%)</t>
  </si>
  <si>
    <t>Summary of Corporate Bonds</t>
  </si>
  <si>
    <t>Average YTM</t>
  </si>
  <si>
    <t>% of sales</t>
  </si>
  <si>
    <t>Total net sales</t>
  </si>
  <si>
    <t>Gross margin</t>
  </si>
  <si>
    <t>Less Operating expenses:</t>
  </si>
  <si>
    <t xml:space="preserve">      Total operating expenses</t>
  </si>
  <si>
    <t>Operating Income</t>
  </si>
  <si>
    <t>Current assets:</t>
  </si>
  <si>
    <t>Cash and cash equivalents</t>
  </si>
  <si>
    <t xml:space="preserve">   Total current assets</t>
  </si>
  <si>
    <t>Non-current assets:</t>
  </si>
  <si>
    <t xml:space="preserve">   Total non-current assets</t>
  </si>
  <si>
    <t xml:space="preserve">      Total assets</t>
  </si>
  <si>
    <t>Current liabilities:</t>
  </si>
  <si>
    <t xml:space="preserve">   Total current liabilities</t>
  </si>
  <si>
    <t>Non-current liabilities:</t>
  </si>
  <si>
    <t xml:space="preserve">   Total non-current liabilities</t>
  </si>
  <si>
    <t xml:space="preserve">      Total liabilities</t>
  </si>
  <si>
    <t>Shareholder's Equity:</t>
  </si>
  <si>
    <t>Retained earnings</t>
  </si>
  <si>
    <t xml:space="preserve">   Total shareholders' equity</t>
  </si>
  <si>
    <t xml:space="preserve">      Total liabilities and shareholders' equity</t>
  </si>
  <si>
    <t xml:space="preserve">Comprehensive Income Statement items: </t>
  </si>
  <si>
    <t xml:space="preserve">Balance Sheet accounts: </t>
  </si>
  <si>
    <t>Cost of Sales  (% of sales)</t>
  </si>
  <si>
    <t>Net Income of consolidated companies</t>
  </si>
  <si>
    <t>1. Income Statement for the year ended</t>
  </si>
  <si>
    <t>2. Balance sheet (B/S), as of year end</t>
  </si>
  <si>
    <t xml:space="preserve">3. Statement of Cash Flows, for the year ended </t>
  </si>
  <si>
    <t>Days in Receivables</t>
  </si>
  <si>
    <t>Capex (% of sales)</t>
  </si>
  <si>
    <t>Interest expense of financial products (% of sales)</t>
  </si>
  <si>
    <t>Assuming no share issuance</t>
  </si>
  <si>
    <t>Growth based on net income, less dividends and share repurchased</t>
  </si>
  <si>
    <t>Assuming current % of sales to support the investments in capital expenditure and other assets</t>
  </si>
  <si>
    <t>Result of Capex growth and depreciation schedule</t>
  </si>
  <si>
    <t>Result of amortization schedule</t>
  </si>
  <si>
    <t>Cash generation throughout time</t>
  </si>
  <si>
    <t xml:space="preserve"> Compariative Analysis with Ratios</t>
  </si>
  <si>
    <t xml:space="preserve">Scenario Assumptions </t>
  </si>
  <si>
    <t>Result of D&amp;A schedule</t>
  </si>
  <si>
    <t>Sales Growth (%)</t>
  </si>
  <si>
    <t>Additional financing needs for any shortfall in working capital</t>
  </si>
  <si>
    <t>Following scenario assumptions. First year is an adjustment to the base revenue forecasted with HWMS model</t>
  </si>
  <si>
    <t>First year based on HWMS model</t>
  </si>
  <si>
    <t>Upside</t>
  </si>
  <si>
    <t>Rate</t>
  </si>
  <si>
    <t>Weighted Average Cost of Debt</t>
  </si>
  <si>
    <t>Using a straight line method with the average useful life of depreciable assets</t>
  </si>
  <si>
    <t>Depreciation &amp; Amortization Expense</t>
  </si>
  <si>
    <t>Weighted Average Cost of Capital Calculations</t>
  </si>
  <si>
    <t>Beta Methodology</t>
  </si>
  <si>
    <t>Using the Capital Asset Pricing Model</t>
  </si>
  <si>
    <t>Using the Hamada Equation</t>
  </si>
  <si>
    <t>Forecasting Assumptions</t>
  </si>
  <si>
    <t>Average Useful Life Calculations</t>
  </si>
  <si>
    <t>As Reported Comprehensive Financial Statements</t>
  </si>
  <si>
    <t>Economic Indicators</t>
  </si>
  <si>
    <t>Outstanding Corporate Bonds</t>
  </si>
  <si>
    <t>Bond</t>
  </si>
  <si>
    <t>Scenario Assumption Table</t>
  </si>
  <si>
    <t>Valuation Based on Discounted Cash Flows Methodology</t>
  </si>
  <si>
    <t>Comprehensive list of abbreviations used in the report</t>
  </si>
  <si>
    <t>Year Founded</t>
  </si>
  <si>
    <t>Price per Share at year end</t>
  </si>
  <si>
    <t>ROIC (%)</t>
  </si>
  <si>
    <t>IRR (%)</t>
  </si>
  <si>
    <t>Stressing (+/- 1%)</t>
  </si>
  <si>
    <t>- Cost of Capital</t>
  </si>
  <si>
    <t>- Growth Rate</t>
  </si>
  <si>
    <t>Market Data</t>
  </si>
  <si>
    <t>Financial Data</t>
  </si>
  <si>
    <t>Valuation</t>
  </si>
  <si>
    <t>Market Cap</t>
  </si>
  <si>
    <t>Sales</t>
  </si>
  <si>
    <t>Earnings</t>
  </si>
  <si>
    <t>EV/Sales</t>
  </si>
  <si>
    <t>EV/EBIT</t>
  </si>
  <si>
    <t>Company Name</t>
  </si>
  <si>
    <t>Duration</t>
  </si>
  <si>
    <t>D/V</t>
  </si>
  <si>
    <t>1. Balance sheet (B/S), as of year end</t>
  </si>
  <si>
    <t>2. Income Statement for the year ended</t>
  </si>
  <si>
    <t>- Cost of Debt</t>
  </si>
  <si>
    <t>- Debt to Total Capitalization</t>
  </si>
  <si>
    <t>WACC Sensitivity Analysis</t>
  </si>
  <si>
    <t>Price ($/share)</t>
  </si>
  <si>
    <t>*Number of shares from Pitchbook</t>
  </si>
  <si>
    <t>Sources: PitchBook</t>
  </si>
  <si>
    <t>Cash &amp; Equiv.</t>
  </si>
  <si>
    <t>Industry Peers Financial Information</t>
  </si>
  <si>
    <t>Company Information</t>
  </si>
  <si>
    <t>Asset Beta</t>
  </si>
  <si>
    <t>Beta Buildup Based on Selected Comparable Industry Peers</t>
  </si>
  <si>
    <t>D / E</t>
  </si>
  <si>
    <t>LCY/USD FX Rate</t>
  </si>
  <si>
    <t>Price is USD</t>
  </si>
  <si>
    <t>UNITED STATES</t>
  </si>
  <si>
    <t>Valuation Summary</t>
  </si>
  <si>
    <t>Valuation Method</t>
  </si>
  <si>
    <t>52 Week Market High/Low</t>
  </si>
  <si>
    <t>Price per Share</t>
  </si>
  <si>
    <t>Implied Price</t>
  </si>
  <si>
    <t>NOTE: Median value of comparable companies table to eliminate outliers</t>
  </si>
  <si>
    <t>Intrinsic Price</t>
  </si>
  <si>
    <t>Selected Multiple</t>
  </si>
  <si>
    <t>Operating Metric</t>
  </si>
  <si>
    <t>Sensitivity Analysis</t>
  </si>
  <si>
    <t>Relative Valuation Summary</t>
  </si>
  <si>
    <t>Source: Yahoo Finance, Pitchbook</t>
  </si>
  <si>
    <t>https://finance.yahoo.com/?guccounter=1</t>
  </si>
  <si>
    <t>In local currency as of 03/16/2023</t>
  </si>
  <si>
    <t>NOTE: Equity beta based on 5 year monthly returns</t>
  </si>
  <si>
    <t>Source: International Monetary Fund</t>
  </si>
  <si>
    <t>Prices are based on adjusted at closing</t>
  </si>
  <si>
    <t>Relative Multiples Valuation Model Based on Selected Industry Peers</t>
  </si>
  <si>
    <t>Ticker</t>
  </si>
  <si>
    <t>CAT Valuation summary from different methods</t>
  </si>
  <si>
    <t>NOTE: Base case assumptions are carried forward in the bear and bull cases, unless told otherwise</t>
  </si>
  <si>
    <t>Source: PitchBook, Yahoo Finance</t>
  </si>
  <si>
    <t>Source: Pitchbook, Yahoo Finance</t>
  </si>
  <si>
    <t>Source: CAT 10-K, Morningstar, Yahoo Finance</t>
  </si>
  <si>
    <t>Historic 10yr S&amp;P return (Source: S&amp;P)</t>
  </si>
  <si>
    <t>US Corporate Tax Rate (Source: PwC)</t>
  </si>
  <si>
    <t>Assuming US corporate Tax Rate of 21% (Source: PwC)</t>
  </si>
  <si>
    <t>US Inflation (%)</t>
  </si>
  <si>
    <t>Source: IMF</t>
  </si>
  <si>
    <t>Perpetual Value</t>
  </si>
  <si>
    <t>Growth Rate</t>
  </si>
  <si>
    <t>Base Discounted Cash Flow</t>
  </si>
  <si>
    <t>Bull Discounted Cash Flow</t>
  </si>
  <si>
    <t>Bear Discounted Cash Flow</t>
  </si>
  <si>
    <t>Main Rationale</t>
  </si>
  <si>
    <t>Duration*</t>
  </si>
  <si>
    <t>Revenues by Geographic Presence, Forecasted with Regional GDP Expectations</t>
  </si>
  <si>
    <t>Revenues by Business Segment, Forecasted with Industry Expectations</t>
  </si>
  <si>
    <t>Growth Rate (%)</t>
  </si>
  <si>
    <t>Terminal Growth Rate</t>
  </si>
  <si>
    <t>Recommendation</t>
  </si>
  <si>
    <t>Target Price</t>
  </si>
  <si>
    <t>52-Week High</t>
  </si>
  <si>
    <t>52-Week Low</t>
  </si>
  <si>
    <t>Market Capitalization (B)</t>
  </si>
  <si>
    <t>Expected Return (%)</t>
  </si>
  <si>
    <t>Price / Earnings</t>
  </si>
  <si>
    <t>Growth</t>
  </si>
  <si>
    <t>Revenue Growth with Regional GDP Expectations</t>
  </si>
  <si>
    <t>Risk Free Rate</t>
  </si>
  <si>
    <t>Price of Debt</t>
  </si>
  <si>
    <t>Operating Margin</t>
  </si>
  <si>
    <t>Operating Margin Target Based on Management Expectations</t>
  </si>
  <si>
    <t>Figures in USD billions, unless told otherwise</t>
  </si>
  <si>
    <t>18 - 22 CAGR</t>
  </si>
  <si>
    <t>19 - 22 CAGR</t>
  </si>
  <si>
    <t>Following demand for critical minerals</t>
  </si>
  <si>
    <t>Following demand for engine turbine manufacturing in the US, adjusted to gradual increase in market share</t>
  </si>
  <si>
    <t>Following US government infrastructure spending, adjusted to gradual increase in market share</t>
  </si>
  <si>
    <t>Revenue Weight</t>
  </si>
  <si>
    <t>Revenue Growth From Industry</t>
  </si>
  <si>
    <t>US 10Y T-Bill</t>
  </si>
  <si>
    <t>German 10Y Bund</t>
  </si>
  <si>
    <t>Japan 10Y Notes</t>
  </si>
  <si>
    <t>Weighted Terminal Growth Rate</t>
  </si>
  <si>
    <t>In order to increase dividend per share by high single digits as expected by management, gradual increase of 1% starting at 4% in 2023</t>
  </si>
  <si>
    <t>Premium</t>
  </si>
  <si>
    <t>Source: World Government Bonds, US Department of The Treasury</t>
  </si>
  <si>
    <t>Based on expected capitalization of transition to clean energy</t>
  </si>
  <si>
    <t>NOTES &amp; SOURCES:</t>
  </si>
  <si>
    <t>Board of Directors</t>
  </si>
  <si>
    <t>Name</t>
  </si>
  <si>
    <t>Since</t>
  </si>
  <si>
    <t>Current Title</t>
  </si>
  <si>
    <t>Senior Executive Team</t>
  </si>
  <si>
    <t>Margin</t>
  </si>
  <si>
    <t>TARGET</t>
  </si>
  <si>
    <t>BUY</t>
  </si>
  <si>
    <t>Scenario Forecasted Revenues</t>
  </si>
  <si>
    <t>Base Case Revenues</t>
  </si>
  <si>
    <t>Bull Case Revenues</t>
  </si>
  <si>
    <t>Bear Case Revenues</t>
  </si>
  <si>
    <t>Tenure</t>
  </si>
  <si>
    <t>TREND</t>
  </si>
  <si>
    <t>In $ billions</t>
  </si>
  <si>
    <t>In $ millions</t>
  </si>
  <si>
    <t>Key Financial Indicators</t>
  </si>
  <si>
    <t>Total Assets</t>
  </si>
  <si>
    <t>Financial Summary</t>
  </si>
  <si>
    <t>EBITDA Margin (%)</t>
  </si>
  <si>
    <t>ROE (%)</t>
  </si>
  <si>
    <t>ROA (%)</t>
  </si>
  <si>
    <t>EPS</t>
  </si>
  <si>
    <t>Dividend Per Share</t>
  </si>
  <si>
    <t>Debt to Equity (x)</t>
  </si>
  <si>
    <t>Vanguard Group Inc</t>
  </si>
  <si>
    <t>BlackRock Inc</t>
  </si>
  <si>
    <t>% Total Shares Held</t>
  </si>
  <si>
    <t>Current Shares</t>
  </si>
  <si>
    <t>Market Value (B)</t>
  </si>
  <si>
    <t>Top 10 Institutional Investors</t>
  </si>
  <si>
    <t>Top 10 Insider Holders</t>
  </si>
  <si>
    <t>Total</t>
  </si>
  <si>
    <t>Others</t>
  </si>
  <si>
    <t>Operating Margin (%)</t>
  </si>
  <si>
    <t>WACC (%)</t>
  </si>
  <si>
    <t>Cost of Equity (%)</t>
  </si>
  <si>
    <t>Rate of Returns</t>
  </si>
  <si>
    <t>Target Upside Return (%)</t>
  </si>
  <si>
    <t>Scenario Summary</t>
  </si>
  <si>
    <t>Bear Case</t>
  </si>
  <si>
    <t>Bull Case</t>
  </si>
  <si>
    <t>Price Per Sher</t>
  </si>
  <si>
    <t>Football Field Scenario Analysis</t>
  </si>
  <si>
    <t>SCENARIO</t>
  </si>
  <si>
    <t>Education</t>
  </si>
  <si>
    <t>Scenario Analysis Summary</t>
  </si>
  <si>
    <t>Peer Financial Data in $ million</t>
  </si>
  <si>
    <t>5yr CAGR</t>
  </si>
  <si>
    <t>Slow down to accommodate dividend payment and deliver $10bln out of the $15bln share repurchase program authorized by CAT</t>
  </si>
  <si>
    <t>For simplicity purposes, assuming current % of sales</t>
  </si>
  <si>
    <t>For simplicity purposes, assuming no changes</t>
  </si>
  <si>
    <t xml:space="preserve"> Comparative Analysis with Ratios</t>
  </si>
  <si>
    <t>NOTE: Debt to Equity ratio of comparable companies is based on book value of debt and market value of equity</t>
  </si>
  <si>
    <t>Selection of WACC based on the regression methodology of Beta as it represents the individual risk of CAT</t>
  </si>
  <si>
    <t>Historic 10yr average YTM of 10yr US T-Bill (Source: US Department of The Treasury)</t>
  </si>
  <si>
    <t>Correlation Coefficient</t>
  </si>
  <si>
    <t>Average Useful Life (years)</t>
  </si>
  <si>
    <t>*Market data from Yahoo Finance</t>
  </si>
  <si>
    <t>Market Risk Premium</t>
  </si>
  <si>
    <t>Marketable securities</t>
  </si>
  <si>
    <t>Accounts receivable, net and other</t>
  </si>
  <si>
    <t>Property and equipment, net</t>
  </si>
  <si>
    <t>Operating leases</t>
  </si>
  <si>
    <t>Accrued expenses and other</t>
  </si>
  <si>
    <t>Unearned revenue</t>
  </si>
  <si>
    <t>Long-term lease liabilities</t>
  </si>
  <si>
    <t>Other long-term liabilities</t>
  </si>
  <si>
    <t>Commitments and contingencies (Note 7)</t>
  </si>
  <si>
    <t>Additional paid-in capital</t>
  </si>
  <si>
    <t>Total liabilities &amp; shareholders' equity</t>
  </si>
  <si>
    <t>Common stock ($0.01 par value; 100,000 shares authorized)</t>
  </si>
  <si>
    <t>Preferred stock ($0.01 par value; 500 shares authorized)</t>
  </si>
  <si>
    <t>Net product sales</t>
  </si>
  <si>
    <t>Net service sales</t>
  </si>
  <si>
    <t>Cost of sales</t>
  </si>
  <si>
    <t>Fulfillment</t>
  </si>
  <si>
    <t>Technology and infrastructure</t>
  </si>
  <si>
    <t>Sales and marketing</t>
  </si>
  <si>
    <t>General and administrative</t>
  </si>
  <si>
    <t>Other operating expense (income), net</t>
  </si>
  <si>
    <t>Operating income</t>
  </si>
  <si>
    <t>Interest income</t>
  </si>
  <si>
    <t>Other income (expense), net</t>
  </si>
  <si>
    <t>Total non-operating income (expense)</t>
  </si>
  <si>
    <t>Income (loss) before income taxes</t>
  </si>
  <si>
    <t>Benefit (provision) for income taxes</t>
  </si>
  <si>
    <t>Equity-method investment activity, net of tax</t>
  </si>
  <si>
    <t>Net income (loss)</t>
  </si>
  <si>
    <t>Basic earnings per share</t>
  </si>
  <si>
    <t>Diluted earnings per share</t>
  </si>
  <si>
    <t>OPERATING ACTIVITIES:</t>
  </si>
  <si>
    <t>Stock-based compensation</t>
  </si>
  <si>
    <t>Non-operating expense (income), net</t>
  </si>
  <si>
    <t>Deferred income taxes</t>
  </si>
  <si>
    <t>Changes in operating assets and liabilities:</t>
  </si>
  <si>
    <t>Net cash provided by (used in) operating activities</t>
  </si>
  <si>
    <t>CASH, CASH EQUIVALENTS, AND RESTRICTED CASH, BEGINNING OF PERIOD</t>
  </si>
  <si>
    <t>Adjustments to reconcile net income (loss) to net cash from operating activities:</t>
  </si>
  <si>
    <t>Depreciation and amortization of property and equipment and capitalized content costs, operating lease assets, and other</t>
  </si>
  <si>
    <t>Purchases of property and equipment</t>
  </si>
  <si>
    <t>Proceeds from property and equipment sales and incentives</t>
  </si>
  <si>
    <t>Acquisitions, net of cash acquired, non-marketable investments, and other</t>
  </si>
  <si>
    <t>Sales and maturities of marketable securities</t>
  </si>
  <si>
    <t>Purchases of marketable securities</t>
  </si>
  <si>
    <t>Common stock repurchased</t>
  </si>
  <si>
    <t>Proceeds from short-term debt, and other</t>
  </si>
  <si>
    <t>Repayments of short-term debt, and other</t>
  </si>
  <si>
    <t>Proceeds from long-term debt</t>
  </si>
  <si>
    <t>Repayments of long-term debt</t>
  </si>
  <si>
    <t>Principal repayments of finance leases</t>
  </si>
  <si>
    <t>Principal repayments of financing obligations</t>
  </si>
  <si>
    <t>Foreign currency effect on cash, cash equivalents, and restricted cash</t>
  </si>
  <si>
    <t>CASH, CASH EQUIVALENTS, AND RESTRICTED CASH, END OF PERIOD</t>
  </si>
  <si>
    <t>https://smartasset.com/taxes/corporate-tax-rate-per-state</t>
  </si>
  <si>
    <t>Amazon Has not paid out any dividends which causes this line to be 0 Affecting things like Sustainable Growth</t>
  </si>
  <si>
    <t xml:space="preserve">Amazon Has not paid out any dividends which causes this line to be 0 </t>
  </si>
  <si>
    <t>https://ir.aboutamazon.com/sec-filings/default.aspx</t>
  </si>
  <si>
    <t xml:space="preserve"> </t>
  </si>
  <si>
    <t>AMZN Quarterly Sales Forecasting: Holt-Winters Multiplicative Seasonal (HWMS) Model</t>
  </si>
  <si>
    <t>2024 Actual</t>
  </si>
  <si>
    <t xml:space="preserve"> 2024 Actual </t>
  </si>
  <si>
    <t>2025 F</t>
  </si>
  <si>
    <t>2026 F</t>
  </si>
  <si>
    <t>2027 F</t>
  </si>
  <si>
    <t>2028 F</t>
  </si>
  <si>
    <t>2029 F</t>
  </si>
  <si>
    <t>FY 2025</t>
  </si>
  <si>
    <t>25 Q4</t>
  </si>
  <si>
    <t>26 Q1</t>
  </si>
  <si>
    <t>26 Q2</t>
  </si>
  <si>
    <t>26 Q3</t>
  </si>
  <si>
    <t xml:space="preserve">   Technology and infrastructure</t>
  </si>
  <si>
    <t xml:space="preserve">   Fulfillment</t>
  </si>
  <si>
    <t xml:space="preserve">   Sales and Marketing</t>
  </si>
  <si>
    <t xml:space="preserve">   General and Administrative</t>
  </si>
  <si>
    <t xml:space="preserve">   Other Operating Expense (Income), net</t>
  </si>
  <si>
    <t>Income Before Income Taxes</t>
  </si>
  <si>
    <t>Non-Operating Items:</t>
  </si>
  <si>
    <t xml:space="preserve">   Interest Income</t>
  </si>
  <si>
    <t xml:space="preserve">   Interst Expense</t>
  </si>
  <si>
    <t xml:space="preserve">   Other Income (Expense, net)</t>
  </si>
  <si>
    <t xml:space="preserve">   Less Cost of sales</t>
  </si>
  <si>
    <t xml:space="preserve">   Less Provision for Income tax</t>
  </si>
  <si>
    <t xml:space="preserve">   Equity-method investment activity, net of tax</t>
  </si>
  <si>
    <t xml:space="preserve"> Interest expense (% of sales)</t>
  </si>
  <si>
    <t xml:space="preserve">  Tax rate (% of income before tax)</t>
  </si>
  <si>
    <t xml:space="preserve">  Technology and infrastructure Exp (% of sales)</t>
  </si>
  <si>
    <t xml:space="preserve">  Fulfillment  (% of sales)</t>
  </si>
  <si>
    <t xml:space="preserve">  Cost of Sales  (% of sales)</t>
  </si>
  <si>
    <t xml:space="preserve">  Sales Growth Forecasted</t>
  </si>
  <si>
    <t xml:space="preserve">  Sales Forecasted</t>
  </si>
  <si>
    <t>The most recent company guidance is for Q1 2025 Net Sales to be between 5% and 9% growth. We adopt the midpoint of the range (7.0%) for 2025, then project a steady increase toward 10.0% by 2028-2029, assuming successful realization of investments.</t>
  </si>
  <si>
    <t>This scenario reflects high-end analyst expectations based on the AWS re-acceleration (which was the highest-growth segment at 19% in 2024). It assumes the AI infrastructure investments and the strong advertising segment drive growth well above the immediate guidance.</t>
  </si>
  <si>
    <t>This uses the low end of the Q1 2025 guidance (5%) and anticipates slower-than-expected recovery in the International segment (which grew 9% in 2024) and poor performance in the highly competitive North America segment.</t>
  </si>
  <si>
    <t>Fulfillment Expense (% of sales)</t>
  </si>
  <si>
    <t>Starts at 51.0% (aligning with the 2024 actuals) and improves to 49.0%, assuming efficiencies take time to materialize.</t>
  </si>
  <si>
    <t>Drops aggressively to 46.0% (surpassing your 48% historical average) due to rapid growth in high-margin AWS/Advertising revenue which dilutes the cost of retail goods.</t>
  </si>
  <si>
    <t>Rises to 53.5%, reflecting risks of inventory markdowns and inflation cited in the 10-K.</t>
  </si>
  <si>
    <t>Slight improvement from 2024 (15.4%) to 14.6%. Rationale: Continued realization of "regionalization" efficiencies in the logistics network, which reduces miles driven and cost per package.</t>
  </si>
  <si>
    <t>Aggressive drop to 13.0%. Rationale: Robotics and automation in fulfillment centers significantly lower labor intensity, addressing the "constrained labor market" risk by reducing reliance on temporary staffing.</t>
  </si>
  <si>
    <t>Increases to 17.0%. Rationale: Labor shortages force wage hikes, and "variability in demand" leads to underutilized capacity in the massive logistics footprint, driving up fixed costs per unit.</t>
  </si>
  <si>
    <t>Tech &amp; Infra (% of sales)</t>
  </si>
  <si>
    <t>S&amp;M + G&amp;A (% of sales)</t>
  </si>
  <si>
    <t>Assumes a gradual improvement from the 2024 level as the company continues to realize efficiencies in payroll and maintains a lean corporate structure to let revenue grow faster than overhead.</t>
  </si>
  <si>
    <t>Models significant operating leverage where rapid growth in high-margin AWS and advertising revenue requires far less incremental marketing spend per dollar earned compared to retail.</t>
  </si>
  <si>
    <t>Reflects rising costs due to "intense competition" for advertising traffic driving up marketing rates and "constrained labor markets" forcing higher wages for corporate staff.</t>
  </si>
  <si>
    <t>Assumes the ratio initially worsens to -14.5% due to expected increases in AI infrastructure spending, then improves as those investments mature and revenue leverage kicks in.</t>
  </si>
  <si>
    <t>Models a rapid improvement to -11.5% as high-margin AWS revenue grows faster than the fixed costs of the new data centers.</t>
  </si>
  <si>
    <t>Reflects a deterioration to -16.0% driven by "service disruptions" or low utilization of the expanded infrastructure, causing costs to outpace sales growth.</t>
  </si>
  <si>
    <t>Effective Tax Rate (%)</t>
  </si>
  <si>
    <t>Assumes the rate normalizes from the 2024 low (-13.5%) to -17.0% as new global minimum tax rules (Pillar Two) take effect and U.S. deductions phase out.</t>
  </si>
  <si>
    <t>Models a lower effective rate (-12.0% to -14.0%) driven by the successful maximization of R&amp;D tax credits and "Foreign-Derived Intangible Income" deductions.</t>
  </si>
  <si>
    <t>Reflects a surge in tax expense to -21.0% due to adverse outcomes in ongoing "tax controversies" (such as the Indian tax authority dispute) and stricter international enforcement.</t>
  </si>
  <si>
    <t>Maintains stability at 29 days, reflecting the high proportion of consumer sales settled instantly via credit card which keeps the collection cycle short.</t>
  </si>
  <si>
    <t>Assumes a gradual improvement from 40.5 to 36 days as "fulfillment network efficiencies" and regionalization initiatives allow for faster turnover of stock.</t>
  </si>
  <si>
    <t>Holds steady at ~105 days, maintaining the company's strong leverage with suppliers to maximize free cash flow float.</t>
  </si>
  <si>
    <t>Increases from the -12% average to -14.5% in the near term to fund the expected "increase" in cash capital expenditures for AWS/AI infrastructure, before normalizing.</t>
  </si>
  <si>
    <t>Drops to 27.0 days as the revenue mix shifts toward high-velocity digital services (AWS and Advertising) which settle faster than physical retail invoicing.</t>
  </si>
  <si>
    <t>Increases to 33.0 days due to "global economic conditions" causing slower payments from enterprise AWS customers and extended credit terms to stimulate retail sales.</t>
  </si>
  <si>
    <t>Improves significantly to 30.0 days driven by "regionalization" and predictive AI significantly reducing the need for safety stock across the fulfillment network.</t>
  </si>
  <si>
    <t>Worsens to 50.0 days as a result of "overstocking" due to inaccurate demand forecasting, leading to slower turnover and potential write-offs.</t>
  </si>
  <si>
    <t>Extends to 115.0 days as Amazon leverages its dominant market position to negotiate even longer payment terms with suppliers, maximizing working capital float.</t>
  </si>
  <si>
    <t>Contracts to 90.0 days due to supplier financial stress or regulatory pressure forcing faster payment terms, reducing the company's operating cash flow advantage.</t>
  </si>
  <si>
    <t>Surges to -17.0% as the company aggressively accelerates investment in "technology infrastructure" to capture dominant market share in generative AI.</t>
  </si>
  <si>
    <t>Cuts back to -10.0% as macroeconomic uncertainty forces a shift to cash preservation and a delay in planned capacity expansions.</t>
  </si>
  <si>
    <t>Economic Indicators Impacting AMZN Operating Performance</t>
  </si>
  <si>
    <t xml:space="preserve"> Indicators Impacting AMZN Operating Performance</t>
  </si>
  <si>
    <t>International</t>
  </si>
  <si>
    <t>AWS</t>
  </si>
  <si>
    <t>United States</t>
  </si>
  <si>
    <t>United Kingdom</t>
  </si>
  <si>
    <t>Rest Of World</t>
  </si>
  <si>
    <t>AWS Remaining Performance Obligations (RPO)</t>
  </si>
  <si>
    <t>AWS RPO (Backlog)</t>
  </si>
  <si>
    <t>PCE Growth Rate</t>
  </si>
  <si>
    <t xml:space="preserve">Real PCE (NA Driver) </t>
  </si>
  <si>
    <t>Global IT Spending (AWS Driver)</t>
  </si>
  <si>
    <t>Global GDP (Int Driver)</t>
  </si>
  <si>
    <t>Growth in GDP</t>
  </si>
  <si>
    <t>Growth in IT Spending</t>
  </si>
  <si>
    <t>The global economy saw a sharp nominal increase in 2021 as activities resumed and inflation rose. From 2024 onwards, growth is expected to stabilize around 5-6% annually, driven by a real GDP growth of approximately 3.2% and moderating inflation. By 2028, the global economy is projected to surpass $136 trillion, reflecting continued expansion in emerging markets and steady growth in advanced economies like the U.S. and China.</t>
  </si>
  <si>
    <t>Global IT spending is forecast to accelerate primarily due to a surge in investment for data center systems and servers to support Generative AI infrastructure, alongside continued double-digit growth in software and IT services as enterprises integrate these technologies.</t>
  </si>
  <si>
    <t>US GDP Growth (%)</t>
  </si>
  <si>
    <t>Germany GDP Growth (%)</t>
  </si>
  <si>
    <t>UK GDP Growth (%)</t>
  </si>
  <si>
    <t>Japan GDP Growth (%)</t>
  </si>
  <si>
    <t>Rest of World GDP (%)</t>
  </si>
  <si>
    <t>Source: Company Information - Amazon Investor Relations</t>
  </si>
  <si>
    <t>Source: Gartner</t>
  </si>
  <si>
    <t>Source: CBO/IMF</t>
  </si>
  <si>
    <t>The Congressional Budget Office (CBO) and Federal Reserve consensus forecast US real GDP and consumption to settle at a long-run trend of 1.8% for the 2027–2031 period.</t>
  </si>
  <si>
    <t>Source: CBO/BEA</t>
  </si>
  <si>
    <t xml:space="preserve">  Sales and Marketing &amp; General and Administrative  (% of sales)</t>
  </si>
  <si>
    <t>Source: Page 37 (Diluted). Forecast ~1-2% growth for stock-based comp dilution</t>
  </si>
  <si>
    <t xml:space="preserve"> Interest Income (% of Cash &amp; Securities)</t>
  </si>
  <si>
    <t xml:space="preserve"> Other Operating Expense (Income)</t>
  </si>
  <si>
    <t xml:space="preserve">  Shares growth rate (%YOY)</t>
  </si>
  <si>
    <t>It is impossible to reliably predict the future stock price movements of public companies Amazon invests in. Therefore, the standard "neutral" modeling assumption is to assume no further gains or losses.</t>
  </si>
  <si>
    <t>P/E Multiple</t>
  </si>
  <si>
    <t>AMZN</t>
  </si>
  <si>
    <t>Equity Beta construction is based on 5 year monthly returns of AMZN and S&amp;P 500</t>
  </si>
  <si>
    <t>AMZN Returns (%)</t>
  </si>
  <si>
    <t>AMZN Standard Deviation</t>
  </si>
  <si>
    <t>https://finance.yahoo.com/quote/AMZN/history/?filter=history&amp;frequency=1mo&amp;period1=1607455486&amp;period2=1765221833</t>
  </si>
  <si>
    <t>https://finance.yahoo.com/quote/%5EGSPC/history/?period1=1609459200&amp;period2=1767225600&amp;interval=1mo&amp;filter=history&amp;frequency=1mo&amp;includeAdjustedClose=true</t>
  </si>
  <si>
    <t>Source: AMZN 10-K</t>
  </si>
  <si>
    <t>UK 10-Year Gilt</t>
  </si>
  <si>
    <t>Average 10Y Note</t>
  </si>
  <si>
    <t>Method - Percentage of Sales Method</t>
  </si>
  <si>
    <t>D&amp;A % of Sales</t>
  </si>
  <si>
    <t>AMZN Intrinsic Value Based on Selected Comparable Companies</t>
  </si>
  <si>
    <t>Amazon Inc.</t>
  </si>
  <si>
    <t>AMZN Relative Valuation</t>
  </si>
  <si>
    <t>l.</t>
  </si>
  <si>
    <t>m.</t>
  </si>
  <si>
    <t>2020 A</t>
  </si>
  <si>
    <t>2021 A</t>
  </si>
  <si>
    <t>2022 A</t>
  </si>
  <si>
    <t>2023 A</t>
  </si>
  <si>
    <t>2024 A</t>
  </si>
  <si>
    <t>Douglas J. Herrington</t>
  </si>
  <si>
    <t>Chief Executive Officer, Worldwide Amazon Stores</t>
  </si>
  <si>
    <t>Mr. Herrington has served as CEO Worldwide Amazon Stores since July 2022, Senior Vice President, North America Consumer from January 2015 to July 2022, Senior Vice President, Consumables from May 2014 to December 2014, and Vice President, Consumables from May 2005 to April 2014.</t>
  </si>
  <si>
    <t>Matthew S. Garman</t>
  </si>
  <si>
    <t>Chief Executive Officer, Amazon Web Services</t>
  </si>
  <si>
    <t>Mr. Garman has served as CEO Amazon Web Services since June 2024, Senior Vice President, Amazon Web Services from February 2021 until June 2024, Vice President, Marketing, Sales and Support of Amazon Web Services from January 2020 to February 2021, Vice President, AWS Compute Services from September 2018 to January 2020, and Vice President, EC2 from December 2012 to September 2018.</t>
  </si>
  <si>
    <t>Andrew R. Jassy</t>
  </si>
  <si>
    <t>Mr. Jassy has been President and Chief Executive Officer of the Company since July 2021. He founded and led Amazon Web Services since its inception in 2006, serving as its Chief Executive Officer from April 2016 to July 2021 and its Senior Vice President from April 2006 until April 2016. Mr. Jassy joined the Company in 1997, and, prior to founding AWS, he held various leadership roles across the Company, including leading both businesses and functional areas. Other Experience and Qualifications; Trustee and sponsor of Rainier Scholars, a program that offers a pathway to college graduation and career success for underrepresented students of color, since 2011; Chair and founding member of the board of directors of Rainier Prep, a charter middle school committed to college and career readiness for limited-income and immigrant students and students of color. Member of the National Academy of Engineering</t>
  </si>
  <si>
    <t>Director, President and Chief Executive Officer</t>
  </si>
  <si>
    <t>Brian T. Olsavsky</t>
  </si>
  <si>
    <t>Senior Vice President and Chief Financial Officer</t>
  </si>
  <si>
    <t>Mr. Olsavsky has served as Senior Vice President and Chief Financial Officer since June 2015, Vice President, Finance for the Global Consumer Business from December 2011 to June 2015, and numerous financial leadership roles across Amazon with global responsibility since April 2002.</t>
  </si>
  <si>
    <t>David A. Zapolsky</t>
  </si>
  <si>
    <t>Senior Vice President, Global Public Policy and General Counsel</t>
  </si>
  <si>
    <t>Mr. Zapolsky has served as Senior Vice President, Global Public Policy and General Counsel since May 2023. He served as our Secretary from September 2012 to January 2024, Senior Vice President and General Counsel from May 2014 to May 2023, Vice President and General Counsel from September 2012 to May 2014, and as Vice President and Associate General Counsel for Litigation and Regulatory matters from April 2002 until September 2012.</t>
  </si>
  <si>
    <t>Shelley L. Reynolds</t>
  </si>
  <si>
    <t>Vice President, Worldwide Controller and Principal Accounting Officer</t>
  </si>
  <si>
    <t>Ms. Reynolds has served as Vice President, Worldwide Controller, and Principal Accounting Officer since April 2007.</t>
  </si>
  <si>
    <t>Source: https://finra-markets.morningstar.com/MarketData/EquityOptions/detail.jsp?query=19:0P000000B7</t>
  </si>
  <si>
    <t>Top 5 Institutional Investors &amp; Insider Holders</t>
  </si>
  <si>
    <t>As of December 10, 2025</t>
  </si>
  <si>
    <t>State Street Corp</t>
  </si>
  <si>
    <t>JPMorgan Chase &amp; Co</t>
  </si>
  <si>
    <t>FMR Inc</t>
  </si>
  <si>
    <t>Major Shareholders ( &gt; 25%)</t>
  </si>
  <si>
    <t>Jeffrey P. Bezos</t>
  </si>
  <si>
    <t>Keith B. Alexander</t>
  </si>
  <si>
    <t>Edith W. Cooper</t>
  </si>
  <si>
    <t>Jamie S. Gorelick</t>
  </si>
  <si>
    <t>Daniel P. Huttenlocher</t>
  </si>
  <si>
    <t>Indra K. Nooyi</t>
  </si>
  <si>
    <t>Jonathan J. Rubinstein</t>
  </si>
  <si>
    <t>Patricia Q. Stonesifer</t>
  </si>
  <si>
    <t>Wendell P. Weeks</t>
  </si>
  <si>
    <t>In local currency as of 12/11/2025</t>
  </si>
  <si>
    <t>Microsoft Corporation</t>
  </si>
  <si>
    <t>Alphabet Inc.</t>
  </si>
  <si>
    <t>Meta Platforms, Inc.</t>
  </si>
  <si>
    <t>Oracle Corporation</t>
  </si>
  <si>
    <t>NASDAQ</t>
  </si>
  <si>
    <t>MSFT</t>
  </si>
  <si>
    <t>Primary competitor to AWS (Azure). Essential for cloud valuation.</t>
  </si>
  <si>
    <t>GOOGL</t>
  </si>
  <si>
    <t>Competes in Cloud (GCP), Advertising, and Streaming (YouTube).</t>
  </si>
  <si>
    <t>META</t>
  </si>
  <si>
    <t>Primary competitor in Digital Advertising.</t>
  </si>
  <si>
    <t>ORCL</t>
  </si>
  <si>
    <t>Legacy competitor in enterprise software and cloud infrastructure.</t>
  </si>
  <si>
    <t>Walmart Inc.</t>
  </si>
  <si>
    <t>WMT</t>
  </si>
  <si>
    <t>The closest direct rival in scale, grocery, and retail logistics.</t>
  </si>
  <si>
    <t>Costco Wholesale</t>
  </si>
  <si>
    <t>COST</t>
  </si>
  <si>
    <t>Competes directly with the "Prime" membership model and efficiency.</t>
  </si>
  <si>
    <t>Target Corporation</t>
  </si>
  <si>
    <t>TGT</t>
  </si>
  <si>
    <t>General merchandise retailer; good proxy for consumer spending.</t>
  </si>
  <si>
    <t>Alibaba Group</t>
  </si>
  <si>
    <t>BABA</t>
  </si>
  <si>
    <t>The "Amazon of China" competes globally in e-commerce and cloud.</t>
  </si>
  <si>
    <t>Apple Inc.</t>
  </si>
  <si>
    <t>AAPL</t>
  </si>
  <si>
    <t>Netflix, Inc.</t>
  </si>
  <si>
    <t>NFLX</t>
  </si>
  <si>
    <t>Essential for "Big Tech" valuation multiples.</t>
  </si>
  <si>
    <t>The best proxy for Amazon's media investments.</t>
  </si>
  <si>
    <t>FY2024</t>
  </si>
  <si>
    <t>AMZN REV</t>
  </si>
  <si>
    <t>AMZN EV</t>
  </si>
  <si>
    <t>Amazon Conservation DACDL-Notes 2024(33-42) Reg.S</t>
  </si>
  <si>
    <t>Amazon.com Inc.DL-Notes 2017(17/47)</t>
  </si>
  <si>
    <t>Amazon.com Inc.DL-Notes 2022(22/27)</t>
  </si>
  <si>
    <t>Amazon.com Inc.DL-Notes 2022(22/29)</t>
  </si>
  <si>
    <t>Amazon.com Inc.DL-Notes 2017(17/57)</t>
  </si>
  <si>
    <t>Amazon.com Inc.DL-Notes 2020(20/30)</t>
  </si>
  <si>
    <t>Amazon.com Inc.DL-Notes 2021(21/28)</t>
  </si>
  <si>
    <t>Amazon.com Inc.DL-Notes 2021(21/26)</t>
  </si>
  <si>
    <t>Amazon.com Inc.DL-Notes 2020(20/50)</t>
  </si>
  <si>
    <t>Amazon.com Inc.DL-Notes 2022(22/62)</t>
  </si>
  <si>
    <t>Amazon.com Inc.DL-Notes 2022(22/32)</t>
  </si>
  <si>
    <t>Amazon.com Inc.DL-Notes 2017(17/27)</t>
  </si>
  <si>
    <t>Amazon.com Inc.DL-Notes 2017(17/37)</t>
  </si>
  <si>
    <t>Amazon.com Inc.DL-Notes 2014(14/44)</t>
  </si>
  <si>
    <t>Amazon.com Inc.DL-Notes 2021(21/51)</t>
  </si>
  <si>
    <t>Amazon.com Inc.DL-Notes 2025(25/30)</t>
  </si>
  <si>
    <t>Amazon.com Inc.DL-Notes 2025(25/28)</t>
  </si>
  <si>
    <t>Amazon.com Inc.DL-Notes 2020(20/60)</t>
  </si>
  <si>
    <t>Amazon.com Inc.DL-Notes 2022(22/52)</t>
  </si>
  <si>
    <t>Amazon.com Inc.DL-Notes 2025(25/35)</t>
  </si>
  <si>
    <t>Amazon.com Inc.DL-Notes 2021(21/61)</t>
  </si>
  <si>
    <t>Amazon.com Inc.DL-Notes 2025(25/55)</t>
  </si>
  <si>
    <t>Amazon.com Inc.DL-Notes 2025(25/33)</t>
  </si>
  <si>
    <t>Amazon.com Inc.DL-Notes 2020(20/27)</t>
  </si>
  <si>
    <t>Amazon.com Inc.DL-Notes 2014(14/34)</t>
  </si>
  <si>
    <t>Amazon.com Inc.DL-Notes 2021(21/31)</t>
  </si>
  <si>
    <t>Amazon.com Inc.DL-Notes 2021(21/41)</t>
  </si>
  <si>
    <t>Amazon.com Inc.DL-Notes 2025(25/65)</t>
  </si>
  <si>
    <t>AMZN Historic Daily Stock Prices from 12/12/205 to date (12/12/2025)</t>
  </si>
  <si>
    <r>
      <t>20:1</t>
    </r>
    <r>
      <rPr>
        <sz val="14"/>
        <color rgb="FFE3E3E3"/>
        <rFont val="Arial"/>
        <family val="2"/>
      </rPr>
      <t> Stock Splits</t>
    </r>
  </si>
  <si>
    <t>https://finance.yahoo.com/quote/AMZN/history/?period1=1449964800&amp;period2=1765587787</t>
  </si>
  <si>
    <t>DISCLAIMER
PERFORMANCE DISCLOSURE/BACK-TESTED DATA
Source: S&amp;P Dow Jones Indices LLC.
The launch date of the S&amp;P US Equity Risk Premium Index TR was August 2, 2010. 
Where applicable, S&amp;P Dow Jones Indices and its index-related affiliates (“S&amp;P DJI”) defines various dates to assist our clients by providing transparency. The First Value Date is the first day for which there is a calculated value (either live or back-tested) for a given index. The Base Date is the date at which the index is set to a fixed value for calculation purposes. The Launch Date designates the date when the values of an index are first considered live: index values provided for any date or time period prior to the index’s Launch Date are considered back-tested. S&amp;P DJI defines the Launch Date as the date by which the values of an index are known to have been released to the public, for example via the company’s public website or its data feed to external parties. For Dow Jones-branded indices introduced prior to May 31, 2013, the Launch Date (which prior to May 31, 2013, was termed “Date of introduction”) is set at a date upon which no further changes were permitted to be made to the index methodology, but that may have been prior to the Index’s public release date.
Please refer to the methodology for the Index for more details about the index, including the manner in which it is rebalanced, the timing of such rebalancing, criteria for additions and deletions, as well as all index calculations.
Information presented prior to an index’s launch date is hypothetical back-tested performance, not actual performance, and is based on the index methodology in effect on the launch date. However, when creating back-tested history for periods of market anomalies or other periods that do not reflect the general current market environment, index methodology rules may be relaxed to capture a large enough universe of securities to simulate the target market the index is designed to measure or strategy the index is designed to capture. For example, market capitalization and liquidity thresholds may be reduced. In addition, forks have not been factored into the back-test data with respect to the S&amp;P Cryptocurrency Indices. For the S&amp;P Cryptocurrency Top 5 &amp; 10 Equal Weight Indices, the custody element of the methodology was not considered; the back-test history is based on the index constituents that meet the custody element as of the Launch Date. Also, the treatment of corporate actions in back-tested performance may differ from treatment for live indices due to limitations in replicating index management decisions. Back-tested performance reflects application of an index methodology and selection of index constituents with the benefit of hindsight and knowledge of factors that may have positively affected its performance, cannot account for all financial risk that may affect results and may be considered to reflect survivor/look ahead bias. Actual returns may differ significantly from, and be lower than, back-tested returns. Past performance is not an indication or guarantee of future results.
Typically, when S&amp;P DJI creates back-tested index data, S&amp;P DJI uses actual historical constituent-level data (e.g., historical price, market capitalization, and corporate action data) in its calculations. As ESG investing is still in early stages of development, certain datapoints used to calculate certain ESG indices may not be available for the entire desired period of back-tested history. The same data availability issue could be true for other indices as well. In cases when actual data is not available for all relevant historical periods, S&amp;P DJI may employ a process of using “Backward Data Assumption” (or pulling back) of ESG data for the calculation of back-tested historical performance. “Backward Data Assumption” is a process that applies the earliest actual live data point available for an index constituent company to all prior historical instances in the index performance. For example, Backward Data Assumption inherently assumes that companies currently not involved in a specific business activity (also known as “product involvement”) were never involved historically and similarly also assumes that companies currently involved in a specific business activity were involved historically too. The Backward Data Assumption allows the hypothetical back-test to be extended over more historical years than would be feasible using only actual data. For more information on “Backward Data Assumption” please refer to the FAQ. The methodology and factsheets of any index that employs backward assumption in the back-tested history will explicitly state so. The methodology will include an Appendix with a table setting forth the specific data points and relevant time period for which backward projected data was used. Index returns shown do not represent the results of actual trading of investable assets/securities. S&amp;P DJI maintains the index and calculates the index levels and performance shown or discussed but does not manage any assets.
Index returns do not reflect payment of any sales charges or fees an investor may pay to purchase the securities underlying the Index or investment funds that are intended to track the performance of the Index. The imposition of these fees and charges would cause actual and back-tested performance of the securities/fund to be lower than the Index performance shown. As a simple example, if an index returned 10% on a US $100,000 investment for a 12-month period (or US $10,000) and an actual asset-based fee of 1.5% was imposed at the end of the period on the investment plus accrued interest (or US $1,650), the net return would be 8.35% (or US $8,350) for the year. Over a three-year period, an annual 1.5% fee taken at year end with an assumed 10% return per year would result in a cumulative gross return of 33.10%, a total fee of US $5,375, and a cumulative net return of 27.2% (or US $27,200).
INTELLECTUAL PROPERTY NOTICES/DISCLAIMER
© 2025 S&amp;P Dow Jones Indices. All rights reserved. S&amp;P, S&amp;P 500, SPX, SPY, The 500, US500 , US 30, S&amp;P 100, S&amp;P COMPOSITE 1500, S&amp;P 400, S&amp;P MIDCAP 400, S&amp;P 600, S&amp;P SMALLCAP 600, S&amp;P GIVI, GLOBAL TITANS, DIVIDEND ARISTOCRATS, Select Sector, S&amp;P MAESTRO, S&amp;P PRISM, S&amp;P STRIDE, GICS, SPIVA, SPDR, INDEXOLOGY, iTraxx, iBoxx, ABX, ADBI, CDX, CMBX, MBX, MCDX, PRIMEX, HHPI, and SOVX are registered trademarks of S&amp;P Global, Inc. (“S&amp;P Global”) or its affiliates. DOW JONES, DJIA, THE DOW and DOW JONES INDUSTRIAL AVERAGE are trademarks of Dow Jones Trademark Holdings LLC (“Dow Jones”). These trademarks together with others have been licensed to S&amp;P Dow Jones Indices LLC. Redistribution or reproduction in whole or in part are prohibited without written permission of S&amp;P Dow Jones Indices LLC. This document does not constitute an offer of services in jurisdictions where S&amp;P DJI does not have the necessary licenses. Except for certain custom index calculation services, all information provided by S&amp;P DJI is impersonal and not tailored to the needs of any person, entity, or group of persons. S&amp;P DJI receives compensation in connection with licensing its indices to third parties and providing custom calculation services. Past performance of an index is not an indication or guarantee of future results.
It is not possible to invest directly in an index. Exposure to an asset class represented by an index may be available through investable instruments based on that index. S&amp;P DJI does not sponsor, endorse, sell, promote or manage any investment fund or other investment vehicle that is offered by third parties and that seeks to provide an investment return based on the performance of any index. S&amp;P DJI makes no assurance that investment products based on the index will accurately track index performance or provide positive investment returns. S&amp;P DJI is not an investment advisor, commodity trading advisor, fiduciary, “promoter” (as defined in the Investment Company Act of 1940, as amended) or “expert” as enumerated within 15 U.S.C. § 77k(a), and S&amp;P DJI makes no representation regarding the advisability of investing in any such investment fund or other investment vehicle. A decision to invest in any such investment fund or other investment vehicle should not be made in reliance on any of the statements set forth in this document. S&amp;P DJI is not a tax advisor. Inclusion of a security, commodity, crypto currency, or other asset within an index is not a recommendation by S&amp;P DJI to buy, sell, or hold such security, commodity, crypto currency, or other asset, nor is it considered to be investment or trading advice.
These materials have been prepared solely for informational purposes based upon information generally available to the public and from sources believed to be reliable. No content contained in these materials (including index data, ratings, credit-related analyses and data, research, valuations, model, software or other application or output therefrom) or any part thereof (“Content”) may be modified, reverse engineered, reproduced, or distributed in any form or by any means, or stored in a database or retrieval system, without the prior written permission of S&amp;P DJI. The Content shall not be used for any unlawful or unauthorized purposes. S&amp;P DJI and its third-party data providers and licensors (collectively “S&amp;P Dow Jones Indices Parties”) do not guarantee the accuracy, completeness, timeliness, or availability of the Content. S&amp;P Dow Jones Indices Parties are not responsible for any errors or omissions, regardless of the cause, for the results obtained from the use of the Content. THE CONTENT IS PROVIDED ON AN “AS IS” “WHERE IS” BASIS. S&amp;P DOW JONES INDICES PARTIES DISCLAIMS ANY AND ALL EXPRESS OR IMPLIED WARRANTIES, INCLUDING, BUT NOT LIMITED TO, ANY WARRANTIES OF MERCHANTABILITY OR FITNESS FOR A PARTICULAR PURPOSE OR USE, FREEDOM FROM BUGS, SOFTWARE ERRORS OR DEFECTS, THAT THE CONTENT’S FUNCTIONING WILL BE UNINTERRUPTED OR THAT THE CONTENT WILL OPERATE WITH ANY SOFTWARE OR HARDWARE CONFIGURATION. In no event shall S&amp;P Dow Jones Indices Parties be liable to any party for any direct, indirect, incidental, exemplary, compensatory, punitive, special, or consequential damages, costs, expenses, legal fees, or losses (including, without limitation, lost income or lost profits and opportunity costs) in connection with any use of the Content even if advised of the possibility of such damages.
Credit-related information and other analyses, including ratings, research and valuations are generally provided by licensors and/or affiliates of S&amp;P Dow Jones Indices, including but not limited to S&amp;P Global’s other divisions such as S&amp;P Global Market Intelligence. Any credit-related information and other related analyses and statements in the Content are statements of opinion as of the date they are expressed and not statements of fact. Any opinion, analyses and rating acknowledgement decisions are not recommendations to purchase, hold, or sell any securities or to make any investment decisions, and do not address the suitability of any security. S&amp;P Dow Jones Indices does not assume any obligation to update the Content following publication in any form or format. The Content should not be relied on and is not a substitute for the skill, judgment and experience of the user, its management, employees, advisors and/or clients when making investment and other business decisions. S&amp;P DJI does not act as a fiduciary or an investment advisor. While S&amp;P DJI has obtained information from sources it believes to be reliable, S&amp;P DJI does not perform an audit or undertake independent verification of any information it receives. S&amp;P DJI reserves the right to vary or discontinue any index at any time for regulatory or other reasons.  Various factors, including external factors beyond S&amp;P DJI’s control might necessitate material changes to indices.
To the extent that regulatory authorities allow a rating agency to acknowledge in one jurisdiction a rating issued in another jurisdiction for certain regulatory purposes, S&amp;P Global Ratings reserves the right to assign, withdraw or suspend such acknowledgement at any time and in its sole discretion. S&amp;P Dow Jones Indices, including S&amp;P Global Ratings, disclaim any duty whatsoever arising out of the assignment, withdrawal, or suspension of an acknowledgement as well as any liability for any damage alleged to have been suffered on account thereof. Affiliates of S&amp;P Dow Jones Indices LLC, including S&amp;P Global Ratings, may receive compensation for its ratings and certain credit-related analyses, normally from issuers or underwriters of securities or from obligors. Such affiliates of S&amp;P Dow Jones Indices LLC, including S&amp;P Global Ratings, reserve the right to disseminate its opinions and analyses. Public ratings and analyses from S&amp;P Global Ratings are made available on its Web sites, www.standardandpoors.com (free of charge), and www.ratingsdirect.com and www.globalcreditportal.com (subscription), and may be distributed through other means, including via S&amp;P Global Ratings publications and third-party redistributors. Additional information about our ratings fees is available at www.standardandpoors.com/usratingsfees.
S&amp;P Global keeps certain activities of its various divisions and business units separate from each other to preserve the independence and objectivity of their respective activities. As a result, certain divisions and business units of S&amp;P Global may have information that is not available to other business units. S&amp;P Global has established policies and procedures to maintain the confidentiality of certain nonpublic information received in connection with each analytical process.
In addition, S&amp;P Dow Jones Indices provides a wide range of services to, or relating to, many organizations, including issuers of securities, investment advisers, broker-dealers, investment banks, other financial institutions, and financial intermediaries, and accordingly may receive fees or other economic benefits from those organizations, including organizations whose securities or services they may recommend, rate, include in model portfolios, evaluate, or otherwise address.
Some indices use the Global Industry Classification Standard (GICS®), which was developed by, and is the exclusive property and a trademark of, S&amp;P Global and MSCI. Neither MSCI, S&amp;P DJI nor any other party involved in making or compiling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or fitness for a particular purpose with respect to any of such standard or classification. Without limiting any of the foregoing, in no event shall MSCI, S&amp;P DJI, any of their affiliates or any third party involved in making or compiling any GICS classifications have any liability for any direct, indirect, special, punitive, consequential or any other damages (including lost profits) even if notified of the possibility of such damages.
S&amp;P Dow Jones Indices products are governed by the terms and conditions of the agreements under which they may be provided. A license is required from S&amp;P Dow Jones Indices to display, create derivative works of and/or distribute any product or service that uses, is based upon and/or refers to any S&amp;P Dow Jones Indices and/or index data.
ESG INDICES DISCLAIMER
S&amp;P DJI provides indices that seek to select, exclude, and/or weight index constituents based on, but not limited to, certain environmental, social or governance (ESG) indicators, or a combination of those indicators, including the following: environmental indicators (including the efficient use of natural resources, the production of waste, greenhouse gas emissions, or impact on biodiversity); social indicators (such as, inequality and investment in human capital); governance indictors (such as sound management structures, employee relations, remuneration of staff, tax compliance, respect for human rights, anti-corruption and anti-bribery matters), specific sustainability or values-related company involvement indicators (for example, production/distribution of controversial weapons, tobacco products, or thermal coal), or controversies monitoring (including research of media outlets to identify companies involved in ESG-related incidents).  
S&amp;P DJI ESG indices use ESG metrics and scores in the selection and/or weighting of index constituents. ESG scores or ratings seek to measure or evaluate a company’s, or an asset’s, performance with respect to environmental, social and corporate governance issues.
The ESG scores, ratings, and other data used in S&amp;P DJI ESG indices is supplied directly or indirectly by third parties (note these parties can be independent affiliates of S&amp;P Global or unaffiliated entities) so an S&amp;P DJI ESG index’s ability to reflect ESG factors depends on these third parties’ data accuracy and availability.
ESG scores, ratings, and other data may be reported (meaning that the data is provided as disclosed by companies, or an asset, or as made publicly available), modelled (meaning that the data is derived using a proprietary modelling process with only proxies used in the creation of the data), or reported and modelled (meaning that the data is either a mix of reported and modelled data or is derived from the vendor using reported data /information in a proprietary scoring or determination process).
ESG scores, ratings, and other data, whether from an external and/or internal source, is based on a qualitative and judgmental assessment, especially in the absence of well-defined market standards, and due to the existence of multiple approaches and methodologies to assess ESG factors and considerations. An element of subjectivity and discretion is therefore inherent in any ESG score, rating, or other data and different ESG scoring, rating, and/or data sources may use different ESG assessment or estimation methodologies. Different persons (including ESG data ratings, or scoring providers, index administrators or users) may arrive at different conclusions regarding the sustainability or impact of a particular company, asset, or index.
Where an index uses ESG scores, ratings or other data supplied directly or indirectly by third parties, S&amp;P DJI does not accept responsibility for the accuracy of completeness of such ESG scores, ratings, or data. No single clear, definitive test or framework (legal, regulatory, or otherwise) exists to determine ‘ESG’, ‘sustainable’, ‘good governance’, ‘no adverse environmental, social and/or other impacts’, or other equivalently labelled objectives. In the absence of well-defined market standards and due to the existence of multitude approaches, the exercise of judgment is necessary. Accordingly, different persons may classify the same investment, product and/or strategy differently regarding ‘ESG’, ‘sustainable’, ‘good governance’, ‘no adverse environmental, social and/or other impacts’, or other equivalently labelled objectives. Furthermore, the legal and/or market position on what constitutes an ‘ESG’, ‘sustainable’, ‘good governance’, ‘no adverse environmental, social and/or other impacts’, or other equivalently labelled objectives may change over time, especially as further regulatory or industry rules and guidance are issued and the ESG sustainable finance framework becomes more sophisticated.
Prospective users of an S&amp;P DJI ESG Index are encouraged to read the relevant index methodology and related disclosures carefully to determine whether the index is suitable for their potential use case or investment objective.</t>
  </si>
  <si>
    <t>https://www.oecd.org/en/about/news/press-releases/2025/11/corporate-tax-revenues-rise-as-global-corporate-tax-rates-continue-to-stabilise-new-oecd-data-show.html#:~:text=The%20average%20rate%20stood%20at,be%20stabilising%20in%20recent%20years.</t>
  </si>
  <si>
    <t>PND</t>
  </si>
  <si>
    <t>https://www.imf.org/external/np/fin/data/rms_mth.aspx?SelectDate=2025-12-31&amp;reportType=CVSDR</t>
  </si>
  <si>
    <t>Executive Chairman of the Board</t>
  </si>
  <si>
    <t>Independent Director</t>
  </si>
  <si>
    <t>Lead Independent Director</t>
  </si>
  <si>
    <t>https://taxsummaries.pwc.com/peoples-republic-of-china/corporate/taxes-on-corporate-income#:~:text=A%20non%2DTRE%20with%20an,standard%20tax%20rate%20is%2025%25.</t>
  </si>
  <si>
    <t>(12/12/2025)</t>
  </si>
  <si>
    <r>
      <t xml:space="preserve">GICS Sector: </t>
    </r>
    <r>
      <rPr>
        <sz val="10"/>
        <color theme="1"/>
        <rFont val="Arial"/>
        <family val="2"/>
      </rPr>
      <t>Consumer Discretionary</t>
    </r>
  </si>
  <si>
    <r>
      <t xml:space="preserve">Sub-Sector: </t>
    </r>
    <r>
      <rPr>
        <sz val="10"/>
        <color theme="1"/>
        <rFont val="Arial"/>
        <family val="2"/>
      </rPr>
      <t>Broadline Retail</t>
    </r>
  </si>
  <si>
    <r>
      <t>Business Summary:</t>
    </r>
    <r>
      <rPr>
        <sz val="10"/>
        <color theme="1"/>
        <rFont val="Arial"/>
        <family val="2"/>
      </rPr>
      <t xml:space="preserve"> Amazon is a global leader in e-commerce, cloud computing, online advertising, digital streaming, and artificial intelligence.</t>
    </r>
  </si>
  <si>
    <r>
      <t xml:space="preserve">NAICS Industry: </t>
    </r>
    <r>
      <rPr>
        <sz val="10"/>
        <color theme="1"/>
        <rFont val="Arial"/>
        <family val="2"/>
      </rPr>
      <t xml:space="preserve">Electronic Shopping </t>
    </r>
  </si>
  <si>
    <t xml:space="preserve">  and Mail-Order Houses</t>
  </si>
  <si>
    <t>FY 2024 EPS</t>
  </si>
  <si>
    <t>FY 2024P/E</t>
  </si>
  <si>
    <t>FY 2024 P/Sales</t>
  </si>
  <si>
    <t>AA/A1</t>
  </si>
  <si>
    <t>Current Price (12/12/25)</t>
  </si>
  <si>
    <t xml:space="preserve">https://markets.businessinsider.com/searchresults?p=1&amp;_type=anleihen&amp;_search=Amazon </t>
  </si>
  <si>
    <t>https://www.cnbc.com/quotes/DE10Y-DE</t>
  </si>
  <si>
    <t>https://www.cnbc.com/quotes/JP10Y-JP</t>
  </si>
  <si>
    <t>https://www.cnbc.com/quotes/UK10Y-GB</t>
  </si>
  <si>
    <t>https://my.pitchbook.com/profile/11919-79/company/profile#overview</t>
  </si>
  <si>
    <t>https://finance.yahoo.com/quote/AMZN/profile/</t>
  </si>
  <si>
    <t>https://finra-markets.morningstar.com/MarketData/EquityOptions/detail.jsp?query=19%3A0P000000B7&amp;sdkVersion=2.63.2</t>
  </si>
  <si>
    <t>NOTE: Selection of peers is based on size and similarity of product offering and business risk to AMZN</t>
  </si>
  <si>
    <t>https://finra-markets.morningstar.com/MarketData/EquityOptions/detail.jsp?query=19:0P000000B7</t>
  </si>
  <si>
    <t>https://www.gartner.com/en/newsroom/press-releases/2025-01-21-gartner-forecasts-worldwide-it-spending-to-grow-9-point-8-percent-in-2025</t>
  </si>
  <si>
    <t>https://www.gartner.com/en/newsroom/press-releases/2025-07-15-gartner-forecasts-worldwide-it-spending-to-grow-7-point-9-percent-in-2025</t>
  </si>
  <si>
    <t>https://www.gartner.com/en/newsroom/press-releases/2024-10-23-gartner-forecasts-worldwide-it-spending-to-grow-nine-point-three-percent-in-2025</t>
  </si>
  <si>
    <t>https://www.imf.org/en/publications/weo/issues/2025/10/14/world-economic-outlook-october-2025</t>
  </si>
  <si>
    <t>https://www.imf.org/external/datamapper/NGDP_RPCH@WEO/OEMDC/ADVEC/WEOWORLD/MEQ</t>
  </si>
  <si>
    <t>https://www.imf.org/en/publications/weo</t>
  </si>
  <si>
    <t>https://www.cbo.gov/publication/61172</t>
  </si>
  <si>
    <t>https://www.cbo.gov/publication/61189</t>
  </si>
  <si>
    <t>https://www.youtube.com/watch?v=KuaSstrjAkA&amp;t=1s</t>
  </si>
  <si>
    <t>https://ir.aboutamazon.com/news-release/news-release-details/2025/Amazon-com-Announces-Fourth-Quarter-Results/</t>
  </si>
  <si>
    <t>https://s2.q4cdn.com/299287126/files/doc_financials/2025/ar/Amazon-2024-Annual-Report.pdf</t>
  </si>
  <si>
    <t>https://www.sec.gov/ix?doc=/Archives/edgar/data/1018724/000101872425000004/amzn-20241231.htm</t>
  </si>
  <si>
    <t>https://www.aboutamazon.com/news/company-news/amazon-ceo-andy-jassy-2024-letter-to-shareholders</t>
  </si>
  <si>
    <t>https://www.gurufocus.com/term/days-sales-outstanding/AMZN</t>
  </si>
  <si>
    <t>https://www.amazon.science/news-and-features/how-amazon-reworked-its-fulfillment-network-to-meet-customer-demand</t>
  </si>
  <si>
    <t>https://finbox.com/NASDAQGS:AMZN/explorer/days_payables_out/</t>
  </si>
  <si>
    <t>https://supplierwiki.supplypike.com/articles/amazons-payment-terms-and-their-impact-on-shortages</t>
  </si>
  <si>
    <t>https://www.bvresources.com/articles/bvwire/kroll-lowers-recommended-us-erp-to-50#:~:text=September%2010%2C%202025,discount%20rates%20as%20of%20Sept.</t>
  </si>
  <si>
    <t xml:space="preserve">Price Performance (NYS: AMZN) </t>
  </si>
  <si>
    <t>.</t>
  </si>
  <si>
    <t>Amazon</t>
  </si>
  <si>
    <t>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</si>
</sst>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6" formatCode="&quot;$&quot;#,##0_);[Red]\(&quot;$&quot;#,##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0&quot;.&quot;"/>
    <numFmt numFmtId="165" formatCode="&quot;A&quot;0&quot;:&quot;"/>
    <numFmt numFmtId="166" formatCode="&quot;(&quot;m/d/yyyy&quot;)&quot;"/>
    <numFmt numFmtId="167" formatCode="0.0%"/>
    <numFmt numFmtId="168" formatCode="#,##0.0_);[Red]\(#,##0.0\)"/>
    <numFmt numFmtId="169" formatCode="0.000"/>
    <numFmt numFmtId="170" formatCode="0\ \F"/>
    <numFmt numFmtId="171" formatCode="0\ \A"/>
    <numFmt numFmtId="172" formatCode="0\ &quot;A&quot;"/>
    <numFmt numFmtId="173" formatCode="0\ &quot;F&quot;"/>
    <numFmt numFmtId="174" formatCode="_(&quot;$&quot;* #,##0_);_(&quot;$&quot;* \(#,##0\);_(&quot;$&quot;* &quot;-&quot;??_);_(@_)"/>
    <numFmt numFmtId="175" formatCode="_(* #,##0.0_);_(* \(#,##0.0\);_(* &quot;-&quot;??_);_(@_)"/>
    <numFmt numFmtId="176" formatCode="_-* #,##0_-;\(#,##0\)_-;_-* &quot;-&quot;_-;_-@_-"/>
    <numFmt numFmtId="177" formatCode="_-* #,##0_-;\-* #,##0_-;_-* &quot;-&quot;??_-;_-@_-"/>
    <numFmt numFmtId="178" formatCode="0.00\x"/>
    <numFmt numFmtId="179" formatCode="#,##0.00%_);[Red]\(#,##0.00%\)"/>
    <numFmt numFmtId="180" formatCode="_(* #,##0_);_(* \(#,##0\);_(* &quot;-&quot;??_);_(@_)"/>
    <numFmt numFmtId="181" formatCode="#,##0.0000_);[Red]\(#,##0.0000\)"/>
    <numFmt numFmtId="182" formatCode="0.0&quot;.&quot;"/>
    <numFmt numFmtId="183" formatCode="#,##0.000"/>
    <numFmt numFmtId="184" formatCode="_(* #,##0.0000_);_(* \(#,##0.0000\);_(* &quot;-&quot;??_);_(@_)"/>
    <numFmt numFmtId="185" formatCode="#,##0%_);[Red]\(#,##0%\)"/>
    <numFmt numFmtId="186" formatCode="0.0\x"/>
    <numFmt numFmtId="187" formatCode="#,##0.000_);[Red]\(#,##0.000\)"/>
    <numFmt numFmtId="188" formatCode="#,##0.0%_);[Red]\(#,##0.0%\)"/>
    <numFmt numFmtId="189" formatCode="0.000%"/>
    <numFmt numFmtId="190" formatCode="#,##0.0"/>
    <numFmt numFmtId="191" formatCode="0.0"/>
    <numFmt numFmtId="192" formatCode="0.000000%"/>
    <numFmt numFmtId="193" formatCode="#,##0.0000%_);[Red]\(#,##0.0000%\)"/>
  </numFmts>
  <fonts count="68">
    <font>
      <sz val="11"/>
      <color theme="1"/>
      <name val="Calibri"/>
      <family val="2"/>
      <scheme val="minor"/>
    </font>
    <font>
      <sz val="11"/>
      <color theme="1"/>
      <name val="Calibri"/>
      <family val="2"/>
      <scheme val="minor"/>
    </font>
    <font>
      <sz val="9"/>
      <color theme="1"/>
      <name val="Arial"/>
      <family val="2"/>
    </font>
    <font>
      <b/>
      <sz val="9"/>
      <color theme="1"/>
      <name val="Arial"/>
      <family val="2"/>
    </font>
    <font>
      <sz val="9"/>
      <color rgb="FF0000FF"/>
      <name val="Arial"/>
      <family val="2"/>
    </font>
    <font>
      <sz val="9"/>
      <color rgb="FF008000"/>
      <name val="Arial"/>
      <family val="2"/>
    </font>
    <font>
      <sz val="9"/>
      <name val="Arial"/>
      <family val="2"/>
    </font>
    <font>
      <sz val="11"/>
      <color theme="1"/>
      <name val="Arial"/>
      <family val="2"/>
    </font>
    <font>
      <b/>
      <sz val="11"/>
      <color theme="1"/>
      <name val="Arial"/>
      <family val="2"/>
    </font>
    <font>
      <b/>
      <sz val="10"/>
      <color theme="1"/>
      <name val="Arial"/>
      <family val="2"/>
    </font>
    <font>
      <sz val="10"/>
      <color theme="1"/>
      <name val="Arial"/>
      <family val="2"/>
    </font>
    <font>
      <b/>
      <sz val="10"/>
      <color theme="0"/>
      <name val="Arial"/>
      <family val="2"/>
    </font>
    <font>
      <sz val="9"/>
      <color rgb="FF7030A0"/>
      <name val="Arial"/>
      <family val="2"/>
    </font>
    <font>
      <sz val="11"/>
      <color theme="3"/>
      <name val="Arial"/>
      <family val="2"/>
    </font>
    <font>
      <b/>
      <sz val="14"/>
      <color theme="0"/>
      <name val="Arial"/>
      <family val="2"/>
    </font>
    <font>
      <i/>
      <sz val="9"/>
      <color theme="1"/>
      <name val="Arial"/>
      <family val="2"/>
    </font>
    <font>
      <b/>
      <sz val="14"/>
      <color theme="1"/>
      <name val="Arial"/>
      <family val="2"/>
    </font>
    <font>
      <b/>
      <sz val="9"/>
      <color rgb="FF0000FF"/>
      <name val="Arial"/>
      <family val="2"/>
    </font>
    <font>
      <b/>
      <sz val="9"/>
      <name val="Arial"/>
      <family val="2"/>
    </font>
    <font>
      <i/>
      <sz val="9"/>
      <name val="Arial"/>
      <family val="2"/>
    </font>
    <font>
      <i/>
      <sz val="9"/>
      <color theme="0" tint="-0.499984740745262"/>
      <name val="Arial"/>
      <family val="2"/>
    </font>
    <font>
      <i/>
      <sz val="9"/>
      <color theme="9" tint="-0.499984740745262"/>
      <name val="Arial"/>
      <family val="2"/>
    </font>
    <font>
      <i/>
      <sz val="9"/>
      <color rgb="FF0000FF"/>
      <name val="Arial"/>
      <family val="2"/>
    </font>
    <font>
      <b/>
      <i/>
      <sz val="9"/>
      <name val="Arial"/>
      <family val="2"/>
    </font>
    <font>
      <sz val="8"/>
      <color indexed="20"/>
      <name val="Times New Roman"/>
      <family val="1"/>
    </font>
    <font>
      <b/>
      <sz val="9"/>
      <color rgb="FF008000"/>
      <name val="Arial"/>
      <family val="2"/>
    </font>
    <font>
      <sz val="11"/>
      <color theme="1"/>
      <name val="Arial Narrow"/>
      <family val="2"/>
    </font>
    <font>
      <sz val="9"/>
      <color theme="3"/>
      <name val="Arial"/>
      <family val="2"/>
    </font>
    <font>
      <i/>
      <sz val="9"/>
      <color theme="3"/>
      <name val="Arial"/>
      <family val="2"/>
    </font>
    <font>
      <sz val="10"/>
      <name val="Arial"/>
      <family val="2"/>
    </font>
    <font>
      <sz val="11"/>
      <color theme="1"/>
      <name val="Times New Roman"/>
      <family val="2"/>
    </font>
    <font>
      <b/>
      <i/>
      <sz val="9"/>
      <color theme="0"/>
      <name val="Arial"/>
      <family val="2"/>
    </font>
    <font>
      <sz val="9"/>
      <color theme="0"/>
      <name val="Arial"/>
      <family val="2"/>
    </font>
    <font>
      <b/>
      <i/>
      <sz val="9"/>
      <color theme="1"/>
      <name val="Arial"/>
      <family val="2"/>
    </font>
    <font>
      <i/>
      <sz val="9"/>
      <color rgb="FFC00000"/>
      <name val="Arial"/>
      <family val="2"/>
    </font>
    <font>
      <b/>
      <u/>
      <sz val="9"/>
      <color theme="1"/>
      <name val="Arial"/>
      <family val="2"/>
    </font>
    <font>
      <i/>
      <u/>
      <sz val="9"/>
      <color theme="0" tint="-0.499984740745262"/>
      <name val="Arial"/>
      <family val="2"/>
    </font>
    <font>
      <sz val="9"/>
      <color rgb="FFC00000"/>
      <name val="Arial"/>
      <family val="2"/>
    </font>
    <font>
      <b/>
      <sz val="9"/>
      <color rgb="FFC00000"/>
      <name val="Arial"/>
      <family val="2"/>
    </font>
    <font>
      <b/>
      <sz val="9"/>
      <color theme="0"/>
      <name val="Arial"/>
      <family val="2"/>
    </font>
    <font>
      <i/>
      <sz val="9"/>
      <color theme="0"/>
      <name val="Arial"/>
      <family val="2"/>
    </font>
    <font>
      <b/>
      <i/>
      <sz val="11"/>
      <name val="Arial Narrow"/>
      <family val="2"/>
    </font>
    <font>
      <i/>
      <sz val="11"/>
      <name val="Arial Narrow"/>
      <family val="2"/>
    </font>
    <font>
      <sz val="9"/>
      <color theme="9" tint="-0.499984740745262"/>
      <name val="Arial"/>
      <family val="2"/>
    </font>
    <font>
      <b/>
      <sz val="9"/>
      <color theme="9" tint="-0.499984740745262"/>
      <name val="Arial"/>
      <family val="2"/>
    </font>
    <font>
      <sz val="9"/>
      <color theme="1" tint="0.34998626667073579"/>
      <name val="Arial"/>
      <family val="2"/>
    </font>
    <font>
      <i/>
      <sz val="9"/>
      <color theme="1" tint="0.34998626667073579"/>
      <name val="Arial"/>
      <family val="2"/>
    </font>
    <font>
      <b/>
      <sz val="9"/>
      <color theme="1" tint="0.34998626667073579"/>
      <name val="Arial"/>
      <family val="2"/>
    </font>
    <font>
      <u/>
      <sz val="9"/>
      <color theme="1" tint="0.34998626667073579"/>
      <name val="Arial"/>
      <family val="2"/>
    </font>
    <font>
      <i/>
      <sz val="9"/>
      <color theme="1" tint="0.499984740745262"/>
      <name val="Arial"/>
      <family val="2"/>
    </font>
    <font>
      <b/>
      <sz val="9"/>
      <color rgb="FF00B050"/>
      <name val="Arial"/>
      <family val="2"/>
    </font>
    <font>
      <b/>
      <sz val="11"/>
      <color rgb="FF00B050"/>
      <name val="Arial"/>
      <family val="2"/>
    </font>
    <font>
      <b/>
      <i/>
      <sz val="10"/>
      <color theme="1"/>
      <name val="Arial"/>
      <family val="2"/>
    </font>
    <font>
      <b/>
      <sz val="10"/>
      <color rgb="FF0000FF"/>
      <name val="Arial"/>
      <family val="2"/>
    </font>
    <font>
      <sz val="9"/>
      <color rgb="FF000000"/>
      <name val="Arial"/>
      <family val="2"/>
    </font>
    <font>
      <b/>
      <i/>
      <sz val="9"/>
      <color rgb="FF000000"/>
      <name val="Arial"/>
      <family val="2"/>
    </font>
    <font>
      <u val="singleAccounting"/>
      <sz val="9"/>
      <color theme="1"/>
      <name val="Arial"/>
      <family val="2"/>
    </font>
    <font>
      <sz val="11"/>
      <color rgb="FF1F1F1F"/>
      <name val="Arial"/>
      <family val="2"/>
    </font>
    <font>
      <b/>
      <sz val="11"/>
      <color rgb="FF1F1F1F"/>
      <name val="Arial"/>
      <family val="2"/>
    </font>
    <font>
      <sz val="14"/>
      <color theme="1"/>
      <name val="Arial"/>
      <family val="2"/>
    </font>
    <font>
      <sz val="8"/>
      <name val="Calibri"/>
      <family val="2"/>
      <scheme val="minor"/>
    </font>
    <font>
      <sz val="13"/>
      <color rgb="FF0A0A0A"/>
      <name val="Arial"/>
      <family val="2"/>
    </font>
    <font>
      <sz val="13"/>
      <color rgb="FF111111"/>
      <name val="Arial"/>
      <family val="2"/>
    </font>
    <font>
      <u/>
      <sz val="11"/>
      <color theme="10"/>
      <name val="Calibri"/>
      <family val="2"/>
      <scheme val="minor"/>
    </font>
    <font>
      <sz val="13"/>
      <color rgb="FF31313B"/>
      <name val="Arial"/>
      <family val="2"/>
    </font>
    <font>
      <sz val="12"/>
      <color rgb="FFE3E3E3"/>
      <name val="Arial"/>
      <family val="2"/>
    </font>
    <font>
      <sz val="14"/>
      <color rgb="FFE3E3E3"/>
      <name val="Arial"/>
      <family val="2"/>
    </font>
    <font>
      <sz val="10"/>
      <name val="Geogrotesque Rg"/>
    </font>
  </fonts>
  <fills count="8">
    <fill>
      <patternFill patternType="none"/>
    </fill>
    <fill>
      <patternFill patternType="gray125"/>
    </fill>
    <fill>
      <patternFill patternType="solid">
        <fgColor theme="1" tint="0.499984740745262"/>
        <bgColor indexed="64"/>
      </patternFill>
    </fill>
    <fill>
      <patternFill patternType="solid">
        <fgColor theme="4" tint="0.79998168889431442"/>
        <bgColor indexed="64"/>
      </patternFill>
    </fill>
    <fill>
      <patternFill patternType="solid">
        <fgColor theme="1"/>
        <bgColor indexed="64"/>
      </patternFill>
    </fill>
    <fill>
      <patternFill patternType="solid">
        <fgColor theme="0" tint="-0.14999847407452621"/>
        <bgColor indexed="64"/>
      </patternFill>
    </fill>
    <fill>
      <patternFill patternType="solid">
        <fgColor rgb="FFAFDEFF"/>
        <bgColor indexed="64"/>
      </patternFill>
    </fill>
    <fill>
      <patternFill patternType="solid">
        <fgColor rgb="FFAFDEFF"/>
        <bgColor rgb="FF000000"/>
      </patternFill>
    </fill>
  </fills>
  <borders count="59">
    <border>
      <left/>
      <right/>
      <top/>
      <bottom/>
      <diagonal/>
    </border>
    <border>
      <left style="hair">
        <color theme="1"/>
      </left>
      <right style="hair">
        <color theme="1"/>
      </right>
      <top style="hair">
        <color theme="1"/>
      </top>
      <bottom style="hair">
        <color theme="1"/>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dotted">
        <color auto="1"/>
      </right>
      <top style="dotted">
        <color auto="1"/>
      </top>
      <bottom style="dotted">
        <color auto="1"/>
      </bottom>
      <diagonal/>
    </border>
    <border>
      <left/>
      <right/>
      <top style="dotted">
        <color auto="1"/>
      </top>
      <bottom/>
      <diagonal/>
    </border>
    <border>
      <left style="dotted">
        <color auto="1"/>
      </left>
      <right/>
      <top style="dotted">
        <color auto="1"/>
      </top>
      <bottom/>
      <diagonal/>
    </border>
    <border>
      <left/>
      <right style="dotted">
        <color auto="1"/>
      </right>
      <top style="dotted">
        <color auto="1"/>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dotted">
        <color theme="1" tint="0.499984740745262"/>
      </left>
      <right/>
      <top style="dotted">
        <color theme="1" tint="0.499984740745262"/>
      </top>
      <bottom/>
      <diagonal/>
    </border>
    <border>
      <left/>
      <right/>
      <top style="dotted">
        <color theme="1" tint="0.499984740745262"/>
      </top>
      <bottom/>
      <diagonal/>
    </border>
    <border>
      <left/>
      <right style="dotted">
        <color theme="1" tint="0.499984740745262"/>
      </right>
      <top style="dotted">
        <color theme="1" tint="0.499984740745262"/>
      </top>
      <bottom/>
      <diagonal/>
    </border>
    <border>
      <left style="dotted">
        <color theme="1" tint="0.499984740745262"/>
      </left>
      <right/>
      <top/>
      <bottom/>
      <diagonal/>
    </border>
    <border>
      <left/>
      <right style="dotted">
        <color theme="1" tint="0.499984740745262"/>
      </right>
      <top/>
      <bottom/>
      <diagonal/>
    </border>
    <border>
      <left style="dotted">
        <color theme="1" tint="0.499984740745262"/>
      </left>
      <right/>
      <top/>
      <bottom style="dotted">
        <color theme="1" tint="0.499984740745262"/>
      </bottom>
      <diagonal/>
    </border>
    <border>
      <left/>
      <right/>
      <top/>
      <bottom style="dotted">
        <color theme="1" tint="0.499984740745262"/>
      </bottom>
      <diagonal/>
    </border>
    <border>
      <left/>
      <right style="dotted">
        <color theme="1" tint="0.499984740745262"/>
      </right>
      <top/>
      <bottom style="dotted">
        <color theme="1"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theme="0" tint="-0.499984740745262"/>
      </left>
      <right/>
      <top style="dotted">
        <color theme="0" tint="-0.499984740745262"/>
      </top>
      <bottom/>
      <diagonal/>
    </border>
    <border>
      <left/>
      <right style="dotted">
        <color theme="0" tint="-0.499984740745262"/>
      </right>
      <top style="dotted">
        <color theme="0" tint="-0.499984740745262"/>
      </top>
      <bottom/>
      <diagonal/>
    </border>
    <border>
      <left style="dotted">
        <color theme="0" tint="-0.499984740745262"/>
      </left>
      <right/>
      <top/>
      <bottom/>
      <diagonal/>
    </border>
    <border>
      <left/>
      <right style="dotted">
        <color theme="0" tint="-0.499984740745262"/>
      </right>
      <top/>
      <bottom/>
      <diagonal/>
    </border>
    <border>
      <left style="dotted">
        <color theme="0" tint="-0.499984740745262"/>
      </left>
      <right/>
      <top/>
      <bottom style="dotted">
        <color theme="0" tint="-0.499984740745262"/>
      </bottom>
      <diagonal/>
    </border>
    <border>
      <left/>
      <right style="dotted">
        <color theme="0" tint="-0.499984740745262"/>
      </right>
      <top/>
      <bottom style="dotted">
        <color theme="0" tint="-0.499984740745262"/>
      </bottom>
      <diagonal/>
    </border>
    <border>
      <left style="dotted">
        <color theme="0" tint="-0.499984740745262"/>
      </left>
      <right/>
      <top style="dotted">
        <color theme="0" tint="-0.499984740745262"/>
      </top>
      <bottom style="dotted">
        <color theme="0" tint="-0.499984740745262"/>
      </bottom>
      <diagonal/>
    </border>
    <border>
      <left/>
      <right style="dotted">
        <color theme="0" tint="-0.499984740745262"/>
      </right>
      <top style="dotted">
        <color theme="0" tint="-0.499984740745262"/>
      </top>
      <bottom style="dotted">
        <color theme="0" tint="-0.499984740745262"/>
      </bottom>
      <diagonal/>
    </border>
    <border diagonalDown="1">
      <left/>
      <right/>
      <top/>
      <bottom/>
      <diagonal style="thin">
        <color theme="0"/>
      </diagonal>
    </border>
    <border>
      <left style="mediumDashed">
        <color rgb="FFFF0000"/>
      </left>
      <right style="mediumDashed">
        <color rgb="FFFF0000"/>
      </right>
      <top style="mediumDashed">
        <color rgb="FFFF0000"/>
      </top>
      <bottom/>
      <diagonal/>
    </border>
    <border>
      <left style="mediumDashed">
        <color rgb="FFFF0000"/>
      </left>
      <right style="mediumDashed">
        <color rgb="FFFF0000"/>
      </right>
      <top/>
      <bottom style="thin">
        <color indexed="64"/>
      </bottom>
      <diagonal/>
    </border>
    <border>
      <left style="mediumDashed">
        <color rgb="FFFF0000"/>
      </left>
      <right style="mediumDashed">
        <color rgb="FFFF0000"/>
      </right>
      <top/>
      <bottom/>
      <diagonal/>
    </border>
    <border>
      <left style="mediumDashed">
        <color rgb="FFFF0000"/>
      </left>
      <right style="mediumDashed">
        <color rgb="FFFF0000"/>
      </right>
      <top style="thin">
        <color indexed="64"/>
      </top>
      <bottom/>
      <diagonal/>
    </border>
    <border>
      <left style="mediumDashed">
        <color rgb="FFFF0000"/>
      </left>
      <right style="mediumDashed">
        <color rgb="FFFF0000"/>
      </right>
      <top style="medium">
        <color indexed="64"/>
      </top>
      <bottom style="mediumDashed">
        <color rgb="FFFF0000"/>
      </bottom>
      <diagonal/>
    </border>
    <border>
      <left style="mediumDashed">
        <color rgb="FFFF0000"/>
      </left>
      <right style="thick">
        <color auto="1"/>
      </right>
      <top style="medium">
        <color indexed="64"/>
      </top>
      <bottom style="medium">
        <color indexed="64"/>
      </bottom>
      <diagonal/>
    </border>
    <border>
      <left/>
      <right/>
      <top style="thin">
        <color theme="1"/>
      </top>
      <bottom/>
      <diagonal/>
    </border>
    <border>
      <left/>
      <right/>
      <top/>
      <bottom style="thin">
        <color theme="1"/>
      </bottom>
      <diagonal/>
    </border>
    <border>
      <left/>
      <right/>
      <top style="mediumDashed">
        <color rgb="FFFF0000"/>
      </top>
      <bottom style="mediumDashed">
        <color rgb="FFFF0000"/>
      </bottom>
      <diagonal/>
    </border>
    <border>
      <left style="mediumDashed">
        <color rgb="FFFF0000"/>
      </left>
      <right style="mediumDashed">
        <color rgb="FFFF0000"/>
      </right>
      <top style="mediumDashed">
        <color rgb="FFFF0000"/>
      </top>
      <bottom style="mediumDashed">
        <color rgb="FFFF0000"/>
      </bottom>
      <diagonal/>
    </border>
    <border>
      <left style="mediumDashed">
        <color rgb="FFFF0000"/>
      </left>
      <right/>
      <top style="mediumDashed">
        <color rgb="FFFF0000"/>
      </top>
      <bottom style="mediumDashed">
        <color rgb="FFFF0000"/>
      </bottom>
      <diagonal/>
    </border>
    <border>
      <left/>
      <right style="mediumDashed">
        <color rgb="FFFF0000"/>
      </right>
      <top style="mediumDashed">
        <color rgb="FFFF0000"/>
      </top>
      <bottom style="mediumDashed">
        <color rgb="FFFF0000"/>
      </bottom>
      <diagonal/>
    </border>
    <border>
      <left/>
      <right/>
      <top style="thick">
        <color auto="1"/>
      </top>
      <bottom/>
      <diagonal/>
    </border>
    <border>
      <left/>
      <right/>
      <top/>
      <bottom style="thick">
        <color auto="1"/>
      </bottom>
      <diagonal/>
    </border>
    <border>
      <left/>
      <right/>
      <top style="thin">
        <color theme="0"/>
      </top>
      <bottom/>
      <diagonal/>
    </border>
    <border>
      <left/>
      <right/>
      <top/>
      <bottom style="thin">
        <color theme="0"/>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4" fillId="0" borderId="0"/>
    <xf numFmtId="43" fontId="1" fillId="0" borderId="0" applyFont="0" applyFill="0" applyBorder="0" applyAlignment="0" applyProtection="0"/>
    <xf numFmtId="0" fontId="26" fillId="0" borderId="0"/>
    <xf numFmtId="43" fontId="26" fillId="0" borderId="0" applyFont="0" applyFill="0" applyBorder="0" applyAlignment="0" applyProtection="0"/>
    <xf numFmtId="9" fontId="26" fillId="0" borderId="0" applyFont="0" applyFill="0" applyBorder="0" applyAlignment="0" applyProtection="0"/>
    <xf numFmtId="0" fontId="29"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10" fillId="0" borderId="0"/>
    <xf numFmtId="0" fontId="63" fillId="0" borderId="0" applyNumberFormat="0" applyFill="0" applyBorder="0" applyAlignment="0" applyProtection="0"/>
  </cellStyleXfs>
  <cellXfs count="758">
    <xf numFmtId="0" fontId="0" fillId="0" borderId="0" xfId="0"/>
    <xf numFmtId="0" fontId="2" fillId="0" borderId="0" xfId="0" applyFont="1"/>
    <xf numFmtId="0" fontId="3" fillId="0" borderId="0" xfId="0" quotePrefix="1" applyFont="1"/>
    <xf numFmtId="0" fontId="2" fillId="0" borderId="0" xfId="0" quotePrefix="1" applyFont="1"/>
    <xf numFmtId="164" fontId="2" fillId="0" borderId="0" xfId="0" quotePrefix="1" applyNumberFormat="1" applyFont="1"/>
    <xf numFmtId="165" fontId="2" fillId="0" borderId="0" xfId="0" quotePrefix="1" applyNumberFormat="1" applyFont="1"/>
    <xf numFmtId="0" fontId="3" fillId="0" borderId="0" xfId="0" applyFont="1"/>
    <xf numFmtId="0" fontId="4" fillId="0" borderId="0" xfId="0" applyFont="1" applyAlignment="1">
      <alignment horizontal="left" indent="1"/>
    </xf>
    <xf numFmtId="0" fontId="5" fillId="0" borderId="0" xfId="0" applyFont="1" applyAlignment="1">
      <alignment horizontal="left" indent="1"/>
    </xf>
    <xf numFmtId="0" fontId="6" fillId="0" borderId="0" xfId="0" applyFont="1" applyAlignment="1">
      <alignment horizontal="left" indent="1"/>
    </xf>
    <xf numFmtId="0" fontId="2" fillId="0" borderId="0" xfId="0" quotePrefix="1" applyFont="1" applyAlignment="1">
      <alignment horizontal="left" indent="1"/>
    </xf>
    <xf numFmtId="0" fontId="8" fillId="0" borderId="0" xfId="0" applyFont="1" applyAlignment="1">
      <alignment vertical="center"/>
    </xf>
    <xf numFmtId="0" fontId="7" fillId="0" borderId="0" xfId="0" applyFont="1"/>
    <xf numFmtId="0" fontId="9" fillId="0" borderId="0" xfId="0" applyFont="1" applyAlignment="1">
      <alignment vertical="center"/>
    </xf>
    <xf numFmtId="0" fontId="10" fillId="0" borderId="0" xfId="0" applyFont="1"/>
    <xf numFmtId="0" fontId="10" fillId="0" borderId="0" xfId="0" applyFont="1" applyAlignment="1">
      <alignment horizontal="left" indent="10"/>
    </xf>
    <xf numFmtId="0" fontId="10" fillId="0" borderId="0" xfId="0" applyFont="1" applyAlignment="1">
      <alignment vertical="center"/>
    </xf>
    <xf numFmtId="8" fontId="9" fillId="0" borderId="0" xfId="0" applyNumberFormat="1" applyFont="1" applyAlignment="1">
      <alignment horizontal="right" vertical="center"/>
    </xf>
    <xf numFmtId="0" fontId="10" fillId="0" borderId="0" xfId="0" applyFont="1" applyAlignment="1">
      <alignment horizontal="left" vertical="center" indent="1"/>
    </xf>
    <xf numFmtId="44" fontId="9" fillId="0" borderId="0" xfId="0" applyNumberFormat="1" applyFont="1" applyAlignment="1">
      <alignment horizontal="right" vertical="center"/>
    </xf>
    <xf numFmtId="8" fontId="9" fillId="0" borderId="0" xfId="0" applyNumberFormat="1" applyFont="1" applyAlignment="1">
      <alignment horizontal="right"/>
    </xf>
    <xf numFmtId="0" fontId="9" fillId="0" borderId="0" xfId="0" applyFont="1" applyAlignment="1">
      <alignment horizontal="right"/>
    </xf>
    <xf numFmtId="2" fontId="9" fillId="0" borderId="0" xfId="0" applyNumberFormat="1" applyFont="1" applyAlignment="1">
      <alignment horizontal="right" vertical="center"/>
    </xf>
    <xf numFmtId="2" fontId="9" fillId="0" borderId="0" xfId="0" applyNumberFormat="1" applyFont="1" applyAlignment="1">
      <alignment horizontal="right"/>
    </xf>
    <xf numFmtId="0" fontId="10" fillId="0" borderId="0" xfId="0" applyFont="1" applyAlignment="1">
      <alignment vertical="top"/>
    </xf>
    <xf numFmtId="0" fontId="2" fillId="0" borderId="0" xfId="0" applyFont="1" applyAlignment="1">
      <alignment horizontal="left" indent="1"/>
    </xf>
    <xf numFmtId="44" fontId="13" fillId="0" borderId="1" xfId="0" applyNumberFormat="1" applyFont="1" applyBorder="1"/>
    <xf numFmtId="38" fontId="2" fillId="0" borderId="0" xfId="0" applyNumberFormat="1" applyFont="1"/>
    <xf numFmtId="0" fontId="2" fillId="0" borderId="2" xfId="0" applyFont="1" applyBorder="1"/>
    <xf numFmtId="38" fontId="4" fillId="0" borderId="0" xfId="0" applyNumberFormat="1" applyFont="1"/>
    <xf numFmtId="38" fontId="17" fillId="0" borderId="0" xfId="0" applyNumberFormat="1" applyFont="1"/>
    <xf numFmtId="0" fontId="3" fillId="0" borderId="3" xfId="0" applyFont="1" applyBorder="1"/>
    <xf numFmtId="38" fontId="17" fillId="0" borderId="3" xfId="0" applyNumberFormat="1" applyFont="1" applyBorder="1"/>
    <xf numFmtId="0" fontId="2" fillId="0" borderId="3" xfId="0" applyFont="1" applyBorder="1"/>
    <xf numFmtId="40" fontId="4" fillId="0" borderId="0" xfId="0" applyNumberFormat="1" applyFont="1"/>
    <xf numFmtId="38" fontId="6" fillId="0" borderId="0" xfId="0" applyNumberFormat="1" applyFont="1"/>
    <xf numFmtId="38" fontId="18" fillId="0" borderId="3" xfId="0" applyNumberFormat="1" applyFont="1" applyBorder="1"/>
    <xf numFmtId="0" fontId="6" fillId="0" borderId="0" xfId="0" applyFont="1"/>
    <xf numFmtId="38" fontId="20" fillId="0" borderId="0" xfId="0" applyNumberFormat="1" applyFont="1"/>
    <xf numFmtId="38" fontId="12" fillId="0" borderId="0" xfId="0" applyNumberFormat="1" applyFont="1"/>
    <xf numFmtId="0" fontId="3" fillId="0" borderId="4" xfId="0" applyFont="1" applyBorder="1"/>
    <xf numFmtId="38" fontId="17" fillId="0" borderId="4" xfId="0" applyNumberFormat="1" applyFont="1" applyBorder="1"/>
    <xf numFmtId="0" fontId="21" fillId="0" borderId="0" xfId="0" applyFont="1"/>
    <xf numFmtId="0" fontId="21" fillId="0" borderId="0" xfId="0" applyFont="1" applyAlignment="1">
      <alignment horizontal="left" indent="1"/>
    </xf>
    <xf numFmtId="38" fontId="3" fillId="0" borderId="3" xfId="0" applyNumberFormat="1" applyFont="1" applyBorder="1"/>
    <xf numFmtId="38" fontId="3" fillId="0" borderId="0" xfId="0" applyNumberFormat="1" applyFont="1"/>
    <xf numFmtId="38" fontId="5" fillId="0" borderId="0" xfId="0" applyNumberFormat="1" applyFont="1"/>
    <xf numFmtId="0" fontId="18" fillId="0" borderId="0" xfId="0" applyFont="1"/>
    <xf numFmtId="0" fontId="4" fillId="0" borderId="0" xfId="0" applyFont="1"/>
    <xf numFmtId="9" fontId="2" fillId="0" borderId="0" xfId="3" applyFont="1"/>
    <xf numFmtId="0" fontId="3" fillId="0" borderId="3" xfId="0" applyFont="1" applyBorder="1" applyAlignment="1">
      <alignment horizontal="left"/>
    </xf>
    <xf numFmtId="0" fontId="18" fillId="0" borderId="0" xfId="4" applyFont="1"/>
    <xf numFmtId="172" fontId="6" fillId="0" borderId="0" xfId="4" applyNumberFormat="1" applyFont="1"/>
    <xf numFmtId="38" fontId="3" fillId="0" borderId="4" xfId="0" applyNumberFormat="1" applyFont="1" applyBorder="1"/>
    <xf numFmtId="0" fontId="2" fillId="0" borderId="4" xfId="0" applyFont="1" applyBorder="1"/>
    <xf numFmtId="0" fontId="20" fillId="0" borderId="0" xfId="0" applyFont="1" applyAlignment="1">
      <alignment horizontal="left" indent="1"/>
    </xf>
    <xf numFmtId="9" fontId="15" fillId="0" borderId="0" xfId="3" applyFont="1" applyBorder="1"/>
    <xf numFmtId="175" fontId="2" fillId="0" borderId="0" xfId="5" applyNumberFormat="1" applyFont="1"/>
    <xf numFmtId="3" fontId="2" fillId="0" borderId="0" xfId="0" applyNumberFormat="1" applyFont="1"/>
    <xf numFmtId="3" fontId="2" fillId="0" borderId="4" xfId="0" applyNumberFormat="1" applyFont="1" applyBorder="1"/>
    <xf numFmtId="9" fontId="3" fillId="0" borderId="0" xfId="3" applyFont="1" applyBorder="1"/>
    <xf numFmtId="176" fontId="6" fillId="0" borderId="0" xfId="1" applyNumberFormat="1" applyFont="1" applyBorder="1"/>
    <xf numFmtId="176" fontId="19" fillId="0" borderId="0" xfId="1" applyNumberFormat="1" applyFont="1" applyBorder="1"/>
    <xf numFmtId="176" fontId="2" fillId="0" borderId="0" xfId="1" applyNumberFormat="1" applyFont="1"/>
    <xf numFmtId="176" fontId="15" fillId="0" borderId="0" xfId="1" applyNumberFormat="1" applyFont="1"/>
    <xf numFmtId="176" fontId="2" fillId="0" borderId="0" xfId="1" quotePrefix="1" applyNumberFormat="1" applyFont="1"/>
    <xf numFmtId="176" fontId="3" fillId="0" borderId="4" xfId="1" applyNumberFormat="1" applyFont="1" applyBorder="1"/>
    <xf numFmtId="176" fontId="2" fillId="0" borderId="0" xfId="1" applyNumberFormat="1" applyFont="1" applyBorder="1"/>
    <xf numFmtId="176" fontId="6" fillId="0" borderId="15" xfId="1" applyNumberFormat="1" applyFont="1" applyBorder="1"/>
    <xf numFmtId="176" fontId="4" fillId="0" borderId="16" xfId="1" applyNumberFormat="1" applyFont="1" applyBorder="1"/>
    <xf numFmtId="176" fontId="6" fillId="0" borderId="18" xfId="1" applyNumberFormat="1" applyFont="1" applyBorder="1"/>
    <xf numFmtId="176" fontId="2" fillId="0" borderId="18" xfId="1" applyNumberFormat="1" applyFont="1" applyBorder="1"/>
    <xf numFmtId="176" fontId="2" fillId="0" borderId="20" xfId="1" applyNumberFormat="1" applyFont="1" applyBorder="1"/>
    <xf numFmtId="176" fontId="2" fillId="0" borderId="21" xfId="1" applyNumberFormat="1" applyFont="1" applyBorder="1"/>
    <xf numFmtId="9" fontId="6" fillId="0" borderId="0" xfId="3" applyFont="1" applyBorder="1"/>
    <xf numFmtId="176" fontId="3" fillId="0" borderId="0" xfId="1" applyNumberFormat="1" applyFont="1" applyBorder="1"/>
    <xf numFmtId="38" fontId="3" fillId="0" borderId="0" xfId="1" applyNumberFormat="1" applyFont="1" applyBorder="1"/>
    <xf numFmtId="38" fontId="2" fillId="0" borderId="0" xfId="1" applyNumberFormat="1" applyFont="1"/>
    <xf numFmtId="38" fontId="3" fillId="0" borderId="4" xfId="1" applyNumberFormat="1" applyFont="1" applyBorder="1"/>
    <xf numFmtId="176" fontId="3" fillId="0" borderId="0" xfId="1" applyNumberFormat="1" applyFont="1"/>
    <xf numFmtId="176" fontId="18" fillId="0" borderId="0" xfId="1" applyNumberFormat="1" applyFont="1"/>
    <xf numFmtId="167" fontId="15" fillId="0" borderId="0" xfId="3" applyNumberFormat="1" applyFont="1"/>
    <xf numFmtId="9" fontId="15" fillId="0" borderId="0" xfId="3" applyFont="1"/>
    <xf numFmtId="0" fontId="4" fillId="0" borderId="29" xfId="0" applyFont="1" applyBorder="1"/>
    <xf numFmtId="0" fontId="4" fillId="0" borderId="31" xfId="0" applyFont="1" applyBorder="1"/>
    <xf numFmtId="0" fontId="2" fillId="0" borderId="26" xfId="0" applyFont="1" applyBorder="1"/>
    <xf numFmtId="0" fontId="4" fillId="0" borderId="27" xfId="0" applyFont="1" applyBorder="1"/>
    <xf numFmtId="0" fontId="2" fillId="0" borderId="28" xfId="0" applyFont="1" applyBorder="1"/>
    <xf numFmtId="0" fontId="2" fillId="0" borderId="30" xfId="0" applyFont="1" applyBorder="1"/>
    <xf numFmtId="38" fontId="2" fillId="0" borderId="0" xfId="1" applyNumberFormat="1" applyFont="1" applyBorder="1"/>
    <xf numFmtId="38" fontId="3" fillId="0" borderId="0" xfId="1" applyNumberFormat="1" applyFont="1" applyBorder="1" applyAlignment="1">
      <alignment horizontal="right"/>
    </xf>
    <xf numFmtId="38" fontId="3" fillId="0" borderId="4" xfId="1" applyNumberFormat="1" applyFont="1" applyBorder="1" applyAlignment="1">
      <alignment horizontal="right"/>
    </xf>
    <xf numFmtId="38" fontId="2" fillId="0" borderId="0" xfId="1" applyNumberFormat="1" applyFont="1" applyAlignment="1">
      <alignment horizontal="right"/>
    </xf>
    <xf numFmtId="176" fontId="2" fillId="0" borderId="0" xfId="1" applyNumberFormat="1" applyFont="1" applyAlignment="1">
      <alignment horizontal="right"/>
    </xf>
    <xf numFmtId="179" fontId="2" fillId="0" borderId="0" xfId="3" applyNumberFormat="1" applyFont="1"/>
    <xf numFmtId="40" fontId="2" fillId="0" borderId="0" xfId="1" applyNumberFormat="1" applyFont="1"/>
    <xf numFmtId="0" fontId="2" fillId="0" borderId="0" xfId="6" applyFont="1" applyAlignment="1">
      <alignment horizontal="left" vertical="top"/>
    </xf>
    <xf numFmtId="10" fontId="6" fillId="0" borderId="0" xfId="8" applyNumberFormat="1" applyFont="1" applyFill="1" applyAlignment="1">
      <alignment vertical="top"/>
    </xf>
    <xf numFmtId="0" fontId="3" fillId="0" borderId="3" xfId="6" applyFont="1" applyBorder="1" applyAlignment="1">
      <alignment horizontal="left" vertical="top"/>
    </xf>
    <xf numFmtId="10" fontId="18" fillId="0" borderId="3" xfId="8" applyNumberFormat="1" applyFont="1" applyFill="1" applyBorder="1" applyAlignment="1">
      <alignment vertical="top"/>
    </xf>
    <xf numFmtId="0" fontId="2" fillId="0" borderId="0" xfId="6" applyFont="1" applyAlignment="1">
      <alignment vertical="top"/>
    </xf>
    <xf numFmtId="10" fontId="27" fillId="0" borderId="0" xfId="8" applyNumberFormat="1" applyFont="1" applyFill="1" applyAlignment="1">
      <alignment vertical="top"/>
    </xf>
    <xf numFmtId="0" fontId="2" fillId="0" borderId="2" xfId="6" applyFont="1" applyBorder="1" applyAlignment="1">
      <alignment horizontal="left" vertical="top"/>
    </xf>
    <xf numFmtId="169" fontId="6" fillId="0" borderId="0" xfId="6" applyNumberFormat="1" applyFont="1" applyAlignment="1">
      <alignment vertical="top"/>
    </xf>
    <xf numFmtId="10" fontId="6" fillId="0" borderId="0" xfId="0" applyNumberFormat="1" applyFont="1"/>
    <xf numFmtId="10" fontId="2" fillId="0" borderId="0" xfId="3" applyNumberFormat="1" applyFont="1"/>
    <xf numFmtId="14" fontId="4" fillId="0" borderId="0" xfId="0" applyNumberFormat="1" applyFont="1"/>
    <xf numFmtId="14" fontId="4" fillId="0" borderId="33" xfId="0" applyNumberFormat="1" applyFont="1" applyBorder="1"/>
    <xf numFmtId="2" fontId="2" fillId="0" borderId="0" xfId="0" applyNumberFormat="1" applyFont="1"/>
    <xf numFmtId="40" fontId="2" fillId="0" borderId="0" xfId="0" applyNumberFormat="1" applyFont="1"/>
    <xf numFmtId="10" fontId="4" fillId="0" borderId="0" xfId="0" applyNumberFormat="1" applyFont="1"/>
    <xf numFmtId="167" fontId="3" fillId="0" borderId="3" xfId="3" applyNumberFormat="1" applyFont="1" applyBorder="1"/>
    <xf numFmtId="178" fontId="2" fillId="0" borderId="0" xfId="0" applyNumberFormat="1" applyFont="1"/>
    <xf numFmtId="40" fontId="6" fillId="0" borderId="0" xfId="0" applyNumberFormat="1" applyFont="1"/>
    <xf numFmtId="0" fontId="2" fillId="0" borderId="0" xfId="0" applyFont="1" applyAlignment="1">
      <alignment horizontal="right"/>
    </xf>
    <xf numFmtId="40" fontId="4" fillId="0" borderId="0" xfId="0" applyNumberFormat="1" applyFont="1" applyAlignment="1">
      <alignment horizontal="right"/>
    </xf>
    <xf numFmtId="181" fontId="4" fillId="0" borderId="0" xfId="0" applyNumberFormat="1" applyFont="1" applyAlignment="1">
      <alignment horizontal="right"/>
    </xf>
    <xf numFmtId="169" fontId="4" fillId="0" borderId="0" xfId="0" applyNumberFormat="1" applyFont="1" applyAlignment="1">
      <alignment horizontal="right"/>
    </xf>
    <xf numFmtId="182" fontId="2" fillId="0" borderId="0" xfId="0" quotePrefix="1" applyNumberFormat="1" applyFont="1" applyAlignment="1">
      <alignment horizontal="right"/>
    </xf>
    <xf numFmtId="2" fontId="2" fillId="0" borderId="0" xfId="1" applyNumberFormat="1" applyFont="1"/>
    <xf numFmtId="10" fontId="2" fillId="0" borderId="0" xfId="3" applyNumberFormat="1" applyFont="1" applyAlignment="1">
      <alignment horizontal="right"/>
    </xf>
    <xf numFmtId="2" fontId="23" fillId="0" borderId="3" xfId="0" applyNumberFormat="1" applyFont="1" applyBorder="1"/>
    <xf numFmtId="0" fontId="6" fillId="0" borderId="0" xfId="0" applyFont="1" applyAlignment="1">
      <alignment horizontal="left"/>
    </xf>
    <xf numFmtId="0" fontId="18" fillId="0" borderId="3" xfId="0" applyFont="1" applyBorder="1" applyAlignment="1">
      <alignment horizontal="left"/>
    </xf>
    <xf numFmtId="14" fontId="3" fillId="0" borderId="3" xfId="0" applyNumberFormat="1" applyFont="1" applyBorder="1"/>
    <xf numFmtId="14" fontId="4" fillId="0" borderId="0" xfId="0" applyNumberFormat="1" applyFont="1" applyAlignment="1">
      <alignment horizontal="right"/>
    </xf>
    <xf numFmtId="179" fontId="2" fillId="0" borderId="0" xfId="0" applyNumberFormat="1" applyFont="1"/>
    <xf numFmtId="183" fontId="2" fillId="0" borderId="0" xfId="0" applyNumberFormat="1" applyFont="1"/>
    <xf numFmtId="10" fontId="9" fillId="0" borderId="0" xfId="3" applyNumberFormat="1" applyFont="1" applyAlignment="1">
      <alignment horizontal="right"/>
    </xf>
    <xf numFmtId="0" fontId="9" fillId="0" borderId="0" xfId="0" applyFont="1"/>
    <xf numFmtId="0" fontId="28" fillId="0" borderId="0" xfId="6" applyFont="1" applyAlignment="1">
      <alignment horizontal="left" vertical="top" indent="1"/>
    </xf>
    <xf numFmtId="0" fontId="29" fillId="0" borderId="0" xfId="9"/>
    <xf numFmtId="0" fontId="29" fillId="0" borderId="0" xfId="9" applyAlignment="1">
      <alignment wrapText="1"/>
    </xf>
    <xf numFmtId="0" fontId="6" fillId="0" borderId="0" xfId="9" applyFont="1" applyAlignment="1">
      <alignment wrapText="1"/>
    </xf>
    <xf numFmtId="14" fontId="4" fillId="0" borderId="0" xfId="9" applyNumberFormat="1" applyFont="1" applyAlignment="1">
      <alignment wrapText="1"/>
    </xf>
    <xf numFmtId="0" fontId="4" fillId="0" borderId="0" xfId="9" applyFont="1" applyAlignment="1">
      <alignment wrapText="1"/>
    </xf>
    <xf numFmtId="10" fontId="6" fillId="0" borderId="0" xfId="9" applyNumberFormat="1" applyFont="1" applyAlignment="1">
      <alignment wrapText="1"/>
    </xf>
    <xf numFmtId="0" fontId="21" fillId="0" borderId="0" xfId="9" applyFont="1" applyAlignment="1">
      <alignment wrapText="1"/>
    </xf>
    <xf numFmtId="3" fontId="9" fillId="0" borderId="0" xfId="0" applyNumberFormat="1" applyFont="1" applyAlignment="1">
      <alignment horizontal="right"/>
    </xf>
    <xf numFmtId="0" fontId="10" fillId="0" borderId="0" xfId="0" applyFont="1" applyAlignment="1">
      <alignment horizontal="right"/>
    </xf>
    <xf numFmtId="185" fontId="2" fillId="0" borderId="0" xfId="0" applyNumberFormat="1" applyFont="1"/>
    <xf numFmtId="185" fontId="3" fillId="0" borderId="3" xfId="0" applyNumberFormat="1" applyFont="1" applyBorder="1"/>
    <xf numFmtId="1" fontId="2" fillId="0" borderId="0" xfId="0" applyNumberFormat="1" applyFont="1"/>
    <xf numFmtId="180" fontId="2" fillId="0" borderId="0" xfId="5" applyNumberFormat="1" applyFont="1" applyAlignment="1">
      <alignment vertical="center"/>
    </xf>
    <xf numFmtId="0" fontId="33" fillId="0" borderId="0" xfId="0" applyFont="1" applyAlignment="1">
      <alignment vertical="center"/>
    </xf>
    <xf numFmtId="0" fontId="18" fillId="0" borderId="0" xfId="0" applyFont="1" applyAlignment="1">
      <alignment horizontal="right" vertical="center"/>
    </xf>
    <xf numFmtId="180" fontId="33" fillId="0" borderId="0" xfId="5" applyNumberFormat="1" applyFont="1" applyBorder="1" applyAlignment="1">
      <alignment horizontal="right" vertical="center"/>
    </xf>
    <xf numFmtId="0" fontId="2" fillId="0" borderId="0" xfId="0" applyFont="1" applyAlignment="1">
      <alignment vertical="center"/>
    </xf>
    <xf numFmtId="9" fontId="2" fillId="0" borderId="0" xfId="0" applyNumberFormat="1" applyFont="1" applyAlignment="1">
      <alignment vertical="center"/>
    </xf>
    <xf numFmtId="167" fontId="2" fillId="0" borderId="0" xfId="0" applyNumberFormat="1" applyFont="1" applyAlignment="1">
      <alignment vertical="center"/>
    </xf>
    <xf numFmtId="0" fontId="34" fillId="0" borderId="0" xfId="0" applyFont="1" applyAlignment="1">
      <alignment vertical="center"/>
    </xf>
    <xf numFmtId="0" fontId="33" fillId="0" borderId="0" xfId="5" applyNumberFormat="1" applyFont="1" applyAlignment="1">
      <alignment vertical="center"/>
    </xf>
    <xf numFmtId="0" fontId="2" fillId="0" borderId="0" xfId="5" applyNumberFormat="1" applyFont="1" applyAlignment="1">
      <alignment vertical="center"/>
    </xf>
    <xf numFmtId="0" fontId="6" fillId="0" borderId="0" xfId="6" applyFont="1" applyAlignment="1">
      <alignment vertical="top"/>
    </xf>
    <xf numFmtId="180" fontId="3" fillId="0" borderId="0" xfId="5" applyNumberFormat="1" applyFont="1" applyFill="1" applyAlignment="1">
      <alignment vertical="center"/>
    </xf>
    <xf numFmtId="180" fontId="2" fillId="0" borderId="0" xfId="5" applyNumberFormat="1" applyFont="1" applyFill="1" applyAlignment="1">
      <alignment vertical="center"/>
    </xf>
    <xf numFmtId="180" fontId="33" fillId="0" borderId="0" xfId="5" applyNumberFormat="1" applyFont="1" applyFill="1" applyAlignment="1">
      <alignment vertical="center"/>
    </xf>
    <xf numFmtId="180" fontId="3" fillId="0" borderId="0" xfId="5" applyNumberFormat="1" applyFont="1" applyAlignment="1">
      <alignment vertical="center"/>
    </xf>
    <xf numFmtId="0" fontId="19" fillId="0" borderId="0" xfId="6" applyFont="1" applyAlignment="1">
      <alignment vertical="top"/>
    </xf>
    <xf numFmtId="0" fontId="18" fillId="0" borderId="0" xfId="6" applyFont="1" applyAlignment="1">
      <alignment vertical="top"/>
    </xf>
    <xf numFmtId="9" fontId="35" fillId="0" borderId="0" xfId="8" applyFont="1" applyFill="1" applyAlignment="1">
      <alignment vertical="center"/>
    </xf>
    <xf numFmtId="42" fontId="18" fillId="0" borderId="0" xfId="6" applyNumberFormat="1" applyFont="1" applyAlignment="1">
      <alignment vertical="top"/>
    </xf>
    <xf numFmtId="175" fontId="6" fillId="0" borderId="0" xfId="5" applyNumberFormat="1" applyFont="1" applyFill="1" applyAlignment="1">
      <alignment horizontal="left" vertical="center"/>
    </xf>
    <xf numFmtId="43" fontId="2" fillId="0" borderId="0" xfId="5" applyFont="1" applyFill="1" applyAlignment="1">
      <alignment vertical="center"/>
    </xf>
    <xf numFmtId="180" fontId="20" fillId="0" borderId="0" xfId="5" applyNumberFormat="1" applyFont="1" applyAlignment="1">
      <alignment vertical="center"/>
    </xf>
    <xf numFmtId="38" fontId="20" fillId="0" borderId="0" xfId="6" applyNumberFormat="1" applyFont="1" applyAlignment="1">
      <alignment vertical="top"/>
    </xf>
    <xf numFmtId="38" fontId="36" fillId="0" borderId="0" xfId="8" applyNumberFormat="1" applyFont="1" applyFill="1" applyAlignment="1">
      <alignment vertical="center"/>
    </xf>
    <xf numFmtId="38" fontId="2" fillId="0" borderId="0" xfId="5" applyNumberFormat="1" applyFont="1" applyFill="1" applyAlignment="1">
      <alignment vertical="center"/>
    </xf>
    <xf numFmtId="38" fontId="15" fillId="0" borderId="0" xfId="5" applyNumberFormat="1" applyFont="1" applyFill="1" applyAlignment="1">
      <alignment vertical="center"/>
    </xf>
    <xf numFmtId="38" fontId="2" fillId="0" borderId="0" xfId="11" applyNumberFormat="1" applyFont="1" applyFill="1" applyAlignment="1">
      <alignment vertical="center"/>
    </xf>
    <xf numFmtId="185" fontId="2" fillId="0" borderId="0" xfId="0" applyNumberFormat="1" applyFont="1" applyAlignment="1">
      <alignment vertical="center"/>
    </xf>
    <xf numFmtId="38" fontId="3" fillId="0" borderId="0" xfId="5" applyNumberFormat="1" applyFont="1" applyFill="1" applyAlignment="1">
      <alignment vertical="center"/>
    </xf>
    <xf numFmtId="10" fontId="2" fillId="0" borderId="0" xfId="12" applyNumberFormat="1" applyFont="1" applyFill="1" applyAlignment="1">
      <alignment vertical="center"/>
    </xf>
    <xf numFmtId="180" fontId="2" fillId="0" borderId="3" xfId="5" applyNumberFormat="1" applyFont="1" applyFill="1" applyBorder="1" applyAlignment="1">
      <alignment vertical="center"/>
    </xf>
    <xf numFmtId="38" fontId="2" fillId="0" borderId="3" xfId="5" applyNumberFormat="1" applyFont="1" applyFill="1" applyBorder="1" applyAlignment="1">
      <alignment vertical="center"/>
    </xf>
    <xf numFmtId="180" fontId="2" fillId="0" borderId="0" xfId="5" applyNumberFormat="1" applyFont="1" applyFill="1" applyBorder="1" applyAlignment="1">
      <alignment vertical="center"/>
    </xf>
    <xf numFmtId="38" fontId="2" fillId="0" borderId="0" xfId="5" applyNumberFormat="1" applyFont="1" applyFill="1" applyBorder="1" applyAlignment="1">
      <alignment vertical="center"/>
    </xf>
    <xf numFmtId="180" fontId="3" fillId="0" borderId="3" xfId="5" applyNumberFormat="1" applyFont="1" applyFill="1" applyBorder="1" applyAlignment="1">
      <alignment vertical="center"/>
    </xf>
    <xf numFmtId="38" fontId="3" fillId="0" borderId="3" xfId="5" applyNumberFormat="1" applyFont="1" applyFill="1" applyBorder="1" applyAlignment="1">
      <alignment vertical="center"/>
    </xf>
    <xf numFmtId="0" fontId="6" fillId="0" borderId="3" xfId="6" applyFont="1" applyBorder="1" applyAlignment="1">
      <alignment vertical="top"/>
    </xf>
    <xf numFmtId="0" fontId="18" fillId="0" borderId="3" xfId="6" applyFont="1" applyBorder="1" applyAlignment="1">
      <alignment vertical="top"/>
    </xf>
    <xf numFmtId="0" fontId="6" fillId="0" borderId="4" xfId="6" applyFont="1" applyBorder="1" applyAlignment="1">
      <alignment vertical="top"/>
    </xf>
    <xf numFmtId="38" fontId="2" fillId="0" borderId="4" xfId="5" applyNumberFormat="1" applyFont="1" applyFill="1" applyBorder="1" applyAlignment="1">
      <alignment vertical="center"/>
    </xf>
    <xf numFmtId="0" fontId="2" fillId="0" borderId="0" xfId="10" applyFont="1" applyAlignment="1">
      <alignment vertical="center"/>
    </xf>
    <xf numFmtId="0" fontId="3" fillId="0" borderId="0" xfId="10" applyFont="1" applyAlignment="1">
      <alignment vertical="center"/>
    </xf>
    <xf numFmtId="0" fontId="3" fillId="0" borderId="2" xfId="10" applyFont="1" applyBorder="1" applyAlignment="1">
      <alignment vertical="center"/>
    </xf>
    <xf numFmtId="0" fontId="2" fillId="0" borderId="2" xfId="10" applyFont="1" applyBorder="1" applyAlignment="1">
      <alignment vertical="center"/>
    </xf>
    <xf numFmtId="0" fontId="37" fillId="0" borderId="0" xfId="10" applyFont="1" applyAlignment="1">
      <alignment vertical="center"/>
    </xf>
    <xf numFmtId="0" fontId="3" fillId="0" borderId="2" xfId="10" applyFont="1" applyBorder="1" applyAlignment="1">
      <alignment horizontal="right" vertical="center"/>
    </xf>
    <xf numFmtId="0" fontId="38" fillId="0" borderId="0" xfId="10" applyFont="1" applyAlignment="1">
      <alignment horizontal="right" vertical="center"/>
    </xf>
    <xf numFmtId="14" fontId="4" fillId="0" borderId="0" xfId="10" applyNumberFormat="1" applyFont="1" applyAlignment="1">
      <alignment vertical="center"/>
    </xf>
    <xf numFmtId="180" fontId="4" fillId="0" borderId="0" xfId="11" applyNumberFormat="1" applyFont="1" applyAlignment="1">
      <alignment vertical="center"/>
    </xf>
    <xf numFmtId="43" fontId="2" fillId="0" borderId="0" xfId="10" applyNumberFormat="1" applyFont="1" applyAlignment="1">
      <alignment vertical="center"/>
    </xf>
    <xf numFmtId="43" fontId="37" fillId="0" borderId="0" xfId="10" applyNumberFormat="1" applyFont="1" applyAlignment="1">
      <alignment vertical="center"/>
    </xf>
    <xf numFmtId="180" fontId="4" fillId="0" borderId="0" xfId="11" applyNumberFormat="1" applyFont="1" applyBorder="1" applyAlignment="1">
      <alignment vertical="center"/>
    </xf>
    <xf numFmtId="14" fontId="4" fillId="0" borderId="2" xfId="10" applyNumberFormat="1" applyFont="1" applyBorder="1" applyAlignment="1">
      <alignment vertical="center"/>
    </xf>
    <xf numFmtId="180" fontId="4" fillId="0" borderId="2" xfId="11" applyNumberFormat="1" applyFont="1" applyBorder="1" applyAlignment="1">
      <alignment vertical="center"/>
    </xf>
    <xf numFmtId="184" fontId="4" fillId="0" borderId="0" xfId="11" applyNumberFormat="1" applyFont="1" applyFill="1" applyAlignment="1">
      <alignment vertical="center"/>
    </xf>
    <xf numFmtId="180" fontId="2" fillId="0" borderId="0" xfId="11" applyNumberFormat="1" applyFont="1" applyFill="1" applyAlignment="1">
      <alignment vertical="center"/>
    </xf>
    <xf numFmtId="0" fontId="3" fillId="0" borderId="4" xfId="10" applyFont="1" applyBorder="1" applyAlignment="1">
      <alignment vertical="center"/>
    </xf>
    <xf numFmtId="180" fontId="3" fillId="0" borderId="4" xfId="10" applyNumberFormat="1" applyFont="1" applyBorder="1" applyAlignment="1">
      <alignment vertical="center"/>
    </xf>
    <xf numFmtId="43" fontId="3" fillId="0" borderId="4" xfId="1" applyFont="1" applyBorder="1"/>
    <xf numFmtId="14" fontId="15" fillId="0" borderId="0" xfId="1" applyNumberFormat="1" applyFont="1" applyBorder="1"/>
    <xf numFmtId="14" fontId="15" fillId="0" borderId="0" xfId="1" applyNumberFormat="1" applyFont="1" applyFill="1" applyBorder="1"/>
    <xf numFmtId="0" fontId="39" fillId="0" borderId="0" xfId="6" applyFont="1" applyAlignment="1">
      <alignment horizontal="left" vertical="top"/>
    </xf>
    <xf numFmtId="10" fontId="6" fillId="0" borderId="0" xfId="8" applyNumberFormat="1" applyFont="1" applyFill="1" applyBorder="1" applyAlignment="1">
      <alignment vertical="top"/>
    </xf>
    <xf numFmtId="0" fontId="3" fillId="0" borderId="0" xfId="0" applyFont="1" applyAlignment="1">
      <alignment horizontal="left"/>
    </xf>
    <xf numFmtId="174" fontId="3" fillId="0" borderId="0" xfId="2" applyNumberFormat="1" applyFont="1" applyBorder="1"/>
    <xf numFmtId="38" fontId="3" fillId="0" borderId="0" xfId="2" applyNumberFormat="1" applyFont="1" applyBorder="1"/>
    <xf numFmtId="9" fontId="15" fillId="0" borderId="0" xfId="3" applyFont="1" applyBorder="1" applyAlignment="1">
      <alignment horizontal="left" indent="1"/>
    </xf>
    <xf numFmtId="10" fontId="2" fillId="0" borderId="0" xfId="0" applyNumberFormat="1" applyFont="1"/>
    <xf numFmtId="9" fontId="5" fillId="0" borderId="0" xfId="3" applyFont="1"/>
    <xf numFmtId="10" fontId="6" fillId="0" borderId="0" xfId="3" applyNumberFormat="1" applyFont="1"/>
    <xf numFmtId="0" fontId="40" fillId="0" borderId="0" xfId="0" applyFont="1" applyAlignment="1">
      <alignment horizontal="right"/>
    </xf>
    <xf numFmtId="0" fontId="15" fillId="0" borderId="0" xfId="0" applyFont="1" applyAlignment="1">
      <alignment horizontal="right"/>
    </xf>
    <xf numFmtId="168" fontId="3" fillId="0" borderId="4" xfId="0" applyNumberFormat="1" applyFont="1" applyBorder="1"/>
    <xf numFmtId="40" fontId="2" fillId="0" borderId="0" xfId="0" applyNumberFormat="1" applyFont="1" applyAlignment="1">
      <alignment horizontal="center"/>
    </xf>
    <xf numFmtId="0" fontId="2" fillId="0" borderId="0" xfId="0" quotePrefix="1" applyFont="1" applyAlignment="1">
      <alignment horizontal="left"/>
    </xf>
    <xf numFmtId="0" fontId="15" fillId="0" borderId="0" xfId="0" applyFont="1" applyAlignment="1">
      <alignment horizontal="left" indent="1"/>
    </xf>
    <xf numFmtId="0" fontId="15" fillId="0" borderId="0" xfId="0" applyFont="1"/>
    <xf numFmtId="0" fontId="31" fillId="0" borderId="0" xfId="6" applyFont="1" applyAlignment="1">
      <alignment vertical="center"/>
    </xf>
    <xf numFmtId="186" fontId="2" fillId="0" borderId="0" xfId="0" applyNumberFormat="1" applyFont="1"/>
    <xf numFmtId="186" fontId="6" fillId="0" borderId="0" xfId="0" applyNumberFormat="1" applyFont="1"/>
    <xf numFmtId="10" fontId="4" fillId="0" borderId="0" xfId="0" applyNumberFormat="1" applyFont="1" applyAlignment="1">
      <alignment horizontal="right"/>
    </xf>
    <xf numFmtId="4" fontId="2" fillId="0" borderId="0" xfId="0" applyNumberFormat="1" applyFont="1"/>
    <xf numFmtId="0" fontId="33" fillId="0" borderId="0" xfId="0" applyFont="1" applyAlignment="1">
      <alignment horizontal="left"/>
    </xf>
    <xf numFmtId="0" fontId="33" fillId="0" borderId="32" xfId="0" applyFont="1" applyBorder="1"/>
    <xf numFmtId="40" fontId="3" fillId="0" borderId="0" xfId="0" applyNumberFormat="1" applyFont="1"/>
    <xf numFmtId="0" fontId="43" fillId="0" borderId="0" xfId="0" applyFont="1"/>
    <xf numFmtId="40" fontId="6" fillId="0" borderId="0" xfId="0" applyNumberFormat="1" applyFont="1" applyAlignment="1">
      <alignment horizontal="right"/>
    </xf>
    <xf numFmtId="38" fontId="2" fillId="0" borderId="0" xfId="0" applyNumberFormat="1" applyFont="1" applyAlignment="1">
      <alignment horizontal="center"/>
    </xf>
    <xf numFmtId="180" fontId="33" fillId="0" borderId="0" xfId="5" applyNumberFormat="1" applyFont="1" applyAlignment="1">
      <alignment vertical="center"/>
    </xf>
    <xf numFmtId="167" fontId="22" fillId="0" borderId="12" xfId="3" applyNumberFormat="1" applyFont="1" applyBorder="1"/>
    <xf numFmtId="167" fontId="22" fillId="0" borderId="13" xfId="3" applyNumberFormat="1" applyFont="1" applyBorder="1"/>
    <xf numFmtId="167" fontId="22" fillId="0" borderId="14" xfId="3" applyNumberFormat="1" applyFont="1" applyBorder="1"/>
    <xf numFmtId="167" fontId="22" fillId="0" borderId="6" xfId="3" applyNumberFormat="1" applyFont="1" applyBorder="1"/>
    <xf numFmtId="167" fontId="22" fillId="0" borderId="7" xfId="3" applyNumberFormat="1" applyFont="1" applyBorder="1"/>
    <xf numFmtId="167" fontId="22" fillId="0" borderId="8" xfId="3" applyNumberFormat="1" applyFont="1" applyBorder="1"/>
    <xf numFmtId="9" fontId="2" fillId="0" borderId="2" xfId="3" applyFont="1" applyBorder="1"/>
    <xf numFmtId="9" fontId="22" fillId="0" borderId="12" xfId="3" applyFont="1" applyBorder="1"/>
    <xf numFmtId="9" fontId="22" fillId="0" borderId="6" xfId="3" applyFont="1" applyBorder="1"/>
    <xf numFmtId="9" fontId="22" fillId="0" borderId="7" xfId="3" applyFont="1" applyBorder="1"/>
    <xf numFmtId="9" fontId="22" fillId="0" borderId="8" xfId="3" applyFont="1" applyBorder="1"/>
    <xf numFmtId="9" fontId="3" fillId="0" borderId="3" xfId="3" applyFont="1" applyBorder="1"/>
    <xf numFmtId="38" fontId="43" fillId="0" borderId="0" xfId="0" applyNumberFormat="1" applyFont="1"/>
    <xf numFmtId="0" fontId="43" fillId="0" borderId="0" xfId="0" applyFont="1" applyAlignment="1">
      <alignment horizontal="left" indent="1"/>
    </xf>
    <xf numFmtId="0" fontId="43" fillId="0" borderId="0" xfId="0" applyFont="1" applyAlignment="1">
      <alignment horizontal="left" indent="2"/>
    </xf>
    <xf numFmtId="4" fontId="2" fillId="0" borderId="0" xfId="0" applyNumberFormat="1" applyFont="1" applyAlignment="1">
      <alignment horizontal="right"/>
    </xf>
    <xf numFmtId="3" fontId="2" fillId="0" borderId="0" xfId="0" applyNumberFormat="1" applyFont="1" applyAlignment="1">
      <alignment horizontal="right"/>
    </xf>
    <xf numFmtId="43" fontId="2" fillId="0" borderId="0" xfId="0" applyNumberFormat="1" applyFont="1"/>
    <xf numFmtId="180" fontId="6" fillId="0" borderId="0" xfId="5" applyNumberFormat="1" applyFont="1" applyAlignment="1">
      <alignment vertical="center"/>
    </xf>
    <xf numFmtId="10" fontId="6" fillId="0" borderId="0" xfId="3" applyNumberFormat="1" applyFont="1" applyAlignment="1">
      <alignment horizontal="center"/>
    </xf>
    <xf numFmtId="0" fontId="2" fillId="0" borderId="0" xfId="0" applyFont="1" applyAlignment="1">
      <alignment horizontal="left"/>
    </xf>
    <xf numFmtId="167" fontId="6" fillId="0" borderId="0" xfId="3" applyNumberFormat="1" applyFont="1"/>
    <xf numFmtId="187" fontId="6" fillId="0" borderId="0" xfId="0" applyNumberFormat="1" applyFont="1"/>
    <xf numFmtId="14" fontId="6" fillId="0" borderId="0" xfId="0" applyNumberFormat="1" applyFont="1"/>
    <xf numFmtId="9" fontId="18" fillId="0" borderId="3" xfId="3" applyFont="1" applyBorder="1"/>
    <xf numFmtId="10" fontId="6" fillId="0" borderId="37" xfId="8" applyNumberFormat="1" applyFont="1" applyFill="1" applyBorder="1" applyAlignment="1">
      <alignment vertical="top"/>
    </xf>
    <xf numFmtId="10" fontId="18" fillId="0" borderId="38" xfId="8" applyNumberFormat="1" applyFont="1" applyFill="1" applyBorder="1" applyAlignment="1">
      <alignment vertical="top"/>
    </xf>
    <xf numFmtId="10" fontId="27" fillId="0" borderId="37" xfId="8" applyNumberFormat="1" applyFont="1" applyFill="1" applyBorder="1" applyAlignment="1">
      <alignment vertical="top"/>
    </xf>
    <xf numFmtId="169" fontId="6" fillId="0" borderId="37" xfId="6" applyNumberFormat="1" applyFont="1" applyBorder="1" applyAlignment="1">
      <alignment vertical="top"/>
    </xf>
    <xf numFmtId="0" fontId="18" fillId="0" borderId="0" xfId="0" applyFont="1" applyAlignment="1">
      <alignment horizontal="left"/>
    </xf>
    <xf numFmtId="38" fontId="18" fillId="0" borderId="0" xfId="0" applyNumberFormat="1" applyFont="1"/>
    <xf numFmtId="9" fontId="18" fillId="0" borderId="0" xfId="3" applyFont="1" applyBorder="1"/>
    <xf numFmtId="164" fontId="43" fillId="0" borderId="0" xfId="0" quotePrefix="1" applyNumberFormat="1" applyFont="1"/>
    <xf numFmtId="9" fontId="19" fillId="0" borderId="0" xfId="3" applyFont="1" applyBorder="1"/>
    <xf numFmtId="9" fontId="2" fillId="0" borderId="0" xfId="0" applyNumberFormat="1" applyFont="1"/>
    <xf numFmtId="188" fontId="2" fillId="0" borderId="0" xfId="3" applyNumberFormat="1" applyFont="1"/>
    <xf numFmtId="180" fontId="2" fillId="0" borderId="0" xfId="1" applyNumberFormat="1" applyFont="1"/>
    <xf numFmtId="9" fontId="6" fillId="0" borderId="17" xfId="3" applyFont="1" applyBorder="1" applyAlignment="1">
      <alignment horizontal="right"/>
    </xf>
    <xf numFmtId="10" fontId="6" fillId="0" borderId="19" xfId="3" applyNumberFormat="1" applyFont="1" applyFill="1" applyBorder="1" applyAlignment="1">
      <alignment horizontal="right"/>
    </xf>
    <xf numFmtId="43" fontId="6" fillId="0" borderId="19" xfId="1" applyFont="1" applyBorder="1" applyAlignment="1">
      <alignment horizontal="right"/>
    </xf>
    <xf numFmtId="177" fontId="6" fillId="0" borderId="19" xfId="1" applyNumberFormat="1" applyFont="1" applyBorder="1" applyAlignment="1">
      <alignment horizontal="right"/>
    </xf>
    <xf numFmtId="167" fontId="6" fillId="0" borderId="19" xfId="3" applyNumberFormat="1" applyFont="1" applyBorder="1" applyAlignment="1">
      <alignment horizontal="right"/>
    </xf>
    <xf numFmtId="176" fontId="15" fillId="0" borderId="0" xfId="1" applyNumberFormat="1" applyFont="1" applyBorder="1"/>
    <xf numFmtId="37" fontId="20" fillId="0" borderId="0" xfId="5" applyNumberFormat="1" applyFont="1" applyAlignment="1">
      <alignment vertical="center"/>
    </xf>
    <xf numFmtId="1" fontId="20" fillId="0" borderId="0" xfId="5" applyNumberFormat="1" applyFont="1" applyAlignment="1">
      <alignment vertical="center"/>
    </xf>
    <xf numFmtId="188" fontId="4" fillId="0" borderId="0" xfId="3" applyNumberFormat="1" applyFont="1"/>
    <xf numFmtId="38" fontId="15" fillId="0" borderId="0" xfId="0" applyNumberFormat="1" applyFont="1"/>
    <xf numFmtId="188" fontId="15" fillId="0" borderId="0" xfId="3" applyNumberFormat="1" applyFont="1"/>
    <xf numFmtId="0" fontId="8" fillId="0" borderId="0" xfId="0" applyFont="1" applyAlignment="1">
      <alignment horizontal="right" vertical="center"/>
    </xf>
    <xf numFmtId="44" fontId="7" fillId="0" borderId="0" xfId="2" applyFont="1" applyBorder="1" applyAlignment="1">
      <alignment horizontal="center"/>
    </xf>
    <xf numFmtId="8" fontId="7" fillId="0" borderId="0" xfId="0" applyNumberFormat="1" applyFont="1" applyAlignment="1">
      <alignment horizontal="center"/>
    </xf>
    <xf numFmtId="0" fontId="8" fillId="0" borderId="0" xfId="0" applyFont="1" applyAlignment="1">
      <alignment horizontal="right"/>
    </xf>
    <xf numFmtId="0" fontId="40" fillId="0" borderId="41" xfId="0" applyFont="1" applyBorder="1" applyAlignment="1">
      <alignment horizontal="right"/>
    </xf>
    <xf numFmtId="0" fontId="2" fillId="0" borderId="41" xfId="0" applyFont="1" applyBorder="1"/>
    <xf numFmtId="0" fontId="40" fillId="0" borderId="42" xfId="0" applyFont="1" applyBorder="1" applyAlignment="1">
      <alignment horizontal="right"/>
    </xf>
    <xf numFmtId="0" fontId="2" fillId="0" borderId="42" xfId="0" applyFont="1" applyBorder="1"/>
    <xf numFmtId="0" fontId="31" fillId="4" borderId="0" xfId="6" applyFont="1" applyFill="1" applyAlignment="1">
      <alignment horizontal="left" vertical="top"/>
    </xf>
    <xf numFmtId="172" fontId="31" fillId="4" borderId="0" xfId="6" applyNumberFormat="1" applyFont="1" applyFill="1" applyAlignment="1">
      <alignment horizontal="right" vertical="top"/>
    </xf>
    <xf numFmtId="173" fontId="31" fillId="4" borderId="0" xfId="6" applyNumberFormat="1" applyFont="1" applyFill="1" applyAlignment="1">
      <alignment horizontal="right" vertical="top"/>
    </xf>
    <xf numFmtId="0" fontId="31" fillId="4" borderId="0" xfId="0" applyFont="1" applyFill="1"/>
    <xf numFmtId="0" fontId="31" fillId="4" borderId="0" xfId="6" applyFont="1" applyFill="1" applyAlignment="1">
      <alignment vertical="center"/>
    </xf>
    <xf numFmtId="176" fontId="31" fillId="4" borderId="0" xfId="1" applyNumberFormat="1" applyFont="1" applyFill="1" applyBorder="1"/>
    <xf numFmtId="176" fontId="32" fillId="4" borderId="0" xfId="1" applyNumberFormat="1" applyFont="1" applyFill="1" applyBorder="1"/>
    <xf numFmtId="0" fontId="32" fillId="4" borderId="0" xfId="6" applyFont="1" applyFill="1" applyAlignment="1">
      <alignment vertical="center"/>
    </xf>
    <xf numFmtId="180" fontId="32" fillId="4" borderId="0" xfId="5" applyNumberFormat="1" applyFont="1" applyFill="1" applyBorder="1" applyAlignment="1">
      <alignment vertical="center"/>
    </xf>
    <xf numFmtId="0" fontId="31" fillId="4" borderId="2" xfId="6" applyFont="1" applyFill="1" applyBorder="1" applyAlignment="1">
      <alignment vertical="center"/>
    </xf>
    <xf numFmtId="0" fontId="32" fillId="4" borderId="2" xfId="6" applyFont="1" applyFill="1" applyBorder="1" applyAlignment="1">
      <alignment vertical="center"/>
    </xf>
    <xf numFmtId="180" fontId="32" fillId="4" borderId="2" xfId="5" applyNumberFormat="1" applyFont="1" applyFill="1" applyBorder="1" applyAlignment="1">
      <alignment vertical="center"/>
    </xf>
    <xf numFmtId="0" fontId="32" fillId="4" borderId="0" xfId="0" applyFont="1" applyFill="1"/>
    <xf numFmtId="0" fontId="23" fillId="4" borderId="0" xfId="6" applyFont="1" applyFill="1" applyAlignment="1">
      <alignment vertical="center"/>
    </xf>
    <xf numFmtId="173" fontId="31" fillId="4" borderId="0" xfId="6" applyNumberFormat="1" applyFont="1" applyFill="1" applyAlignment="1">
      <alignment horizontal="left" vertical="top"/>
    </xf>
    <xf numFmtId="0" fontId="39" fillId="4" borderId="0" xfId="6" applyFont="1" applyFill="1" applyAlignment="1">
      <alignment horizontal="left" vertical="top"/>
    </xf>
    <xf numFmtId="9" fontId="3" fillId="5" borderId="2" xfId="0" applyNumberFormat="1" applyFont="1" applyFill="1" applyBorder="1"/>
    <xf numFmtId="9" fontId="3" fillId="5" borderId="0" xfId="0" applyNumberFormat="1" applyFont="1" applyFill="1"/>
    <xf numFmtId="167" fontId="3" fillId="5" borderId="2" xfId="0" applyNumberFormat="1" applyFont="1" applyFill="1" applyBorder="1"/>
    <xf numFmtId="0" fontId="3" fillId="5" borderId="0" xfId="0" applyFont="1" applyFill="1"/>
    <xf numFmtId="2" fontId="3" fillId="5" borderId="3" xfId="0" applyNumberFormat="1" applyFont="1" applyFill="1" applyBorder="1"/>
    <xf numFmtId="180" fontId="31" fillId="4" borderId="0" xfId="5" applyNumberFormat="1" applyFont="1" applyFill="1" applyAlignment="1">
      <alignment vertical="center"/>
    </xf>
    <xf numFmtId="10" fontId="3" fillId="5" borderId="0" xfId="0" applyNumberFormat="1" applyFont="1" applyFill="1" applyAlignment="1">
      <alignment horizontal="center"/>
    </xf>
    <xf numFmtId="10" fontId="3" fillId="5" borderId="37" xfId="0" applyNumberFormat="1" applyFont="1" applyFill="1" applyBorder="1" applyAlignment="1">
      <alignment horizontal="center"/>
    </xf>
    <xf numFmtId="40" fontId="2" fillId="0" borderId="37" xfId="0" applyNumberFormat="1" applyFont="1" applyBorder="1" applyAlignment="1">
      <alignment horizontal="center"/>
    </xf>
    <xf numFmtId="40" fontId="2" fillId="0" borderId="43" xfId="0" applyNumberFormat="1" applyFont="1" applyBorder="1" applyAlignment="1">
      <alignment horizontal="center"/>
    </xf>
    <xf numFmtId="38" fontId="2" fillId="0" borderId="43" xfId="0" applyNumberFormat="1" applyFont="1" applyBorder="1" applyAlignment="1">
      <alignment horizontal="center"/>
    </xf>
    <xf numFmtId="38" fontId="2" fillId="0" borderId="37" xfId="0" applyNumberFormat="1" applyFont="1" applyBorder="1" applyAlignment="1">
      <alignment horizontal="center"/>
    </xf>
    <xf numFmtId="40" fontId="39" fillId="2" borderId="44" xfId="0" applyNumberFormat="1" applyFont="1" applyFill="1" applyBorder="1" applyAlignment="1">
      <alignment horizontal="center"/>
    </xf>
    <xf numFmtId="38" fontId="39" fillId="2" borderId="44" xfId="0" applyNumberFormat="1" applyFont="1" applyFill="1" applyBorder="1" applyAlignment="1">
      <alignment horizontal="center"/>
    </xf>
    <xf numFmtId="176" fontId="3" fillId="3" borderId="23" xfId="1" applyNumberFormat="1" applyFont="1" applyFill="1" applyBorder="1"/>
    <xf numFmtId="176" fontId="3" fillId="3" borderId="24" xfId="1" applyNumberFormat="1" applyFont="1" applyFill="1" applyBorder="1"/>
    <xf numFmtId="40" fontId="3" fillId="3" borderId="25" xfId="1" applyNumberFormat="1" applyFont="1" applyFill="1" applyBorder="1" applyAlignment="1">
      <alignment horizontal="right"/>
    </xf>
    <xf numFmtId="180" fontId="33" fillId="5" borderId="0" xfId="5" applyNumberFormat="1" applyFont="1" applyFill="1" applyBorder="1" applyAlignment="1">
      <alignment horizontal="right" vertical="center"/>
    </xf>
    <xf numFmtId="38" fontId="2" fillId="5" borderId="0" xfId="11" applyNumberFormat="1" applyFont="1" applyFill="1" applyAlignment="1">
      <alignment vertical="center"/>
    </xf>
    <xf numFmtId="185" fontId="2" fillId="5" borderId="0" xfId="0" applyNumberFormat="1" applyFont="1" applyFill="1" applyAlignment="1">
      <alignment vertical="center"/>
    </xf>
    <xf numFmtId="167" fontId="2" fillId="5" borderId="0" xfId="0" applyNumberFormat="1" applyFont="1" applyFill="1" applyAlignment="1">
      <alignment vertical="center"/>
    </xf>
    <xf numFmtId="180" fontId="2" fillId="5" borderId="0" xfId="5" applyNumberFormat="1" applyFont="1" applyFill="1" applyAlignment="1">
      <alignment vertical="center"/>
    </xf>
    <xf numFmtId="185" fontId="3" fillId="5" borderId="0" xfId="8" applyNumberFormat="1" applyFont="1" applyFill="1" applyAlignment="1">
      <alignment vertical="center"/>
    </xf>
    <xf numFmtId="38" fontId="3" fillId="5" borderId="0" xfId="5" applyNumberFormat="1" applyFont="1" applyFill="1" applyAlignment="1">
      <alignment vertical="center"/>
    </xf>
    <xf numFmtId="185" fontId="2" fillId="5" borderId="0" xfId="8" applyNumberFormat="1" applyFont="1" applyFill="1" applyAlignment="1">
      <alignment vertical="center"/>
    </xf>
    <xf numFmtId="38" fontId="2" fillId="5" borderId="0" xfId="5" applyNumberFormat="1" applyFont="1" applyFill="1" applyAlignment="1">
      <alignment vertical="center"/>
    </xf>
    <xf numFmtId="185" fontId="2" fillId="5" borderId="3" xfId="8" applyNumberFormat="1" applyFont="1" applyFill="1" applyBorder="1" applyAlignment="1">
      <alignment vertical="center"/>
    </xf>
    <xf numFmtId="38" fontId="2" fillId="5" borderId="3" xfId="5" applyNumberFormat="1" applyFont="1" applyFill="1" applyBorder="1" applyAlignment="1">
      <alignment vertical="center"/>
    </xf>
    <xf numFmtId="185" fontId="2" fillId="5" borderId="0" xfId="8" applyNumberFormat="1" applyFont="1" applyFill="1" applyBorder="1" applyAlignment="1">
      <alignment vertical="center"/>
    </xf>
    <xf numFmtId="38" fontId="2" fillId="5" borderId="0" xfId="5" applyNumberFormat="1" applyFont="1" applyFill="1" applyBorder="1" applyAlignment="1">
      <alignment vertical="center"/>
    </xf>
    <xf numFmtId="185" fontId="3" fillId="5" borderId="3" xfId="8" applyNumberFormat="1" applyFont="1" applyFill="1" applyBorder="1" applyAlignment="1">
      <alignment vertical="center"/>
    </xf>
    <xf numFmtId="38" fontId="3" fillId="5" borderId="3" xfId="5" applyNumberFormat="1" applyFont="1" applyFill="1" applyBorder="1" applyAlignment="1">
      <alignment vertical="center"/>
    </xf>
    <xf numFmtId="38" fontId="18" fillId="5" borderId="0" xfId="6" applyNumberFormat="1" applyFont="1" applyFill="1" applyAlignment="1">
      <alignment vertical="top"/>
    </xf>
    <xf numFmtId="38" fontId="6" fillId="5" borderId="0" xfId="6" applyNumberFormat="1" applyFont="1" applyFill="1" applyAlignment="1">
      <alignment vertical="top"/>
    </xf>
    <xf numFmtId="38" fontId="6" fillId="5" borderId="3" xfId="6" applyNumberFormat="1" applyFont="1" applyFill="1" applyBorder="1" applyAlignment="1">
      <alignment vertical="top"/>
    </xf>
    <xf numFmtId="185" fontId="15" fillId="5" borderId="0" xfId="8" applyNumberFormat="1" applyFont="1" applyFill="1" applyAlignment="1">
      <alignment vertical="center"/>
    </xf>
    <xf numFmtId="38" fontId="15" fillId="5" borderId="0" xfId="6" applyNumberFormat="1" applyFont="1" applyFill="1" applyAlignment="1">
      <alignment vertical="top"/>
    </xf>
    <xf numFmtId="185" fontId="2" fillId="5" borderId="4" xfId="8" applyNumberFormat="1" applyFont="1" applyFill="1" applyBorder="1" applyAlignment="1">
      <alignment vertical="center"/>
    </xf>
    <xf numFmtId="38" fontId="6" fillId="5" borderId="4" xfId="6" applyNumberFormat="1" applyFont="1" applyFill="1" applyBorder="1" applyAlignment="1">
      <alignment vertical="top"/>
    </xf>
    <xf numFmtId="38" fontId="18" fillId="5" borderId="3" xfId="6" applyNumberFormat="1" applyFont="1" applyFill="1" applyBorder="1" applyAlignment="1">
      <alignment vertical="top"/>
    </xf>
    <xf numFmtId="38" fontId="2" fillId="5" borderId="0" xfId="6" applyNumberFormat="1" applyFont="1" applyFill="1" applyAlignment="1">
      <alignment vertical="top"/>
    </xf>
    <xf numFmtId="43" fontId="2" fillId="5" borderId="0" xfId="5" applyFont="1" applyFill="1" applyAlignment="1">
      <alignment vertical="center"/>
    </xf>
    <xf numFmtId="10" fontId="18" fillId="5" borderId="0" xfId="0" applyNumberFormat="1" applyFont="1" applyFill="1" applyAlignment="1">
      <alignment horizontal="center"/>
    </xf>
    <xf numFmtId="10" fontId="18" fillId="5" borderId="37" xfId="0" applyNumberFormat="1" applyFont="1" applyFill="1" applyBorder="1" applyAlignment="1">
      <alignment horizontal="center"/>
    </xf>
    <xf numFmtId="10" fontId="6" fillId="0" borderId="37" xfId="3" applyNumberFormat="1" applyFont="1" applyBorder="1" applyAlignment="1">
      <alignment horizontal="center"/>
    </xf>
    <xf numFmtId="10" fontId="3" fillId="5" borderId="43" xfId="0" applyNumberFormat="1" applyFont="1" applyFill="1" applyBorder="1" applyAlignment="1">
      <alignment horizontal="center"/>
    </xf>
    <xf numFmtId="10" fontId="6" fillId="0" borderId="43" xfId="3" applyNumberFormat="1" applyFont="1" applyBorder="1" applyAlignment="1">
      <alignment horizontal="center"/>
    </xf>
    <xf numFmtId="10" fontId="39" fillId="2" borderId="44" xfId="3" applyNumberFormat="1" applyFont="1" applyFill="1" applyBorder="1" applyAlignment="1">
      <alignment horizontal="center"/>
    </xf>
    <xf numFmtId="0" fontId="3" fillId="0" borderId="45" xfId="0" applyFont="1" applyBorder="1"/>
    <xf numFmtId="0" fontId="44" fillId="0" borderId="43" xfId="0" applyFont="1" applyBorder="1"/>
    <xf numFmtId="0" fontId="44" fillId="0" borderId="43" xfId="0" applyFont="1" applyBorder="1" applyAlignment="1">
      <alignment horizontal="right"/>
    </xf>
    <xf numFmtId="43" fontId="44" fillId="0" borderId="43" xfId="0" applyNumberFormat="1" applyFont="1" applyBorder="1"/>
    <xf numFmtId="38" fontId="44" fillId="0" borderId="43" xfId="0" applyNumberFormat="1" applyFont="1" applyBorder="1"/>
    <xf numFmtId="186" fontId="44" fillId="0" borderId="43" xfId="0" applyNumberFormat="1" applyFont="1" applyBorder="1"/>
    <xf numFmtId="186" fontId="6" fillId="0" borderId="46" xfId="0" applyNumberFormat="1" applyFont="1" applyBorder="1"/>
    <xf numFmtId="180" fontId="2" fillId="5" borderId="0" xfId="10" applyNumberFormat="1" applyFont="1" applyFill="1" applyAlignment="1">
      <alignment vertical="center"/>
    </xf>
    <xf numFmtId="43" fontId="2" fillId="5" borderId="0" xfId="10" applyNumberFormat="1" applyFont="1" applyFill="1" applyAlignment="1">
      <alignment vertical="center"/>
    </xf>
    <xf numFmtId="180" fontId="2" fillId="5" borderId="2" xfId="10" applyNumberFormat="1" applyFont="1" applyFill="1" applyBorder="1" applyAlignment="1">
      <alignment vertical="center"/>
    </xf>
    <xf numFmtId="43" fontId="2" fillId="5" borderId="2" xfId="10" applyNumberFormat="1" applyFont="1" applyFill="1" applyBorder="1" applyAlignment="1">
      <alignment vertical="center"/>
    </xf>
    <xf numFmtId="0" fontId="6" fillId="5" borderId="0" xfId="4" applyFont="1" applyFill="1"/>
    <xf numFmtId="38" fontId="4" fillId="5" borderId="0" xfId="0" applyNumberFormat="1" applyFont="1" applyFill="1"/>
    <xf numFmtId="38" fontId="6" fillId="5" borderId="0" xfId="0" applyNumberFormat="1" applyFont="1" applyFill="1"/>
    <xf numFmtId="38" fontId="2" fillId="5" borderId="4" xfId="0" applyNumberFormat="1" applyFont="1" applyFill="1" applyBorder="1"/>
    <xf numFmtId="9" fontId="19" fillId="5" borderId="0" xfId="3" applyFont="1" applyFill="1" applyBorder="1"/>
    <xf numFmtId="38" fontId="18" fillId="5" borderId="4" xfId="0" applyNumberFormat="1" applyFont="1" applyFill="1" applyBorder="1"/>
    <xf numFmtId="38" fontId="20" fillId="5" borderId="0" xfId="0" applyNumberFormat="1" applyFont="1" applyFill="1"/>
    <xf numFmtId="38" fontId="25" fillId="5" borderId="0" xfId="2" applyNumberFormat="1" applyFont="1" applyFill="1" applyBorder="1"/>
    <xf numFmtId="0" fontId="11" fillId="4" borderId="0" xfId="0" applyFont="1" applyFill="1"/>
    <xf numFmtId="0" fontId="7" fillId="0" borderId="47" xfId="0" applyFont="1" applyBorder="1"/>
    <xf numFmtId="0" fontId="7" fillId="0" borderId="48" xfId="0" applyFont="1" applyBorder="1"/>
    <xf numFmtId="167" fontId="3" fillId="5" borderId="0" xfId="3" applyNumberFormat="1" applyFont="1" applyFill="1" applyAlignment="1">
      <alignment horizontal="center"/>
    </xf>
    <xf numFmtId="167" fontId="3" fillId="5" borderId="43" xfId="3" applyNumberFormat="1" applyFont="1" applyFill="1" applyBorder="1" applyAlignment="1">
      <alignment horizontal="center"/>
    </xf>
    <xf numFmtId="0" fontId="45" fillId="0" borderId="0" xfId="0" applyFont="1"/>
    <xf numFmtId="0" fontId="46" fillId="0" borderId="0" xfId="0" applyFont="1"/>
    <xf numFmtId="0" fontId="46" fillId="0" borderId="0" xfId="0" applyFont="1" applyAlignment="1">
      <alignment horizontal="left" indent="1"/>
    </xf>
    <xf numFmtId="0" fontId="46" fillId="0" borderId="0" xfId="6" applyFont="1" applyAlignment="1">
      <alignment horizontal="left" vertical="top" indent="1"/>
    </xf>
    <xf numFmtId="0" fontId="46" fillId="0" borderId="0" xfId="0" applyFont="1" applyAlignment="1">
      <alignment horizontal="left"/>
    </xf>
    <xf numFmtId="180" fontId="45" fillId="0" borderId="0" xfId="5" applyNumberFormat="1" applyFont="1" applyAlignment="1">
      <alignment vertical="center"/>
    </xf>
    <xf numFmtId="0" fontId="47" fillId="0" borderId="0" xfId="0" applyFont="1"/>
    <xf numFmtId="0" fontId="45" fillId="0" borderId="0" xfId="6" applyFont="1" applyAlignment="1">
      <alignment horizontal="left" vertical="top"/>
    </xf>
    <xf numFmtId="0" fontId="48" fillId="0" borderId="0" xfId="0" applyFont="1"/>
    <xf numFmtId="0" fontId="45" fillId="0" borderId="0" xfId="0" applyFont="1" applyAlignment="1">
      <alignment horizontal="left" indent="1"/>
    </xf>
    <xf numFmtId="0" fontId="45" fillId="0" borderId="0" xfId="0" quotePrefix="1" applyFont="1" applyAlignment="1">
      <alignment horizontal="left" indent="1"/>
    </xf>
    <xf numFmtId="38" fontId="45" fillId="0" borderId="0" xfId="0" applyNumberFormat="1" applyFont="1"/>
    <xf numFmtId="38" fontId="2" fillId="0" borderId="4" xfId="0" applyNumberFormat="1" applyFont="1" applyBorder="1"/>
    <xf numFmtId="167" fontId="2" fillId="0" borderId="0" xfId="0" applyNumberFormat="1" applyFont="1"/>
    <xf numFmtId="167" fontId="2" fillId="0" borderId="0" xfId="3" applyNumberFormat="1" applyFont="1"/>
    <xf numFmtId="43" fontId="6" fillId="0" borderId="22" xfId="1" applyFont="1" applyBorder="1" applyAlignment="1">
      <alignment horizontal="right"/>
    </xf>
    <xf numFmtId="0" fontId="49" fillId="0" borderId="0" xfId="0" applyFont="1"/>
    <xf numFmtId="0" fontId="49" fillId="0" borderId="35" xfId="0" applyFont="1" applyBorder="1" applyAlignment="1">
      <alignment horizontal="right"/>
    </xf>
    <xf numFmtId="0" fontId="49" fillId="0" borderId="0" xfId="0" applyFont="1" applyAlignment="1">
      <alignment horizontal="right"/>
    </xf>
    <xf numFmtId="0" fontId="39" fillId="4" borderId="0" xfId="0" applyFont="1" applyFill="1" applyAlignment="1">
      <alignment horizontal="center"/>
    </xf>
    <xf numFmtId="0" fontId="39" fillId="4" borderId="0" xfId="0" applyFont="1" applyFill="1"/>
    <xf numFmtId="0" fontId="39" fillId="4" borderId="49" xfId="0" applyFont="1" applyFill="1" applyBorder="1" applyAlignment="1">
      <alignment horizontal="right"/>
    </xf>
    <xf numFmtId="9" fontId="2" fillId="0" borderId="4" xfId="3" applyFont="1" applyBorder="1"/>
    <xf numFmtId="185" fontId="3" fillId="0" borderId="0" xfId="0" applyNumberFormat="1" applyFont="1"/>
    <xf numFmtId="0" fontId="15" fillId="0" borderId="3" xfId="0" applyFont="1" applyBorder="1"/>
    <xf numFmtId="185" fontId="15" fillId="0" borderId="3" xfId="0" applyNumberFormat="1" applyFont="1" applyBorder="1"/>
    <xf numFmtId="189" fontId="4" fillId="0" borderId="0" xfId="3" applyNumberFormat="1" applyFont="1"/>
    <xf numFmtId="167" fontId="6" fillId="0" borderId="19" xfId="3" applyNumberFormat="1" applyFont="1" applyFill="1" applyBorder="1" applyAlignment="1">
      <alignment horizontal="right"/>
    </xf>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horizontal="center" vertical="top" wrapText="1"/>
    </xf>
    <xf numFmtId="190" fontId="2" fillId="0" borderId="0" xfId="0" applyNumberFormat="1" applyFont="1"/>
    <xf numFmtId="0" fontId="39" fillId="4" borderId="0" xfId="0" applyFont="1" applyFill="1" applyAlignment="1">
      <alignment horizontal="right"/>
    </xf>
    <xf numFmtId="0" fontId="50" fillId="0" borderId="0" xfId="0" applyFont="1" applyAlignment="1">
      <alignment horizontal="right"/>
    </xf>
    <xf numFmtId="38" fontId="6" fillId="0" borderId="4" xfId="0" applyNumberFormat="1" applyFont="1" applyBorder="1"/>
    <xf numFmtId="38" fontId="6" fillId="0" borderId="2" xfId="0" applyNumberFormat="1" applyFont="1" applyBorder="1"/>
    <xf numFmtId="0" fontId="51" fillId="0" borderId="0" xfId="0" applyFont="1"/>
    <xf numFmtId="38" fontId="10" fillId="0" borderId="0" xfId="0" applyNumberFormat="1" applyFont="1"/>
    <xf numFmtId="10" fontId="10" fillId="0" borderId="0" xfId="3" applyNumberFormat="1" applyFont="1"/>
    <xf numFmtId="2" fontId="10" fillId="0" borderId="0" xfId="0" applyNumberFormat="1" applyFont="1"/>
    <xf numFmtId="10" fontId="10" fillId="0" borderId="0" xfId="0" applyNumberFormat="1" applyFont="1"/>
    <xf numFmtId="3" fontId="2" fillId="0" borderId="0" xfId="0" applyNumberFormat="1" applyFont="1" applyAlignment="1">
      <alignment horizontal="right" vertical="top" wrapText="1"/>
    </xf>
    <xf numFmtId="10" fontId="3" fillId="0" borderId="3" xfId="3" applyNumberFormat="1" applyFont="1" applyBorder="1" applyAlignment="1">
      <alignment horizontal="right"/>
    </xf>
    <xf numFmtId="3" fontId="3" fillId="0" borderId="3" xfId="0" applyNumberFormat="1" applyFont="1" applyBorder="1" applyAlignment="1">
      <alignment horizontal="right"/>
    </xf>
    <xf numFmtId="10" fontId="3" fillId="0" borderId="0" xfId="3" applyNumberFormat="1" applyFont="1" applyBorder="1" applyAlignment="1">
      <alignment horizontal="right"/>
    </xf>
    <xf numFmtId="3" fontId="3" fillId="0" borderId="0" xfId="0" applyNumberFormat="1" applyFont="1" applyAlignment="1">
      <alignment horizontal="right"/>
    </xf>
    <xf numFmtId="9" fontId="3" fillId="0" borderId="3" xfId="0" applyNumberFormat="1" applyFont="1" applyBorder="1"/>
    <xf numFmtId="188" fontId="2" fillId="0" borderId="0" xfId="3" applyNumberFormat="1" applyFont="1" applyBorder="1"/>
    <xf numFmtId="188" fontId="2" fillId="0" borderId="0" xfId="0" applyNumberFormat="1" applyFont="1"/>
    <xf numFmtId="4" fontId="3" fillId="0" borderId="3" xfId="0" applyNumberFormat="1" applyFont="1" applyBorder="1" applyAlignment="1">
      <alignment horizontal="right"/>
    </xf>
    <xf numFmtId="0" fontId="2" fillId="0" borderId="0" xfId="10" applyFont="1" applyAlignment="1">
      <alignment horizontal="left" vertical="center"/>
    </xf>
    <xf numFmtId="0" fontId="2" fillId="0" borderId="0" xfId="10" quotePrefix="1" applyFont="1" applyAlignment="1">
      <alignment horizontal="left" vertical="center"/>
    </xf>
    <xf numFmtId="175" fontId="2" fillId="0" borderId="0" xfId="10" applyNumberFormat="1" applyFont="1" applyAlignme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167" fontId="4" fillId="0" borderId="0" xfId="3" applyNumberFormat="1" applyFont="1"/>
    <xf numFmtId="9" fontId="4" fillId="0" borderId="0" xfId="3" applyFont="1"/>
    <xf numFmtId="0" fontId="2" fillId="0" borderId="52" xfId="0" applyFont="1" applyBorder="1"/>
    <xf numFmtId="0" fontId="53" fillId="0" borderId="0" xfId="0" applyFont="1"/>
    <xf numFmtId="10" fontId="53" fillId="0" borderId="0" xfId="0" applyNumberFormat="1" applyFont="1" applyAlignment="1">
      <alignment horizontal="right"/>
    </xf>
    <xf numFmtId="10" fontId="4" fillId="0" borderId="0" xfId="3" applyNumberFormat="1" applyFont="1" applyAlignment="1">
      <alignment horizontal="right" vertical="top" wrapText="1"/>
    </xf>
    <xf numFmtId="0" fontId="29" fillId="0" borderId="0" xfId="0" applyFont="1" applyAlignment="1">
      <alignment vertical="top"/>
    </xf>
    <xf numFmtId="180" fontId="29" fillId="0" borderId="0" xfId="1" applyNumberFormat="1" applyFont="1" applyAlignment="1">
      <alignment vertical="top"/>
    </xf>
    <xf numFmtId="180" fontId="0" fillId="0" borderId="0" xfId="1" applyNumberFormat="1" applyFont="1" applyAlignment="1">
      <alignment vertical="top"/>
    </xf>
    <xf numFmtId="0" fontId="54" fillId="0" borderId="0" xfId="0" applyFont="1"/>
    <xf numFmtId="44" fontId="29" fillId="0" borderId="0" xfId="0" applyNumberFormat="1" applyFont="1" applyAlignment="1">
      <alignment vertical="top"/>
    </xf>
    <xf numFmtId="44" fontId="18" fillId="0" borderId="3" xfId="2" applyFont="1" applyBorder="1"/>
    <xf numFmtId="0" fontId="0" fillId="0" borderId="0" xfId="0" applyAlignment="1">
      <alignment vertical="top"/>
    </xf>
    <xf numFmtId="42" fontId="29" fillId="0" borderId="0" xfId="0" applyNumberFormat="1" applyFont="1" applyAlignment="1">
      <alignment vertical="top"/>
    </xf>
    <xf numFmtId="37" fontId="29" fillId="0" borderId="0" xfId="0" applyNumberFormat="1" applyFont="1" applyAlignment="1">
      <alignment vertical="top"/>
    </xf>
    <xf numFmtId="2" fontId="29" fillId="0" borderId="0" xfId="0" applyNumberFormat="1" applyFont="1" applyAlignment="1">
      <alignment vertical="top"/>
    </xf>
    <xf numFmtId="2" fontId="0" fillId="0" borderId="0" xfId="0" applyNumberFormat="1" applyAlignment="1">
      <alignment vertical="top"/>
    </xf>
    <xf numFmtId="43" fontId="29" fillId="0" borderId="0" xfId="0" applyNumberFormat="1" applyFont="1" applyAlignment="1">
      <alignment vertical="top"/>
    </xf>
    <xf numFmtId="180" fontId="2" fillId="0" borderId="0" xfId="0" applyNumberFormat="1" applyFont="1"/>
    <xf numFmtId="180" fontId="29" fillId="0" borderId="0" xfId="0" applyNumberFormat="1" applyFont="1" applyAlignment="1">
      <alignment vertical="top"/>
    </xf>
    <xf numFmtId="180" fontId="0" fillId="0" borderId="0" xfId="0" applyNumberFormat="1" applyAlignment="1">
      <alignment vertical="top"/>
    </xf>
    <xf numFmtId="164" fontId="3" fillId="6" borderId="0" xfId="0" quotePrefix="1" applyNumberFormat="1" applyFont="1" applyFill="1"/>
    <xf numFmtId="0" fontId="7" fillId="6" borderId="0" xfId="0" applyFont="1" applyFill="1" applyAlignment="1">
      <alignment vertical="center"/>
    </xf>
    <xf numFmtId="0" fontId="8" fillId="6" borderId="0" xfId="0" applyFont="1" applyFill="1" applyAlignment="1">
      <alignment vertical="center"/>
    </xf>
    <xf numFmtId="0" fontId="7" fillId="6" borderId="0" xfId="0" applyFont="1" applyFill="1"/>
    <xf numFmtId="0" fontId="0" fillId="6" borderId="0" xfId="0" applyFill="1"/>
    <xf numFmtId="0" fontId="2" fillId="6" borderId="0" xfId="0" applyFont="1" applyFill="1"/>
    <xf numFmtId="0" fontId="11" fillId="6" borderId="0" xfId="0" applyFont="1" applyFill="1"/>
    <xf numFmtId="164" fontId="2" fillId="6" borderId="0" xfId="0" quotePrefix="1" applyNumberFormat="1" applyFont="1" applyFill="1"/>
    <xf numFmtId="0" fontId="15" fillId="6" borderId="0" xfId="0" applyFont="1" applyFill="1"/>
    <xf numFmtId="0" fontId="9" fillId="6" borderId="0" xfId="0" applyFont="1" applyFill="1"/>
    <xf numFmtId="0" fontId="16" fillId="6" borderId="0" xfId="0" applyFont="1" applyFill="1"/>
    <xf numFmtId="0" fontId="40" fillId="6" borderId="0" xfId="0" applyFont="1" applyFill="1"/>
    <xf numFmtId="0" fontId="52" fillId="6" borderId="2" xfId="0" applyFont="1" applyFill="1" applyBorder="1"/>
    <xf numFmtId="0" fontId="31" fillId="6" borderId="0" xfId="0" applyFont="1" applyFill="1"/>
    <xf numFmtId="180" fontId="31" fillId="6" borderId="0" xfId="0" applyNumberFormat="1" applyFont="1" applyFill="1"/>
    <xf numFmtId="0" fontId="33" fillId="6" borderId="2" xfId="0" applyFont="1" applyFill="1" applyBorder="1"/>
    <xf numFmtId="172" fontId="33" fillId="6" borderId="2" xfId="0" applyNumberFormat="1" applyFont="1" applyFill="1" applyBorder="1"/>
    <xf numFmtId="40" fontId="2" fillId="6" borderId="0" xfId="0" applyNumberFormat="1" applyFont="1" applyFill="1"/>
    <xf numFmtId="188" fontId="2" fillId="6" borderId="0" xfId="3" applyNumberFormat="1" applyFont="1" applyFill="1" applyBorder="1"/>
    <xf numFmtId="0" fontId="33" fillId="6" borderId="0" xfId="0" applyFont="1" applyFill="1"/>
    <xf numFmtId="0" fontId="41" fillId="6" borderId="0" xfId="0" applyFont="1" applyFill="1" applyAlignment="1">
      <alignment horizontal="centerContinuous" vertical="center"/>
    </xf>
    <xf numFmtId="0" fontId="42" fillId="6" borderId="0" xfId="0" applyFont="1" applyFill="1" applyAlignment="1">
      <alignment horizontal="centerContinuous" vertical="center"/>
    </xf>
    <xf numFmtId="0" fontId="41" fillId="6" borderId="3" xfId="0" applyFont="1" applyFill="1" applyBorder="1" applyAlignment="1">
      <alignment horizontal="right" vertical="center"/>
    </xf>
    <xf numFmtId="0" fontId="41" fillId="6" borderId="0" xfId="0" applyFont="1" applyFill="1" applyAlignment="1">
      <alignment horizontal="right" vertical="center"/>
    </xf>
    <xf numFmtId="164" fontId="3" fillId="6" borderId="3" xfId="0" quotePrefix="1" applyNumberFormat="1" applyFont="1" applyFill="1" applyBorder="1"/>
    <xf numFmtId="0" fontId="3" fillId="6" borderId="3" xfId="0" applyFont="1" applyFill="1" applyBorder="1"/>
    <xf numFmtId="40" fontId="3" fillId="6" borderId="3" xfId="0" applyNumberFormat="1" applyFont="1" applyFill="1" applyBorder="1"/>
    <xf numFmtId="38" fontId="3" fillId="6" borderId="3" xfId="0" applyNumberFormat="1" applyFont="1" applyFill="1" applyBorder="1"/>
    <xf numFmtId="0" fontId="3" fillId="6" borderId="0" xfId="0" applyFont="1" applyFill="1"/>
    <xf numFmtId="40" fontId="3" fillId="6" borderId="0" xfId="0" applyNumberFormat="1" applyFont="1" applyFill="1"/>
    <xf numFmtId="38" fontId="3" fillId="6" borderId="0" xfId="0" applyNumberFormat="1" applyFont="1" applyFill="1"/>
    <xf numFmtId="0" fontId="3" fillId="6" borderId="2" xfId="0" applyFont="1" applyFill="1" applyBorder="1"/>
    <xf numFmtId="0" fontId="45" fillId="6" borderId="0" xfId="0" applyFont="1" applyFill="1"/>
    <xf numFmtId="171" fontId="33" fillId="6" borderId="2" xfId="0" applyNumberFormat="1" applyFont="1" applyFill="1" applyBorder="1" applyAlignment="1">
      <alignment horizontal="center"/>
    </xf>
    <xf numFmtId="170" fontId="33" fillId="6" borderId="2" xfId="0" applyNumberFormat="1" applyFont="1" applyFill="1" applyBorder="1"/>
    <xf numFmtId="176" fontId="23" fillId="6" borderId="0" xfId="1" applyNumberFormat="1" applyFont="1" applyFill="1" applyBorder="1"/>
    <xf numFmtId="176" fontId="18" fillId="6" borderId="0" xfId="1" applyNumberFormat="1" applyFont="1" applyFill="1" applyBorder="1"/>
    <xf numFmtId="176" fontId="23" fillId="6" borderId="2" xfId="1" applyNumberFormat="1" applyFont="1" applyFill="1" applyBorder="1"/>
    <xf numFmtId="176" fontId="6" fillId="6" borderId="2" xfId="1" applyNumberFormat="1" applyFont="1" applyFill="1" applyBorder="1"/>
    <xf numFmtId="176" fontId="18" fillId="6" borderId="2" xfId="1" applyNumberFormat="1" applyFont="1" applyFill="1" applyBorder="1"/>
    <xf numFmtId="0" fontId="2" fillId="6" borderId="34" xfId="0" applyFont="1" applyFill="1" applyBorder="1"/>
    <xf numFmtId="0" fontId="3" fillId="6" borderId="0" xfId="0" applyFont="1" applyFill="1" applyAlignment="1">
      <alignment horizontal="center"/>
    </xf>
    <xf numFmtId="0" fontId="3" fillId="6" borderId="3" xfId="0" applyFont="1" applyFill="1" applyBorder="1" applyAlignment="1">
      <alignment horizontal="left" indent="1"/>
    </xf>
    <xf numFmtId="40" fontId="3" fillId="6" borderId="3" xfId="0" applyNumberFormat="1" applyFont="1" applyFill="1" applyBorder="1" applyAlignment="1">
      <alignment horizontal="center"/>
    </xf>
    <xf numFmtId="0" fontId="2" fillId="6" borderId="3" xfId="0" applyFont="1" applyFill="1" applyBorder="1"/>
    <xf numFmtId="0" fontId="3" fillId="6" borderId="0" xfId="0" applyFont="1" applyFill="1" applyAlignment="1">
      <alignment horizontal="left" indent="1"/>
    </xf>
    <xf numFmtId="40" fontId="3" fillId="6" borderId="0" xfId="0" applyNumberFormat="1" applyFont="1" applyFill="1" applyAlignment="1">
      <alignment horizontal="center"/>
    </xf>
    <xf numFmtId="38" fontId="3" fillId="6" borderId="3" xfId="0" applyNumberFormat="1" applyFont="1" applyFill="1" applyBorder="1" applyAlignment="1">
      <alignment horizontal="center"/>
    </xf>
    <xf numFmtId="38" fontId="3" fillId="6" borderId="0" xfId="0" applyNumberFormat="1" applyFont="1" applyFill="1" applyAlignment="1">
      <alignment horizontal="center"/>
    </xf>
    <xf numFmtId="0" fontId="2" fillId="6" borderId="2" xfId="0" applyFont="1" applyFill="1" applyBorder="1"/>
    <xf numFmtId="171" fontId="33" fillId="6" borderId="2" xfId="0" applyNumberFormat="1" applyFont="1" applyFill="1" applyBorder="1"/>
    <xf numFmtId="0" fontId="3" fillId="6" borderId="2" xfId="0" applyFont="1" applyFill="1" applyBorder="1" applyAlignment="1">
      <alignment horizontal="right"/>
    </xf>
    <xf numFmtId="167" fontId="3" fillId="6" borderId="3" xfId="0" applyNumberFormat="1" applyFont="1" applyFill="1" applyBorder="1"/>
    <xf numFmtId="0" fontId="33" fillId="6" borderId="2" xfId="0" applyFont="1" applyFill="1" applyBorder="1" applyAlignment="1">
      <alignment vertical="center"/>
    </xf>
    <xf numFmtId="0" fontId="18" fillId="6" borderId="2" xfId="0" applyFont="1" applyFill="1" applyBorder="1" applyAlignment="1">
      <alignment horizontal="right" vertical="center"/>
    </xf>
    <xf numFmtId="180" fontId="33" fillId="6" borderId="2" xfId="5" applyNumberFormat="1" applyFont="1" applyFill="1" applyBorder="1" applyAlignment="1">
      <alignment horizontal="right" vertical="center"/>
    </xf>
    <xf numFmtId="170" fontId="33" fillId="6" borderId="2" xfId="5" applyNumberFormat="1" applyFont="1" applyFill="1" applyBorder="1" applyAlignment="1">
      <alignment horizontal="right" vertical="center"/>
    </xf>
    <xf numFmtId="0" fontId="43" fillId="6" borderId="0" xfId="0" applyFont="1" applyFill="1"/>
    <xf numFmtId="0" fontId="23" fillId="6" borderId="2" xfId="6" applyFont="1" applyFill="1" applyBorder="1"/>
    <xf numFmtId="0" fontId="18" fillId="6" borderId="2" xfId="6" applyFont="1" applyFill="1" applyBorder="1" applyAlignment="1">
      <alignment horizontal="right"/>
    </xf>
    <xf numFmtId="0" fontId="6" fillId="6" borderId="36" xfId="0" applyFont="1" applyFill="1" applyBorder="1"/>
    <xf numFmtId="0" fontId="18" fillId="6" borderId="23" xfId="6" applyFont="1" applyFill="1" applyBorder="1" applyAlignment="1">
      <alignment horizontal="left" vertical="top"/>
    </xf>
    <xf numFmtId="10" fontId="18" fillId="6" borderId="24" xfId="3" applyNumberFormat="1" applyFont="1" applyFill="1" applyBorder="1" applyAlignment="1">
      <alignment horizontal="right" vertical="top"/>
    </xf>
    <xf numFmtId="10" fontId="18" fillId="6" borderId="39" xfId="3" applyNumberFormat="1" applyFont="1" applyFill="1" applyBorder="1" applyAlignment="1">
      <alignment horizontal="right" vertical="top"/>
    </xf>
    <xf numFmtId="10" fontId="18" fillId="6" borderId="40" xfId="3" applyNumberFormat="1" applyFont="1" applyFill="1" applyBorder="1" applyAlignment="1">
      <alignment horizontal="right" vertical="top"/>
    </xf>
    <xf numFmtId="0" fontId="39" fillId="6" borderId="0" xfId="6" applyFont="1" applyFill="1" applyAlignment="1">
      <alignment horizontal="left" vertical="top"/>
    </xf>
    <xf numFmtId="0" fontId="32" fillId="6" borderId="0" xfId="0" applyFont="1" applyFill="1"/>
    <xf numFmtId="171" fontId="33" fillId="6" borderId="2" xfId="0" applyNumberFormat="1" applyFont="1" applyFill="1" applyBorder="1" applyAlignment="1">
      <alignment horizontal="right"/>
    </xf>
    <xf numFmtId="0" fontId="33" fillId="6" borderId="2" xfId="0" applyFont="1" applyFill="1" applyBorder="1" applyAlignment="1">
      <alignment horizontal="right"/>
    </xf>
    <xf numFmtId="0" fontId="3" fillId="6" borderId="23" xfId="0" applyFont="1" applyFill="1" applyBorder="1"/>
    <xf numFmtId="0" fontId="3" fillId="6" borderId="24" xfId="0" applyFont="1" applyFill="1" applyBorder="1"/>
    <xf numFmtId="10" fontId="3" fillId="6" borderId="25" xfId="3" applyNumberFormat="1" applyFont="1" applyFill="1" applyBorder="1"/>
    <xf numFmtId="10" fontId="18" fillId="6" borderId="3" xfId="3" applyNumberFormat="1" applyFont="1" applyFill="1" applyBorder="1" applyAlignment="1">
      <alignment horizontal="center"/>
    </xf>
    <xf numFmtId="0" fontId="18" fillId="6" borderId="3" xfId="0" applyFont="1" applyFill="1" applyBorder="1"/>
    <xf numFmtId="0" fontId="6" fillId="6" borderId="3" xfId="0" applyFont="1" applyFill="1" applyBorder="1"/>
    <xf numFmtId="0" fontId="18" fillId="6" borderId="3" xfId="0" applyFont="1" applyFill="1" applyBorder="1" applyAlignment="1">
      <alignment horizontal="left" indent="1"/>
    </xf>
    <xf numFmtId="10" fontId="18" fillId="6" borderId="0" xfId="3" applyNumberFormat="1" applyFont="1" applyFill="1" applyAlignment="1">
      <alignment horizontal="center"/>
    </xf>
    <xf numFmtId="0" fontId="18" fillId="6" borderId="0" xfId="0" applyFont="1" applyFill="1"/>
    <xf numFmtId="0" fontId="6" fillId="6" borderId="0" xfId="0" applyFont="1" applyFill="1"/>
    <xf numFmtId="0" fontId="18" fillId="6" borderId="0" xfId="0" applyFont="1" applyFill="1" applyAlignment="1">
      <alignment horizontal="left" indent="1"/>
    </xf>
    <xf numFmtId="171" fontId="33" fillId="6" borderId="2" xfId="0" applyNumberFormat="1" applyFont="1" applyFill="1" applyBorder="1" applyAlignment="1">
      <alignment horizontal="left"/>
    </xf>
    <xf numFmtId="171" fontId="23" fillId="6" borderId="2" xfId="0" applyNumberFormat="1" applyFont="1" applyFill="1" applyBorder="1" applyAlignment="1">
      <alignment horizontal="right"/>
    </xf>
    <xf numFmtId="0" fontId="23" fillId="6" borderId="2" xfId="0" applyFont="1" applyFill="1" applyBorder="1" applyAlignment="1">
      <alignment horizontal="right"/>
    </xf>
    <xf numFmtId="187" fontId="18" fillId="6" borderId="3" xfId="0" applyNumberFormat="1" applyFont="1" applyFill="1" applyBorder="1"/>
    <xf numFmtId="10" fontId="18" fillId="6" borderId="3" xfId="3" applyNumberFormat="1" applyFont="1" applyFill="1" applyBorder="1"/>
    <xf numFmtId="167" fontId="18" fillId="6" borderId="3" xfId="3" applyNumberFormat="1" applyFont="1" applyFill="1" applyBorder="1"/>
    <xf numFmtId="187" fontId="18" fillId="6" borderId="0" xfId="0" applyNumberFormat="1" applyFont="1" applyFill="1"/>
    <xf numFmtId="10" fontId="18" fillId="6" borderId="0" xfId="3" applyNumberFormat="1" applyFont="1" applyFill="1"/>
    <xf numFmtId="167" fontId="18" fillId="6" borderId="0" xfId="3" applyNumberFormat="1" applyFont="1" applyFill="1"/>
    <xf numFmtId="0" fontId="14" fillId="6" borderId="0" xfId="0" applyFont="1" applyFill="1"/>
    <xf numFmtId="164" fontId="32" fillId="6" borderId="0" xfId="0" quotePrefix="1" applyNumberFormat="1" applyFont="1" applyFill="1"/>
    <xf numFmtId="14" fontId="33" fillId="6" borderId="2" xfId="0" applyNumberFormat="1" applyFont="1" applyFill="1" applyBorder="1" applyAlignment="1">
      <alignment horizontal="right"/>
    </xf>
    <xf numFmtId="164" fontId="3" fillId="6" borderId="2" xfId="0" quotePrefix="1" applyNumberFormat="1" applyFont="1" applyFill="1" applyBorder="1" applyAlignment="1">
      <alignment horizontal="right"/>
    </xf>
    <xf numFmtId="14" fontId="33" fillId="6" borderId="2" xfId="0" applyNumberFormat="1" applyFont="1" applyFill="1" applyBorder="1"/>
    <xf numFmtId="14" fontId="3" fillId="6" borderId="2" xfId="0" applyNumberFormat="1" applyFont="1" applyFill="1" applyBorder="1"/>
    <xf numFmtId="183" fontId="3" fillId="6" borderId="25" xfId="0" applyNumberFormat="1" applyFont="1" applyFill="1" applyBorder="1"/>
    <xf numFmtId="0" fontId="41" fillId="6" borderId="2" xfId="0" applyFont="1" applyFill="1" applyBorder="1" applyAlignment="1">
      <alignment horizontal="right" vertical="center"/>
    </xf>
    <xf numFmtId="40" fontId="3" fillId="6" borderId="24" xfId="0" applyNumberFormat="1" applyFont="1" applyFill="1" applyBorder="1"/>
    <xf numFmtId="40" fontId="3" fillId="6" borderId="25" xfId="0" applyNumberFormat="1" applyFont="1" applyFill="1" applyBorder="1"/>
    <xf numFmtId="0" fontId="33" fillId="6" borderId="2" xfId="0" applyFont="1" applyFill="1" applyBorder="1" applyAlignment="1">
      <alignment horizontal="center"/>
    </xf>
    <xf numFmtId="0" fontId="41" fillId="6" borderId="4" xfId="0" applyFont="1" applyFill="1" applyBorder="1" applyAlignment="1">
      <alignment horizontal="right" vertical="center"/>
    </xf>
    <xf numFmtId="40" fontId="3" fillId="6" borderId="3" xfId="0" applyNumberFormat="1" applyFont="1" applyFill="1" applyBorder="1" applyAlignment="1">
      <alignment horizontal="right"/>
    </xf>
    <xf numFmtId="186" fontId="3" fillId="6" borderId="3" xfId="0" applyNumberFormat="1" applyFont="1" applyFill="1" applyBorder="1"/>
    <xf numFmtId="40" fontId="3" fillId="6" borderId="0" xfId="0" applyNumberFormat="1" applyFont="1" applyFill="1" applyAlignment="1">
      <alignment horizontal="right"/>
    </xf>
    <xf numFmtId="186" fontId="3" fillId="6" borderId="0" xfId="0" applyNumberFormat="1" applyFont="1" applyFill="1"/>
    <xf numFmtId="164" fontId="33" fillId="6" borderId="2" xfId="0" quotePrefix="1" applyNumberFormat="1" applyFont="1" applyFill="1" applyBorder="1"/>
    <xf numFmtId="172" fontId="3" fillId="6" borderId="2" xfId="0" applyNumberFormat="1" applyFont="1" applyFill="1" applyBorder="1"/>
    <xf numFmtId="173" fontId="3" fillId="6" borderId="2" xfId="0" applyNumberFormat="1" applyFont="1" applyFill="1" applyBorder="1"/>
    <xf numFmtId="164" fontId="2" fillId="6" borderId="3" xfId="0" quotePrefix="1" applyNumberFormat="1" applyFont="1" applyFill="1" applyBorder="1"/>
    <xf numFmtId="38" fontId="17" fillId="6" borderId="3" xfId="0" applyNumberFormat="1" applyFont="1" applyFill="1" applyBorder="1"/>
    <xf numFmtId="38" fontId="17" fillId="6" borderId="0" xfId="0" applyNumberFormat="1" applyFont="1" applyFill="1"/>
    <xf numFmtId="180" fontId="3" fillId="6" borderId="0" xfId="11" applyNumberFormat="1" applyFont="1" applyFill="1" applyBorder="1" applyAlignment="1">
      <alignment vertical="center"/>
    </xf>
    <xf numFmtId="0" fontId="3" fillId="6" borderId="0" xfId="10" applyFont="1" applyFill="1" applyAlignment="1">
      <alignment vertical="center"/>
    </xf>
    <xf numFmtId="180" fontId="3" fillId="6" borderId="0" xfId="10" applyNumberFormat="1" applyFont="1" applyFill="1" applyAlignment="1">
      <alignment vertical="center"/>
    </xf>
    <xf numFmtId="164" fontId="3" fillId="6" borderId="2" xfId="0" quotePrefix="1" applyNumberFormat="1" applyFont="1" applyFill="1" applyBorder="1"/>
    <xf numFmtId="173" fontId="33" fillId="6" borderId="2" xfId="0" applyNumberFormat="1" applyFont="1" applyFill="1" applyBorder="1"/>
    <xf numFmtId="173" fontId="33" fillId="6" borderId="2" xfId="0" quotePrefix="1" applyNumberFormat="1" applyFont="1" applyFill="1" applyBorder="1"/>
    <xf numFmtId="38" fontId="3" fillId="6" borderId="24" xfId="0" applyNumberFormat="1" applyFont="1" applyFill="1" applyBorder="1"/>
    <xf numFmtId="10" fontId="3" fillId="6" borderId="0" xfId="3" applyNumberFormat="1" applyFont="1" applyFill="1" applyBorder="1"/>
    <xf numFmtId="2" fontId="3" fillId="6" borderId="25" xfId="0" applyNumberFormat="1" applyFont="1" applyFill="1" applyBorder="1"/>
    <xf numFmtId="0" fontId="18" fillId="6" borderId="23" xfId="9" applyFont="1" applyFill="1" applyBorder="1" applyAlignment="1">
      <alignment wrapText="1"/>
    </xf>
    <xf numFmtId="10" fontId="18" fillId="6" borderId="25" xfId="9" applyNumberFormat="1" applyFont="1" applyFill="1" applyBorder="1" applyAlignment="1">
      <alignment wrapText="1"/>
    </xf>
    <xf numFmtId="0" fontId="23" fillId="6" borderId="2" xfId="9" applyFont="1" applyFill="1" applyBorder="1" applyAlignment="1">
      <alignment horizontal="right"/>
    </xf>
    <xf numFmtId="0" fontId="33" fillId="6" borderId="2" xfId="0" applyFont="1" applyFill="1" applyBorder="1" applyAlignment="1">
      <alignment horizontal="left"/>
    </xf>
    <xf numFmtId="0" fontId="2" fillId="6" borderId="0" xfId="0" applyFont="1" applyFill="1" applyAlignment="1">
      <alignment vertical="top" wrapText="1"/>
    </xf>
    <xf numFmtId="0" fontId="2" fillId="6" borderId="0" xfId="0" applyFont="1" applyFill="1" applyAlignment="1">
      <alignment horizontal="center" vertical="top" wrapText="1"/>
    </xf>
    <xf numFmtId="0" fontId="2" fillId="6" borderId="0" xfId="0" applyFont="1" applyFill="1" applyAlignment="1">
      <alignment vertical="center" wrapText="1"/>
    </xf>
    <xf numFmtId="0" fontId="2" fillId="6" borderId="0" xfId="0" applyFont="1" applyFill="1" applyAlignment="1">
      <alignment horizontal="center" vertical="center" wrapText="1"/>
    </xf>
    <xf numFmtId="10" fontId="4" fillId="6" borderId="0" xfId="3" applyNumberFormat="1" applyFont="1" applyFill="1" applyAlignment="1">
      <alignment horizontal="right" vertical="top" wrapText="1"/>
    </xf>
    <xf numFmtId="3" fontId="2" fillId="6" borderId="0" xfId="0" applyNumberFormat="1" applyFont="1" applyFill="1" applyAlignment="1">
      <alignment horizontal="right" vertical="top" wrapText="1"/>
    </xf>
    <xf numFmtId="10" fontId="2" fillId="6" borderId="0" xfId="0" applyNumberFormat="1" applyFont="1" applyFill="1"/>
    <xf numFmtId="4" fontId="2" fillId="6" borderId="0" xfId="0" applyNumberFormat="1" applyFont="1" applyFill="1" applyAlignment="1">
      <alignment horizontal="right" vertical="top" wrapText="1"/>
    </xf>
    <xf numFmtId="180" fontId="55" fillId="7" borderId="2" xfId="0" applyNumberFormat="1" applyFont="1" applyFill="1" applyBorder="1" applyAlignment="1">
      <alignment horizontal="right" vertical="center"/>
    </xf>
    <xf numFmtId="170" fontId="55" fillId="7" borderId="2" xfId="0" applyNumberFormat="1" applyFont="1" applyFill="1" applyBorder="1" applyAlignment="1">
      <alignment horizontal="right" vertical="center"/>
    </xf>
    <xf numFmtId="38" fontId="3" fillId="5" borderId="0" xfId="5" applyNumberFormat="1" applyFont="1" applyFill="1" applyBorder="1" applyAlignment="1">
      <alignment vertical="center"/>
    </xf>
    <xf numFmtId="38" fontId="3" fillId="0" borderId="0" xfId="5" applyNumberFormat="1" applyFont="1" applyFill="1" applyBorder="1" applyAlignment="1">
      <alignment vertical="center"/>
    </xf>
    <xf numFmtId="185" fontId="2" fillId="5" borderId="2" xfId="8" applyNumberFormat="1" applyFont="1" applyFill="1" applyBorder="1" applyAlignment="1">
      <alignment vertical="center"/>
    </xf>
    <xf numFmtId="38" fontId="56" fillId="0" borderId="2" xfId="5" applyNumberFormat="1" applyFont="1" applyFill="1" applyBorder="1" applyAlignment="1">
      <alignment vertical="center"/>
    </xf>
    <xf numFmtId="180" fontId="2" fillId="0" borderId="2" xfId="5" applyNumberFormat="1" applyFont="1" applyFill="1" applyBorder="1" applyAlignment="1">
      <alignment vertical="center"/>
    </xf>
    <xf numFmtId="179" fontId="2" fillId="5" borderId="0" xfId="8" applyNumberFormat="1" applyFont="1" applyFill="1" applyAlignment="1">
      <alignment vertical="center"/>
    </xf>
    <xf numFmtId="38" fontId="2" fillId="5" borderId="2" xfId="5" applyNumberFormat="1" applyFont="1" applyFill="1" applyBorder="1" applyAlignment="1">
      <alignment vertical="center"/>
    </xf>
    <xf numFmtId="9" fontId="2" fillId="5" borderId="0" xfId="3" applyFont="1" applyFill="1" applyAlignment="1">
      <alignment vertical="center"/>
    </xf>
    <xf numFmtId="167" fontId="3" fillId="5" borderId="3" xfId="3" applyNumberFormat="1" applyFont="1" applyFill="1" applyBorder="1"/>
    <xf numFmtId="167" fontId="2" fillId="0" borderId="2" xfId="3" applyNumberFormat="1" applyFont="1" applyBorder="1"/>
    <xf numFmtId="167" fontId="22" fillId="0" borderId="10" xfId="3" applyNumberFormat="1" applyFont="1" applyBorder="1"/>
    <xf numFmtId="167" fontId="22" fillId="0" borderId="9" xfId="3" applyNumberFormat="1" applyFont="1" applyBorder="1"/>
    <xf numFmtId="167" fontId="22" fillId="0" borderId="11" xfId="3" applyNumberFormat="1" applyFont="1" applyBorder="1"/>
    <xf numFmtId="191" fontId="3" fillId="5" borderId="2" xfId="0" applyNumberFormat="1" applyFont="1" applyFill="1" applyBorder="1"/>
    <xf numFmtId="1" fontId="3" fillId="5" borderId="2" xfId="0" applyNumberFormat="1" applyFont="1" applyFill="1" applyBorder="1"/>
    <xf numFmtId="1" fontId="2" fillId="0" borderId="2" xfId="0" applyNumberFormat="1" applyFont="1" applyBorder="1"/>
    <xf numFmtId="1" fontId="3" fillId="5" borderId="0" xfId="0" applyNumberFormat="1" applyFont="1" applyFill="1"/>
    <xf numFmtId="1" fontId="22" fillId="0" borderId="12" xfId="0" applyNumberFormat="1" applyFont="1" applyBorder="1"/>
    <xf numFmtId="1" fontId="22" fillId="0" borderId="13" xfId="0" applyNumberFormat="1" applyFont="1" applyBorder="1"/>
    <xf numFmtId="1" fontId="22" fillId="0" borderId="6" xfId="0" applyNumberFormat="1" applyFont="1" applyBorder="1"/>
    <xf numFmtId="1" fontId="22" fillId="0" borderId="7" xfId="0" applyNumberFormat="1" applyFont="1" applyBorder="1"/>
    <xf numFmtId="1" fontId="22" fillId="0" borderId="8" xfId="0" applyNumberFormat="1" applyFont="1" applyBorder="1"/>
    <xf numFmtId="1" fontId="22" fillId="0" borderId="14" xfId="0" applyNumberFormat="1" applyFont="1" applyBorder="1"/>
    <xf numFmtId="1" fontId="22" fillId="0" borderId="10" xfId="0" applyNumberFormat="1" applyFont="1" applyBorder="1"/>
    <xf numFmtId="1" fontId="22" fillId="0" borderId="9" xfId="0" applyNumberFormat="1" applyFont="1" applyBorder="1"/>
    <xf numFmtId="1" fontId="22" fillId="0" borderId="11" xfId="0" applyNumberFormat="1" applyFont="1" applyBorder="1"/>
    <xf numFmtId="9" fontId="22" fillId="0" borderId="14" xfId="3" applyFont="1" applyBorder="1"/>
    <xf numFmtId="0" fontId="31" fillId="0" borderId="0" xfId="0" applyFont="1"/>
    <xf numFmtId="0" fontId="58" fillId="0" borderId="0" xfId="0" applyFont="1"/>
    <xf numFmtId="3" fontId="57" fillId="0" borderId="0" xfId="0" applyNumberFormat="1" applyFont="1"/>
    <xf numFmtId="3" fontId="58" fillId="0" borderId="0" xfId="0" applyNumberFormat="1" applyFont="1"/>
    <xf numFmtId="0" fontId="57" fillId="0" borderId="0" xfId="0" applyFont="1"/>
    <xf numFmtId="6" fontId="57" fillId="0" borderId="0" xfId="0" applyNumberFormat="1" applyFont="1"/>
    <xf numFmtId="6" fontId="58" fillId="0" borderId="0" xfId="0" applyNumberFormat="1" applyFont="1"/>
    <xf numFmtId="38" fontId="4" fillId="0" borderId="4" xfId="0" applyNumberFormat="1" applyFont="1" applyBorder="1"/>
    <xf numFmtId="38" fontId="4" fillId="0" borderId="2" xfId="0" applyNumberFormat="1" applyFont="1" applyBorder="1"/>
    <xf numFmtId="0" fontId="0" fillId="0" borderId="0" xfId="0" applyAlignment="1">
      <alignment wrapText="1"/>
    </xf>
    <xf numFmtId="10" fontId="57" fillId="0" borderId="0" xfId="0" applyNumberFormat="1" applyFont="1"/>
    <xf numFmtId="10" fontId="58" fillId="0" borderId="0" xfId="0" applyNumberFormat="1" applyFont="1"/>
    <xf numFmtId="43" fontId="29" fillId="0" borderId="0" xfId="1" applyFont="1" applyAlignment="1">
      <alignment vertical="top"/>
    </xf>
    <xf numFmtId="192" fontId="29" fillId="0" borderId="0" xfId="3" applyNumberFormat="1" applyFont="1" applyAlignment="1">
      <alignment vertical="top"/>
    </xf>
    <xf numFmtId="167" fontId="2" fillId="5" borderId="0" xfId="3" applyNumberFormat="1" applyFont="1" applyFill="1" applyAlignment="1">
      <alignment vertical="center"/>
    </xf>
    <xf numFmtId="10" fontId="2" fillId="5" borderId="0" xfId="3" applyNumberFormat="1" applyFont="1" applyFill="1" applyAlignment="1">
      <alignment vertical="center"/>
    </xf>
    <xf numFmtId="188" fontId="2" fillId="5" borderId="0" xfId="0" applyNumberFormat="1" applyFont="1" applyFill="1" applyAlignment="1">
      <alignment vertical="center"/>
    </xf>
    <xf numFmtId="188" fontId="2" fillId="0" borderId="0" xfId="0" applyNumberFormat="1" applyFont="1" applyAlignment="1">
      <alignment vertical="center"/>
    </xf>
    <xf numFmtId="168" fontId="2" fillId="0" borderId="0" xfId="11" applyNumberFormat="1" applyFont="1" applyFill="1" applyAlignment="1">
      <alignment vertical="center"/>
    </xf>
    <xf numFmtId="167" fontId="2" fillId="0" borderId="0" xfId="3" applyNumberFormat="1" applyFont="1" applyFill="1" applyAlignment="1">
      <alignment vertical="center"/>
    </xf>
    <xf numFmtId="10" fontId="2" fillId="0" borderId="0" xfId="3" applyNumberFormat="1" applyFont="1" applyFill="1" applyAlignment="1">
      <alignment vertical="center"/>
    </xf>
    <xf numFmtId="9" fontId="2" fillId="0" borderId="0" xfId="3" applyFont="1" applyFill="1" applyAlignment="1">
      <alignment vertical="center"/>
    </xf>
    <xf numFmtId="9" fontId="45" fillId="0" borderId="0" xfId="3" applyFont="1"/>
    <xf numFmtId="168" fontId="2" fillId="5" borderId="0" xfId="11" applyNumberFormat="1" applyFont="1" applyFill="1" applyAlignment="1">
      <alignment vertical="center"/>
    </xf>
    <xf numFmtId="170" fontId="33" fillId="6" borderId="0" xfId="5" applyNumberFormat="1" applyFont="1" applyFill="1" applyBorder="1" applyAlignment="1">
      <alignment horizontal="right" vertical="center"/>
    </xf>
    <xf numFmtId="0" fontId="33" fillId="6" borderId="0" xfId="0" applyFont="1" applyFill="1" applyAlignment="1">
      <alignment vertical="center"/>
    </xf>
    <xf numFmtId="0" fontId="18" fillId="6" borderId="0" xfId="0" applyFont="1" applyFill="1" applyAlignment="1">
      <alignment horizontal="right" vertical="center"/>
    </xf>
    <xf numFmtId="180" fontId="33" fillId="6" borderId="0" xfId="5" applyNumberFormat="1" applyFont="1" applyFill="1" applyBorder="1" applyAlignment="1">
      <alignment horizontal="right" vertical="center"/>
    </xf>
    <xf numFmtId="38" fontId="6" fillId="5" borderId="2" xfId="6" applyNumberFormat="1" applyFont="1" applyFill="1" applyBorder="1" applyAlignment="1">
      <alignment vertical="top"/>
    </xf>
    <xf numFmtId="38" fontId="2" fillId="0" borderId="2" xfId="5" applyNumberFormat="1" applyFont="1" applyFill="1" applyBorder="1" applyAlignment="1">
      <alignment vertical="center"/>
    </xf>
    <xf numFmtId="38" fontId="17" fillId="0" borderId="2" xfId="0" applyNumberFormat="1" applyFont="1" applyBorder="1"/>
    <xf numFmtId="2" fontId="2" fillId="5" borderId="0" xfId="0" applyNumberFormat="1" applyFont="1" applyFill="1" applyAlignment="1">
      <alignment vertical="center"/>
    </xf>
    <xf numFmtId="2" fontId="2" fillId="0" borderId="0" xfId="0" applyNumberFormat="1" applyFont="1" applyAlignment="1">
      <alignment vertical="center"/>
    </xf>
    <xf numFmtId="0" fontId="59" fillId="0" borderId="0" xfId="0" applyFont="1"/>
    <xf numFmtId="10" fontId="43" fillId="0" borderId="0" xfId="3" applyNumberFormat="1" applyFont="1"/>
    <xf numFmtId="10" fontId="18" fillId="0" borderId="38" xfId="3" applyNumberFormat="1" applyFont="1" applyFill="1" applyBorder="1" applyAlignment="1">
      <alignment vertical="top"/>
    </xf>
    <xf numFmtId="189" fontId="18" fillId="0" borderId="3" xfId="3" applyNumberFormat="1" applyFont="1" applyFill="1" applyBorder="1" applyAlignment="1">
      <alignment vertical="top"/>
    </xf>
    <xf numFmtId="193" fontId="2" fillId="0" borderId="0" xfId="0" applyNumberFormat="1" applyFont="1"/>
    <xf numFmtId="0" fontId="18" fillId="0" borderId="0" xfId="4" applyFont="1" applyAlignment="1">
      <alignment horizontal="center" wrapText="1"/>
    </xf>
    <xf numFmtId="167" fontId="6" fillId="0" borderId="5" xfId="3" applyNumberFormat="1" applyFont="1" applyBorder="1"/>
    <xf numFmtId="164" fontId="3" fillId="0" borderId="0" xfId="0" quotePrefix="1" applyNumberFormat="1" applyFont="1"/>
    <xf numFmtId="2" fontId="2" fillId="0" borderId="0" xfId="3" applyNumberFormat="1" applyFont="1"/>
    <xf numFmtId="1" fontId="2" fillId="0" borderId="0" xfId="3" applyNumberFormat="1" applyFont="1"/>
    <xf numFmtId="43" fontId="2" fillId="0" borderId="0" xfId="3" applyNumberFormat="1" applyFont="1"/>
    <xf numFmtId="38" fontId="3" fillId="0" borderId="2" xfId="5" applyNumberFormat="1" applyFont="1" applyFill="1" applyBorder="1" applyAlignment="1">
      <alignment vertical="center"/>
    </xf>
    <xf numFmtId="38" fontId="18" fillId="0" borderId="0" xfId="6" applyNumberFormat="1" applyFont="1" applyAlignment="1">
      <alignment vertical="top"/>
    </xf>
    <xf numFmtId="38" fontId="6" fillId="0" borderId="0" xfId="6" applyNumberFormat="1" applyFont="1" applyAlignment="1">
      <alignment vertical="top"/>
    </xf>
    <xf numFmtId="38" fontId="15" fillId="0" borderId="0" xfId="6" applyNumberFormat="1" applyFont="1" applyAlignment="1">
      <alignment vertical="top"/>
    </xf>
    <xf numFmtId="180" fontId="18" fillId="6" borderId="2" xfId="0" applyNumberFormat="1" applyFont="1" applyFill="1" applyBorder="1" applyAlignment="1">
      <alignment horizontal="right" vertical="center"/>
    </xf>
    <xf numFmtId="38" fontId="3" fillId="0" borderId="4" xfId="5" applyNumberFormat="1" applyFont="1" applyFill="1" applyBorder="1" applyAlignment="1">
      <alignment vertical="center"/>
    </xf>
    <xf numFmtId="2" fontId="0" fillId="0" borderId="0" xfId="0" applyNumberFormat="1"/>
    <xf numFmtId="38" fontId="6" fillId="0" borderId="2" xfId="6" applyNumberFormat="1" applyFont="1" applyBorder="1" applyAlignment="1">
      <alignment vertical="top"/>
    </xf>
    <xf numFmtId="38" fontId="18" fillId="0" borderId="4" xfId="6" applyNumberFormat="1" applyFont="1" applyBorder="1" applyAlignment="1">
      <alignment vertical="top"/>
    </xf>
    <xf numFmtId="180" fontId="3" fillId="0" borderId="0" xfId="5" applyNumberFormat="1" applyFont="1" applyFill="1" applyBorder="1" applyAlignment="1">
      <alignment vertical="center"/>
    </xf>
    <xf numFmtId="180" fontId="3" fillId="0" borderId="4" xfId="5" applyNumberFormat="1" applyFont="1" applyFill="1" applyBorder="1" applyAlignment="1">
      <alignment vertical="center"/>
    </xf>
    <xf numFmtId="178" fontId="33" fillId="6" borderId="0" xfId="0" applyNumberFormat="1" applyFont="1" applyFill="1" applyAlignment="1">
      <alignment vertical="center"/>
    </xf>
    <xf numFmtId="0" fontId="54" fillId="0" borderId="2" xfId="0" applyFont="1" applyBorder="1"/>
    <xf numFmtId="190" fontId="4" fillId="0" borderId="0" xfId="0" applyNumberFormat="1" applyFont="1"/>
    <xf numFmtId="169" fontId="4" fillId="0" borderId="0" xfId="0" applyNumberFormat="1" applyFont="1"/>
    <xf numFmtId="1" fontId="2" fillId="0" borderId="0" xfId="0" applyNumberFormat="1" applyFont="1" applyAlignment="1">
      <alignment horizontal="right" vertical="top" wrapText="1"/>
    </xf>
    <xf numFmtId="180" fontId="4" fillId="6" borderId="0" xfId="1" applyNumberFormat="1" applyFont="1" applyFill="1" applyAlignment="1">
      <alignment horizontal="right" vertical="top" wrapText="1"/>
    </xf>
    <xf numFmtId="180" fontId="4" fillId="0" borderId="0" xfId="1" applyNumberFormat="1" applyFont="1" applyAlignment="1">
      <alignment horizontal="right" vertical="top" wrapText="1"/>
    </xf>
    <xf numFmtId="183" fontId="2" fillId="6" borderId="0" xfId="0" applyNumberFormat="1" applyFont="1" applyFill="1" applyAlignment="1">
      <alignment horizontal="right" vertical="top" wrapText="1"/>
    </xf>
    <xf numFmtId="183" fontId="2" fillId="0" borderId="0" xfId="0" applyNumberFormat="1" applyFont="1" applyAlignment="1">
      <alignment horizontal="right" vertical="top" wrapText="1"/>
    </xf>
    <xf numFmtId="10" fontId="2" fillId="6" borderId="0" xfId="3" applyNumberFormat="1" applyFont="1" applyFill="1" applyAlignment="1">
      <alignment horizontal="right" vertical="top" wrapText="1"/>
    </xf>
    <xf numFmtId="192" fontId="2" fillId="0" borderId="0" xfId="3" applyNumberFormat="1" applyFont="1" applyFill="1" applyAlignment="1">
      <alignment horizontal="right" vertical="top" wrapText="1"/>
    </xf>
    <xf numFmtId="192" fontId="2" fillId="6" borderId="0" xfId="3" applyNumberFormat="1" applyFont="1" applyFill="1" applyAlignment="1">
      <alignment horizontal="right" vertical="top" wrapText="1"/>
    </xf>
    <xf numFmtId="189" fontId="2" fillId="0" borderId="0" xfId="3" applyNumberFormat="1" applyFont="1" applyFill="1" applyAlignment="1">
      <alignment horizontal="right" vertical="top" wrapText="1"/>
    </xf>
    <xf numFmtId="164" fontId="3" fillId="6" borderId="53" xfId="0" quotePrefix="1" applyNumberFormat="1" applyFont="1" applyFill="1" applyBorder="1"/>
    <xf numFmtId="0" fontId="33" fillId="6" borderId="4" xfId="0" applyFont="1" applyFill="1" applyBorder="1"/>
    <xf numFmtId="14" fontId="33" fillId="6" borderId="4" xfId="0" applyNumberFormat="1" applyFont="1" applyFill="1" applyBorder="1" applyAlignment="1">
      <alignment horizontal="right"/>
    </xf>
    <xf numFmtId="14" fontId="33" fillId="6" borderId="54" xfId="0" applyNumberFormat="1" applyFont="1" applyFill="1" applyBorder="1" applyAlignment="1">
      <alignment horizontal="right"/>
    </xf>
    <xf numFmtId="164" fontId="2" fillId="0" borderId="51" xfId="0" quotePrefix="1" applyNumberFormat="1" applyFont="1" applyBorder="1"/>
    <xf numFmtId="2" fontId="4" fillId="0" borderId="0" xfId="0" applyNumberFormat="1" applyFont="1" applyAlignment="1">
      <alignment horizontal="right"/>
    </xf>
    <xf numFmtId="9" fontId="2" fillId="0" borderId="0" xfId="3" applyFont="1" applyBorder="1"/>
    <xf numFmtId="9" fontId="4" fillId="0" borderId="0" xfId="3" applyFont="1" applyBorder="1" applyAlignment="1">
      <alignment horizontal="right"/>
    </xf>
    <xf numFmtId="3" fontId="2" fillId="0" borderId="55" xfId="0" applyNumberFormat="1" applyFont="1" applyBorder="1"/>
    <xf numFmtId="0" fontId="4" fillId="0" borderId="0" xfId="0" applyFont="1" applyAlignment="1">
      <alignment horizontal="right"/>
    </xf>
    <xf numFmtId="38" fontId="4" fillId="0" borderId="0" xfId="0" applyNumberFormat="1" applyFont="1" applyAlignment="1">
      <alignment horizontal="right"/>
    </xf>
    <xf numFmtId="164" fontId="2" fillId="0" borderId="52" xfId="0" quotePrefix="1" applyNumberFormat="1" applyFont="1" applyBorder="1"/>
    <xf numFmtId="40" fontId="4" fillId="0" borderId="2" xfId="0" applyNumberFormat="1" applyFont="1" applyBorder="1"/>
    <xf numFmtId="4" fontId="2" fillId="0" borderId="2" xfId="0" applyNumberFormat="1" applyFont="1" applyBorder="1"/>
    <xf numFmtId="3" fontId="2" fillId="0" borderId="56" xfId="0" applyNumberFormat="1" applyFont="1" applyBorder="1"/>
    <xf numFmtId="9" fontId="4" fillId="0" borderId="2" xfId="3" applyFont="1" applyBorder="1" applyAlignment="1">
      <alignment horizontal="right"/>
    </xf>
    <xf numFmtId="9" fontId="54" fillId="0" borderId="2" xfId="0" applyNumberFormat="1" applyFont="1" applyBorder="1"/>
    <xf numFmtId="2" fontId="4" fillId="0" borderId="2" xfId="0" applyNumberFormat="1" applyFont="1" applyBorder="1" applyAlignment="1">
      <alignment horizontal="right"/>
    </xf>
    <xf numFmtId="164" fontId="2" fillId="0" borderId="57" xfId="0" quotePrefix="1" applyNumberFormat="1" applyFont="1" applyBorder="1"/>
    <xf numFmtId="0" fontId="54" fillId="0" borderId="3" xfId="0" applyFont="1" applyBorder="1"/>
    <xf numFmtId="0" fontId="4" fillId="0" borderId="3" xfId="0" applyFont="1" applyBorder="1"/>
    <xf numFmtId="38" fontId="4" fillId="0" borderId="3" xfId="0" applyNumberFormat="1" applyFont="1" applyBorder="1"/>
    <xf numFmtId="0" fontId="4" fillId="0" borderId="2" xfId="0" applyFont="1" applyBorder="1"/>
    <xf numFmtId="0" fontId="33" fillId="6" borderId="0" xfId="0" applyFont="1" applyFill="1" applyAlignment="1">
      <alignment horizontal="right"/>
    </xf>
    <xf numFmtId="40" fontId="4" fillId="0" borderId="56" xfId="0" applyNumberFormat="1" applyFont="1" applyBorder="1"/>
    <xf numFmtId="40" fontId="4" fillId="0" borderId="58" xfId="0" applyNumberFormat="1" applyFont="1" applyBorder="1"/>
    <xf numFmtId="40" fontId="4" fillId="0" borderId="55" xfId="0" applyNumberFormat="1" applyFont="1" applyBorder="1"/>
    <xf numFmtId="0" fontId="29" fillId="0" borderId="0" xfId="9" applyAlignment="1">
      <alignment vertical="top" wrapText="1"/>
    </xf>
    <xf numFmtId="0" fontId="61" fillId="0" borderId="0" xfId="0" applyFont="1"/>
    <xf numFmtId="0" fontId="62" fillId="0" borderId="0" xfId="0" applyFont="1"/>
    <xf numFmtId="0" fontId="64" fillId="0" borderId="0" xfId="0" applyFont="1"/>
    <xf numFmtId="164" fontId="33" fillId="6" borderId="0" xfId="0" quotePrefix="1" applyNumberFormat="1" applyFont="1" applyFill="1"/>
    <xf numFmtId="0" fontId="2" fillId="0" borderId="57" xfId="0" applyFont="1" applyBorder="1"/>
    <xf numFmtId="0" fontId="63" fillId="0" borderId="3" xfId="14" applyBorder="1"/>
    <xf numFmtId="14" fontId="4" fillId="0" borderId="3" xfId="0" applyNumberFormat="1" applyFont="1" applyBorder="1"/>
    <xf numFmtId="38" fontId="2" fillId="0" borderId="3" xfId="0" applyNumberFormat="1" applyFont="1" applyBorder="1"/>
    <xf numFmtId="10" fontId="4" fillId="0" borderId="3" xfId="3" applyNumberFormat="1" applyFont="1" applyBorder="1"/>
    <xf numFmtId="40" fontId="2" fillId="0" borderId="3" xfId="0" applyNumberFormat="1" applyFont="1" applyBorder="1"/>
    <xf numFmtId="40" fontId="2" fillId="0" borderId="58" xfId="0" applyNumberFormat="1" applyFont="1" applyBorder="1"/>
    <xf numFmtId="0" fontId="2" fillId="0" borderId="51" xfId="0" applyFont="1" applyBorder="1"/>
    <xf numFmtId="0" fontId="63" fillId="0" borderId="0" xfId="14" applyBorder="1"/>
    <xf numFmtId="10" fontId="4" fillId="0" borderId="0" xfId="3" applyNumberFormat="1" applyFont="1" applyBorder="1"/>
    <xf numFmtId="40" fontId="2" fillId="0" borderId="55" xfId="0" applyNumberFormat="1" applyFont="1" applyBorder="1"/>
    <xf numFmtId="0" fontId="63" fillId="0" borderId="2" xfId="14" applyBorder="1"/>
    <xf numFmtId="14" fontId="4" fillId="0" borderId="2" xfId="0" applyNumberFormat="1" applyFont="1" applyBorder="1"/>
    <xf numFmtId="38" fontId="2" fillId="0" borderId="2" xfId="0" applyNumberFormat="1" applyFont="1" applyBorder="1"/>
    <xf numFmtId="10" fontId="4" fillId="0" borderId="2" xfId="3" applyNumberFormat="1" applyFont="1" applyBorder="1"/>
    <xf numFmtId="40" fontId="2" fillId="0" borderId="2" xfId="0" applyNumberFormat="1" applyFont="1" applyBorder="1"/>
    <xf numFmtId="40" fontId="2" fillId="0" borderId="56" xfId="0" applyNumberFormat="1" applyFont="1" applyBorder="1"/>
    <xf numFmtId="168" fontId="2" fillId="0" borderId="0" xfId="0" applyNumberFormat="1" applyFont="1"/>
    <xf numFmtId="0" fontId="65" fillId="0" borderId="0" xfId="0" applyFont="1"/>
    <xf numFmtId="2" fontId="2" fillId="0" borderId="0" xfId="1" applyNumberFormat="1" applyFont="1" applyFill="1"/>
    <xf numFmtId="0" fontId="67" fillId="0" borderId="0" xfId="0" applyFont="1"/>
    <xf numFmtId="0" fontId="63" fillId="0" borderId="0" xfId="14" applyAlignment="1">
      <alignment horizontal="left" indent="1"/>
    </xf>
    <xf numFmtId="180" fontId="9" fillId="0" borderId="0" xfId="1" applyNumberFormat="1" applyFont="1" applyFill="1" applyBorder="1" applyAlignment="1">
      <alignment horizontal="right" vertical="center"/>
    </xf>
    <xf numFmtId="172" fontId="52" fillId="6" borderId="2" xfId="0" applyNumberFormat="1" applyFont="1" applyFill="1" applyBorder="1" applyAlignment="1">
      <alignment horizontal="center"/>
    </xf>
    <xf numFmtId="166" fontId="7" fillId="0" borderId="0" xfId="0" applyNumberFormat="1" applyFont="1" applyAlignment="1">
      <alignment horizontal="left"/>
    </xf>
    <xf numFmtId="0" fontId="9" fillId="0" borderId="0" xfId="0" applyFont="1" applyAlignment="1">
      <alignment horizontal="left" vertical="top" wrapText="1"/>
    </xf>
    <xf numFmtId="0" fontId="11" fillId="4" borderId="0" xfId="0" applyFont="1" applyFill="1" applyAlignment="1">
      <alignment horizontal="left" vertical="center"/>
    </xf>
    <xf numFmtId="0" fontId="33" fillId="6" borderId="2" xfId="0" applyFont="1" applyFill="1" applyBorder="1" applyAlignment="1">
      <alignment horizontal="center"/>
    </xf>
    <xf numFmtId="0" fontId="18" fillId="6" borderId="0" xfId="0" applyFont="1" applyFill="1" applyAlignment="1">
      <alignment horizontal="center"/>
    </xf>
    <xf numFmtId="0" fontId="3" fillId="6" borderId="0" xfId="0" applyFont="1" applyFill="1" applyAlignment="1">
      <alignment horizontal="center"/>
    </xf>
    <xf numFmtId="0" fontId="39" fillId="4" borderId="0" xfId="0" applyFont="1" applyFill="1" applyAlignment="1">
      <alignment horizontal="center"/>
    </xf>
    <xf numFmtId="0" fontId="39" fillId="4" borderId="50" xfId="0" applyFont="1" applyFill="1" applyBorder="1" applyAlignment="1">
      <alignment horizontal="center"/>
    </xf>
    <xf numFmtId="0" fontId="19" fillId="0" borderId="0" xfId="4" applyFont="1" applyAlignment="1">
      <alignment horizontal="center" wrapText="1"/>
    </xf>
    <xf numFmtId="0" fontId="19" fillId="0" borderId="2" xfId="4" applyFont="1" applyBorder="1" applyAlignment="1">
      <alignment horizontal="center" wrapText="1"/>
    </xf>
    <xf numFmtId="40" fontId="18" fillId="6" borderId="3" xfId="0" applyNumberFormat="1" applyFont="1" applyFill="1" applyBorder="1" applyAlignment="1">
      <alignment horizontal="center"/>
    </xf>
    <xf numFmtId="40" fontId="3" fillId="6" borderId="3" xfId="0" applyNumberFormat="1" applyFont="1" applyFill="1" applyBorder="1" applyAlignment="1">
      <alignment horizontal="center"/>
    </xf>
    <xf numFmtId="188" fontId="18" fillId="6" borderId="0" xfId="0" applyNumberFormat="1" applyFont="1" applyFill="1" applyAlignment="1">
      <alignment horizontal="center"/>
    </xf>
    <xf numFmtId="0" fontId="67" fillId="0" borderId="0" xfId="0" applyFont="1" applyAlignment="1">
      <alignment vertical="top" wrapText="1"/>
    </xf>
    <xf numFmtId="0" fontId="2" fillId="0" borderId="0" xfId="0" applyFont="1" applyBorder="1"/>
    <xf numFmtId="38" fontId="4" fillId="0" borderId="0" xfId="0" applyNumberFormat="1" applyFont="1" applyBorder="1"/>
    <xf numFmtId="38" fontId="4" fillId="0" borderId="58" xfId="0" applyNumberFormat="1" applyFont="1" applyBorder="1"/>
    <xf numFmtId="38" fontId="4" fillId="0" borderId="55" xfId="0" applyNumberFormat="1" applyFont="1" applyBorder="1"/>
    <xf numFmtId="38" fontId="4" fillId="0" borderId="56" xfId="0" applyNumberFormat="1" applyFont="1" applyBorder="1"/>
    <xf numFmtId="0" fontId="33" fillId="6" borderId="0" xfId="0" applyFont="1" applyFill="1" applyAlignment="1">
      <alignment horizontal="center"/>
    </xf>
    <xf numFmtId="0" fontId="33" fillId="6" borderId="0" xfId="0" applyFont="1" applyFill="1" applyBorder="1" applyAlignment="1">
      <alignment horizontal="center"/>
    </xf>
  </cellXfs>
  <cellStyles count="15">
    <cellStyle name="Comma" xfId="1" builtinId="3"/>
    <cellStyle name="Comma 2" xfId="5" xr:uid="{BAA1D805-8B49-4020-9CA1-7A0B00E994BB}"/>
    <cellStyle name="Comma 3" xfId="7" xr:uid="{F0411F1B-FC23-435D-B0E2-FE78F8DD4A4A}"/>
    <cellStyle name="Comma 4" xfId="11" xr:uid="{42C8931F-9572-4B54-BBD1-75C579A115DA}"/>
    <cellStyle name="Currency" xfId="2" builtinId="4"/>
    <cellStyle name="Hyperlink" xfId="14" builtinId="8"/>
    <cellStyle name="Normal" xfId="0" builtinId="0"/>
    <cellStyle name="Normal 2" xfId="9" xr:uid="{819C4C65-BAFD-47E5-BC52-4DD4416AE549}"/>
    <cellStyle name="Normal 2 2" xfId="13" xr:uid="{CB48B4C7-B1C4-4F9D-B9B3-F48F5E0D0C70}"/>
    <cellStyle name="Normal 3" xfId="6" xr:uid="{28799F18-C81E-434A-B6F0-35B1A441FF39}"/>
    <cellStyle name="Normal 4" xfId="10" xr:uid="{783FFC45-0002-4DDC-B217-E4E616C7A090}"/>
    <cellStyle name="Normal_LBO" xfId="4" xr:uid="{C0CE7FCF-EED9-4153-A330-A595CBE8FB6C}"/>
    <cellStyle name="Percent" xfId="3" builtinId="5"/>
    <cellStyle name="Percent 2" xfId="8" xr:uid="{475D66A4-ECAC-41C7-B9F6-DBF46B56B74A}"/>
    <cellStyle name="Percent 3" xfId="12" xr:uid="{B42D5A16-1D18-4715-88A2-04FC94CBCD3D}"/>
  </cellStyles>
  <dxfs count="0"/>
  <tableStyles count="0" defaultTableStyle="TableStyleMedium2" defaultPivotStyle="PivotStyleLight16"/>
  <colors>
    <mruColors>
      <color rgb="FF0000FF"/>
      <color rgb="FFAFDEFF"/>
      <color rgb="FF6B83FD"/>
      <color rgb="FFFFCA08"/>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onnections" Target="connections.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264446582186276E-2"/>
          <c:y val="8.566978193146417E-2"/>
          <c:w val="0.94219407528810029"/>
          <c:h val="0.76333395345137123"/>
        </c:manualLayout>
      </c:layout>
      <c:lineChart>
        <c:grouping val="standard"/>
        <c:varyColors val="0"/>
        <c:ser>
          <c:idx val="0"/>
          <c:order val="0"/>
          <c:spPr>
            <a:ln w="28575" cap="rnd">
              <a:solidFill>
                <a:srgbClr val="0000FF"/>
              </a:solidFill>
              <a:round/>
            </a:ln>
            <a:effectLst/>
          </c:spPr>
          <c:marker>
            <c:symbol val="none"/>
          </c:marker>
          <c:cat>
            <c:numRef>
              <c:f>'AMZN daily'!$C$8:$C$3330</c:f>
              <c:numCache>
                <c:formatCode>m/d/yy</c:formatCode>
                <c:ptCount val="3323"/>
                <c:pt idx="0">
                  <c:v>46003</c:v>
                </c:pt>
                <c:pt idx="1">
                  <c:v>46002</c:v>
                </c:pt>
                <c:pt idx="2">
                  <c:v>46001</c:v>
                </c:pt>
                <c:pt idx="3">
                  <c:v>46000</c:v>
                </c:pt>
                <c:pt idx="4">
                  <c:v>45999</c:v>
                </c:pt>
                <c:pt idx="5">
                  <c:v>45996</c:v>
                </c:pt>
                <c:pt idx="6">
                  <c:v>45995</c:v>
                </c:pt>
                <c:pt idx="7">
                  <c:v>45994</c:v>
                </c:pt>
                <c:pt idx="8">
                  <c:v>45993</c:v>
                </c:pt>
                <c:pt idx="9">
                  <c:v>45992</c:v>
                </c:pt>
                <c:pt idx="10">
                  <c:v>45989</c:v>
                </c:pt>
                <c:pt idx="11">
                  <c:v>45987</c:v>
                </c:pt>
                <c:pt idx="12">
                  <c:v>45986</c:v>
                </c:pt>
                <c:pt idx="13">
                  <c:v>45985</c:v>
                </c:pt>
                <c:pt idx="14">
                  <c:v>45982</c:v>
                </c:pt>
                <c:pt idx="15">
                  <c:v>45981</c:v>
                </c:pt>
                <c:pt idx="16">
                  <c:v>45980</c:v>
                </c:pt>
                <c:pt idx="17">
                  <c:v>45979</c:v>
                </c:pt>
                <c:pt idx="18">
                  <c:v>45978</c:v>
                </c:pt>
                <c:pt idx="19">
                  <c:v>45975</c:v>
                </c:pt>
                <c:pt idx="20">
                  <c:v>45974</c:v>
                </c:pt>
                <c:pt idx="21">
                  <c:v>45973</c:v>
                </c:pt>
                <c:pt idx="22">
                  <c:v>45972</c:v>
                </c:pt>
                <c:pt idx="23">
                  <c:v>45971</c:v>
                </c:pt>
                <c:pt idx="24">
                  <c:v>45968</c:v>
                </c:pt>
                <c:pt idx="25">
                  <c:v>45967</c:v>
                </c:pt>
                <c:pt idx="26">
                  <c:v>45966</c:v>
                </c:pt>
                <c:pt idx="27">
                  <c:v>45965</c:v>
                </c:pt>
                <c:pt idx="28">
                  <c:v>45964</c:v>
                </c:pt>
                <c:pt idx="29">
                  <c:v>45961</c:v>
                </c:pt>
                <c:pt idx="30">
                  <c:v>45960</c:v>
                </c:pt>
                <c:pt idx="31">
                  <c:v>45959</c:v>
                </c:pt>
                <c:pt idx="32">
                  <c:v>45958</c:v>
                </c:pt>
                <c:pt idx="33">
                  <c:v>45957</c:v>
                </c:pt>
                <c:pt idx="34">
                  <c:v>45954</c:v>
                </c:pt>
                <c:pt idx="35">
                  <c:v>45953</c:v>
                </c:pt>
                <c:pt idx="36">
                  <c:v>45952</c:v>
                </c:pt>
                <c:pt idx="37">
                  <c:v>45951</c:v>
                </c:pt>
                <c:pt idx="38">
                  <c:v>45950</c:v>
                </c:pt>
                <c:pt idx="39">
                  <c:v>45947</c:v>
                </c:pt>
                <c:pt idx="40">
                  <c:v>45946</c:v>
                </c:pt>
                <c:pt idx="41">
                  <c:v>45945</c:v>
                </c:pt>
                <c:pt idx="42">
                  <c:v>45944</c:v>
                </c:pt>
                <c:pt idx="43">
                  <c:v>45943</c:v>
                </c:pt>
                <c:pt idx="44">
                  <c:v>45940</c:v>
                </c:pt>
                <c:pt idx="45">
                  <c:v>45939</c:v>
                </c:pt>
                <c:pt idx="46">
                  <c:v>45938</c:v>
                </c:pt>
                <c:pt idx="47">
                  <c:v>45937</c:v>
                </c:pt>
                <c:pt idx="48">
                  <c:v>45936</c:v>
                </c:pt>
                <c:pt idx="49">
                  <c:v>45933</c:v>
                </c:pt>
                <c:pt idx="50">
                  <c:v>45932</c:v>
                </c:pt>
                <c:pt idx="51">
                  <c:v>45931</c:v>
                </c:pt>
                <c:pt idx="52">
                  <c:v>45930</c:v>
                </c:pt>
                <c:pt idx="53">
                  <c:v>45929</c:v>
                </c:pt>
                <c:pt idx="54">
                  <c:v>45926</c:v>
                </c:pt>
                <c:pt idx="55">
                  <c:v>45925</c:v>
                </c:pt>
                <c:pt idx="56">
                  <c:v>45924</c:v>
                </c:pt>
                <c:pt idx="57">
                  <c:v>45923</c:v>
                </c:pt>
                <c:pt idx="58">
                  <c:v>45922</c:v>
                </c:pt>
                <c:pt idx="59">
                  <c:v>45919</c:v>
                </c:pt>
                <c:pt idx="60">
                  <c:v>45918</c:v>
                </c:pt>
                <c:pt idx="61">
                  <c:v>45917</c:v>
                </c:pt>
                <c:pt idx="62">
                  <c:v>45916</c:v>
                </c:pt>
                <c:pt idx="63">
                  <c:v>45915</c:v>
                </c:pt>
                <c:pt idx="64">
                  <c:v>45912</c:v>
                </c:pt>
                <c:pt idx="65">
                  <c:v>45911</c:v>
                </c:pt>
                <c:pt idx="66">
                  <c:v>45910</c:v>
                </c:pt>
                <c:pt idx="67">
                  <c:v>45909</c:v>
                </c:pt>
                <c:pt idx="68">
                  <c:v>45908</c:v>
                </c:pt>
                <c:pt idx="69">
                  <c:v>45905</c:v>
                </c:pt>
                <c:pt idx="70">
                  <c:v>45904</c:v>
                </c:pt>
                <c:pt idx="71">
                  <c:v>45903</c:v>
                </c:pt>
                <c:pt idx="72">
                  <c:v>45902</c:v>
                </c:pt>
                <c:pt idx="73">
                  <c:v>45898</c:v>
                </c:pt>
                <c:pt idx="74">
                  <c:v>45897</c:v>
                </c:pt>
                <c:pt idx="75">
                  <c:v>45896</c:v>
                </c:pt>
                <c:pt idx="76">
                  <c:v>45895</c:v>
                </c:pt>
                <c:pt idx="77">
                  <c:v>45894</c:v>
                </c:pt>
                <c:pt idx="78">
                  <c:v>45891</c:v>
                </c:pt>
                <c:pt idx="79">
                  <c:v>45890</c:v>
                </c:pt>
                <c:pt idx="80">
                  <c:v>45889</c:v>
                </c:pt>
                <c:pt idx="81">
                  <c:v>45888</c:v>
                </c:pt>
                <c:pt idx="82">
                  <c:v>45887</c:v>
                </c:pt>
                <c:pt idx="83">
                  <c:v>45884</c:v>
                </c:pt>
                <c:pt idx="84">
                  <c:v>45883</c:v>
                </c:pt>
                <c:pt idx="85">
                  <c:v>45882</c:v>
                </c:pt>
                <c:pt idx="86">
                  <c:v>45881</c:v>
                </c:pt>
                <c:pt idx="87">
                  <c:v>45880</c:v>
                </c:pt>
                <c:pt idx="88">
                  <c:v>45877</c:v>
                </c:pt>
                <c:pt idx="89">
                  <c:v>45876</c:v>
                </c:pt>
                <c:pt idx="90">
                  <c:v>45875</c:v>
                </c:pt>
                <c:pt idx="91">
                  <c:v>45874</c:v>
                </c:pt>
                <c:pt idx="92">
                  <c:v>45873</c:v>
                </c:pt>
                <c:pt idx="93">
                  <c:v>45870</c:v>
                </c:pt>
                <c:pt idx="94">
                  <c:v>45869</c:v>
                </c:pt>
                <c:pt idx="95">
                  <c:v>45868</c:v>
                </c:pt>
                <c:pt idx="96">
                  <c:v>45867</c:v>
                </c:pt>
                <c:pt idx="97">
                  <c:v>45866</c:v>
                </c:pt>
                <c:pt idx="98">
                  <c:v>45863</c:v>
                </c:pt>
                <c:pt idx="99">
                  <c:v>45862</c:v>
                </c:pt>
                <c:pt idx="100">
                  <c:v>45861</c:v>
                </c:pt>
                <c:pt idx="101">
                  <c:v>45860</c:v>
                </c:pt>
                <c:pt idx="102">
                  <c:v>45859</c:v>
                </c:pt>
                <c:pt idx="103">
                  <c:v>45856</c:v>
                </c:pt>
                <c:pt idx="104">
                  <c:v>45855</c:v>
                </c:pt>
                <c:pt idx="105">
                  <c:v>45854</c:v>
                </c:pt>
                <c:pt idx="106">
                  <c:v>45853</c:v>
                </c:pt>
                <c:pt idx="107">
                  <c:v>45852</c:v>
                </c:pt>
                <c:pt idx="108">
                  <c:v>45849</c:v>
                </c:pt>
                <c:pt idx="109">
                  <c:v>45848</c:v>
                </c:pt>
                <c:pt idx="110">
                  <c:v>45847</c:v>
                </c:pt>
                <c:pt idx="111">
                  <c:v>45846</c:v>
                </c:pt>
                <c:pt idx="112">
                  <c:v>45845</c:v>
                </c:pt>
                <c:pt idx="113">
                  <c:v>45841</c:v>
                </c:pt>
                <c:pt idx="114">
                  <c:v>45840</c:v>
                </c:pt>
                <c:pt idx="115">
                  <c:v>45839</c:v>
                </c:pt>
                <c:pt idx="116">
                  <c:v>45838</c:v>
                </c:pt>
                <c:pt idx="117">
                  <c:v>45835</c:v>
                </c:pt>
                <c:pt idx="118">
                  <c:v>45834</c:v>
                </c:pt>
                <c:pt idx="119">
                  <c:v>45833</c:v>
                </c:pt>
                <c:pt idx="120">
                  <c:v>45832</c:v>
                </c:pt>
                <c:pt idx="121">
                  <c:v>45831</c:v>
                </c:pt>
                <c:pt idx="122">
                  <c:v>45828</c:v>
                </c:pt>
                <c:pt idx="123">
                  <c:v>45826</c:v>
                </c:pt>
                <c:pt idx="124">
                  <c:v>45825</c:v>
                </c:pt>
                <c:pt idx="125">
                  <c:v>45824</c:v>
                </c:pt>
                <c:pt idx="126">
                  <c:v>45821</c:v>
                </c:pt>
                <c:pt idx="127">
                  <c:v>45820</c:v>
                </c:pt>
                <c:pt idx="128">
                  <c:v>45819</c:v>
                </c:pt>
                <c:pt idx="129">
                  <c:v>45818</c:v>
                </c:pt>
                <c:pt idx="130">
                  <c:v>45817</c:v>
                </c:pt>
                <c:pt idx="131">
                  <c:v>45814</c:v>
                </c:pt>
                <c:pt idx="132">
                  <c:v>45813</c:v>
                </c:pt>
                <c:pt idx="133">
                  <c:v>45812</c:v>
                </c:pt>
                <c:pt idx="134">
                  <c:v>45811</c:v>
                </c:pt>
                <c:pt idx="135">
                  <c:v>45810</c:v>
                </c:pt>
                <c:pt idx="136">
                  <c:v>45807</c:v>
                </c:pt>
                <c:pt idx="137">
                  <c:v>45806</c:v>
                </c:pt>
                <c:pt idx="138">
                  <c:v>45805</c:v>
                </c:pt>
                <c:pt idx="139">
                  <c:v>45804</c:v>
                </c:pt>
                <c:pt idx="140">
                  <c:v>45800</c:v>
                </c:pt>
                <c:pt idx="141">
                  <c:v>45799</c:v>
                </c:pt>
                <c:pt idx="142">
                  <c:v>45798</c:v>
                </c:pt>
                <c:pt idx="143">
                  <c:v>45797</c:v>
                </c:pt>
                <c:pt idx="144">
                  <c:v>45796</c:v>
                </c:pt>
                <c:pt idx="145">
                  <c:v>45793</c:v>
                </c:pt>
                <c:pt idx="146">
                  <c:v>45792</c:v>
                </c:pt>
                <c:pt idx="147">
                  <c:v>45791</c:v>
                </c:pt>
                <c:pt idx="148">
                  <c:v>45790</c:v>
                </c:pt>
                <c:pt idx="149">
                  <c:v>45789</c:v>
                </c:pt>
                <c:pt idx="150">
                  <c:v>45786</c:v>
                </c:pt>
                <c:pt idx="151">
                  <c:v>45785</c:v>
                </c:pt>
                <c:pt idx="152">
                  <c:v>45784</c:v>
                </c:pt>
                <c:pt idx="153">
                  <c:v>45783</c:v>
                </c:pt>
                <c:pt idx="154">
                  <c:v>45782</c:v>
                </c:pt>
                <c:pt idx="155">
                  <c:v>45779</c:v>
                </c:pt>
                <c:pt idx="156">
                  <c:v>45778</c:v>
                </c:pt>
                <c:pt idx="157">
                  <c:v>45777</c:v>
                </c:pt>
                <c:pt idx="158">
                  <c:v>45776</c:v>
                </c:pt>
                <c:pt idx="159">
                  <c:v>45775</c:v>
                </c:pt>
                <c:pt idx="160">
                  <c:v>45772</c:v>
                </c:pt>
                <c:pt idx="161">
                  <c:v>45771</c:v>
                </c:pt>
                <c:pt idx="162">
                  <c:v>45770</c:v>
                </c:pt>
                <c:pt idx="163">
                  <c:v>45769</c:v>
                </c:pt>
                <c:pt idx="164">
                  <c:v>45768</c:v>
                </c:pt>
                <c:pt idx="165">
                  <c:v>45764</c:v>
                </c:pt>
                <c:pt idx="166">
                  <c:v>45763</c:v>
                </c:pt>
                <c:pt idx="167">
                  <c:v>45762</c:v>
                </c:pt>
                <c:pt idx="168">
                  <c:v>45761</c:v>
                </c:pt>
                <c:pt idx="169">
                  <c:v>45758</c:v>
                </c:pt>
                <c:pt idx="170">
                  <c:v>45757</c:v>
                </c:pt>
                <c:pt idx="171">
                  <c:v>45756</c:v>
                </c:pt>
                <c:pt idx="172">
                  <c:v>45755</c:v>
                </c:pt>
                <c:pt idx="173">
                  <c:v>45754</c:v>
                </c:pt>
                <c:pt idx="174">
                  <c:v>45751</c:v>
                </c:pt>
                <c:pt idx="175">
                  <c:v>45750</c:v>
                </c:pt>
                <c:pt idx="176">
                  <c:v>45749</c:v>
                </c:pt>
                <c:pt idx="177">
                  <c:v>45748</c:v>
                </c:pt>
                <c:pt idx="178">
                  <c:v>45747</c:v>
                </c:pt>
                <c:pt idx="179">
                  <c:v>45744</c:v>
                </c:pt>
                <c:pt idx="180">
                  <c:v>45743</c:v>
                </c:pt>
                <c:pt idx="181">
                  <c:v>45742</c:v>
                </c:pt>
                <c:pt idx="182">
                  <c:v>45741</c:v>
                </c:pt>
                <c:pt idx="183">
                  <c:v>45740</c:v>
                </c:pt>
                <c:pt idx="184">
                  <c:v>45737</c:v>
                </c:pt>
                <c:pt idx="185">
                  <c:v>45736</c:v>
                </c:pt>
                <c:pt idx="186">
                  <c:v>45735</c:v>
                </c:pt>
                <c:pt idx="187">
                  <c:v>45734</c:v>
                </c:pt>
                <c:pt idx="188">
                  <c:v>45733</c:v>
                </c:pt>
                <c:pt idx="189">
                  <c:v>45730</c:v>
                </c:pt>
                <c:pt idx="190">
                  <c:v>45729</c:v>
                </c:pt>
                <c:pt idx="191">
                  <c:v>45728</c:v>
                </c:pt>
                <c:pt idx="192">
                  <c:v>45727</c:v>
                </c:pt>
                <c:pt idx="193">
                  <c:v>45726</c:v>
                </c:pt>
                <c:pt idx="194">
                  <c:v>45723</c:v>
                </c:pt>
                <c:pt idx="195">
                  <c:v>45722</c:v>
                </c:pt>
                <c:pt idx="196">
                  <c:v>45721</c:v>
                </c:pt>
                <c:pt idx="197">
                  <c:v>45720</c:v>
                </c:pt>
                <c:pt idx="198">
                  <c:v>45719</c:v>
                </c:pt>
                <c:pt idx="199">
                  <c:v>45716</c:v>
                </c:pt>
                <c:pt idx="200">
                  <c:v>45715</c:v>
                </c:pt>
                <c:pt idx="201">
                  <c:v>45714</c:v>
                </c:pt>
                <c:pt idx="202">
                  <c:v>45713</c:v>
                </c:pt>
                <c:pt idx="203">
                  <c:v>45712</c:v>
                </c:pt>
                <c:pt idx="204">
                  <c:v>45709</c:v>
                </c:pt>
                <c:pt idx="205">
                  <c:v>45708</c:v>
                </c:pt>
                <c:pt idx="206">
                  <c:v>45707</c:v>
                </c:pt>
                <c:pt idx="207">
                  <c:v>45706</c:v>
                </c:pt>
                <c:pt idx="208">
                  <c:v>45702</c:v>
                </c:pt>
                <c:pt idx="209">
                  <c:v>45701</c:v>
                </c:pt>
                <c:pt idx="210">
                  <c:v>45700</c:v>
                </c:pt>
                <c:pt idx="211">
                  <c:v>45699</c:v>
                </c:pt>
                <c:pt idx="212">
                  <c:v>45698</c:v>
                </c:pt>
                <c:pt idx="213">
                  <c:v>45695</c:v>
                </c:pt>
                <c:pt idx="214">
                  <c:v>45694</c:v>
                </c:pt>
                <c:pt idx="215">
                  <c:v>45693</c:v>
                </c:pt>
                <c:pt idx="216">
                  <c:v>45692</c:v>
                </c:pt>
                <c:pt idx="217">
                  <c:v>45691</c:v>
                </c:pt>
                <c:pt idx="218">
                  <c:v>45688</c:v>
                </c:pt>
                <c:pt idx="219">
                  <c:v>45687</c:v>
                </c:pt>
                <c:pt idx="220">
                  <c:v>45686</c:v>
                </c:pt>
                <c:pt idx="221">
                  <c:v>45685</c:v>
                </c:pt>
                <c:pt idx="222">
                  <c:v>45684</c:v>
                </c:pt>
                <c:pt idx="223">
                  <c:v>45681</c:v>
                </c:pt>
                <c:pt idx="224">
                  <c:v>45680</c:v>
                </c:pt>
                <c:pt idx="225">
                  <c:v>45679</c:v>
                </c:pt>
                <c:pt idx="226">
                  <c:v>45678</c:v>
                </c:pt>
                <c:pt idx="227">
                  <c:v>45674</c:v>
                </c:pt>
                <c:pt idx="228">
                  <c:v>45673</c:v>
                </c:pt>
                <c:pt idx="229">
                  <c:v>45672</c:v>
                </c:pt>
                <c:pt idx="230">
                  <c:v>45671</c:v>
                </c:pt>
                <c:pt idx="231">
                  <c:v>45670</c:v>
                </c:pt>
                <c:pt idx="232">
                  <c:v>45667</c:v>
                </c:pt>
                <c:pt idx="233">
                  <c:v>45665</c:v>
                </c:pt>
                <c:pt idx="234">
                  <c:v>45664</c:v>
                </c:pt>
                <c:pt idx="235">
                  <c:v>45663</c:v>
                </c:pt>
                <c:pt idx="236">
                  <c:v>45660</c:v>
                </c:pt>
                <c:pt idx="237">
                  <c:v>45659</c:v>
                </c:pt>
                <c:pt idx="238">
                  <c:v>45657</c:v>
                </c:pt>
                <c:pt idx="239">
                  <c:v>45656</c:v>
                </c:pt>
                <c:pt idx="240">
                  <c:v>45653</c:v>
                </c:pt>
                <c:pt idx="241">
                  <c:v>45652</c:v>
                </c:pt>
                <c:pt idx="242">
                  <c:v>45650</c:v>
                </c:pt>
                <c:pt idx="243">
                  <c:v>45649</c:v>
                </c:pt>
                <c:pt idx="244">
                  <c:v>45646</c:v>
                </c:pt>
                <c:pt idx="245">
                  <c:v>45645</c:v>
                </c:pt>
                <c:pt idx="246">
                  <c:v>45644</c:v>
                </c:pt>
                <c:pt idx="247">
                  <c:v>45643</c:v>
                </c:pt>
                <c:pt idx="248">
                  <c:v>45642</c:v>
                </c:pt>
                <c:pt idx="249">
                  <c:v>45639</c:v>
                </c:pt>
                <c:pt idx="250">
                  <c:v>45638</c:v>
                </c:pt>
                <c:pt idx="251">
                  <c:v>45637</c:v>
                </c:pt>
                <c:pt idx="252">
                  <c:v>45636</c:v>
                </c:pt>
                <c:pt idx="253">
                  <c:v>45635</c:v>
                </c:pt>
                <c:pt idx="254">
                  <c:v>45632</c:v>
                </c:pt>
                <c:pt idx="255">
                  <c:v>45631</c:v>
                </c:pt>
                <c:pt idx="256">
                  <c:v>45630</c:v>
                </c:pt>
                <c:pt idx="257">
                  <c:v>45629</c:v>
                </c:pt>
                <c:pt idx="258">
                  <c:v>45628</c:v>
                </c:pt>
                <c:pt idx="259">
                  <c:v>45625</c:v>
                </c:pt>
                <c:pt idx="260">
                  <c:v>45623</c:v>
                </c:pt>
                <c:pt idx="261">
                  <c:v>45622</c:v>
                </c:pt>
                <c:pt idx="262">
                  <c:v>45621</c:v>
                </c:pt>
                <c:pt idx="263">
                  <c:v>45618</c:v>
                </c:pt>
                <c:pt idx="264">
                  <c:v>45617</c:v>
                </c:pt>
                <c:pt idx="265">
                  <c:v>45616</c:v>
                </c:pt>
                <c:pt idx="266">
                  <c:v>45615</c:v>
                </c:pt>
                <c:pt idx="267">
                  <c:v>45614</c:v>
                </c:pt>
                <c:pt idx="268">
                  <c:v>45611</c:v>
                </c:pt>
                <c:pt idx="269">
                  <c:v>45610</c:v>
                </c:pt>
                <c:pt idx="270">
                  <c:v>45609</c:v>
                </c:pt>
                <c:pt idx="271">
                  <c:v>45608</c:v>
                </c:pt>
                <c:pt idx="272">
                  <c:v>45607</c:v>
                </c:pt>
                <c:pt idx="273">
                  <c:v>45604</c:v>
                </c:pt>
                <c:pt idx="274">
                  <c:v>45603</c:v>
                </c:pt>
                <c:pt idx="275">
                  <c:v>45602</c:v>
                </c:pt>
                <c:pt idx="276">
                  <c:v>45601</c:v>
                </c:pt>
                <c:pt idx="277">
                  <c:v>45600</c:v>
                </c:pt>
                <c:pt idx="278">
                  <c:v>45597</c:v>
                </c:pt>
                <c:pt idx="279">
                  <c:v>45596</c:v>
                </c:pt>
                <c:pt idx="280">
                  <c:v>45595</c:v>
                </c:pt>
                <c:pt idx="281">
                  <c:v>45594</c:v>
                </c:pt>
                <c:pt idx="282">
                  <c:v>45593</c:v>
                </c:pt>
                <c:pt idx="283">
                  <c:v>45590</c:v>
                </c:pt>
                <c:pt idx="284">
                  <c:v>45589</c:v>
                </c:pt>
                <c:pt idx="285">
                  <c:v>45588</c:v>
                </c:pt>
                <c:pt idx="286">
                  <c:v>45587</c:v>
                </c:pt>
                <c:pt idx="287">
                  <c:v>45586</c:v>
                </c:pt>
                <c:pt idx="288">
                  <c:v>45583</c:v>
                </c:pt>
                <c:pt idx="289">
                  <c:v>45582</c:v>
                </c:pt>
                <c:pt idx="290">
                  <c:v>45581</c:v>
                </c:pt>
                <c:pt idx="291">
                  <c:v>45580</c:v>
                </c:pt>
                <c:pt idx="292">
                  <c:v>45579</c:v>
                </c:pt>
                <c:pt idx="293">
                  <c:v>45576</c:v>
                </c:pt>
                <c:pt idx="294">
                  <c:v>45575</c:v>
                </c:pt>
                <c:pt idx="295">
                  <c:v>45574</c:v>
                </c:pt>
                <c:pt idx="296">
                  <c:v>45573</c:v>
                </c:pt>
                <c:pt idx="297">
                  <c:v>45572</c:v>
                </c:pt>
                <c:pt idx="298">
                  <c:v>45569</c:v>
                </c:pt>
                <c:pt idx="299">
                  <c:v>45568</c:v>
                </c:pt>
                <c:pt idx="300">
                  <c:v>45567</c:v>
                </c:pt>
                <c:pt idx="301">
                  <c:v>45566</c:v>
                </c:pt>
                <c:pt idx="302">
                  <c:v>45565</c:v>
                </c:pt>
                <c:pt idx="303">
                  <c:v>45562</c:v>
                </c:pt>
                <c:pt idx="304">
                  <c:v>45561</c:v>
                </c:pt>
                <c:pt idx="305">
                  <c:v>45560</c:v>
                </c:pt>
                <c:pt idx="306">
                  <c:v>45559</c:v>
                </c:pt>
                <c:pt idx="307">
                  <c:v>45558</c:v>
                </c:pt>
                <c:pt idx="308">
                  <c:v>45555</c:v>
                </c:pt>
                <c:pt idx="309">
                  <c:v>45554</c:v>
                </c:pt>
                <c:pt idx="310">
                  <c:v>45553</c:v>
                </c:pt>
                <c:pt idx="311">
                  <c:v>45552</c:v>
                </c:pt>
                <c:pt idx="312">
                  <c:v>45551</c:v>
                </c:pt>
                <c:pt idx="313">
                  <c:v>45548</c:v>
                </c:pt>
                <c:pt idx="314">
                  <c:v>45547</c:v>
                </c:pt>
                <c:pt idx="315">
                  <c:v>45546</c:v>
                </c:pt>
                <c:pt idx="316">
                  <c:v>45545</c:v>
                </c:pt>
                <c:pt idx="317">
                  <c:v>45544</c:v>
                </c:pt>
                <c:pt idx="318">
                  <c:v>45541</c:v>
                </c:pt>
                <c:pt idx="319">
                  <c:v>45540</c:v>
                </c:pt>
                <c:pt idx="320">
                  <c:v>45539</c:v>
                </c:pt>
                <c:pt idx="321">
                  <c:v>45538</c:v>
                </c:pt>
                <c:pt idx="322">
                  <c:v>45534</c:v>
                </c:pt>
                <c:pt idx="323">
                  <c:v>45533</c:v>
                </c:pt>
                <c:pt idx="324">
                  <c:v>45532</c:v>
                </c:pt>
                <c:pt idx="325">
                  <c:v>45531</c:v>
                </c:pt>
                <c:pt idx="326">
                  <c:v>45530</c:v>
                </c:pt>
                <c:pt idx="327">
                  <c:v>45527</c:v>
                </c:pt>
                <c:pt idx="328">
                  <c:v>45526</c:v>
                </c:pt>
                <c:pt idx="329">
                  <c:v>45525</c:v>
                </c:pt>
                <c:pt idx="330">
                  <c:v>45524</c:v>
                </c:pt>
                <c:pt idx="331">
                  <c:v>45523</c:v>
                </c:pt>
                <c:pt idx="332">
                  <c:v>45520</c:v>
                </c:pt>
                <c:pt idx="333">
                  <c:v>45519</c:v>
                </c:pt>
                <c:pt idx="334">
                  <c:v>45518</c:v>
                </c:pt>
                <c:pt idx="335">
                  <c:v>45517</c:v>
                </c:pt>
                <c:pt idx="336">
                  <c:v>45516</c:v>
                </c:pt>
                <c:pt idx="337">
                  <c:v>45513</c:v>
                </c:pt>
                <c:pt idx="338">
                  <c:v>45512</c:v>
                </c:pt>
                <c:pt idx="339">
                  <c:v>45511</c:v>
                </c:pt>
                <c:pt idx="340">
                  <c:v>45510</c:v>
                </c:pt>
                <c:pt idx="341">
                  <c:v>45509</c:v>
                </c:pt>
                <c:pt idx="342">
                  <c:v>45506</c:v>
                </c:pt>
                <c:pt idx="343">
                  <c:v>45505</c:v>
                </c:pt>
                <c:pt idx="344">
                  <c:v>45504</c:v>
                </c:pt>
                <c:pt idx="345">
                  <c:v>45503</c:v>
                </c:pt>
                <c:pt idx="346">
                  <c:v>45502</c:v>
                </c:pt>
                <c:pt idx="347">
                  <c:v>45499</c:v>
                </c:pt>
                <c:pt idx="348">
                  <c:v>45498</c:v>
                </c:pt>
                <c:pt idx="349">
                  <c:v>45497</c:v>
                </c:pt>
                <c:pt idx="350">
                  <c:v>45496</c:v>
                </c:pt>
                <c:pt idx="351">
                  <c:v>45495</c:v>
                </c:pt>
                <c:pt idx="352">
                  <c:v>45492</c:v>
                </c:pt>
                <c:pt idx="353">
                  <c:v>45491</c:v>
                </c:pt>
                <c:pt idx="354">
                  <c:v>45490</c:v>
                </c:pt>
                <c:pt idx="355">
                  <c:v>45489</c:v>
                </c:pt>
                <c:pt idx="356">
                  <c:v>45488</c:v>
                </c:pt>
                <c:pt idx="357">
                  <c:v>45485</c:v>
                </c:pt>
                <c:pt idx="358">
                  <c:v>45484</c:v>
                </c:pt>
                <c:pt idx="359">
                  <c:v>45483</c:v>
                </c:pt>
                <c:pt idx="360">
                  <c:v>45482</c:v>
                </c:pt>
                <c:pt idx="361">
                  <c:v>45481</c:v>
                </c:pt>
                <c:pt idx="362">
                  <c:v>45478</c:v>
                </c:pt>
                <c:pt idx="363">
                  <c:v>45476</c:v>
                </c:pt>
                <c:pt idx="364">
                  <c:v>45475</c:v>
                </c:pt>
                <c:pt idx="365">
                  <c:v>45474</c:v>
                </c:pt>
                <c:pt idx="366">
                  <c:v>45471</c:v>
                </c:pt>
                <c:pt idx="367">
                  <c:v>45470</c:v>
                </c:pt>
                <c:pt idx="368">
                  <c:v>45469</c:v>
                </c:pt>
                <c:pt idx="369">
                  <c:v>45468</c:v>
                </c:pt>
                <c:pt idx="370">
                  <c:v>45467</c:v>
                </c:pt>
                <c:pt idx="371">
                  <c:v>45464</c:v>
                </c:pt>
                <c:pt idx="372">
                  <c:v>45463</c:v>
                </c:pt>
                <c:pt idx="373">
                  <c:v>45461</c:v>
                </c:pt>
                <c:pt idx="374">
                  <c:v>45460</c:v>
                </c:pt>
                <c:pt idx="375">
                  <c:v>45457</c:v>
                </c:pt>
                <c:pt idx="376">
                  <c:v>45456</c:v>
                </c:pt>
                <c:pt idx="377">
                  <c:v>45455</c:v>
                </c:pt>
                <c:pt idx="378">
                  <c:v>45454</c:v>
                </c:pt>
                <c:pt idx="379">
                  <c:v>45453</c:v>
                </c:pt>
                <c:pt idx="380">
                  <c:v>45450</c:v>
                </c:pt>
                <c:pt idx="381">
                  <c:v>45449</c:v>
                </c:pt>
                <c:pt idx="382">
                  <c:v>45448</c:v>
                </c:pt>
                <c:pt idx="383">
                  <c:v>45447</c:v>
                </c:pt>
                <c:pt idx="384">
                  <c:v>45446</c:v>
                </c:pt>
                <c:pt idx="385">
                  <c:v>45443</c:v>
                </c:pt>
                <c:pt idx="386">
                  <c:v>45442</c:v>
                </c:pt>
                <c:pt idx="387">
                  <c:v>45441</c:v>
                </c:pt>
                <c:pt idx="388">
                  <c:v>45440</c:v>
                </c:pt>
                <c:pt idx="389">
                  <c:v>45436</c:v>
                </c:pt>
                <c:pt idx="390">
                  <c:v>45435</c:v>
                </c:pt>
                <c:pt idx="391">
                  <c:v>45434</c:v>
                </c:pt>
                <c:pt idx="392">
                  <c:v>45433</c:v>
                </c:pt>
                <c:pt idx="393">
                  <c:v>45432</c:v>
                </c:pt>
                <c:pt idx="394">
                  <c:v>45429</c:v>
                </c:pt>
                <c:pt idx="395">
                  <c:v>45428</c:v>
                </c:pt>
                <c:pt idx="396">
                  <c:v>45427</c:v>
                </c:pt>
                <c:pt idx="397">
                  <c:v>45426</c:v>
                </c:pt>
                <c:pt idx="398">
                  <c:v>45425</c:v>
                </c:pt>
                <c:pt idx="399">
                  <c:v>45422</c:v>
                </c:pt>
                <c:pt idx="400">
                  <c:v>45421</c:v>
                </c:pt>
                <c:pt idx="401">
                  <c:v>45420</c:v>
                </c:pt>
                <c:pt idx="402">
                  <c:v>45419</c:v>
                </c:pt>
                <c:pt idx="403">
                  <c:v>45418</c:v>
                </c:pt>
                <c:pt idx="404">
                  <c:v>45415</c:v>
                </c:pt>
                <c:pt idx="405">
                  <c:v>45414</c:v>
                </c:pt>
                <c:pt idx="406">
                  <c:v>45413</c:v>
                </c:pt>
                <c:pt idx="407">
                  <c:v>45412</c:v>
                </c:pt>
                <c:pt idx="408">
                  <c:v>45411</c:v>
                </c:pt>
                <c:pt idx="409">
                  <c:v>45408</c:v>
                </c:pt>
                <c:pt idx="410">
                  <c:v>45407</c:v>
                </c:pt>
                <c:pt idx="411">
                  <c:v>45406</c:v>
                </c:pt>
                <c:pt idx="412">
                  <c:v>45405</c:v>
                </c:pt>
                <c:pt idx="413">
                  <c:v>45404</c:v>
                </c:pt>
                <c:pt idx="414">
                  <c:v>45401</c:v>
                </c:pt>
                <c:pt idx="415">
                  <c:v>45400</c:v>
                </c:pt>
                <c:pt idx="416">
                  <c:v>45399</c:v>
                </c:pt>
                <c:pt idx="417">
                  <c:v>45398</c:v>
                </c:pt>
                <c:pt idx="418">
                  <c:v>45397</c:v>
                </c:pt>
                <c:pt idx="419">
                  <c:v>45394</c:v>
                </c:pt>
                <c:pt idx="420">
                  <c:v>45393</c:v>
                </c:pt>
                <c:pt idx="421">
                  <c:v>45392</c:v>
                </c:pt>
                <c:pt idx="422">
                  <c:v>45391</c:v>
                </c:pt>
                <c:pt idx="423">
                  <c:v>45390</c:v>
                </c:pt>
                <c:pt idx="424">
                  <c:v>45387</c:v>
                </c:pt>
                <c:pt idx="425">
                  <c:v>45386</c:v>
                </c:pt>
                <c:pt idx="426">
                  <c:v>45385</c:v>
                </c:pt>
                <c:pt idx="427">
                  <c:v>45384</c:v>
                </c:pt>
                <c:pt idx="428">
                  <c:v>45383</c:v>
                </c:pt>
                <c:pt idx="429">
                  <c:v>45379</c:v>
                </c:pt>
                <c:pt idx="430">
                  <c:v>45378</c:v>
                </c:pt>
                <c:pt idx="431">
                  <c:v>45377</c:v>
                </c:pt>
                <c:pt idx="432">
                  <c:v>45376</c:v>
                </c:pt>
                <c:pt idx="433">
                  <c:v>45373</c:v>
                </c:pt>
                <c:pt idx="434">
                  <c:v>45372</c:v>
                </c:pt>
                <c:pt idx="435">
                  <c:v>45371</c:v>
                </c:pt>
                <c:pt idx="436">
                  <c:v>45370</c:v>
                </c:pt>
                <c:pt idx="437">
                  <c:v>45369</c:v>
                </c:pt>
                <c:pt idx="438">
                  <c:v>45366</c:v>
                </c:pt>
                <c:pt idx="439">
                  <c:v>45365</c:v>
                </c:pt>
                <c:pt idx="440">
                  <c:v>45364</c:v>
                </c:pt>
                <c:pt idx="441">
                  <c:v>45363</c:v>
                </c:pt>
                <c:pt idx="442">
                  <c:v>45362</c:v>
                </c:pt>
                <c:pt idx="443">
                  <c:v>45359</c:v>
                </c:pt>
                <c:pt idx="444">
                  <c:v>45358</c:v>
                </c:pt>
                <c:pt idx="445">
                  <c:v>45357</c:v>
                </c:pt>
                <c:pt idx="446">
                  <c:v>45356</c:v>
                </c:pt>
                <c:pt idx="447">
                  <c:v>45355</c:v>
                </c:pt>
                <c:pt idx="448">
                  <c:v>45352</c:v>
                </c:pt>
                <c:pt idx="449">
                  <c:v>45351</c:v>
                </c:pt>
                <c:pt idx="450">
                  <c:v>45350</c:v>
                </c:pt>
                <c:pt idx="451">
                  <c:v>45349</c:v>
                </c:pt>
                <c:pt idx="452">
                  <c:v>45348</c:v>
                </c:pt>
                <c:pt idx="453">
                  <c:v>45345</c:v>
                </c:pt>
                <c:pt idx="454">
                  <c:v>45344</c:v>
                </c:pt>
                <c:pt idx="455">
                  <c:v>45343</c:v>
                </c:pt>
                <c:pt idx="456">
                  <c:v>45342</c:v>
                </c:pt>
                <c:pt idx="457">
                  <c:v>45338</c:v>
                </c:pt>
                <c:pt idx="458">
                  <c:v>45337</c:v>
                </c:pt>
                <c:pt idx="459">
                  <c:v>45336</c:v>
                </c:pt>
                <c:pt idx="460">
                  <c:v>45335</c:v>
                </c:pt>
                <c:pt idx="461">
                  <c:v>45334</c:v>
                </c:pt>
                <c:pt idx="462">
                  <c:v>45331</c:v>
                </c:pt>
                <c:pt idx="463">
                  <c:v>45330</c:v>
                </c:pt>
                <c:pt idx="464">
                  <c:v>45329</c:v>
                </c:pt>
                <c:pt idx="465">
                  <c:v>45328</c:v>
                </c:pt>
                <c:pt idx="466">
                  <c:v>45327</c:v>
                </c:pt>
                <c:pt idx="467">
                  <c:v>45324</c:v>
                </c:pt>
                <c:pt idx="468">
                  <c:v>45323</c:v>
                </c:pt>
                <c:pt idx="469">
                  <c:v>45322</c:v>
                </c:pt>
                <c:pt idx="470">
                  <c:v>45321</c:v>
                </c:pt>
                <c:pt idx="471">
                  <c:v>45320</c:v>
                </c:pt>
                <c:pt idx="472">
                  <c:v>45317</c:v>
                </c:pt>
                <c:pt idx="473">
                  <c:v>45316</c:v>
                </c:pt>
                <c:pt idx="474">
                  <c:v>45315</c:v>
                </c:pt>
                <c:pt idx="475">
                  <c:v>45314</c:v>
                </c:pt>
                <c:pt idx="476">
                  <c:v>45313</c:v>
                </c:pt>
                <c:pt idx="477">
                  <c:v>45310</c:v>
                </c:pt>
                <c:pt idx="478">
                  <c:v>45309</c:v>
                </c:pt>
                <c:pt idx="479">
                  <c:v>45308</c:v>
                </c:pt>
                <c:pt idx="480">
                  <c:v>45307</c:v>
                </c:pt>
                <c:pt idx="481">
                  <c:v>45303</c:v>
                </c:pt>
                <c:pt idx="482">
                  <c:v>45302</c:v>
                </c:pt>
                <c:pt idx="483">
                  <c:v>45301</c:v>
                </c:pt>
                <c:pt idx="484">
                  <c:v>45300</c:v>
                </c:pt>
                <c:pt idx="485">
                  <c:v>45299</c:v>
                </c:pt>
                <c:pt idx="486">
                  <c:v>45296</c:v>
                </c:pt>
                <c:pt idx="487">
                  <c:v>45295</c:v>
                </c:pt>
                <c:pt idx="488">
                  <c:v>45294</c:v>
                </c:pt>
                <c:pt idx="489">
                  <c:v>45293</c:v>
                </c:pt>
                <c:pt idx="490">
                  <c:v>45289</c:v>
                </c:pt>
                <c:pt idx="491">
                  <c:v>45288</c:v>
                </c:pt>
                <c:pt idx="492">
                  <c:v>45287</c:v>
                </c:pt>
                <c:pt idx="493">
                  <c:v>45286</c:v>
                </c:pt>
                <c:pt idx="494">
                  <c:v>45282</c:v>
                </c:pt>
                <c:pt idx="495">
                  <c:v>45281</c:v>
                </c:pt>
                <c:pt idx="496">
                  <c:v>45280</c:v>
                </c:pt>
                <c:pt idx="497">
                  <c:v>45279</c:v>
                </c:pt>
                <c:pt idx="498">
                  <c:v>45278</c:v>
                </c:pt>
                <c:pt idx="499">
                  <c:v>45275</c:v>
                </c:pt>
                <c:pt idx="500">
                  <c:v>45274</c:v>
                </c:pt>
                <c:pt idx="501">
                  <c:v>45273</c:v>
                </c:pt>
                <c:pt idx="502">
                  <c:v>45272</c:v>
                </c:pt>
                <c:pt idx="503">
                  <c:v>45271</c:v>
                </c:pt>
                <c:pt idx="504">
                  <c:v>45268</c:v>
                </c:pt>
                <c:pt idx="505">
                  <c:v>45267</c:v>
                </c:pt>
                <c:pt idx="506">
                  <c:v>45266</c:v>
                </c:pt>
                <c:pt idx="507">
                  <c:v>45265</c:v>
                </c:pt>
                <c:pt idx="508">
                  <c:v>45264</c:v>
                </c:pt>
                <c:pt idx="509">
                  <c:v>45261</c:v>
                </c:pt>
                <c:pt idx="510">
                  <c:v>45260</c:v>
                </c:pt>
                <c:pt idx="511">
                  <c:v>45259</c:v>
                </c:pt>
                <c:pt idx="512">
                  <c:v>45258</c:v>
                </c:pt>
                <c:pt idx="513">
                  <c:v>45257</c:v>
                </c:pt>
                <c:pt idx="514">
                  <c:v>45254</c:v>
                </c:pt>
                <c:pt idx="515">
                  <c:v>45252</c:v>
                </c:pt>
                <c:pt idx="516">
                  <c:v>45251</c:v>
                </c:pt>
                <c:pt idx="517">
                  <c:v>45250</c:v>
                </c:pt>
                <c:pt idx="518">
                  <c:v>45247</c:v>
                </c:pt>
                <c:pt idx="519">
                  <c:v>45246</c:v>
                </c:pt>
                <c:pt idx="520">
                  <c:v>45245</c:v>
                </c:pt>
                <c:pt idx="521">
                  <c:v>45244</c:v>
                </c:pt>
                <c:pt idx="522">
                  <c:v>45243</c:v>
                </c:pt>
                <c:pt idx="523">
                  <c:v>45240</c:v>
                </c:pt>
                <c:pt idx="524">
                  <c:v>45239</c:v>
                </c:pt>
                <c:pt idx="525">
                  <c:v>45238</c:v>
                </c:pt>
                <c:pt idx="526">
                  <c:v>45237</c:v>
                </c:pt>
                <c:pt idx="527">
                  <c:v>45236</c:v>
                </c:pt>
                <c:pt idx="528">
                  <c:v>45233</c:v>
                </c:pt>
                <c:pt idx="529">
                  <c:v>45232</c:v>
                </c:pt>
                <c:pt idx="530">
                  <c:v>45231</c:v>
                </c:pt>
                <c:pt idx="531">
                  <c:v>45230</c:v>
                </c:pt>
                <c:pt idx="532">
                  <c:v>45229</c:v>
                </c:pt>
                <c:pt idx="533">
                  <c:v>45226</c:v>
                </c:pt>
                <c:pt idx="534">
                  <c:v>45225</c:v>
                </c:pt>
                <c:pt idx="535">
                  <c:v>45224</c:v>
                </c:pt>
                <c:pt idx="536">
                  <c:v>45223</c:v>
                </c:pt>
                <c:pt idx="537">
                  <c:v>45222</c:v>
                </c:pt>
                <c:pt idx="538">
                  <c:v>45219</c:v>
                </c:pt>
                <c:pt idx="539">
                  <c:v>45218</c:v>
                </c:pt>
                <c:pt idx="540">
                  <c:v>45217</c:v>
                </c:pt>
                <c:pt idx="541">
                  <c:v>45216</c:v>
                </c:pt>
                <c:pt idx="542">
                  <c:v>45215</c:v>
                </c:pt>
                <c:pt idx="543">
                  <c:v>45212</c:v>
                </c:pt>
                <c:pt idx="544">
                  <c:v>45211</c:v>
                </c:pt>
                <c:pt idx="545">
                  <c:v>45210</c:v>
                </c:pt>
                <c:pt idx="546">
                  <c:v>45209</c:v>
                </c:pt>
                <c:pt idx="547">
                  <c:v>45208</c:v>
                </c:pt>
                <c:pt idx="548">
                  <c:v>45205</c:v>
                </c:pt>
                <c:pt idx="549">
                  <c:v>45204</c:v>
                </c:pt>
                <c:pt idx="550">
                  <c:v>45203</c:v>
                </c:pt>
                <c:pt idx="551">
                  <c:v>45202</c:v>
                </c:pt>
                <c:pt idx="552">
                  <c:v>45201</c:v>
                </c:pt>
                <c:pt idx="553">
                  <c:v>45198</c:v>
                </c:pt>
                <c:pt idx="554">
                  <c:v>45197</c:v>
                </c:pt>
                <c:pt idx="555">
                  <c:v>45196</c:v>
                </c:pt>
                <c:pt idx="556">
                  <c:v>45195</c:v>
                </c:pt>
                <c:pt idx="557">
                  <c:v>45194</c:v>
                </c:pt>
                <c:pt idx="558">
                  <c:v>45191</c:v>
                </c:pt>
                <c:pt idx="559">
                  <c:v>45190</c:v>
                </c:pt>
                <c:pt idx="560">
                  <c:v>45189</c:v>
                </c:pt>
                <c:pt idx="561">
                  <c:v>45188</c:v>
                </c:pt>
                <c:pt idx="562">
                  <c:v>45187</c:v>
                </c:pt>
                <c:pt idx="563">
                  <c:v>45184</c:v>
                </c:pt>
                <c:pt idx="564">
                  <c:v>45183</c:v>
                </c:pt>
                <c:pt idx="565">
                  <c:v>45182</c:v>
                </c:pt>
                <c:pt idx="566">
                  <c:v>45181</c:v>
                </c:pt>
                <c:pt idx="567">
                  <c:v>45180</c:v>
                </c:pt>
                <c:pt idx="568">
                  <c:v>45177</c:v>
                </c:pt>
                <c:pt idx="569">
                  <c:v>45176</c:v>
                </c:pt>
                <c:pt idx="570">
                  <c:v>45175</c:v>
                </c:pt>
                <c:pt idx="571">
                  <c:v>45174</c:v>
                </c:pt>
                <c:pt idx="572">
                  <c:v>45170</c:v>
                </c:pt>
                <c:pt idx="573">
                  <c:v>45169</c:v>
                </c:pt>
                <c:pt idx="574">
                  <c:v>45168</c:v>
                </c:pt>
                <c:pt idx="575">
                  <c:v>45167</c:v>
                </c:pt>
                <c:pt idx="576">
                  <c:v>45166</c:v>
                </c:pt>
                <c:pt idx="577">
                  <c:v>45163</c:v>
                </c:pt>
                <c:pt idx="578">
                  <c:v>45162</c:v>
                </c:pt>
                <c:pt idx="579">
                  <c:v>45161</c:v>
                </c:pt>
                <c:pt idx="580">
                  <c:v>45160</c:v>
                </c:pt>
                <c:pt idx="581">
                  <c:v>45159</c:v>
                </c:pt>
                <c:pt idx="582">
                  <c:v>45156</c:v>
                </c:pt>
                <c:pt idx="583">
                  <c:v>45155</c:v>
                </c:pt>
                <c:pt idx="584">
                  <c:v>45154</c:v>
                </c:pt>
                <c:pt idx="585">
                  <c:v>45153</c:v>
                </c:pt>
                <c:pt idx="586">
                  <c:v>45152</c:v>
                </c:pt>
                <c:pt idx="587">
                  <c:v>45149</c:v>
                </c:pt>
                <c:pt idx="588">
                  <c:v>45148</c:v>
                </c:pt>
                <c:pt idx="589">
                  <c:v>45147</c:v>
                </c:pt>
                <c:pt idx="590">
                  <c:v>45146</c:v>
                </c:pt>
                <c:pt idx="591">
                  <c:v>45145</c:v>
                </c:pt>
                <c:pt idx="592">
                  <c:v>45142</c:v>
                </c:pt>
                <c:pt idx="593">
                  <c:v>45141</c:v>
                </c:pt>
                <c:pt idx="594">
                  <c:v>45140</c:v>
                </c:pt>
                <c:pt idx="595">
                  <c:v>45139</c:v>
                </c:pt>
                <c:pt idx="596">
                  <c:v>45138</c:v>
                </c:pt>
                <c:pt idx="597">
                  <c:v>45135</c:v>
                </c:pt>
                <c:pt idx="598">
                  <c:v>45134</c:v>
                </c:pt>
                <c:pt idx="599">
                  <c:v>45133</c:v>
                </c:pt>
                <c:pt idx="600">
                  <c:v>45132</c:v>
                </c:pt>
                <c:pt idx="601">
                  <c:v>45131</c:v>
                </c:pt>
                <c:pt idx="602">
                  <c:v>45128</c:v>
                </c:pt>
                <c:pt idx="603">
                  <c:v>45127</c:v>
                </c:pt>
                <c:pt idx="604">
                  <c:v>45126</c:v>
                </c:pt>
                <c:pt idx="605">
                  <c:v>45125</c:v>
                </c:pt>
                <c:pt idx="606">
                  <c:v>45124</c:v>
                </c:pt>
                <c:pt idx="607">
                  <c:v>45121</c:v>
                </c:pt>
                <c:pt idx="608">
                  <c:v>45120</c:v>
                </c:pt>
                <c:pt idx="609">
                  <c:v>45119</c:v>
                </c:pt>
                <c:pt idx="610">
                  <c:v>45118</c:v>
                </c:pt>
                <c:pt idx="611">
                  <c:v>45117</c:v>
                </c:pt>
                <c:pt idx="612">
                  <c:v>45114</c:v>
                </c:pt>
                <c:pt idx="613">
                  <c:v>45113</c:v>
                </c:pt>
                <c:pt idx="614">
                  <c:v>45112</c:v>
                </c:pt>
                <c:pt idx="615">
                  <c:v>45110</c:v>
                </c:pt>
                <c:pt idx="616">
                  <c:v>45107</c:v>
                </c:pt>
                <c:pt idx="617">
                  <c:v>45106</c:v>
                </c:pt>
                <c:pt idx="618">
                  <c:v>45105</c:v>
                </c:pt>
                <c:pt idx="619">
                  <c:v>45104</c:v>
                </c:pt>
                <c:pt idx="620">
                  <c:v>45103</c:v>
                </c:pt>
                <c:pt idx="621">
                  <c:v>45100</c:v>
                </c:pt>
                <c:pt idx="622">
                  <c:v>45099</c:v>
                </c:pt>
                <c:pt idx="623">
                  <c:v>45098</c:v>
                </c:pt>
                <c:pt idx="624">
                  <c:v>45097</c:v>
                </c:pt>
                <c:pt idx="625">
                  <c:v>45093</c:v>
                </c:pt>
                <c:pt idx="626">
                  <c:v>45092</c:v>
                </c:pt>
                <c:pt idx="627">
                  <c:v>45091</c:v>
                </c:pt>
                <c:pt idx="628">
                  <c:v>45090</c:v>
                </c:pt>
                <c:pt idx="629">
                  <c:v>45089</c:v>
                </c:pt>
                <c:pt idx="630">
                  <c:v>45086</c:v>
                </c:pt>
                <c:pt idx="631">
                  <c:v>45085</c:v>
                </c:pt>
                <c:pt idx="632">
                  <c:v>45084</c:v>
                </c:pt>
                <c:pt idx="633">
                  <c:v>45083</c:v>
                </c:pt>
                <c:pt idx="634">
                  <c:v>45082</c:v>
                </c:pt>
                <c:pt idx="635">
                  <c:v>45079</c:v>
                </c:pt>
                <c:pt idx="636">
                  <c:v>45078</c:v>
                </c:pt>
                <c:pt idx="637">
                  <c:v>45077</c:v>
                </c:pt>
                <c:pt idx="638">
                  <c:v>45076</c:v>
                </c:pt>
                <c:pt idx="639">
                  <c:v>45072</c:v>
                </c:pt>
                <c:pt idx="640">
                  <c:v>45071</c:v>
                </c:pt>
                <c:pt idx="641">
                  <c:v>45070</c:v>
                </c:pt>
                <c:pt idx="642">
                  <c:v>45069</c:v>
                </c:pt>
                <c:pt idx="643">
                  <c:v>45068</c:v>
                </c:pt>
                <c:pt idx="644">
                  <c:v>45065</c:v>
                </c:pt>
                <c:pt idx="645">
                  <c:v>45064</c:v>
                </c:pt>
                <c:pt idx="646">
                  <c:v>45063</c:v>
                </c:pt>
                <c:pt idx="647">
                  <c:v>45062</c:v>
                </c:pt>
                <c:pt idx="648">
                  <c:v>45061</c:v>
                </c:pt>
                <c:pt idx="649">
                  <c:v>45058</c:v>
                </c:pt>
                <c:pt idx="650">
                  <c:v>45057</c:v>
                </c:pt>
                <c:pt idx="651">
                  <c:v>45056</c:v>
                </c:pt>
                <c:pt idx="652">
                  <c:v>45055</c:v>
                </c:pt>
                <c:pt idx="653">
                  <c:v>45054</c:v>
                </c:pt>
                <c:pt idx="654">
                  <c:v>45051</c:v>
                </c:pt>
                <c:pt idx="655">
                  <c:v>45050</c:v>
                </c:pt>
                <c:pt idx="656">
                  <c:v>45049</c:v>
                </c:pt>
                <c:pt idx="657">
                  <c:v>45048</c:v>
                </c:pt>
                <c:pt idx="658">
                  <c:v>45047</c:v>
                </c:pt>
                <c:pt idx="659">
                  <c:v>45044</c:v>
                </c:pt>
                <c:pt idx="660">
                  <c:v>45043</c:v>
                </c:pt>
                <c:pt idx="661">
                  <c:v>45042</c:v>
                </c:pt>
                <c:pt idx="662">
                  <c:v>45041</c:v>
                </c:pt>
                <c:pt idx="663">
                  <c:v>45040</c:v>
                </c:pt>
                <c:pt idx="664">
                  <c:v>45037</c:v>
                </c:pt>
                <c:pt idx="665">
                  <c:v>45036</c:v>
                </c:pt>
                <c:pt idx="666">
                  <c:v>45035</c:v>
                </c:pt>
                <c:pt idx="667">
                  <c:v>45034</c:v>
                </c:pt>
                <c:pt idx="668">
                  <c:v>45033</c:v>
                </c:pt>
                <c:pt idx="669">
                  <c:v>45030</c:v>
                </c:pt>
                <c:pt idx="670">
                  <c:v>45029</c:v>
                </c:pt>
                <c:pt idx="671">
                  <c:v>45028</c:v>
                </c:pt>
                <c:pt idx="672">
                  <c:v>45027</c:v>
                </c:pt>
                <c:pt idx="673">
                  <c:v>45026</c:v>
                </c:pt>
                <c:pt idx="674">
                  <c:v>45022</c:v>
                </c:pt>
                <c:pt idx="675">
                  <c:v>45021</c:v>
                </c:pt>
                <c:pt idx="676">
                  <c:v>45020</c:v>
                </c:pt>
                <c:pt idx="677">
                  <c:v>45019</c:v>
                </c:pt>
                <c:pt idx="678">
                  <c:v>45016</c:v>
                </c:pt>
                <c:pt idx="679">
                  <c:v>45015</c:v>
                </c:pt>
                <c:pt idx="680">
                  <c:v>45014</c:v>
                </c:pt>
                <c:pt idx="681">
                  <c:v>45013</c:v>
                </c:pt>
                <c:pt idx="682">
                  <c:v>45012</c:v>
                </c:pt>
                <c:pt idx="683">
                  <c:v>45009</c:v>
                </c:pt>
                <c:pt idx="684">
                  <c:v>45008</c:v>
                </c:pt>
                <c:pt idx="685">
                  <c:v>45007</c:v>
                </c:pt>
                <c:pt idx="686">
                  <c:v>45006</c:v>
                </c:pt>
                <c:pt idx="687">
                  <c:v>45005</c:v>
                </c:pt>
                <c:pt idx="688">
                  <c:v>45002</c:v>
                </c:pt>
                <c:pt idx="689">
                  <c:v>45001</c:v>
                </c:pt>
                <c:pt idx="690">
                  <c:v>45001</c:v>
                </c:pt>
                <c:pt idx="691">
                  <c:v>45000</c:v>
                </c:pt>
                <c:pt idx="692">
                  <c:v>45000</c:v>
                </c:pt>
                <c:pt idx="693">
                  <c:v>44999</c:v>
                </c:pt>
                <c:pt idx="694">
                  <c:v>44999</c:v>
                </c:pt>
                <c:pt idx="695">
                  <c:v>44998</c:v>
                </c:pt>
                <c:pt idx="696">
                  <c:v>44998</c:v>
                </c:pt>
                <c:pt idx="697">
                  <c:v>44995</c:v>
                </c:pt>
                <c:pt idx="698">
                  <c:v>44995</c:v>
                </c:pt>
                <c:pt idx="699">
                  <c:v>44994</c:v>
                </c:pt>
                <c:pt idx="700">
                  <c:v>44994</c:v>
                </c:pt>
                <c:pt idx="701">
                  <c:v>44993</c:v>
                </c:pt>
                <c:pt idx="702">
                  <c:v>44993</c:v>
                </c:pt>
                <c:pt idx="703">
                  <c:v>44992</c:v>
                </c:pt>
                <c:pt idx="704">
                  <c:v>44992</c:v>
                </c:pt>
                <c:pt idx="705">
                  <c:v>44991</c:v>
                </c:pt>
                <c:pt idx="706">
                  <c:v>44991</c:v>
                </c:pt>
                <c:pt idx="707">
                  <c:v>44988</c:v>
                </c:pt>
                <c:pt idx="708">
                  <c:v>44988</c:v>
                </c:pt>
                <c:pt idx="709">
                  <c:v>44987</c:v>
                </c:pt>
                <c:pt idx="710">
                  <c:v>44987</c:v>
                </c:pt>
                <c:pt idx="711">
                  <c:v>44986</c:v>
                </c:pt>
                <c:pt idx="712">
                  <c:v>44986</c:v>
                </c:pt>
                <c:pt idx="713">
                  <c:v>44985</c:v>
                </c:pt>
                <c:pt idx="714">
                  <c:v>44985</c:v>
                </c:pt>
                <c:pt idx="715">
                  <c:v>44984</c:v>
                </c:pt>
                <c:pt idx="716">
                  <c:v>44984</c:v>
                </c:pt>
                <c:pt idx="717">
                  <c:v>44981</c:v>
                </c:pt>
                <c:pt idx="718">
                  <c:v>44981</c:v>
                </c:pt>
                <c:pt idx="719">
                  <c:v>44980</c:v>
                </c:pt>
                <c:pt idx="720">
                  <c:v>44980</c:v>
                </c:pt>
                <c:pt idx="721">
                  <c:v>44979</c:v>
                </c:pt>
                <c:pt idx="722">
                  <c:v>44979</c:v>
                </c:pt>
                <c:pt idx="723">
                  <c:v>44978</c:v>
                </c:pt>
                <c:pt idx="724">
                  <c:v>44978</c:v>
                </c:pt>
                <c:pt idx="725">
                  <c:v>44974</c:v>
                </c:pt>
                <c:pt idx="726">
                  <c:v>44974</c:v>
                </c:pt>
                <c:pt idx="727">
                  <c:v>44973</c:v>
                </c:pt>
                <c:pt idx="728">
                  <c:v>44973</c:v>
                </c:pt>
                <c:pt idx="729">
                  <c:v>44972</c:v>
                </c:pt>
                <c:pt idx="730">
                  <c:v>44972</c:v>
                </c:pt>
                <c:pt idx="731">
                  <c:v>44971</c:v>
                </c:pt>
                <c:pt idx="732">
                  <c:v>44971</c:v>
                </c:pt>
                <c:pt idx="733">
                  <c:v>44970</c:v>
                </c:pt>
                <c:pt idx="734">
                  <c:v>44970</c:v>
                </c:pt>
                <c:pt idx="735">
                  <c:v>44967</c:v>
                </c:pt>
                <c:pt idx="736">
                  <c:v>44967</c:v>
                </c:pt>
                <c:pt idx="737">
                  <c:v>44966</c:v>
                </c:pt>
                <c:pt idx="738">
                  <c:v>44966</c:v>
                </c:pt>
                <c:pt idx="739">
                  <c:v>44965</c:v>
                </c:pt>
                <c:pt idx="740">
                  <c:v>44965</c:v>
                </c:pt>
                <c:pt idx="741">
                  <c:v>44964</c:v>
                </c:pt>
                <c:pt idx="742">
                  <c:v>44964</c:v>
                </c:pt>
                <c:pt idx="743">
                  <c:v>44963</c:v>
                </c:pt>
                <c:pt idx="744">
                  <c:v>44963</c:v>
                </c:pt>
                <c:pt idx="745">
                  <c:v>44960</c:v>
                </c:pt>
                <c:pt idx="746">
                  <c:v>44960</c:v>
                </c:pt>
                <c:pt idx="747">
                  <c:v>44959</c:v>
                </c:pt>
                <c:pt idx="748">
                  <c:v>44959</c:v>
                </c:pt>
                <c:pt idx="749">
                  <c:v>44958</c:v>
                </c:pt>
                <c:pt idx="750">
                  <c:v>44958</c:v>
                </c:pt>
                <c:pt idx="751">
                  <c:v>44957</c:v>
                </c:pt>
                <c:pt idx="752">
                  <c:v>44957</c:v>
                </c:pt>
                <c:pt idx="753">
                  <c:v>44956</c:v>
                </c:pt>
                <c:pt idx="754">
                  <c:v>44956</c:v>
                </c:pt>
                <c:pt idx="755">
                  <c:v>44953</c:v>
                </c:pt>
                <c:pt idx="756">
                  <c:v>44953</c:v>
                </c:pt>
                <c:pt idx="757">
                  <c:v>44952</c:v>
                </c:pt>
                <c:pt idx="758">
                  <c:v>44952</c:v>
                </c:pt>
                <c:pt idx="759">
                  <c:v>44951</c:v>
                </c:pt>
                <c:pt idx="760">
                  <c:v>44951</c:v>
                </c:pt>
                <c:pt idx="761">
                  <c:v>44950</c:v>
                </c:pt>
                <c:pt idx="762">
                  <c:v>44950</c:v>
                </c:pt>
                <c:pt idx="763">
                  <c:v>44949</c:v>
                </c:pt>
                <c:pt idx="764">
                  <c:v>44949</c:v>
                </c:pt>
                <c:pt idx="765">
                  <c:v>44946</c:v>
                </c:pt>
                <c:pt idx="766">
                  <c:v>44946</c:v>
                </c:pt>
                <c:pt idx="767">
                  <c:v>44945</c:v>
                </c:pt>
                <c:pt idx="768">
                  <c:v>44945</c:v>
                </c:pt>
                <c:pt idx="769">
                  <c:v>44944</c:v>
                </c:pt>
                <c:pt idx="770">
                  <c:v>44944</c:v>
                </c:pt>
                <c:pt idx="771">
                  <c:v>44943</c:v>
                </c:pt>
                <c:pt idx="772">
                  <c:v>44943</c:v>
                </c:pt>
                <c:pt idx="773">
                  <c:v>44939</c:v>
                </c:pt>
                <c:pt idx="774">
                  <c:v>44939</c:v>
                </c:pt>
                <c:pt idx="775">
                  <c:v>44938</c:v>
                </c:pt>
                <c:pt idx="776">
                  <c:v>44938</c:v>
                </c:pt>
                <c:pt idx="777">
                  <c:v>44937</c:v>
                </c:pt>
                <c:pt idx="778">
                  <c:v>44937</c:v>
                </c:pt>
                <c:pt idx="779">
                  <c:v>44936</c:v>
                </c:pt>
                <c:pt idx="780">
                  <c:v>44936</c:v>
                </c:pt>
                <c:pt idx="781">
                  <c:v>44935</c:v>
                </c:pt>
                <c:pt idx="782">
                  <c:v>44935</c:v>
                </c:pt>
                <c:pt idx="783">
                  <c:v>44932</c:v>
                </c:pt>
                <c:pt idx="784">
                  <c:v>44932</c:v>
                </c:pt>
                <c:pt idx="785">
                  <c:v>44931</c:v>
                </c:pt>
                <c:pt idx="786">
                  <c:v>44931</c:v>
                </c:pt>
                <c:pt idx="787">
                  <c:v>44930</c:v>
                </c:pt>
                <c:pt idx="788">
                  <c:v>44930</c:v>
                </c:pt>
                <c:pt idx="789">
                  <c:v>44929</c:v>
                </c:pt>
                <c:pt idx="790">
                  <c:v>44929</c:v>
                </c:pt>
                <c:pt idx="791">
                  <c:v>44925</c:v>
                </c:pt>
                <c:pt idx="792">
                  <c:v>44925</c:v>
                </c:pt>
                <c:pt idx="793">
                  <c:v>44924</c:v>
                </c:pt>
                <c:pt idx="794">
                  <c:v>44924</c:v>
                </c:pt>
                <c:pt idx="795">
                  <c:v>44923</c:v>
                </c:pt>
                <c:pt idx="796">
                  <c:v>44923</c:v>
                </c:pt>
                <c:pt idx="797">
                  <c:v>44922</c:v>
                </c:pt>
                <c:pt idx="798">
                  <c:v>44922</c:v>
                </c:pt>
                <c:pt idx="799">
                  <c:v>44918</c:v>
                </c:pt>
                <c:pt idx="800">
                  <c:v>44918</c:v>
                </c:pt>
                <c:pt idx="801">
                  <c:v>44917</c:v>
                </c:pt>
                <c:pt idx="802">
                  <c:v>44917</c:v>
                </c:pt>
                <c:pt idx="803">
                  <c:v>44916</c:v>
                </c:pt>
                <c:pt idx="804">
                  <c:v>44916</c:v>
                </c:pt>
                <c:pt idx="805">
                  <c:v>44915</c:v>
                </c:pt>
                <c:pt idx="806">
                  <c:v>44915</c:v>
                </c:pt>
                <c:pt idx="807">
                  <c:v>44914</c:v>
                </c:pt>
                <c:pt idx="808">
                  <c:v>44914</c:v>
                </c:pt>
                <c:pt idx="809">
                  <c:v>44911</c:v>
                </c:pt>
                <c:pt idx="810">
                  <c:v>44911</c:v>
                </c:pt>
                <c:pt idx="811">
                  <c:v>44910</c:v>
                </c:pt>
                <c:pt idx="812">
                  <c:v>44910</c:v>
                </c:pt>
                <c:pt idx="813">
                  <c:v>44909</c:v>
                </c:pt>
                <c:pt idx="814">
                  <c:v>44909</c:v>
                </c:pt>
                <c:pt idx="815">
                  <c:v>44908</c:v>
                </c:pt>
                <c:pt idx="816">
                  <c:v>44908</c:v>
                </c:pt>
                <c:pt idx="817">
                  <c:v>44907</c:v>
                </c:pt>
                <c:pt idx="818">
                  <c:v>44907</c:v>
                </c:pt>
                <c:pt idx="819">
                  <c:v>44904</c:v>
                </c:pt>
                <c:pt idx="820">
                  <c:v>44904</c:v>
                </c:pt>
                <c:pt idx="821">
                  <c:v>44903</c:v>
                </c:pt>
                <c:pt idx="822">
                  <c:v>44903</c:v>
                </c:pt>
                <c:pt idx="823">
                  <c:v>44902</c:v>
                </c:pt>
                <c:pt idx="824">
                  <c:v>44902</c:v>
                </c:pt>
                <c:pt idx="825">
                  <c:v>44901</c:v>
                </c:pt>
                <c:pt idx="826">
                  <c:v>44901</c:v>
                </c:pt>
                <c:pt idx="827">
                  <c:v>44900</c:v>
                </c:pt>
                <c:pt idx="828">
                  <c:v>44900</c:v>
                </c:pt>
                <c:pt idx="829">
                  <c:v>44897</c:v>
                </c:pt>
                <c:pt idx="830">
                  <c:v>44897</c:v>
                </c:pt>
                <c:pt idx="831">
                  <c:v>44896</c:v>
                </c:pt>
                <c:pt idx="832">
                  <c:v>44896</c:v>
                </c:pt>
                <c:pt idx="833">
                  <c:v>44895</c:v>
                </c:pt>
                <c:pt idx="834">
                  <c:v>44895</c:v>
                </c:pt>
                <c:pt idx="835">
                  <c:v>44894</c:v>
                </c:pt>
                <c:pt idx="836">
                  <c:v>44894</c:v>
                </c:pt>
                <c:pt idx="837">
                  <c:v>44893</c:v>
                </c:pt>
                <c:pt idx="838">
                  <c:v>44893</c:v>
                </c:pt>
                <c:pt idx="839">
                  <c:v>44890</c:v>
                </c:pt>
                <c:pt idx="840">
                  <c:v>44890</c:v>
                </c:pt>
                <c:pt idx="841">
                  <c:v>44888</c:v>
                </c:pt>
                <c:pt idx="842">
                  <c:v>44888</c:v>
                </c:pt>
                <c:pt idx="843">
                  <c:v>44887</c:v>
                </c:pt>
                <c:pt idx="844">
                  <c:v>44887</c:v>
                </c:pt>
                <c:pt idx="845">
                  <c:v>44886</c:v>
                </c:pt>
                <c:pt idx="846">
                  <c:v>44886</c:v>
                </c:pt>
                <c:pt idx="847">
                  <c:v>44883</c:v>
                </c:pt>
                <c:pt idx="848">
                  <c:v>44883</c:v>
                </c:pt>
                <c:pt idx="849">
                  <c:v>44882</c:v>
                </c:pt>
                <c:pt idx="850">
                  <c:v>44882</c:v>
                </c:pt>
                <c:pt idx="851">
                  <c:v>44881</c:v>
                </c:pt>
                <c:pt idx="852">
                  <c:v>44881</c:v>
                </c:pt>
                <c:pt idx="853">
                  <c:v>44880</c:v>
                </c:pt>
                <c:pt idx="854">
                  <c:v>44880</c:v>
                </c:pt>
                <c:pt idx="855">
                  <c:v>44879</c:v>
                </c:pt>
                <c:pt idx="856">
                  <c:v>44879</c:v>
                </c:pt>
                <c:pt idx="857">
                  <c:v>44876</c:v>
                </c:pt>
                <c:pt idx="858">
                  <c:v>44876</c:v>
                </c:pt>
                <c:pt idx="859">
                  <c:v>44875</c:v>
                </c:pt>
                <c:pt idx="860">
                  <c:v>44875</c:v>
                </c:pt>
                <c:pt idx="861">
                  <c:v>44874</c:v>
                </c:pt>
                <c:pt idx="862">
                  <c:v>44874</c:v>
                </c:pt>
                <c:pt idx="863">
                  <c:v>44873</c:v>
                </c:pt>
                <c:pt idx="864">
                  <c:v>44873</c:v>
                </c:pt>
                <c:pt idx="865">
                  <c:v>44872</c:v>
                </c:pt>
                <c:pt idx="866">
                  <c:v>44872</c:v>
                </c:pt>
                <c:pt idx="867">
                  <c:v>44869</c:v>
                </c:pt>
                <c:pt idx="868">
                  <c:v>44869</c:v>
                </c:pt>
                <c:pt idx="869">
                  <c:v>44868</c:v>
                </c:pt>
                <c:pt idx="870">
                  <c:v>44868</c:v>
                </c:pt>
                <c:pt idx="871">
                  <c:v>44867</c:v>
                </c:pt>
                <c:pt idx="872">
                  <c:v>44867</c:v>
                </c:pt>
                <c:pt idx="873">
                  <c:v>44866</c:v>
                </c:pt>
                <c:pt idx="874">
                  <c:v>44866</c:v>
                </c:pt>
                <c:pt idx="875">
                  <c:v>44865</c:v>
                </c:pt>
                <c:pt idx="876">
                  <c:v>44865</c:v>
                </c:pt>
                <c:pt idx="877">
                  <c:v>44862</c:v>
                </c:pt>
                <c:pt idx="878">
                  <c:v>44862</c:v>
                </c:pt>
                <c:pt idx="879">
                  <c:v>44861</c:v>
                </c:pt>
                <c:pt idx="880">
                  <c:v>44861</c:v>
                </c:pt>
                <c:pt idx="881">
                  <c:v>44860</c:v>
                </c:pt>
                <c:pt idx="882">
                  <c:v>44860</c:v>
                </c:pt>
                <c:pt idx="883">
                  <c:v>44859</c:v>
                </c:pt>
                <c:pt idx="884">
                  <c:v>44859</c:v>
                </c:pt>
                <c:pt idx="885">
                  <c:v>44858</c:v>
                </c:pt>
                <c:pt idx="886">
                  <c:v>44858</c:v>
                </c:pt>
                <c:pt idx="887">
                  <c:v>44855</c:v>
                </c:pt>
                <c:pt idx="888">
                  <c:v>44855</c:v>
                </c:pt>
                <c:pt idx="889">
                  <c:v>44854</c:v>
                </c:pt>
                <c:pt idx="890">
                  <c:v>44854</c:v>
                </c:pt>
                <c:pt idx="891">
                  <c:v>44853</c:v>
                </c:pt>
                <c:pt idx="892">
                  <c:v>44853</c:v>
                </c:pt>
                <c:pt idx="893">
                  <c:v>44852</c:v>
                </c:pt>
                <c:pt idx="894">
                  <c:v>44852</c:v>
                </c:pt>
                <c:pt idx="895">
                  <c:v>44851</c:v>
                </c:pt>
                <c:pt idx="896">
                  <c:v>44851</c:v>
                </c:pt>
                <c:pt idx="897">
                  <c:v>44848</c:v>
                </c:pt>
                <c:pt idx="898">
                  <c:v>44848</c:v>
                </c:pt>
                <c:pt idx="899">
                  <c:v>44847</c:v>
                </c:pt>
                <c:pt idx="900">
                  <c:v>44847</c:v>
                </c:pt>
                <c:pt idx="901">
                  <c:v>44846</c:v>
                </c:pt>
                <c:pt idx="902">
                  <c:v>44846</c:v>
                </c:pt>
                <c:pt idx="903">
                  <c:v>44845</c:v>
                </c:pt>
                <c:pt idx="904">
                  <c:v>44845</c:v>
                </c:pt>
                <c:pt idx="905">
                  <c:v>44844</c:v>
                </c:pt>
                <c:pt idx="906">
                  <c:v>44844</c:v>
                </c:pt>
                <c:pt idx="907">
                  <c:v>44841</c:v>
                </c:pt>
                <c:pt idx="908">
                  <c:v>44841</c:v>
                </c:pt>
                <c:pt idx="909">
                  <c:v>44840</c:v>
                </c:pt>
                <c:pt idx="910">
                  <c:v>44840</c:v>
                </c:pt>
                <c:pt idx="911">
                  <c:v>44839</c:v>
                </c:pt>
                <c:pt idx="912">
                  <c:v>44839</c:v>
                </c:pt>
                <c:pt idx="913">
                  <c:v>44838</c:v>
                </c:pt>
                <c:pt idx="914">
                  <c:v>44838</c:v>
                </c:pt>
                <c:pt idx="915">
                  <c:v>44837</c:v>
                </c:pt>
                <c:pt idx="916">
                  <c:v>44837</c:v>
                </c:pt>
                <c:pt idx="917">
                  <c:v>44834</c:v>
                </c:pt>
                <c:pt idx="918">
                  <c:v>44834</c:v>
                </c:pt>
                <c:pt idx="919">
                  <c:v>44833</c:v>
                </c:pt>
                <c:pt idx="920">
                  <c:v>44833</c:v>
                </c:pt>
                <c:pt idx="921">
                  <c:v>44832</c:v>
                </c:pt>
                <c:pt idx="922">
                  <c:v>44832</c:v>
                </c:pt>
                <c:pt idx="923">
                  <c:v>44831</c:v>
                </c:pt>
                <c:pt idx="924">
                  <c:v>44831</c:v>
                </c:pt>
                <c:pt idx="925">
                  <c:v>44830</c:v>
                </c:pt>
                <c:pt idx="926">
                  <c:v>44830</c:v>
                </c:pt>
                <c:pt idx="927">
                  <c:v>44827</c:v>
                </c:pt>
                <c:pt idx="928">
                  <c:v>44827</c:v>
                </c:pt>
                <c:pt idx="929">
                  <c:v>44826</c:v>
                </c:pt>
                <c:pt idx="930">
                  <c:v>44826</c:v>
                </c:pt>
                <c:pt idx="931">
                  <c:v>44825</c:v>
                </c:pt>
                <c:pt idx="932">
                  <c:v>44825</c:v>
                </c:pt>
                <c:pt idx="933">
                  <c:v>44824</c:v>
                </c:pt>
                <c:pt idx="934">
                  <c:v>44824</c:v>
                </c:pt>
                <c:pt idx="935">
                  <c:v>44823</c:v>
                </c:pt>
                <c:pt idx="936">
                  <c:v>44823</c:v>
                </c:pt>
                <c:pt idx="937">
                  <c:v>44820</c:v>
                </c:pt>
                <c:pt idx="938">
                  <c:v>44820</c:v>
                </c:pt>
                <c:pt idx="939">
                  <c:v>44819</c:v>
                </c:pt>
                <c:pt idx="940">
                  <c:v>44819</c:v>
                </c:pt>
                <c:pt idx="941">
                  <c:v>44818</c:v>
                </c:pt>
                <c:pt idx="942">
                  <c:v>44818</c:v>
                </c:pt>
                <c:pt idx="943">
                  <c:v>44817</c:v>
                </c:pt>
                <c:pt idx="944">
                  <c:v>44817</c:v>
                </c:pt>
                <c:pt idx="945">
                  <c:v>44816</c:v>
                </c:pt>
                <c:pt idx="946">
                  <c:v>44816</c:v>
                </c:pt>
                <c:pt idx="947">
                  <c:v>44813</c:v>
                </c:pt>
                <c:pt idx="948">
                  <c:v>44813</c:v>
                </c:pt>
                <c:pt idx="949">
                  <c:v>44812</c:v>
                </c:pt>
                <c:pt idx="950">
                  <c:v>44812</c:v>
                </c:pt>
                <c:pt idx="951">
                  <c:v>44811</c:v>
                </c:pt>
                <c:pt idx="952">
                  <c:v>44811</c:v>
                </c:pt>
                <c:pt idx="953">
                  <c:v>44810</c:v>
                </c:pt>
                <c:pt idx="954">
                  <c:v>44810</c:v>
                </c:pt>
                <c:pt idx="955">
                  <c:v>44806</c:v>
                </c:pt>
                <c:pt idx="956">
                  <c:v>44806</c:v>
                </c:pt>
                <c:pt idx="957">
                  <c:v>44805</c:v>
                </c:pt>
                <c:pt idx="958">
                  <c:v>44805</c:v>
                </c:pt>
                <c:pt idx="959">
                  <c:v>44804</c:v>
                </c:pt>
                <c:pt idx="960">
                  <c:v>44804</c:v>
                </c:pt>
                <c:pt idx="961">
                  <c:v>44803</c:v>
                </c:pt>
                <c:pt idx="962">
                  <c:v>44803</c:v>
                </c:pt>
                <c:pt idx="963">
                  <c:v>44802</c:v>
                </c:pt>
                <c:pt idx="964">
                  <c:v>44802</c:v>
                </c:pt>
                <c:pt idx="965">
                  <c:v>44799</c:v>
                </c:pt>
                <c:pt idx="966">
                  <c:v>44799</c:v>
                </c:pt>
                <c:pt idx="967">
                  <c:v>44798</c:v>
                </c:pt>
                <c:pt idx="968">
                  <c:v>44798</c:v>
                </c:pt>
                <c:pt idx="969">
                  <c:v>44797</c:v>
                </c:pt>
                <c:pt idx="970">
                  <c:v>44797</c:v>
                </c:pt>
                <c:pt idx="971">
                  <c:v>44796</c:v>
                </c:pt>
                <c:pt idx="972">
                  <c:v>44796</c:v>
                </c:pt>
                <c:pt idx="973">
                  <c:v>44795</c:v>
                </c:pt>
                <c:pt idx="974">
                  <c:v>44795</c:v>
                </c:pt>
                <c:pt idx="975">
                  <c:v>44792</c:v>
                </c:pt>
                <c:pt idx="976">
                  <c:v>44792</c:v>
                </c:pt>
                <c:pt idx="977">
                  <c:v>44791</c:v>
                </c:pt>
                <c:pt idx="978">
                  <c:v>44791</c:v>
                </c:pt>
                <c:pt idx="979">
                  <c:v>44790</c:v>
                </c:pt>
                <c:pt idx="980">
                  <c:v>44790</c:v>
                </c:pt>
                <c:pt idx="981">
                  <c:v>44789</c:v>
                </c:pt>
                <c:pt idx="982">
                  <c:v>44789</c:v>
                </c:pt>
                <c:pt idx="983">
                  <c:v>44788</c:v>
                </c:pt>
                <c:pt idx="984">
                  <c:v>44788</c:v>
                </c:pt>
                <c:pt idx="985">
                  <c:v>44785</c:v>
                </c:pt>
                <c:pt idx="986">
                  <c:v>44785</c:v>
                </c:pt>
                <c:pt idx="987">
                  <c:v>44784</c:v>
                </c:pt>
                <c:pt idx="988">
                  <c:v>44784</c:v>
                </c:pt>
                <c:pt idx="989">
                  <c:v>44783</c:v>
                </c:pt>
                <c:pt idx="990">
                  <c:v>44783</c:v>
                </c:pt>
                <c:pt idx="991">
                  <c:v>44782</c:v>
                </c:pt>
                <c:pt idx="992">
                  <c:v>44782</c:v>
                </c:pt>
                <c:pt idx="993">
                  <c:v>44781</c:v>
                </c:pt>
                <c:pt idx="994">
                  <c:v>44781</c:v>
                </c:pt>
                <c:pt idx="995">
                  <c:v>44778</c:v>
                </c:pt>
                <c:pt idx="996">
                  <c:v>44778</c:v>
                </c:pt>
                <c:pt idx="997">
                  <c:v>44777</c:v>
                </c:pt>
                <c:pt idx="998">
                  <c:v>44777</c:v>
                </c:pt>
                <c:pt idx="999">
                  <c:v>44776</c:v>
                </c:pt>
                <c:pt idx="1000">
                  <c:v>44776</c:v>
                </c:pt>
                <c:pt idx="1001">
                  <c:v>44775</c:v>
                </c:pt>
                <c:pt idx="1002">
                  <c:v>44775</c:v>
                </c:pt>
                <c:pt idx="1003">
                  <c:v>44774</c:v>
                </c:pt>
                <c:pt idx="1004">
                  <c:v>44774</c:v>
                </c:pt>
                <c:pt idx="1005">
                  <c:v>44771</c:v>
                </c:pt>
                <c:pt idx="1006">
                  <c:v>44771</c:v>
                </c:pt>
                <c:pt idx="1007">
                  <c:v>44770</c:v>
                </c:pt>
                <c:pt idx="1008">
                  <c:v>44770</c:v>
                </c:pt>
                <c:pt idx="1009">
                  <c:v>44769</c:v>
                </c:pt>
                <c:pt idx="1010">
                  <c:v>44769</c:v>
                </c:pt>
                <c:pt idx="1011">
                  <c:v>44768</c:v>
                </c:pt>
                <c:pt idx="1012">
                  <c:v>44768</c:v>
                </c:pt>
                <c:pt idx="1013">
                  <c:v>44767</c:v>
                </c:pt>
                <c:pt idx="1014">
                  <c:v>44767</c:v>
                </c:pt>
                <c:pt idx="1015">
                  <c:v>44764</c:v>
                </c:pt>
                <c:pt idx="1016">
                  <c:v>44764</c:v>
                </c:pt>
                <c:pt idx="1017">
                  <c:v>44763</c:v>
                </c:pt>
                <c:pt idx="1018">
                  <c:v>44763</c:v>
                </c:pt>
                <c:pt idx="1019">
                  <c:v>44762</c:v>
                </c:pt>
                <c:pt idx="1020">
                  <c:v>44762</c:v>
                </c:pt>
                <c:pt idx="1021">
                  <c:v>44761</c:v>
                </c:pt>
                <c:pt idx="1022">
                  <c:v>44761</c:v>
                </c:pt>
                <c:pt idx="1023">
                  <c:v>44760</c:v>
                </c:pt>
                <c:pt idx="1024">
                  <c:v>44760</c:v>
                </c:pt>
                <c:pt idx="1025">
                  <c:v>44757</c:v>
                </c:pt>
                <c:pt idx="1026">
                  <c:v>44757</c:v>
                </c:pt>
                <c:pt idx="1027">
                  <c:v>44756</c:v>
                </c:pt>
                <c:pt idx="1028">
                  <c:v>44756</c:v>
                </c:pt>
                <c:pt idx="1029">
                  <c:v>44755</c:v>
                </c:pt>
                <c:pt idx="1030">
                  <c:v>44755</c:v>
                </c:pt>
                <c:pt idx="1031">
                  <c:v>44754</c:v>
                </c:pt>
                <c:pt idx="1032">
                  <c:v>44754</c:v>
                </c:pt>
                <c:pt idx="1033">
                  <c:v>44753</c:v>
                </c:pt>
                <c:pt idx="1034">
                  <c:v>44753</c:v>
                </c:pt>
                <c:pt idx="1035">
                  <c:v>44750</c:v>
                </c:pt>
                <c:pt idx="1036">
                  <c:v>44750</c:v>
                </c:pt>
                <c:pt idx="1037">
                  <c:v>44749</c:v>
                </c:pt>
                <c:pt idx="1038">
                  <c:v>44749</c:v>
                </c:pt>
                <c:pt idx="1039">
                  <c:v>44748</c:v>
                </c:pt>
                <c:pt idx="1040">
                  <c:v>44748</c:v>
                </c:pt>
                <c:pt idx="1041">
                  <c:v>44747</c:v>
                </c:pt>
                <c:pt idx="1042">
                  <c:v>44747</c:v>
                </c:pt>
                <c:pt idx="1043">
                  <c:v>44743</c:v>
                </c:pt>
                <c:pt idx="1044">
                  <c:v>44743</c:v>
                </c:pt>
                <c:pt idx="1045">
                  <c:v>44742</c:v>
                </c:pt>
                <c:pt idx="1046">
                  <c:v>44742</c:v>
                </c:pt>
                <c:pt idx="1047">
                  <c:v>44741</c:v>
                </c:pt>
                <c:pt idx="1048">
                  <c:v>44741</c:v>
                </c:pt>
                <c:pt idx="1049">
                  <c:v>44740</c:v>
                </c:pt>
                <c:pt idx="1050">
                  <c:v>44740</c:v>
                </c:pt>
                <c:pt idx="1051">
                  <c:v>44739</c:v>
                </c:pt>
                <c:pt idx="1052">
                  <c:v>44739</c:v>
                </c:pt>
                <c:pt idx="1053">
                  <c:v>44736</c:v>
                </c:pt>
                <c:pt idx="1054">
                  <c:v>44736</c:v>
                </c:pt>
                <c:pt idx="1055">
                  <c:v>44735</c:v>
                </c:pt>
                <c:pt idx="1056">
                  <c:v>44735</c:v>
                </c:pt>
                <c:pt idx="1057">
                  <c:v>44734</c:v>
                </c:pt>
                <c:pt idx="1058">
                  <c:v>44734</c:v>
                </c:pt>
                <c:pt idx="1059">
                  <c:v>44733</c:v>
                </c:pt>
                <c:pt idx="1060">
                  <c:v>44733</c:v>
                </c:pt>
                <c:pt idx="1061">
                  <c:v>44729</c:v>
                </c:pt>
                <c:pt idx="1062">
                  <c:v>44729</c:v>
                </c:pt>
                <c:pt idx="1063">
                  <c:v>44728</c:v>
                </c:pt>
                <c:pt idx="1064">
                  <c:v>44728</c:v>
                </c:pt>
                <c:pt idx="1065">
                  <c:v>44727</c:v>
                </c:pt>
                <c:pt idx="1066">
                  <c:v>44727</c:v>
                </c:pt>
                <c:pt idx="1067">
                  <c:v>44726</c:v>
                </c:pt>
                <c:pt idx="1068">
                  <c:v>44726</c:v>
                </c:pt>
                <c:pt idx="1069">
                  <c:v>44725</c:v>
                </c:pt>
                <c:pt idx="1070">
                  <c:v>44725</c:v>
                </c:pt>
                <c:pt idx="1071">
                  <c:v>44722</c:v>
                </c:pt>
                <c:pt idx="1072">
                  <c:v>44722</c:v>
                </c:pt>
                <c:pt idx="1073">
                  <c:v>44721</c:v>
                </c:pt>
                <c:pt idx="1074">
                  <c:v>44721</c:v>
                </c:pt>
                <c:pt idx="1075">
                  <c:v>44720</c:v>
                </c:pt>
                <c:pt idx="1076">
                  <c:v>44720</c:v>
                </c:pt>
                <c:pt idx="1077">
                  <c:v>44719</c:v>
                </c:pt>
                <c:pt idx="1078">
                  <c:v>44719</c:v>
                </c:pt>
                <c:pt idx="1079">
                  <c:v>44718</c:v>
                </c:pt>
                <c:pt idx="1080">
                  <c:v>44718</c:v>
                </c:pt>
                <c:pt idx="1081">
                  <c:v>44718</c:v>
                </c:pt>
                <c:pt idx="1082">
                  <c:v>44715</c:v>
                </c:pt>
                <c:pt idx="1083">
                  <c:v>44715</c:v>
                </c:pt>
                <c:pt idx="1084">
                  <c:v>44714</c:v>
                </c:pt>
                <c:pt idx="1085">
                  <c:v>44714</c:v>
                </c:pt>
                <c:pt idx="1086">
                  <c:v>44713</c:v>
                </c:pt>
                <c:pt idx="1087">
                  <c:v>44713</c:v>
                </c:pt>
                <c:pt idx="1088">
                  <c:v>44712</c:v>
                </c:pt>
                <c:pt idx="1089">
                  <c:v>44712</c:v>
                </c:pt>
                <c:pt idx="1090">
                  <c:v>44708</c:v>
                </c:pt>
                <c:pt idx="1091">
                  <c:v>44708</c:v>
                </c:pt>
                <c:pt idx="1092">
                  <c:v>44707</c:v>
                </c:pt>
                <c:pt idx="1093">
                  <c:v>44707</c:v>
                </c:pt>
                <c:pt idx="1094">
                  <c:v>44706</c:v>
                </c:pt>
                <c:pt idx="1095">
                  <c:v>44706</c:v>
                </c:pt>
                <c:pt idx="1096">
                  <c:v>44705</c:v>
                </c:pt>
                <c:pt idx="1097">
                  <c:v>44705</c:v>
                </c:pt>
                <c:pt idx="1098">
                  <c:v>44704</c:v>
                </c:pt>
                <c:pt idx="1099">
                  <c:v>44704</c:v>
                </c:pt>
                <c:pt idx="1100">
                  <c:v>44701</c:v>
                </c:pt>
                <c:pt idx="1101">
                  <c:v>44701</c:v>
                </c:pt>
                <c:pt idx="1102">
                  <c:v>44700</c:v>
                </c:pt>
                <c:pt idx="1103">
                  <c:v>44700</c:v>
                </c:pt>
                <c:pt idx="1104">
                  <c:v>44699</c:v>
                </c:pt>
                <c:pt idx="1105">
                  <c:v>44699</c:v>
                </c:pt>
                <c:pt idx="1106">
                  <c:v>44698</c:v>
                </c:pt>
                <c:pt idx="1107">
                  <c:v>44698</c:v>
                </c:pt>
                <c:pt idx="1108">
                  <c:v>44697</c:v>
                </c:pt>
                <c:pt idx="1109">
                  <c:v>44697</c:v>
                </c:pt>
                <c:pt idx="1110">
                  <c:v>44694</c:v>
                </c:pt>
                <c:pt idx="1111">
                  <c:v>44694</c:v>
                </c:pt>
                <c:pt idx="1112">
                  <c:v>44693</c:v>
                </c:pt>
                <c:pt idx="1113">
                  <c:v>44693</c:v>
                </c:pt>
                <c:pt idx="1114">
                  <c:v>44692</c:v>
                </c:pt>
                <c:pt idx="1115">
                  <c:v>44692</c:v>
                </c:pt>
                <c:pt idx="1116">
                  <c:v>44691</c:v>
                </c:pt>
                <c:pt idx="1117">
                  <c:v>44691</c:v>
                </c:pt>
                <c:pt idx="1118">
                  <c:v>44690</c:v>
                </c:pt>
                <c:pt idx="1119">
                  <c:v>44690</c:v>
                </c:pt>
                <c:pt idx="1120">
                  <c:v>44687</c:v>
                </c:pt>
                <c:pt idx="1121">
                  <c:v>44687</c:v>
                </c:pt>
                <c:pt idx="1122">
                  <c:v>44686</c:v>
                </c:pt>
                <c:pt idx="1123">
                  <c:v>44686</c:v>
                </c:pt>
                <c:pt idx="1124">
                  <c:v>44685</c:v>
                </c:pt>
                <c:pt idx="1125">
                  <c:v>44685</c:v>
                </c:pt>
                <c:pt idx="1126">
                  <c:v>44684</c:v>
                </c:pt>
                <c:pt idx="1127">
                  <c:v>44684</c:v>
                </c:pt>
                <c:pt idx="1128">
                  <c:v>44683</c:v>
                </c:pt>
                <c:pt idx="1129">
                  <c:v>44683</c:v>
                </c:pt>
                <c:pt idx="1130">
                  <c:v>44680</c:v>
                </c:pt>
                <c:pt idx="1131">
                  <c:v>44680</c:v>
                </c:pt>
                <c:pt idx="1132">
                  <c:v>44679</c:v>
                </c:pt>
                <c:pt idx="1133">
                  <c:v>44679</c:v>
                </c:pt>
                <c:pt idx="1134">
                  <c:v>44678</c:v>
                </c:pt>
                <c:pt idx="1135">
                  <c:v>44678</c:v>
                </c:pt>
                <c:pt idx="1136">
                  <c:v>44677</c:v>
                </c:pt>
                <c:pt idx="1137">
                  <c:v>44677</c:v>
                </c:pt>
                <c:pt idx="1138">
                  <c:v>44676</c:v>
                </c:pt>
                <c:pt idx="1139">
                  <c:v>44676</c:v>
                </c:pt>
                <c:pt idx="1140">
                  <c:v>44673</c:v>
                </c:pt>
                <c:pt idx="1141">
                  <c:v>44673</c:v>
                </c:pt>
                <c:pt idx="1142">
                  <c:v>44672</c:v>
                </c:pt>
                <c:pt idx="1143">
                  <c:v>44672</c:v>
                </c:pt>
                <c:pt idx="1144">
                  <c:v>44671</c:v>
                </c:pt>
                <c:pt idx="1145">
                  <c:v>44671</c:v>
                </c:pt>
                <c:pt idx="1146">
                  <c:v>44670</c:v>
                </c:pt>
                <c:pt idx="1147">
                  <c:v>44670</c:v>
                </c:pt>
                <c:pt idx="1148">
                  <c:v>44669</c:v>
                </c:pt>
                <c:pt idx="1149">
                  <c:v>44669</c:v>
                </c:pt>
                <c:pt idx="1150">
                  <c:v>44665</c:v>
                </c:pt>
                <c:pt idx="1151">
                  <c:v>44665</c:v>
                </c:pt>
                <c:pt idx="1152">
                  <c:v>44664</c:v>
                </c:pt>
                <c:pt idx="1153">
                  <c:v>44664</c:v>
                </c:pt>
                <c:pt idx="1154">
                  <c:v>44663</c:v>
                </c:pt>
                <c:pt idx="1155">
                  <c:v>44663</c:v>
                </c:pt>
                <c:pt idx="1156">
                  <c:v>44662</c:v>
                </c:pt>
                <c:pt idx="1157">
                  <c:v>44662</c:v>
                </c:pt>
                <c:pt idx="1158">
                  <c:v>44659</c:v>
                </c:pt>
                <c:pt idx="1159">
                  <c:v>44659</c:v>
                </c:pt>
                <c:pt idx="1160">
                  <c:v>44658</c:v>
                </c:pt>
                <c:pt idx="1161">
                  <c:v>44658</c:v>
                </c:pt>
                <c:pt idx="1162">
                  <c:v>44657</c:v>
                </c:pt>
                <c:pt idx="1163">
                  <c:v>44657</c:v>
                </c:pt>
                <c:pt idx="1164">
                  <c:v>44656</c:v>
                </c:pt>
                <c:pt idx="1165">
                  <c:v>44656</c:v>
                </c:pt>
                <c:pt idx="1166">
                  <c:v>44655</c:v>
                </c:pt>
                <c:pt idx="1167">
                  <c:v>44655</c:v>
                </c:pt>
                <c:pt idx="1168">
                  <c:v>44652</c:v>
                </c:pt>
                <c:pt idx="1169">
                  <c:v>44652</c:v>
                </c:pt>
                <c:pt idx="1170">
                  <c:v>44651</c:v>
                </c:pt>
                <c:pt idx="1171">
                  <c:v>44651</c:v>
                </c:pt>
                <c:pt idx="1172">
                  <c:v>44650</c:v>
                </c:pt>
                <c:pt idx="1173">
                  <c:v>44650</c:v>
                </c:pt>
                <c:pt idx="1174">
                  <c:v>44649</c:v>
                </c:pt>
                <c:pt idx="1175">
                  <c:v>44649</c:v>
                </c:pt>
                <c:pt idx="1176">
                  <c:v>44648</c:v>
                </c:pt>
                <c:pt idx="1177">
                  <c:v>44648</c:v>
                </c:pt>
                <c:pt idx="1178">
                  <c:v>44645</c:v>
                </c:pt>
                <c:pt idx="1179">
                  <c:v>44645</c:v>
                </c:pt>
                <c:pt idx="1180">
                  <c:v>44644</c:v>
                </c:pt>
                <c:pt idx="1181">
                  <c:v>44644</c:v>
                </c:pt>
                <c:pt idx="1182">
                  <c:v>44643</c:v>
                </c:pt>
                <c:pt idx="1183">
                  <c:v>44643</c:v>
                </c:pt>
                <c:pt idx="1184">
                  <c:v>44642</c:v>
                </c:pt>
                <c:pt idx="1185">
                  <c:v>44642</c:v>
                </c:pt>
                <c:pt idx="1186">
                  <c:v>44641</c:v>
                </c:pt>
                <c:pt idx="1187">
                  <c:v>44641</c:v>
                </c:pt>
                <c:pt idx="1188">
                  <c:v>44638</c:v>
                </c:pt>
                <c:pt idx="1189">
                  <c:v>44638</c:v>
                </c:pt>
                <c:pt idx="1190">
                  <c:v>44637</c:v>
                </c:pt>
                <c:pt idx="1191">
                  <c:v>44637</c:v>
                </c:pt>
                <c:pt idx="1192">
                  <c:v>44636</c:v>
                </c:pt>
                <c:pt idx="1193">
                  <c:v>44636</c:v>
                </c:pt>
                <c:pt idx="1194">
                  <c:v>44635</c:v>
                </c:pt>
                <c:pt idx="1195">
                  <c:v>44635</c:v>
                </c:pt>
                <c:pt idx="1196">
                  <c:v>44634</c:v>
                </c:pt>
                <c:pt idx="1197">
                  <c:v>44634</c:v>
                </c:pt>
                <c:pt idx="1198">
                  <c:v>44631</c:v>
                </c:pt>
                <c:pt idx="1199">
                  <c:v>44631</c:v>
                </c:pt>
                <c:pt idx="1200">
                  <c:v>44630</c:v>
                </c:pt>
                <c:pt idx="1201">
                  <c:v>44630</c:v>
                </c:pt>
                <c:pt idx="1202">
                  <c:v>44629</c:v>
                </c:pt>
                <c:pt idx="1203">
                  <c:v>44629</c:v>
                </c:pt>
                <c:pt idx="1204">
                  <c:v>44628</c:v>
                </c:pt>
                <c:pt idx="1205">
                  <c:v>44628</c:v>
                </c:pt>
                <c:pt idx="1206">
                  <c:v>44627</c:v>
                </c:pt>
                <c:pt idx="1207">
                  <c:v>44627</c:v>
                </c:pt>
                <c:pt idx="1208">
                  <c:v>44624</c:v>
                </c:pt>
                <c:pt idx="1209">
                  <c:v>44624</c:v>
                </c:pt>
                <c:pt idx="1210">
                  <c:v>44623</c:v>
                </c:pt>
                <c:pt idx="1211">
                  <c:v>44623</c:v>
                </c:pt>
                <c:pt idx="1212">
                  <c:v>44622</c:v>
                </c:pt>
                <c:pt idx="1213">
                  <c:v>44622</c:v>
                </c:pt>
                <c:pt idx="1214">
                  <c:v>44621</c:v>
                </c:pt>
                <c:pt idx="1215">
                  <c:v>44621</c:v>
                </c:pt>
                <c:pt idx="1216">
                  <c:v>44620</c:v>
                </c:pt>
                <c:pt idx="1217">
                  <c:v>44620</c:v>
                </c:pt>
                <c:pt idx="1218">
                  <c:v>44617</c:v>
                </c:pt>
                <c:pt idx="1219">
                  <c:v>44617</c:v>
                </c:pt>
                <c:pt idx="1220">
                  <c:v>44616</c:v>
                </c:pt>
                <c:pt idx="1221">
                  <c:v>44616</c:v>
                </c:pt>
                <c:pt idx="1222">
                  <c:v>44615</c:v>
                </c:pt>
                <c:pt idx="1223">
                  <c:v>44615</c:v>
                </c:pt>
                <c:pt idx="1224">
                  <c:v>44614</c:v>
                </c:pt>
                <c:pt idx="1225">
                  <c:v>44614</c:v>
                </c:pt>
                <c:pt idx="1226">
                  <c:v>44610</c:v>
                </c:pt>
                <c:pt idx="1227">
                  <c:v>44610</c:v>
                </c:pt>
                <c:pt idx="1228">
                  <c:v>44609</c:v>
                </c:pt>
                <c:pt idx="1229">
                  <c:v>44609</c:v>
                </c:pt>
                <c:pt idx="1230">
                  <c:v>44608</c:v>
                </c:pt>
                <c:pt idx="1231">
                  <c:v>44608</c:v>
                </c:pt>
                <c:pt idx="1232">
                  <c:v>44607</c:v>
                </c:pt>
                <c:pt idx="1233">
                  <c:v>44607</c:v>
                </c:pt>
                <c:pt idx="1234">
                  <c:v>44606</c:v>
                </c:pt>
                <c:pt idx="1235">
                  <c:v>44606</c:v>
                </c:pt>
                <c:pt idx="1236">
                  <c:v>44603</c:v>
                </c:pt>
                <c:pt idx="1237">
                  <c:v>44603</c:v>
                </c:pt>
                <c:pt idx="1238">
                  <c:v>44602</c:v>
                </c:pt>
                <c:pt idx="1239">
                  <c:v>44602</c:v>
                </c:pt>
                <c:pt idx="1240">
                  <c:v>44601</c:v>
                </c:pt>
                <c:pt idx="1241">
                  <c:v>44601</c:v>
                </c:pt>
                <c:pt idx="1242">
                  <c:v>44600</c:v>
                </c:pt>
                <c:pt idx="1243">
                  <c:v>44600</c:v>
                </c:pt>
                <c:pt idx="1244">
                  <c:v>44599</c:v>
                </c:pt>
                <c:pt idx="1245">
                  <c:v>44599</c:v>
                </c:pt>
                <c:pt idx="1246">
                  <c:v>44596</c:v>
                </c:pt>
                <c:pt idx="1247">
                  <c:v>44596</c:v>
                </c:pt>
                <c:pt idx="1248">
                  <c:v>44595</c:v>
                </c:pt>
                <c:pt idx="1249">
                  <c:v>44595</c:v>
                </c:pt>
                <c:pt idx="1250">
                  <c:v>44594</c:v>
                </c:pt>
                <c:pt idx="1251">
                  <c:v>44594</c:v>
                </c:pt>
                <c:pt idx="1252">
                  <c:v>44593</c:v>
                </c:pt>
                <c:pt idx="1253">
                  <c:v>44593</c:v>
                </c:pt>
                <c:pt idx="1254">
                  <c:v>44592</c:v>
                </c:pt>
                <c:pt idx="1255">
                  <c:v>44592</c:v>
                </c:pt>
                <c:pt idx="1256">
                  <c:v>44589</c:v>
                </c:pt>
                <c:pt idx="1257">
                  <c:v>44589</c:v>
                </c:pt>
                <c:pt idx="1258">
                  <c:v>44588</c:v>
                </c:pt>
                <c:pt idx="1259">
                  <c:v>44588</c:v>
                </c:pt>
                <c:pt idx="1260">
                  <c:v>44587</c:v>
                </c:pt>
                <c:pt idx="1261">
                  <c:v>44587</c:v>
                </c:pt>
                <c:pt idx="1262">
                  <c:v>44586</c:v>
                </c:pt>
                <c:pt idx="1263">
                  <c:v>44586</c:v>
                </c:pt>
                <c:pt idx="1264">
                  <c:v>44585</c:v>
                </c:pt>
                <c:pt idx="1265">
                  <c:v>44585</c:v>
                </c:pt>
                <c:pt idx="1266">
                  <c:v>44582</c:v>
                </c:pt>
                <c:pt idx="1267">
                  <c:v>44582</c:v>
                </c:pt>
                <c:pt idx="1268">
                  <c:v>44581</c:v>
                </c:pt>
                <c:pt idx="1269">
                  <c:v>44581</c:v>
                </c:pt>
                <c:pt idx="1270">
                  <c:v>44580</c:v>
                </c:pt>
                <c:pt idx="1271">
                  <c:v>44580</c:v>
                </c:pt>
                <c:pt idx="1272">
                  <c:v>44579</c:v>
                </c:pt>
                <c:pt idx="1273">
                  <c:v>44579</c:v>
                </c:pt>
                <c:pt idx="1274">
                  <c:v>44575</c:v>
                </c:pt>
                <c:pt idx="1275">
                  <c:v>44575</c:v>
                </c:pt>
                <c:pt idx="1276">
                  <c:v>44574</c:v>
                </c:pt>
                <c:pt idx="1277">
                  <c:v>44574</c:v>
                </c:pt>
                <c:pt idx="1278">
                  <c:v>44573</c:v>
                </c:pt>
                <c:pt idx="1279">
                  <c:v>44573</c:v>
                </c:pt>
                <c:pt idx="1280">
                  <c:v>44572</c:v>
                </c:pt>
                <c:pt idx="1281">
                  <c:v>44572</c:v>
                </c:pt>
                <c:pt idx="1282">
                  <c:v>44571</c:v>
                </c:pt>
                <c:pt idx="1283">
                  <c:v>44571</c:v>
                </c:pt>
                <c:pt idx="1284">
                  <c:v>44568</c:v>
                </c:pt>
                <c:pt idx="1285">
                  <c:v>44568</c:v>
                </c:pt>
                <c:pt idx="1286">
                  <c:v>44567</c:v>
                </c:pt>
                <c:pt idx="1287">
                  <c:v>44567</c:v>
                </c:pt>
                <c:pt idx="1288">
                  <c:v>44566</c:v>
                </c:pt>
                <c:pt idx="1289">
                  <c:v>44566</c:v>
                </c:pt>
                <c:pt idx="1290">
                  <c:v>44565</c:v>
                </c:pt>
                <c:pt idx="1291">
                  <c:v>44565</c:v>
                </c:pt>
                <c:pt idx="1292">
                  <c:v>44564</c:v>
                </c:pt>
                <c:pt idx="1293">
                  <c:v>44564</c:v>
                </c:pt>
                <c:pt idx="1294">
                  <c:v>44561</c:v>
                </c:pt>
                <c:pt idx="1295">
                  <c:v>44561</c:v>
                </c:pt>
                <c:pt idx="1296">
                  <c:v>44560</c:v>
                </c:pt>
                <c:pt idx="1297">
                  <c:v>44560</c:v>
                </c:pt>
                <c:pt idx="1298">
                  <c:v>44559</c:v>
                </c:pt>
                <c:pt idx="1299">
                  <c:v>44559</c:v>
                </c:pt>
                <c:pt idx="1300">
                  <c:v>44558</c:v>
                </c:pt>
                <c:pt idx="1301">
                  <c:v>44558</c:v>
                </c:pt>
                <c:pt idx="1302">
                  <c:v>44557</c:v>
                </c:pt>
                <c:pt idx="1303">
                  <c:v>44557</c:v>
                </c:pt>
                <c:pt idx="1304">
                  <c:v>44553</c:v>
                </c:pt>
                <c:pt idx="1305">
                  <c:v>44553</c:v>
                </c:pt>
                <c:pt idx="1306">
                  <c:v>44552</c:v>
                </c:pt>
                <c:pt idx="1307">
                  <c:v>44552</c:v>
                </c:pt>
                <c:pt idx="1308">
                  <c:v>44551</c:v>
                </c:pt>
                <c:pt idx="1309">
                  <c:v>44551</c:v>
                </c:pt>
                <c:pt idx="1310">
                  <c:v>44550</c:v>
                </c:pt>
                <c:pt idx="1311">
                  <c:v>44550</c:v>
                </c:pt>
                <c:pt idx="1312">
                  <c:v>44547</c:v>
                </c:pt>
                <c:pt idx="1313">
                  <c:v>44547</c:v>
                </c:pt>
                <c:pt idx="1314">
                  <c:v>44546</c:v>
                </c:pt>
                <c:pt idx="1315">
                  <c:v>44546</c:v>
                </c:pt>
                <c:pt idx="1316">
                  <c:v>44545</c:v>
                </c:pt>
                <c:pt idx="1317">
                  <c:v>44545</c:v>
                </c:pt>
                <c:pt idx="1318">
                  <c:v>44544</c:v>
                </c:pt>
                <c:pt idx="1319">
                  <c:v>44544</c:v>
                </c:pt>
                <c:pt idx="1320">
                  <c:v>44543</c:v>
                </c:pt>
                <c:pt idx="1321">
                  <c:v>44543</c:v>
                </c:pt>
                <c:pt idx="1322">
                  <c:v>44540</c:v>
                </c:pt>
                <c:pt idx="1323">
                  <c:v>44540</c:v>
                </c:pt>
                <c:pt idx="1324">
                  <c:v>44539</c:v>
                </c:pt>
                <c:pt idx="1325">
                  <c:v>44539</c:v>
                </c:pt>
                <c:pt idx="1326">
                  <c:v>44538</c:v>
                </c:pt>
                <c:pt idx="1327">
                  <c:v>44538</c:v>
                </c:pt>
                <c:pt idx="1328">
                  <c:v>44537</c:v>
                </c:pt>
                <c:pt idx="1329">
                  <c:v>44537</c:v>
                </c:pt>
                <c:pt idx="1330">
                  <c:v>44536</c:v>
                </c:pt>
                <c:pt idx="1331">
                  <c:v>44536</c:v>
                </c:pt>
                <c:pt idx="1332">
                  <c:v>44533</c:v>
                </c:pt>
                <c:pt idx="1333">
                  <c:v>44533</c:v>
                </c:pt>
                <c:pt idx="1334">
                  <c:v>44532</c:v>
                </c:pt>
                <c:pt idx="1335">
                  <c:v>44532</c:v>
                </c:pt>
                <c:pt idx="1336">
                  <c:v>44531</c:v>
                </c:pt>
                <c:pt idx="1337">
                  <c:v>44531</c:v>
                </c:pt>
                <c:pt idx="1338">
                  <c:v>44530</c:v>
                </c:pt>
                <c:pt idx="1339">
                  <c:v>44530</c:v>
                </c:pt>
                <c:pt idx="1340">
                  <c:v>44529</c:v>
                </c:pt>
                <c:pt idx="1341">
                  <c:v>44529</c:v>
                </c:pt>
                <c:pt idx="1342">
                  <c:v>44526</c:v>
                </c:pt>
                <c:pt idx="1343">
                  <c:v>44526</c:v>
                </c:pt>
                <c:pt idx="1344">
                  <c:v>44524</c:v>
                </c:pt>
                <c:pt idx="1345">
                  <c:v>44524</c:v>
                </c:pt>
                <c:pt idx="1346">
                  <c:v>44523</c:v>
                </c:pt>
                <c:pt idx="1347">
                  <c:v>44523</c:v>
                </c:pt>
                <c:pt idx="1348">
                  <c:v>44522</c:v>
                </c:pt>
                <c:pt idx="1349">
                  <c:v>44522</c:v>
                </c:pt>
                <c:pt idx="1350">
                  <c:v>44519</c:v>
                </c:pt>
                <c:pt idx="1351">
                  <c:v>44519</c:v>
                </c:pt>
                <c:pt idx="1352">
                  <c:v>44518</c:v>
                </c:pt>
                <c:pt idx="1353">
                  <c:v>44518</c:v>
                </c:pt>
                <c:pt idx="1354">
                  <c:v>44517</c:v>
                </c:pt>
                <c:pt idx="1355">
                  <c:v>44517</c:v>
                </c:pt>
                <c:pt idx="1356">
                  <c:v>44516</c:v>
                </c:pt>
                <c:pt idx="1357">
                  <c:v>44516</c:v>
                </c:pt>
                <c:pt idx="1358">
                  <c:v>44515</c:v>
                </c:pt>
                <c:pt idx="1359">
                  <c:v>44515</c:v>
                </c:pt>
                <c:pt idx="1360">
                  <c:v>44512</c:v>
                </c:pt>
                <c:pt idx="1361">
                  <c:v>44512</c:v>
                </c:pt>
                <c:pt idx="1362">
                  <c:v>44511</c:v>
                </c:pt>
                <c:pt idx="1363">
                  <c:v>44511</c:v>
                </c:pt>
                <c:pt idx="1364">
                  <c:v>44510</c:v>
                </c:pt>
                <c:pt idx="1365">
                  <c:v>44510</c:v>
                </c:pt>
                <c:pt idx="1366">
                  <c:v>44509</c:v>
                </c:pt>
                <c:pt idx="1367">
                  <c:v>44509</c:v>
                </c:pt>
                <c:pt idx="1368">
                  <c:v>44508</c:v>
                </c:pt>
                <c:pt idx="1369">
                  <c:v>44508</c:v>
                </c:pt>
                <c:pt idx="1370">
                  <c:v>44505</c:v>
                </c:pt>
                <c:pt idx="1371">
                  <c:v>44505</c:v>
                </c:pt>
                <c:pt idx="1372">
                  <c:v>44504</c:v>
                </c:pt>
                <c:pt idx="1373">
                  <c:v>44504</c:v>
                </c:pt>
                <c:pt idx="1374">
                  <c:v>44503</c:v>
                </c:pt>
                <c:pt idx="1375">
                  <c:v>44503</c:v>
                </c:pt>
                <c:pt idx="1376">
                  <c:v>44502</c:v>
                </c:pt>
                <c:pt idx="1377">
                  <c:v>44502</c:v>
                </c:pt>
                <c:pt idx="1378">
                  <c:v>44501</c:v>
                </c:pt>
                <c:pt idx="1379">
                  <c:v>44501</c:v>
                </c:pt>
                <c:pt idx="1380">
                  <c:v>44498</c:v>
                </c:pt>
                <c:pt idx="1381">
                  <c:v>44498</c:v>
                </c:pt>
                <c:pt idx="1382">
                  <c:v>44497</c:v>
                </c:pt>
                <c:pt idx="1383">
                  <c:v>44497</c:v>
                </c:pt>
                <c:pt idx="1384">
                  <c:v>44496</c:v>
                </c:pt>
                <c:pt idx="1385">
                  <c:v>44496</c:v>
                </c:pt>
                <c:pt idx="1386">
                  <c:v>44495</c:v>
                </c:pt>
                <c:pt idx="1387">
                  <c:v>44495</c:v>
                </c:pt>
                <c:pt idx="1388">
                  <c:v>44494</c:v>
                </c:pt>
                <c:pt idx="1389">
                  <c:v>44494</c:v>
                </c:pt>
                <c:pt idx="1390">
                  <c:v>44491</c:v>
                </c:pt>
                <c:pt idx="1391">
                  <c:v>44491</c:v>
                </c:pt>
                <c:pt idx="1392">
                  <c:v>44490</c:v>
                </c:pt>
                <c:pt idx="1393">
                  <c:v>44490</c:v>
                </c:pt>
                <c:pt idx="1394">
                  <c:v>44489</c:v>
                </c:pt>
                <c:pt idx="1395">
                  <c:v>44489</c:v>
                </c:pt>
                <c:pt idx="1396">
                  <c:v>44488</c:v>
                </c:pt>
                <c:pt idx="1397">
                  <c:v>44488</c:v>
                </c:pt>
                <c:pt idx="1398">
                  <c:v>44487</c:v>
                </c:pt>
                <c:pt idx="1399">
                  <c:v>44487</c:v>
                </c:pt>
                <c:pt idx="1400">
                  <c:v>44484</c:v>
                </c:pt>
                <c:pt idx="1401">
                  <c:v>44484</c:v>
                </c:pt>
                <c:pt idx="1402">
                  <c:v>44483</c:v>
                </c:pt>
                <c:pt idx="1403">
                  <c:v>44483</c:v>
                </c:pt>
                <c:pt idx="1404">
                  <c:v>44482</c:v>
                </c:pt>
                <c:pt idx="1405">
                  <c:v>44482</c:v>
                </c:pt>
                <c:pt idx="1406">
                  <c:v>44481</c:v>
                </c:pt>
                <c:pt idx="1407">
                  <c:v>44481</c:v>
                </c:pt>
                <c:pt idx="1408">
                  <c:v>44480</c:v>
                </c:pt>
                <c:pt idx="1409">
                  <c:v>44480</c:v>
                </c:pt>
                <c:pt idx="1410">
                  <c:v>44477</c:v>
                </c:pt>
                <c:pt idx="1411">
                  <c:v>44477</c:v>
                </c:pt>
                <c:pt idx="1412">
                  <c:v>44476</c:v>
                </c:pt>
                <c:pt idx="1413">
                  <c:v>44476</c:v>
                </c:pt>
                <c:pt idx="1414">
                  <c:v>44475</c:v>
                </c:pt>
                <c:pt idx="1415">
                  <c:v>44475</c:v>
                </c:pt>
                <c:pt idx="1416">
                  <c:v>44474</c:v>
                </c:pt>
                <c:pt idx="1417">
                  <c:v>44474</c:v>
                </c:pt>
                <c:pt idx="1418">
                  <c:v>44473</c:v>
                </c:pt>
                <c:pt idx="1419">
                  <c:v>44473</c:v>
                </c:pt>
                <c:pt idx="1420">
                  <c:v>44470</c:v>
                </c:pt>
                <c:pt idx="1421">
                  <c:v>44470</c:v>
                </c:pt>
                <c:pt idx="1422">
                  <c:v>44469</c:v>
                </c:pt>
                <c:pt idx="1423">
                  <c:v>44469</c:v>
                </c:pt>
                <c:pt idx="1424">
                  <c:v>44468</c:v>
                </c:pt>
                <c:pt idx="1425">
                  <c:v>44468</c:v>
                </c:pt>
                <c:pt idx="1426">
                  <c:v>44467</c:v>
                </c:pt>
                <c:pt idx="1427">
                  <c:v>44467</c:v>
                </c:pt>
                <c:pt idx="1428">
                  <c:v>44466</c:v>
                </c:pt>
                <c:pt idx="1429">
                  <c:v>44466</c:v>
                </c:pt>
                <c:pt idx="1430">
                  <c:v>44463</c:v>
                </c:pt>
                <c:pt idx="1431">
                  <c:v>44463</c:v>
                </c:pt>
                <c:pt idx="1432">
                  <c:v>44462</c:v>
                </c:pt>
                <c:pt idx="1433">
                  <c:v>44462</c:v>
                </c:pt>
                <c:pt idx="1434">
                  <c:v>44461</c:v>
                </c:pt>
                <c:pt idx="1435">
                  <c:v>44461</c:v>
                </c:pt>
                <c:pt idx="1436">
                  <c:v>44460</c:v>
                </c:pt>
                <c:pt idx="1437">
                  <c:v>44460</c:v>
                </c:pt>
                <c:pt idx="1438">
                  <c:v>44459</c:v>
                </c:pt>
                <c:pt idx="1439">
                  <c:v>44459</c:v>
                </c:pt>
                <c:pt idx="1440">
                  <c:v>44456</c:v>
                </c:pt>
                <c:pt idx="1441">
                  <c:v>44456</c:v>
                </c:pt>
                <c:pt idx="1442">
                  <c:v>44455</c:v>
                </c:pt>
                <c:pt idx="1443">
                  <c:v>44455</c:v>
                </c:pt>
                <c:pt idx="1444">
                  <c:v>44454</c:v>
                </c:pt>
                <c:pt idx="1445">
                  <c:v>44454</c:v>
                </c:pt>
                <c:pt idx="1446">
                  <c:v>44453</c:v>
                </c:pt>
                <c:pt idx="1447">
                  <c:v>44453</c:v>
                </c:pt>
                <c:pt idx="1448">
                  <c:v>44452</c:v>
                </c:pt>
                <c:pt idx="1449">
                  <c:v>44452</c:v>
                </c:pt>
                <c:pt idx="1450">
                  <c:v>44449</c:v>
                </c:pt>
                <c:pt idx="1451">
                  <c:v>44449</c:v>
                </c:pt>
                <c:pt idx="1452">
                  <c:v>44448</c:v>
                </c:pt>
                <c:pt idx="1453">
                  <c:v>44448</c:v>
                </c:pt>
                <c:pt idx="1454">
                  <c:v>44447</c:v>
                </c:pt>
                <c:pt idx="1455">
                  <c:v>44447</c:v>
                </c:pt>
                <c:pt idx="1456">
                  <c:v>44446</c:v>
                </c:pt>
                <c:pt idx="1457">
                  <c:v>44446</c:v>
                </c:pt>
                <c:pt idx="1458">
                  <c:v>44442</c:v>
                </c:pt>
                <c:pt idx="1459">
                  <c:v>44442</c:v>
                </c:pt>
                <c:pt idx="1460">
                  <c:v>44441</c:v>
                </c:pt>
                <c:pt idx="1461">
                  <c:v>44441</c:v>
                </c:pt>
                <c:pt idx="1462">
                  <c:v>44440</c:v>
                </c:pt>
                <c:pt idx="1463">
                  <c:v>44440</c:v>
                </c:pt>
                <c:pt idx="1464">
                  <c:v>44439</c:v>
                </c:pt>
                <c:pt idx="1465">
                  <c:v>44439</c:v>
                </c:pt>
                <c:pt idx="1466">
                  <c:v>44438</c:v>
                </c:pt>
                <c:pt idx="1467">
                  <c:v>44438</c:v>
                </c:pt>
                <c:pt idx="1468">
                  <c:v>44435</c:v>
                </c:pt>
                <c:pt idx="1469">
                  <c:v>44435</c:v>
                </c:pt>
                <c:pt idx="1470">
                  <c:v>44434</c:v>
                </c:pt>
                <c:pt idx="1471">
                  <c:v>44434</c:v>
                </c:pt>
                <c:pt idx="1472">
                  <c:v>44433</c:v>
                </c:pt>
                <c:pt idx="1473">
                  <c:v>44433</c:v>
                </c:pt>
                <c:pt idx="1474">
                  <c:v>44432</c:v>
                </c:pt>
                <c:pt idx="1475">
                  <c:v>44432</c:v>
                </c:pt>
                <c:pt idx="1476">
                  <c:v>44431</c:v>
                </c:pt>
                <c:pt idx="1477">
                  <c:v>44431</c:v>
                </c:pt>
                <c:pt idx="1478">
                  <c:v>44428</c:v>
                </c:pt>
                <c:pt idx="1479">
                  <c:v>44428</c:v>
                </c:pt>
                <c:pt idx="1480">
                  <c:v>44427</c:v>
                </c:pt>
                <c:pt idx="1481">
                  <c:v>44427</c:v>
                </c:pt>
                <c:pt idx="1482">
                  <c:v>44426</c:v>
                </c:pt>
                <c:pt idx="1483">
                  <c:v>44426</c:v>
                </c:pt>
                <c:pt idx="1484">
                  <c:v>44425</c:v>
                </c:pt>
                <c:pt idx="1485">
                  <c:v>44425</c:v>
                </c:pt>
                <c:pt idx="1486">
                  <c:v>44424</c:v>
                </c:pt>
                <c:pt idx="1487">
                  <c:v>44424</c:v>
                </c:pt>
                <c:pt idx="1488">
                  <c:v>44421</c:v>
                </c:pt>
                <c:pt idx="1489">
                  <c:v>44421</c:v>
                </c:pt>
                <c:pt idx="1490">
                  <c:v>44420</c:v>
                </c:pt>
                <c:pt idx="1491">
                  <c:v>44420</c:v>
                </c:pt>
                <c:pt idx="1492">
                  <c:v>44419</c:v>
                </c:pt>
                <c:pt idx="1493">
                  <c:v>44419</c:v>
                </c:pt>
                <c:pt idx="1494">
                  <c:v>44418</c:v>
                </c:pt>
                <c:pt idx="1495">
                  <c:v>44418</c:v>
                </c:pt>
                <c:pt idx="1496">
                  <c:v>44417</c:v>
                </c:pt>
                <c:pt idx="1497">
                  <c:v>44417</c:v>
                </c:pt>
                <c:pt idx="1498">
                  <c:v>44414</c:v>
                </c:pt>
                <c:pt idx="1499">
                  <c:v>44414</c:v>
                </c:pt>
                <c:pt idx="1500">
                  <c:v>44413</c:v>
                </c:pt>
                <c:pt idx="1501">
                  <c:v>44413</c:v>
                </c:pt>
                <c:pt idx="1502">
                  <c:v>44412</c:v>
                </c:pt>
                <c:pt idx="1503">
                  <c:v>44412</c:v>
                </c:pt>
                <c:pt idx="1504">
                  <c:v>44411</c:v>
                </c:pt>
                <c:pt idx="1505">
                  <c:v>44411</c:v>
                </c:pt>
                <c:pt idx="1506">
                  <c:v>44410</c:v>
                </c:pt>
                <c:pt idx="1507">
                  <c:v>44410</c:v>
                </c:pt>
                <c:pt idx="1508">
                  <c:v>44407</c:v>
                </c:pt>
                <c:pt idx="1509">
                  <c:v>44407</c:v>
                </c:pt>
                <c:pt idx="1510">
                  <c:v>44406</c:v>
                </c:pt>
                <c:pt idx="1511">
                  <c:v>44406</c:v>
                </c:pt>
                <c:pt idx="1512">
                  <c:v>44405</c:v>
                </c:pt>
                <c:pt idx="1513">
                  <c:v>44405</c:v>
                </c:pt>
                <c:pt idx="1514">
                  <c:v>44404</c:v>
                </c:pt>
                <c:pt idx="1515">
                  <c:v>44404</c:v>
                </c:pt>
                <c:pt idx="1516">
                  <c:v>44403</c:v>
                </c:pt>
                <c:pt idx="1517">
                  <c:v>44403</c:v>
                </c:pt>
                <c:pt idx="1518">
                  <c:v>44400</c:v>
                </c:pt>
                <c:pt idx="1519">
                  <c:v>44400</c:v>
                </c:pt>
                <c:pt idx="1520">
                  <c:v>44399</c:v>
                </c:pt>
                <c:pt idx="1521">
                  <c:v>44399</c:v>
                </c:pt>
                <c:pt idx="1522">
                  <c:v>44398</c:v>
                </c:pt>
                <c:pt idx="1523">
                  <c:v>44398</c:v>
                </c:pt>
                <c:pt idx="1524">
                  <c:v>44397</c:v>
                </c:pt>
                <c:pt idx="1525">
                  <c:v>44397</c:v>
                </c:pt>
                <c:pt idx="1526">
                  <c:v>44396</c:v>
                </c:pt>
                <c:pt idx="1527">
                  <c:v>44396</c:v>
                </c:pt>
                <c:pt idx="1528">
                  <c:v>44393</c:v>
                </c:pt>
                <c:pt idx="1529">
                  <c:v>44393</c:v>
                </c:pt>
                <c:pt idx="1530">
                  <c:v>44392</c:v>
                </c:pt>
                <c:pt idx="1531">
                  <c:v>44392</c:v>
                </c:pt>
                <c:pt idx="1532">
                  <c:v>44391</c:v>
                </c:pt>
                <c:pt idx="1533">
                  <c:v>44391</c:v>
                </c:pt>
                <c:pt idx="1534">
                  <c:v>44390</c:v>
                </c:pt>
                <c:pt idx="1535">
                  <c:v>44390</c:v>
                </c:pt>
                <c:pt idx="1536">
                  <c:v>44389</c:v>
                </c:pt>
                <c:pt idx="1537">
                  <c:v>44389</c:v>
                </c:pt>
                <c:pt idx="1538">
                  <c:v>44386</c:v>
                </c:pt>
                <c:pt idx="1539">
                  <c:v>44386</c:v>
                </c:pt>
                <c:pt idx="1540">
                  <c:v>44385</c:v>
                </c:pt>
                <c:pt idx="1541">
                  <c:v>44385</c:v>
                </c:pt>
                <c:pt idx="1542">
                  <c:v>44384</c:v>
                </c:pt>
                <c:pt idx="1543">
                  <c:v>44384</c:v>
                </c:pt>
                <c:pt idx="1544">
                  <c:v>44383</c:v>
                </c:pt>
                <c:pt idx="1545">
                  <c:v>44383</c:v>
                </c:pt>
                <c:pt idx="1546">
                  <c:v>44379</c:v>
                </c:pt>
                <c:pt idx="1547">
                  <c:v>44379</c:v>
                </c:pt>
                <c:pt idx="1548">
                  <c:v>44378</c:v>
                </c:pt>
                <c:pt idx="1549">
                  <c:v>44378</c:v>
                </c:pt>
                <c:pt idx="1550">
                  <c:v>44377</c:v>
                </c:pt>
                <c:pt idx="1551">
                  <c:v>44377</c:v>
                </c:pt>
                <c:pt idx="1552">
                  <c:v>44376</c:v>
                </c:pt>
                <c:pt idx="1553">
                  <c:v>44376</c:v>
                </c:pt>
                <c:pt idx="1554">
                  <c:v>44375</c:v>
                </c:pt>
                <c:pt idx="1555">
                  <c:v>44375</c:v>
                </c:pt>
                <c:pt idx="1556">
                  <c:v>44372</c:v>
                </c:pt>
                <c:pt idx="1557">
                  <c:v>44372</c:v>
                </c:pt>
                <c:pt idx="1558">
                  <c:v>44371</c:v>
                </c:pt>
                <c:pt idx="1559">
                  <c:v>44371</c:v>
                </c:pt>
                <c:pt idx="1560">
                  <c:v>44370</c:v>
                </c:pt>
                <c:pt idx="1561">
                  <c:v>44370</c:v>
                </c:pt>
                <c:pt idx="1562">
                  <c:v>44369</c:v>
                </c:pt>
                <c:pt idx="1563">
                  <c:v>44369</c:v>
                </c:pt>
                <c:pt idx="1564">
                  <c:v>44368</c:v>
                </c:pt>
                <c:pt idx="1565">
                  <c:v>44368</c:v>
                </c:pt>
                <c:pt idx="1566">
                  <c:v>44365</c:v>
                </c:pt>
                <c:pt idx="1567">
                  <c:v>44365</c:v>
                </c:pt>
                <c:pt idx="1568">
                  <c:v>44364</c:v>
                </c:pt>
                <c:pt idx="1569">
                  <c:v>44364</c:v>
                </c:pt>
                <c:pt idx="1570">
                  <c:v>44363</c:v>
                </c:pt>
                <c:pt idx="1571">
                  <c:v>44363</c:v>
                </c:pt>
                <c:pt idx="1572">
                  <c:v>44362</c:v>
                </c:pt>
                <c:pt idx="1573">
                  <c:v>44362</c:v>
                </c:pt>
                <c:pt idx="1574">
                  <c:v>44361</c:v>
                </c:pt>
                <c:pt idx="1575">
                  <c:v>44361</c:v>
                </c:pt>
                <c:pt idx="1576">
                  <c:v>44358</c:v>
                </c:pt>
                <c:pt idx="1577">
                  <c:v>44358</c:v>
                </c:pt>
                <c:pt idx="1578">
                  <c:v>44357</c:v>
                </c:pt>
                <c:pt idx="1579">
                  <c:v>44357</c:v>
                </c:pt>
                <c:pt idx="1580">
                  <c:v>44356</c:v>
                </c:pt>
                <c:pt idx="1581">
                  <c:v>44356</c:v>
                </c:pt>
                <c:pt idx="1582">
                  <c:v>44355</c:v>
                </c:pt>
                <c:pt idx="1583">
                  <c:v>44355</c:v>
                </c:pt>
                <c:pt idx="1584">
                  <c:v>44354</c:v>
                </c:pt>
                <c:pt idx="1585">
                  <c:v>44354</c:v>
                </c:pt>
                <c:pt idx="1586">
                  <c:v>44351</c:v>
                </c:pt>
                <c:pt idx="1587">
                  <c:v>44351</c:v>
                </c:pt>
                <c:pt idx="1588">
                  <c:v>44350</c:v>
                </c:pt>
                <c:pt idx="1589">
                  <c:v>44350</c:v>
                </c:pt>
                <c:pt idx="1590">
                  <c:v>44349</c:v>
                </c:pt>
                <c:pt idx="1591">
                  <c:v>44349</c:v>
                </c:pt>
                <c:pt idx="1592">
                  <c:v>44348</c:v>
                </c:pt>
                <c:pt idx="1593">
                  <c:v>44348</c:v>
                </c:pt>
                <c:pt idx="1594">
                  <c:v>44344</c:v>
                </c:pt>
                <c:pt idx="1595">
                  <c:v>44344</c:v>
                </c:pt>
                <c:pt idx="1596">
                  <c:v>44343</c:v>
                </c:pt>
                <c:pt idx="1597">
                  <c:v>44343</c:v>
                </c:pt>
                <c:pt idx="1598">
                  <c:v>44342</c:v>
                </c:pt>
                <c:pt idx="1599">
                  <c:v>44342</c:v>
                </c:pt>
                <c:pt idx="1600">
                  <c:v>44341</c:v>
                </c:pt>
                <c:pt idx="1601">
                  <c:v>44341</c:v>
                </c:pt>
                <c:pt idx="1602">
                  <c:v>44340</c:v>
                </c:pt>
                <c:pt idx="1603">
                  <c:v>44340</c:v>
                </c:pt>
                <c:pt idx="1604">
                  <c:v>44337</c:v>
                </c:pt>
                <c:pt idx="1605">
                  <c:v>44337</c:v>
                </c:pt>
                <c:pt idx="1606">
                  <c:v>44336</c:v>
                </c:pt>
                <c:pt idx="1607">
                  <c:v>44336</c:v>
                </c:pt>
                <c:pt idx="1608">
                  <c:v>44335</c:v>
                </c:pt>
                <c:pt idx="1609">
                  <c:v>44335</c:v>
                </c:pt>
                <c:pt idx="1610">
                  <c:v>44334</c:v>
                </c:pt>
                <c:pt idx="1611">
                  <c:v>44334</c:v>
                </c:pt>
                <c:pt idx="1612">
                  <c:v>44333</c:v>
                </c:pt>
                <c:pt idx="1613">
                  <c:v>44333</c:v>
                </c:pt>
                <c:pt idx="1614">
                  <c:v>44330</c:v>
                </c:pt>
                <c:pt idx="1615">
                  <c:v>44330</c:v>
                </c:pt>
                <c:pt idx="1616">
                  <c:v>44329</c:v>
                </c:pt>
                <c:pt idx="1617">
                  <c:v>44329</c:v>
                </c:pt>
                <c:pt idx="1618">
                  <c:v>44328</c:v>
                </c:pt>
                <c:pt idx="1619">
                  <c:v>44328</c:v>
                </c:pt>
                <c:pt idx="1620">
                  <c:v>44327</c:v>
                </c:pt>
                <c:pt idx="1621">
                  <c:v>44327</c:v>
                </c:pt>
                <c:pt idx="1622">
                  <c:v>44326</c:v>
                </c:pt>
                <c:pt idx="1623">
                  <c:v>44326</c:v>
                </c:pt>
                <c:pt idx="1624">
                  <c:v>44323</c:v>
                </c:pt>
                <c:pt idx="1625">
                  <c:v>44323</c:v>
                </c:pt>
                <c:pt idx="1626">
                  <c:v>44322</c:v>
                </c:pt>
                <c:pt idx="1627">
                  <c:v>44322</c:v>
                </c:pt>
                <c:pt idx="1628">
                  <c:v>44321</c:v>
                </c:pt>
                <c:pt idx="1629">
                  <c:v>44321</c:v>
                </c:pt>
                <c:pt idx="1630">
                  <c:v>44320</c:v>
                </c:pt>
                <c:pt idx="1631">
                  <c:v>44320</c:v>
                </c:pt>
                <c:pt idx="1632">
                  <c:v>44319</c:v>
                </c:pt>
                <c:pt idx="1633">
                  <c:v>44319</c:v>
                </c:pt>
                <c:pt idx="1634">
                  <c:v>44316</c:v>
                </c:pt>
                <c:pt idx="1635">
                  <c:v>44316</c:v>
                </c:pt>
                <c:pt idx="1636">
                  <c:v>44315</c:v>
                </c:pt>
                <c:pt idx="1637">
                  <c:v>44315</c:v>
                </c:pt>
                <c:pt idx="1638">
                  <c:v>44314</c:v>
                </c:pt>
                <c:pt idx="1639">
                  <c:v>44314</c:v>
                </c:pt>
                <c:pt idx="1640">
                  <c:v>44313</c:v>
                </c:pt>
                <c:pt idx="1641">
                  <c:v>44313</c:v>
                </c:pt>
                <c:pt idx="1642">
                  <c:v>44312</c:v>
                </c:pt>
                <c:pt idx="1643">
                  <c:v>44312</c:v>
                </c:pt>
                <c:pt idx="1644">
                  <c:v>44309</c:v>
                </c:pt>
                <c:pt idx="1645">
                  <c:v>44309</c:v>
                </c:pt>
                <c:pt idx="1646">
                  <c:v>44308</c:v>
                </c:pt>
                <c:pt idx="1647">
                  <c:v>44308</c:v>
                </c:pt>
                <c:pt idx="1648">
                  <c:v>44307</c:v>
                </c:pt>
                <c:pt idx="1649">
                  <c:v>44307</c:v>
                </c:pt>
                <c:pt idx="1650">
                  <c:v>44306</c:v>
                </c:pt>
                <c:pt idx="1651">
                  <c:v>44306</c:v>
                </c:pt>
                <c:pt idx="1652">
                  <c:v>44305</c:v>
                </c:pt>
                <c:pt idx="1653">
                  <c:v>44305</c:v>
                </c:pt>
                <c:pt idx="1654">
                  <c:v>44302</c:v>
                </c:pt>
                <c:pt idx="1655">
                  <c:v>44302</c:v>
                </c:pt>
                <c:pt idx="1656">
                  <c:v>44301</c:v>
                </c:pt>
                <c:pt idx="1657">
                  <c:v>44301</c:v>
                </c:pt>
                <c:pt idx="1658">
                  <c:v>44300</c:v>
                </c:pt>
                <c:pt idx="1659">
                  <c:v>44300</c:v>
                </c:pt>
                <c:pt idx="1660">
                  <c:v>44299</c:v>
                </c:pt>
                <c:pt idx="1661">
                  <c:v>44299</c:v>
                </c:pt>
                <c:pt idx="1662">
                  <c:v>44298</c:v>
                </c:pt>
                <c:pt idx="1663">
                  <c:v>44298</c:v>
                </c:pt>
                <c:pt idx="1664">
                  <c:v>44295</c:v>
                </c:pt>
                <c:pt idx="1665">
                  <c:v>44295</c:v>
                </c:pt>
                <c:pt idx="1666">
                  <c:v>44294</c:v>
                </c:pt>
                <c:pt idx="1667">
                  <c:v>44294</c:v>
                </c:pt>
                <c:pt idx="1668">
                  <c:v>44293</c:v>
                </c:pt>
                <c:pt idx="1669">
                  <c:v>44293</c:v>
                </c:pt>
                <c:pt idx="1670">
                  <c:v>44292</c:v>
                </c:pt>
                <c:pt idx="1671">
                  <c:v>44292</c:v>
                </c:pt>
                <c:pt idx="1672">
                  <c:v>44291</c:v>
                </c:pt>
                <c:pt idx="1673">
                  <c:v>44291</c:v>
                </c:pt>
                <c:pt idx="1674">
                  <c:v>44287</c:v>
                </c:pt>
                <c:pt idx="1675">
                  <c:v>44287</c:v>
                </c:pt>
                <c:pt idx="1676">
                  <c:v>44286</c:v>
                </c:pt>
                <c:pt idx="1677">
                  <c:v>44286</c:v>
                </c:pt>
                <c:pt idx="1678">
                  <c:v>44285</c:v>
                </c:pt>
                <c:pt idx="1679">
                  <c:v>44285</c:v>
                </c:pt>
                <c:pt idx="1680">
                  <c:v>44284</c:v>
                </c:pt>
                <c:pt idx="1681">
                  <c:v>44284</c:v>
                </c:pt>
                <c:pt idx="1682">
                  <c:v>44281</c:v>
                </c:pt>
                <c:pt idx="1683">
                  <c:v>44281</c:v>
                </c:pt>
                <c:pt idx="1684">
                  <c:v>44280</c:v>
                </c:pt>
                <c:pt idx="1685">
                  <c:v>44280</c:v>
                </c:pt>
                <c:pt idx="1686">
                  <c:v>44279</c:v>
                </c:pt>
                <c:pt idx="1687">
                  <c:v>44279</c:v>
                </c:pt>
                <c:pt idx="1688">
                  <c:v>44278</c:v>
                </c:pt>
                <c:pt idx="1689">
                  <c:v>44278</c:v>
                </c:pt>
                <c:pt idx="1690">
                  <c:v>44277</c:v>
                </c:pt>
                <c:pt idx="1691">
                  <c:v>44277</c:v>
                </c:pt>
                <c:pt idx="1692">
                  <c:v>44274</c:v>
                </c:pt>
                <c:pt idx="1693">
                  <c:v>44274</c:v>
                </c:pt>
                <c:pt idx="1694">
                  <c:v>44273</c:v>
                </c:pt>
                <c:pt idx="1695">
                  <c:v>44273</c:v>
                </c:pt>
                <c:pt idx="1696">
                  <c:v>44272</c:v>
                </c:pt>
                <c:pt idx="1697">
                  <c:v>44272</c:v>
                </c:pt>
                <c:pt idx="1698">
                  <c:v>44271</c:v>
                </c:pt>
                <c:pt idx="1699">
                  <c:v>44271</c:v>
                </c:pt>
                <c:pt idx="1700">
                  <c:v>44270</c:v>
                </c:pt>
                <c:pt idx="1701">
                  <c:v>44270</c:v>
                </c:pt>
                <c:pt idx="1702">
                  <c:v>44267</c:v>
                </c:pt>
                <c:pt idx="1703">
                  <c:v>44267</c:v>
                </c:pt>
                <c:pt idx="1704">
                  <c:v>44266</c:v>
                </c:pt>
                <c:pt idx="1705">
                  <c:v>44266</c:v>
                </c:pt>
                <c:pt idx="1706">
                  <c:v>44265</c:v>
                </c:pt>
                <c:pt idx="1707">
                  <c:v>44265</c:v>
                </c:pt>
                <c:pt idx="1708">
                  <c:v>44264</c:v>
                </c:pt>
                <c:pt idx="1709">
                  <c:v>44264</c:v>
                </c:pt>
                <c:pt idx="1710">
                  <c:v>44263</c:v>
                </c:pt>
                <c:pt idx="1711">
                  <c:v>44263</c:v>
                </c:pt>
                <c:pt idx="1712">
                  <c:v>44260</c:v>
                </c:pt>
                <c:pt idx="1713">
                  <c:v>44260</c:v>
                </c:pt>
                <c:pt idx="1714">
                  <c:v>44259</c:v>
                </c:pt>
                <c:pt idx="1715">
                  <c:v>44259</c:v>
                </c:pt>
                <c:pt idx="1716">
                  <c:v>44258</c:v>
                </c:pt>
                <c:pt idx="1717">
                  <c:v>44258</c:v>
                </c:pt>
                <c:pt idx="1718">
                  <c:v>44257</c:v>
                </c:pt>
                <c:pt idx="1719">
                  <c:v>44257</c:v>
                </c:pt>
                <c:pt idx="1720">
                  <c:v>44256</c:v>
                </c:pt>
                <c:pt idx="1721">
                  <c:v>44256</c:v>
                </c:pt>
                <c:pt idx="1722">
                  <c:v>44253</c:v>
                </c:pt>
                <c:pt idx="1723">
                  <c:v>44253</c:v>
                </c:pt>
                <c:pt idx="1724">
                  <c:v>44252</c:v>
                </c:pt>
                <c:pt idx="1725">
                  <c:v>44252</c:v>
                </c:pt>
                <c:pt idx="1726">
                  <c:v>44251</c:v>
                </c:pt>
                <c:pt idx="1727">
                  <c:v>44251</c:v>
                </c:pt>
                <c:pt idx="1728">
                  <c:v>44250</c:v>
                </c:pt>
                <c:pt idx="1729">
                  <c:v>44250</c:v>
                </c:pt>
                <c:pt idx="1730">
                  <c:v>44249</c:v>
                </c:pt>
                <c:pt idx="1731">
                  <c:v>44249</c:v>
                </c:pt>
                <c:pt idx="1732">
                  <c:v>44246</c:v>
                </c:pt>
                <c:pt idx="1733">
                  <c:v>44246</c:v>
                </c:pt>
                <c:pt idx="1734">
                  <c:v>44245</c:v>
                </c:pt>
                <c:pt idx="1735">
                  <c:v>44245</c:v>
                </c:pt>
                <c:pt idx="1736">
                  <c:v>44244</c:v>
                </c:pt>
                <c:pt idx="1737">
                  <c:v>44244</c:v>
                </c:pt>
                <c:pt idx="1738">
                  <c:v>44243</c:v>
                </c:pt>
                <c:pt idx="1739">
                  <c:v>44243</c:v>
                </c:pt>
                <c:pt idx="1740">
                  <c:v>44239</c:v>
                </c:pt>
                <c:pt idx="1741">
                  <c:v>44239</c:v>
                </c:pt>
                <c:pt idx="1742">
                  <c:v>44238</c:v>
                </c:pt>
                <c:pt idx="1743">
                  <c:v>44238</c:v>
                </c:pt>
                <c:pt idx="1744">
                  <c:v>44237</c:v>
                </c:pt>
                <c:pt idx="1745">
                  <c:v>44237</c:v>
                </c:pt>
                <c:pt idx="1746">
                  <c:v>44236</c:v>
                </c:pt>
                <c:pt idx="1747">
                  <c:v>44236</c:v>
                </c:pt>
                <c:pt idx="1748">
                  <c:v>44235</c:v>
                </c:pt>
                <c:pt idx="1749">
                  <c:v>44235</c:v>
                </c:pt>
                <c:pt idx="1750">
                  <c:v>44232</c:v>
                </c:pt>
                <c:pt idx="1751">
                  <c:v>44232</c:v>
                </c:pt>
                <c:pt idx="1752">
                  <c:v>44231</c:v>
                </c:pt>
                <c:pt idx="1753">
                  <c:v>44231</c:v>
                </c:pt>
                <c:pt idx="1754">
                  <c:v>44230</c:v>
                </c:pt>
                <c:pt idx="1755">
                  <c:v>44230</c:v>
                </c:pt>
                <c:pt idx="1756">
                  <c:v>44229</c:v>
                </c:pt>
                <c:pt idx="1757">
                  <c:v>44229</c:v>
                </c:pt>
                <c:pt idx="1758">
                  <c:v>44228</c:v>
                </c:pt>
                <c:pt idx="1759">
                  <c:v>44228</c:v>
                </c:pt>
                <c:pt idx="1760">
                  <c:v>44225</c:v>
                </c:pt>
                <c:pt idx="1761">
                  <c:v>44225</c:v>
                </c:pt>
                <c:pt idx="1762">
                  <c:v>44224</c:v>
                </c:pt>
                <c:pt idx="1763">
                  <c:v>44224</c:v>
                </c:pt>
                <c:pt idx="1764">
                  <c:v>44223</c:v>
                </c:pt>
                <c:pt idx="1765">
                  <c:v>44223</c:v>
                </c:pt>
                <c:pt idx="1766">
                  <c:v>44222</c:v>
                </c:pt>
                <c:pt idx="1767">
                  <c:v>44222</c:v>
                </c:pt>
                <c:pt idx="1768">
                  <c:v>44221</c:v>
                </c:pt>
                <c:pt idx="1769">
                  <c:v>44221</c:v>
                </c:pt>
                <c:pt idx="1770">
                  <c:v>44218</c:v>
                </c:pt>
                <c:pt idx="1771">
                  <c:v>44218</c:v>
                </c:pt>
                <c:pt idx="1772">
                  <c:v>44217</c:v>
                </c:pt>
                <c:pt idx="1773">
                  <c:v>44217</c:v>
                </c:pt>
                <c:pt idx="1774">
                  <c:v>44216</c:v>
                </c:pt>
                <c:pt idx="1775">
                  <c:v>44216</c:v>
                </c:pt>
                <c:pt idx="1776">
                  <c:v>44215</c:v>
                </c:pt>
                <c:pt idx="1777">
                  <c:v>44215</c:v>
                </c:pt>
                <c:pt idx="1778">
                  <c:v>44211</c:v>
                </c:pt>
                <c:pt idx="1779">
                  <c:v>44211</c:v>
                </c:pt>
                <c:pt idx="1780">
                  <c:v>44210</c:v>
                </c:pt>
                <c:pt idx="1781">
                  <c:v>44210</c:v>
                </c:pt>
                <c:pt idx="1782">
                  <c:v>44209</c:v>
                </c:pt>
                <c:pt idx="1783">
                  <c:v>44209</c:v>
                </c:pt>
                <c:pt idx="1784">
                  <c:v>44208</c:v>
                </c:pt>
                <c:pt idx="1785">
                  <c:v>44208</c:v>
                </c:pt>
                <c:pt idx="1786">
                  <c:v>44207</c:v>
                </c:pt>
                <c:pt idx="1787">
                  <c:v>44207</c:v>
                </c:pt>
                <c:pt idx="1788">
                  <c:v>44204</c:v>
                </c:pt>
                <c:pt idx="1789">
                  <c:v>44204</c:v>
                </c:pt>
                <c:pt idx="1790">
                  <c:v>44203</c:v>
                </c:pt>
                <c:pt idx="1791">
                  <c:v>44203</c:v>
                </c:pt>
                <c:pt idx="1792">
                  <c:v>44202</c:v>
                </c:pt>
                <c:pt idx="1793">
                  <c:v>44202</c:v>
                </c:pt>
                <c:pt idx="1794">
                  <c:v>44201</c:v>
                </c:pt>
                <c:pt idx="1795">
                  <c:v>44201</c:v>
                </c:pt>
                <c:pt idx="1796">
                  <c:v>44200</c:v>
                </c:pt>
                <c:pt idx="1797">
                  <c:v>44200</c:v>
                </c:pt>
                <c:pt idx="1798">
                  <c:v>44196</c:v>
                </c:pt>
                <c:pt idx="1799">
                  <c:v>44196</c:v>
                </c:pt>
                <c:pt idx="1800">
                  <c:v>44195</c:v>
                </c:pt>
                <c:pt idx="1801">
                  <c:v>44195</c:v>
                </c:pt>
                <c:pt idx="1802">
                  <c:v>44194</c:v>
                </c:pt>
                <c:pt idx="1803">
                  <c:v>44194</c:v>
                </c:pt>
                <c:pt idx="1804">
                  <c:v>44193</c:v>
                </c:pt>
                <c:pt idx="1805">
                  <c:v>44193</c:v>
                </c:pt>
                <c:pt idx="1806">
                  <c:v>44189</c:v>
                </c:pt>
                <c:pt idx="1807">
                  <c:v>44189</c:v>
                </c:pt>
                <c:pt idx="1808">
                  <c:v>44188</c:v>
                </c:pt>
                <c:pt idx="1809">
                  <c:v>44188</c:v>
                </c:pt>
                <c:pt idx="1810">
                  <c:v>44187</c:v>
                </c:pt>
                <c:pt idx="1811">
                  <c:v>44187</c:v>
                </c:pt>
                <c:pt idx="1812">
                  <c:v>44186</c:v>
                </c:pt>
                <c:pt idx="1813">
                  <c:v>44186</c:v>
                </c:pt>
                <c:pt idx="1814">
                  <c:v>44183</c:v>
                </c:pt>
                <c:pt idx="1815">
                  <c:v>44183</c:v>
                </c:pt>
                <c:pt idx="1816">
                  <c:v>44182</c:v>
                </c:pt>
                <c:pt idx="1817">
                  <c:v>44182</c:v>
                </c:pt>
                <c:pt idx="1818">
                  <c:v>44181</c:v>
                </c:pt>
                <c:pt idx="1819">
                  <c:v>44181</c:v>
                </c:pt>
                <c:pt idx="1820">
                  <c:v>44180</c:v>
                </c:pt>
                <c:pt idx="1821">
                  <c:v>44180</c:v>
                </c:pt>
                <c:pt idx="1822">
                  <c:v>44179</c:v>
                </c:pt>
                <c:pt idx="1823">
                  <c:v>44179</c:v>
                </c:pt>
                <c:pt idx="1824">
                  <c:v>44176</c:v>
                </c:pt>
                <c:pt idx="1825">
                  <c:v>44176</c:v>
                </c:pt>
                <c:pt idx="1826">
                  <c:v>44175</c:v>
                </c:pt>
                <c:pt idx="1827">
                  <c:v>44175</c:v>
                </c:pt>
                <c:pt idx="1828">
                  <c:v>44174</c:v>
                </c:pt>
                <c:pt idx="1829">
                  <c:v>44174</c:v>
                </c:pt>
                <c:pt idx="1830">
                  <c:v>44173</c:v>
                </c:pt>
                <c:pt idx="1831">
                  <c:v>44173</c:v>
                </c:pt>
                <c:pt idx="1832">
                  <c:v>44172</c:v>
                </c:pt>
                <c:pt idx="1833">
                  <c:v>44172</c:v>
                </c:pt>
                <c:pt idx="1834">
                  <c:v>44169</c:v>
                </c:pt>
                <c:pt idx="1835">
                  <c:v>44169</c:v>
                </c:pt>
                <c:pt idx="1836">
                  <c:v>44168</c:v>
                </c:pt>
                <c:pt idx="1837">
                  <c:v>44168</c:v>
                </c:pt>
                <c:pt idx="1838">
                  <c:v>44167</c:v>
                </c:pt>
                <c:pt idx="1839">
                  <c:v>44167</c:v>
                </c:pt>
                <c:pt idx="1840">
                  <c:v>44166</c:v>
                </c:pt>
                <c:pt idx="1841">
                  <c:v>44166</c:v>
                </c:pt>
                <c:pt idx="1842">
                  <c:v>44165</c:v>
                </c:pt>
                <c:pt idx="1843">
                  <c:v>44165</c:v>
                </c:pt>
                <c:pt idx="1844">
                  <c:v>44162</c:v>
                </c:pt>
                <c:pt idx="1845">
                  <c:v>44162</c:v>
                </c:pt>
                <c:pt idx="1846">
                  <c:v>44160</c:v>
                </c:pt>
                <c:pt idx="1847">
                  <c:v>44160</c:v>
                </c:pt>
                <c:pt idx="1848">
                  <c:v>44159</c:v>
                </c:pt>
                <c:pt idx="1849">
                  <c:v>44159</c:v>
                </c:pt>
                <c:pt idx="1850">
                  <c:v>44158</c:v>
                </c:pt>
                <c:pt idx="1851">
                  <c:v>44158</c:v>
                </c:pt>
                <c:pt idx="1852">
                  <c:v>44155</c:v>
                </c:pt>
                <c:pt idx="1853">
                  <c:v>44155</c:v>
                </c:pt>
                <c:pt idx="1854">
                  <c:v>44154</c:v>
                </c:pt>
                <c:pt idx="1855">
                  <c:v>44154</c:v>
                </c:pt>
                <c:pt idx="1856">
                  <c:v>44153</c:v>
                </c:pt>
                <c:pt idx="1857">
                  <c:v>44153</c:v>
                </c:pt>
                <c:pt idx="1858">
                  <c:v>44152</c:v>
                </c:pt>
                <c:pt idx="1859">
                  <c:v>44152</c:v>
                </c:pt>
                <c:pt idx="1860">
                  <c:v>44151</c:v>
                </c:pt>
                <c:pt idx="1861">
                  <c:v>44151</c:v>
                </c:pt>
                <c:pt idx="1862">
                  <c:v>44148</c:v>
                </c:pt>
                <c:pt idx="1863">
                  <c:v>44148</c:v>
                </c:pt>
                <c:pt idx="1864">
                  <c:v>44147</c:v>
                </c:pt>
                <c:pt idx="1865">
                  <c:v>44147</c:v>
                </c:pt>
                <c:pt idx="1866">
                  <c:v>44146</c:v>
                </c:pt>
                <c:pt idx="1867">
                  <c:v>44146</c:v>
                </c:pt>
                <c:pt idx="1868">
                  <c:v>44145</c:v>
                </c:pt>
                <c:pt idx="1869">
                  <c:v>44145</c:v>
                </c:pt>
                <c:pt idx="1870">
                  <c:v>44144</c:v>
                </c:pt>
                <c:pt idx="1871">
                  <c:v>44144</c:v>
                </c:pt>
                <c:pt idx="1872">
                  <c:v>44141</c:v>
                </c:pt>
                <c:pt idx="1873">
                  <c:v>44141</c:v>
                </c:pt>
                <c:pt idx="1874">
                  <c:v>44140</c:v>
                </c:pt>
                <c:pt idx="1875">
                  <c:v>44140</c:v>
                </c:pt>
                <c:pt idx="1876">
                  <c:v>44139</c:v>
                </c:pt>
                <c:pt idx="1877">
                  <c:v>44139</c:v>
                </c:pt>
                <c:pt idx="1878">
                  <c:v>44138</c:v>
                </c:pt>
                <c:pt idx="1879">
                  <c:v>44138</c:v>
                </c:pt>
                <c:pt idx="1880">
                  <c:v>44137</c:v>
                </c:pt>
                <c:pt idx="1881">
                  <c:v>44137</c:v>
                </c:pt>
                <c:pt idx="1882">
                  <c:v>44134</c:v>
                </c:pt>
                <c:pt idx="1883">
                  <c:v>44134</c:v>
                </c:pt>
                <c:pt idx="1884">
                  <c:v>44133</c:v>
                </c:pt>
                <c:pt idx="1885">
                  <c:v>44133</c:v>
                </c:pt>
                <c:pt idx="1886">
                  <c:v>44132</c:v>
                </c:pt>
                <c:pt idx="1887">
                  <c:v>44132</c:v>
                </c:pt>
                <c:pt idx="1888">
                  <c:v>44131</c:v>
                </c:pt>
                <c:pt idx="1889">
                  <c:v>44131</c:v>
                </c:pt>
                <c:pt idx="1890">
                  <c:v>44130</c:v>
                </c:pt>
                <c:pt idx="1891">
                  <c:v>44130</c:v>
                </c:pt>
                <c:pt idx="1892">
                  <c:v>44127</c:v>
                </c:pt>
                <c:pt idx="1893">
                  <c:v>44127</c:v>
                </c:pt>
                <c:pt idx="1894">
                  <c:v>44126</c:v>
                </c:pt>
                <c:pt idx="1895">
                  <c:v>44126</c:v>
                </c:pt>
                <c:pt idx="1896">
                  <c:v>44125</c:v>
                </c:pt>
                <c:pt idx="1897">
                  <c:v>44125</c:v>
                </c:pt>
                <c:pt idx="1898">
                  <c:v>44124</c:v>
                </c:pt>
                <c:pt idx="1899">
                  <c:v>44124</c:v>
                </c:pt>
                <c:pt idx="1900">
                  <c:v>44123</c:v>
                </c:pt>
                <c:pt idx="1901">
                  <c:v>44123</c:v>
                </c:pt>
                <c:pt idx="1902">
                  <c:v>44120</c:v>
                </c:pt>
                <c:pt idx="1903">
                  <c:v>44120</c:v>
                </c:pt>
                <c:pt idx="1904">
                  <c:v>44119</c:v>
                </c:pt>
                <c:pt idx="1905">
                  <c:v>44119</c:v>
                </c:pt>
                <c:pt idx="1906">
                  <c:v>44118</c:v>
                </c:pt>
                <c:pt idx="1907">
                  <c:v>44118</c:v>
                </c:pt>
                <c:pt idx="1908">
                  <c:v>44117</c:v>
                </c:pt>
                <c:pt idx="1909">
                  <c:v>44117</c:v>
                </c:pt>
                <c:pt idx="1910">
                  <c:v>44116</c:v>
                </c:pt>
                <c:pt idx="1911">
                  <c:v>44116</c:v>
                </c:pt>
                <c:pt idx="1912">
                  <c:v>44113</c:v>
                </c:pt>
                <c:pt idx="1913">
                  <c:v>44113</c:v>
                </c:pt>
                <c:pt idx="1914">
                  <c:v>44112</c:v>
                </c:pt>
                <c:pt idx="1915">
                  <c:v>44112</c:v>
                </c:pt>
                <c:pt idx="1916">
                  <c:v>44111</c:v>
                </c:pt>
                <c:pt idx="1917">
                  <c:v>44111</c:v>
                </c:pt>
                <c:pt idx="1918">
                  <c:v>44110</c:v>
                </c:pt>
                <c:pt idx="1919">
                  <c:v>44110</c:v>
                </c:pt>
                <c:pt idx="1920">
                  <c:v>44109</c:v>
                </c:pt>
                <c:pt idx="1921">
                  <c:v>44109</c:v>
                </c:pt>
                <c:pt idx="1922">
                  <c:v>44106</c:v>
                </c:pt>
                <c:pt idx="1923">
                  <c:v>44106</c:v>
                </c:pt>
                <c:pt idx="1924">
                  <c:v>44105</c:v>
                </c:pt>
                <c:pt idx="1925">
                  <c:v>44105</c:v>
                </c:pt>
                <c:pt idx="1926">
                  <c:v>44104</c:v>
                </c:pt>
                <c:pt idx="1927">
                  <c:v>44104</c:v>
                </c:pt>
                <c:pt idx="1928">
                  <c:v>44103</c:v>
                </c:pt>
                <c:pt idx="1929">
                  <c:v>44103</c:v>
                </c:pt>
                <c:pt idx="1930">
                  <c:v>44102</c:v>
                </c:pt>
                <c:pt idx="1931">
                  <c:v>44102</c:v>
                </c:pt>
                <c:pt idx="1932">
                  <c:v>44099</c:v>
                </c:pt>
                <c:pt idx="1933">
                  <c:v>44099</c:v>
                </c:pt>
                <c:pt idx="1934">
                  <c:v>44098</c:v>
                </c:pt>
                <c:pt idx="1935">
                  <c:v>44098</c:v>
                </c:pt>
                <c:pt idx="1936">
                  <c:v>44097</c:v>
                </c:pt>
                <c:pt idx="1937">
                  <c:v>44097</c:v>
                </c:pt>
                <c:pt idx="1938">
                  <c:v>44096</c:v>
                </c:pt>
                <c:pt idx="1939">
                  <c:v>44096</c:v>
                </c:pt>
                <c:pt idx="1940">
                  <c:v>44095</c:v>
                </c:pt>
                <c:pt idx="1941">
                  <c:v>44095</c:v>
                </c:pt>
                <c:pt idx="1942">
                  <c:v>44092</c:v>
                </c:pt>
                <c:pt idx="1943">
                  <c:v>44092</c:v>
                </c:pt>
                <c:pt idx="1944">
                  <c:v>44091</c:v>
                </c:pt>
                <c:pt idx="1945">
                  <c:v>44091</c:v>
                </c:pt>
                <c:pt idx="1946">
                  <c:v>44090</c:v>
                </c:pt>
                <c:pt idx="1947">
                  <c:v>44090</c:v>
                </c:pt>
                <c:pt idx="1948">
                  <c:v>44089</c:v>
                </c:pt>
                <c:pt idx="1949">
                  <c:v>44089</c:v>
                </c:pt>
                <c:pt idx="1950">
                  <c:v>44088</c:v>
                </c:pt>
                <c:pt idx="1951">
                  <c:v>44088</c:v>
                </c:pt>
                <c:pt idx="1952">
                  <c:v>44085</c:v>
                </c:pt>
                <c:pt idx="1953">
                  <c:v>44085</c:v>
                </c:pt>
                <c:pt idx="1954">
                  <c:v>44084</c:v>
                </c:pt>
                <c:pt idx="1955">
                  <c:v>44084</c:v>
                </c:pt>
                <c:pt idx="1956">
                  <c:v>44083</c:v>
                </c:pt>
                <c:pt idx="1957">
                  <c:v>44083</c:v>
                </c:pt>
                <c:pt idx="1958">
                  <c:v>44082</c:v>
                </c:pt>
                <c:pt idx="1959">
                  <c:v>44082</c:v>
                </c:pt>
                <c:pt idx="1960">
                  <c:v>44078</c:v>
                </c:pt>
                <c:pt idx="1961">
                  <c:v>44078</c:v>
                </c:pt>
                <c:pt idx="1962">
                  <c:v>44077</c:v>
                </c:pt>
                <c:pt idx="1963">
                  <c:v>44077</c:v>
                </c:pt>
                <c:pt idx="1964">
                  <c:v>44076</c:v>
                </c:pt>
                <c:pt idx="1965">
                  <c:v>44076</c:v>
                </c:pt>
                <c:pt idx="1966">
                  <c:v>44075</c:v>
                </c:pt>
                <c:pt idx="1967">
                  <c:v>44075</c:v>
                </c:pt>
                <c:pt idx="1968">
                  <c:v>44074</c:v>
                </c:pt>
                <c:pt idx="1969">
                  <c:v>44074</c:v>
                </c:pt>
                <c:pt idx="1970">
                  <c:v>44071</c:v>
                </c:pt>
                <c:pt idx="1971">
                  <c:v>44071</c:v>
                </c:pt>
                <c:pt idx="1972">
                  <c:v>44070</c:v>
                </c:pt>
                <c:pt idx="1973">
                  <c:v>44070</c:v>
                </c:pt>
                <c:pt idx="1974">
                  <c:v>44069</c:v>
                </c:pt>
                <c:pt idx="1975">
                  <c:v>44069</c:v>
                </c:pt>
                <c:pt idx="1976">
                  <c:v>44068</c:v>
                </c:pt>
                <c:pt idx="1977">
                  <c:v>44068</c:v>
                </c:pt>
                <c:pt idx="1978">
                  <c:v>44067</c:v>
                </c:pt>
                <c:pt idx="1979">
                  <c:v>44067</c:v>
                </c:pt>
                <c:pt idx="1980">
                  <c:v>44064</c:v>
                </c:pt>
                <c:pt idx="1981">
                  <c:v>44064</c:v>
                </c:pt>
                <c:pt idx="1982">
                  <c:v>44063</c:v>
                </c:pt>
                <c:pt idx="1983">
                  <c:v>44063</c:v>
                </c:pt>
                <c:pt idx="1984">
                  <c:v>44062</c:v>
                </c:pt>
                <c:pt idx="1985">
                  <c:v>44062</c:v>
                </c:pt>
                <c:pt idx="1986">
                  <c:v>44061</c:v>
                </c:pt>
                <c:pt idx="1987">
                  <c:v>44061</c:v>
                </c:pt>
                <c:pt idx="1988">
                  <c:v>44060</c:v>
                </c:pt>
                <c:pt idx="1989">
                  <c:v>44060</c:v>
                </c:pt>
                <c:pt idx="1990">
                  <c:v>44057</c:v>
                </c:pt>
                <c:pt idx="1991">
                  <c:v>44057</c:v>
                </c:pt>
                <c:pt idx="1992">
                  <c:v>44056</c:v>
                </c:pt>
                <c:pt idx="1993">
                  <c:v>44056</c:v>
                </c:pt>
                <c:pt idx="1994">
                  <c:v>44055</c:v>
                </c:pt>
                <c:pt idx="1995">
                  <c:v>44055</c:v>
                </c:pt>
                <c:pt idx="1996">
                  <c:v>44054</c:v>
                </c:pt>
                <c:pt idx="1997">
                  <c:v>44054</c:v>
                </c:pt>
                <c:pt idx="1998">
                  <c:v>44053</c:v>
                </c:pt>
                <c:pt idx="1999">
                  <c:v>44053</c:v>
                </c:pt>
                <c:pt idx="2000">
                  <c:v>44050</c:v>
                </c:pt>
                <c:pt idx="2001">
                  <c:v>44050</c:v>
                </c:pt>
                <c:pt idx="2002">
                  <c:v>44049</c:v>
                </c:pt>
                <c:pt idx="2003">
                  <c:v>44049</c:v>
                </c:pt>
                <c:pt idx="2004">
                  <c:v>44048</c:v>
                </c:pt>
                <c:pt idx="2005">
                  <c:v>44048</c:v>
                </c:pt>
                <c:pt idx="2006">
                  <c:v>44047</c:v>
                </c:pt>
                <c:pt idx="2007">
                  <c:v>44047</c:v>
                </c:pt>
                <c:pt idx="2008">
                  <c:v>44046</c:v>
                </c:pt>
                <c:pt idx="2009">
                  <c:v>44046</c:v>
                </c:pt>
                <c:pt idx="2010">
                  <c:v>44043</c:v>
                </c:pt>
                <c:pt idx="2011">
                  <c:v>44043</c:v>
                </c:pt>
                <c:pt idx="2012">
                  <c:v>44042</c:v>
                </c:pt>
                <c:pt idx="2013">
                  <c:v>44042</c:v>
                </c:pt>
                <c:pt idx="2014">
                  <c:v>44041</c:v>
                </c:pt>
                <c:pt idx="2015">
                  <c:v>44041</c:v>
                </c:pt>
                <c:pt idx="2016">
                  <c:v>44040</c:v>
                </c:pt>
                <c:pt idx="2017">
                  <c:v>44040</c:v>
                </c:pt>
                <c:pt idx="2018">
                  <c:v>44039</c:v>
                </c:pt>
                <c:pt idx="2019">
                  <c:v>44039</c:v>
                </c:pt>
                <c:pt idx="2020">
                  <c:v>44036</c:v>
                </c:pt>
                <c:pt idx="2021">
                  <c:v>44036</c:v>
                </c:pt>
                <c:pt idx="2022">
                  <c:v>44035</c:v>
                </c:pt>
                <c:pt idx="2023">
                  <c:v>44035</c:v>
                </c:pt>
                <c:pt idx="2024">
                  <c:v>44034</c:v>
                </c:pt>
                <c:pt idx="2025">
                  <c:v>44034</c:v>
                </c:pt>
                <c:pt idx="2026">
                  <c:v>44033</c:v>
                </c:pt>
                <c:pt idx="2027">
                  <c:v>44033</c:v>
                </c:pt>
                <c:pt idx="2028">
                  <c:v>44032</c:v>
                </c:pt>
                <c:pt idx="2029">
                  <c:v>44032</c:v>
                </c:pt>
                <c:pt idx="2030">
                  <c:v>44029</c:v>
                </c:pt>
                <c:pt idx="2031">
                  <c:v>44029</c:v>
                </c:pt>
                <c:pt idx="2032">
                  <c:v>44028</c:v>
                </c:pt>
                <c:pt idx="2033">
                  <c:v>44028</c:v>
                </c:pt>
                <c:pt idx="2034">
                  <c:v>44027</c:v>
                </c:pt>
                <c:pt idx="2035">
                  <c:v>44027</c:v>
                </c:pt>
                <c:pt idx="2036">
                  <c:v>44026</c:v>
                </c:pt>
                <c:pt idx="2037">
                  <c:v>44026</c:v>
                </c:pt>
                <c:pt idx="2038">
                  <c:v>44025</c:v>
                </c:pt>
                <c:pt idx="2039">
                  <c:v>44025</c:v>
                </c:pt>
                <c:pt idx="2040">
                  <c:v>44022</c:v>
                </c:pt>
                <c:pt idx="2041">
                  <c:v>44022</c:v>
                </c:pt>
                <c:pt idx="2042">
                  <c:v>44021</c:v>
                </c:pt>
                <c:pt idx="2043">
                  <c:v>44021</c:v>
                </c:pt>
                <c:pt idx="2044">
                  <c:v>44020</c:v>
                </c:pt>
                <c:pt idx="2045">
                  <c:v>44020</c:v>
                </c:pt>
                <c:pt idx="2046">
                  <c:v>44019</c:v>
                </c:pt>
                <c:pt idx="2047">
                  <c:v>44019</c:v>
                </c:pt>
                <c:pt idx="2048">
                  <c:v>44018</c:v>
                </c:pt>
                <c:pt idx="2049">
                  <c:v>44018</c:v>
                </c:pt>
                <c:pt idx="2050">
                  <c:v>44014</c:v>
                </c:pt>
                <c:pt idx="2051">
                  <c:v>44014</c:v>
                </c:pt>
                <c:pt idx="2052">
                  <c:v>44013</c:v>
                </c:pt>
                <c:pt idx="2053">
                  <c:v>44013</c:v>
                </c:pt>
                <c:pt idx="2054">
                  <c:v>44012</c:v>
                </c:pt>
                <c:pt idx="2055">
                  <c:v>44012</c:v>
                </c:pt>
                <c:pt idx="2056">
                  <c:v>44011</c:v>
                </c:pt>
                <c:pt idx="2057">
                  <c:v>44011</c:v>
                </c:pt>
                <c:pt idx="2058">
                  <c:v>44008</c:v>
                </c:pt>
                <c:pt idx="2059">
                  <c:v>44008</c:v>
                </c:pt>
                <c:pt idx="2060">
                  <c:v>44007</c:v>
                </c:pt>
                <c:pt idx="2061">
                  <c:v>44007</c:v>
                </c:pt>
                <c:pt idx="2062">
                  <c:v>44006</c:v>
                </c:pt>
                <c:pt idx="2063">
                  <c:v>44006</c:v>
                </c:pt>
                <c:pt idx="2064">
                  <c:v>44005</c:v>
                </c:pt>
                <c:pt idx="2065">
                  <c:v>44005</c:v>
                </c:pt>
                <c:pt idx="2066">
                  <c:v>44004</c:v>
                </c:pt>
                <c:pt idx="2067">
                  <c:v>44004</c:v>
                </c:pt>
                <c:pt idx="2068">
                  <c:v>44001</c:v>
                </c:pt>
                <c:pt idx="2069">
                  <c:v>44001</c:v>
                </c:pt>
                <c:pt idx="2070">
                  <c:v>44000</c:v>
                </c:pt>
                <c:pt idx="2071">
                  <c:v>44000</c:v>
                </c:pt>
                <c:pt idx="2072">
                  <c:v>43999</c:v>
                </c:pt>
                <c:pt idx="2073">
                  <c:v>43999</c:v>
                </c:pt>
                <c:pt idx="2074">
                  <c:v>43998</c:v>
                </c:pt>
                <c:pt idx="2075">
                  <c:v>43998</c:v>
                </c:pt>
                <c:pt idx="2076">
                  <c:v>43997</c:v>
                </c:pt>
                <c:pt idx="2077">
                  <c:v>43997</c:v>
                </c:pt>
                <c:pt idx="2078">
                  <c:v>43994</c:v>
                </c:pt>
                <c:pt idx="2079">
                  <c:v>43994</c:v>
                </c:pt>
                <c:pt idx="2080">
                  <c:v>43993</c:v>
                </c:pt>
                <c:pt idx="2081">
                  <c:v>43993</c:v>
                </c:pt>
                <c:pt idx="2082">
                  <c:v>43992</c:v>
                </c:pt>
                <c:pt idx="2083">
                  <c:v>43992</c:v>
                </c:pt>
                <c:pt idx="2084">
                  <c:v>43991</c:v>
                </c:pt>
                <c:pt idx="2085">
                  <c:v>43991</c:v>
                </c:pt>
                <c:pt idx="2086">
                  <c:v>43990</c:v>
                </c:pt>
                <c:pt idx="2087">
                  <c:v>43990</c:v>
                </c:pt>
                <c:pt idx="2088">
                  <c:v>43987</c:v>
                </c:pt>
                <c:pt idx="2089">
                  <c:v>43987</c:v>
                </c:pt>
                <c:pt idx="2090">
                  <c:v>43986</c:v>
                </c:pt>
                <c:pt idx="2091">
                  <c:v>43986</c:v>
                </c:pt>
                <c:pt idx="2092">
                  <c:v>43985</c:v>
                </c:pt>
                <c:pt idx="2093">
                  <c:v>43985</c:v>
                </c:pt>
                <c:pt idx="2094">
                  <c:v>43984</c:v>
                </c:pt>
                <c:pt idx="2095">
                  <c:v>43984</c:v>
                </c:pt>
                <c:pt idx="2096">
                  <c:v>43983</c:v>
                </c:pt>
                <c:pt idx="2097">
                  <c:v>43983</c:v>
                </c:pt>
                <c:pt idx="2098">
                  <c:v>43980</c:v>
                </c:pt>
                <c:pt idx="2099">
                  <c:v>43980</c:v>
                </c:pt>
                <c:pt idx="2100">
                  <c:v>43979</c:v>
                </c:pt>
                <c:pt idx="2101">
                  <c:v>43979</c:v>
                </c:pt>
                <c:pt idx="2102">
                  <c:v>43978</c:v>
                </c:pt>
                <c:pt idx="2103">
                  <c:v>43978</c:v>
                </c:pt>
                <c:pt idx="2104">
                  <c:v>43977</c:v>
                </c:pt>
                <c:pt idx="2105">
                  <c:v>43977</c:v>
                </c:pt>
                <c:pt idx="2106">
                  <c:v>43973</c:v>
                </c:pt>
                <c:pt idx="2107">
                  <c:v>43973</c:v>
                </c:pt>
                <c:pt idx="2108">
                  <c:v>43972</c:v>
                </c:pt>
                <c:pt idx="2109">
                  <c:v>43972</c:v>
                </c:pt>
                <c:pt idx="2110">
                  <c:v>43971</c:v>
                </c:pt>
                <c:pt idx="2111">
                  <c:v>43971</c:v>
                </c:pt>
                <c:pt idx="2112">
                  <c:v>43970</c:v>
                </c:pt>
                <c:pt idx="2113">
                  <c:v>43970</c:v>
                </c:pt>
                <c:pt idx="2114">
                  <c:v>43969</c:v>
                </c:pt>
                <c:pt idx="2115">
                  <c:v>43969</c:v>
                </c:pt>
                <c:pt idx="2116">
                  <c:v>43966</c:v>
                </c:pt>
                <c:pt idx="2117">
                  <c:v>43966</c:v>
                </c:pt>
                <c:pt idx="2118">
                  <c:v>43965</c:v>
                </c:pt>
                <c:pt idx="2119">
                  <c:v>43965</c:v>
                </c:pt>
                <c:pt idx="2120">
                  <c:v>43964</c:v>
                </c:pt>
                <c:pt idx="2121">
                  <c:v>43964</c:v>
                </c:pt>
                <c:pt idx="2122">
                  <c:v>43963</c:v>
                </c:pt>
                <c:pt idx="2123">
                  <c:v>43963</c:v>
                </c:pt>
                <c:pt idx="2124">
                  <c:v>43962</c:v>
                </c:pt>
                <c:pt idx="2125">
                  <c:v>43962</c:v>
                </c:pt>
                <c:pt idx="2126">
                  <c:v>43959</c:v>
                </c:pt>
                <c:pt idx="2127">
                  <c:v>43959</c:v>
                </c:pt>
                <c:pt idx="2128">
                  <c:v>43958</c:v>
                </c:pt>
                <c:pt idx="2129">
                  <c:v>43958</c:v>
                </c:pt>
                <c:pt idx="2130">
                  <c:v>43957</c:v>
                </c:pt>
                <c:pt idx="2131">
                  <c:v>43957</c:v>
                </c:pt>
                <c:pt idx="2132">
                  <c:v>43956</c:v>
                </c:pt>
                <c:pt idx="2133">
                  <c:v>43956</c:v>
                </c:pt>
                <c:pt idx="2134">
                  <c:v>43955</c:v>
                </c:pt>
                <c:pt idx="2135">
                  <c:v>43955</c:v>
                </c:pt>
                <c:pt idx="2136">
                  <c:v>43952</c:v>
                </c:pt>
                <c:pt idx="2137">
                  <c:v>43952</c:v>
                </c:pt>
                <c:pt idx="2138">
                  <c:v>43951</c:v>
                </c:pt>
                <c:pt idx="2139">
                  <c:v>43951</c:v>
                </c:pt>
                <c:pt idx="2140">
                  <c:v>43950</c:v>
                </c:pt>
                <c:pt idx="2141">
                  <c:v>43950</c:v>
                </c:pt>
                <c:pt idx="2142">
                  <c:v>43949</c:v>
                </c:pt>
                <c:pt idx="2143">
                  <c:v>43949</c:v>
                </c:pt>
                <c:pt idx="2144">
                  <c:v>43948</c:v>
                </c:pt>
                <c:pt idx="2145">
                  <c:v>43948</c:v>
                </c:pt>
                <c:pt idx="2146">
                  <c:v>43945</c:v>
                </c:pt>
                <c:pt idx="2147">
                  <c:v>43945</c:v>
                </c:pt>
                <c:pt idx="2148">
                  <c:v>43944</c:v>
                </c:pt>
                <c:pt idx="2149">
                  <c:v>43944</c:v>
                </c:pt>
                <c:pt idx="2150">
                  <c:v>43943</c:v>
                </c:pt>
                <c:pt idx="2151">
                  <c:v>43943</c:v>
                </c:pt>
                <c:pt idx="2152">
                  <c:v>43942</c:v>
                </c:pt>
                <c:pt idx="2153">
                  <c:v>43942</c:v>
                </c:pt>
                <c:pt idx="2154">
                  <c:v>43941</c:v>
                </c:pt>
                <c:pt idx="2155">
                  <c:v>43941</c:v>
                </c:pt>
                <c:pt idx="2156">
                  <c:v>43938</c:v>
                </c:pt>
                <c:pt idx="2157">
                  <c:v>43938</c:v>
                </c:pt>
                <c:pt idx="2158">
                  <c:v>43937</c:v>
                </c:pt>
                <c:pt idx="2159">
                  <c:v>43937</c:v>
                </c:pt>
                <c:pt idx="2160">
                  <c:v>43936</c:v>
                </c:pt>
                <c:pt idx="2161">
                  <c:v>43936</c:v>
                </c:pt>
                <c:pt idx="2162">
                  <c:v>43935</c:v>
                </c:pt>
                <c:pt idx="2163">
                  <c:v>43935</c:v>
                </c:pt>
                <c:pt idx="2164">
                  <c:v>43934</c:v>
                </c:pt>
                <c:pt idx="2165">
                  <c:v>43934</c:v>
                </c:pt>
                <c:pt idx="2166">
                  <c:v>43930</c:v>
                </c:pt>
                <c:pt idx="2167">
                  <c:v>43930</c:v>
                </c:pt>
                <c:pt idx="2168">
                  <c:v>43929</c:v>
                </c:pt>
                <c:pt idx="2169">
                  <c:v>43929</c:v>
                </c:pt>
                <c:pt idx="2170">
                  <c:v>43928</c:v>
                </c:pt>
                <c:pt idx="2171">
                  <c:v>43928</c:v>
                </c:pt>
                <c:pt idx="2172">
                  <c:v>43927</c:v>
                </c:pt>
                <c:pt idx="2173">
                  <c:v>43927</c:v>
                </c:pt>
                <c:pt idx="2174">
                  <c:v>43924</c:v>
                </c:pt>
                <c:pt idx="2175">
                  <c:v>43924</c:v>
                </c:pt>
                <c:pt idx="2176">
                  <c:v>43923</c:v>
                </c:pt>
                <c:pt idx="2177">
                  <c:v>43923</c:v>
                </c:pt>
                <c:pt idx="2178">
                  <c:v>43922</c:v>
                </c:pt>
                <c:pt idx="2179">
                  <c:v>43922</c:v>
                </c:pt>
                <c:pt idx="2180">
                  <c:v>43921</c:v>
                </c:pt>
                <c:pt idx="2181">
                  <c:v>43921</c:v>
                </c:pt>
                <c:pt idx="2182">
                  <c:v>43920</c:v>
                </c:pt>
                <c:pt idx="2183">
                  <c:v>43920</c:v>
                </c:pt>
                <c:pt idx="2184">
                  <c:v>43917</c:v>
                </c:pt>
                <c:pt idx="2185">
                  <c:v>43917</c:v>
                </c:pt>
                <c:pt idx="2186">
                  <c:v>43916</c:v>
                </c:pt>
                <c:pt idx="2187">
                  <c:v>43916</c:v>
                </c:pt>
                <c:pt idx="2188">
                  <c:v>43915</c:v>
                </c:pt>
                <c:pt idx="2189">
                  <c:v>43915</c:v>
                </c:pt>
                <c:pt idx="2190">
                  <c:v>43914</c:v>
                </c:pt>
                <c:pt idx="2191">
                  <c:v>43914</c:v>
                </c:pt>
                <c:pt idx="2192">
                  <c:v>43913</c:v>
                </c:pt>
                <c:pt idx="2193">
                  <c:v>43913</c:v>
                </c:pt>
                <c:pt idx="2194">
                  <c:v>43910</c:v>
                </c:pt>
                <c:pt idx="2195">
                  <c:v>43910</c:v>
                </c:pt>
                <c:pt idx="2196">
                  <c:v>43909</c:v>
                </c:pt>
                <c:pt idx="2197">
                  <c:v>43909</c:v>
                </c:pt>
                <c:pt idx="2198">
                  <c:v>43908</c:v>
                </c:pt>
                <c:pt idx="2199">
                  <c:v>43908</c:v>
                </c:pt>
                <c:pt idx="2200">
                  <c:v>43907</c:v>
                </c:pt>
                <c:pt idx="2201">
                  <c:v>43907</c:v>
                </c:pt>
                <c:pt idx="2202">
                  <c:v>43906</c:v>
                </c:pt>
                <c:pt idx="2203">
                  <c:v>43906</c:v>
                </c:pt>
                <c:pt idx="2204">
                  <c:v>43903</c:v>
                </c:pt>
                <c:pt idx="2205">
                  <c:v>43903</c:v>
                </c:pt>
                <c:pt idx="2206">
                  <c:v>43902</c:v>
                </c:pt>
                <c:pt idx="2207">
                  <c:v>43902</c:v>
                </c:pt>
                <c:pt idx="2208">
                  <c:v>43901</c:v>
                </c:pt>
                <c:pt idx="2209">
                  <c:v>43901</c:v>
                </c:pt>
                <c:pt idx="2210">
                  <c:v>43900</c:v>
                </c:pt>
                <c:pt idx="2211">
                  <c:v>43900</c:v>
                </c:pt>
                <c:pt idx="2212">
                  <c:v>43899</c:v>
                </c:pt>
                <c:pt idx="2213">
                  <c:v>43899</c:v>
                </c:pt>
                <c:pt idx="2214">
                  <c:v>43896</c:v>
                </c:pt>
                <c:pt idx="2215">
                  <c:v>43896</c:v>
                </c:pt>
                <c:pt idx="2216">
                  <c:v>43895</c:v>
                </c:pt>
                <c:pt idx="2217">
                  <c:v>43895</c:v>
                </c:pt>
                <c:pt idx="2218">
                  <c:v>43894</c:v>
                </c:pt>
                <c:pt idx="2219">
                  <c:v>43894</c:v>
                </c:pt>
                <c:pt idx="2220">
                  <c:v>43893</c:v>
                </c:pt>
                <c:pt idx="2221">
                  <c:v>43893</c:v>
                </c:pt>
                <c:pt idx="2222">
                  <c:v>43892</c:v>
                </c:pt>
                <c:pt idx="2223">
                  <c:v>43892</c:v>
                </c:pt>
                <c:pt idx="2224">
                  <c:v>43889</c:v>
                </c:pt>
                <c:pt idx="2225">
                  <c:v>43889</c:v>
                </c:pt>
                <c:pt idx="2226">
                  <c:v>43888</c:v>
                </c:pt>
                <c:pt idx="2227">
                  <c:v>43888</c:v>
                </c:pt>
                <c:pt idx="2228">
                  <c:v>43887</c:v>
                </c:pt>
                <c:pt idx="2229">
                  <c:v>43887</c:v>
                </c:pt>
                <c:pt idx="2230">
                  <c:v>43886</c:v>
                </c:pt>
                <c:pt idx="2231">
                  <c:v>43886</c:v>
                </c:pt>
                <c:pt idx="2232">
                  <c:v>43885</c:v>
                </c:pt>
                <c:pt idx="2233">
                  <c:v>43885</c:v>
                </c:pt>
                <c:pt idx="2234">
                  <c:v>43882</c:v>
                </c:pt>
                <c:pt idx="2235">
                  <c:v>43882</c:v>
                </c:pt>
                <c:pt idx="2236">
                  <c:v>43881</c:v>
                </c:pt>
                <c:pt idx="2237">
                  <c:v>43881</c:v>
                </c:pt>
                <c:pt idx="2238">
                  <c:v>43880</c:v>
                </c:pt>
                <c:pt idx="2239">
                  <c:v>43880</c:v>
                </c:pt>
                <c:pt idx="2240">
                  <c:v>43879</c:v>
                </c:pt>
                <c:pt idx="2241">
                  <c:v>43879</c:v>
                </c:pt>
                <c:pt idx="2242">
                  <c:v>43875</c:v>
                </c:pt>
                <c:pt idx="2243">
                  <c:v>43875</c:v>
                </c:pt>
                <c:pt idx="2244">
                  <c:v>43874</c:v>
                </c:pt>
                <c:pt idx="2245">
                  <c:v>43874</c:v>
                </c:pt>
                <c:pt idx="2246">
                  <c:v>43873</c:v>
                </c:pt>
                <c:pt idx="2247">
                  <c:v>43873</c:v>
                </c:pt>
                <c:pt idx="2248">
                  <c:v>43872</c:v>
                </c:pt>
                <c:pt idx="2249">
                  <c:v>43872</c:v>
                </c:pt>
                <c:pt idx="2250">
                  <c:v>43871</c:v>
                </c:pt>
                <c:pt idx="2251">
                  <c:v>43871</c:v>
                </c:pt>
                <c:pt idx="2252">
                  <c:v>43868</c:v>
                </c:pt>
                <c:pt idx="2253">
                  <c:v>43868</c:v>
                </c:pt>
                <c:pt idx="2254">
                  <c:v>43867</c:v>
                </c:pt>
                <c:pt idx="2255">
                  <c:v>43867</c:v>
                </c:pt>
                <c:pt idx="2256">
                  <c:v>43866</c:v>
                </c:pt>
                <c:pt idx="2257">
                  <c:v>43866</c:v>
                </c:pt>
                <c:pt idx="2258">
                  <c:v>43865</c:v>
                </c:pt>
                <c:pt idx="2259">
                  <c:v>43865</c:v>
                </c:pt>
                <c:pt idx="2260">
                  <c:v>43864</c:v>
                </c:pt>
                <c:pt idx="2261">
                  <c:v>43864</c:v>
                </c:pt>
                <c:pt idx="2262">
                  <c:v>43861</c:v>
                </c:pt>
                <c:pt idx="2263">
                  <c:v>43861</c:v>
                </c:pt>
                <c:pt idx="2264">
                  <c:v>43860</c:v>
                </c:pt>
                <c:pt idx="2265">
                  <c:v>43860</c:v>
                </c:pt>
                <c:pt idx="2266">
                  <c:v>43859</c:v>
                </c:pt>
                <c:pt idx="2267">
                  <c:v>43859</c:v>
                </c:pt>
                <c:pt idx="2268">
                  <c:v>43858</c:v>
                </c:pt>
                <c:pt idx="2269">
                  <c:v>43858</c:v>
                </c:pt>
                <c:pt idx="2270">
                  <c:v>43857</c:v>
                </c:pt>
                <c:pt idx="2271">
                  <c:v>43857</c:v>
                </c:pt>
                <c:pt idx="2272">
                  <c:v>43854</c:v>
                </c:pt>
                <c:pt idx="2273">
                  <c:v>43854</c:v>
                </c:pt>
                <c:pt idx="2274">
                  <c:v>43853</c:v>
                </c:pt>
                <c:pt idx="2275">
                  <c:v>43853</c:v>
                </c:pt>
                <c:pt idx="2276">
                  <c:v>43852</c:v>
                </c:pt>
                <c:pt idx="2277">
                  <c:v>43852</c:v>
                </c:pt>
                <c:pt idx="2278">
                  <c:v>43851</c:v>
                </c:pt>
                <c:pt idx="2279">
                  <c:v>43851</c:v>
                </c:pt>
                <c:pt idx="2280">
                  <c:v>43847</c:v>
                </c:pt>
                <c:pt idx="2281">
                  <c:v>43847</c:v>
                </c:pt>
                <c:pt idx="2282">
                  <c:v>43846</c:v>
                </c:pt>
                <c:pt idx="2283">
                  <c:v>43846</c:v>
                </c:pt>
                <c:pt idx="2284">
                  <c:v>43845</c:v>
                </c:pt>
                <c:pt idx="2285">
                  <c:v>43845</c:v>
                </c:pt>
                <c:pt idx="2286">
                  <c:v>43844</c:v>
                </c:pt>
                <c:pt idx="2287">
                  <c:v>43844</c:v>
                </c:pt>
                <c:pt idx="2288">
                  <c:v>43843</c:v>
                </c:pt>
                <c:pt idx="2289">
                  <c:v>43843</c:v>
                </c:pt>
                <c:pt idx="2290">
                  <c:v>43840</c:v>
                </c:pt>
                <c:pt idx="2291">
                  <c:v>43840</c:v>
                </c:pt>
                <c:pt idx="2292">
                  <c:v>43839</c:v>
                </c:pt>
                <c:pt idx="2293">
                  <c:v>43839</c:v>
                </c:pt>
                <c:pt idx="2294">
                  <c:v>43838</c:v>
                </c:pt>
                <c:pt idx="2295">
                  <c:v>43838</c:v>
                </c:pt>
                <c:pt idx="2296">
                  <c:v>43837</c:v>
                </c:pt>
                <c:pt idx="2297">
                  <c:v>43837</c:v>
                </c:pt>
                <c:pt idx="2298">
                  <c:v>43836</c:v>
                </c:pt>
                <c:pt idx="2299">
                  <c:v>43836</c:v>
                </c:pt>
                <c:pt idx="2300">
                  <c:v>43833</c:v>
                </c:pt>
                <c:pt idx="2301">
                  <c:v>43833</c:v>
                </c:pt>
                <c:pt idx="2302">
                  <c:v>43832</c:v>
                </c:pt>
                <c:pt idx="2303">
                  <c:v>43832</c:v>
                </c:pt>
                <c:pt idx="2304">
                  <c:v>43830</c:v>
                </c:pt>
                <c:pt idx="2305">
                  <c:v>43829</c:v>
                </c:pt>
                <c:pt idx="2306">
                  <c:v>43826</c:v>
                </c:pt>
                <c:pt idx="2307">
                  <c:v>43825</c:v>
                </c:pt>
                <c:pt idx="2308">
                  <c:v>43823</c:v>
                </c:pt>
                <c:pt idx="2309">
                  <c:v>43822</c:v>
                </c:pt>
                <c:pt idx="2310">
                  <c:v>43819</c:v>
                </c:pt>
                <c:pt idx="2311">
                  <c:v>43818</c:v>
                </c:pt>
                <c:pt idx="2312">
                  <c:v>43817</c:v>
                </c:pt>
                <c:pt idx="2313">
                  <c:v>43816</c:v>
                </c:pt>
                <c:pt idx="2314">
                  <c:v>43815</c:v>
                </c:pt>
                <c:pt idx="2315">
                  <c:v>43812</c:v>
                </c:pt>
                <c:pt idx="2316">
                  <c:v>43811</c:v>
                </c:pt>
                <c:pt idx="2317">
                  <c:v>43810</c:v>
                </c:pt>
                <c:pt idx="2318">
                  <c:v>43809</c:v>
                </c:pt>
                <c:pt idx="2319">
                  <c:v>43808</c:v>
                </c:pt>
                <c:pt idx="2320">
                  <c:v>43805</c:v>
                </c:pt>
                <c:pt idx="2321">
                  <c:v>43804</c:v>
                </c:pt>
                <c:pt idx="2322">
                  <c:v>43803</c:v>
                </c:pt>
                <c:pt idx="2323">
                  <c:v>43802</c:v>
                </c:pt>
                <c:pt idx="2324">
                  <c:v>43801</c:v>
                </c:pt>
                <c:pt idx="2325">
                  <c:v>43798</c:v>
                </c:pt>
                <c:pt idx="2326">
                  <c:v>43796</c:v>
                </c:pt>
                <c:pt idx="2327">
                  <c:v>43795</c:v>
                </c:pt>
                <c:pt idx="2328">
                  <c:v>43794</c:v>
                </c:pt>
                <c:pt idx="2329">
                  <c:v>43791</c:v>
                </c:pt>
                <c:pt idx="2330">
                  <c:v>43790</c:v>
                </c:pt>
                <c:pt idx="2331">
                  <c:v>43789</c:v>
                </c:pt>
                <c:pt idx="2332">
                  <c:v>43788</c:v>
                </c:pt>
                <c:pt idx="2333">
                  <c:v>43787</c:v>
                </c:pt>
                <c:pt idx="2334">
                  <c:v>43784</c:v>
                </c:pt>
                <c:pt idx="2335">
                  <c:v>43783</c:v>
                </c:pt>
                <c:pt idx="2336">
                  <c:v>43782</c:v>
                </c:pt>
                <c:pt idx="2337">
                  <c:v>43781</c:v>
                </c:pt>
                <c:pt idx="2338">
                  <c:v>43780</c:v>
                </c:pt>
                <c:pt idx="2339">
                  <c:v>43777</c:v>
                </c:pt>
                <c:pt idx="2340">
                  <c:v>43776</c:v>
                </c:pt>
                <c:pt idx="2341">
                  <c:v>43775</c:v>
                </c:pt>
                <c:pt idx="2342">
                  <c:v>43774</c:v>
                </c:pt>
                <c:pt idx="2343">
                  <c:v>43773</c:v>
                </c:pt>
                <c:pt idx="2344">
                  <c:v>43770</c:v>
                </c:pt>
                <c:pt idx="2345">
                  <c:v>43769</c:v>
                </c:pt>
                <c:pt idx="2346">
                  <c:v>43768</c:v>
                </c:pt>
                <c:pt idx="2347">
                  <c:v>43767</c:v>
                </c:pt>
                <c:pt idx="2348">
                  <c:v>43766</c:v>
                </c:pt>
                <c:pt idx="2349">
                  <c:v>43763</c:v>
                </c:pt>
                <c:pt idx="2350">
                  <c:v>43762</c:v>
                </c:pt>
                <c:pt idx="2351">
                  <c:v>43761</c:v>
                </c:pt>
                <c:pt idx="2352">
                  <c:v>43760</c:v>
                </c:pt>
                <c:pt idx="2353">
                  <c:v>43759</c:v>
                </c:pt>
                <c:pt idx="2354">
                  <c:v>43756</c:v>
                </c:pt>
                <c:pt idx="2355">
                  <c:v>43755</c:v>
                </c:pt>
                <c:pt idx="2356">
                  <c:v>43754</c:v>
                </c:pt>
                <c:pt idx="2357">
                  <c:v>43753</c:v>
                </c:pt>
                <c:pt idx="2358">
                  <c:v>43752</c:v>
                </c:pt>
                <c:pt idx="2359">
                  <c:v>43749</c:v>
                </c:pt>
                <c:pt idx="2360">
                  <c:v>43748</c:v>
                </c:pt>
                <c:pt idx="2361">
                  <c:v>43747</c:v>
                </c:pt>
                <c:pt idx="2362">
                  <c:v>43746</c:v>
                </c:pt>
                <c:pt idx="2363">
                  <c:v>43745</c:v>
                </c:pt>
                <c:pt idx="2364">
                  <c:v>43742</c:v>
                </c:pt>
                <c:pt idx="2365">
                  <c:v>43741</c:v>
                </c:pt>
                <c:pt idx="2366">
                  <c:v>43740</c:v>
                </c:pt>
                <c:pt idx="2367">
                  <c:v>43739</c:v>
                </c:pt>
                <c:pt idx="2368">
                  <c:v>43738</c:v>
                </c:pt>
                <c:pt idx="2369">
                  <c:v>43735</c:v>
                </c:pt>
                <c:pt idx="2370">
                  <c:v>43734</c:v>
                </c:pt>
                <c:pt idx="2371">
                  <c:v>43733</c:v>
                </c:pt>
                <c:pt idx="2372">
                  <c:v>43732</c:v>
                </c:pt>
                <c:pt idx="2373">
                  <c:v>43731</c:v>
                </c:pt>
                <c:pt idx="2374">
                  <c:v>43728</c:v>
                </c:pt>
                <c:pt idx="2375">
                  <c:v>43727</c:v>
                </c:pt>
                <c:pt idx="2376">
                  <c:v>43726</c:v>
                </c:pt>
                <c:pt idx="2377">
                  <c:v>43725</c:v>
                </c:pt>
                <c:pt idx="2378">
                  <c:v>43724</c:v>
                </c:pt>
                <c:pt idx="2379">
                  <c:v>43721</c:v>
                </c:pt>
                <c:pt idx="2380">
                  <c:v>43720</c:v>
                </c:pt>
                <c:pt idx="2381">
                  <c:v>43719</c:v>
                </c:pt>
                <c:pt idx="2382">
                  <c:v>43718</c:v>
                </c:pt>
                <c:pt idx="2383">
                  <c:v>43717</c:v>
                </c:pt>
                <c:pt idx="2384">
                  <c:v>43714</c:v>
                </c:pt>
                <c:pt idx="2385">
                  <c:v>43713</c:v>
                </c:pt>
                <c:pt idx="2386">
                  <c:v>43712</c:v>
                </c:pt>
                <c:pt idx="2387">
                  <c:v>43711</c:v>
                </c:pt>
                <c:pt idx="2388">
                  <c:v>43707</c:v>
                </c:pt>
                <c:pt idx="2389">
                  <c:v>43706</c:v>
                </c:pt>
                <c:pt idx="2390">
                  <c:v>43705</c:v>
                </c:pt>
                <c:pt idx="2391">
                  <c:v>43704</c:v>
                </c:pt>
                <c:pt idx="2392">
                  <c:v>43703</c:v>
                </c:pt>
                <c:pt idx="2393">
                  <c:v>43700</c:v>
                </c:pt>
                <c:pt idx="2394">
                  <c:v>43699</c:v>
                </c:pt>
                <c:pt idx="2395">
                  <c:v>43698</c:v>
                </c:pt>
                <c:pt idx="2396">
                  <c:v>43697</c:v>
                </c:pt>
                <c:pt idx="2397">
                  <c:v>43696</c:v>
                </c:pt>
                <c:pt idx="2398">
                  <c:v>43693</c:v>
                </c:pt>
                <c:pt idx="2399">
                  <c:v>43692</c:v>
                </c:pt>
                <c:pt idx="2400">
                  <c:v>43691</c:v>
                </c:pt>
                <c:pt idx="2401">
                  <c:v>43690</c:v>
                </c:pt>
                <c:pt idx="2402">
                  <c:v>43689</c:v>
                </c:pt>
                <c:pt idx="2403">
                  <c:v>43686</c:v>
                </c:pt>
                <c:pt idx="2404">
                  <c:v>43685</c:v>
                </c:pt>
                <c:pt idx="2405">
                  <c:v>43684</c:v>
                </c:pt>
                <c:pt idx="2406">
                  <c:v>43683</c:v>
                </c:pt>
                <c:pt idx="2407">
                  <c:v>43682</c:v>
                </c:pt>
                <c:pt idx="2408">
                  <c:v>43679</c:v>
                </c:pt>
                <c:pt idx="2409">
                  <c:v>43678</c:v>
                </c:pt>
                <c:pt idx="2410">
                  <c:v>43677</c:v>
                </c:pt>
                <c:pt idx="2411">
                  <c:v>43676</c:v>
                </c:pt>
                <c:pt idx="2412">
                  <c:v>43675</c:v>
                </c:pt>
                <c:pt idx="2413">
                  <c:v>43672</c:v>
                </c:pt>
                <c:pt idx="2414">
                  <c:v>43671</c:v>
                </c:pt>
                <c:pt idx="2415">
                  <c:v>43670</c:v>
                </c:pt>
                <c:pt idx="2416">
                  <c:v>43669</c:v>
                </c:pt>
                <c:pt idx="2417">
                  <c:v>43668</c:v>
                </c:pt>
                <c:pt idx="2418">
                  <c:v>43665</c:v>
                </c:pt>
                <c:pt idx="2419">
                  <c:v>43664</c:v>
                </c:pt>
                <c:pt idx="2420">
                  <c:v>43663</c:v>
                </c:pt>
                <c:pt idx="2421">
                  <c:v>43662</c:v>
                </c:pt>
                <c:pt idx="2422">
                  <c:v>43661</c:v>
                </c:pt>
                <c:pt idx="2423">
                  <c:v>43658</c:v>
                </c:pt>
                <c:pt idx="2424">
                  <c:v>43657</c:v>
                </c:pt>
                <c:pt idx="2425">
                  <c:v>43656</c:v>
                </c:pt>
                <c:pt idx="2426">
                  <c:v>43655</c:v>
                </c:pt>
                <c:pt idx="2427">
                  <c:v>43654</c:v>
                </c:pt>
                <c:pt idx="2428">
                  <c:v>43651</c:v>
                </c:pt>
                <c:pt idx="2429">
                  <c:v>43649</c:v>
                </c:pt>
                <c:pt idx="2430">
                  <c:v>43648</c:v>
                </c:pt>
                <c:pt idx="2431">
                  <c:v>43647</c:v>
                </c:pt>
                <c:pt idx="2432">
                  <c:v>43644</c:v>
                </c:pt>
                <c:pt idx="2433">
                  <c:v>43643</c:v>
                </c:pt>
                <c:pt idx="2434">
                  <c:v>43642</c:v>
                </c:pt>
                <c:pt idx="2435">
                  <c:v>43641</c:v>
                </c:pt>
                <c:pt idx="2436">
                  <c:v>43640</c:v>
                </c:pt>
                <c:pt idx="2437">
                  <c:v>43637</c:v>
                </c:pt>
                <c:pt idx="2438">
                  <c:v>43636</c:v>
                </c:pt>
                <c:pt idx="2439">
                  <c:v>43635</c:v>
                </c:pt>
                <c:pt idx="2440">
                  <c:v>43634</c:v>
                </c:pt>
                <c:pt idx="2441">
                  <c:v>43633</c:v>
                </c:pt>
                <c:pt idx="2442">
                  <c:v>43630</c:v>
                </c:pt>
                <c:pt idx="2443">
                  <c:v>43629</c:v>
                </c:pt>
                <c:pt idx="2444">
                  <c:v>43628</c:v>
                </c:pt>
                <c:pt idx="2445">
                  <c:v>43627</c:v>
                </c:pt>
                <c:pt idx="2446">
                  <c:v>43626</c:v>
                </c:pt>
                <c:pt idx="2447">
                  <c:v>43623</c:v>
                </c:pt>
                <c:pt idx="2448">
                  <c:v>43622</c:v>
                </c:pt>
                <c:pt idx="2449">
                  <c:v>43621</c:v>
                </c:pt>
                <c:pt idx="2450">
                  <c:v>43620</c:v>
                </c:pt>
                <c:pt idx="2451">
                  <c:v>43619</c:v>
                </c:pt>
                <c:pt idx="2452">
                  <c:v>43616</c:v>
                </c:pt>
                <c:pt idx="2453">
                  <c:v>43615</c:v>
                </c:pt>
                <c:pt idx="2454">
                  <c:v>43614</c:v>
                </c:pt>
                <c:pt idx="2455">
                  <c:v>43613</c:v>
                </c:pt>
                <c:pt idx="2456">
                  <c:v>43609</c:v>
                </c:pt>
                <c:pt idx="2457">
                  <c:v>43608</c:v>
                </c:pt>
                <c:pt idx="2458">
                  <c:v>43607</c:v>
                </c:pt>
                <c:pt idx="2459">
                  <c:v>43606</c:v>
                </c:pt>
                <c:pt idx="2460">
                  <c:v>43605</c:v>
                </c:pt>
                <c:pt idx="2461">
                  <c:v>43602</c:v>
                </c:pt>
                <c:pt idx="2462">
                  <c:v>43601</c:v>
                </c:pt>
                <c:pt idx="2463">
                  <c:v>43600</c:v>
                </c:pt>
                <c:pt idx="2464">
                  <c:v>43599</c:v>
                </c:pt>
                <c:pt idx="2465">
                  <c:v>43598</c:v>
                </c:pt>
                <c:pt idx="2466">
                  <c:v>43595</c:v>
                </c:pt>
                <c:pt idx="2467">
                  <c:v>43594</c:v>
                </c:pt>
                <c:pt idx="2468">
                  <c:v>43593</c:v>
                </c:pt>
                <c:pt idx="2469">
                  <c:v>43592</c:v>
                </c:pt>
                <c:pt idx="2470">
                  <c:v>43591</c:v>
                </c:pt>
                <c:pt idx="2471">
                  <c:v>43588</c:v>
                </c:pt>
                <c:pt idx="2472">
                  <c:v>43587</c:v>
                </c:pt>
                <c:pt idx="2473">
                  <c:v>43586</c:v>
                </c:pt>
                <c:pt idx="2474">
                  <c:v>43585</c:v>
                </c:pt>
                <c:pt idx="2475">
                  <c:v>43584</c:v>
                </c:pt>
                <c:pt idx="2476">
                  <c:v>43581</c:v>
                </c:pt>
                <c:pt idx="2477">
                  <c:v>43580</c:v>
                </c:pt>
                <c:pt idx="2478">
                  <c:v>43579</c:v>
                </c:pt>
                <c:pt idx="2479">
                  <c:v>43578</c:v>
                </c:pt>
                <c:pt idx="2480">
                  <c:v>43577</c:v>
                </c:pt>
                <c:pt idx="2481">
                  <c:v>43573</c:v>
                </c:pt>
                <c:pt idx="2482">
                  <c:v>43572</c:v>
                </c:pt>
                <c:pt idx="2483">
                  <c:v>43571</c:v>
                </c:pt>
                <c:pt idx="2484">
                  <c:v>43570</c:v>
                </c:pt>
                <c:pt idx="2485">
                  <c:v>43567</c:v>
                </c:pt>
                <c:pt idx="2486">
                  <c:v>43566</c:v>
                </c:pt>
                <c:pt idx="2487">
                  <c:v>43565</c:v>
                </c:pt>
                <c:pt idx="2488">
                  <c:v>43564</c:v>
                </c:pt>
                <c:pt idx="2489">
                  <c:v>43563</c:v>
                </c:pt>
                <c:pt idx="2490">
                  <c:v>43560</c:v>
                </c:pt>
                <c:pt idx="2491">
                  <c:v>43559</c:v>
                </c:pt>
                <c:pt idx="2492">
                  <c:v>43558</c:v>
                </c:pt>
                <c:pt idx="2493">
                  <c:v>43557</c:v>
                </c:pt>
                <c:pt idx="2494">
                  <c:v>43556</c:v>
                </c:pt>
                <c:pt idx="2495">
                  <c:v>43553</c:v>
                </c:pt>
                <c:pt idx="2496">
                  <c:v>43552</c:v>
                </c:pt>
                <c:pt idx="2497">
                  <c:v>43551</c:v>
                </c:pt>
                <c:pt idx="2498">
                  <c:v>43550</c:v>
                </c:pt>
                <c:pt idx="2499">
                  <c:v>43549</c:v>
                </c:pt>
                <c:pt idx="2500">
                  <c:v>43546</c:v>
                </c:pt>
                <c:pt idx="2501">
                  <c:v>43545</c:v>
                </c:pt>
                <c:pt idx="2502">
                  <c:v>43544</c:v>
                </c:pt>
                <c:pt idx="2503">
                  <c:v>43543</c:v>
                </c:pt>
                <c:pt idx="2504">
                  <c:v>43542</c:v>
                </c:pt>
                <c:pt idx="2505">
                  <c:v>43539</c:v>
                </c:pt>
                <c:pt idx="2506">
                  <c:v>43538</c:v>
                </c:pt>
                <c:pt idx="2507">
                  <c:v>43537</c:v>
                </c:pt>
                <c:pt idx="2508">
                  <c:v>43536</c:v>
                </c:pt>
                <c:pt idx="2509">
                  <c:v>43535</c:v>
                </c:pt>
                <c:pt idx="2510">
                  <c:v>43532</c:v>
                </c:pt>
                <c:pt idx="2511">
                  <c:v>43531</c:v>
                </c:pt>
                <c:pt idx="2512">
                  <c:v>43530</c:v>
                </c:pt>
                <c:pt idx="2513">
                  <c:v>43529</c:v>
                </c:pt>
                <c:pt idx="2514">
                  <c:v>43528</c:v>
                </c:pt>
                <c:pt idx="2515">
                  <c:v>43525</c:v>
                </c:pt>
                <c:pt idx="2516">
                  <c:v>43524</c:v>
                </c:pt>
                <c:pt idx="2517">
                  <c:v>43523</c:v>
                </c:pt>
                <c:pt idx="2518">
                  <c:v>43522</c:v>
                </c:pt>
                <c:pt idx="2519">
                  <c:v>43521</c:v>
                </c:pt>
                <c:pt idx="2520">
                  <c:v>43518</c:v>
                </c:pt>
                <c:pt idx="2521">
                  <c:v>43517</c:v>
                </c:pt>
                <c:pt idx="2522">
                  <c:v>43516</c:v>
                </c:pt>
                <c:pt idx="2523">
                  <c:v>43515</c:v>
                </c:pt>
                <c:pt idx="2524">
                  <c:v>43511</c:v>
                </c:pt>
                <c:pt idx="2525">
                  <c:v>43510</c:v>
                </c:pt>
                <c:pt idx="2526">
                  <c:v>43509</c:v>
                </c:pt>
                <c:pt idx="2527">
                  <c:v>43508</c:v>
                </c:pt>
                <c:pt idx="2528">
                  <c:v>43507</c:v>
                </c:pt>
                <c:pt idx="2529">
                  <c:v>43504</c:v>
                </c:pt>
                <c:pt idx="2530">
                  <c:v>43503</c:v>
                </c:pt>
                <c:pt idx="2531">
                  <c:v>43502</c:v>
                </c:pt>
                <c:pt idx="2532">
                  <c:v>43501</c:v>
                </c:pt>
                <c:pt idx="2533">
                  <c:v>43500</c:v>
                </c:pt>
                <c:pt idx="2534">
                  <c:v>43497</c:v>
                </c:pt>
                <c:pt idx="2535">
                  <c:v>43496</c:v>
                </c:pt>
                <c:pt idx="2536">
                  <c:v>43495</c:v>
                </c:pt>
                <c:pt idx="2537">
                  <c:v>43494</c:v>
                </c:pt>
                <c:pt idx="2538">
                  <c:v>43493</c:v>
                </c:pt>
                <c:pt idx="2539">
                  <c:v>43490</c:v>
                </c:pt>
                <c:pt idx="2540">
                  <c:v>43489</c:v>
                </c:pt>
                <c:pt idx="2541">
                  <c:v>43488</c:v>
                </c:pt>
                <c:pt idx="2542">
                  <c:v>43487</c:v>
                </c:pt>
                <c:pt idx="2543">
                  <c:v>43483</c:v>
                </c:pt>
                <c:pt idx="2544">
                  <c:v>43482</c:v>
                </c:pt>
                <c:pt idx="2545">
                  <c:v>43481</c:v>
                </c:pt>
                <c:pt idx="2546">
                  <c:v>43480</c:v>
                </c:pt>
                <c:pt idx="2547">
                  <c:v>43479</c:v>
                </c:pt>
                <c:pt idx="2548">
                  <c:v>43476</c:v>
                </c:pt>
                <c:pt idx="2549">
                  <c:v>43475</c:v>
                </c:pt>
                <c:pt idx="2550">
                  <c:v>43474</c:v>
                </c:pt>
                <c:pt idx="2551">
                  <c:v>43473</c:v>
                </c:pt>
                <c:pt idx="2552">
                  <c:v>43472</c:v>
                </c:pt>
                <c:pt idx="2553">
                  <c:v>43469</c:v>
                </c:pt>
                <c:pt idx="2554">
                  <c:v>43468</c:v>
                </c:pt>
                <c:pt idx="2555">
                  <c:v>43467</c:v>
                </c:pt>
                <c:pt idx="2556">
                  <c:v>43465</c:v>
                </c:pt>
                <c:pt idx="2557">
                  <c:v>43462</c:v>
                </c:pt>
                <c:pt idx="2558">
                  <c:v>43461</c:v>
                </c:pt>
                <c:pt idx="2559">
                  <c:v>43460</c:v>
                </c:pt>
                <c:pt idx="2560">
                  <c:v>43458</c:v>
                </c:pt>
                <c:pt idx="2561">
                  <c:v>43455</c:v>
                </c:pt>
                <c:pt idx="2562">
                  <c:v>43454</c:v>
                </c:pt>
                <c:pt idx="2563">
                  <c:v>43453</c:v>
                </c:pt>
                <c:pt idx="2564">
                  <c:v>43452</c:v>
                </c:pt>
                <c:pt idx="2565">
                  <c:v>43451</c:v>
                </c:pt>
                <c:pt idx="2566">
                  <c:v>43448</c:v>
                </c:pt>
                <c:pt idx="2567">
                  <c:v>43447</c:v>
                </c:pt>
                <c:pt idx="2568">
                  <c:v>43446</c:v>
                </c:pt>
                <c:pt idx="2569">
                  <c:v>43445</c:v>
                </c:pt>
                <c:pt idx="2570">
                  <c:v>43444</c:v>
                </c:pt>
                <c:pt idx="2571">
                  <c:v>43441</c:v>
                </c:pt>
                <c:pt idx="2572">
                  <c:v>43440</c:v>
                </c:pt>
                <c:pt idx="2573">
                  <c:v>43438</c:v>
                </c:pt>
                <c:pt idx="2574">
                  <c:v>43437</c:v>
                </c:pt>
                <c:pt idx="2575">
                  <c:v>43434</c:v>
                </c:pt>
                <c:pt idx="2576">
                  <c:v>43433</c:v>
                </c:pt>
                <c:pt idx="2577">
                  <c:v>43432</c:v>
                </c:pt>
                <c:pt idx="2578">
                  <c:v>43431</c:v>
                </c:pt>
                <c:pt idx="2579">
                  <c:v>43430</c:v>
                </c:pt>
                <c:pt idx="2580">
                  <c:v>43427</c:v>
                </c:pt>
                <c:pt idx="2581">
                  <c:v>43425</c:v>
                </c:pt>
                <c:pt idx="2582">
                  <c:v>43424</c:v>
                </c:pt>
                <c:pt idx="2583">
                  <c:v>43423</c:v>
                </c:pt>
                <c:pt idx="2584">
                  <c:v>43420</c:v>
                </c:pt>
                <c:pt idx="2585">
                  <c:v>43419</c:v>
                </c:pt>
                <c:pt idx="2586">
                  <c:v>43418</c:v>
                </c:pt>
                <c:pt idx="2587">
                  <c:v>43417</c:v>
                </c:pt>
                <c:pt idx="2588">
                  <c:v>43416</c:v>
                </c:pt>
                <c:pt idx="2589">
                  <c:v>43413</c:v>
                </c:pt>
                <c:pt idx="2590">
                  <c:v>43412</c:v>
                </c:pt>
                <c:pt idx="2591">
                  <c:v>43411</c:v>
                </c:pt>
                <c:pt idx="2592">
                  <c:v>43410</c:v>
                </c:pt>
                <c:pt idx="2593">
                  <c:v>43409</c:v>
                </c:pt>
                <c:pt idx="2594">
                  <c:v>43406</c:v>
                </c:pt>
                <c:pt idx="2595">
                  <c:v>43405</c:v>
                </c:pt>
                <c:pt idx="2596">
                  <c:v>43404</c:v>
                </c:pt>
                <c:pt idx="2597">
                  <c:v>43403</c:v>
                </c:pt>
                <c:pt idx="2598">
                  <c:v>43402</c:v>
                </c:pt>
                <c:pt idx="2599">
                  <c:v>43399</c:v>
                </c:pt>
                <c:pt idx="2600">
                  <c:v>43398</c:v>
                </c:pt>
                <c:pt idx="2601">
                  <c:v>43397</c:v>
                </c:pt>
                <c:pt idx="2602">
                  <c:v>43396</c:v>
                </c:pt>
                <c:pt idx="2603">
                  <c:v>43395</c:v>
                </c:pt>
                <c:pt idx="2604">
                  <c:v>43392</c:v>
                </c:pt>
                <c:pt idx="2605">
                  <c:v>43391</c:v>
                </c:pt>
                <c:pt idx="2606">
                  <c:v>43390</c:v>
                </c:pt>
                <c:pt idx="2607">
                  <c:v>43389</c:v>
                </c:pt>
                <c:pt idx="2608">
                  <c:v>43388</c:v>
                </c:pt>
                <c:pt idx="2609">
                  <c:v>43385</c:v>
                </c:pt>
                <c:pt idx="2610">
                  <c:v>43384</c:v>
                </c:pt>
                <c:pt idx="2611">
                  <c:v>43383</c:v>
                </c:pt>
                <c:pt idx="2612">
                  <c:v>43382</c:v>
                </c:pt>
                <c:pt idx="2613">
                  <c:v>43381</c:v>
                </c:pt>
                <c:pt idx="2614">
                  <c:v>43378</c:v>
                </c:pt>
                <c:pt idx="2615">
                  <c:v>43377</c:v>
                </c:pt>
                <c:pt idx="2616">
                  <c:v>43376</c:v>
                </c:pt>
                <c:pt idx="2617">
                  <c:v>43375</c:v>
                </c:pt>
                <c:pt idx="2618">
                  <c:v>43374</c:v>
                </c:pt>
                <c:pt idx="2619">
                  <c:v>43371</c:v>
                </c:pt>
                <c:pt idx="2620">
                  <c:v>43370</c:v>
                </c:pt>
                <c:pt idx="2621">
                  <c:v>43369</c:v>
                </c:pt>
                <c:pt idx="2622">
                  <c:v>43368</c:v>
                </c:pt>
                <c:pt idx="2623">
                  <c:v>43367</c:v>
                </c:pt>
                <c:pt idx="2624">
                  <c:v>43364</c:v>
                </c:pt>
                <c:pt idx="2625">
                  <c:v>43363</c:v>
                </c:pt>
                <c:pt idx="2626">
                  <c:v>43362</c:v>
                </c:pt>
                <c:pt idx="2627">
                  <c:v>43361</c:v>
                </c:pt>
                <c:pt idx="2628">
                  <c:v>43360</c:v>
                </c:pt>
                <c:pt idx="2629">
                  <c:v>43357</c:v>
                </c:pt>
                <c:pt idx="2630">
                  <c:v>43356</c:v>
                </c:pt>
                <c:pt idx="2631">
                  <c:v>43355</c:v>
                </c:pt>
                <c:pt idx="2632">
                  <c:v>43354</c:v>
                </c:pt>
                <c:pt idx="2633">
                  <c:v>43353</c:v>
                </c:pt>
                <c:pt idx="2634">
                  <c:v>43350</c:v>
                </c:pt>
                <c:pt idx="2635">
                  <c:v>43349</c:v>
                </c:pt>
                <c:pt idx="2636">
                  <c:v>43348</c:v>
                </c:pt>
                <c:pt idx="2637">
                  <c:v>43347</c:v>
                </c:pt>
                <c:pt idx="2638">
                  <c:v>43343</c:v>
                </c:pt>
                <c:pt idx="2639">
                  <c:v>43342</c:v>
                </c:pt>
                <c:pt idx="2640">
                  <c:v>43341</c:v>
                </c:pt>
                <c:pt idx="2641">
                  <c:v>43340</c:v>
                </c:pt>
                <c:pt idx="2642">
                  <c:v>43339</c:v>
                </c:pt>
                <c:pt idx="2643">
                  <c:v>43336</c:v>
                </c:pt>
                <c:pt idx="2644">
                  <c:v>43335</c:v>
                </c:pt>
                <c:pt idx="2645">
                  <c:v>43334</c:v>
                </c:pt>
                <c:pt idx="2646">
                  <c:v>43333</c:v>
                </c:pt>
                <c:pt idx="2647">
                  <c:v>43332</c:v>
                </c:pt>
                <c:pt idx="2648">
                  <c:v>43329</c:v>
                </c:pt>
                <c:pt idx="2649">
                  <c:v>43328</c:v>
                </c:pt>
                <c:pt idx="2650">
                  <c:v>43327</c:v>
                </c:pt>
                <c:pt idx="2651">
                  <c:v>43326</c:v>
                </c:pt>
                <c:pt idx="2652">
                  <c:v>43325</c:v>
                </c:pt>
                <c:pt idx="2653">
                  <c:v>43322</c:v>
                </c:pt>
                <c:pt idx="2654">
                  <c:v>43321</c:v>
                </c:pt>
                <c:pt idx="2655">
                  <c:v>43320</c:v>
                </c:pt>
                <c:pt idx="2656">
                  <c:v>43319</c:v>
                </c:pt>
                <c:pt idx="2657">
                  <c:v>43318</c:v>
                </c:pt>
                <c:pt idx="2658">
                  <c:v>43315</c:v>
                </c:pt>
                <c:pt idx="2659">
                  <c:v>43314</c:v>
                </c:pt>
                <c:pt idx="2660">
                  <c:v>43313</c:v>
                </c:pt>
                <c:pt idx="2661">
                  <c:v>43312</c:v>
                </c:pt>
                <c:pt idx="2662">
                  <c:v>43311</c:v>
                </c:pt>
                <c:pt idx="2663">
                  <c:v>43308</c:v>
                </c:pt>
                <c:pt idx="2664">
                  <c:v>43307</c:v>
                </c:pt>
                <c:pt idx="2665">
                  <c:v>43306</c:v>
                </c:pt>
                <c:pt idx="2666">
                  <c:v>43305</c:v>
                </c:pt>
                <c:pt idx="2667">
                  <c:v>43304</c:v>
                </c:pt>
                <c:pt idx="2668">
                  <c:v>43301</c:v>
                </c:pt>
                <c:pt idx="2669">
                  <c:v>43300</c:v>
                </c:pt>
                <c:pt idx="2670">
                  <c:v>43299</c:v>
                </c:pt>
                <c:pt idx="2671">
                  <c:v>43298</c:v>
                </c:pt>
                <c:pt idx="2672">
                  <c:v>43297</c:v>
                </c:pt>
                <c:pt idx="2673">
                  <c:v>43294</c:v>
                </c:pt>
                <c:pt idx="2674">
                  <c:v>43293</c:v>
                </c:pt>
                <c:pt idx="2675">
                  <c:v>43292</c:v>
                </c:pt>
                <c:pt idx="2676">
                  <c:v>43291</c:v>
                </c:pt>
                <c:pt idx="2677">
                  <c:v>43290</c:v>
                </c:pt>
                <c:pt idx="2678">
                  <c:v>43287</c:v>
                </c:pt>
                <c:pt idx="2679">
                  <c:v>43286</c:v>
                </c:pt>
                <c:pt idx="2680">
                  <c:v>43284</c:v>
                </c:pt>
                <c:pt idx="2681">
                  <c:v>43283</c:v>
                </c:pt>
                <c:pt idx="2682">
                  <c:v>43280</c:v>
                </c:pt>
                <c:pt idx="2683">
                  <c:v>43279</c:v>
                </c:pt>
                <c:pt idx="2684">
                  <c:v>43278</c:v>
                </c:pt>
                <c:pt idx="2685">
                  <c:v>43277</c:v>
                </c:pt>
                <c:pt idx="2686">
                  <c:v>43276</c:v>
                </c:pt>
                <c:pt idx="2687">
                  <c:v>43273</c:v>
                </c:pt>
                <c:pt idx="2688">
                  <c:v>43272</c:v>
                </c:pt>
                <c:pt idx="2689">
                  <c:v>43271</c:v>
                </c:pt>
                <c:pt idx="2690">
                  <c:v>43270</c:v>
                </c:pt>
                <c:pt idx="2691">
                  <c:v>43269</c:v>
                </c:pt>
                <c:pt idx="2692">
                  <c:v>43266</c:v>
                </c:pt>
                <c:pt idx="2693">
                  <c:v>43265</c:v>
                </c:pt>
                <c:pt idx="2694">
                  <c:v>43264</c:v>
                </c:pt>
                <c:pt idx="2695">
                  <c:v>43263</c:v>
                </c:pt>
                <c:pt idx="2696">
                  <c:v>43262</c:v>
                </c:pt>
                <c:pt idx="2697">
                  <c:v>43259</c:v>
                </c:pt>
                <c:pt idx="2698">
                  <c:v>43258</c:v>
                </c:pt>
                <c:pt idx="2699">
                  <c:v>43257</c:v>
                </c:pt>
                <c:pt idx="2700">
                  <c:v>43256</c:v>
                </c:pt>
                <c:pt idx="2701">
                  <c:v>43255</c:v>
                </c:pt>
                <c:pt idx="2702">
                  <c:v>43252</c:v>
                </c:pt>
                <c:pt idx="2703">
                  <c:v>43251</c:v>
                </c:pt>
                <c:pt idx="2704">
                  <c:v>43250</c:v>
                </c:pt>
                <c:pt idx="2705">
                  <c:v>43249</c:v>
                </c:pt>
                <c:pt idx="2706">
                  <c:v>43245</c:v>
                </c:pt>
                <c:pt idx="2707">
                  <c:v>43244</c:v>
                </c:pt>
                <c:pt idx="2708">
                  <c:v>43243</c:v>
                </c:pt>
                <c:pt idx="2709">
                  <c:v>43242</c:v>
                </c:pt>
                <c:pt idx="2710">
                  <c:v>43241</c:v>
                </c:pt>
                <c:pt idx="2711">
                  <c:v>43238</c:v>
                </c:pt>
                <c:pt idx="2712">
                  <c:v>43237</c:v>
                </c:pt>
                <c:pt idx="2713">
                  <c:v>43236</c:v>
                </c:pt>
                <c:pt idx="2714">
                  <c:v>43235</c:v>
                </c:pt>
                <c:pt idx="2715">
                  <c:v>43234</c:v>
                </c:pt>
                <c:pt idx="2716">
                  <c:v>43231</c:v>
                </c:pt>
                <c:pt idx="2717">
                  <c:v>43230</c:v>
                </c:pt>
                <c:pt idx="2718">
                  <c:v>43229</c:v>
                </c:pt>
                <c:pt idx="2719">
                  <c:v>43228</c:v>
                </c:pt>
                <c:pt idx="2720">
                  <c:v>43227</c:v>
                </c:pt>
                <c:pt idx="2721">
                  <c:v>43224</c:v>
                </c:pt>
                <c:pt idx="2722">
                  <c:v>43223</c:v>
                </c:pt>
                <c:pt idx="2723">
                  <c:v>43222</c:v>
                </c:pt>
                <c:pt idx="2724">
                  <c:v>43221</c:v>
                </c:pt>
                <c:pt idx="2725">
                  <c:v>43220</c:v>
                </c:pt>
                <c:pt idx="2726">
                  <c:v>43217</c:v>
                </c:pt>
                <c:pt idx="2727">
                  <c:v>43216</c:v>
                </c:pt>
                <c:pt idx="2728">
                  <c:v>43215</c:v>
                </c:pt>
                <c:pt idx="2729">
                  <c:v>43214</c:v>
                </c:pt>
                <c:pt idx="2730">
                  <c:v>43213</c:v>
                </c:pt>
                <c:pt idx="2731">
                  <c:v>43210</c:v>
                </c:pt>
                <c:pt idx="2732">
                  <c:v>43209</c:v>
                </c:pt>
                <c:pt idx="2733">
                  <c:v>43208</c:v>
                </c:pt>
                <c:pt idx="2734">
                  <c:v>43207</c:v>
                </c:pt>
                <c:pt idx="2735">
                  <c:v>43206</c:v>
                </c:pt>
                <c:pt idx="2736">
                  <c:v>43203</c:v>
                </c:pt>
                <c:pt idx="2737">
                  <c:v>43202</c:v>
                </c:pt>
                <c:pt idx="2738">
                  <c:v>43201</c:v>
                </c:pt>
                <c:pt idx="2739">
                  <c:v>43200</c:v>
                </c:pt>
                <c:pt idx="2740">
                  <c:v>43199</c:v>
                </c:pt>
                <c:pt idx="2741">
                  <c:v>43196</c:v>
                </c:pt>
                <c:pt idx="2742">
                  <c:v>43195</c:v>
                </c:pt>
                <c:pt idx="2743">
                  <c:v>43194</c:v>
                </c:pt>
                <c:pt idx="2744">
                  <c:v>43193</c:v>
                </c:pt>
                <c:pt idx="2745">
                  <c:v>43192</c:v>
                </c:pt>
                <c:pt idx="2746">
                  <c:v>43188</c:v>
                </c:pt>
                <c:pt idx="2747">
                  <c:v>43187</c:v>
                </c:pt>
                <c:pt idx="2748">
                  <c:v>43186</c:v>
                </c:pt>
                <c:pt idx="2749">
                  <c:v>43185</c:v>
                </c:pt>
                <c:pt idx="2750">
                  <c:v>43182</c:v>
                </c:pt>
                <c:pt idx="2751">
                  <c:v>43181</c:v>
                </c:pt>
                <c:pt idx="2752">
                  <c:v>43180</c:v>
                </c:pt>
                <c:pt idx="2753">
                  <c:v>43179</c:v>
                </c:pt>
                <c:pt idx="2754">
                  <c:v>43178</c:v>
                </c:pt>
                <c:pt idx="2755">
                  <c:v>43175</c:v>
                </c:pt>
                <c:pt idx="2756">
                  <c:v>43174</c:v>
                </c:pt>
                <c:pt idx="2757">
                  <c:v>43173</c:v>
                </c:pt>
                <c:pt idx="2758">
                  <c:v>43172</c:v>
                </c:pt>
                <c:pt idx="2759">
                  <c:v>43171</c:v>
                </c:pt>
                <c:pt idx="2760">
                  <c:v>43168</c:v>
                </c:pt>
                <c:pt idx="2761">
                  <c:v>43167</c:v>
                </c:pt>
                <c:pt idx="2762">
                  <c:v>43166</c:v>
                </c:pt>
                <c:pt idx="2763">
                  <c:v>43165</c:v>
                </c:pt>
                <c:pt idx="2764">
                  <c:v>43164</c:v>
                </c:pt>
                <c:pt idx="2765">
                  <c:v>43161</c:v>
                </c:pt>
                <c:pt idx="2766">
                  <c:v>43160</c:v>
                </c:pt>
                <c:pt idx="2767">
                  <c:v>43159</c:v>
                </c:pt>
                <c:pt idx="2768">
                  <c:v>43158</c:v>
                </c:pt>
                <c:pt idx="2769">
                  <c:v>43157</c:v>
                </c:pt>
                <c:pt idx="2770">
                  <c:v>43154</c:v>
                </c:pt>
                <c:pt idx="2771">
                  <c:v>43153</c:v>
                </c:pt>
                <c:pt idx="2772">
                  <c:v>43152</c:v>
                </c:pt>
                <c:pt idx="2773">
                  <c:v>43151</c:v>
                </c:pt>
                <c:pt idx="2774">
                  <c:v>43147</c:v>
                </c:pt>
                <c:pt idx="2775">
                  <c:v>43146</c:v>
                </c:pt>
                <c:pt idx="2776">
                  <c:v>43145</c:v>
                </c:pt>
                <c:pt idx="2777">
                  <c:v>43144</c:v>
                </c:pt>
                <c:pt idx="2778">
                  <c:v>43143</c:v>
                </c:pt>
                <c:pt idx="2779">
                  <c:v>43140</c:v>
                </c:pt>
                <c:pt idx="2780">
                  <c:v>43139</c:v>
                </c:pt>
                <c:pt idx="2781">
                  <c:v>43138</c:v>
                </c:pt>
                <c:pt idx="2782">
                  <c:v>43137</c:v>
                </c:pt>
                <c:pt idx="2783">
                  <c:v>43136</c:v>
                </c:pt>
                <c:pt idx="2784">
                  <c:v>43133</c:v>
                </c:pt>
                <c:pt idx="2785">
                  <c:v>43132</c:v>
                </c:pt>
                <c:pt idx="2786">
                  <c:v>43131</c:v>
                </c:pt>
                <c:pt idx="2787">
                  <c:v>43130</c:v>
                </c:pt>
                <c:pt idx="2788">
                  <c:v>43129</c:v>
                </c:pt>
                <c:pt idx="2789">
                  <c:v>43126</c:v>
                </c:pt>
                <c:pt idx="2790">
                  <c:v>43125</c:v>
                </c:pt>
                <c:pt idx="2791">
                  <c:v>43124</c:v>
                </c:pt>
                <c:pt idx="2792">
                  <c:v>43123</c:v>
                </c:pt>
                <c:pt idx="2793">
                  <c:v>43122</c:v>
                </c:pt>
                <c:pt idx="2794">
                  <c:v>43119</c:v>
                </c:pt>
                <c:pt idx="2795">
                  <c:v>43118</c:v>
                </c:pt>
                <c:pt idx="2796">
                  <c:v>43117</c:v>
                </c:pt>
                <c:pt idx="2797">
                  <c:v>43116</c:v>
                </c:pt>
                <c:pt idx="2798">
                  <c:v>43112</c:v>
                </c:pt>
                <c:pt idx="2799">
                  <c:v>43111</c:v>
                </c:pt>
                <c:pt idx="2800">
                  <c:v>43110</c:v>
                </c:pt>
                <c:pt idx="2801">
                  <c:v>43109</c:v>
                </c:pt>
                <c:pt idx="2802">
                  <c:v>43108</c:v>
                </c:pt>
                <c:pt idx="2803">
                  <c:v>43105</c:v>
                </c:pt>
                <c:pt idx="2804">
                  <c:v>43104</c:v>
                </c:pt>
                <c:pt idx="2805">
                  <c:v>43103</c:v>
                </c:pt>
                <c:pt idx="2806">
                  <c:v>43102</c:v>
                </c:pt>
                <c:pt idx="2807">
                  <c:v>43098</c:v>
                </c:pt>
                <c:pt idx="2808">
                  <c:v>43097</c:v>
                </c:pt>
                <c:pt idx="2809">
                  <c:v>43096</c:v>
                </c:pt>
                <c:pt idx="2810">
                  <c:v>43095</c:v>
                </c:pt>
                <c:pt idx="2811">
                  <c:v>43091</c:v>
                </c:pt>
                <c:pt idx="2812">
                  <c:v>43090</c:v>
                </c:pt>
                <c:pt idx="2813">
                  <c:v>43089</c:v>
                </c:pt>
                <c:pt idx="2814">
                  <c:v>43088</c:v>
                </c:pt>
                <c:pt idx="2815">
                  <c:v>43087</c:v>
                </c:pt>
                <c:pt idx="2816">
                  <c:v>43084</c:v>
                </c:pt>
                <c:pt idx="2817">
                  <c:v>43083</c:v>
                </c:pt>
                <c:pt idx="2818">
                  <c:v>43082</c:v>
                </c:pt>
                <c:pt idx="2819">
                  <c:v>43081</c:v>
                </c:pt>
                <c:pt idx="2820">
                  <c:v>43080</c:v>
                </c:pt>
                <c:pt idx="2821">
                  <c:v>43077</c:v>
                </c:pt>
                <c:pt idx="2822">
                  <c:v>43076</c:v>
                </c:pt>
                <c:pt idx="2823">
                  <c:v>43075</c:v>
                </c:pt>
                <c:pt idx="2824">
                  <c:v>43074</c:v>
                </c:pt>
                <c:pt idx="2825">
                  <c:v>43073</c:v>
                </c:pt>
                <c:pt idx="2826">
                  <c:v>43070</c:v>
                </c:pt>
                <c:pt idx="2827">
                  <c:v>43069</c:v>
                </c:pt>
                <c:pt idx="2828">
                  <c:v>43068</c:v>
                </c:pt>
                <c:pt idx="2829">
                  <c:v>43067</c:v>
                </c:pt>
                <c:pt idx="2830">
                  <c:v>43066</c:v>
                </c:pt>
                <c:pt idx="2831">
                  <c:v>43063</c:v>
                </c:pt>
                <c:pt idx="2832">
                  <c:v>43061</c:v>
                </c:pt>
                <c:pt idx="2833">
                  <c:v>43060</c:v>
                </c:pt>
                <c:pt idx="2834">
                  <c:v>43059</c:v>
                </c:pt>
                <c:pt idx="2835">
                  <c:v>43056</c:v>
                </c:pt>
                <c:pt idx="2836">
                  <c:v>43055</c:v>
                </c:pt>
                <c:pt idx="2837">
                  <c:v>43054</c:v>
                </c:pt>
                <c:pt idx="2838">
                  <c:v>43053</c:v>
                </c:pt>
                <c:pt idx="2839">
                  <c:v>43052</c:v>
                </c:pt>
                <c:pt idx="2840">
                  <c:v>43049</c:v>
                </c:pt>
                <c:pt idx="2841">
                  <c:v>43048</c:v>
                </c:pt>
                <c:pt idx="2842">
                  <c:v>43047</c:v>
                </c:pt>
                <c:pt idx="2843">
                  <c:v>43046</c:v>
                </c:pt>
                <c:pt idx="2844">
                  <c:v>43045</c:v>
                </c:pt>
                <c:pt idx="2845">
                  <c:v>43042</c:v>
                </c:pt>
                <c:pt idx="2846">
                  <c:v>43041</c:v>
                </c:pt>
                <c:pt idx="2847">
                  <c:v>43040</c:v>
                </c:pt>
                <c:pt idx="2848">
                  <c:v>43039</c:v>
                </c:pt>
                <c:pt idx="2849">
                  <c:v>43038</c:v>
                </c:pt>
                <c:pt idx="2850">
                  <c:v>43035</c:v>
                </c:pt>
                <c:pt idx="2851">
                  <c:v>43034</c:v>
                </c:pt>
                <c:pt idx="2852">
                  <c:v>43033</c:v>
                </c:pt>
                <c:pt idx="2853">
                  <c:v>43032</c:v>
                </c:pt>
                <c:pt idx="2854">
                  <c:v>43031</c:v>
                </c:pt>
                <c:pt idx="2855">
                  <c:v>43028</c:v>
                </c:pt>
                <c:pt idx="2856">
                  <c:v>43027</c:v>
                </c:pt>
                <c:pt idx="2857">
                  <c:v>43026</c:v>
                </c:pt>
                <c:pt idx="2858">
                  <c:v>43025</c:v>
                </c:pt>
                <c:pt idx="2859">
                  <c:v>43024</c:v>
                </c:pt>
                <c:pt idx="2860">
                  <c:v>43021</c:v>
                </c:pt>
                <c:pt idx="2861">
                  <c:v>43020</c:v>
                </c:pt>
                <c:pt idx="2862">
                  <c:v>43019</c:v>
                </c:pt>
                <c:pt idx="2863">
                  <c:v>43018</c:v>
                </c:pt>
                <c:pt idx="2864">
                  <c:v>43017</c:v>
                </c:pt>
                <c:pt idx="2865">
                  <c:v>43014</c:v>
                </c:pt>
                <c:pt idx="2866">
                  <c:v>43013</c:v>
                </c:pt>
                <c:pt idx="2867">
                  <c:v>43012</c:v>
                </c:pt>
                <c:pt idx="2868">
                  <c:v>43011</c:v>
                </c:pt>
                <c:pt idx="2869">
                  <c:v>43010</c:v>
                </c:pt>
                <c:pt idx="2870">
                  <c:v>43007</c:v>
                </c:pt>
                <c:pt idx="2871">
                  <c:v>43006</c:v>
                </c:pt>
                <c:pt idx="2872">
                  <c:v>43005</c:v>
                </c:pt>
                <c:pt idx="2873">
                  <c:v>43004</c:v>
                </c:pt>
                <c:pt idx="2874">
                  <c:v>43003</c:v>
                </c:pt>
                <c:pt idx="2875">
                  <c:v>43000</c:v>
                </c:pt>
                <c:pt idx="2876">
                  <c:v>42999</c:v>
                </c:pt>
                <c:pt idx="2877">
                  <c:v>42998</c:v>
                </c:pt>
                <c:pt idx="2878">
                  <c:v>42997</c:v>
                </c:pt>
                <c:pt idx="2879">
                  <c:v>42996</c:v>
                </c:pt>
                <c:pt idx="2880">
                  <c:v>42993</c:v>
                </c:pt>
                <c:pt idx="2881">
                  <c:v>42992</c:v>
                </c:pt>
                <c:pt idx="2882">
                  <c:v>42991</c:v>
                </c:pt>
                <c:pt idx="2883">
                  <c:v>42990</c:v>
                </c:pt>
                <c:pt idx="2884">
                  <c:v>42989</c:v>
                </c:pt>
                <c:pt idx="2885">
                  <c:v>42986</c:v>
                </c:pt>
                <c:pt idx="2886">
                  <c:v>42985</c:v>
                </c:pt>
                <c:pt idx="2887">
                  <c:v>42984</c:v>
                </c:pt>
                <c:pt idx="2888">
                  <c:v>42983</c:v>
                </c:pt>
                <c:pt idx="2889">
                  <c:v>42979</c:v>
                </c:pt>
                <c:pt idx="2890">
                  <c:v>42978</c:v>
                </c:pt>
                <c:pt idx="2891">
                  <c:v>42977</c:v>
                </c:pt>
                <c:pt idx="2892">
                  <c:v>42976</c:v>
                </c:pt>
                <c:pt idx="2893">
                  <c:v>42975</c:v>
                </c:pt>
                <c:pt idx="2894">
                  <c:v>42972</c:v>
                </c:pt>
                <c:pt idx="2895">
                  <c:v>42971</c:v>
                </c:pt>
                <c:pt idx="2896">
                  <c:v>42970</c:v>
                </c:pt>
                <c:pt idx="2897">
                  <c:v>42969</c:v>
                </c:pt>
                <c:pt idx="2898">
                  <c:v>42968</c:v>
                </c:pt>
                <c:pt idx="2899">
                  <c:v>42965</c:v>
                </c:pt>
                <c:pt idx="2900">
                  <c:v>42964</c:v>
                </c:pt>
                <c:pt idx="2901">
                  <c:v>42963</c:v>
                </c:pt>
                <c:pt idx="2902">
                  <c:v>42962</c:v>
                </c:pt>
                <c:pt idx="2903">
                  <c:v>42961</c:v>
                </c:pt>
                <c:pt idx="2904">
                  <c:v>42958</c:v>
                </c:pt>
                <c:pt idx="2905">
                  <c:v>42957</c:v>
                </c:pt>
                <c:pt idx="2906">
                  <c:v>42956</c:v>
                </c:pt>
                <c:pt idx="2907">
                  <c:v>42955</c:v>
                </c:pt>
                <c:pt idx="2908">
                  <c:v>42954</c:v>
                </c:pt>
                <c:pt idx="2909">
                  <c:v>42951</c:v>
                </c:pt>
                <c:pt idx="2910">
                  <c:v>42950</c:v>
                </c:pt>
                <c:pt idx="2911">
                  <c:v>42949</c:v>
                </c:pt>
                <c:pt idx="2912">
                  <c:v>42948</c:v>
                </c:pt>
                <c:pt idx="2913">
                  <c:v>42947</c:v>
                </c:pt>
                <c:pt idx="2914">
                  <c:v>42944</c:v>
                </c:pt>
                <c:pt idx="2915">
                  <c:v>42943</c:v>
                </c:pt>
                <c:pt idx="2916">
                  <c:v>42942</c:v>
                </c:pt>
                <c:pt idx="2917">
                  <c:v>42941</c:v>
                </c:pt>
                <c:pt idx="2918">
                  <c:v>42940</c:v>
                </c:pt>
                <c:pt idx="2919">
                  <c:v>42937</c:v>
                </c:pt>
                <c:pt idx="2920">
                  <c:v>42936</c:v>
                </c:pt>
                <c:pt idx="2921">
                  <c:v>42935</c:v>
                </c:pt>
                <c:pt idx="2922">
                  <c:v>42934</c:v>
                </c:pt>
                <c:pt idx="2923">
                  <c:v>42933</c:v>
                </c:pt>
                <c:pt idx="2924">
                  <c:v>42930</c:v>
                </c:pt>
                <c:pt idx="2925">
                  <c:v>42929</c:v>
                </c:pt>
                <c:pt idx="2926">
                  <c:v>42928</c:v>
                </c:pt>
                <c:pt idx="2927">
                  <c:v>42927</c:v>
                </c:pt>
                <c:pt idx="2928">
                  <c:v>42926</c:v>
                </c:pt>
                <c:pt idx="2929">
                  <c:v>42923</c:v>
                </c:pt>
                <c:pt idx="2930">
                  <c:v>42922</c:v>
                </c:pt>
                <c:pt idx="2931">
                  <c:v>42921</c:v>
                </c:pt>
                <c:pt idx="2932">
                  <c:v>42919</c:v>
                </c:pt>
                <c:pt idx="2933">
                  <c:v>42916</c:v>
                </c:pt>
                <c:pt idx="2934">
                  <c:v>42915</c:v>
                </c:pt>
                <c:pt idx="2935">
                  <c:v>42914</c:v>
                </c:pt>
                <c:pt idx="2936">
                  <c:v>42913</c:v>
                </c:pt>
                <c:pt idx="2937">
                  <c:v>42912</c:v>
                </c:pt>
                <c:pt idx="2938">
                  <c:v>42909</c:v>
                </c:pt>
                <c:pt idx="2939">
                  <c:v>42908</c:v>
                </c:pt>
                <c:pt idx="2940">
                  <c:v>42907</c:v>
                </c:pt>
                <c:pt idx="2941">
                  <c:v>42906</c:v>
                </c:pt>
                <c:pt idx="2942">
                  <c:v>42905</c:v>
                </c:pt>
                <c:pt idx="2943">
                  <c:v>42902</c:v>
                </c:pt>
                <c:pt idx="2944">
                  <c:v>42901</c:v>
                </c:pt>
                <c:pt idx="2945">
                  <c:v>42900</c:v>
                </c:pt>
                <c:pt idx="2946">
                  <c:v>42899</c:v>
                </c:pt>
                <c:pt idx="2947">
                  <c:v>42898</c:v>
                </c:pt>
                <c:pt idx="2948">
                  <c:v>42895</c:v>
                </c:pt>
                <c:pt idx="2949">
                  <c:v>42894</c:v>
                </c:pt>
                <c:pt idx="2950">
                  <c:v>42893</c:v>
                </c:pt>
                <c:pt idx="2951">
                  <c:v>42892</c:v>
                </c:pt>
                <c:pt idx="2952">
                  <c:v>42891</c:v>
                </c:pt>
                <c:pt idx="2953">
                  <c:v>42888</c:v>
                </c:pt>
                <c:pt idx="2954">
                  <c:v>42887</c:v>
                </c:pt>
                <c:pt idx="2955">
                  <c:v>42886</c:v>
                </c:pt>
                <c:pt idx="2956">
                  <c:v>42885</c:v>
                </c:pt>
                <c:pt idx="2957">
                  <c:v>42881</c:v>
                </c:pt>
                <c:pt idx="2958">
                  <c:v>42880</c:v>
                </c:pt>
                <c:pt idx="2959">
                  <c:v>42879</c:v>
                </c:pt>
                <c:pt idx="2960">
                  <c:v>42878</c:v>
                </c:pt>
                <c:pt idx="2961">
                  <c:v>42877</c:v>
                </c:pt>
                <c:pt idx="2962">
                  <c:v>42874</c:v>
                </c:pt>
                <c:pt idx="2963">
                  <c:v>42873</c:v>
                </c:pt>
                <c:pt idx="2964">
                  <c:v>42872</c:v>
                </c:pt>
                <c:pt idx="2965">
                  <c:v>42871</c:v>
                </c:pt>
                <c:pt idx="2966">
                  <c:v>42870</c:v>
                </c:pt>
                <c:pt idx="2967">
                  <c:v>42867</c:v>
                </c:pt>
                <c:pt idx="2968">
                  <c:v>42866</c:v>
                </c:pt>
                <c:pt idx="2969">
                  <c:v>42865</c:v>
                </c:pt>
                <c:pt idx="2970">
                  <c:v>42864</c:v>
                </c:pt>
                <c:pt idx="2971">
                  <c:v>42863</c:v>
                </c:pt>
                <c:pt idx="2972">
                  <c:v>42860</c:v>
                </c:pt>
                <c:pt idx="2973">
                  <c:v>42859</c:v>
                </c:pt>
                <c:pt idx="2974">
                  <c:v>42858</c:v>
                </c:pt>
                <c:pt idx="2975">
                  <c:v>42857</c:v>
                </c:pt>
                <c:pt idx="2976">
                  <c:v>42856</c:v>
                </c:pt>
                <c:pt idx="2977">
                  <c:v>42853</c:v>
                </c:pt>
                <c:pt idx="2978">
                  <c:v>42852</c:v>
                </c:pt>
                <c:pt idx="2979">
                  <c:v>42851</c:v>
                </c:pt>
                <c:pt idx="2980">
                  <c:v>42850</c:v>
                </c:pt>
                <c:pt idx="2981">
                  <c:v>42849</c:v>
                </c:pt>
                <c:pt idx="2982">
                  <c:v>42846</c:v>
                </c:pt>
                <c:pt idx="2983">
                  <c:v>42845</c:v>
                </c:pt>
                <c:pt idx="2984">
                  <c:v>42844</c:v>
                </c:pt>
                <c:pt idx="2985">
                  <c:v>42843</c:v>
                </c:pt>
                <c:pt idx="2986">
                  <c:v>42842</c:v>
                </c:pt>
                <c:pt idx="2987">
                  <c:v>42838</c:v>
                </c:pt>
                <c:pt idx="2988">
                  <c:v>42837</c:v>
                </c:pt>
                <c:pt idx="2989">
                  <c:v>42836</c:v>
                </c:pt>
                <c:pt idx="2990">
                  <c:v>42835</c:v>
                </c:pt>
                <c:pt idx="2991">
                  <c:v>42832</c:v>
                </c:pt>
                <c:pt idx="2992">
                  <c:v>42831</c:v>
                </c:pt>
                <c:pt idx="2993">
                  <c:v>42830</c:v>
                </c:pt>
                <c:pt idx="2994">
                  <c:v>42829</c:v>
                </c:pt>
                <c:pt idx="2995">
                  <c:v>42828</c:v>
                </c:pt>
                <c:pt idx="2996">
                  <c:v>42825</c:v>
                </c:pt>
                <c:pt idx="2997">
                  <c:v>42824</c:v>
                </c:pt>
                <c:pt idx="2998">
                  <c:v>42823</c:v>
                </c:pt>
                <c:pt idx="2999">
                  <c:v>42822</c:v>
                </c:pt>
                <c:pt idx="3000">
                  <c:v>42821</c:v>
                </c:pt>
                <c:pt idx="3001">
                  <c:v>42818</c:v>
                </c:pt>
                <c:pt idx="3002">
                  <c:v>42817</c:v>
                </c:pt>
                <c:pt idx="3003">
                  <c:v>42816</c:v>
                </c:pt>
                <c:pt idx="3004">
                  <c:v>42815</c:v>
                </c:pt>
                <c:pt idx="3005">
                  <c:v>42814</c:v>
                </c:pt>
                <c:pt idx="3006">
                  <c:v>42811</c:v>
                </c:pt>
                <c:pt idx="3007">
                  <c:v>42810</c:v>
                </c:pt>
                <c:pt idx="3008">
                  <c:v>42809</c:v>
                </c:pt>
                <c:pt idx="3009">
                  <c:v>42808</c:v>
                </c:pt>
                <c:pt idx="3010">
                  <c:v>42807</c:v>
                </c:pt>
                <c:pt idx="3011">
                  <c:v>42804</c:v>
                </c:pt>
                <c:pt idx="3012">
                  <c:v>42803</c:v>
                </c:pt>
                <c:pt idx="3013">
                  <c:v>42802</c:v>
                </c:pt>
                <c:pt idx="3014">
                  <c:v>42801</c:v>
                </c:pt>
                <c:pt idx="3015">
                  <c:v>42800</c:v>
                </c:pt>
                <c:pt idx="3016">
                  <c:v>42797</c:v>
                </c:pt>
                <c:pt idx="3017">
                  <c:v>42796</c:v>
                </c:pt>
                <c:pt idx="3018">
                  <c:v>42795</c:v>
                </c:pt>
                <c:pt idx="3019">
                  <c:v>42794</c:v>
                </c:pt>
                <c:pt idx="3020">
                  <c:v>42793</c:v>
                </c:pt>
                <c:pt idx="3021">
                  <c:v>42790</c:v>
                </c:pt>
                <c:pt idx="3022">
                  <c:v>42789</c:v>
                </c:pt>
                <c:pt idx="3023">
                  <c:v>42788</c:v>
                </c:pt>
                <c:pt idx="3024">
                  <c:v>42787</c:v>
                </c:pt>
                <c:pt idx="3025">
                  <c:v>42783</c:v>
                </c:pt>
                <c:pt idx="3026">
                  <c:v>42782</c:v>
                </c:pt>
                <c:pt idx="3027">
                  <c:v>42781</c:v>
                </c:pt>
                <c:pt idx="3028">
                  <c:v>42780</c:v>
                </c:pt>
                <c:pt idx="3029">
                  <c:v>42779</c:v>
                </c:pt>
                <c:pt idx="3030">
                  <c:v>42776</c:v>
                </c:pt>
                <c:pt idx="3031">
                  <c:v>42775</c:v>
                </c:pt>
                <c:pt idx="3032">
                  <c:v>42774</c:v>
                </c:pt>
                <c:pt idx="3033">
                  <c:v>42773</c:v>
                </c:pt>
                <c:pt idx="3034">
                  <c:v>42772</c:v>
                </c:pt>
                <c:pt idx="3035">
                  <c:v>42769</c:v>
                </c:pt>
                <c:pt idx="3036">
                  <c:v>42768</c:v>
                </c:pt>
                <c:pt idx="3037">
                  <c:v>42767</c:v>
                </c:pt>
                <c:pt idx="3038">
                  <c:v>42766</c:v>
                </c:pt>
                <c:pt idx="3039">
                  <c:v>42765</c:v>
                </c:pt>
                <c:pt idx="3040">
                  <c:v>42762</c:v>
                </c:pt>
                <c:pt idx="3041">
                  <c:v>42761</c:v>
                </c:pt>
                <c:pt idx="3042">
                  <c:v>42760</c:v>
                </c:pt>
                <c:pt idx="3043">
                  <c:v>42759</c:v>
                </c:pt>
                <c:pt idx="3044">
                  <c:v>42758</c:v>
                </c:pt>
                <c:pt idx="3045">
                  <c:v>42755</c:v>
                </c:pt>
                <c:pt idx="3046">
                  <c:v>42754</c:v>
                </c:pt>
                <c:pt idx="3047">
                  <c:v>42753</c:v>
                </c:pt>
                <c:pt idx="3048">
                  <c:v>42752</c:v>
                </c:pt>
                <c:pt idx="3049">
                  <c:v>42748</c:v>
                </c:pt>
                <c:pt idx="3050">
                  <c:v>42747</c:v>
                </c:pt>
                <c:pt idx="3051">
                  <c:v>42746</c:v>
                </c:pt>
                <c:pt idx="3052">
                  <c:v>42745</c:v>
                </c:pt>
                <c:pt idx="3053">
                  <c:v>42744</c:v>
                </c:pt>
                <c:pt idx="3054">
                  <c:v>42741</c:v>
                </c:pt>
                <c:pt idx="3055">
                  <c:v>42740</c:v>
                </c:pt>
                <c:pt idx="3056">
                  <c:v>42739</c:v>
                </c:pt>
                <c:pt idx="3057">
                  <c:v>42738</c:v>
                </c:pt>
                <c:pt idx="3058">
                  <c:v>42734</c:v>
                </c:pt>
                <c:pt idx="3059">
                  <c:v>42733</c:v>
                </c:pt>
                <c:pt idx="3060">
                  <c:v>42732</c:v>
                </c:pt>
                <c:pt idx="3061">
                  <c:v>42731</c:v>
                </c:pt>
                <c:pt idx="3062">
                  <c:v>42727</c:v>
                </c:pt>
                <c:pt idx="3063">
                  <c:v>42726</c:v>
                </c:pt>
                <c:pt idx="3064">
                  <c:v>42725</c:v>
                </c:pt>
                <c:pt idx="3065">
                  <c:v>42724</c:v>
                </c:pt>
                <c:pt idx="3066">
                  <c:v>42723</c:v>
                </c:pt>
                <c:pt idx="3067">
                  <c:v>42720</c:v>
                </c:pt>
                <c:pt idx="3068">
                  <c:v>42719</c:v>
                </c:pt>
                <c:pt idx="3069">
                  <c:v>42718</c:v>
                </c:pt>
                <c:pt idx="3070">
                  <c:v>42717</c:v>
                </c:pt>
                <c:pt idx="3071">
                  <c:v>42716</c:v>
                </c:pt>
                <c:pt idx="3072">
                  <c:v>42713</c:v>
                </c:pt>
                <c:pt idx="3073">
                  <c:v>42712</c:v>
                </c:pt>
                <c:pt idx="3074">
                  <c:v>42711</c:v>
                </c:pt>
                <c:pt idx="3075">
                  <c:v>42710</c:v>
                </c:pt>
                <c:pt idx="3076">
                  <c:v>42709</c:v>
                </c:pt>
                <c:pt idx="3077">
                  <c:v>42706</c:v>
                </c:pt>
                <c:pt idx="3078">
                  <c:v>42705</c:v>
                </c:pt>
                <c:pt idx="3079">
                  <c:v>42704</c:v>
                </c:pt>
                <c:pt idx="3080">
                  <c:v>42703</c:v>
                </c:pt>
                <c:pt idx="3081">
                  <c:v>42702</c:v>
                </c:pt>
                <c:pt idx="3082">
                  <c:v>42699</c:v>
                </c:pt>
                <c:pt idx="3083">
                  <c:v>42697</c:v>
                </c:pt>
                <c:pt idx="3084">
                  <c:v>42696</c:v>
                </c:pt>
                <c:pt idx="3085">
                  <c:v>42695</c:v>
                </c:pt>
                <c:pt idx="3086">
                  <c:v>42692</c:v>
                </c:pt>
                <c:pt idx="3087">
                  <c:v>42691</c:v>
                </c:pt>
                <c:pt idx="3088">
                  <c:v>42690</c:v>
                </c:pt>
                <c:pt idx="3089">
                  <c:v>42689</c:v>
                </c:pt>
                <c:pt idx="3090">
                  <c:v>42688</c:v>
                </c:pt>
                <c:pt idx="3091">
                  <c:v>42685</c:v>
                </c:pt>
                <c:pt idx="3092">
                  <c:v>42684</c:v>
                </c:pt>
                <c:pt idx="3093">
                  <c:v>42683</c:v>
                </c:pt>
                <c:pt idx="3094">
                  <c:v>42682</c:v>
                </c:pt>
                <c:pt idx="3095">
                  <c:v>42681</c:v>
                </c:pt>
                <c:pt idx="3096">
                  <c:v>42678</c:v>
                </c:pt>
                <c:pt idx="3097">
                  <c:v>42677</c:v>
                </c:pt>
                <c:pt idx="3098">
                  <c:v>42676</c:v>
                </c:pt>
                <c:pt idx="3099">
                  <c:v>42675</c:v>
                </c:pt>
                <c:pt idx="3100">
                  <c:v>42674</c:v>
                </c:pt>
                <c:pt idx="3101">
                  <c:v>42671</c:v>
                </c:pt>
                <c:pt idx="3102">
                  <c:v>42670</c:v>
                </c:pt>
                <c:pt idx="3103">
                  <c:v>42669</c:v>
                </c:pt>
                <c:pt idx="3104">
                  <c:v>42668</c:v>
                </c:pt>
                <c:pt idx="3105">
                  <c:v>42667</c:v>
                </c:pt>
                <c:pt idx="3106">
                  <c:v>42664</c:v>
                </c:pt>
                <c:pt idx="3107">
                  <c:v>42663</c:v>
                </c:pt>
                <c:pt idx="3108">
                  <c:v>42662</c:v>
                </c:pt>
                <c:pt idx="3109">
                  <c:v>42661</c:v>
                </c:pt>
                <c:pt idx="3110">
                  <c:v>42660</c:v>
                </c:pt>
                <c:pt idx="3111">
                  <c:v>42657</c:v>
                </c:pt>
                <c:pt idx="3112">
                  <c:v>42656</c:v>
                </c:pt>
                <c:pt idx="3113">
                  <c:v>42655</c:v>
                </c:pt>
                <c:pt idx="3114">
                  <c:v>42654</c:v>
                </c:pt>
                <c:pt idx="3115">
                  <c:v>42653</c:v>
                </c:pt>
                <c:pt idx="3116">
                  <c:v>42650</c:v>
                </c:pt>
                <c:pt idx="3117">
                  <c:v>42649</c:v>
                </c:pt>
                <c:pt idx="3118">
                  <c:v>42648</c:v>
                </c:pt>
                <c:pt idx="3119">
                  <c:v>42647</c:v>
                </c:pt>
                <c:pt idx="3120">
                  <c:v>42646</c:v>
                </c:pt>
                <c:pt idx="3121">
                  <c:v>42643</c:v>
                </c:pt>
                <c:pt idx="3122">
                  <c:v>42642</c:v>
                </c:pt>
                <c:pt idx="3123">
                  <c:v>42641</c:v>
                </c:pt>
                <c:pt idx="3124">
                  <c:v>42640</c:v>
                </c:pt>
                <c:pt idx="3125">
                  <c:v>42639</c:v>
                </c:pt>
                <c:pt idx="3126">
                  <c:v>42636</c:v>
                </c:pt>
                <c:pt idx="3127">
                  <c:v>42635</c:v>
                </c:pt>
                <c:pt idx="3128">
                  <c:v>42634</c:v>
                </c:pt>
                <c:pt idx="3129">
                  <c:v>42633</c:v>
                </c:pt>
                <c:pt idx="3130">
                  <c:v>42632</c:v>
                </c:pt>
                <c:pt idx="3131">
                  <c:v>42629</c:v>
                </c:pt>
                <c:pt idx="3132">
                  <c:v>42628</c:v>
                </c:pt>
                <c:pt idx="3133">
                  <c:v>42627</c:v>
                </c:pt>
                <c:pt idx="3134">
                  <c:v>42626</c:v>
                </c:pt>
                <c:pt idx="3135">
                  <c:v>42625</c:v>
                </c:pt>
                <c:pt idx="3136">
                  <c:v>42622</c:v>
                </c:pt>
                <c:pt idx="3137">
                  <c:v>42621</c:v>
                </c:pt>
                <c:pt idx="3138">
                  <c:v>42620</c:v>
                </c:pt>
                <c:pt idx="3139">
                  <c:v>42619</c:v>
                </c:pt>
                <c:pt idx="3140">
                  <c:v>42615</c:v>
                </c:pt>
                <c:pt idx="3141">
                  <c:v>42614</c:v>
                </c:pt>
                <c:pt idx="3142">
                  <c:v>42613</c:v>
                </c:pt>
                <c:pt idx="3143">
                  <c:v>42612</c:v>
                </c:pt>
                <c:pt idx="3144">
                  <c:v>42611</c:v>
                </c:pt>
                <c:pt idx="3145">
                  <c:v>42608</c:v>
                </c:pt>
                <c:pt idx="3146">
                  <c:v>42607</c:v>
                </c:pt>
                <c:pt idx="3147">
                  <c:v>42606</c:v>
                </c:pt>
                <c:pt idx="3148">
                  <c:v>42605</c:v>
                </c:pt>
                <c:pt idx="3149">
                  <c:v>42604</c:v>
                </c:pt>
                <c:pt idx="3150">
                  <c:v>42601</c:v>
                </c:pt>
                <c:pt idx="3151">
                  <c:v>42600</c:v>
                </c:pt>
                <c:pt idx="3152">
                  <c:v>42599</c:v>
                </c:pt>
                <c:pt idx="3153">
                  <c:v>42598</c:v>
                </c:pt>
                <c:pt idx="3154">
                  <c:v>42597</c:v>
                </c:pt>
                <c:pt idx="3155">
                  <c:v>42594</c:v>
                </c:pt>
                <c:pt idx="3156">
                  <c:v>42593</c:v>
                </c:pt>
                <c:pt idx="3157">
                  <c:v>42592</c:v>
                </c:pt>
                <c:pt idx="3158">
                  <c:v>42591</c:v>
                </c:pt>
                <c:pt idx="3159">
                  <c:v>42590</c:v>
                </c:pt>
                <c:pt idx="3160">
                  <c:v>42587</c:v>
                </c:pt>
                <c:pt idx="3161">
                  <c:v>42586</c:v>
                </c:pt>
                <c:pt idx="3162">
                  <c:v>42585</c:v>
                </c:pt>
                <c:pt idx="3163">
                  <c:v>42584</c:v>
                </c:pt>
                <c:pt idx="3164">
                  <c:v>42583</c:v>
                </c:pt>
                <c:pt idx="3165">
                  <c:v>42580</c:v>
                </c:pt>
                <c:pt idx="3166">
                  <c:v>42579</c:v>
                </c:pt>
                <c:pt idx="3167">
                  <c:v>42578</c:v>
                </c:pt>
                <c:pt idx="3168">
                  <c:v>42577</c:v>
                </c:pt>
                <c:pt idx="3169">
                  <c:v>42576</c:v>
                </c:pt>
                <c:pt idx="3170">
                  <c:v>42573</c:v>
                </c:pt>
                <c:pt idx="3171">
                  <c:v>42572</c:v>
                </c:pt>
                <c:pt idx="3172">
                  <c:v>42571</c:v>
                </c:pt>
                <c:pt idx="3173">
                  <c:v>42570</c:v>
                </c:pt>
                <c:pt idx="3174">
                  <c:v>42569</c:v>
                </c:pt>
                <c:pt idx="3175">
                  <c:v>42566</c:v>
                </c:pt>
                <c:pt idx="3176">
                  <c:v>42565</c:v>
                </c:pt>
                <c:pt idx="3177">
                  <c:v>42564</c:v>
                </c:pt>
                <c:pt idx="3178">
                  <c:v>42563</c:v>
                </c:pt>
                <c:pt idx="3179">
                  <c:v>42562</c:v>
                </c:pt>
                <c:pt idx="3180">
                  <c:v>42559</c:v>
                </c:pt>
                <c:pt idx="3181">
                  <c:v>42558</c:v>
                </c:pt>
                <c:pt idx="3182">
                  <c:v>42557</c:v>
                </c:pt>
                <c:pt idx="3183">
                  <c:v>42556</c:v>
                </c:pt>
                <c:pt idx="3184">
                  <c:v>42552</c:v>
                </c:pt>
                <c:pt idx="3185">
                  <c:v>42551</c:v>
                </c:pt>
                <c:pt idx="3186">
                  <c:v>42550</c:v>
                </c:pt>
                <c:pt idx="3187">
                  <c:v>42549</c:v>
                </c:pt>
                <c:pt idx="3188">
                  <c:v>42548</c:v>
                </c:pt>
                <c:pt idx="3189">
                  <c:v>42545</c:v>
                </c:pt>
                <c:pt idx="3190">
                  <c:v>42544</c:v>
                </c:pt>
                <c:pt idx="3191">
                  <c:v>42543</c:v>
                </c:pt>
                <c:pt idx="3192">
                  <c:v>42542</c:v>
                </c:pt>
                <c:pt idx="3193">
                  <c:v>42541</c:v>
                </c:pt>
                <c:pt idx="3194">
                  <c:v>42538</c:v>
                </c:pt>
                <c:pt idx="3195">
                  <c:v>42537</c:v>
                </c:pt>
                <c:pt idx="3196">
                  <c:v>42536</c:v>
                </c:pt>
                <c:pt idx="3197">
                  <c:v>42535</c:v>
                </c:pt>
                <c:pt idx="3198">
                  <c:v>42534</c:v>
                </c:pt>
                <c:pt idx="3199">
                  <c:v>42531</c:v>
                </c:pt>
                <c:pt idx="3200">
                  <c:v>42530</c:v>
                </c:pt>
                <c:pt idx="3201">
                  <c:v>42529</c:v>
                </c:pt>
                <c:pt idx="3202">
                  <c:v>42528</c:v>
                </c:pt>
                <c:pt idx="3203">
                  <c:v>42527</c:v>
                </c:pt>
                <c:pt idx="3204">
                  <c:v>42524</c:v>
                </c:pt>
                <c:pt idx="3205">
                  <c:v>42523</c:v>
                </c:pt>
                <c:pt idx="3206">
                  <c:v>42522</c:v>
                </c:pt>
                <c:pt idx="3207">
                  <c:v>42521</c:v>
                </c:pt>
                <c:pt idx="3208">
                  <c:v>42517</c:v>
                </c:pt>
                <c:pt idx="3209">
                  <c:v>42516</c:v>
                </c:pt>
                <c:pt idx="3210">
                  <c:v>42515</c:v>
                </c:pt>
                <c:pt idx="3211">
                  <c:v>42514</c:v>
                </c:pt>
                <c:pt idx="3212">
                  <c:v>42513</c:v>
                </c:pt>
                <c:pt idx="3213">
                  <c:v>42510</c:v>
                </c:pt>
                <c:pt idx="3214">
                  <c:v>42509</c:v>
                </c:pt>
                <c:pt idx="3215">
                  <c:v>42508</c:v>
                </c:pt>
                <c:pt idx="3216">
                  <c:v>42507</c:v>
                </c:pt>
                <c:pt idx="3217">
                  <c:v>42506</c:v>
                </c:pt>
                <c:pt idx="3218">
                  <c:v>42503</c:v>
                </c:pt>
                <c:pt idx="3219">
                  <c:v>42502</c:v>
                </c:pt>
                <c:pt idx="3220">
                  <c:v>42501</c:v>
                </c:pt>
                <c:pt idx="3221">
                  <c:v>42500</c:v>
                </c:pt>
                <c:pt idx="3222">
                  <c:v>42499</c:v>
                </c:pt>
                <c:pt idx="3223">
                  <c:v>42496</c:v>
                </c:pt>
                <c:pt idx="3224">
                  <c:v>42495</c:v>
                </c:pt>
                <c:pt idx="3225">
                  <c:v>42494</c:v>
                </c:pt>
                <c:pt idx="3226">
                  <c:v>42493</c:v>
                </c:pt>
                <c:pt idx="3227">
                  <c:v>42492</c:v>
                </c:pt>
                <c:pt idx="3228">
                  <c:v>42489</c:v>
                </c:pt>
                <c:pt idx="3229">
                  <c:v>42488</c:v>
                </c:pt>
                <c:pt idx="3230">
                  <c:v>42487</c:v>
                </c:pt>
                <c:pt idx="3231">
                  <c:v>42486</c:v>
                </c:pt>
                <c:pt idx="3232">
                  <c:v>42485</c:v>
                </c:pt>
                <c:pt idx="3233">
                  <c:v>42482</c:v>
                </c:pt>
                <c:pt idx="3234">
                  <c:v>42481</c:v>
                </c:pt>
                <c:pt idx="3235">
                  <c:v>42480</c:v>
                </c:pt>
                <c:pt idx="3236">
                  <c:v>42479</c:v>
                </c:pt>
                <c:pt idx="3237">
                  <c:v>42478</c:v>
                </c:pt>
                <c:pt idx="3238">
                  <c:v>42475</c:v>
                </c:pt>
                <c:pt idx="3239">
                  <c:v>42474</c:v>
                </c:pt>
                <c:pt idx="3240">
                  <c:v>42473</c:v>
                </c:pt>
                <c:pt idx="3241">
                  <c:v>42472</c:v>
                </c:pt>
                <c:pt idx="3242">
                  <c:v>42471</c:v>
                </c:pt>
                <c:pt idx="3243">
                  <c:v>42468</c:v>
                </c:pt>
                <c:pt idx="3244">
                  <c:v>42467</c:v>
                </c:pt>
                <c:pt idx="3245">
                  <c:v>42466</c:v>
                </c:pt>
                <c:pt idx="3246">
                  <c:v>42465</c:v>
                </c:pt>
                <c:pt idx="3247">
                  <c:v>42464</c:v>
                </c:pt>
                <c:pt idx="3248">
                  <c:v>42461</c:v>
                </c:pt>
                <c:pt idx="3249">
                  <c:v>42460</c:v>
                </c:pt>
                <c:pt idx="3250">
                  <c:v>42459</c:v>
                </c:pt>
                <c:pt idx="3251">
                  <c:v>42458</c:v>
                </c:pt>
                <c:pt idx="3252">
                  <c:v>42457</c:v>
                </c:pt>
                <c:pt idx="3253">
                  <c:v>42453</c:v>
                </c:pt>
                <c:pt idx="3254">
                  <c:v>42452</c:v>
                </c:pt>
                <c:pt idx="3255">
                  <c:v>42451</c:v>
                </c:pt>
                <c:pt idx="3256">
                  <c:v>42450</c:v>
                </c:pt>
                <c:pt idx="3257">
                  <c:v>42447</c:v>
                </c:pt>
                <c:pt idx="3258">
                  <c:v>42446</c:v>
                </c:pt>
                <c:pt idx="3259">
                  <c:v>42445</c:v>
                </c:pt>
                <c:pt idx="3260">
                  <c:v>42444</c:v>
                </c:pt>
                <c:pt idx="3261">
                  <c:v>42443</c:v>
                </c:pt>
                <c:pt idx="3262">
                  <c:v>42440</c:v>
                </c:pt>
                <c:pt idx="3263">
                  <c:v>42439</c:v>
                </c:pt>
                <c:pt idx="3264">
                  <c:v>42438</c:v>
                </c:pt>
                <c:pt idx="3265">
                  <c:v>42437</c:v>
                </c:pt>
                <c:pt idx="3266">
                  <c:v>42436</c:v>
                </c:pt>
                <c:pt idx="3267">
                  <c:v>42433</c:v>
                </c:pt>
                <c:pt idx="3268">
                  <c:v>42432</c:v>
                </c:pt>
                <c:pt idx="3269">
                  <c:v>42431</c:v>
                </c:pt>
                <c:pt idx="3270">
                  <c:v>42430</c:v>
                </c:pt>
                <c:pt idx="3271">
                  <c:v>42429</c:v>
                </c:pt>
                <c:pt idx="3272">
                  <c:v>42426</c:v>
                </c:pt>
                <c:pt idx="3273">
                  <c:v>42425</c:v>
                </c:pt>
                <c:pt idx="3274">
                  <c:v>42424</c:v>
                </c:pt>
                <c:pt idx="3275">
                  <c:v>42423</c:v>
                </c:pt>
                <c:pt idx="3276">
                  <c:v>42422</c:v>
                </c:pt>
                <c:pt idx="3277">
                  <c:v>42419</c:v>
                </c:pt>
                <c:pt idx="3278">
                  <c:v>42418</c:v>
                </c:pt>
                <c:pt idx="3279">
                  <c:v>42417</c:v>
                </c:pt>
                <c:pt idx="3280">
                  <c:v>42416</c:v>
                </c:pt>
                <c:pt idx="3281">
                  <c:v>42412</c:v>
                </c:pt>
                <c:pt idx="3282">
                  <c:v>42411</c:v>
                </c:pt>
                <c:pt idx="3283">
                  <c:v>42410</c:v>
                </c:pt>
                <c:pt idx="3284">
                  <c:v>42409</c:v>
                </c:pt>
                <c:pt idx="3285">
                  <c:v>42408</c:v>
                </c:pt>
                <c:pt idx="3286">
                  <c:v>42405</c:v>
                </c:pt>
                <c:pt idx="3287">
                  <c:v>42404</c:v>
                </c:pt>
                <c:pt idx="3288">
                  <c:v>42403</c:v>
                </c:pt>
                <c:pt idx="3289">
                  <c:v>42402</c:v>
                </c:pt>
                <c:pt idx="3290">
                  <c:v>42401</c:v>
                </c:pt>
                <c:pt idx="3291">
                  <c:v>42398</c:v>
                </c:pt>
                <c:pt idx="3292">
                  <c:v>42397</c:v>
                </c:pt>
                <c:pt idx="3293">
                  <c:v>42396</c:v>
                </c:pt>
                <c:pt idx="3294">
                  <c:v>42395</c:v>
                </c:pt>
                <c:pt idx="3295">
                  <c:v>42394</c:v>
                </c:pt>
                <c:pt idx="3296">
                  <c:v>42391</c:v>
                </c:pt>
                <c:pt idx="3297">
                  <c:v>42390</c:v>
                </c:pt>
                <c:pt idx="3298">
                  <c:v>42389</c:v>
                </c:pt>
                <c:pt idx="3299">
                  <c:v>42388</c:v>
                </c:pt>
                <c:pt idx="3300">
                  <c:v>42384</c:v>
                </c:pt>
                <c:pt idx="3301">
                  <c:v>42383</c:v>
                </c:pt>
                <c:pt idx="3302">
                  <c:v>42382</c:v>
                </c:pt>
                <c:pt idx="3303">
                  <c:v>42381</c:v>
                </c:pt>
                <c:pt idx="3304">
                  <c:v>42380</c:v>
                </c:pt>
                <c:pt idx="3305">
                  <c:v>42377</c:v>
                </c:pt>
                <c:pt idx="3306">
                  <c:v>42376</c:v>
                </c:pt>
                <c:pt idx="3307">
                  <c:v>42375</c:v>
                </c:pt>
                <c:pt idx="3308">
                  <c:v>42374</c:v>
                </c:pt>
                <c:pt idx="3309">
                  <c:v>42373</c:v>
                </c:pt>
                <c:pt idx="3310">
                  <c:v>42369</c:v>
                </c:pt>
                <c:pt idx="3311">
                  <c:v>42368</c:v>
                </c:pt>
                <c:pt idx="3312">
                  <c:v>42367</c:v>
                </c:pt>
                <c:pt idx="3313">
                  <c:v>42366</c:v>
                </c:pt>
                <c:pt idx="3314">
                  <c:v>42362</c:v>
                </c:pt>
                <c:pt idx="3315">
                  <c:v>42361</c:v>
                </c:pt>
                <c:pt idx="3316">
                  <c:v>42360</c:v>
                </c:pt>
                <c:pt idx="3317">
                  <c:v>42359</c:v>
                </c:pt>
                <c:pt idx="3318">
                  <c:v>42356</c:v>
                </c:pt>
                <c:pt idx="3319">
                  <c:v>42355</c:v>
                </c:pt>
                <c:pt idx="3320">
                  <c:v>42354</c:v>
                </c:pt>
                <c:pt idx="3321">
                  <c:v>42353</c:v>
                </c:pt>
                <c:pt idx="3322">
                  <c:v>42352</c:v>
                </c:pt>
              </c:numCache>
            </c:numRef>
          </c:cat>
          <c:val>
            <c:numRef>
              <c:f>'AMZN daily'!$H$8:$H$3330</c:f>
              <c:numCache>
                <c:formatCode>#,##0.00_);[Red]\(#,##0.00\)</c:formatCode>
                <c:ptCount val="3323"/>
                <c:pt idx="0">
                  <c:v>226.19</c:v>
                </c:pt>
                <c:pt idx="1">
                  <c:v>230.28</c:v>
                </c:pt>
                <c:pt idx="2">
                  <c:v>231.78</c:v>
                </c:pt>
                <c:pt idx="3">
                  <c:v>227.92</c:v>
                </c:pt>
                <c:pt idx="4">
                  <c:v>226.89</c:v>
                </c:pt>
                <c:pt idx="5">
                  <c:v>229.53</c:v>
                </c:pt>
                <c:pt idx="6">
                  <c:v>229.11</c:v>
                </c:pt>
                <c:pt idx="7">
                  <c:v>232.38</c:v>
                </c:pt>
                <c:pt idx="8">
                  <c:v>234.42</c:v>
                </c:pt>
                <c:pt idx="9">
                  <c:v>233.88</c:v>
                </c:pt>
                <c:pt idx="10">
                  <c:v>233.22</c:v>
                </c:pt>
                <c:pt idx="11">
                  <c:v>229.16</c:v>
                </c:pt>
                <c:pt idx="12">
                  <c:v>229.67</c:v>
                </c:pt>
                <c:pt idx="13">
                  <c:v>226.28</c:v>
                </c:pt>
                <c:pt idx="14">
                  <c:v>220.69</c:v>
                </c:pt>
                <c:pt idx="15">
                  <c:v>217.14</c:v>
                </c:pt>
                <c:pt idx="16">
                  <c:v>222.69</c:v>
                </c:pt>
                <c:pt idx="17">
                  <c:v>222.55</c:v>
                </c:pt>
                <c:pt idx="18">
                  <c:v>232.87</c:v>
                </c:pt>
                <c:pt idx="19">
                  <c:v>234.69</c:v>
                </c:pt>
                <c:pt idx="20">
                  <c:v>237.58</c:v>
                </c:pt>
                <c:pt idx="21">
                  <c:v>244.2</c:v>
                </c:pt>
                <c:pt idx="22">
                  <c:v>249.1</c:v>
                </c:pt>
                <c:pt idx="23">
                  <c:v>248.4</c:v>
                </c:pt>
                <c:pt idx="24">
                  <c:v>244.41</c:v>
                </c:pt>
                <c:pt idx="25">
                  <c:v>243.04</c:v>
                </c:pt>
                <c:pt idx="26">
                  <c:v>250.2</c:v>
                </c:pt>
                <c:pt idx="27">
                  <c:v>249.32</c:v>
                </c:pt>
                <c:pt idx="28">
                  <c:v>254</c:v>
                </c:pt>
                <c:pt idx="29">
                  <c:v>244.22</c:v>
                </c:pt>
                <c:pt idx="30">
                  <c:v>222.86</c:v>
                </c:pt>
                <c:pt idx="31">
                  <c:v>230.3</c:v>
                </c:pt>
                <c:pt idx="32">
                  <c:v>229.25</c:v>
                </c:pt>
                <c:pt idx="33">
                  <c:v>226.97</c:v>
                </c:pt>
                <c:pt idx="34">
                  <c:v>224.21</c:v>
                </c:pt>
                <c:pt idx="35">
                  <c:v>221.09</c:v>
                </c:pt>
                <c:pt idx="36">
                  <c:v>217.95</c:v>
                </c:pt>
                <c:pt idx="37">
                  <c:v>222.03</c:v>
                </c:pt>
                <c:pt idx="38">
                  <c:v>216.48</c:v>
                </c:pt>
                <c:pt idx="39">
                  <c:v>213.04</c:v>
                </c:pt>
                <c:pt idx="40">
                  <c:v>214.47</c:v>
                </c:pt>
                <c:pt idx="41">
                  <c:v>215.57</c:v>
                </c:pt>
                <c:pt idx="42">
                  <c:v>216.39</c:v>
                </c:pt>
                <c:pt idx="43">
                  <c:v>220.07</c:v>
                </c:pt>
                <c:pt idx="44">
                  <c:v>216.37</c:v>
                </c:pt>
                <c:pt idx="45">
                  <c:v>227.74</c:v>
                </c:pt>
                <c:pt idx="46">
                  <c:v>225.22</c:v>
                </c:pt>
                <c:pt idx="47">
                  <c:v>221.78</c:v>
                </c:pt>
                <c:pt idx="48">
                  <c:v>220.9</c:v>
                </c:pt>
                <c:pt idx="49">
                  <c:v>219.51</c:v>
                </c:pt>
                <c:pt idx="50">
                  <c:v>222.41</c:v>
                </c:pt>
                <c:pt idx="51">
                  <c:v>220.63</c:v>
                </c:pt>
                <c:pt idx="52">
                  <c:v>219.57</c:v>
                </c:pt>
                <c:pt idx="53">
                  <c:v>222.17</c:v>
                </c:pt>
                <c:pt idx="54">
                  <c:v>219.78</c:v>
                </c:pt>
                <c:pt idx="55">
                  <c:v>218.15</c:v>
                </c:pt>
                <c:pt idx="56">
                  <c:v>220.21</c:v>
                </c:pt>
                <c:pt idx="57">
                  <c:v>220.71</c:v>
                </c:pt>
                <c:pt idx="58">
                  <c:v>227.63</c:v>
                </c:pt>
                <c:pt idx="59">
                  <c:v>231.48</c:v>
                </c:pt>
                <c:pt idx="60">
                  <c:v>231.23</c:v>
                </c:pt>
                <c:pt idx="61">
                  <c:v>231.62</c:v>
                </c:pt>
                <c:pt idx="62">
                  <c:v>234.05</c:v>
                </c:pt>
                <c:pt idx="63">
                  <c:v>231.43</c:v>
                </c:pt>
                <c:pt idx="64">
                  <c:v>228.15</c:v>
                </c:pt>
                <c:pt idx="65">
                  <c:v>229.95</c:v>
                </c:pt>
                <c:pt idx="66">
                  <c:v>230.33</c:v>
                </c:pt>
                <c:pt idx="67">
                  <c:v>238.24</c:v>
                </c:pt>
                <c:pt idx="68">
                  <c:v>235.84</c:v>
                </c:pt>
                <c:pt idx="69">
                  <c:v>232.33</c:v>
                </c:pt>
                <c:pt idx="70">
                  <c:v>235.68</c:v>
                </c:pt>
                <c:pt idx="71">
                  <c:v>225.99</c:v>
                </c:pt>
                <c:pt idx="72">
                  <c:v>225.34</c:v>
                </c:pt>
                <c:pt idx="73">
                  <c:v>229</c:v>
                </c:pt>
                <c:pt idx="74">
                  <c:v>231.6</c:v>
                </c:pt>
                <c:pt idx="75">
                  <c:v>229.12</c:v>
                </c:pt>
                <c:pt idx="76">
                  <c:v>228.71</c:v>
                </c:pt>
                <c:pt idx="77">
                  <c:v>227.94</c:v>
                </c:pt>
                <c:pt idx="78">
                  <c:v>228.84</c:v>
                </c:pt>
                <c:pt idx="79">
                  <c:v>221.95</c:v>
                </c:pt>
                <c:pt idx="80">
                  <c:v>223.81</c:v>
                </c:pt>
                <c:pt idx="81">
                  <c:v>228.01</c:v>
                </c:pt>
                <c:pt idx="82">
                  <c:v>231.49</c:v>
                </c:pt>
                <c:pt idx="83">
                  <c:v>231.03</c:v>
                </c:pt>
                <c:pt idx="84">
                  <c:v>230.98</c:v>
                </c:pt>
                <c:pt idx="85">
                  <c:v>224.56</c:v>
                </c:pt>
                <c:pt idx="86">
                  <c:v>221.47</c:v>
                </c:pt>
                <c:pt idx="87">
                  <c:v>221.3</c:v>
                </c:pt>
                <c:pt idx="88">
                  <c:v>222.69</c:v>
                </c:pt>
                <c:pt idx="89">
                  <c:v>223.13</c:v>
                </c:pt>
                <c:pt idx="90">
                  <c:v>222.31</c:v>
                </c:pt>
                <c:pt idx="91">
                  <c:v>213.75</c:v>
                </c:pt>
                <c:pt idx="92">
                  <c:v>211.65</c:v>
                </c:pt>
                <c:pt idx="93">
                  <c:v>214.75</c:v>
                </c:pt>
                <c:pt idx="94">
                  <c:v>234.11</c:v>
                </c:pt>
                <c:pt idx="95">
                  <c:v>230.19</c:v>
                </c:pt>
                <c:pt idx="96">
                  <c:v>231.01</c:v>
                </c:pt>
                <c:pt idx="97">
                  <c:v>232.79</c:v>
                </c:pt>
                <c:pt idx="98">
                  <c:v>231.44</c:v>
                </c:pt>
                <c:pt idx="99">
                  <c:v>232.23</c:v>
                </c:pt>
                <c:pt idx="100">
                  <c:v>228.29</c:v>
                </c:pt>
                <c:pt idx="101">
                  <c:v>227.47</c:v>
                </c:pt>
                <c:pt idx="102">
                  <c:v>229.3</c:v>
                </c:pt>
                <c:pt idx="103">
                  <c:v>226.13</c:v>
                </c:pt>
                <c:pt idx="104">
                  <c:v>223.88</c:v>
                </c:pt>
                <c:pt idx="105">
                  <c:v>223.19</c:v>
                </c:pt>
                <c:pt idx="106">
                  <c:v>226.35</c:v>
                </c:pt>
                <c:pt idx="107">
                  <c:v>225.69</c:v>
                </c:pt>
                <c:pt idx="108">
                  <c:v>225.02</c:v>
                </c:pt>
                <c:pt idx="109">
                  <c:v>222.26</c:v>
                </c:pt>
                <c:pt idx="110">
                  <c:v>222.54</c:v>
                </c:pt>
                <c:pt idx="111">
                  <c:v>219.36</c:v>
                </c:pt>
                <c:pt idx="112">
                  <c:v>223.47</c:v>
                </c:pt>
                <c:pt idx="113">
                  <c:v>223.41</c:v>
                </c:pt>
                <c:pt idx="114">
                  <c:v>219.92</c:v>
                </c:pt>
                <c:pt idx="115">
                  <c:v>220.46</c:v>
                </c:pt>
                <c:pt idx="116">
                  <c:v>219.39</c:v>
                </c:pt>
                <c:pt idx="117">
                  <c:v>223.3</c:v>
                </c:pt>
                <c:pt idx="118">
                  <c:v>217.12</c:v>
                </c:pt>
                <c:pt idx="119">
                  <c:v>211.99</c:v>
                </c:pt>
                <c:pt idx="120">
                  <c:v>212.77</c:v>
                </c:pt>
                <c:pt idx="121">
                  <c:v>208.47</c:v>
                </c:pt>
                <c:pt idx="122">
                  <c:v>209.69</c:v>
                </c:pt>
                <c:pt idx="123">
                  <c:v>212.52</c:v>
                </c:pt>
                <c:pt idx="124">
                  <c:v>214.82</c:v>
                </c:pt>
                <c:pt idx="125">
                  <c:v>216.1</c:v>
                </c:pt>
                <c:pt idx="126">
                  <c:v>212.1</c:v>
                </c:pt>
                <c:pt idx="127">
                  <c:v>213.24</c:v>
                </c:pt>
                <c:pt idx="128">
                  <c:v>213.2</c:v>
                </c:pt>
                <c:pt idx="129">
                  <c:v>217.61</c:v>
                </c:pt>
                <c:pt idx="130">
                  <c:v>216.98</c:v>
                </c:pt>
                <c:pt idx="131">
                  <c:v>213.57</c:v>
                </c:pt>
                <c:pt idx="132">
                  <c:v>207.91</c:v>
                </c:pt>
                <c:pt idx="133">
                  <c:v>207.23</c:v>
                </c:pt>
                <c:pt idx="134">
                  <c:v>205.71</c:v>
                </c:pt>
                <c:pt idx="135">
                  <c:v>206.65</c:v>
                </c:pt>
                <c:pt idx="136">
                  <c:v>205.01</c:v>
                </c:pt>
                <c:pt idx="137">
                  <c:v>205.7</c:v>
                </c:pt>
                <c:pt idx="138">
                  <c:v>204.72</c:v>
                </c:pt>
                <c:pt idx="139">
                  <c:v>206.02</c:v>
                </c:pt>
                <c:pt idx="140">
                  <c:v>200.99</c:v>
                </c:pt>
                <c:pt idx="141">
                  <c:v>203.1</c:v>
                </c:pt>
                <c:pt idx="142">
                  <c:v>201.12</c:v>
                </c:pt>
                <c:pt idx="143">
                  <c:v>204.07</c:v>
                </c:pt>
                <c:pt idx="144">
                  <c:v>206.16</c:v>
                </c:pt>
                <c:pt idx="145">
                  <c:v>205.59</c:v>
                </c:pt>
                <c:pt idx="146">
                  <c:v>205.17</c:v>
                </c:pt>
                <c:pt idx="147">
                  <c:v>210.25</c:v>
                </c:pt>
                <c:pt idx="148">
                  <c:v>211.37</c:v>
                </c:pt>
                <c:pt idx="149">
                  <c:v>208.64</c:v>
                </c:pt>
                <c:pt idx="150">
                  <c:v>193.06</c:v>
                </c:pt>
                <c:pt idx="151">
                  <c:v>192.08</c:v>
                </c:pt>
                <c:pt idx="152">
                  <c:v>188.71</c:v>
                </c:pt>
                <c:pt idx="153">
                  <c:v>185.01</c:v>
                </c:pt>
                <c:pt idx="154">
                  <c:v>186.35</c:v>
                </c:pt>
                <c:pt idx="155">
                  <c:v>189.98</c:v>
                </c:pt>
                <c:pt idx="156">
                  <c:v>190.2</c:v>
                </c:pt>
                <c:pt idx="157">
                  <c:v>184.42</c:v>
                </c:pt>
                <c:pt idx="158">
                  <c:v>187.39</c:v>
                </c:pt>
                <c:pt idx="159">
                  <c:v>187.7</c:v>
                </c:pt>
                <c:pt idx="160">
                  <c:v>188.99</c:v>
                </c:pt>
                <c:pt idx="161">
                  <c:v>186.54</c:v>
                </c:pt>
                <c:pt idx="162">
                  <c:v>180.6</c:v>
                </c:pt>
                <c:pt idx="163">
                  <c:v>173.18</c:v>
                </c:pt>
                <c:pt idx="164">
                  <c:v>167.32</c:v>
                </c:pt>
                <c:pt idx="165">
                  <c:v>172.61</c:v>
                </c:pt>
                <c:pt idx="166">
                  <c:v>174.33</c:v>
                </c:pt>
                <c:pt idx="167">
                  <c:v>179.59</c:v>
                </c:pt>
                <c:pt idx="168">
                  <c:v>182.12</c:v>
                </c:pt>
                <c:pt idx="169">
                  <c:v>184.87</c:v>
                </c:pt>
                <c:pt idx="170">
                  <c:v>181.22</c:v>
                </c:pt>
                <c:pt idx="171">
                  <c:v>191.1</c:v>
                </c:pt>
                <c:pt idx="172">
                  <c:v>170.66</c:v>
                </c:pt>
                <c:pt idx="173">
                  <c:v>175.26</c:v>
                </c:pt>
                <c:pt idx="174">
                  <c:v>171</c:v>
                </c:pt>
                <c:pt idx="175">
                  <c:v>178.41</c:v>
                </c:pt>
                <c:pt idx="176">
                  <c:v>196.01</c:v>
                </c:pt>
                <c:pt idx="177">
                  <c:v>192.17</c:v>
                </c:pt>
                <c:pt idx="178">
                  <c:v>190.26</c:v>
                </c:pt>
                <c:pt idx="179">
                  <c:v>192.72</c:v>
                </c:pt>
                <c:pt idx="180">
                  <c:v>201.36</c:v>
                </c:pt>
                <c:pt idx="181">
                  <c:v>201.13</c:v>
                </c:pt>
                <c:pt idx="182">
                  <c:v>205.71</c:v>
                </c:pt>
                <c:pt idx="183">
                  <c:v>203.26</c:v>
                </c:pt>
                <c:pt idx="184">
                  <c:v>196.21</c:v>
                </c:pt>
                <c:pt idx="185">
                  <c:v>194.95</c:v>
                </c:pt>
                <c:pt idx="186">
                  <c:v>195.54</c:v>
                </c:pt>
                <c:pt idx="187">
                  <c:v>192.82</c:v>
                </c:pt>
                <c:pt idx="188">
                  <c:v>195.74</c:v>
                </c:pt>
                <c:pt idx="189">
                  <c:v>197.95</c:v>
                </c:pt>
                <c:pt idx="190">
                  <c:v>193.89</c:v>
                </c:pt>
                <c:pt idx="191">
                  <c:v>198.89</c:v>
                </c:pt>
                <c:pt idx="192">
                  <c:v>196.59</c:v>
                </c:pt>
                <c:pt idx="193">
                  <c:v>194.54</c:v>
                </c:pt>
                <c:pt idx="194">
                  <c:v>199.25</c:v>
                </c:pt>
                <c:pt idx="195">
                  <c:v>200.7</c:v>
                </c:pt>
                <c:pt idx="196">
                  <c:v>208.36</c:v>
                </c:pt>
                <c:pt idx="197">
                  <c:v>203.8</c:v>
                </c:pt>
                <c:pt idx="198">
                  <c:v>205.02</c:v>
                </c:pt>
                <c:pt idx="199">
                  <c:v>212.28</c:v>
                </c:pt>
                <c:pt idx="200">
                  <c:v>208.74</c:v>
                </c:pt>
                <c:pt idx="201">
                  <c:v>214.35</c:v>
                </c:pt>
                <c:pt idx="202">
                  <c:v>212.8</c:v>
                </c:pt>
                <c:pt idx="203">
                  <c:v>212.71</c:v>
                </c:pt>
                <c:pt idx="204">
                  <c:v>216.58</c:v>
                </c:pt>
                <c:pt idx="205">
                  <c:v>222.88</c:v>
                </c:pt>
                <c:pt idx="206">
                  <c:v>226.63</c:v>
                </c:pt>
                <c:pt idx="207">
                  <c:v>226.65</c:v>
                </c:pt>
                <c:pt idx="208">
                  <c:v>228.68</c:v>
                </c:pt>
                <c:pt idx="209">
                  <c:v>230.37</c:v>
                </c:pt>
                <c:pt idx="210">
                  <c:v>228.93</c:v>
                </c:pt>
                <c:pt idx="211">
                  <c:v>232.76</c:v>
                </c:pt>
                <c:pt idx="212">
                  <c:v>233.14</c:v>
                </c:pt>
                <c:pt idx="213">
                  <c:v>229.15</c:v>
                </c:pt>
                <c:pt idx="214">
                  <c:v>238.83</c:v>
                </c:pt>
                <c:pt idx="215">
                  <c:v>236.17</c:v>
                </c:pt>
                <c:pt idx="216">
                  <c:v>242.06</c:v>
                </c:pt>
                <c:pt idx="217">
                  <c:v>237.42</c:v>
                </c:pt>
                <c:pt idx="218">
                  <c:v>237.68</c:v>
                </c:pt>
                <c:pt idx="219">
                  <c:v>234.64</c:v>
                </c:pt>
                <c:pt idx="220">
                  <c:v>237.07</c:v>
                </c:pt>
                <c:pt idx="221">
                  <c:v>238.15</c:v>
                </c:pt>
                <c:pt idx="222">
                  <c:v>235.42</c:v>
                </c:pt>
                <c:pt idx="223">
                  <c:v>234.85</c:v>
                </c:pt>
                <c:pt idx="224">
                  <c:v>235.42</c:v>
                </c:pt>
                <c:pt idx="225">
                  <c:v>235.01</c:v>
                </c:pt>
                <c:pt idx="226">
                  <c:v>230.71</c:v>
                </c:pt>
                <c:pt idx="227">
                  <c:v>225.94</c:v>
                </c:pt>
                <c:pt idx="228">
                  <c:v>220.66</c:v>
                </c:pt>
                <c:pt idx="229">
                  <c:v>223.35</c:v>
                </c:pt>
                <c:pt idx="230">
                  <c:v>217.76</c:v>
                </c:pt>
                <c:pt idx="231">
                  <c:v>218.46</c:v>
                </c:pt>
                <c:pt idx="232">
                  <c:v>218.94</c:v>
                </c:pt>
                <c:pt idx="233">
                  <c:v>222.13</c:v>
                </c:pt>
                <c:pt idx="234">
                  <c:v>222.11</c:v>
                </c:pt>
                <c:pt idx="235">
                  <c:v>227.61</c:v>
                </c:pt>
                <c:pt idx="236">
                  <c:v>224.19</c:v>
                </c:pt>
                <c:pt idx="237">
                  <c:v>220.22</c:v>
                </c:pt>
                <c:pt idx="238">
                  <c:v>219.39</c:v>
                </c:pt>
                <c:pt idx="239">
                  <c:v>221.3</c:v>
                </c:pt>
                <c:pt idx="240">
                  <c:v>223.75</c:v>
                </c:pt>
                <c:pt idx="241">
                  <c:v>227.05</c:v>
                </c:pt>
                <c:pt idx="242">
                  <c:v>229.05</c:v>
                </c:pt>
                <c:pt idx="243">
                  <c:v>225.06</c:v>
                </c:pt>
                <c:pt idx="244">
                  <c:v>224.92</c:v>
                </c:pt>
                <c:pt idx="245">
                  <c:v>223.29</c:v>
                </c:pt>
                <c:pt idx="246">
                  <c:v>220.52</c:v>
                </c:pt>
                <c:pt idx="247">
                  <c:v>231.15</c:v>
                </c:pt>
                <c:pt idx="248">
                  <c:v>232.93</c:v>
                </c:pt>
                <c:pt idx="249">
                  <c:v>227.46</c:v>
                </c:pt>
                <c:pt idx="250">
                  <c:v>228.97</c:v>
                </c:pt>
                <c:pt idx="251">
                  <c:v>230.26</c:v>
                </c:pt>
                <c:pt idx="252">
                  <c:v>225.04</c:v>
                </c:pt>
                <c:pt idx="253">
                  <c:v>226.09</c:v>
                </c:pt>
                <c:pt idx="254">
                  <c:v>227.03</c:v>
                </c:pt>
                <c:pt idx="255">
                  <c:v>220.55</c:v>
                </c:pt>
                <c:pt idx="256">
                  <c:v>218.16</c:v>
                </c:pt>
                <c:pt idx="257">
                  <c:v>213.44</c:v>
                </c:pt>
                <c:pt idx="258">
                  <c:v>210.71</c:v>
                </c:pt>
                <c:pt idx="259">
                  <c:v>207.89</c:v>
                </c:pt>
                <c:pt idx="260">
                  <c:v>205.74</c:v>
                </c:pt>
                <c:pt idx="261">
                  <c:v>207.86</c:v>
                </c:pt>
                <c:pt idx="262">
                  <c:v>201.45</c:v>
                </c:pt>
                <c:pt idx="263">
                  <c:v>197.12</c:v>
                </c:pt>
                <c:pt idx="264">
                  <c:v>198.38</c:v>
                </c:pt>
                <c:pt idx="265">
                  <c:v>202.88</c:v>
                </c:pt>
                <c:pt idx="266">
                  <c:v>204.61</c:v>
                </c:pt>
                <c:pt idx="267">
                  <c:v>201.7</c:v>
                </c:pt>
                <c:pt idx="268">
                  <c:v>202.61</c:v>
                </c:pt>
                <c:pt idx="269">
                  <c:v>211.48</c:v>
                </c:pt>
                <c:pt idx="270">
                  <c:v>214.1</c:v>
                </c:pt>
                <c:pt idx="271">
                  <c:v>208.91</c:v>
                </c:pt>
                <c:pt idx="272">
                  <c:v>206.84</c:v>
                </c:pt>
                <c:pt idx="273">
                  <c:v>208.18</c:v>
                </c:pt>
                <c:pt idx="274">
                  <c:v>210.05</c:v>
                </c:pt>
                <c:pt idx="275">
                  <c:v>207.09</c:v>
                </c:pt>
                <c:pt idx="276">
                  <c:v>199.5</c:v>
                </c:pt>
                <c:pt idx="277">
                  <c:v>195.78</c:v>
                </c:pt>
                <c:pt idx="278">
                  <c:v>197.93</c:v>
                </c:pt>
                <c:pt idx="279">
                  <c:v>186.4</c:v>
                </c:pt>
                <c:pt idx="280">
                  <c:v>192.73</c:v>
                </c:pt>
                <c:pt idx="281">
                  <c:v>190.83</c:v>
                </c:pt>
                <c:pt idx="282">
                  <c:v>188.39</c:v>
                </c:pt>
                <c:pt idx="283">
                  <c:v>187.83</c:v>
                </c:pt>
                <c:pt idx="284">
                  <c:v>186.38</c:v>
                </c:pt>
                <c:pt idx="285">
                  <c:v>184.71</c:v>
                </c:pt>
                <c:pt idx="286">
                  <c:v>189.7</c:v>
                </c:pt>
                <c:pt idx="287">
                  <c:v>189.07</c:v>
                </c:pt>
                <c:pt idx="288">
                  <c:v>188.99</c:v>
                </c:pt>
                <c:pt idx="289">
                  <c:v>187.53</c:v>
                </c:pt>
                <c:pt idx="290">
                  <c:v>186.89</c:v>
                </c:pt>
                <c:pt idx="291">
                  <c:v>187.69</c:v>
                </c:pt>
                <c:pt idx="292">
                  <c:v>187.54</c:v>
                </c:pt>
                <c:pt idx="293">
                  <c:v>188.82</c:v>
                </c:pt>
                <c:pt idx="294">
                  <c:v>186.65</c:v>
                </c:pt>
                <c:pt idx="295">
                  <c:v>185.17</c:v>
                </c:pt>
                <c:pt idx="296">
                  <c:v>182.72</c:v>
                </c:pt>
                <c:pt idx="297">
                  <c:v>180.8</c:v>
                </c:pt>
                <c:pt idx="298">
                  <c:v>186.51</c:v>
                </c:pt>
                <c:pt idx="299">
                  <c:v>181.96</c:v>
                </c:pt>
                <c:pt idx="300">
                  <c:v>184.76</c:v>
                </c:pt>
                <c:pt idx="301">
                  <c:v>185.13</c:v>
                </c:pt>
                <c:pt idx="302">
                  <c:v>186.33</c:v>
                </c:pt>
                <c:pt idx="303">
                  <c:v>187.97</c:v>
                </c:pt>
                <c:pt idx="304">
                  <c:v>191.16</c:v>
                </c:pt>
                <c:pt idx="305">
                  <c:v>192.53</c:v>
                </c:pt>
                <c:pt idx="306">
                  <c:v>193.96</c:v>
                </c:pt>
                <c:pt idx="307">
                  <c:v>193.88</c:v>
                </c:pt>
                <c:pt idx="308">
                  <c:v>191.6</c:v>
                </c:pt>
                <c:pt idx="309">
                  <c:v>189.87</c:v>
                </c:pt>
                <c:pt idx="310">
                  <c:v>186.43</c:v>
                </c:pt>
                <c:pt idx="311">
                  <c:v>186.88</c:v>
                </c:pt>
                <c:pt idx="312">
                  <c:v>184.89</c:v>
                </c:pt>
                <c:pt idx="313">
                  <c:v>186.49</c:v>
                </c:pt>
                <c:pt idx="314">
                  <c:v>187</c:v>
                </c:pt>
                <c:pt idx="315">
                  <c:v>184.52</c:v>
                </c:pt>
                <c:pt idx="316">
                  <c:v>179.55</c:v>
                </c:pt>
                <c:pt idx="317">
                  <c:v>175.4</c:v>
                </c:pt>
                <c:pt idx="318">
                  <c:v>171.39</c:v>
                </c:pt>
                <c:pt idx="319">
                  <c:v>177.89</c:v>
                </c:pt>
                <c:pt idx="320">
                  <c:v>173.33</c:v>
                </c:pt>
                <c:pt idx="321">
                  <c:v>176.25</c:v>
                </c:pt>
                <c:pt idx="322">
                  <c:v>178.5</c:v>
                </c:pt>
                <c:pt idx="323">
                  <c:v>172.12</c:v>
                </c:pt>
                <c:pt idx="324">
                  <c:v>170.8</c:v>
                </c:pt>
                <c:pt idx="325">
                  <c:v>173.12</c:v>
                </c:pt>
                <c:pt idx="326">
                  <c:v>175.5</c:v>
                </c:pt>
                <c:pt idx="327">
                  <c:v>177.04</c:v>
                </c:pt>
                <c:pt idx="328">
                  <c:v>176.13</c:v>
                </c:pt>
                <c:pt idx="329">
                  <c:v>180.11</c:v>
                </c:pt>
                <c:pt idx="330">
                  <c:v>178.88</c:v>
                </c:pt>
                <c:pt idx="331">
                  <c:v>178.22</c:v>
                </c:pt>
                <c:pt idx="332">
                  <c:v>177.06</c:v>
                </c:pt>
                <c:pt idx="333">
                  <c:v>177.59</c:v>
                </c:pt>
                <c:pt idx="334">
                  <c:v>170.1</c:v>
                </c:pt>
                <c:pt idx="335">
                  <c:v>170.23</c:v>
                </c:pt>
                <c:pt idx="336">
                  <c:v>166.8</c:v>
                </c:pt>
                <c:pt idx="337">
                  <c:v>166.94</c:v>
                </c:pt>
                <c:pt idx="338">
                  <c:v>165.8</c:v>
                </c:pt>
                <c:pt idx="339">
                  <c:v>162.77000000000001</c:v>
                </c:pt>
                <c:pt idx="340">
                  <c:v>161.93</c:v>
                </c:pt>
                <c:pt idx="341">
                  <c:v>161.02000000000001</c:v>
                </c:pt>
                <c:pt idx="342">
                  <c:v>167.9</c:v>
                </c:pt>
                <c:pt idx="343">
                  <c:v>184.07</c:v>
                </c:pt>
                <c:pt idx="344">
                  <c:v>186.98</c:v>
                </c:pt>
                <c:pt idx="345">
                  <c:v>181.71</c:v>
                </c:pt>
                <c:pt idx="346">
                  <c:v>183.2</c:v>
                </c:pt>
                <c:pt idx="347">
                  <c:v>182.5</c:v>
                </c:pt>
                <c:pt idx="348">
                  <c:v>179.85</c:v>
                </c:pt>
                <c:pt idx="349">
                  <c:v>180.83</c:v>
                </c:pt>
                <c:pt idx="350">
                  <c:v>186.41</c:v>
                </c:pt>
                <c:pt idx="351">
                  <c:v>182.55</c:v>
                </c:pt>
                <c:pt idx="352">
                  <c:v>183.13</c:v>
                </c:pt>
                <c:pt idx="353">
                  <c:v>183.75</c:v>
                </c:pt>
                <c:pt idx="354">
                  <c:v>187.93</c:v>
                </c:pt>
                <c:pt idx="355">
                  <c:v>193.02</c:v>
                </c:pt>
                <c:pt idx="356">
                  <c:v>192.72</c:v>
                </c:pt>
                <c:pt idx="357">
                  <c:v>194.49</c:v>
                </c:pt>
                <c:pt idx="358">
                  <c:v>195.05</c:v>
                </c:pt>
                <c:pt idx="359">
                  <c:v>199.79</c:v>
                </c:pt>
                <c:pt idx="360">
                  <c:v>199.34</c:v>
                </c:pt>
                <c:pt idx="361">
                  <c:v>199.29</c:v>
                </c:pt>
                <c:pt idx="362">
                  <c:v>200</c:v>
                </c:pt>
                <c:pt idx="363">
                  <c:v>197.59</c:v>
                </c:pt>
                <c:pt idx="364">
                  <c:v>200</c:v>
                </c:pt>
                <c:pt idx="365">
                  <c:v>197.2</c:v>
                </c:pt>
                <c:pt idx="366">
                  <c:v>193.25</c:v>
                </c:pt>
                <c:pt idx="367">
                  <c:v>197.85</c:v>
                </c:pt>
                <c:pt idx="368">
                  <c:v>193.61</c:v>
                </c:pt>
                <c:pt idx="369">
                  <c:v>186.34</c:v>
                </c:pt>
                <c:pt idx="370">
                  <c:v>185.57</c:v>
                </c:pt>
                <c:pt idx="371">
                  <c:v>189.08</c:v>
                </c:pt>
                <c:pt idx="372">
                  <c:v>186.1</c:v>
                </c:pt>
                <c:pt idx="373">
                  <c:v>182.81</c:v>
                </c:pt>
                <c:pt idx="374">
                  <c:v>184.06</c:v>
                </c:pt>
                <c:pt idx="375">
                  <c:v>183.66</c:v>
                </c:pt>
                <c:pt idx="376">
                  <c:v>183.83</c:v>
                </c:pt>
                <c:pt idx="377">
                  <c:v>186.89</c:v>
                </c:pt>
                <c:pt idx="378">
                  <c:v>187.23</c:v>
                </c:pt>
                <c:pt idx="379">
                  <c:v>187.06</c:v>
                </c:pt>
                <c:pt idx="380">
                  <c:v>184.3</c:v>
                </c:pt>
                <c:pt idx="381">
                  <c:v>185</c:v>
                </c:pt>
                <c:pt idx="382">
                  <c:v>181.28</c:v>
                </c:pt>
                <c:pt idx="383">
                  <c:v>179.34</c:v>
                </c:pt>
                <c:pt idx="384">
                  <c:v>178.34</c:v>
                </c:pt>
                <c:pt idx="385">
                  <c:v>176.44</c:v>
                </c:pt>
                <c:pt idx="386">
                  <c:v>179.32</c:v>
                </c:pt>
                <c:pt idx="387">
                  <c:v>182.02</c:v>
                </c:pt>
                <c:pt idx="388">
                  <c:v>182.15</c:v>
                </c:pt>
                <c:pt idx="389">
                  <c:v>180.75</c:v>
                </c:pt>
                <c:pt idx="390">
                  <c:v>181.05</c:v>
                </c:pt>
                <c:pt idx="391">
                  <c:v>183.13</c:v>
                </c:pt>
                <c:pt idx="392">
                  <c:v>183.15</c:v>
                </c:pt>
                <c:pt idx="393">
                  <c:v>183.54</c:v>
                </c:pt>
                <c:pt idx="394">
                  <c:v>184.7</c:v>
                </c:pt>
                <c:pt idx="395">
                  <c:v>183.63</c:v>
                </c:pt>
                <c:pt idx="396">
                  <c:v>185.99</c:v>
                </c:pt>
                <c:pt idx="397">
                  <c:v>187.07</c:v>
                </c:pt>
                <c:pt idx="398">
                  <c:v>186.57</c:v>
                </c:pt>
                <c:pt idx="399">
                  <c:v>187.48</c:v>
                </c:pt>
                <c:pt idx="400">
                  <c:v>189.5</c:v>
                </c:pt>
                <c:pt idx="401">
                  <c:v>188</c:v>
                </c:pt>
                <c:pt idx="402">
                  <c:v>188.76</c:v>
                </c:pt>
                <c:pt idx="403">
                  <c:v>188.7</c:v>
                </c:pt>
                <c:pt idx="404">
                  <c:v>186.21</c:v>
                </c:pt>
                <c:pt idx="405">
                  <c:v>184.72</c:v>
                </c:pt>
                <c:pt idx="406">
                  <c:v>179</c:v>
                </c:pt>
                <c:pt idx="407">
                  <c:v>175</c:v>
                </c:pt>
                <c:pt idx="408">
                  <c:v>180.96</c:v>
                </c:pt>
                <c:pt idx="409">
                  <c:v>179.62</c:v>
                </c:pt>
                <c:pt idx="410">
                  <c:v>173.67</c:v>
                </c:pt>
                <c:pt idx="411">
                  <c:v>176.59</c:v>
                </c:pt>
                <c:pt idx="412">
                  <c:v>179.54</c:v>
                </c:pt>
                <c:pt idx="413">
                  <c:v>177.23</c:v>
                </c:pt>
                <c:pt idx="414">
                  <c:v>174.63</c:v>
                </c:pt>
                <c:pt idx="415">
                  <c:v>179.22</c:v>
                </c:pt>
                <c:pt idx="416">
                  <c:v>181.28</c:v>
                </c:pt>
                <c:pt idx="417">
                  <c:v>183.32</c:v>
                </c:pt>
                <c:pt idx="418">
                  <c:v>183.62</c:v>
                </c:pt>
                <c:pt idx="419">
                  <c:v>186.13</c:v>
                </c:pt>
                <c:pt idx="420">
                  <c:v>189.05</c:v>
                </c:pt>
                <c:pt idx="421">
                  <c:v>185.95</c:v>
                </c:pt>
                <c:pt idx="422">
                  <c:v>185.67</c:v>
                </c:pt>
                <c:pt idx="423">
                  <c:v>185.19</c:v>
                </c:pt>
                <c:pt idx="424">
                  <c:v>185.07</c:v>
                </c:pt>
                <c:pt idx="425">
                  <c:v>180</c:v>
                </c:pt>
                <c:pt idx="426">
                  <c:v>182.41</c:v>
                </c:pt>
                <c:pt idx="427">
                  <c:v>180.69</c:v>
                </c:pt>
                <c:pt idx="428">
                  <c:v>180.97</c:v>
                </c:pt>
                <c:pt idx="429">
                  <c:v>180.38</c:v>
                </c:pt>
                <c:pt idx="430">
                  <c:v>179.83</c:v>
                </c:pt>
                <c:pt idx="431">
                  <c:v>178.3</c:v>
                </c:pt>
                <c:pt idx="432">
                  <c:v>179.71</c:v>
                </c:pt>
                <c:pt idx="433">
                  <c:v>178.87</c:v>
                </c:pt>
                <c:pt idx="434">
                  <c:v>178.15</c:v>
                </c:pt>
                <c:pt idx="435">
                  <c:v>178.15</c:v>
                </c:pt>
                <c:pt idx="436">
                  <c:v>175.9</c:v>
                </c:pt>
                <c:pt idx="437">
                  <c:v>174.48</c:v>
                </c:pt>
                <c:pt idx="438">
                  <c:v>174.42</c:v>
                </c:pt>
                <c:pt idx="439">
                  <c:v>178.75</c:v>
                </c:pt>
                <c:pt idx="440">
                  <c:v>176.56</c:v>
                </c:pt>
                <c:pt idx="441">
                  <c:v>175.39</c:v>
                </c:pt>
                <c:pt idx="442">
                  <c:v>171.96</c:v>
                </c:pt>
                <c:pt idx="443">
                  <c:v>175.35</c:v>
                </c:pt>
                <c:pt idx="444">
                  <c:v>176.82</c:v>
                </c:pt>
                <c:pt idx="445">
                  <c:v>173.51</c:v>
                </c:pt>
                <c:pt idx="446">
                  <c:v>174.12</c:v>
                </c:pt>
                <c:pt idx="447">
                  <c:v>177.58</c:v>
                </c:pt>
                <c:pt idx="448">
                  <c:v>178.22</c:v>
                </c:pt>
                <c:pt idx="449">
                  <c:v>176.76</c:v>
                </c:pt>
                <c:pt idx="450">
                  <c:v>173.16</c:v>
                </c:pt>
                <c:pt idx="451">
                  <c:v>173.54</c:v>
                </c:pt>
                <c:pt idx="452">
                  <c:v>174.73</c:v>
                </c:pt>
                <c:pt idx="453">
                  <c:v>174.99</c:v>
                </c:pt>
                <c:pt idx="454">
                  <c:v>174.58</c:v>
                </c:pt>
                <c:pt idx="455">
                  <c:v>168.59</c:v>
                </c:pt>
                <c:pt idx="456">
                  <c:v>167.08</c:v>
                </c:pt>
                <c:pt idx="457">
                  <c:v>169.51</c:v>
                </c:pt>
                <c:pt idx="458">
                  <c:v>169.8</c:v>
                </c:pt>
                <c:pt idx="459">
                  <c:v>170.98</c:v>
                </c:pt>
                <c:pt idx="460">
                  <c:v>168.64</c:v>
                </c:pt>
                <c:pt idx="461">
                  <c:v>172.34</c:v>
                </c:pt>
                <c:pt idx="462">
                  <c:v>174.45</c:v>
                </c:pt>
                <c:pt idx="463">
                  <c:v>169.84</c:v>
                </c:pt>
                <c:pt idx="464">
                  <c:v>170.53</c:v>
                </c:pt>
                <c:pt idx="465">
                  <c:v>169.15</c:v>
                </c:pt>
                <c:pt idx="466">
                  <c:v>170.31</c:v>
                </c:pt>
                <c:pt idx="467">
                  <c:v>171.81</c:v>
                </c:pt>
                <c:pt idx="468">
                  <c:v>159.28</c:v>
                </c:pt>
                <c:pt idx="469">
                  <c:v>155.19999999999999</c:v>
                </c:pt>
                <c:pt idx="470">
                  <c:v>159</c:v>
                </c:pt>
                <c:pt idx="471">
                  <c:v>161.26</c:v>
                </c:pt>
                <c:pt idx="472">
                  <c:v>159.12</c:v>
                </c:pt>
                <c:pt idx="473">
                  <c:v>157.75</c:v>
                </c:pt>
                <c:pt idx="474">
                  <c:v>156.87</c:v>
                </c:pt>
                <c:pt idx="475">
                  <c:v>156.02000000000001</c:v>
                </c:pt>
                <c:pt idx="476">
                  <c:v>154.78</c:v>
                </c:pt>
                <c:pt idx="477">
                  <c:v>155.34</c:v>
                </c:pt>
                <c:pt idx="478">
                  <c:v>153.5</c:v>
                </c:pt>
                <c:pt idx="479">
                  <c:v>151.71</c:v>
                </c:pt>
                <c:pt idx="480">
                  <c:v>153.16</c:v>
                </c:pt>
                <c:pt idx="481">
                  <c:v>154.62</c:v>
                </c:pt>
                <c:pt idx="482">
                  <c:v>155.18</c:v>
                </c:pt>
                <c:pt idx="483">
                  <c:v>153.72999999999999</c:v>
                </c:pt>
                <c:pt idx="484">
                  <c:v>151.37</c:v>
                </c:pt>
                <c:pt idx="485">
                  <c:v>149.1</c:v>
                </c:pt>
                <c:pt idx="486">
                  <c:v>145.24</c:v>
                </c:pt>
                <c:pt idx="487">
                  <c:v>144.57</c:v>
                </c:pt>
                <c:pt idx="488">
                  <c:v>148.47</c:v>
                </c:pt>
                <c:pt idx="489">
                  <c:v>149.93</c:v>
                </c:pt>
                <c:pt idx="490">
                  <c:v>151.94</c:v>
                </c:pt>
                <c:pt idx="491">
                  <c:v>153.38</c:v>
                </c:pt>
                <c:pt idx="492">
                  <c:v>153.34</c:v>
                </c:pt>
                <c:pt idx="493">
                  <c:v>153.41</c:v>
                </c:pt>
                <c:pt idx="494">
                  <c:v>153.41999999999999</c:v>
                </c:pt>
                <c:pt idx="495">
                  <c:v>153.84</c:v>
                </c:pt>
                <c:pt idx="496">
                  <c:v>152.12</c:v>
                </c:pt>
                <c:pt idx="497">
                  <c:v>153.79</c:v>
                </c:pt>
                <c:pt idx="498">
                  <c:v>154.07</c:v>
                </c:pt>
                <c:pt idx="499">
                  <c:v>149.97</c:v>
                </c:pt>
                <c:pt idx="500">
                  <c:v>147.41999999999999</c:v>
                </c:pt>
                <c:pt idx="501">
                  <c:v>148.84</c:v>
                </c:pt>
                <c:pt idx="502">
                  <c:v>147.47999999999999</c:v>
                </c:pt>
                <c:pt idx="503">
                  <c:v>145.88999999999999</c:v>
                </c:pt>
                <c:pt idx="504">
                  <c:v>147.41999999999999</c:v>
                </c:pt>
                <c:pt idx="505">
                  <c:v>146.88</c:v>
                </c:pt>
                <c:pt idx="506">
                  <c:v>144.52000000000001</c:v>
                </c:pt>
                <c:pt idx="507">
                  <c:v>146.88</c:v>
                </c:pt>
                <c:pt idx="508">
                  <c:v>144.84</c:v>
                </c:pt>
                <c:pt idx="509">
                  <c:v>147.03</c:v>
                </c:pt>
                <c:pt idx="510">
                  <c:v>146.09</c:v>
                </c:pt>
                <c:pt idx="511">
                  <c:v>146.32</c:v>
                </c:pt>
                <c:pt idx="512">
                  <c:v>147.03</c:v>
                </c:pt>
                <c:pt idx="513">
                  <c:v>147.72999999999999</c:v>
                </c:pt>
                <c:pt idx="514">
                  <c:v>146.74</c:v>
                </c:pt>
                <c:pt idx="515">
                  <c:v>146.71</c:v>
                </c:pt>
                <c:pt idx="516">
                  <c:v>143.9</c:v>
                </c:pt>
                <c:pt idx="517">
                  <c:v>146.13</c:v>
                </c:pt>
                <c:pt idx="518">
                  <c:v>145.18</c:v>
                </c:pt>
                <c:pt idx="519">
                  <c:v>142.83000000000001</c:v>
                </c:pt>
                <c:pt idx="520">
                  <c:v>143.19999999999999</c:v>
                </c:pt>
                <c:pt idx="521">
                  <c:v>145.80000000000001</c:v>
                </c:pt>
                <c:pt idx="522">
                  <c:v>142.59</c:v>
                </c:pt>
                <c:pt idx="523">
                  <c:v>143.56</c:v>
                </c:pt>
                <c:pt idx="524">
                  <c:v>140.6</c:v>
                </c:pt>
                <c:pt idx="525">
                  <c:v>142.08000000000001</c:v>
                </c:pt>
                <c:pt idx="526">
                  <c:v>142.71</c:v>
                </c:pt>
                <c:pt idx="527">
                  <c:v>139.74</c:v>
                </c:pt>
                <c:pt idx="528">
                  <c:v>138.6</c:v>
                </c:pt>
                <c:pt idx="529">
                  <c:v>138.07</c:v>
                </c:pt>
                <c:pt idx="530">
                  <c:v>137</c:v>
                </c:pt>
                <c:pt idx="531">
                  <c:v>133.09</c:v>
                </c:pt>
                <c:pt idx="532">
                  <c:v>132.71</c:v>
                </c:pt>
                <c:pt idx="533">
                  <c:v>127.74</c:v>
                </c:pt>
                <c:pt idx="534">
                  <c:v>119.57</c:v>
                </c:pt>
                <c:pt idx="535">
                  <c:v>121.39</c:v>
                </c:pt>
                <c:pt idx="536">
                  <c:v>128.56</c:v>
                </c:pt>
                <c:pt idx="537">
                  <c:v>126.56</c:v>
                </c:pt>
                <c:pt idx="538">
                  <c:v>125.17</c:v>
                </c:pt>
                <c:pt idx="539">
                  <c:v>128.4</c:v>
                </c:pt>
                <c:pt idx="540">
                  <c:v>128.13</c:v>
                </c:pt>
                <c:pt idx="541">
                  <c:v>131.47</c:v>
                </c:pt>
                <c:pt idx="542">
                  <c:v>132.55000000000001</c:v>
                </c:pt>
                <c:pt idx="543">
                  <c:v>129.79</c:v>
                </c:pt>
                <c:pt idx="544">
                  <c:v>132.33000000000001</c:v>
                </c:pt>
                <c:pt idx="545">
                  <c:v>131.83000000000001</c:v>
                </c:pt>
                <c:pt idx="546">
                  <c:v>129.47999999999999</c:v>
                </c:pt>
                <c:pt idx="547">
                  <c:v>128.26</c:v>
                </c:pt>
                <c:pt idx="548">
                  <c:v>127.96</c:v>
                </c:pt>
                <c:pt idx="549">
                  <c:v>125.96</c:v>
                </c:pt>
                <c:pt idx="550">
                  <c:v>127</c:v>
                </c:pt>
                <c:pt idx="551">
                  <c:v>124.72</c:v>
                </c:pt>
                <c:pt idx="552">
                  <c:v>129.46</c:v>
                </c:pt>
                <c:pt idx="553">
                  <c:v>127.12</c:v>
                </c:pt>
                <c:pt idx="554">
                  <c:v>125.98</c:v>
                </c:pt>
                <c:pt idx="555">
                  <c:v>125.98</c:v>
                </c:pt>
                <c:pt idx="556">
                  <c:v>125.98</c:v>
                </c:pt>
                <c:pt idx="557">
                  <c:v>131.27000000000001</c:v>
                </c:pt>
                <c:pt idx="558">
                  <c:v>129.12</c:v>
                </c:pt>
                <c:pt idx="559">
                  <c:v>129.33000000000001</c:v>
                </c:pt>
                <c:pt idx="560">
                  <c:v>135.29</c:v>
                </c:pt>
                <c:pt idx="561">
                  <c:v>137.63</c:v>
                </c:pt>
                <c:pt idx="562">
                  <c:v>139.97999999999999</c:v>
                </c:pt>
                <c:pt idx="563">
                  <c:v>140.38999999999999</c:v>
                </c:pt>
                <c:pt idx="564">
                  <c:v>144.72</c:v>
                </c:pt>
                <c:pt idx="565">
                  <c:v>144.85</c:v>
                </c:pt>
                <c:pt idx="566">
                  <c:v>141.22999999999999</c:v>
                </c:pt>
                <c:pt idx="567">
                  <c:v>143.1</c:v>
                </c:pt>
                <c:pt idx="568">
                  <c:v>138.22999999999999</c:v>
                </c:pt>
                <c:pt idx="569">
                  <c:v>137.85</c:v>
                </c:pt>
                <c:pt idx="570">
                  <c:v>135.36000000000001</c:v>
                </c:pt>
                <c:pt idx="571">
                  <c:v>137.27000000000001</c:v>
                </c:pt>
                <c:pt idx="572">
                  <c:v>138.12</c:v>
                </c:pt>
                <c:pt idx="573">
                  <c:v>138.01</c:v>
                </c:pt>
                <c:pt idx="574">
                  <c:v>135.07</c:v>
                </c:pt>
                <c:pt idx="575">
                  <c:v>134.91</c:v>
                </c:pt>
                <c:pt idx="576">
                  <c:v>133.13999999999999</c:v>
                </c:pt>
                <c:pt idx="577">
                  <c:v>133.26</c:v>
                </c:pt>
                <c:pt idx="578">
                  <c:v>131.84</c:v>
                </c:pt>
                <c:pt idx="579">
                  <c:v>135.52000000000001</c:v>
                </c:pt>
                <c:pt idx="580">
                  <c:v>134.25</c:v>
                </c:pt>
                <c:pt idx="581">
                  <c:v>134.68</c:v>
                </c:pt>
                <c:pt idx="582">
                  <c:v>133.22</c:v>
                </c:pt>
                <c:pt idx="583">
                  <c:v>133.97999999999999</c:v>
                </c:pt>
                <c:pt idx="584">
                  <c:v>135.07</c:v>
                </c:pt>
                <c:pt idx="585">
                  <c:v>137.66999999999999</c:v>
                </c:pt>
                <c:pt idx="586">
                  <c:v>140.57</c:v>
                </c:pt>
                <c:pt idx="587">
                  <c:v>138.41</c:v>
                </c:pt>
                <c:pt idx="588">
                  <c:v>138.56</c:v>
                </c:pt>
                <c:pt idx="589">
                  <c:v>137.85</c:v>
                </c:pt>
                <c:pt idx="590">
                  <c:v>139.94</c:v>
                </c:pt>
                <c:pt idx="591">
                  <c:v>142.22</c:v>
                </c:pt>
                <c:pt idx="592">
                  <c:v>139.57</c:v>
                </c:pt>
                <c:pt idx="593">
                  <c:v>128.91</c:v>
                </c:pt>
                <c:pt idx="594">
                  <c:v>128.21</c:v>
                </c:pt>
                <c:pt idx="595">
                  <c:v>131.69</c:v>
                </c:pt>
                <c:pt idx="596">
                  <c:v>133.68</c:v>
                </c:pt>
                <c:pt idx="597">
                  <c:v>132.21</c:v>
                </c:pt>
                <c:pt idx="598">
                  <c:v>128.25</c:v>
                </c:pt>
                <c:pt idx="599">
                  <c:v>128.15</c:v>
                </c:pt>
                <c:pt idx="600">
                  <c:v>129.13</c:v>
                </c:pt>
                <c:pt idx="601">
                  <c:v>128.80000000000001</c:v>
                </c:pt>
                <c:pt idx="602">
                  <c:v>130</c:v>
                </c:pt>
                <c:pt idx="603">
                  <c:v>129.96</c:v>
                </c:pt>
                <c:pt idx="604">
                  <c:v>135.36000000000001</c:v>
                </c:pt>
                <c:pt idx="605">
                  <c:v>132.83000000000001</c:v>
                </c:pt>
                <c:pt idx="606">
                  <c:v>133.56</c:v>
                </c:pt>
                <c:pt idx="607">
                  <c:v>134.68</c:v>
                </c:pt>
                <c:pt idx="608">
                  <c:v>134.30000000000001</c:v>
                </c:pt>
                <c:pt idx="609">
                  <c:v>130.80000000000001</c:v>
                </c:pt>
                <c:pt idx="610">
                  <c:v>128.78</c:v>
                </c:pt>
                <c:pt idx="611">
                  <c:v>127.13</c:v>
                </c:pt>
                <c:pt idx="612">
                  <c:v>129.78</c:v>
                </c:pt>
                <c:pt idx="613">
                  <c:v>128.36000000000001</c:v>
                </c:pt>
                <c:pt idx="614">
                  <c:v>130.38</c:v>
                </c:pt>
                <c:pt idx="615">
                  <c:v>130.22</c:v>
                </c:pt>
                <c:pt idx="616">
                  <c:v>130.36000000000001</c:v>
                </c:pt>
                <c:pt idx="617">
                  <c:v>127.9</c:v>
                </c:pt>
                <c:pt idx="618">
                  <c:v>129.04</c:v>
                </c:pt>
                <c:pt idx="619">
                  <c:v>129.18</c:v>
                </c:pt>
                <c:pt idx="620">
                  <c:v>127.33</c:v>
                </c:pt>
                <c:pt idx="621">
                  <c:v>129.33000000000001</c:v>
                </c:pt>
                <c:pt idx="622">
                  <c:v>130.15</c:v>
                </c:pt>
                <c:pt idx="623">
                  <c:v>124.83</c:v>
                </c:pt>
                <c:pt idx="624">
                  <c:v>125.78</c:v>
                </c:pt>
                <c:pt idx="625">
                  <c:v>125.49</c:v>
                </c:pt>
                <c:pt idx="626">
                  <c:v>127.11</c:v>
                </c:pt>
                <c:pt idx="627">
                  <c:v>126.42</c:v>
                </c:pt>
                <c:pt idx="628">
                  <c:v>126.66</c:v>
                </c:pt>
                <c:pt idx="629">
                  <c:v>126.57</c:v>
                </c:pt>
                <c:pt idx="630">
                  <c:v>123.43</c:v>
                </c:pt>
                <c:pt idx="631">
                  <c:v>124.25</c:v>
                </c:pt>
                <c:pt idx="632">
                  <c:v>121.23</c:v>
                </c:pt>
                <c:pt idx="633">
                  <c:v>126.61</c:v>
                </c:pt>
                <c:pt idx="634">
                  <c:v>125.3</c:v>
                </c:pt>
                <c:pt idx="635">
                  <c:v>124.25</c:v>
                </c:pt>
                <c:pt idx="636">
                  <c:v>122.77</c:v>
                </c:pt>
                <c:pt idx="637">
                  <c:v>120.58</c:v>
                </c:pt>
                <c:pt idx="638">
                  <c:v>121.66</c:v>
                </c:pt>
                <c:pt idx="639">
                  <c:v>120.11</c:v>
                </c:pt>
                <c:pt idx="640">
                  <c:v>115</c:v>
                </c:pt>
                <c:pt idx="641">
                  <c:v>116.75</c:v>
                </c:pt>
                <c:pt idx="642">
                  <c:v>114.99</c:v>
                </c:pt>
                <c:pt idx="643">
                  <c:v>115.01</c:v>
                </c:pt>
                <c:pt idx="644">
                  <c:v>116.25</c:v>
                </c:pt>
                <c:pt idx="645">
                  <c:v>118.15</c:v>
                </c:pt>
                <c:pt idx="646">
                  <c:v>115.5</c:v>
                </c:pt>
                <c:pt idx="647">
                  <c:v>113.4</c:v>
                </c:pt>
                <c:pt idx="648">
                  <c:v>111.2</c:v>
                </c:pt>
                <c:pt idx="649">
                  <c:v>110.26</c:v>
                </c:pt>
                <c:pt idx="650">
                  <c:v>112.18</c:v>
                </c:pt>
                <c:pt idx="651">
                  <c:v>110.19</c:v>
                </c:pt>
                <c:pt idx="652">
                  <c:v>106.62</c:v>
                </c:pt>
                <c:pt idx="653">
                  <c:v>105.83</c:v>
                </c:pt>
                <c:pt idx="654">
                  <c:v>105.66</c:v>
                </c:pt>
                <c:pt idx="655">
                  <c:v>104</c:v>
                </c:pt>
                <c:pt idx="656">
                  <c:v>103.65</c:v>
                </c:pt>
                <c:pt idx="657">
                  <c:v>103.63</c:v>
                </c:pt>
                <c:pt idx="658">
                  <c:v>102.05</c:v>
                </c:pt>
                <c:pt idx="659">
                  <c:v>105.45</c:v>
                </c:pt>
                <c:pt idx="660">
                  <c:v>109.82</c:v>
                </c:pt>
                <c:pt idx="661">
                  <c:v>104.98</c:v>
                </c:pt>
                <c:pt idx="662">
                  <c:v>102.57</c:v>
                </c:pt>
                <c:pt idx="663">
                  <c:v>106.21</c:v>
                </c:pt>
                <c:pt idx="664">
                  <c:v>106.96</c:v>
                </c:pt>
                <c:pt idx="665">
                  <c:v>103.81</c:v>
                </c:pt>
                <c:pt idx="666">
                  <c:v>104.3</c:v>
                </c:pt>
                <c:pt idx="667">
                  <c:v>102.3</c:v>
                </c:pt>
                <c:pt idx="668">
                  <c:v>102.74</c:v>
                </c:pt>
                <c:pt idx="669">
                  <c:v>102.51</c:v>
                </c:pt>
                <c:pt idx="670">
                  <c:v>102.4</c:v>
                </c:pt>
                <c:pt idx="671">
                  <c:v>97.83</c:v>
                </c:pt>
                <c:pt idx="672">
                  <c:v>99.92</c:v>
                </c:pt>
                <c:pt idx="673">
                  <c:v>102.17</c:v>
                </c:pt>
                <c:pt idx="674">
                  <c:v>102.06</c:v>
                </c:pt>
                <c:pt idx="675">
                  <c:v>101.1</c:v>
                </c:pt>
                <c:pt idx="676">
                  <c:v>103.95</c:v>
                </c:pt>
                <c:pt idx="677">
                  <c:v>102.41</c:v>
                </c:pt>
                <c:pt idx="678">
                  <c:v>103.29</c:v>
                </c:pt>
                <c:pt idx="679">
                  <c:v>102</c:v>
                </c:pt>
                <c:pt idx="680">
                  <c:v>100.25</c:v>
                </c:pt>
                <c:pt idx="681">
                  <c:v>97.24</c:v>
                </c:pt>
                <c:pt idx="682">
                  <c:v>98.04</c:v>
                </c:pt>
                <c:pt idx="683">
                  <c:v>98.13</c:v>
                </c:pt>
                <c:pt idx="684">
                  <c:v>98.71</c:v>
                </c:pt>
                <c:pt idx="685">
                  <c:v>98.7</c:v>
                </c:pt>
                <c:pt idx="686">
                  <c:v>100.61</c:v>
                </c:pt>
                <c:pt idx="687">
                  <c:v>97.71</c:v>
                </c:pt>
                <c:pt idx="688">
                  <c:v>98.95</c:v>
                </c:pt>
                <c:pt idx="689">
                  <c:v>100.04</c:v>
                </c:pt>
                <c:pt idx="690">
                  <c:v>218.71000699999999</c:v>
                </c:pt>
                <c:pt idx="691">
                  <c:v>96.2</c:v>
                </c:pt>
                <c:pt idx="692">
                  <c:v>217.259995</c:v>
                </c:pt>
                <c:pt idx="693">
                  <c:v>94.88</c:v>
                </c:pt>
                <c:pt idx="694">
                  <c:v>225.66999799999999</c:v>
                </c:pt>
                <c:pt idx="695">
                  <c:v>92.43</c:v>
                </c:pt>
                <c:pt idx="696">
                  <c:v>224.699997</c:v>
                </c:pt>
                <c:pt idx="697">
                  <c:v>90.73</c:v>
                </c:pt>
                <c:pt idx="698">
                  <c:v>227.009995</c:v>
                </c:pt>
                <c:pt idx="699">
                  <c:v>92.25</c:v>
                </c:pt>
                <c:pt idx="700">
                  <c:v>240.96000699999999</c:v>
                </c:pt>
                <c:pt idx="701">
                  <c:v>93.92</c:v>
                </c:pt>
                <c:pt idx="702">
                  <c:v>248.720001</c:v>
                </c:pt>
                <c:pt idx="703">
                  <c:v>93.55</c:v>
                </c:pt>
                <c:pt idx="704">
                  <c:v>246.13999899999999</c:v>
                </c:pt>
                <c:pt idx="705">
                  <c:v>93.75</c:v>
                </c:pt>
                <c:pt idx="706">
                  <c:v>253.979996</c:v>
                </c:pt>
                <c:pt idx="707">
                  <c:v>94.9</c:v>
                </c:pt>
                <c:pt idx="708">
                  <c:v>255.30999800000001</c:v>
                </c:pt>
                <c:pt idx="709">
                  <c:v>92.13</c:v>
                </c:pt>
                <c:pt idx="710">
                  <c:v>252.179993</c:v>
                </c:pt>
                <c:pt idx="711">
                  <c:v>92.17</c:v>
                </c:pt>
                <c:pt idx="712">
                  <c:v>248.66999799999999</c:v>
                </c:pt>
                <c:pt idx="713">
                  <c:v>94.23</c:v>
                </c:pt>
                <c:pt idx="714">
                  <c:v>239.550003</c:v>
                </c:pt>
                <c:pt idx="715">
                  <c:v>93.76</c:v>
                </c:pt>
                <c:pt idx="716">
                  <c:v>239.979996</c:v>
                </c:pt>
                <c:pt idx="717">
                  <c:v>93.5</c:v>
                </c:pt>
                <c:pt idx="718">
                  <c:v>236.16999799999999</c:v>
                </c:pt>
                <c:pt idx="719">
                  <c:v>95.82</c:v>
                </c:pt>
                <c:pt idx="720">
                  <c:v>237.949997</c:v>
                </c:pt>
                <c:pt idx="721">
                  <c:v>95.79</c:v>
                </c:pt>
                <c:pt idx="722">
                  <c:v>237.88999899999999</c:v>
                </c:pt>
                <c:pt idx="723">
                  <c:v>94.58</c:v>
                </c:pt>
                <c:pt idx="724">
                  <c:v>240.71000699999999</c:v>
                </c:pt>
                <c:pt idx="725">
                  <c:v>97.2</c:v>
                </c:pt>
                <c:pt idx="726">
                  <c:v>247.78999300000001</c:v>
                </c:pt>
                <c:pt idx="727">
                  <c:v>98.15</c:v>
                </c:pt>
                <c:pt idx="728">
                  <c:v>246.520004</c:v>
                </c:pt>
                <c:pt idx="729">
                  <c:v>101.16</c:v>
                </c:pt>
                <c:pt idx="730">
                  <c:v>248.699997</c:v>
                </c:pt>
                <c:pt idx="731">
                  <c:v>99.7</c:v>
                </c:pt>
                <c:pt idx="732">
                  <c:v>244.36000100000001</c:v>
                </c:pt>
                <c:pt idx="733">
                  <c:v>99.54</c:v>
                </c:pt>
                <c:pt idx="734">
                  <c:v>248.14999399999999</c:v>
                </c:pt>
                <c:pt idx="735">
                  <c:v>97.61</c:v>
                </c:pt>
                <c:pt idx="736">
                  <c:v>247.66999799999999</c:v>
                </c:pt>
                <c:pt idx="737">
                  <c:v>98.24</c:v>
                </c:pt>
                <c:pt idx="738">
                  <c:v>246.279999</c:v>
                </c:pt>
                <c:pt idx="739">
                  <c:v>100.05</c:v>
                </c:pt>
                <c:pt idx="740">
                  <c:v>248.86999499999999</c:v>
                </c:pt>
                <c:pt idx="741">
                  <c:v>102.11</c:v>
                </c:pt>
                <c:pt idx="742">
                  <c:v>249.66000399999999</c:v>
                </c:pt>
                <c:pt idx="743">
                  <c:v>102.18</c:v>
                </c:pt>
                <c:pt idx="744">
                  <c:v>251.41999799999999</c:v>
                </c:pt>
                <c:pt idx="745">
                  <c:v>103.39</c:v>
                </c:pt>
                <c:pt idx="746">
                  <c:v>247.759995</c:v>
                </c:pt>
                <c:pt idx="747">
                  <c:v>112.91</c:v>
                </c:pt>
                <c:pt idx="748">
                  <c:v>244.89999399999999</c:v>
                </c:pt>
                <c:pt idx="749">
                  <c:v>105.15</c:v>
                </c:pt>
                <c:pt idx="750">
                  <c:v>249.53999300000001</c:v>
                </c:pt>
                <c:pt idx="751">
                  <c:v>103.13</c:v>
                </c:pt>
                <c:pt idx="752">
                  <c:v>252.28999300000001</c:v>
                </c:pt>
                <c:pt idx="753">
                  <c:v>100.55</c:v>
                </c:pt>
                <c:pt idx="754">
                  <c:v>261.5</c:v>
                </c:pt>
                <c:pt idx="755">
                  <c:v>102.24</c:v>
                </c:pt>
                <c:pt idx="756">
                  <c:v>264.540009</c:v>
                </c:pt>
                <c:pt idx="757">
                  <c:v>99.22</c:v>
                </c:pt>
                <c:pt idx="758">
                  <c:v>262.11999500000002</c:v>
                </c:pt>
                <c:pt idx="759">
                  <c:v>97.18</c:v>
                </c:pt>
                <c:pt idx="760">
                  <c:v>258.44000199999999</c:v>
                </c:pt>
                <c:pt idx="761">
                  <c:v>96.32</c:v>
                </c:pt>
                <c:pt idx="762">
                  <c:v>257.60998499999999</c:v>
                </c:pt>
                <c:pt idx="763">
                  <c:v>97.52</c:v>
                </c:pt>
                <c:pt idx="764">
                  <c:v>252.699997</c:v>
                </c:pt>
                <c:pt idx="765">
                  <c:v>97.25</c:v>
                </c:pt>
                <c:pt idx="766">
                  <c:v>249.71000699999999</c:v>
                </c:pt>
                <c:pt idx="767">
                  <c:v>93.68</c:v>
                </c:pt>
                <c:pt idx="768">
                  <c:v>245.75</c:v>
                </c:pt>
                <c:pt idx="769">
                  <c:v>95.46</c:v>
                </c:pt>
                <c:pt idx="770">
                  <c:v>251.62001000000001</c:v>
                </c:pt>
                <c:pt idx="771">
                  <c:v>96.05</c:v>
                </c:pt>
                <c:pt idx="772">
                  <c:v>255.04368600000001</c:v>
                </c:pt>
                <c:pt idx="773">
                  <c:v>98.12</c:v>
                </c:pt>
                <c:pt idx="774">
                  <c:v>257.23321499999997</c:v>
                </c:pt>
                <c:pt idx="775">
                  <c:v>95.27</c:v>
                </c:pt>
                <c:pt idx="776">
                  <c:v>253.859329</c:v>
                </c:pt>
                <c:pt idx="777">
                  <c:v>95.09</c:v>
                </c:pt>
                <c:pt idx="778">
                  <c:v>249.539917</c:v>
                </c:pt>
                <c:pt idx="779">
                  <c:v>89.87</c:v>
                </c:pt>
                <c:pt idx="780">
                  <c:v>249.32096899999999</c:v>
                </c:pt>
                <c:pt idx="781">
                  <c:v>87.36</c:v>
                </c:pt>
                <c:pt idx="782">
                  <c:v>245.449432</c:v>
                </c:pt>
                <c:pt idx="783">
                  <c:v>86.08</c:v>
                </c:pt>
                <c:pt idx="784">
                  <c:v>247.67880199999999</c:v>
                </c:pt>
                <c:pt idx="785">
                  <c:v>83.12</c:v>
                </c:pt>
                <c:pt idx="786">
                  <c:v>239.13952599999999</c:v>
                </c:pt>
                <c:pt idx="787">
                  <c:v>85.14</c:v>
                </c:pt>
                <c:pt idx="788">
                  <c:v>240.21440100000001</c:v>
                </c:pt>
                <c:pt idx="789">
                  <c:v>85.82</c:v>
                </c:pt>
                <c:pt idx="790">
                  <c:v>237.74617000000001</c:v>
                </c:pt>
                <c:pt idx="791">
                  <c:v>84</c:v>
                </c:pt>
                <c:pt idx="792">
                  <c:v>238.422943</c:v>
                </c:pt>
                <c:pt idx="793">
                  <c:v>84.18</c:v>
                </c:pt>
                <c:pt idx="794">
                  <c:v>239.05990600000001</c:v>
                </c:pt>
                <c:pt idx="795">
                  <c:v>81.819999999999993</c:v>
                </c:pt>
                <c:pt idx="796">
                  <c:v>238.24380500000001</c:v>
                </c:pt>
                <c:pt idx="797">
                  <c:v>83.04</c:v>
                </c:pt>
                <c:pt idx="798">
                  <c:v>241.98594700000001</c:v>
                </c:pt>
                <c:pt idx="799">
                  <c:v>85.25</c:v>
                </c:pt>
                <c:pt idx="800">
                  <c:v>238.731461</c:v>
                </c:pt>
                <c:pt idx="801">
                  <c:v>83.79</c:v>
                </c:pt>
                <c:pt idx="802">
                  <c:v>236.412521</c:v>
                </c:pt>
                <c:pt idx="803">
                  <c:v>86.77</c:v>
                </c:pt>
                <c:pt idx="804">
                  <c:v>240.58264199999999</c:v>
                </c:pt>
                <c:pt idx="805">
                  <c:v>85.19</c:v>
                </c:pt>
                <c:pt idx="806">
                  <c:v>234.02392599999999</c:v>
                </c:pt>
                <c:pt idx="807">
                  <c:v>84.92</c:v>
                </c:pt>
                <c:pt idx="808">
                  <c:v>231.18743900000001</c:v>
                </c:pt>
                <c:pt idx="809">
                  <c:v>87.86</c:v>
                </c:pt>
                <c:pt idx="810">
                  <c:v>231.61541700000001</c:v>
                </c:pt>
                <c:pt idx="811">
                  <c:v>88.45</c:v>
                </c:pt>
                <c:pt idx="812">
                  <c:v>229.56518600000001</c:v>
                </c:pt>
                <c:pt idx="813">
                  <c:v>91.58</c:v>
                </c:pt>
                <c:pt idx="814">
                  <c:v>233.36705000000001</c:v>
                </c:pt>
                <c:pt idx="815">
                  <c:v>92.49</c:v>
                </c:pt>
                <c:pt idx="816">
                  <c:v>234.37226899999999</c:v>
                </c:pt>
                <c:pt idx="817">
                  <c:v>90.55</c:v>
                </c:pt>
                <c:pt idx="818">
                  <c:v>231.95379600000001</c:v>
                </c:pt>
                <c:pt idx="819">
                  <c:v>89.09</c:v>
                </c:pt>
                <c:pt idx="820">
                  <c:v>226.21118200000001</c:v>
                </c:pt>
                <c:pt idx="821">
                  <c:v>90.35</c:v>
                </c:pt>
                <c:pt idx="822">
                  <c:v>229.82394400000001</c:v>
                </c:pt>
                <c:pt idx="823">
                  <c:v>88.46</c:v>
                </c:pt>
                <c:pt idx="824">
                  <c:v>227.893158</c:v>
                </c:pt>
                <c:pt idx="825">
                  <c:v>88.25</c:v>
                </c:pt>
                <c:pt idx="826">
                  <c:v>227.206436</c:v>
                </c:pt>
                <c:pt idx="827">
                  <c:v>91.01</c:v>
                </c:pt>
                <c:pt idx="828">
                  <c:v>231.46612500000001</c:v>
                </c:pt>
                <c:pt idx="829">
                  <c:v>94.13</c:v>
                </c:pt>
                <c:pt idx="830">
                  <c:v>235.009232</c:v>
                </c:pt>
                <c:pt idx="831">
                  <c:v>95.5</c:v>
                </c:pt>
                <c:pt idx="832">
                  <c:v>234.57131999999999</c:v>
                </c:pt>
                <c:pt idx="833">
                  <c:v>96.54</c:v>
                </c:pt>
                <c:pt idx="834">
                  <c:v>235.287903</c:v>
                </c:pt>
                <c:pt idx="835">
                  <c:v>92.42</c:v>
                </c:pt>
                <c:pt idx="836">
                  <c:v>234.00401299999999</c:v>
                </c:pt>
                <c:pt idx="837">
                  <c:v>93.95</c:v>
                </c:pt>
                <c:pt idx="838">
                  <c:v>231.19740300000001</c:v>
                </c:pt>
                <c:pt idx="839">
                  <c:v>93.41</c:v>
                </c:pt>
                <c:pt idx="840">
                  <c:v>234.58126799999999</c:v>
                </c:pt>
                <c:pt idx="841">
                  <c:v>94.13</c:v>
                </c:pt>
                <c:pt idx="842">
                  <c:v>235.79547099999999</c:v>
                </c:pt>
                <c:pt idx="843">
                  <c:v>93.2</c:v>
                </c:pt>
                <c:pt idx="844">
                  <c:v>236.13385</c:v>
                </c:pt>
                <c:pt idx="845">
                  <c:v>92.46</c:v>
                </c:pt>
                <c:pt idx="846">
                  <c:v>231.06802400000001</c:v>
                </c:pt>
                <c:pt idx="847">
                  <c:v>94.14</c:v>
                </c:pt>
                <c:pt idx="848">
                  <c:v>230.33152799999999</c:v>
                </c:pt>
                <c:pt idx="849">
                  <c:v>94.85</c:v>
                </c:pt>
                <c:pt idx="850">
                  <c:v>229.346237</c:v>
                </c:pt>
                <c:pt idx="851">
                  <c:v>97.12</c:v>
                </c:pt>
                <c:pt idx="852">
                  <c:v>231.316833</c:v>
                </c:pt>
                <c:pt idx="853">
                  <c:v>98.94</c:v>
                </c:pt>
                <c:pt idx="854">
                  <c:v>233.47653199999999</c:v>
                </c:pt>
                <c:pt idx="855">
                  <c:v>98.49</c:v>
                </c:pt>
                <c:pt idx="856">
                  <c:v>235.37747200000001</c:v>
                </c:pt>
                <c:pt idx="857">
                  <c:v>100.79</c:v>
                </c:pt>
                <c:pt idx="858">
                  <c:v>235.36752300000001</c:v>
                </c:pt>
                <c:pt idx="859">
                  <c:v>96.63</c:v>
                </c:pt>
                <c:pt idx="860">
                  <c:v>231.34669500000001</c:v>
                </c:pt>
                <c:pt idx="861">
                  <c:v>86.14</c:v>
                </c:pt>
                <c:pt idx="862">
                  <c:v>224.469482</c:v>
                </c:pt>
                <c:pt idx="863">
                  <c:v>89.98</c:v>
                </c:pt>
                <c:pt idx="864">
                  <c:v>228.719223</c:v>
                </c:pt>
                <c:pt idx="865">
                  <c:v>90.53</c:v>
                </c:pt>
                <c:pt idx="866">
                  <c:v>227.52491800000001</c:v>
                </c:pt>
                <c:pt idx="867">
                  <c:v>90.98</c:v>
                </c:pt>
                <c:pt idx="868">
                  <c:v>226.76852400000001</c:v>
                </c:pt>
                <c:pt idx="869">
                  <c:v>89.3</c:v>
                </c:pt>
                <c:pt idx="870">
                  <c:v>218.21928399999999</c:v>
                </c:pt>
                <c:pt idx="871">
                  <c:v>92.12</c:v>
                </c:pt>
                <c:pt idx="872">
                  <c:v>213.52169799999999</c:v>
                </c:pt>
                <c:pt idx="873">
                  <c:v>96.79</c:v>
                </c:pt>
                <c:pt idx="874">
                  <c:v>217.462906</c:v>
                </c:pt>
                <c:pt idx="875">
                  <c:v>102.44</c:v>
                </c:pt>
                <c:pt idx="876">
                  <c:v>215.43258700000001</c:v>
                </c:pt>
                <c:pt idx="877">
                  <c:v>103.41</c:v>
                </c:pt>
                <c:pt idx="878">
                  <c:v>218.29892000000001</c:v>
                </c:pt>
                <c:pt idx="879">
                  <c:v>110.96</c:v>
                </c:pt>
                <c:pt idx="880">
                  <c:v>211.13308699999999</c:v>
                </c:pt>
                <c:pt idx="881">
                  <c:v>115.66</c:v>
                </c:pt>
                <c:pt idx="882">
                  <c:v>196.02514600000001</c:v>
                </c:pt>
                <c:pt idx="883">
                  <c:v>120.6</c:v>
                </c:pt>
                <c:pt idx="884">
                  <c:v>193.91520700000001</c:v>
                </c:pt>
                <c:pt idx="885">
                  <c:v>119.82</c:v>
                </c:pt>
                <c:pt idx="886">
                  <c:v>190.39201399999999</c:v>
                </c:pt>
                <c:pt idx="887">
                  <c:v>119.32</c:v>
                </c:pt>
                <c:pt idx="888">
                  <c:v>189.317139</c:v>
                </c:pt>
                <c:pt idx="889">
                  <c:v>115.25</c:v>
                </c:pt>
                <c:pt idx="890">
                  <c:v>178.488754</c:v>
                </c:pt>
                <c:pt idx="891">
                  <c:v>115.07</c:v>
                </c:pt>
                <c:pt idx="892">
                  <c:v>182.31480400000001</c:v>
                </c:pt>
                <c:pt idx="893">
                  <c:v>116.36</c:v>
                </c:pt>
                <c:pt idx="894">
                  <c:v>181.46456900000001</c:v>
                </c:pt>
                <c:pt idx="895">
                  <c:v>113.79</c:v>
                </c:pt>
                <c:pt idx="896">
                  <c:v>178.74581900000001</c:v>
                </c:pt>
                <c:pt idx="897">
                  <c:v>106.9</c:v>
                </c:pt>
                <c:pt idx="898">
                  <c:v>176.16546600000001</c:v>
                </c:pt>
                <c:pt idx="899">
                  <c:v>112.53</c:v>
                </c:pt>
                <c:pt idx="900">
                  <c:v>181.059235</c:v>
                </c:pt>
                <c:pt idx="901">
                  <c:v>112.9</c:v>
                </c:pt>
                <c:pt idx="902">
                  <c:v>177.460587</c:v>
                </c:pt>
                <c:pt idx="903">
                  <c:v>112.21</c:v>
                </c:pt>
                <c:pt idx="904">
                  <c:v>177.70774800000001</c:v>
                </c:pt>
                <c:pt idx="905">
                  <c:v>113.67</c:v>
                </c:pt>
                <c:pt idx="906">
                  <c:v>176.64001500000001</c:v>
                </c:pt>
                <c:pt idx="907">
                  <c:v>114.56</c:v>
                </c:pt>
                <c:pt idx="908">
                  <c:v>175.53274500000001</c:v>
                </c:pt>
                <c:pt idx="909">
                  <c:v>120.3</c:v>
                </c:pt>
                <c:pt idx="910">
                  <c:v>176.77842699999999</c:v>
                </c:pt>
                <c:pt idx="911">
                  <c:v>120.95</c:v>
                </c:pt>
                <c:pt idx="912">
                  <c:v>176.35330200000001</c:v>
                </c:pt>
                <c:pt idx="913">
                  <c:v>121.09</c:v>
                </c:pt>
                <c:pt idx="914">
                  <c:v>177.589111</c:v>
                </c:pt>
                <c:pt idx="915">
                  <c:v>115.88</c:v>
                </c:pt>
                <c:pt idx="916">
                  <c:v>169.28454600000001</c:v>
                </c:pt>
                <c:pt idx="917">
                  <c:v>113</c:v>
                </c:pt>
                <c:pt idx="918">
                  <c:v>162.21577500000001</c:v>
                </c:pt>
                <c:pt idx="919">
                  <c:v>114.8</c:v>
                </c:pt>
                <c:pt idx="920">
                  <c:v>164.015106</c:v>
                </c:pt>
                <c:pt idx="921">
                  <c:v>118.01</c:v>
                </c:pt>
                <c:pt idx="922">
                  <c:v>165.85395800000001</c:v>
                </c:pt>
                <c:pt idx="923">
                  <c:v>114.41</c:v>
                </c:pt>
                <c:pt idx="924">
                  <c:v>160.59442100000001</c:v>
                </c:pt>
                <c:pt idx="925">
                  <c:v>115.15</c:v>
                </c:pt>
                <c:pt idx="926">
                  <c:v>160.77235400000001</c:v>
                </c:pt>
                <c:pt idx="927">
                  <c:v>113.78</c:v>
                </c:pt>
                <c:pt idx="928">
                  <c:v>162.37397799999999</c:v>
                </c:pt>
                <c:pt idx="929">
                  <c:v>117.31</c:v>
                </c:pt>
                <c:pt idx="930">
                  <c:v>168.61227400000001</c:v>
                </c:pt>
                <c:pt idx="931">
                  <c:v>118.54</c:v>
                </c:pt>
                <c:pt idx="932">
                  <c:v>169.996353</c:v>
                </c:pt>
                <c:pt idx="933">
                  <c:v>122.19</c:v>
                </c:pt>
                <c:pt idx="934">
                  <c:v>175.96774300000001</c:v>
                </c:pt>
                <c:pt idx="935">
                  <c:v>124.66</c:v>
                </c:pt>
                <c:pt idx="936">
                  <c:v>180.04093900000001</c:v>
                </c:pt>
                <c:pt idx="937">
                  <c:v>123.53</c:v>
                </c:pt>
                <c:pt idx="938">
                  <c:v>177.430939</c:v>
                </c:pt>
                <c:pt idx="939">
                  <c:v>126.28</c:v>
                </c:pt>
                <c:pt idx="940">
                  <c:v>180.41662600000001</c:v>
                </c:pt>
                <c:pt idx="941">
                  <c:v>128.55000000000001</c:v>
                </c:pt>
                <c:pt idx="942">
                  <c:v>182.552063</c:v>
                </c:pt>
                <c:pt idx="943">
                  <c:v>126.82</c:v>
                </c:pt>
                <c:pt idx="944">
                  <c:v>182.21592699999999</c:v>
                </c:pt>
                <c:pt idx="945">
                  <c:v>136.44999999999999</c:v>
                </c:pt>
                <c:pt idx="946">
                  <c:v>190.21400499999999</c:v>
                </c:pt>
                <c:pt idx="947">
                  <c:v>133.27000000000001</c:v>
                </c:pt>
                <c:pt idx="948">
                  <c:v>187.337097</c:v>
                </c:pt>
                <c:pt idx="949">
                  <c:v>129.82</c:v>
                </c:pt>
                <c:pt idx="950">
                  <c:v>181.06912199999999</c:v>
                </c:pt>
                <c:pt idx="951">
                  <c:v>129.47999999999999</c:v>
                </c:pt>
                <c:pt idx="952">
                  <c:v>178.80512999999999</c:v>
                </c:pt>
                <c:pt idx="953">
                  <c:v>126.11</c:v>
                </c:pt>
                <c:pt idx="954">
                  <c:v>178.60740699999999</c:v>
                </c:pt>
                <c:pt idx="955">
                  <c:v>127.51</c:v>
                </c:pt>
                <c:pt idx="956">
                  <c:v>178.77546699999999</c:v>
                </c:pt>
                <c:pt idx="957">
                  <c:v>127.82</c:v>
                </c:pt>
                <c:pt idx="958">
                  <c:v>180.367188</c:v>
                </c:pt>
                <c:pt idx="959">
                  <c:v>126.77</c:v>
                </c:pt>
                <c:pt idx="960">
                  <c:v>182.61140399999999</c:v>
                </c:pt>
                <c:pt idx="961">
                  <c:v>128.72999999999999</c:v>
                </c:pt>
                <c:pt idx="962">
                  <c:v>184.81605500000001</c:v>
                </c:pt>
                <c:pt idx="963">
                  <c:v>129.79</c:v>
                </c:pt>
                <c:pt idx="964">
                  <c:v>189.60105899999999</c:v>
                </c:pt>
                <c:pt idx="965">
                  <c:v>130.75</c:v>
                </c:pt>
                <c:pt idx="966">
                  <c:v>189.73947100000001</c:v>
                </c:pt>
                <c:pt idx="967">
                  <c:v>137.28</c:v>
                </c:pt>
                <c:pt idx="968">
                  <c:v>196.620407</c:v>
                </c:pt>
                <c:pt idx="969">
                  <c:v>133.80000000000001</c:v>
                </c:pt>
                <c:pt idx="970">
                  <c:v>191.95404099999999</c:v>
                </c:pt>
                <c:pt idx="971">
                  <c:v>133.62</c:v>
                </c:pt>
                <c:pt idx="972">
                  <c:v>194.96937600000001</c:v>
                </c:pt>
                <c:pt idx="973">
                  <c:v>133.22</c:v>
                </c:pt>
                <c:pt idx="974">
                  <c:v>189.58128400000001</c:v>
                </c:pt>
                <c:pt idx="975">
                  <c:v>138.22999999999999</c:v>
                </c:pt>
                <c:pt idx="976">
                  <c:v>193.37766999999999</c:v>
                </c:pt>
                <c:pt idx="977">
                  <c:v>142.30000000000001</c:v>
                </c:pt>
                <c:pt idx="978">
                  <c:v>195.107788</c:v>
                </c:pt>
                <c:pt idx="979">
                  <c:v>142.1</c:v>
                </c:pt>
                <c:pt idx="980">
                  <c:v>193.70391799999999</c:v>
                </c:pt>
                <c:pt idx="981">
                  <c:v>144.78</c:v>
                </c:pt>
                <c:pt idx="982">
                  <c:v>195.275848</c:v>
                </c:pt>
                <c:pt idx="983">
                  <c:v>143.18</c:v>
                </c:pt>
                <c:pt idx="984">
                  <c:v>193.723679</c:v>
                </c:pt>
                <c:pt idx="985">
                  <c:v>143.55000000000001</c:v>
                </c:pt>
                <c:pt idx="986">
                  <c:v>194.60356100000001</c:v>
                </c:pt>
                <c:pt idx="987">
                  <c:v>140.63999999999999</c:v>
                </c:pt>
                <c:pt idx="988">
                  <c:v>191.79583700000001</c:v>
                </c:pt>
                <c:pt idx="989">
                  <c:v>142.69</c:v>
                </c:pt>
                <c:pt idx="990">
                  <c:v>188.553101</c:v>
                </c:pt>
                <c:pt idx="991">
                  <c:v>137.83000000000001</c:v>
                </c:pt>
                <c:pt idx="992">
                  <c:v>183.91639699999999</c:v>
                </c:pt>
                <c:pt idx="993">
                  <c:v>139.41</c:v>
                </c:pt>
                <c:pt idx="994">
                  <c:v>183.69889800000001</c:v>
                </c:pt>
                <c:pt idx="995">
                  <c:v>140.80000000000001</c:v>
                </c:pt>
                <c:pt idx="996">
                  <c:v>183.283661</c:v>
                </c:pt>
                <c:pt idx="997">
                  <c:v>142.57</c:v>
                </c:pt>
                <c:pt idx="998">
                  <c:v>181.55354299999999</c:v>
                </c:pt>
                <c:pt idx="999">
                  <c:v>139.52000000000001</c:v>
                </c:pt>
                <c:pt idx="1000">
                  <c:v>180.79229699999999</c:v>
                </c:pt>
                <c:pt idx="1001">
                  <c:v>134.16</c:v>
                </c:pt>
                <c:pt idx="1002">
                  <c:v>181.42501799999999</c:v>
                </c:pt>
                <c:pt idx="1003">
                  <c:v>135.38999999999999</c:v>
                </c:pt>
                <c:pt idx="1004">
                  <c:v>192.646072</c:v>
                </c:pt>
                <c:pt idx="1005">
                  <c:v>134.94999999999999</c:v>
                </c:pt>
                <c:pt idx="1006">
                  <c:v>195.997559</c:v>
                </c:pt>
                <c:pt idx="1007">
                  <c:v>122.28</c:v>
                </c:pt>
                <c:pt idx="1008">
                  <c:v>185.705826</c:v>
                </c:pt>
                <c:pt idx="1009">
                  <c:v>120.97</c:v>
                </c:pt>
                <c:pt idx="1010">
                  <c:v>183.145264</c:v>
                </c:pt>
                <c:pt idx="1011">
                  <c:v>114.81</c:v>
                </c:pt>
                <c:pt idx="1012">
                  <c:v>179.170929</c:v>
                </c:pt>
                <c:pt idx="1013">
                  <c:v>121.14</c:v>
                </c:pt>
                <c:pt idx="1014">
                  <c:v>179.744339</c:v>
                </c:pt>
                <c:pt idx="1015">
                  <c:v>122.42</c:v>
                </c:pt>
                <c:pt idx="1016">
                  <c:v>176.590576</c:v>
                </c:pt>
                <c:pt idx="1017">
                  <c:v>124.63</c:v>
                </c:pt>
                <c:pt idx="1018">
                  <c:v>178.93365499999999</c:v>
                </c:pt>
                <c:pt idx="1019">
                  <c:v>122.77</c:v>
                </c:pt>
                <c:pt idx="1020">
                  <c:v>177.92524700000001</c:v>
                </c:pt>
                <c:pt idx="1021">
                  <c:v>118.21</c:v>
                </c:pt>
                <c:pt idx="1022">
                  <c:v>177.45069899999999</c:v>
                </c:pt>
                <c:pt idx="1023">
                  <c:v>113.76</c:v>
                </c:pt>
                <c:pt idx="1024">
                  <c:v>170.33248900000001</c:v>
                </c:pt>
                <c:pt idx="1025">
                  <c:v>113.55</c:v>
                </c:pt>
                <c:pt idx="1026">
                  <c:v>170.224503</c:v>
                </c:pt>
                <c:pt idx="1027">
                  <c:v>110.63</c:v>
                </c:pt>
                <c:pt idx="1028">
                  <c:v>166.84710699999999</c:v>
                </c:pt>
                <c:pt idx="1029">
                  <c:v>110.4</c:v>
                </c:pt>
                <c:pt idx="1030">
                  <c:v>170.70558199999999</c:v>
                </c:pt>
                <c:pt idx="1031">
                  <c:v>109.22</c:v>
                </c:pt>
                <c:pt idx="1032">
                  <c:v>171.314301</c:v>
                </c:pt>
                <c:pt idx="1033">
                  <c:v>111.75</c:v>
                </c:pt>
                <c:pt idx="1034">
                  <c:v>171.83467099999999</c:v>
                </c:pt>
                <c:pt idx="1035">
                  <c:v>115.54</c:v>
                </c:pt>
                <c:pt idx="1036">
                  <c:v>175.840408</c:v>
                </c:pt>
                <c:pt idx="1037">
                  <c:v>116.33</c:v>
                </c:pt>
                <c:pt idx="1038">
                  <c:v>176.99891700000001</c:v>
                </c:pt>
                <c:pt idx="1039">
                  <c:v>114.33</c:v>
                </c:pt>
                <c:pt idx="1040">
                  <c:v>169.17396500000001</c:v>
                </c:pt>
                <c:pt idx="1041">
                  <c:v>113.5</c:v>
                </c:pt>
                <c:pt idx="1042">
                  <c:v>170.59757999999999</c:v>
                </c:pt>
                <c:pt idx="1043">
                  <c:v>109.56</c:v>
                </c:pt>
                <c:pt idx="1044">
                  <c:v>175.04513499999999</c:v>
                </c:pt>
                <c:pt idx="1045">
                  <c:v>106.21</c:v>
                </c:pt>
                <c:pt idx="1046">
                  <c:v>175.50659200000001</c:v>
                </c:pt>
                <c:pt idx="1047">
                  <c:v>108.92</c:v>
                </c:pt>
                <c:pt idx="1048">
                  <c:v>180.14068599999999</c:v>
                </c:pt>
                <c:pt idx="1049">
                  <c:v>107.4</c:v>
                </c:pt>
                <c:pt idx="1050">
                  <c:v>184.02862500000001</c:v>
                </c:pt>
                <c:pt idx="1051">
                  <c:v>113.22</c:v>
                </c:pt>
                <c:pt idx="1052">
                  <c:v>184.17588799999999</c:v>
                </c:pt>
                <c:pt idx="1053">
                  <c:v>116.46</c:v>
                </c:pt>
                <c:pt idx="1054">
                  <c:v>182.11412000000001</c:v>
                </c:pt>
                <c:pt idx="1055">
                  <c:v>112.44</c:v>
                </c:pt>
                <c:pt idx="1056">
                  <c:v>175.418228</c:v>
                </c:pt>
                <c:pt idx="1057">
                  <c:v>108.95</c:v>
                </c:pt>
                <c:pt idx="1058">
                  <c:v>184.41151400000001</c:v>
                </c:pt>
                <c:pt idx="1059">
                  <c:v>108.68</c:v>
                </c:pt>
                <c:pt idx="1060">
                  <c:v>192.796097</c:v>
                </c:pt>
                <c:pt idx="1061">
                  <c:v>106.22</c:v>
                </c:pt>
                <c:pt idx="1062">
                  <c:v>189.133972</c:v>
                </c:pt>
                <c:pt idx="1063">
                  <c:v>103.66</c:v>
                </c:pt>
                <c:pt idx="1064">
                  <c:v>191.244843</c:v>
                </c:pt>
                <c:pt idx="1065">
                  <c:v>107.67</c:v>
                </c:pt>
                <c:pt idx="1066">
                  <c:v>202.25082399999999</c:v>
                </c:pt>
                <c:pt idx="1067">
                  <c:v>102.31</c:v>
                </c:pt>
                <c:pt idx="1068">
                  <c:v>202.92828399999999</c:v>
                </c:pt>
                <c:pt idx="1069">
                  <c:v>103.67</c:v>
                </c:pt>
                <c:pt idx="1070">
                  <c:v>203.114822</c:v>
                </c:pt>
                <c:pt idx="1071">
                  <c:v>109.65</c:v>
                </c:pt>
                <c:pt idx="1072">
                  <c:v>211.263733</c:v>
                </c:pt>
                <c:pt idx="1073">
                  <c:v>116.15</c:v>
                </c:pt>
                <c:pt idx="1074">
                  <c:v>219.59922800000001</c:v>
                </c:pt>
                <c:pt idx="1075">
                  <c:v>121.18</c:v>
                </c:pt>
                <c:pt idx="1076">
                  <c:v>225.61767599999999</c:v>
                </c:pt>
                <c:pt idx="1077">
                  <c:v>123</c:v>
                </c:pt>
                <c:pt idx="1078">
                  <c:v>222.966812</c:v>
                </c:pt>
                <c:pt idx="1080">
                  <c:v>124.79</c:v>
                </c:pt>
                <c:pt idx="1081">
                  <c:v>219.55995200000001</c:v>
                </c:pt>
                <c:pt idx="1082">
                  <c:v>122.35</c:v>
                </c:pt>
                <c:pt idx="1083">
                  <c:v>218.843231</c:v>
                </c:pt>
                <c:pt idx="1084">
                  <c:v>125.51</c:v>
                </c:pt>
                <c:pt idx="1085">
                  <c:v>215.99603300000001</c:v>
                </c:pt>
                <c:pt idx="1086">
                  <c:v>121.68</c:v>
                </c:pt>
                <c:pt idx="1087">
                  <c:v>213.61026000000001</c:v>
                </c:pt>
                <c:pt idx="1088">
                  <c:v>120.21</c:v>
                </c:pt>
                <c:pt idx="1089">
                  <c:v>211.92155500000001</c:v>
                </c:pt>
                <c:pt idx="1090">
                  <c:v>115.15</c:v>
                </c:pt>
                <c:pt idx="1091">
                  <c:v>213.18808000000001</c:v>
                </c:pt>
                <c:pt idx="1092">
                  <c:v>111.08</c:v>
                </c:pt>
                <c:pt idx="1093">
                  <c:v>209.11360199999999</c:v>
                </c:pt>
                <c:pt idx="1094">
                  <c:v>106.78</c:v>
                </c:pt>
                <c:pt idx="1095">
                  <c:v>205.50058000000001</c:v>
                </c:pt>
                <c:pt idx="1096">
                  <c:v>104.1</c:v>
                </c:pt>
                <c:pt idx="1097">
                  <c:v>201.907196</c:v>
                </c:pt>
                <c:pt idx="1098">
                  <c:v>107.56</c:v>
                </c:pt>
                <c:pt idx="1099">
                  <c:v>200.434494</c:v>
                </c:pt>
                <c:pt idx="1100">
                  <c:v>107.59</c:v>
                </c:pt>
                <c:pt idx="1101">
                  <c:v>194.21971099999999</c:v>
                </c:pt>
                <c:pt idx="1102">
                  <c:v>107.32</c:v>
                </c:pt>
                <c:pt idx="1103">
                  <c:v>202.99697900000001</c:v>
                </c:pt>
                <c:pt idx="1104">
                  <c:v>107.11</c:v>
                </c:pt>
                <c:pt idx="1105">
                  <c:v>204.15553299999999</c:v>
                </c:pt>
                <c:pt idx="1106">
                  <c:v>115.37</c:v>
                </c:pt>
                <c:pt idx="1107">
                  <c:v>209.211792</c:v>
                </c:pt>
                <c:pt idx="1108">
                  <c:v>110.81</c:v>
                </c:pt>
                <c:pt idx="1109">
                  <c:v>203.419174</c:v>
                </c:pt>
                <c:pt idx="1110">
                  <c:v>113.06</c:v>
                </c:pt>
                <c:pt idx="1111">
                  <c:v>200.611221</c:v>
                </c:pt>
                <c:pt idx="1112">
                  <c:v>106.93</c:v>
                </c:pt>
                <c:pt idx="1113">
                  <c:v>199.33488500000001</c:v>
                </c:pt>
                <c:pt idx="1114">
                  <c:v>105.37</c:v>
                </c:pt>
                <c:pt idx="1115">
                  <c:v>201.47520399999999</c:v>
                </c:pt>
                <c:pt idx="1116">
                  <c:v>108.86</c:v>
                </c:pt>
                <c:pt idx="1117">
                  <c:v>199.29560900000001</c:v>
                </c:pt>
                <c:pt idx="1118">
                  <c:v>108.79</c:v>
                </c:pt>
                <c:pt idx="1119">
                  <c:v>202.535538</c:v>
                </c:pt>
                <c:pt idx="1120">
                  <c:v>114.77</c:v>
                </c:pt>
                <c:pt idx="1121">
                  <c:v>210.74337800000001</c:v>
                </c:pt>
                <c:pt idx="1122">
                  <c:v>116.41</c:v>
                </c:pt>
                <c:pt idx="1123">
                  <c:v>212.00010700000001</c:v>
                </c:pt>
                <c:pt idx="1124">
                  <c:v>125.93</c:v>
                </c:pt>
                <c:pt idx="1125">
                  <c:v>218.53887900000001</c:v>
                </c:pt>
                <c:pt idx="1126">
                  <c:v>124.25</c:v>
                </c:pt>
                <c:pt idx="1127">
                  <c:v>209.732147</c:v>
                </c:pt>
                <c:pt idx="1128">
                  <c:v>124.5</c:v>
                </c:pt>
                <c:pt idx="1129">
                  <c:v>208.21035800000001</c:v>
                </c:pt>
                <c:pt idx="1130">
                  <c:v>124.28</c:v>
                </c:pt>
                <c:pt idx="1131">
                  <c:v>206.70817600000001</c:v>
                </c:pt>
                <c:pt idx="1132">
                  <c:v>144.6</c:v>
                </c:pt>
                <c:pt idx="1133">
                  <c:v>208.573624</c:v>
                </c:pt>
                <c:pt idx="1134">
                  <c:v>138.16999999999999</c:v>
                </c:pt>
                <c:pt idx="1135">
                  <c:v>210.06596400000001</c:v>
                </c:pt>
                <c:pt idx="1136">
                  <c:v>139.38999999999999</c:v>
                </c:pt>
                <c:pt idx="1137">
                  <c:v>206.472565</c:v>
                </c:pt>
                <c:pt idx="1138">
                  <c:v>146.07</c:v>
                </c:pt>
                <c:pt idx="1139">
                  <c:v>212.75608800000001</c:v>
                </c:pt>
                <c:pt idx="1140">
                  <c:v>144.35</c:v>
                </c:pt>
                <c:pt idx="1141">
                  <c:v>212.36335800000001</c:v>
                </c:pt>
                <c:pt idx="1142">
                  <c:v>148.30000000000001</c:v>
                </c:pt>
                <c:pt idx="1143">
                  <c:v>227.24745200000001</c:v>
                </c:pt>
                <c:pt idx="1144">
                  <c:v>154</c:v>
                </c:pt>
                <c:pt idx="1145">
                  <c:v>229.70001199999999</c:v>
                </c:pt>
                <c:pt idx="1146">
                  <c:v>158.12</c:v>
                </c:pt>
                <c:pt idx="1147">
                  <c:v>226.84684799999999</c:v>
                </c:pt>
                <c:pt idx="1148">
                  <c:v>152.79</c:v>
                </c:pt>
                <c:pt idx="1149">
                  <c:v>224.658096</c:v>
                </c:pt>
                <c:pt idx="1150">
                  <c:v>151.71</c:v>
                </c:pt>
                <c:pt idx="1151">
                  <c:v>222.59639000000001</c:v>
                </c:pt>
                <c:pt idx="1152">
                  <c:v>155.54</c:v>
                </c:pt>
                <c:pt idx="1153">
                  <c:v>213.274719</c:v>
                </c:pt>
                <c:pt idx="1154">
                  <c:v>150.79</c:v>
                </c:pt>
                <c:pt idx="1155">
                  <c:v>211.740646</c:v>
                </c:pt>
                <c:pt idx="1156">
                  <c:v>151.12</c:v>
                </c:pt>
                <c:pt idx="1157">
                  <c:v>211.10552999999999</c:v>
                </c:pt>
                <c:pt idx="1158">
                  <c:v>154.46</c:v>
                </c:pt>
                <c:pt idx="1159">
                  <c:v>212.063095</c:v>
                </c:pt>
                <c:pt idx="1160">
                  <c:v>157.78</c:v>
                </c:pt>
                <c:pt idx="1161">
                  <c:v>210.95895400000001</c:v>
                </c:pt>
                <c:pt idx="1162">
                  <c:v>158.76</c:v>
                </c:pt>
                <c:pt idx="1163">
                  <c:v>211.26187100000001</c:v>
                </c:pt>
                <c:pt idx="1164">
                  <c:v>164.05</c:v>
                </c:pt>
                <c:pt idx="1165">
                  <c:v>211.07621800000001</c:v>
                </c:pt>
                <c:pt idx="1166">
                  <c:v>168.35</c:v>
                </c:pt>
                <c:pt idx="1167">
                  <c:v>215.75659200000001</c:v>
                </c:pt>
                <c:pt idx="1168">
                  <c:v>163.56</c:v>
                </c:pt>
                <c:pt idx="1169">
                  <c:v>214.740387</c:v>
                </c:pt>
                <c:pt idx="1170">
                  <c:v>163</c:v>
                </c:pt>
                <c:pt idx="1171">
                  <c:v>217.720596</c:v>
                </c:pt>
                <c:pt idx="1172">
                  <c:v>166.3</c:v>
                </c:pt>
                <c:pt idx="1173">
                  <c:v>217.97463999999999</c:v>
                </c:pt>
                <c:pt idx="1174">
                  <c:v>169.32</c:v>
                </c:pt>
                <c:pt idx="1175">
                  <c:v>215.98133899999999</c:v>
                </c:pt>
                <c:pt idx="1176">
                  <c:v>168.99</c:v>
                </c:pt>
                <c:pt idx="1177">
                  <c:v>216.77278100000001</c:v>
                </c:pt>
                <c:pt idx="1178">
                  <c:v>164.77</c:v>
                </c:pt>
                <c:pt idx="1179">
                  <c:v>218.24823000000001</c:v>
                </c:pt>
                <c:pt idx="1180">
                  <c:v>163.65</c:v>
                </c:pt>
                <c:pt idx="1181">
                  <c:v>217.12455700000001</c:v>
                </c:pt>
                <c:pt idx="1182">
                  <c:v>163.41</c:v>
                </c:pt>
                <c:pt idx="1183">
                  <c:v>217.085464</c:v>
                </c:pt>
                <c:pt idx="1184">
                  <c:v>164.89</c:v>
                </c:pt>
                <c:pt idx="1185">
                  <c:v>217.613113</c:v>
                </c:pt>
                <c:pt idx="1186">
                  <c:v>161.49</c:v>
                </c:pt>
                <c:pt idx="1187">
                  <c:v>218.59023999999999</c:v>
                </c:pt>
                <c:pt idx="1188">
                  <c:v>161.25</c:v>
                </c:pt>
                <c:pt idx="1189">
                  <c:v>215.854309</c:v>
                </c:pt>
                <c:pt idx="1190">
                  <c:v>157.24</c:v>
                </c:pt>
                <c:pt idx="1191">
                  <c:v>216.62622099999999</c:v>
                </c:pt>
                <c:pt idx="1192">
                  <c:v>153.1</c:v>
                </c:pt>
                <c:pt idx="1193">
                  <c:v>211.134827</c:v>
                </c:pt>
                <c:pt idx="1194">
                  <c:v>147.37</c:v>
                </c:pt>
                <c:pt idx="1195">
                  <c:v>211.50614899999999</c:v>
                </c:pt>
                <c:pt idx="1196">
                  <c:v>141.85</c:v>
                </c:pt>
                <c:pt idx="1197">
                  <c:v>210.50947600000001</c:v>
                </c:pt>
                <c:pt idx="1198">
                  <c:v>145.52000000000001</c:v>
                </c:pt>
                <c:pt idx="1199">
                  <c:v>209.91345200000001</c:v>
                </c:pt>
                <c:pt idx="1200">
                  <c:v>146.82</c:v>
                </c:pt>
                <c:pt idx="1201">
                  <c:v>206.94300799999999</c:v>
                </c:pt>
                <c:pt idx="1202">
                  <c:v>139.28</c:v>
                </c:pt>
                <c:pt idx="1203">
                  <c:v>204.97903400000001</c:v>
                </c:pt>
                <c:pt idx="1204">
                  <c:v>136.01</c:v>
                </c:pt>
                <c:pt idx="1205">
                  <c:v>205.19399999999999</c:v>
                </c:pt>
                <c:pt idx="1206">
                  <c:v>137.44999999999999</c:v>
                </c:pt>
                <c:pt idx="1207">
                  <c:v>192.198364</c:v>
                </c:pt>
                <c:pt idx="1208">
                  <c:v>145.63999999999999</c:v>
                </c:pt>
                <c:pt idx="1209">
                  <c:v>191.18215900000001</c:v>
                </c:pt>
                <c:pt idx="1210">
                  <c:v>147.9</c:v>
                </c:pt>
                <c:pt idx="1211">
                  <c:v>190.390717</c:v>
                </c:pt>
                <c:pt idx="1212">
                  <c:v>152.05000000000001</c:v>
                </c:pt>
                <c:pt idx="1213">
                  <c:v>188.201965</c:v>
                </c:pt>
                <c:pt idx="1214">
                  <c:v>151.13999999999999</c:v>
                </c:pt>
                <c:pt idx="1215">
                  <c:v>178.64579800000001</c:v>
                </c:pt>
                <c:pt idx="1216">
                  <c:v>153.56</c:v>
                </c:pt>
                <c:pt idx="1217">
                  <c:v>183.287094</c:v>
                </c:pt>
                <c:pt idx="1218">
                  <c:v>153.79</c:v>
                </c:pt>
                <c:pt idx="1219">
                  <c:v>182.77896100000001</c:v>
                </c:pt>
                <c:pt idx="1220">
                  <c:v>151.36000000000001</c:v>
                </c:pt>
                <c:pt idx="1221">
                  <c:v>180.46322599999999</c:v>
                </c:pt>
                <c:pt idx="1222">
                  <c:v>144.83000000000001</c:v>
                </c:pt>
                <c:pt idx="1223">
                  <c:v>182.39790300000001</c:v>
                </c:pt>
                <c:pt idx="1224">
                  <c:v>150.19999999999999</c:v>
                </c:pt>
                <c:pt idx="1225">
                  <c:v>186.83401499999999</c:v>
                </c:pt>
                <c:pt idx="1226">
                  <c:v>152.6</c:v>
                </c:pt>
                <c:pt idx="1227">
                  <c:v>187.557053</c:v>
                </c:pt>
                <c:pt idx="1228">
                  <c:v>154.65</c:v>
                </c:pt>
                <c:pt idx="1229">
                  <c:v>190.28323399999999</c:v>
                </c:pt>
                <c:pt idx="1230">
                  <c:v>158.1</c:v>
                </c:pt>
                <c:pt idx="1231">
                  <c:v>198.979523</c:v>
                </c:pt>
                <c:pt idx="1232">
                  <c:v>156.51</c:v>
                </c:pt>
                <c:pt idx="1233">
                  <c:v>198.75479100000001</c:v>
                </c:pt>
                <c:pt idx="1234">
                  <c:v>155.16999999999999</c:v>
                </c:pt>
                <c:pt idx="1235">
                  <c:v>195.315369</c:v>
                </c:pt>
                <c:pt idx="1236">
                  <c:v>153.29</c:v>
                </c:pt>
                <c:pt idx="1237">
                  <c:v>196.63447600000001</c:v>
                </c:pt>
                <c:pt idx="1238">
                  <c:v>159</c:v>
                </c:pt>
                <c:pt idx="1239">
                  <c:v>198.42257699999999</c:v>
                </c:pt>
                <c:pt idx="1240">
                  <c:v>161.19</c:v>
                </c:pt>
                <c:pt idx="1241">
                  <c:v>198.94047499999999</c:v>
                </c:pt>
                <c:pt idx="1242">
                  <c:v>161.41</c:v>
                </c:pt>
                <c:pt idx="1243">
                  <c:v>196.888519</c:v>
                </c:pt>
                <c:pt idx="1244">
                  <c:v>157.94</c:v>
                </c:pt>
                <c:pt idx="1245">
                  <c:v>195.24697900000001</c:v>
                </c:pt>
                <c:pt idx="1246">
                  <c:v>157.63999999999999</c:v>
                </c:pt>
                <c:pt idx="1247">
                  <c:v>193.86923200000001</c:v>
                </c:pt>
                <c:pt idx="1248">
                  <c:v>138.85</c:v>
                </c:pt>
                <c:pt idx="1249">
                  <c:v>195.99934400000001</c:v>
                </c:pt>
                <c:pt idx="1250">
                  <c:v>150.61000000000001</c:v>
                </c:pt>
                <c:pt idx="1251">
                  <c:v>200.249786</c:v>
                </c:pt>
                <c:pt idx="1252">
                  <c:v>151.19</c:v>
                </c:pt>
                <c:pt idx="1253">
                  <c:v>200.65042099999999</c:v>
                </c:pt>
                <c:pt idx="1254">
                  <c:v>149.57</c:v>
                </c:pt>
                <c:pt idx="1255">
                  <c:v>196.94714400000001</c:v>
                </c:pt>
                <c:pt idx="1256">
                  <c:v>143.97999999999999</c:v>
                </c:pt>
                <c:pt idx="1257">
                  <c:v>196.55628999999999</c:v>
                </c:pt>
                <c:pt idx="1258">
                  <c:v>139.63999999999999</c:v>
                </c:pt>
                <c:pt idx="1259">
                  <c:v>207.31433100000001</c:v>
                </c:pt>
                <c:pt idx="1260">
                  <c:v>138.87</c:v>
                </c:pt>
                <c:pt idx="1261">
                  <c:v>209.38578799999999</c:v>
                </c:pt>
                <c:pt idx="1262">
                  <c:v>139.99</c:v>
                </c:pt>
                <c:pt idx="1263">
                  <c:v>209.40533400000001</c:v>
                </c:pt>
                <c:pt idx="1264">
                  <c:v>144.54</c:v>
                </c:pt>
                <c:pt idx="1265">
                  <c:v>209.42489599999999</c:v>
                </c:pt>
                <c:pt idx="1266">
                  <c:v>142.63999999999999</c:v>
                </c:pt>
                <c:pt idx="1267">
                  <c:v>209.190369</c:v>
                </c:pt>
                <c:pt idx="1268">
                  <c:v>151.66999999999999</c:v>
                </c:pt>
                <c:pt idx="1269">
                  <c:v>211.672256</c:v>
                </c:pt>
                <c:pt idx="1270">
                  <c:v>156.30000000000001</c:v>
                </c:pt>
                <c:pt idx="1271">
                  <c:v>216.587143</c:v>
                </c:pt>
                <c:pt idx="1272">
                  <c:v>158.91999999999999</c:v>
                </c:pt>
                <c:pt idx="1273">
                  <c:v>223.52462800000001</c:v>
                </c:pt>
                <c:pt idx="1274">
                  <c:v>162.13999999999999</c:v>
                </c:pt>
                <c:pt idx="1275">
                  <c:v>222.62033099999999</c:v>
                </c:pt>
                <c:pt idx="1276">
                  <c:v>161.21</c:v>
                </c:pt>
                <c:pt idx="1277">
                  <c:v>220.733856</c:v>
                </c:pt>
                <c:pt idx="1278">
                  <c:v>165.21</c:v>
                </c:pt>
                <c:pt idx="1279">
                  <c:v>216.26084900000001</c:v>
                </c:pt>
                <c:pt idx="1280">
                  <c:v>165.36</c:v>
                </c:pt>
                <c:pt idx="1281">
                  <c:v>213.878479</c:v>
                </c:pt>
                <c:pt idx="1282">
                  <c:v>161.49</c:v>
                </c:pt>
                <c:pt idx="1283">
                  <c:v>215.52181999999999</c:v>
                </c:pt>
                <c:pt idx="1284">
                  <c:v>162.55000000000001</c:v>
                </c:pt>
                <c:pt idx="1285">
                  <c:v>218.00143399999999</c:v>
                </c:pt>
                <c:pt idx="1286">
                  <c:v>163.25</c:v>
                </c:pt>
                <c:pt idx="1287">
                  <c:v>215.86218299999999</c:v>
                </c:pt>
                <c:pt idx="1288">
                  <c:v>164.36</c:v>
                </c:pt>
                <c:pt idx="1289">
                  <c:v>213.68400600000001</c:v>
                </c:pt>
                <c:pt idx="1290">
                  <c:v>167.52</c:v>
                </c:pt>
                <c:pt idx="1291">
                  <c:v>212.060104</c:v>
                </c:pt>
                <c:pt idx="1292">
                  <c:v>170.4</c:v>
                </c:pt>
                <c:pt idx="1293">
                  <c:v>201.28595000000001</c:v>
                </c:pt>
                <c:pt idx="1294">
                  <c:v>166.72</c:v>
                </c:pt>
                <c:pt idx="1295">
                  <c:v>201.033142</c:v>
                </c:pt>
                <c:pt idx="1296">
                  <c:v>168.64</c:v>
                </c:pt>
                <c:pt idx="1297">
                  <c:v>200.39134200000001</c:v>
                </c:pt>
                <c:pt idx="1298">
                  <c:v>169.2</c:v>
                </c:pt>
                <c:pt idx="1299">
                  <c:v>201.606842</c:v>
                </c:pt>
                <c:pt idx="1300">
                  <c:v>170.66</c:v>
                </c:pt>
                <c:pt idx="1301">
                  <c:v>200.916428</c:v>
                </c:pt>
                <c:pt idx="1302">
                  <c:v>169.67</c:v>
                </c:pt>
                <c:pt idx="1303">
                  <c:v>200.683075</c:v>
                </c:pt>
                <c:pt idx="1304">
                  <c:v>171.07</c:v>
                </c:pt>
                <c:pt idx="1305">
                  <c:v>200.508026</c:v>
                </c:pt>
                <c:pt idx="1306">
                  <c:v>171.04</c:v>
                </c:pt>
                <c:pt idx="1307">
                  <c:v>196.56982400000001</c:v>
                </c:pt>
                <c:pt idx="1308">
                  <c:v>170.42</c:v>
                </c:pt>
                <c:pt idx="1309">
                  <c:v>192.83583100000001</c:v>
                </c:pt>
                <c:pt idx="1310">
                  <c:v>167.08</c:v>
                </c:pt>
                <c:pt idx="1311">
                  <c:v>190.064514</c:v>
                </c:pt>
                <c:pt idx="1312">
                  <c:v>170.02</c:v>
                </c:pt>
                <c:pt idx="1313">
                  <c:v>195.81137100000001</c:v>
                </c:pt>
                <c:pt idx="1314">
                  <c:v>168.87</c:v>
                </c:pt>
                <c:pt idx="1315">
                  <c:v>200.47886700000001</c:v>
                </c:pt>
                <c:pt idx="1316">
                  <c:v>173.32</c:v>
                </c:pt>
                <c:pt idx="1317">
                  <c:v>196.958786</c:v>
                </c:pt>
                <c:pt idx="1318">
                  <c:v>169.09</c:v>
                </c:pt>
                <c:pt idx="1319">
                  <c:v>196.07389800000001</c:v>
                </c:pt>
                <c:pt idx="1320">
                  <c:v>169.57</c:v>
                </c:pt>
                <c:pt idx="1321">
                  <c:v>195.694672</c:v>
                </c:pt>
                <c:pt idx="1322">
                  <c:v>172.21</c:v>
                </c:pt>
                <c:pt idx="1323">
                  <c:v>197.84367399999999</c:v>
                </c:pt>
                <c:pt idx="1324">
                  <c:v>174.17</c:v>
                </c:pt>
                <c:pt idx="1325">
                  <c:v>198.495193</c:v>
                </c:pt>
                <c:pt idx="1326">
                  <c:v>176.16</c:v>
                </c:pt>
                <c:pt idx="1327">
                  <c:v>198.553528</c:v>
                </c:pt>
                <c:pt idx="1328">
                  <c:v>176.16</c:v>
                </c:pt>
                <c:pt idx="1329">
                  <c:v>198.84524500000001</c:v>
                </c:pt>
                <c:pt idx="1330">
                  <c:v>171.37</c:v>
                </c:pt>
                <c:pt idx="1331">
                  <c:v>195.72384600000001</c:v>
                </c:pt>
                <c:pt idx="1332">
                  <c:v>169.49</c:v>
                </c:pt>
                <c:pt idx="1333">
                  <c:v>192.33992000000001</c:v>
                </c:pt>
                <c:pt idx="1334">
                  <c:v>171.87</c:v>
                </c:pt>
                <c:pt idx="1335">
                  <c:v>191.357788</c:v>
                </c:pt>
                <c:pt idx="1336">
                  <c:v>172.19</c:v>
                </c:pt>
                <c:pt idx="1337">
                  <c:v>186.18464700000001</c:v>
                </c:pt>
                <c:pt idx="1338">
                  <c:v>175.35</c:v>
                </c:pt>
                <c:pt idx="1339">
                  <c:v>188.012756</c:v>
                </c:pt>
                <c:pt idx="1340">
                  <c:v>178.08</c:v>
                </c:pt>
                <c:pt idx="1341">
                  <c:v>190.51181</c:v>
                </c:pt>
                <c:pt idx="1342">
                  <c:v>175.23</c:v>
                </c:pt>
                <c:pt idx="1343">
                  <c:v>193.24423200000001</c:v>
                </c:pt>
                <c:pt idx="1344">
                  <c:v>179.02</c:v>
                </c:pt>
                <c:pt idx="1345">
                  <c:v>201.35401899999999</c:v>
                </c:pt>
                <c:pt idx="1346">
                  <c:v>179</c:v>
                </c:pt>
                <c:pt idx="1347">
                  <c:v>199.662048</c:v>
                </c:pt>
                <c:pt idx="1348">
                  <c:v>178.63</c:v>
                </c:pt>
                <c:pt idx="1349">
                  <c:v>196.793488</c:v>
                </c:pt>
                <c:pt idx="1350">
                  <c:v>183.83</c:v>
                </c:pt>
                <c:pt idx="1351">
                  <c:v>194.907028</c:v>
                </c:pt>
                <c:pt idx="1352">
                  <c:v>184.8</c:v>
                </c:pt>
                <c:pt idx="1353">
                  <c:v>195.85997</c:v>
                </c:pt>
                <c:pt idx="1354">
                  <c:v>177.45</c:v>
                </c:pt>
                <c:pt idx="1355">
                  <c:v>197.37692300000001</c:v>
                </c:pt>
                <c:pt idx="1356">
                  <c:v>177.04</c:v>
                </c:pt>
                <c:pt idx="1357">
                  <c:v>199.759277</c:v>
                </c:pt>
                <c:pt idx="1358">
                  <c:v>177.28</c:v>
                </c:pt>
                <c:pt idx="1359">
                  <c:v>201.97636399999999</c:v>
                </c:pt>
                <c:pt idx="1360">
                  <c:v>176.26</c:v>
                </c:pt>
                <c:pt idx="1361">
                  <c:v>203.493301</c:v>
                </c:pt>
                <c:pt idx="1362">
                  <c:v>173.63</c:v>
                </c:pt>
                <c:pt idx="1363">
                  <c:v>202.77371199999999</c:v>
                </c:pt>
                <c:pt idx="1364">
                  <c:v>174.1</c:v>
                </c:pt>
                <c:pt idx="1365">
                  <c:v>200.965057</c:v>
                </c:pt>
                <c:pt idx="1366">
                  <c:v>178.81</c:v>
                </c:pt>
                <c:pt idx="1367">
                  <c:v>204.018372</c:v>
                </c:pt>
                <c:pt idx="1368">
                  <c:v>174.45</c:v>
                </c:pt>
                <c:pt idx="1369">
                  <c:v>208.335815</c:v>
                </c:pt>
                <c:pt idx="1370">
                  <c:v>175.95</c:v>
                </c:pt>
                <c:pt idx="1371">
                  <c:v>200.19686899999999</c:v>
                </c:pt>
                <c:pt idx="1372">
                  <c:v>173.85</c:v>
                </c:pt>
                <c:pt idx="1373">
                  <c:v>197.970078</c:v>
                </c:pt>
                <c:pt idx="1374">
                  <c:v>169.2</c:v>
                </c:pt>
                <c:pt idx="1375">
                  <c:v>197.931183</c:v>
                </c:pt>
                <c:pt idx="1376">
                  <c:v>165.64</c:v>
                </c:pt>
                <c:pt idx="1377">
                  <c:v>201.40263400000001</c:v>
                </c:pt>
                <c:pt idx="1378">
                  <c:v>165.91</c:v>
                </c:pt>
                <c:pt idx="1379">
                  <c:v>199.710678</c:v>
                </c:pt>
                <c:pt idx="1380">
                  <c:v>168.62</c:v>
                </c:pt>
                <c:pt idx="1381">
                  <c:v>198.378479</c:v>
                </c:pt>
                <c:pt idx="1382">
                  <c:v>172.33</c:v>
                </c:pt>
                <c:pt idx="1383">
                  <c:v>198.45626799999999</c:v>
                </c:pt>
                <c:pt idx="1384">
                  <c:v>169.62</c:v>
                </c:pt>
                <c:pt idx="1385">
                  <c:v>190.71601899999999</c:v>
                </c:pt>
                <c:pt idx="1386">
                  <c:v>168.8</c:v>
                </c:pt>
                <c:pt idx="1387">
                  <c:v>194.12912</c:v>
                </c:pt>
                <c:pt idx="1388">
                  <c:v>166.02</c:v>
                </c:pt>
                <c:pt idx="1389">
                  <c:v>196.62818899999999</c:v>
                </c:pt>
                <c:pt idx="1390">
                  <c:v>166.78</c:v>
                </c:pt>
                <c:pt idx="1391">
                  <c:v>195.11123699999999</c:v>
                </c:pt>
                <c:pt idx="1392">
                  <c:v>171.75</c:v>
                </c:pt>
                <c:pt idx="1393">
                  <c:v>195.48074299999999</c:v>
                </c:pt>
                <c:pt idx="1394">
                  <c:v>170.75</c:v>
                </c:pt>
                <c:pt idx="1395">
                  <c:v>197.463211</c:v>
                </c:pt>
                <c:pt idx="1396">
                  <c:v>172.21</c:v>
                </c:pt>
                <c:pt idx="1397">
                  <c:v>194.513687</c:v>
                </c:pt>
                <c:pt idx="1398">
                  <c:v>172.34</c:v>
                </c:pt>
                <c:pt idx="1399">
                  <c:v>191.651184</c:v>
                </c:pt>
                <c:pt idx="1400">
                  <c:v>170.45</c:v>
                </c:pt>
                <c:pt idx="1401">
                  <c:v>192.46353099999999</c:v>
                </c:pt>
                <c:pt idx="1402">
                  <c:v>164.99</c:v>
                </c:pt>
                <c:pt idx="1403">
                  <c:v>187.928055</c:v>
                </c:pt>
                <c:pt idx="1404">
                  <c:v>164.21</c:v>
                </c:pt>
                <c:pt idx="1405">
                  <c:v>182.71559099999999</c:v>
                </c:pt>
                <c:pt idx="1406">
                  <c:v>162.37</c:v>
                </c:pt>
                <c:pt idx="1407">
                  <c:v>183.66334499999999</c:v>
                </c:pt>
                <c:pt idx="1408">
                  <c:v>162.32</c:v>
                </c:pt>
                <c:pt idx="1409">
                  <c:v>186.535461</c:v>
                </c:pt>
                <c:pt idx="1410">
                  <c:v>164.43</c:v>
                </c:pt>
                <c:pt idx="1411">
                  <c:v>188.73069799999999</c:v>
                </c:pt>
                <c:pt idx="1412">
                  <c:v>165.12</c:v>
                </c:pt>
                <c:pt idx="1413">
                  <c:v>189.30126999999999</c:v>
                </c:pt>
                <c:pt idx="1414">
                  <c:v>163.1</c:v>
                </c:pt>
                <c:pt idx="1415">
                  <c:v>185.53939800000001</c:v>
                </c:pt>
                <c:pt idx="1416">
                  <c:v>161.05000000000001</c:v>
                </c:pt>
                <c:pt idx="1417">
                  <c:v>186.15831</c:v>
                </c:pt>
                <c:pt idx="1418">
                  <c:v>159.49</c:v>
                </c:pt>
                <c:pt idx="1419">
                  <c:v>186.76757799999999</c:v>
                </c:pt>
                <c:pt idx="1420">
                  <c:v>164.16</c:v>
                </c:pt>
                <c:pt idx="1421">
                  <c:v>187.928055</c:v>
                </c:pt>
                <c:pt idx="1422">
                  <c:v>164.25</c:v>
                </c:pt>
                <c:pt idx="1423">
                  <c:v>185.645782</c:v>
                </c:pt>
                <c:pt idx="1424">
                  <c:v>165.06</c:v>
                </c:pt>
                <c:pt idx="1425">
                  <c:v>191.35142500000001</c:v>
                </c:pt>
                <c:pt idx="1426">
                  <c:v>165.8</c:v>
                </c:pt>
                <c:pt idx="1427">
                  <c:v>193.94313</c:v>
                </c:pt>
                <c:pt idx="1428">
                  <c:v>170.29</c:v>
                </c:pt>
                <c:pt idx="1429">
                  <c:v>193.41127</c:v>
                </c:pt>
                <c:pt idx="1430">
                  <c:v>171.28</c:v>
                </c:pt>
                <c:pt idx="1431">
                  <c:v>190.336029</c:v>
                </c:pt>
                <c:pt idx="1432">
                  <c:v>170.8</c:v>
                </c:pt>
                <c:pt idx="1433">
                  <c:v>190.14257799999999</c:v>
                </c:pt>
                <c:pt idx="1434">
                  <c:v>169</c:v>
                </c:pt>
                <c:pt idx="1435">
                  <c:v>185.04621900000001</c:v>
                </c:pt>
                <c:pt idx="1436">
                  <c:v>167.18</c:v>
                </c:pt>
                <c:pt idx="1437">
                  <c:v>183.585938</c:v>
                </c:pt>
                <c:pt idx="1438">
                  <c:v>167.79</c:v>
                </c:pt>
                <c:pt idx="1439">
                  <c:v>184.533691</c:v>
                </c:pt>
                <c:pt idx="1440">
                  <c:v>173.13</c:v>
                </c:pt>
                <c:pt idx="1441">
                  <c:v>193.169479</c:v>
                </c:pt>
                <c:pt idx="1442">
                  <c:v>174.41</c:v>
                </c:pt>
                <c:pt idx="1443">
                  <c:v>196.89267000000001</c:v>
                </c:pt>
                <c:pt idx="1444">
                  <c:v>173.79</c:v>
                </c:pt>
                <c:pt idx="1445">
                  <c:v>198.95246900000001</c:v>
                </c:pt>
                <c:pt idx="1446">
                  <c:v>172.5</c:v>
                </c:pt>
                <c:pt idx="1447">
                  <c:v>195.66449</c:v>
                </c:pt>
                <c:pt idx="1448">
                  <c:v>172.86</c:v>
                </c:pt>
                <c:pt idx="1449">
                  <c:v>199.406982</c:v>
                </c:pt>
                <c:pt idx="1450">
                  <c:v>173.46</c:v>
                </c:pt>
                <c:pt idx="1451">
                  <c:v>198.25618</c:v>
                </c:pt>
                <c:pt idx="1452">
                  <c:v>174.21</c:v>
                </c:pt>
                <c:pt idx="1453">
                  <c:v>198.65267900000001</c:v>
                </c:pt>
                <c:pt idx="1454">
                  <c:v>176.27</c:v>
                </c:pt>
                <c:pt idx="1455">
                  <c:v>199.958237</c:v>
                </c:pt>
                <c:pt idx="1456">
                  <c:v>175.46</c:v>
                </c:pt>
                <c:pt idx="1457">
                  <c:v>201.37013200000001</c:v>
                </c:pt>
                <c:pt idx="1458">
                  <c:v>173.9</c:v>
                </c:pt>
                <c:pt idx="1459">
                  <c:v>203.43962099999999</c:v>
                </c:pt>
                <c:pt idx="1460">
                  <c:v>173.16</c:v>
                </c:pt>
                <c:pt idx="1461">
                  <c:v>204.80316199999999</c:v>
                </c:pt>
                <c:pt idx="1462">
                  <c:v>173.95</c:v>
                </c:pt>
                <c:pt idx="1463">
                  <c:v>201.10902400000001</c:v>
                </c:pt>
                <c:pt idx="1464">
                  <c:v>173.54</c:v>
                </c:pt>
                <c:pt idx="1465">
                  <c:v>203.92314099999999</c:v>
                </c:pt>
                <c:pt idx="1466">
                  <c:v>171.08</c:v>
                </c:pt>
                <c:pt idx="1467">
                  <c:v>204.484039</c:v>
                </c:pt>
                <c:pt idx="1468">
                  <c:v>167.48</c:v>
                </c:pt>
                <c:pt idx="1469">
                  <c:v>205.81858800000001</c:v>
                </c:pt>
                <c:pt idx="1470">
                  <c:v>165.8</c:v>
                </c:pt>
                <c:pt idx="1471">
                  <c:v>204.28097500000001</c:v>
                </c:pt>
                <c:pt idx="1472">
                  <c:v>164.96</c:v>
                </c:pt>
                <c:pt idx="1473">
                  <c:v>207.68498199999999</c:v>
                </c:pt>
                <c:pt idx="1474">
                  <c:v>165.29</c:v>
                </c:pt>
                <c:pt idx="1475">
                  <c:v>205.58647199999999</c:v>
                </c:pt>
                <c:pt idx="1476">
                  <c:v>163.29</c:v>
                </c:pt>
                <c:pt idx="1477">
                  <c:v>202.250137</c:v>
                </c:pt>
                <c:pt idx="1478">
                  <c:v>160</c:v>
                </c:pt>
                <c:pt idx="1479">
                  <c:v>198.18850699999999</c:v>
                </c:pt>
                <c:pt idx="1480">
                  <c:v>159.38999999999999</c:v>
                </c:pt>
                <c:pt idx="1481">
                  <c:v>197.71464499999999</c:v>
                </c:pt>
                <c:pt idx="1482">
                  <c:v>160.06</c:v>
                </c:pt>
                <c:pt idx="1483">
                  <c:v>202.898056</c:v>
                </c:pt>
                <c:pt idx="1484">
                  <c:v>162.1</c:v>
                </c:pt>
                <c:pt idx="1485">
                  <c:v>206.408478</c:v>
                </c:pt>
                <c:pt idx="1486">
                  <c:v>164.95</c:v>
                </c:pt>
                <c:pt idx="1487">
                  <c:v>210.53782699999999</c:v>
                </c:pt>
                <c:pt idx="1488">
                  <c:v>164.7</c:v>
                </c:pt>
                <c:pt idx="1489">
                  <c:v>211.369507</c:v>
                </c:pt>
                <c:pt idx="1490">
                  <c:v>165.18</c:v>
                </c:pt>
                <c:pt idx="1491">
                  <c:v>212.98448200000001</c:v>
                </c:pt>
                <c:pt idx="1492">
                  <c:v>164.61</c:v>
                </c:pt>
                <c:pt idx="1493">
                  <c:v>214.35768100000001</c:v>
                </c:pt>
                <c:pt idx="1494">
                  <c:v>166.03</c:v>
                </c:pt>
                <c:pt idx="1495">
                  <c:v>207.01774599999999</c:v>
                </c:pt>
                <c:pt idx="1496">
                  <c:v>167.09</c:v>
                </c:pt>
                <c:pt idx="1497">
                  <c:v>202.008377</c:v>
                </c:pt>
                <c:pt idx="1498">
                  <c:v>167.25</c:v>
                </c:pt>
                <c:pt idx="1499">
                  <c:v>201.486176</c:v>
                </c:pt>
                <c:pt idx="1500">
                  <c:v>168.8</c:v>
                </c:pt>
                <c:pt idx="1501">
                  <c:v>200.36438000000001</c:v>
                </c:pt>
                <c:pt idx="1502">
                  <c:v>167.74</c:v>
                </c:pt>
                <c:pt idx="1503">
                  <c:v>197.78234900000001</c:v>
                </c:pt>
                <c:pt idx="1504">
                  <c:v>168.31</c:v>
                </c:pt>
                <c:pt idx="1505">
                  <c:v>201.631226</c:v>
                </c:pt>
                <c:pt idx="1506">
                  <c:v>166.57</c:v>
                </c:pt>
                <c:pt idx="1507">
                  <c:v>198.401276</c:v>
                </c:pt>
                <c:pt idx="1508">
                  <c:v>166.38</c:v>
                </c:pt>
                <c:pt idx="1509">
                  <c:v>199.93885800000001</c:v>
                </c:pt>
                <c:pt idx="1510">
                  <c:v>180</c:v>
                </c:pt>
                <c:pt idx="1511">
                  <c:v>205.55746500000001</c:v>
                </c:pt>
                <c:pt idx="1512">
                  <c:v>181.52</c:v>
                </c:pt>
                <c:pt idx="1513">
                  <c:v>204.47436500000001</c:v>
                </c:pt>
                <c:pt idx="1514">
                  <c:v>181.32</c:v>
                </c:pt>
                <c:pt idx="1515">
                  <c:v>202.98507699999999</c:v>
                </c:pt>
                <c:pt idx="1516">
                  <c:v>184.99</c:v>
                </c:pt>
                <c:pt idx="1517">
                  <c:v>204.077866</c:v>
                </c:pt>
                <c:pt idx="1518">
                  <c:v>182.83</c:v>
                </c:pt>
                <c:pt idx="1519">
                  <c:v>202.627274</c:v>
                </c:pt>
                <c:pt idx="1520">
                  <c:v>181.9</c:v>
                </c:pt>
                <c:pt idx="1521">
                  <c:v>202.26950099999999</c:v>
                </c:pt>
                <c:pt idx="1522">
                  <c:v>179.26</c:v>
                </c:pt>
                <c:pt idx="1523">
                  <c:v>203.78774999999999</c:v>
                </c:pt>
                <c:pt idx="1524">
                  <c:v>178.66</c:v>
                </c:pt>
                <c:pt idx="1525">
                  <c:v>201.10902400000001</c:v>
                </c:pt>
                <c:pt idx="1526">
                  <c:v>177.48</c:v>
                </c:pt>
                <c:pt idx="1527">
                  <c:v>196.389771</c:v>
                </c:pt>
                <c:pt idx="1528">
                  <c:v>178.68</c:v>
                </c:pt>
                <c:pt idx="1529">
                  <c:v>200.02590900000001</c:v>
                </c:pt>
                <c:pt idx="1530">
                  <c:v>181.56</c:v>
                </c:pt>
                <c:pt idx="1531">
                  <c:v>203.35405</c:v>
                </c:pt>
                <c:pt idx="1532">
                  <c:v>184.08</c:v>
                </c:pt>
                <c:pt idx="1533">
                  <c:v>203.57527200000001</c:v>
                </c:pt>
                <c:pt idx="1534">
                  <c:v>183.87</c:v>
                </c:pt>
                <c:pt idx="1535">
                  <c:v>206.99002100000001</c:v>
                </c:pt>
                <c:pt idx="1536">
                  <c:v>185.93</c:v>
                </c:pt>
                <c:pt idx="1537">
                  <c:v>210.25083900000001</c:v>
                </c:pt>
                <c:pt idx="1538">
                  <c:v>185.97</c:v>
                </c:pt>
                <c:pt idx="1539">
                  <c:v>209.13505599999999</c:v>
                </c:pt>
                <c:pt idx="1540">
                  <c:v>186.57</c:v>
                </c:pt>
                <c:pt idx="1541">
                  <c:v>204.02739</c:v>
                </c:pt>
                <c:pt idx="1542">
                  <c:v>184.83</c:v>
                </c:pt>
                <c:pt idx="1543">
                  <c:v>206.50907900000001</c:v>
                </c:pt>
                <c:pt idx="1544">
                  <c:v>183.79</c:v>
                </c:pt>
                <c:pt idx="1545">
                  <c:v>205.383667</c:v>
                </c:pt>
                <c:pt idx="1546">
                  <c:v>175.55</c:v>
                </c:pt>
                <c:pt idx="1547">
                  <c:v>209.46208200000001</c:v>
                </c:pt>
                <c:pt idx="1548">
                  <c:v>171.65</c:v>
                </c:pt>
                <c:pt idx="1549">
                  <c:v>208.452133</c:v>
                </c:pt>
                <c:pt idx="1550">
                  <c:v>172.01</c:v>
                </c:pt>
                <c:pt idx="1551">
                  <c:v>209.337051</c:v>
                </c:pt>
                <c:pt idx="1552">
                  <c:v>172.41</c:v>
                </c:pt>
                <c:pt idx="1553">
                  <c:v>206.903458</c:v>
                </c:pt>
                <c:pt idx="1554">
                  <c:v>172.19</c:v>
                </c:pt>
                <c:pt idx="1555">
                  <c:v>208.028885</c:v>
                </c:pt>
                <c:pt idx="1556">
                  <c:v>170.07</c:v>
                </c:pt>
                <c:pt idx="1557">
                  <c:v>208.06733700000001</c:v>
                </c:pt>
                <c:pt idx="1558">
                  <c:v>172.45</c:v>
                </c:pt>
                <c:pt idx="1559">
                  <c:v>210.98187300000001</c:v>
                </c:pt>
                <c:pt idx="1560">
                  <c:v>175.19</c:v>
                </c:pt>
                <c:pt idx="1561">
                  <c:v>205.643372</c:v>
                </c:pt>
                <c:pt idx="1562">
                  <c:v>175.27</c:v>
                </c:pt>
                <c:pt idx="1563">
                  <c:v>205.00853000000001</c:v>
                </c:pt>
                <c:pt idx="1564">
                  <c:v>172.7</c:v>
                </c:pt>
                <c:pt idx="1565">
                  <c:v>205.08547999999999</c:v>
                </c:pt>
                <c:pt idx="1566">
                  <c:v>174.35</c:v>
                </c:pt>
                <c:pt idx="1567">
                  <c:v>200.90123</c:v>
                </c:pt>
                <c:pt idx="1568">
                  <c:v>174.46</c:v>
                </c:pt>
                <c:pt idx="1569">
                  <c:v>201.46875</c:v>
                </c:pt>
                <c:pt idx="1570">
                  <c:v>170.76</c:v>
                </c:pt>
                <c:pt idx="1571">
                  <c:v>208.884964</c:v>
                </c:pt>
                <c:pt idx="1572">
                  <c:v>169.16</c:v>
                </c:pt>
                <c:pt idx="1573">
                  <c:v>211.09733600000001</c:v>
                </c:pt>
                <c:pt idx="1574">
                  <c:v>169.19</c:v>
                </c:pt>
                <c:pt idx="1575">
                  <c:v>210.664444</c:v>
                </c:pt>
                <c:pt idx="1576">
                  <c:v>167.34</c:v>
                </c:pt>
                <c:pt idx="1577">
                  <c:v>212.29006999999999</c:v>
                </c:pt>
                <c:pt idx="1578">
                  <c:v>167.48</c:v>
                </c:pt>
                <c:pt idx="1579">
                  <c:v>217.128387</c:v>
                </c:pt>
                <c:pt idx="1580">
                  <c:v>164.06</c:v>
                </c:pt>
                <c:pt idx="1581">
                  <c:v>225.70846599999999</c:v>
                </c:pt>
                <c:pt idx="1582">
                  <c:v>163.21</c:v>
                </c:pt>
                <c:pt idx="1583">
                  <c:v>231.00853000000001</c:v>
                </c:pt>
                <c:pt idx="1584">
                  <c:v>159.9</c:v>
                </c:pt>
                <c:pt idx="1585">
                  <c:v>230.623749</c:v>
                </c:pt>
                <c:pt idx="1586">
                  <c:v>160.31</c:v>
                </c:pt>
                <c:pt idx="1587">
                  <c:v>234.721451</c:v>
                </c:pt>
                <c:pt idx="1588">
                  <c:v>159.35</c:v>
                </c:pt>
                <c:pt idx="1589">
                  <c:v>234.548294</c:v>
                </c:pt>
                <c:pt idx="1590">
                  <c:v>161.69999999999999</c:v>
                </c:pt>
                <c:pt idx="1591">
                  <c:v>234.18275499999999</c:v>
                </c:pt>
                <c:pt idx="1592">
                  <c:v>160.93</c:v>
                </c:pt>
                <c:pt idx="1593">
                  <c:v>233.50941499999999</c:v>
                </c:pt>
                <c:pt idx="1594">
                  <c:v>161.15</c:v>
                </c:pt>
                <c:pt idx="1595">
                  <c:v>231.893463</c:v>
                </c:pt>
                <c:pt idx="1596">
                  <c:v>161.51</c:v>
                </c:pt>
                <c:pt idx="1597">
                  <c:v>232.08583100000001</c:v>
                </c:pt>
                <c:pt idx="1598">
                  <c:v>163.26</c:v>
                </c:pt>
                <c:pt idx="1599">
                  <c:v>228.65188599999999</c:v>
                </c:pt>
                <c:pt idx="1600">
                  <c:v>162.94999999999999</c:v>
                </c:pt>
                <c:pt idx="1601">
                  <c:v>228.132431</c:v>
                </c:pt>
                <c:pt idx="1602">
                  <c:v>162.25</c:v>
                </c:pt>
                <c:pt idx="1603">
                  <c:v>229.94079600000001</c:v>
                </c:pt>
                <c:pt idx="1604">
                  <c:v>160.15</c:v>
                </c:pt>
                <c:pt idx="1605">
                  <c:v>228.19979900000001</c:v>
                </c:pt>
                <c:pt idx="1606">
                  <c:v>162.38</c:v>
                </c:pt>
                <c:pt idx="1607">
                  <c:v>226.035538</c:v>
                </c:pt>
                <c:pt idx="1608">
                  <c:v>161.59</c:v>
                </c:pt>
                <c:pt idx="1609">
                  <c:v>227.843887</c:v>
                </c:pt>
                <c:pt idx="1610">
                  <c:v>161.61000000000001</c:v>
                </c:pt>
                <c:pt idx="1611">
                  <c:v>230.34480300000001</c:v>
                </c:pt>
                <c:pt idx="1612">
                  <c:v>163.52000000000001</c:v>
                </c:pt>
                <c:pt idx="1613">
                  <c:v>235.46208200000001</c:v>
                </c:pt>
                <c:pt idx="1614">
                  <c:v>161.15</c:v>
                </c:pt>
                <c:pt idx="1615">
                  <c:v>232.99963399999999</c:v>
                </c:pt>
                <c:pt idx="1616">
                  <c:v>158.07</c:v>
                </c:pt>
                <c:pt idx="1617">
                  <c:v>230.921967</c:v>
                </c:pt>
                <c:pt idx="1618">
                  <c:v>157.6</c:v>
                </c:pt>
                <c:pt idx="1619">
                  <c:v>228.276749</c:v>
                </c:pt>
                <c:pt idx="1620">
                  <c:v>161.19999999999999</c:v>
                </c:pt>
                <c:pt idx="1621">
                  <c:v>230.18130500000001</c:v>
                </c:pt>
                <c:pt idx="1622">
                  <c:v>159.52000000000001</c:v>
                </c:pt>
                <c:pt idx="1623">
                  <c:v>233.36515800000001</c:v>
                </c:pt>
                <c:pt idx="1624">
                  <c:v>164.58</c:v>
                </c:pt>
                <c:pt idx="1625">
                  <c:v>231.80690000000001</c:v>
                </c:pt>
                <c:pt idx="1626">
                  <c:v>165.32</c:v>
                </c:pt>
                <c:pt idx="1627">
                  <c:v>228.03628499999999</c:v>
                </c:pt>
                <c:pt idx="1628">
                  <c:v>163.53</c:v>
                </c:pt>
                <c:pt idx="1629">
                  <c:v>228.81539900000001</c:v>
                </c:pt>
                <c:pt idx="1630">
                  <c:v>165.59</c:v>
                </c:pt>
                <c:pt idx="1631">
                  <c:v>224.51573200000001</c:v>
                </c:pt>
                <c:pt idx="1632">
                  <c:v>169.32</c:v>
                </c:pt>
                <c:pt idx="1633">
                  <c:v>219.475403</c:v>
                </c:pt>
                <c:pt idx="1634">
                  <c:v>173.37</c:v>
                </c:pt>
                <c:pt idx="1635">
                  <c:v>219.417709</c:v>
                </c:pt>
                <c:pt idx="1636">
                  <c:v>173.57</c:v>
                </c:pt>
                <c:pt idx="1637">
                  <c:v>218.80209400000001</c:v>
                </c:pt>
                <c:pt idx="1638">
                  <c:v>172.93</c:v>
                </c:pt>
                <c:pt idx="1639">
                  <c:v>223.44802899999999</c:v>
                </c:pt>
                <c:pt idx="1640">
                  <c:v>170.87</c:v>
                </c:pt>
                <c:pt idx="1641">
                  <c:v>221.56272899999999</c:v>
                </c:pt>
                <c:pt idx="1642">
                  <c:v>170.45</c:v>
                </c:pt>
                <c:pt idx="1643">
                  <c:v>221.77432300000001</c:v>
                </c:pt>
                <c:pt idx="1644">
                  <c:v>167.04</c:v>
                </c:pt>
                <c:pt idx="1645">
                  <c:v>221.34149199999999</c:v>
                </c:pt>
                <c:pt idx="1646">
                  <c:v>165.45</c:v>
                </c:pt>
                <c:pt idx="1647">
                  <c:v>219.17721599999999</c:v>
                </c:pt>
                <c:pt idx="1648">
                  <c:v>168.1</c:v>
                </c:pt>
                <c:pt idx="1649">
                  <c:v>222.59573399999999</c:v>
                </c:pt>
                <c:pt idx="1650">
                  <c:v>166.73</c:v>
                </c:pt>
                <c:pt idx="1651">
                  <c:v>217.97067300000001</c:v>
                </c:pt>
                <c:pt idx="1652">
                  <c:v>168.6</c:v>
                </c:pt>
                <c:pt idx="1653">
                  <c:v>222.528717</c:v>
                </c:pt>
                <c:pt idx="1654">
                  <c:v>169.97</c:v>
                </c:pt>
                <c:pt idx="1655">
                  <c:v>223.45755</c:v>
                </c:pt>
                <c:pt idx="1656">
                  <c:v>168.95</c:v>
                </c:pt>
                <c:pt idx="1657">
                  <c:v>222.65318300000001</c:v>
                </c:pt>
                <c:pt idx="1658">
                  <c:v>166.65</c:v>
                </c:pt>
                <c:pt idx="1659">
                  <c:v>222.71064799999999</c:v>
                </c:pt>
                <c:pt idx="1660">
                  <c:v>170</c:v>
                </c:pt>
                <c:pt idx="1661">
                  <c:v>219.617706</c:v>
                </c:pt>
                <c:pt idx="1662">
                  <c:v>168.97</c:v>
                </c:pt>
                <c:pt idx="1663">
                  <c:v>221.13064600000001</c:v>
                </c:pt>
                <c:pt idx="1664">
                  <c:v>168.61</c:v>
                </c:pt>
                <c:pt idx="1665">
                  <c:v>220.958282</c:v>
                </c:pt>
                <c:pt idx="1666">
                  <c:v>164.96</c:v>
                </c:pt>
                <c:pt idx="1667">
                  <c:v>220.69975299999999</c:v>
                </c:pt>
                <c:pt idx="1668">
                  <c:v>163.97</c:v>
                </c:pt>
                <c:pt idx="1669">
                  <c:v>220.63270600000001</c:v>
                </c:pt>
                <c:pt idx="1670">
                  <c:v>161.19</c:v>
                </c:pt>
                <c:pt idx="1671">
                  <c:v>220.852982</c:v>
                </c:pt>
                <c:pt idx="1672">
                  <c:v>161.34</c:v>
                </c:pt>
                <c:pt idx="1673">
                  <c:v>223.792709</c:v>
                </c:pt>
                <c:pt idx="1674">
                  <c:v>158.05000000000001</c:v>
                </c:pt>
                <c:pt idx="1675">
                  <c:v>222.86386100000001</c:v>
                </c:pt>
                <c:pt idx="1676">
                  <c:v>154.69999999999999</c:v>
                </c:pt>
                <c:pt idx="1677">
                  <c:v>222.03074599999999</c:v>
                </c:pt>
                <c:pt idx="1678">
                  <c:v>152.76</c:v>
                </c:pt>
                <c:pt idx="1679">
                  <c:v>223.18940699999999</c:v>
                </c:pt>
                <c:pt idx="1680">
                  <c:v>153.79</c:v>
                </c:pt>
                <c:pt idx="1681">
                  <c:v>220.45079000000001</c:v>
                </c:pt>
                <c:pt idx="1682">
                  <c:v>152.6</c:v>
                </c:pt>
                <c:pt idx="1683">
                  <c:v>219.76132200000001</c:v>
                </c:pt>
                <c:pt idx="1684">
                  <c:v>152.31</c:v>
                </c:pt>
                <c:pt idx="1685">
                  <c:v>214.73413099999999</c:v>
                </c:pt>
                <c:pt idx="1686">
                  <c:v>154.35</c:v>
                </c:pt>
                <c:pt idx="1687">
                  <c:v>211.84227000000001</c:v>
                </c:pt>
                <c:pt idx="1688">
                  <c:v>156.88</c:v>
                </c:pt>
                <c:pt idx="1689">
                  <c:v>208.98872399999999</c:v>
                </c:pt>
                <c:pt idx="1690">
                  <c:v>155.54</c:v>
                </c:pt>
                <c:pt idx="1691">
                  <c:v>216.429001</c:v>
                </c:pt>
                <c:pt idx="1692">
                  <c:v>153.75</c:v>
                </c:pt>
                <c:pt idx="1693">
                  <c:v>215.72998000000001</c:v>
                </c:pt>
                <c:pt idx="1694">
                  <c:v>151.4</c:v>
                </c:pt>
                <c:pt idx="1695">
                  <c:v>220.89123499999999</c:v>
                </c:pt>
                <c:pt idx="1696">
                  <c:v>156.79</c:v>
                </c:pt>
                <c:pt idx="1697">
                  <c:v>223.71610999999999</c:v>
                </c:pt>
                <c:pt idx="1698">
                  <c:v>154.59</c:v>
                </c:pt>
                <c:pt idx="1699">
                  <c:v>216.85034200000001</c:v>
                </c:pt>
                <c:pt idx="1700">
                  <c:v>154.08000000000001</c:v>
                </c:pt>
                <c:pt idx="1701">
                  <c:v>220.94873000000001</c:v>
                </c:pt>
                <c:pt idx="1702">
                  <c:v>154.47</c:v>
                </c:pt>
                <c:pt idx="1703">
                  <c:v>219.28256200000001</c:v>
                </c:pt>
                <c:pt idx="1704">
                  <c:v>155.68</c:v>
                </c:pt>
                <c:pt idx="1705">
                  <c:v>210.43464700000001</c:v>
                </c:pt>
                <c:pt idx="1706">
                  <c:v>152.88</c:v>
                </c:pt>
                <c:pt idx="1707">
                  <c:v>211.67948899999999</c:v>
                </c:pt>
                <c:pt idx="1708">
                  <c:v>153.13999999999999</c:v>
                </c:pt>
                <c:pt idx="1709">
                  <c:v>207.600281</c:v>
                </c:pt>
                <c:pt idx="1710">
                  <c:v>147.6</c:v>
                </c:pt>
                <c:pt idx="1711">
                  <c:v>212.177414</c:v>
                </c:pt>
                <c:pt idx="1712">
                  <c:v>150.02000000000001</c:v>
                </c:pt>
                <c:pt idx="1713">
                  <c:v>210.817688</c:v>
                </c:pt>
                <c:pt idx="1714">
                  <c:v>148.88</c:v>
                </c:pt>
                <c:pt idx="1715">
                  <c:v>203.74125699999999</c:v>
                </c:pt>
                <c:pt idx="1716">
                  <c:v>150.25</c:v>
                </c:pt>
                <c:pt idx="1717">
                  <c:v>205.79045099999999</c:v>
                </c:pt>
                <c:pt idx="1718">
                  <c:v>154.72999999999999</c:v>
                </c:pt>
                <c:pt idx="1719">
                  <c:v>206.66184999999999</c:v>
                </c:pt>
                <c:pt idx="1720">
                  <c:v>157.31</c:v>
                </c:pt>
                <c:pt idx="1721">
                  <c:v>210.43464700000001</c:v>
                </c:pt>
                <c:pt idx="1722">
                  <c:v>154.65</c:v>
                </c:pt>
                <c:pt idx="1723">
                  <c:v>206.71928399999999</c:v>
                </c:pt>
                <c:pt idx="1724">
                  <c:v>152.86000000000001</c:v>
                </c:pt>
                <c:pt idx="1725">
                  <c:v>212.407242</c:v>
                </c:pt>
                <c:pt idx="1726">
                  <c:v>157.97999999999999</c:v>
                </c:pt>
                <c:pt idx="1727">
                  <c:v>213.029663</c:v>
                </c:pt>
                <c:pt idx="1728">
                  <c:v>159.72999999999999</c:v>
                </c:pt>
                <c:pt idx="1729">
                  <c:v>210.836792</c:v>
                </c:pt>
                <c:pt idx="1730">
                  <c:v>159.04</c:v>
                </c:pt>
                <c:pt idx="1731">
                  <c:v>208.806793</c:v>
                </c:pt>
                <c:pt idx="1732">
                  <c:v>162.49</c:v>
                </c:pt>
                <c:pt idx="1733">
                  <c:v>201.00264000000001</c:v>
                </c:pt>
                <c:pt idx="1734">
                  <c:v>166.41</c:v>
                </c:pt>
                <c:pt idx="1735">
                  <c:v>191.43653900000001</c:v>
                </c:pt>
                <c:pt idx="1736">
                  <c:v>165.43</c:v>
                </c:pt>
                <c:pt idx="1737">
                  <c:v>193.71554599999999</c:v>
                </c:pt>
                <c:pt idx="1738">
                  <c:v>163.44999999999999</c:v>
                </c:pt>
                <c:pt idx="1739">
                  <c:v>193.79217499999999</c:v>
                </c:pt>
                <c:pt idx="1740">
                  <c:v>163.89</c:v>
                </c:pt>
                <c:pt idx="1741">
                  <c:v>189.58843999999999</c:v>
                </c:pt>
                <c:pt idx="1742">
                  <c:v>163.11000000000001</c:v>
                </c:pt>
                <c:pt idx="1743">
                  <c:v>189.933167</c:v>
                </c:pt>
                <c:pt idx="1744">
                  <c:v>164.33</c:v>
                </c:pt>
                <c:pt idx="1745">
                  <c:v>189.329926</c:v>
                </c:pt>
                <c:pt idx="1746">
                  <c:v>165.25</c:v>
                </c:pt>
                <c:pt idx="1747">
                  <c:v>188.90855400000001</c:v>
                </c:pt>
                <c:pt idx="1748">
                  <c:v>166.15</c:v>
                </c:pt>
                <c:pt idx="1749">
                  <c:v>189.07135</c:v>
                </c:pt>
                <c:pt idx="1750">
                  <c:v>167.61</c:v>
                </c:pt>
                <c:pt idx="1751">
                  <c:v>184.810181</c:v>
                </c:pt>
                <c:pt idx="1752">
                  <c:v>166.55</c:v>
                </c:pt>
                <c:pt idx="1753">
                  <c:v>183.517471</c:v>
                </c:pt>
                <c:pt idx="1754">
                  <c:v>165.63</c:v>
                </c:pt>
                <c:pt idx="1755">
                  <c:v>183.325974</c:v>
                </c:pt>
                <c:pt idx="1756">
                  <c:v>169</c:v>
                </c:pt>
                <c:pt idx="1757">
                  <c:v>184.33140599999999</c:v>
                </c:pt>
                <c:pt idx="1758">
                  <c:v>167.14</c:v>
                </c:pt>
                <c:pt idx="1759">
                  <c:v>176.881531</c:v>
                </c:pt>
                <c:pt idx="1760">
                  <c:v>160.31</c:v>
                </c:pt>
                <c:pt idx="1761">
                  <c:v>175.08131399999999</c:v>
                </c:pt>
                <c:pt idx="1762">
                  <c:v>161.88</c:v>
                </c:pt>
                <c:pt idx="1763">
                  <c:v>176.51767000000001</c:v>
                </c:pt>
                <c:pt idx="1764">
                  <c:v>161.63</c:v>
                </c:pt>
                <c:pt idx="1765">
                  <c:v>172.965103</c:v>
                </c:pt>
                <c:pt idx="1766">
                  <c:v>166.31</c:v>
                </c:pt>
                <c:pt idx="1767">
                  <c:v>179.26589999999999</c:v>
                </c:pt>
                <c:pt idx="1768">
                  <c:v>164.7</c:v>
                </c:pt>
                <c:pt idx="1769">
                  <c:v>179.39035000000001</c:v>
                </c:pt>
                <c:pt idx="1770">
                  <c:v>164.61</c:v>
                </c:pt>
                <c:pt idx="1771">
                  <c:v>183.79518100000001</c:v>
                </c:pt>
                <c:pt idx="1772">
                  <c:v>165.35</c:v>
                </c:pt>
                <c:pt idx="1773">
                  <c:v>184.03454600000001</c:v>
                </c:pt>
                <c:pt idx="1774">
                  <c:v>163.16999999999999</c:v>
                </c:pt>
                <c:pt idx="1775">
                  <c:v>184.17817700000001</c:v>
                </c:pt>
                <c:pt idx="1776">
                  <c:v>156.04</c:v>
                </c:pt>
                <c:pt idx="1777">
                  <c:v>185.82519500000001</c:v>
                </c:pt>
                <c:pt idx="1778">
                  <c:v>155.21</c:v>
                </c:pt>
                <c:pt idx="1779">
                  <c:v>185.37515300000001</c:v>
                </c:pt>
                <c:pt idx="1780">
                  <c:v>156.37</c:v>
                </c:pt>
                <c:pt idx="1781">
                  <c:v>188.023087</c:v>
                </c:pt>
                <c:pt idx="1782">
                  <c:v>158.29</c:v>
                </c:pt>
                <c:pt idx="1783">
                  <c:v>186.58483899999999</c:v>
                </c:pt>
                <c:pt idx="1784">
                  <c:v>156.04</c:v>
                </c:pt>
                <c:pt idx="1785">
                  <c:v>188.15644800000001</c:v>
                </c:pt>
                <c:pt idx="1786">
                  <c:v>155.71</c:v>
                </c:pt>
                <c:pt idx="1787">
                  <c:v>184.65124499999999</c:v>
                </c:pt>
                <c:pt idx="1788">
                  <c:v>159.13</c:v>
                </c:pt>
                <c:pt idx="1789">
                  <c:v>185.03227200000001</c:v>
                </c:pt>
                <c:pt idx="1790">
                  <c:v>158.11000000000001</c:v>
                </c:pt>
                <c:pt idx="1791">
                  <c:v>185.003693</c:v>
                </c:pt>
                <c:pt idx="1792">
                  <c:v>156.91999999999999</c:v>
                </c:pt>
                <c:pt idx="1793">
                  <c:v>184.65124499999999</c:v>
                </c:pt>
                <c:pt idx="1794">
                  <c:v>160.93</c:v>
                </c:pt>
                <c:pt idx="1795">
                  <c:v>174.916718</c:v>
                </c:pt>
                <c:pt idx="1796">
                  <c:v>159.33000000000001</c:v>
                </c:pt>
                <c:pt idx="1797">
                  <c:v>173.49749800000001</c:v>
                </c:pt>
                <c:pt idx="1798">
                  <c:v>162.85</c:v>
                </c:pt>
                <c:pt idx="1799">
                  <c:v>173.37370300000001</c:v>
                </c:pt>
                <c:pt idx="1800">
                  <c:v>164.29</c:v>
                </c:pt>
                <c:pt idx="1801">
                  <c:v>171.487717</c:v>
                </c:pt>
                <c:pt idx="1802">
                  <c:v>166.1</c:v>
                </c:pt>
                <c:pt idx="1803">
                  <c:v>168.25877399999999</c:v>
                </c:pt>
                <c:pt idx="1804">
                  <c:v>164.2</c:v>
                </c:pt>
                <c:pt idx="1805">
                  <c:v>169.897064</c:v>
                </c:pt>
                <c:pt idx="1806">
                  <c:v>158.63</c:v>
                </c:pt>
                <c:pt idx="1807">
                  <c:v>171.03053299999999</c:v>
                </c:pt>
                <c:pt idx="1808">
                  <c:v>159.26</c:v>
                </c:pt>
                <c:pt idx="1809">
                  <c:v>169.94470200000001</c:v>
                </c:pt>
                <c:pt idx="1810">
                  <c:v>160.33000000000001</c:v>
                </c:pt>
                <c:pt idx="1811">
                  <c:v>168.19207800000001</c:v>
                </c:pt>
                <c:pt idx="1812">
                  <c:v>160.31</c:v>
                </c:pt>
                <c:pt idx="1813">
                  <c:v>171.602036</c:v>
                </c:pt>
                <c:pt idx="1814">
                  <c:v>160.08000000000001</c:v>
                </c:pt>
                <c:pt idx="1815">
                  <c:v>172.364059</c:v>
                </c:pt>
                <c:pt idx="1816">
                  <c:v>161.80000000000001</c:v>
                </c:pt>
                <c:pt idx="1817">
                  <c:v>170.65905799999999</c:v>
                </c:pt>
                <c:pt idx="1818">
                  <c:v>162.05000000000001</c:v>
                </c:pt>
                <c:pt idx="1819">
                  <c:v>170.97337300000001</c:v>
                </c:pt>
                <c:pt idx="1820">
                  <c:v>158.26</c:v>
                </c:pt>
                <c:pt idx="1821">
                  <c:v>173.106979</c:v>
                </c:pt>
                <c:pt idx="1822">
                  <c:v>157.85</c:v>
                </c:pt>
                <c:pt idx="1823">
                  <c:v>169.59225499999999</c:v>
                </c:pt>
                <c:pt idx="1824">
                  <c:v>155.82</c:v>
                </c:pt>
                <c:pt idx="1825">
                  <c:v>170.773346</c:v>
                </c:pt>
                <c:pt idx="1826">
                  <c:v>155.07</c:v>
                </c:pt>
                <c:pt idx="1827">
                  <c:v>170.354263</c:v>
                </c:pt>
                <c:pt idx="1828">
                  <c:v>155.21</c:v>
                </c:pt>
                <c:pt idx="1829">
                  <c:v>171.51632699999999</c:v>
                </c:pt>
                <c:pt idx="1830">
                  <c:v>158.86000000000001</c:v>
                </c:pt>
                <c:pt idx="1831">
                  <c:v>170.34472700000001</c:v>
                </c:pt>
                <c:pt idx="1832">
                  <c:v>157.9</c:v>
                </c:pt>
                <c:pt idx="1833">
                  <c:v>170.220932</c:v>
                </c:pt>
                <c:pt idx="1834">
                  <c:v>158.13</c:v>
                </c:pt>
                <c:pt idx="1835">
                  <c:v>173.55465699999999</c:v>
                </c:pt>
                <c:pt idx="1836">
                  <c:v>159.34</c:v>
                </c:pt>
                <c:pt idx="1837">
                  <c:v>166.33471700000001</c:v>
                </c:pt>
                <c:pt idx="1838">
                  <c:v>160.18</c:v>
                </c:pt>
                <c:pt idx="1839">
                  <c:v>165.61082500000001</c:v>
                </c:pt>
                <c:pt idx="1840">
                  <c:v>161</c:v>
                </c:pt>
                <c:pt idx="1841">
                  <c:v>165.029785</c:v>
                </c:pt>
                <c:pt idx="1842">
                  <c:v>158.4</c:v>
                </c:pt>
                <c:pt idx="1843">
                  <c:v>165.34414699999999</c:v>
                </c:pt>
                <c:pt idx="1844">
                  <c:v>159.77000000000001</c:v>
                </c:pt>
                <c:pt idx="1845">
                  <c:v>166.763351</c:v>
                </c:pt>
                <c:pt idx="1846">
                  <c:v>159.25</c:v>
                </c:pt>
                <c:pt idx="1847">
                  <c:v>166.33471700000001</c:v>
                </c:pt>
                <c:pt idx="1848">
                  <c:v>155.9</c:v>
                </c:pt>
                <c:pt idx="1849">
                  <c:v>168.496872</c:v>
                </c:pt>
                <c:pt idx="1850">
                  <c:v>154.91999999999999</c:v>
                </c:pt>
                <c:pt idx="1851">
                  <c:v>166.4776</c:v>
                </c:pt>
                <c:pt idx="1852">
                  <c:v>154.97</c:v>
                </c:pt>
                <c:pt idx="1853">
                  <c:v>164.048721</c:v>
                </c:pt>
                <c:pt idx="1854">
                  <c:v>155.85</c:v>
                </c:pt>
                <c:pt idx="1855">
                  <c:v>164.686905</c:v>
                </c:pt>
                <c:pt idx="1856">
                  <c:v>155.27000000000001</c:v>
                </c:pt>
                <c:pt idx="1857">
                  <c:v>164.53448499999999</c:v>
                </c:pt>
                <c:pt idx="1858">
                  <c:v>156.78</c:v>
                </c:pt>
                <c:pt idx="1859">
                  <c:v>163.743942</c:v>
                </c:pt>
                <c:pt idx="1860">
                  <c:v>156.55000000000001</c:v>
                </c:pt>
                <c:pt idx="1861">
                  <c:v>164.96310399999999</c:v>
                </c:pt>
                <c:pt idx="1862">
                  <c:v>156.44</c:v>
                </c:pt>
                <c:pt idx="1863">
                  <c:v>163.553436</c:v>
                </c:pt>
                <c:pt idx="1864">
                  <c:v>155.51</c:v>
                </c:pt>
                <c:pt idx="1865">
                  <c:v>161.09599299999999</c:v>
                </c:pt>
                <c:pt idx="1866">
                  <c:v>156.87</c:v>
                </c:pt>
                <c:pt idx="1867">
                  <c:v>161.41030900000001</c:v>
                </c:pt>
                <c:pt idx="1868">
                  <c:v>151.75</c:v>
                </c:pt>
                <c:pt idx="1869">
                  <c:v>164.11540199999999</c:v>
                </c:pt>
                <c:pt idx="1870">
                  <c:v>157.19</c:v>
                </c:pt>
                <c:pt idx="1871">
                  <c:v>162.70571899999999</c:v>
                </c:pt>
                <c:pt idx="1872">
                  <c:v>165.57</c:v>
                </c:pt>
                <c:pt idx="1873">
                  <c:v>153.628387</c:v>
                </c:pt>
                <c:pt idx="1874">
                  <c:v>166.1</c:v>
                </c:pt>
                <c:pt idx="1875">
                  <c:v>155.342896</c:v>
                </c:pt>
                <c:pt idx="1876">
                  <c:v>162.06</c:v>
                </c:pt>
                <c:pt idx="1877">
                  <c:v>147.856247</c:v>
                </c:pt>
                <c:pt idx="1878">
                  <c:v>152.41999999999999</c:v>
                </c:pt>
                <c:pt idx="1879">
                  <c:v>159.72439600000001</c:v>
                </c:pt>
                <c:pt idx="1880">
                  <c:v>150.22</c:v>
                </c:pt>
                <c:pt idx="1881">
                  <c:v>155.51432800000001</c:v>
                </c:pt>
                <c:pt idx="1882">
                  <c:v>151.81</c:v>
                </c:pt>
                <c:pt idx="1883">
                  <c:v>149.58981299999999</c:v>
                </c:pt>
                <c:pt idx="1884">
                  <c:v>160.55000000000001</c:v>
                </c:pt>
                <c:pt idx="1885">
                  <c:v>147.32287600000001</c:v>
                </c:pt>
                <c:pt idx="1886">
                  <c:v>158.13999999999999</c:v>
                </c:pt>
                <c:pt idx="1887">
                  <c:v>143.97958399999999</c:v>
                </c:pt>
                <c:pt idx="1888">
                  <c:v>164.32</c:v>
                </c:pt>
                <c:pt idx="1889">
                  <c:v>150.40896599999999</c:v>
                </c:pt>
                <c:pt idx="1890">
                  <c:v>160.35</c:v>
                </c:pt>
                <c:pt idx="1891">
                  <c:v>155.44766200000001</c:v>
                </c:pt>
                <c:pt idx="1892">
                  <c:v>160.22</c:v>
                </c:pt>
                <c:pt idx="1893">
                  <c:v>160.58163500000001</c:v>
                </c:pt>
                <c:pt idx="1894">
                  <c:v>158.82</c:v>
                </c:pt>
                <c:pt idx="1895">
                  <c:v>160.61972</c:v>
                </c:pt>
                <c:pt idx="1896">
                  <c:v>159.25</c:v>
                </c:pt>
                <c:pt idx="1897">
                  <c:v>158.48014800000001</c:v>
                </c:pt>
                <c:pt idx="1898">
                  <c:v>160.85</c:v>
                </c:pt>
                <c:pt idx="1899">
                  <c:v>159.985443</c:v>
                </c:pt>
                <c:pt idx="1900">
                  <c:v>160.36000000000001</c:v>
                </c:pt>
                <c:pt idx="1901">
                  <c:v>158.60322600000001</c:v>
                </c:pt>
                <c:pt idx="1902">
                  <c:v>163.63999999999999</c:v>
                </c:pt>
                <c:pt idx="1903">
                  <c:v>159.75820899999999</c:v>
                </c:pt>
                <c:pt idx="1904">
                  <c:v>166.93</c:v>
                </c:pt>
                <c:pt idx="1905">
                  <c:v>156.24588</c:v>
                </c:pt>
                <c:pt idx="1906">
                  <c:v>168.19</c:v>
                </c:pt>
                <c:pt idx="1907">
                  <c:v>154.89212000000001</c:v>
                </c:pt>
                <c:pt idx="1908">
                  <c:v>172.18</c:v>
                </c:pt>
                <c:pt idx="1909">
                  <c:v>153.48149100000001</c:v>
                </c:pt>
                <c:pt idx="1910">
                  <c:v>172.15</c:v>
                </c:pt>
                <c:pt idx="1911">
                  <c:v>153.94537399999999</c:v>
                </c:pt>
                <c:pt idx="1912">
                  <c:v>164.33</c:v>
                </c:pt>
                <c:pt idx="1913">
                  <c:v>150.47091699999999</c:v>
                </c:pt>
                <c:pt idx="1914">
                  <c:v>159.53</c:v>
                </c:pt>
                <c:pt idx="1915">
                  <c:v>148.312454</c:v>
                </c:pt>
                <c:pt idx="1916">
                  <c:v>159.78</c:v>
                </c:pt>
                <c:pt idx="1917">
                  <c:v>146.523132</c:v>
                </c:pt>
                <c:pt idx="1918">
                  <c:v>155</c:v>
                </c:pt>
                <c:pt idx="1919">
                  <c:v>143.45579499999999</c:v>
                </c:pt>
                <c:pt idx="1920">
                  <c:v>159.96</c:v>
                </c:pt>
                <c:pt idx="1921">
                  <c:v>145.31134</c:v>
                </c:pt>
                <c:pt idx="1922">
                  <c:v>156.25</c:v>
                </c:pt>
                <c:pt idx="1923">
                  <c:v>141.95048499999999</c:v>
                </c:pt>
                <c:pt idx="1924">
                  <c:v>161.06</c:v>
                </c:pt>
                <c:pt idx="1925">
                  <c:v>138.89260899999999</c:v>
                </c:pt>
                <c:pt idx="1926">
                  <c:v>157.44</c:v>
                </c:pt>
                <c:pt idx="1927">
                  <c:v>141.20259100000001</c:v>
                </c:pt>
                <c:pt idx="1928">
                  <c:v>157.24</c:v>
                </c:pt>
                <c:pt idx="1929">
                  <c:v>139.55531300000001</c:v>
                </c:pt>
                <c:pt idx="1930">
                  <c:v>158.69999999999999</c:v>
                </c:pt>
                <c:pt idx="1931">
                  <c:v>139.810913</c:v>
                </c:pt>
                <c:pt idx="1932">
                  <c:v>154.76</c:v>
                </c:pt>
                <c:pt idx="1933">
                  <c:v>138.13523900000001</c:v>
                </c:pt>
                <c:pt idx="1934">
                  <c:v>150.99</c:v>
                </c:pt>
                <c:pt idx="1935">
                  <c:v>137.40625</c:v>
                </c:pt>
                <c:pt idx="1936">
                  <c:v>149.99</c:v>
                </c:pt>
                <c:pt idx="1937">
                  <c:v>136.68678299999999</c:v>
                </c:pt>
                <c:pt idx="1938">
                  <c:v>156.44999999999999</c:v>
                </c:pt>
                <c:pt idx="1939">
                  <c:v>139.30914300000001</c:v>
                </c:pt>
                <c:pt idx="1940">
                  <c:v>148.02000000000001</c:v>
                </c:pt>
                <c:pt idx="1941">
                  <c:v>137.586151</c:v>
                </c:pt>
                <c:pt idx="1942">
                  <c:v>147.75</c:v>
                </c:pt>
                <c:pt idx="1943">
                  <c:v>144.269958</c:v>
                </c:pt>
                <c:pt idx="1944">
                  <c:v>150.44</c:v>
                </c:pt>
                <c:pt idx="1945">
                  <c:v>145.67108200000001</c:v>
                </c:pt>
                <c:pt idx="1946">
                  <c:v>153.9</c:v>
                </c:pt>
                <c:pt idx="1947">
                  <c:v>143.058167</c:v>
                </c:pt>
                <c:pt idx="1948">
                  <c:v>157.81</c:v>
                </c:pt>
                <c:pt idx="1949">
                  <c:v>140.681915</c:v>
                </c:pt>
                <c:pt idx="1950">
                  <c:v>155.15</c:v>
                </c:pt>
                <c:pt idx="1951">
                  <c:v>145.330276</c:v>
                </c:pt>
                <c:pt idx="1952">
                  <c:v>155.81</c:v>
                </c:pt>
                <c:pt idx="1953">
                  <c:v>145.63322400000001</c:v>
                </c:pt>
                <c:pt idx="1954">
                  <c:v>158.76</c:v>
                </c:pt>
                <c:pt idx="1955">
                  <c:v>141.87477100000001</c:v>
                </c:pt>
                <c:pt idx="1956">
                  <c:v>163.43</c:v>
                </c:pt>
                <c:pt idx="1957">
                  <c:v>144.55398600000001</c:v>
                </c:pt>
                <c:pt idx="1958">
                  <c:v>157.49</c:v>
                </c:pt>
                <c:pt idx="1959">
                  <c:v>140.60618600000001</c:v>
                </c:pt>
                <c:pt idx="1960">
                  <c:v>164.73</c:v>
                </c:pt>
                <c:pt idx="1961">
                  <c:v>140.28427099999999</c:v>
                </c:pt>
                <c:pt idx="1962">
                  <c:v>168.4</c:v>
                </c:pt>
                <c:pt idx="1963">
                  <c:v>138.93995699999999</c:v>
                </c:pt>
                <c:pt idx="1964">
                  <c:v>176.57</c:v>
                </c:pt>
                <c:pt idx="1965">
                  <c:v>141.316193</c:v>
                </c:pt>
                <c:pt idx="1966">
                  <c:v>174.96</c:v>
                </c:pt>
                <c:pt idx="1967">
                  <c:v>138.26776100000001</c:v>
                </c:pt>
                <c:pt idx="1968">
                  <c:v>172.55</c:v>
                </c:pt>
                <c:pt idx="1969">
                  <c:v>134.727081</c:v>
                </c:pt>
                <c:pt idx="1970">
                  <c:v>170.09</c:v>
                </c:pt>
                <c:pt idx="1971">
                  <c:v>135.97673</c:v>
                </c:pt>
                <c:pt idx="1972">
                  <c:v>170</c:v>
                </c:pt>
                <c:pt idx="1973">
                  <c:v>135.73057600000001</c:v>
                </c:pt>
                <c:pt idx="1974">
                  <c:v>172.09</c:v>
                </c:pt>
                <c:pt idx="1975">
                  <c:v>134.272659</c:v>
                </c:pt>
                <c:pt idx="1976">
                  <c:v>167.32</c:v>
                </c:pt>
                <c:pt idx="1977">
                  <c:v>133.62886</c:v>
                </c:pt>
                <c:pt idx="1978">
                  <c:v>165.37</c:v>
                </c:pt>
                <c:pt idx="1979">
                  <c:v>134.13064600000001</c:v>
                </c:pt>
                <c:pt idx="1980">
                  <c:v>164.24</c:v>
                </c:pt>
                <c:pt idx="1981">
                  <c:v>131.053833</c:v>
                </c:pt>
                <c:pt idx="1982">
                  <c:v>164.87</c:v>
                </c:pt>
                <c:pt idx="1983">
                  <c:v>130.15443400000001</c:v>
                </c:pt>
                <c:pt idx="1984">
                  <c:v>163.02000000000001</c:v>
                </c:pt>
                <c:pt idx="1985">
                  <c:v>130.66566499999999</c:v>
                </c:pt>
                <c:pt idx="1986">
                  <c:v>165.62</c:v>
                </c:pt>
                <c:pt idx="1987">
                  <c:v>130.996994</c:v>
                </c:pt>
                <c:pt idx="1988">
                  <c:v>159.12</c:v>
                </c:pt>
                <c:pt idx="1989">
                  <c:v>131.328339</c:v>
                </c:pt>
                <c:pt idx="1990">
                  <c:v>157.4</c:v>
                </c:pt>
                <c:pt idx="1991">
                  <c:v>132.50225800000001</c:v>
                </c:pt>
                <c:pt idx="1992">
                  <c:v>158.05000000000001</c:v>
                </c:pt>
                <c:pt idx="1993">
                  <c:v>133.17446899999999</c:v>
                </c:pt>
                <c:pt idx="1994">
                  <c:v>158.11000000000001</c:v>
                </c:pt>
                <c:pt idx="1995">
                  <c:v>134.973206</c:v>
                </c:pt>
                <c:pt idx="1996">
                  <c:v>154.03</c:v>
                </c:pt>
                <c:pt idx="1997">
                  <c:v>134.93536399999999</c:v>
                </c:pt>
                <c:pt idx="1998">
                  <c:v>157.41</c:v>
                </c:pt>
                <c:pt idx="1999">
                  <c:v>134.45251500000001</c:v>
                </c:pt>
                <c:pt idx="2000">
                  <c:v>158.37</c:v>
                </c:pt>
                <c:pt idx="2001">
                  <c:v>127.73084299999999</c:v>
                </c:pt>
                <c:pt idx="2002">
                  <c:v>161.25</c:v>
                </c:pt>
                <c:pt idx="2003">
                  <c:v>127.229095</c:v>
                </c:pt>
                <c:pt idx="2004">
                  <c:v>160.25</c:v>
                </c:pt>
                <c:pt idx="2005">
                  <c:v>127.77819100000001</c:v>
                </c:pt>
                <c:pt idx="2006">
                  <c:v>156.94</c:v>
                </c:pt>
                <c:pt idx="2007">
                  <c:v>124.512016</c:v>
                </c:pt>
                <c:pt idx="2008">
                  <c:v>155.59</c:v>
                </c:pt>
                <c:pt idx="2009">
                  <c:v>124.758133</c:v>
                </c:pt>
                <c:pt idx="2010">
                  <c:v>158.22999999999999</c:v>
                </c:pt>
                <c:pt idx="2011">
                  <c:v>125.799515</c:v>
                </c:pt>
                <c:pt idx="2012">
                  <c:v>152.59</c:v>
                </c:pt>
                <c:pt idx="2013">
                  <c:v>129.444366</c:v>
                </c:pt>
                <c:pt idx="2014">
                  <c:v>151.68</c:v>
                </c:pt>
                <c:pt idx="2015">
                  <c:v>133.041901</c:v>
                </c:pt>
                <c:pt idx="2016">
                  <c:v>150.02000000000001</c:v>
                </c:pt>
                <c:pt idx="2017">
                  <c:v>130.67512500000001</c:v>
                </c:pt>
                <c:pt idx="2018">
                  <c:v>152.76</c:v>
                </c:pt>
                <c:pt idx="2019">
                  <c:v>132.43604999999999</c:v>
                </c:pt>
                <c:pt idx="2020">
                  <c:v>150.44999999999999</c:v>
                </c:pt>
                <c:pt idx="2021">
                  <c:v>130.2491</c:v>
                </c:pt>
                <c:pt idx="2022">
                  <c:v>149.33000000000001</c:v>
                </c:pt>
                <c:pt idx="2023">
                  <c:v>129.32131999999999</c:v>
                </c:pt>
                <c:pt idx="2024">
                  <c:v>155</c:v>
                </c:pt>
                <c:pt idx="2025">
                  <c:v>129.68104600000001</c:v>
                </c:pt>
                <c:pt idx="2026">
                  <c:v>156.91</c:v>
                </c:pt>
                <c:pt idx="2027">
                  <c:v>128.63021900000001</c:v>
                </c:pt>
                <c:pt idx="2028">
                  <c:v>159.84</c:v>
                </c:pt>
                <c:pt idx="2029">
                  <c:v>127.456284</c:v>
                </c:pt>
                <c:pt idx="2030">
                  <c:v>148.1</c:v>
                </c:pt>
                <c:pt idx="2031">
                  <c:v>129.60531599999999</c:v>
                </c:pt>
                <c:pt idx="2032">
                  <c:v>149.99</c:v>
                </c:pt>
                <c:pt idx="2033">
                  <c:v>130.20176699999999</c:v>
                </c:pt>
                <c:pt idx="2034">
                  <c:v>150.44</c:v>
                </c:pt>
                <c:pt idx="2035">
                  <c:v>130.013824</c:v>
                </c:pt>
                <c:pt idx="2036">
                  <c:v>154.19999999999999</c:v>
                </c:pt>
                <c:pt idx="2037">
                  <c:v>128.623108</c:v>
                </c:pt>
                <c:pt idx="2038">
                  <c:v>155.19999999999999</c:v>
                </c:pt>
                <c:pt idx="2039">
                  <c:v>122.693764</c:v>
                </c:pt>
                <c:pt idx="2040">
                  <c:v>160</c:v>
                </c:pt>
                <c:pt idx="2041">
                  <c:v>120.288162</c:v>
                </c:pt>
                <c:pt idx="2042">
                  <c:v>159.13</c:v>
                </c:pt>
                <c:pt idx="2043">
                  <c:v>118.145714</c:v>
                </c:pt>
                <c:pt idx="2044">
                  <c:v>154.06</c:v>
                </c:pt>
                <c:pt idx="2045">
                  <c:v>120.400932</c:v>
                </c:pt>
                <c:pt idx="2046">
                  <c:v>150.01</c:v>
                </c:pt>
                <c:pt idx="2047">
                  <c:v>119.52703099999999</c:v>
                </c:pt>
                <c:pt idx="2048">
                  <c:v>152.85</c:v>
                </c:pt>
                <c:pt idx="2049">
                  <c:v>121.622505</c:v>
                </c:pt>
                <c:pt idx="2050">
                  <c:v>144.51</c:v>
                </c:pt>
                <c:pt idx="2051">
                  <c:v>120.015663</c:v>
                </c:pt>
                <c:pt idx="2052">
                  <c:v>143.93</c:v>
                </c:pt>
                <c:pt idx="2053">
                  <c:v>118.45579499999999</c:v>
                </c:pt>
                <c:pt idx="2054">
                  <c:v>137.94</c:v>
                </c:pt>
                <c:pt idx="2055">
                  <c:v>118.869247</c:v>
                </c:pt>
                <c:pt idx="2056">
                  <c:v>134.02000000000001</c:v>
                </c:pt>
                <c:pt idx="2057">
                  <c:v>117.694664</c:v>
                </c:pt>
                <c:pt idx="2058">
                  <c:v>134.63999999999999</c:v>
                </c:pt>
                <c:pt idx="2059">
                  <c:v>115.00717899999999</c:v>
                </c:pt>
                <c:pt idx="2060">
                  <c:v>137.72999999999999</c:v>
                </c:pt>
                <c:pt idx="2061">
                  <c:v>117.187225</c:v>
                </c:pt>
                <c:pt idx="2062">
                  <c:v>136.72</c:v>
                </c:pt>
                <c:pt idx="2063">
                  <c:v>114.697075</c:v>
                </c:pt>
                <c:pt idx="2064">
                  <c:v>138.22</c:v>
                </c:pt>
                <c:pt idx="2065">
                  <c:v>118.634338</c:v>
                </c:pt>
                <c:pt idx="2066">
                  <c:v>135.69</c:v>
                </c:pt>
                <c:pt idx="2067">
                  <c:v>118.20208</c:v>
                </c:pt>
                <c:pt idx="2068">
                  <c:v>133.75</c:v>
                </c:pt>
                <c:pt idx="2069">
                  <c:v>119.771339</c:v>
                </c:pt>
                <c:pt idx="2070">
                  <c:v>132.69999999999999</c:v>
                </c:pt>
                <c:pt idx="2071">
                  <c:v>119.893501</c:v>
                </c:pt>
                <c:pt idx="2072">
                  <c:v>132.05000000000001</c:v>
                </c:pt>
                <c:pt idx="2073">
                  <c:v>120.494888</c:v>
                </c:pt>
                <c:pt idx="2074">
                  <c:v>130.76</c:v>
                </c:pt>
                <c:pt idx="2075">
                  <c:v>122.26149700000001</c:v>
                </c:pt>
                <c:pt idx="2076">
                  <c:v>128.63</c:v>
                </c:pt>
                <c:pt idx="2077">
                  <c:v>116.153603</c:v>
                </c:pt>
                <c:pt idx="2078">
                  <c:v>127.25</c:v>
                </c:pt>
                <c:pt idx="2079">
                  <c:v>115.721329</c:v>
                </c:pt>
                <c:pt idx="2080">
                  <c:v>127.9</c:v>
                </c:pt>
                <c:pt idx="2081">
                  <c:v>114.21785</c:v>
                </c:pt>
                <c:pt idx="2082">
                  <c:v>132.37</c:v>
                </c:pt>
                <c:pt idx="2083">
                  <c:v>124.45096599999999</c:v>
                </c:pt>
                <c:pt idx="2084">
                  <c:v>130.04</c:v>
                </c:pt>
                <c:pt idx="2085">
                  <c:v>126.09538999999999</c:v>
                </c:pt>
                <c:pt idx="2086">
                  <c:v>126.2</c:v>
                </c:pt>
                <c:pt idx="2087">
                  <c:v>129.41244499999999</c:v>
                </c:pt>
                <c:pt idx="2088">
                  <c:v>124.15</c:v>
                </c:pt>
                <c:pt idx="2089">
                  <c:v>126.969284</c:v>
                </c:pt>
                <c:pt idx="2090">
                  <c:v>123.03</c:v>
                </c:pt>
                <c:pt idx="2091">
                  <c:v>121.18087800000001</c:v>
                </c:pt>
                <c:pt idx="2092">
                  <c:v>123.92</c:v>
                </c:pt>
                <c:pt idx="2093">
                  <c:v>119.42366800000001</c:v>
                </c:pt>
                <c:pt idx="2094">
                  <c:v>123.62</c:v>
                </c:pt>
                <c:pt idx="2095">
                  <c:v>115.881073</c:v>
                </c:pt>
                <c:pt idx="2096">
                  <c:v>123.55</c:v>
                </c:pt>
                <c:pt idx="2097">
                  <c:v>113.231194</c:v>
                </c:pt>
                <c:pt idx="2098">
                  <c:v>122.12</c:v>
                </c:pt>
                <c:pt idx="2099">
                  <c:v>112.883499</c:v>
                </c:pt>
                <c:pt idx="2100">
                  <c:v>120.06</c:v>
                </c:pt>
                <c:pt idx="2101">
                  <c:v>113.456703</c:v>
                </c:pt>
                <c:pt idx="2102">
                  <c:v>120.52</c:v>
                </c:pt>
                <c:pt idx="2103">
                  <c:v>115.03536200000001</c:v>
                </c:pt>
                <c:pt idx="2104">
                  <c:v>121.09</c:v>
                </c:pt>
                <c:pt idx="2105">
                  <c:v>110.327591</c:v>
                </c:pt>
                <c:pt idx="2106">
                  <c:v>121.84</c:v>
                </c:pt>
                <c:pt idx="2107">
                  <c:v>105.68557</c:v>
                </c:pt>
                <c:pt idx="2108">
                  <c:v>122.34</c:v>
                </c:pt>
                <c:pt idx="2109">
                  <c:v>107.179665</c:v>
                </c:pt>
                <c:pt idx="2110">
                  <c:v>124.9</c:v>
                </c:pt>
                <c:pt idx="2111">
                  <c:v>108.71133399999999</c:v>
                </c:pt>
                <c:pt idx="2112">
                  <c:v>122.47</c:v>
                </c:pt>
                <c:pt idx="2113">
                  <c:v>105.319092</c:v>
                </c:pt>
                <c:pt idx="2114">
                  <c:v>121.31</c:v>
                </c:pt>
                <c:pt idx="2115">
                  <c:v>108.081749</c:v>
                </c:pt>
                <c:pt idx="2116">
                  <c:v>120.49</c:v>
                </c:pt>
                <c:pt idx="2117">
                  <c:v>101.410049</c:v>
                </c:pt>
                <c:pt idx="2118">
                  <c:v>119.44</c:v>
                </c:pt>
                <c:pt idx="2119">
                  <c:v>99.784392999999994</c:v>
                </c:pt>
                <c:pt idx="2120">
                  <c:v>118.4</c:v>
                </c:pt>
                <c:pt idx="2121">
                  <c:v>98.177543999999997</c:v>
                </c:pt>
                <c:pt idx="2122">
                  <c:v>117.85</c:v>
                </c:pt>
                <c:pt idx="2123">
                  <c:v>98.666190999999998</c:v>
                </c:pt>
                <c:pt idx="2124">
                  <c:v>120.45</c:v>
                </c:pt>
                <c:pt idx="2125">
                  <c:v>102.058426</c:v>
                </c:pt>
                <c:pt idx="2126">
                  <c:v>118.98</c:v>
                </c:pt>
                <c:pt idx="2127">
                  <c:v>105.34729</c:v>
                </c:pt>
                <c:pt idx="2128">
                  <c:v>118.38</c:v>
                </c:pt>
                <c:pt idx="2129">
                  <c:v>100.818039</c:v>
                </c:pt>
                <c:pt idx="2130">
                  <c:v>117.56</c:v>
                </c:pt>
                <c:pt idx="2131">
                  <c:v>101.17512499999999</c:v>
                </c:pt>
                <c:pt idx="2132">
                  <c:v>115.89</c:v>
                </c:pt>
                <c:pt idx="2133">
                  <c:v>102.340317</c:v>
                </c:pt>
                <c:pt idx="2134">
                  <c:v>115.8</c:v>
                </c:pt>
                <c:pt idx="2135">
                  <c:v>101.222092</c:v>
                </c:pt>
                <c:pt idx="2136">
                  <c:v>114.3</c:v>
                </c:pt>
                <c:pt idx="2137">
                  <c:v>104.19149</c:v>
                </c:pt>
                <c:pt idx="2138">
                  <c:v>123.7</c:v>
                </c:pt>
                <c:pt idx="2139">
                  <c:v>109.359718</c:v>
                </c:pt>
                <c:pt idx="2140">
                  <c:v>118.64</c:v>
                </c:pt>
                <c:pt idx="2141">
                  <c:v>112.81772599999999</c:v>
                </c:pt>
                <c:pt idx="2142">
                  <c:v>115.7</c:v>
                </c:pt>
                <c:pt idx="2143">
                  <c:v>108.495216</c:v>
                </c:pt>
                <c:pt idx="2144">
                  <c:v>118.8</c:v>
                </c:pt>
                <c:pt idx="2145">
                  <c:v>108.250885</c:v>
                </c:pt>
                <c:pt idx="2146">
                  <c:v>120.51</c:v>
                </c:pt>
                <c:pt idx="2147">
                  <c:v>107.160866</c:v>
                </c:pt>
                <c:pt idx="2148">
                  <c:v>119.97</c:v>
                </c:pt>
                <c:pt idx="2149">
                  <c:v>106.09903</c:v>
                </c:pt>
                <c:pt idx="2150">
                  <c:v>118.17</c:v>
                </c:pt>
                <c:pt idx="2151">
                  <c:v>103.965958</c:v>
                </c:pt>
                <c:pt idx="2152">
                  <c:v>116.41</c:v>
                </c:pt>
                <c:pt idx="2153">
                  <c:v>103.223625</c:v>
                </c:pt>
                <c:pt idx="2154">
                  <c:v>119.68</c:v>
                </c:pt>
                <c:pt idx="2155">
                  <c:v>107.687073</c:v>
                </c:pt>
                <c:pt idx="2156">
                  <c:v>118.75</c:v>
                </c:pt>
                <c:pt idx="2157">
                  <c:v>109.284538</c:v>
                </c:pt>
                <c:pt idx="2158">
                  <c:v>120.41</c:v>
                </c:pt>
                <c:pt idx="2159">
                  <c:v>105.42247</c:v>
                </c:pt>
                <c:pt idx="2160">
                  <c:v>115.38</c:v>
                </c:pt>
                <c:pt idx="2161">
                  <c:v>103.848854</c:v>
                </c:pt>
                <c:pt idx="2162">
                  <c:v>114.17</c:v>
                </c:pt>
                <c:pt idx="2163">
                  <c:v>108.457954</c:v>
                </c:pt>
                <c:pt idx="2164">
                  <c:v>108.44</c:v>
                </c:pt>
                <c:pt idx="2165">
                  <c:v>106.279099</c:v>
                </c:pt>
                <c:pt idx="2166">
                  <c:v>102.14</c:v>
                </c:pt>
                <c:pt idx="2167">
                  <c:v>116.41909800000001</c:v>
                </c:pt>
                <c:pt idx="2168">
                  <c:v>102.15</c:v>
                </c:pt>
                <c:pt idx="2169">
                  <c:v>118.62587000000001</c:v>
                </c:pt>
                <c:pt idx="2170">
                  <c:v>100.58</c:v>
                </c:pt>
                <c:pt idx="2171">
                  <c:v>113.52327</c:v>
                </c:pt>
                <c:pt idx="2172">
                  <c:v>99.88</c:v>
                </c:pt>
                <c:pt idx="2173">
                  <c:v>112.135887</c:v>
                </c:pt>
                <c:pt idx="2174">
                  <c:v>95.33</c:v>
                </c:pt>
                <c:pt idx="2175">
                  <c:v>106.772598</c:v>
                </c:pt>
                <c:pt idx="2176">
                  <c:v>95.94</c:v>
                </c:pt>
                <c:pt idx="2177">
                  <c:v>108.700035</c:v>
                </c:pt>
                <c:pt idx="2178">
                  <c:v>95.39</c:v>
                </c:pt>
                <c:pt idx="2179">
                  <c:v>103.681259</c:v>
                </c:pt>
                <c:pt idx="2180">
                  <c:v>97.49</c:v>
                </c:pt>
                <c:pt idx="2181">
                  <c:v>108.048241</c:v>
                </c:pt>
                <c:pt idx="2182">
                  <c:v>98.2</c:v>
                </c:pt>
                <c:pt idx="2183">
                  <c:v>104.01644899999999</c:v>
                </c:pt>
                <c:pt idx="2184">
                  <c:v>95</c:v>
                </c:pt>
                <c:pt idx="2185">
                  <c:v>98.178275999999997</c:v>
                </c:pt>
                <c:pt idx="2186">
                  <c:v>97.77</c:v>
                </c:pt>
                <c:pt idx="2187">
                  <c:v>102.889793</c:v>
                </c:pt>
                <c:pt idx="2188">
                  <c:v>94.29</c:v>
                </c:pt>
                <c:pt idx="2189">
                  <c:v>97.461296000000004</c:v>
                </c:pt>
                <c:pt idx="2190">
                  <c:v>97</c:v>
                </c:pt>
                <c:pt idx="2191">
                  <c:v>94.360634000000005</c:v>
                </c:pt>
                <c:pt idx="2192">
                  <c:v>95.14</c:v>
                </c:pt>
                <c:pt idx="2193">
                  <c:v>85.524215999999996</c:v>
                </c:pt>
                <c:pt idx="2194">
                  <c:v>92.3</c:v>
                </c:pt>
                <c:pt idx="2195">
                  <c:v>88.922852000000006</c:v>
                </c:pt>
                <c:pt idx="2196">
                  <c:v>94.05</c:v>
                </c:pt>
                <c:pt idx="2197">
                  <c:v>95.915633999999997</c:v>
                </c:pt>
                <c:pt idx="2198">
                  <c:v>91.5</c:v>
                </c:pt>
                <c:pt idx="2199">
                  <c:v>93.224663000000007</c:v>
                </c:pt>
                <c:pt idx="2200">
                  <c:v>90.39</c:v>
                </c:pt>
                <c:pt idx="2201">
                  <c:v>93.299149</c:v>
                </c:pt>
                <c:pt idx="2202">
                  <c:v>84.46</c:v>
                </c:pt>
                <c:pt idx="2203">
                  <c:v>86.976799</c:v>
                </c:pt>
                <c:pt idx="2204">
                  <c:v>89.25</c:v>
                </c:pt>
                <c:pt idx="2205">
                  <c:v>92.777725000000004</c:v>
                </c:pt>
                <c:pt idx="2206">
                  <c:v>83.83</c:v>
                </c:pt>
                <c:pt idx="2207">
                  <c:v>85.905983000000006</c:v>
                </c:pt>
                <c:pt idx="2208">
                  <c:v>91.04</c:v>
                </c:pt>
                <c:pt idx="2209">
                  <c:v>93.755424000000005</c:v>
                </c:pt>
                <c:pt idx="2210">
                  <c:v>94.59</c:v>
                </c:pt>
                <c:pt idx="2211">
                  <c:v>99.155959999999993</c:v>
                </c:pt>
                <c:pt idx="2212">
                  <c:v>90.03</c:v>
                </c:pt>
                <c:pt idx="2213">
                  <c:v>96.902634000000006</c:v>
                </c:pt>
                <c:pt idx="2214">
                  <c:v>95.05</c:v>
                </c:pt>
                <c:pt idx="2215">
                  <c:v>113.04840900000001</c:v>
                </c:pt>
                <c:pt idx="2216">
                  <c:v>96.2</c:v>
                </c:pt>
                <c:pt idx="2217">
                  <c:v>113.569847</c:v>
                </c:pt>
                <c:pt idx="2218">
                  <c:v>98.79</c:v>
                </c:pt>
                <c:pt idx="2219">
                  <c:v>118.62587000000001</c:v>
                </c:pt>
                <c:pt idx="2220">
                  <c:v>95.45</c:v>
                </c:pt>
                <c:pt idx="2221">
                  <c:v>115.813858</c:v>
                </c:pt>
                <c:pt idx="2222">
                  <c:v>97.7</c:v>
                </c:pt>
                <c:pt idx="2223">
                  <c:v>118.812088</c:v>
                </c:pt>
                <c:pt idx="2224">
                  <c:v>94.19</c:v>
                </c:pt>
                <c:pt idx="2225">
                  <c:v>115.68351</c:v>
                </c:pt>
                <c:pt idx="2226">
                  <c:v>94.21</c:v>
                </c:pt>
                <c:pt idx="2227">
                  <c:v>114.78029600000001</c:v>
                </c:pt>
                <c:pt idx="2228">
                  <c:v>98.98</c:v>
                </c:pt>
                <c:pt idx="2229">
                  <c:v>119.41733600000001</c:v>
                </c:pt>
                <c:pt idx="2230">
                  <c:v>98.64</c:v>
                </c:pt>
                <c:pt idx="2231">
                  <c:v>120.115669</c:v>
                </c:pt>
                <c:pt idx="2232">
                  <c:v>100.46</c:v>
                </c:pt>
                <c:pt idx="2233">
                  <c:v>123.067375</c:v>
                </c:pt>
                <c:pt idx="2234">
                  <c:v>104.8</c:v>
                </c:pt>
                <c:pt idx="2235">
                  <c:v>127.760284</c:v>
                </c:pt>
                <c:pt idx="2236">
                  <c:v>107.65</c:v>
                </c:pt>
                <c:pt idx="2237">
                  <c:v>127.49951900000001</c:v>
                </c:pt>
                <c:pt idx="2238">
                  <c:v>108.51</c:v>
                </c:pt>
                <c:pt idx="2239">
                  <c:v>127.434364</c:v>
                </c:pt>
                <c:pt idx="2240">
                  <c:v>107.78</c:v>
                </c:pt>
                <c:pt idx="2241">
                  <c:v>127.17366</c:v>
                </c:pt>
                <c:pt idx="2242">
                  <c:v>106.74</c:v>
                </c:pt>
                <c:pt idx="2243">
                  <c:v>128.486526</c:v>
                </c:pt>
                <c:pt idx="2244">
                  <c:v>107.49</c:v>
                </c:pt>
                <c:pt idx="2245">
                  <c:v>130.097397</c:v>
                </c:pt>
                <c:pt idx="2246">
                  <c:v>108</c:v>
                </c:pt>
                <c:pt idx="2247">
                  <c:v>129.97631799999999</c:v>
                </c:pt>
                <c:pt idx="2248">
                  <c:v>107.54</c:v>
                </c:pt>
                <c:pt idx="2249">
                  <c:v>126.810501</c:v>
                </c:pt>
                <c:pt idx="2250">
                  <c:v>106.7</c:v>
                </c:pt>
                <c:pt idx="2251">
                  <c:v>125.069305</c:v>
                </c:pt>
                <c:pt idx="2252">
                  <c:v>103.96</c:v>
                </c:pt>
                <c:pt idx="2253">
                  <c:v>124.184715</c:v>
                </c:pt>
                <c:pt idx="2254">
                  <c:v>102.51</c:v>
                </c:pt>
                <c:pt idx="2255">
                  <c:v>127.797501</c:v>
                </c:pt>
                <c:pt idx="2256">
                  <c:v>101.99</c:v>
                </c:pt>
                <c:pt idx="2257">
                  <c:v>127.974434</c:v>
                </c:pt>
                <c:pt idx="2258">
                  <c:v>102.48</c:v>
                </c:pt>
                <c:pt idx="2259">
                  <c:v>124.31506299999999</c:v>
                </c:pt>
                <c:pt idx="2260">
                  <c:v>100.21</c:v>
                </c:pt>
                <c:pt idx="2261">
                  <c:v>120.83266399999999</c:v>
                </c:pt>
                <c:pt idx="2262">
                  <c:v>100.44</c:v>
                </c:pt>
                <c:pt idx="2263">
                  <c:v>122.303848</c:v>
                </c:pt>
                <c:pt idx="2264">
                  <c:v>93.53</c:v>
                </c:pt>
                <c:pt idx="2265">
                  <c:v>126.046967</c:v>
                </c:pt>
                <c:pt idx="2266">
                  <c:v>92.9</c:v>
                </c:pt>
                <c:pt idx="2267">
                  <c:v>126.42873400000001</c:v>
                </c:pt>
                <c:pt idx="2268">
                  <c:v>92.66</c:v>
                </c:pt>
                <c:pt idx="2269">
                  <c:v>127.322632</c:v>
                </c:pt>
                <c:pt idx="2270">
                  <c:v>91.42</c:v>
                </c:pt>
                <c:pt idx="2271">
                  <c:v>126.382172</c:v>
                </c:pt>
                <c:pt idx="2272">
                  <c:v>93.08</c:v>
                </c:pt>
                <c:pt idx="2273">
                  <c:v>130.711929</c:v>
                </c:pt>
                <c:pt idx="2274">
                  <c:v>94.23</c:v>
                </c:pt>
                <c:pt idx="2275">
                  <c:v>132.918701</c:v>
                </c:pt>
                <c:pt idx="2276">
                  <c:v>94.37</c:v>
                </c:pt>
                <c:pt idx="2277">
                  <c:v>132.806961</c:v>
                </c:pt>
                <c:pt idx="2278">
                  <c:v>94.6</c:v>
                </c:pt>
                <c:pt idx="2279">
                  <c:v>135.805252</c:v>
                </c:pt>
                <c:pt idx="2280">
                  <c:v>93.24</c:v>
                </c:pt>
                <c:pt idx="2281">
                  <c:v>137.60232500000001</c:v>
                </c:pt>
                <c:pt idx="2282">
                  <c:v>93.9</c:v>
                </c:pt>
                <c:pt idx="2283">
                  <c:v>136.72702000000001</c:v>
                </c:pt>
                <c:pt idx="2284">
                  <c:v>93.1</c:v>
                </c:pt>
                <c:pt idx="2285">
                  <c:v>134.60034200000001</c:v>
                </c:pt>
                <c:pt idx="2286">
                  <c:v>93.47</c:v>
                </c:pt>
                <c:pt idx="2287">
                  <c:v>135.626678</c:v>
                </c:pt>
                <c:pt idx="2288">
                  <c:v>94.57</c:v>
                </c:pt>
                <c:pt idx="2289">
                  <c:v>135.756134</c:v>
                </c:pt>
                <c:pt idx="2290">
                  <c:v>94.16</c:v>
                </c:pt>
                <c:pt idx="2291">
                  <c:v>135.11814899999999</c:v>
                </c:pt>
                <c:pt idx="2292">
                  <c:v>95.05</c:v>
                </c:pt>
                <c:pt idx="2293">
                  <c:v>136.20924400000001</c:v>
                </c:pt>
                <c:pt idx="2294">
                  <c:v>94.6</c:v>
                </c:pt>
                <c:pt idx="2295">
                  <c:v>136.551331</c:v>
                </c:pt>
                <c:pt idx="2296">
                  <c:v>95.34</c:v>
                </c:pt>
                <c:pt idx="2297">
                  <c:v>135.34930399999999</c:v>
                </c:pt>
                <c:pt idx="2298">
                  <c:v>95.14</c:v>
                </c:pt>
                <c:pt idx="2299">
                  <c:v>137.161621</c:v>
                </c:pt>
                <c:pt idx="2300">
                  <c:v>93.75</c:v>
                </c:pt>
                <c:pt idx="2301">
                  <c:v>137.254074</c:v>
                </c:pt>
                <c:pt idx="2302">
                  <c:v>94.9</c:v>
                </c:pt>
                <c:pt idx="2303">
                  <c:v>139.18656899999999</c:v>
                </c:pt>
                <c:pt idx="2304">
                  <c:v>92.39</c:v>
                </c:pt>
                <c:pt idx="2305">
                  <c:v>92.34</c:v>
                </c:pt>
                <c:pt idx="2306">
                  <c:v>93.49</c:v>
                </c:pt>
                <c:pt idx="2307">
                  <c:v>93.44</c:v>
                </c:pt>
                <c:pt idx="2308">
                  <c:v>89.46</c:v>
                </c:pt>
                <c:pt idx="2309">
                  <c:v>89.65</c:v>
                </c:pt>
                <c:pt idx="2310">
                  <c:v>89.32</c:v>
                </c:pt>
                <c:pt idx="2311">
                  <c:v>89.61</c:v>
                </c:pt>
                <c:pt idx="2312">
                  <c:v>89.2</c:v>
                </c:pt>
                <c:pt idx="2313">
                  <c:v>89.53</c:v>
                </c:pt>
                <c:pt idx="2314">
                  <c:v>88.46</c:v>
                </c:pt>
                <c:pt idx="2315">
                  <c:v>88.05</c:v>
                </c:pt>
                <c:pt idx="2316">
                  <c:v>88.02</c:v>
                </c:pt>
                <c:pt idx="2317">
                  <c:v>87.44</c:v>
                </c:pt>
                <c:pt idx="2318">
                  <c:v>86.96</c:v>
                </c:pt>
                <c:pt idx="2319">
                  <c:v>87.48</c:v>
                </c:pt>
                <c:pt idx="2320">
                  <c:v>87.58</c:v>
                </c:pt>
                <c:pt idx="2321">
                  <c:v>87.02</c:v>
                </c:pt>
                <c:pt idx="2322">
                  <c:v>88.03</c:v>
                </c:pt>
                <c:pt idx="2323">
                  <c:v>88.5</c:v>
                </c:pt>
                <c:pt idx="2324">
                  <c:v>89.08</c:v>
                </c:pt>
                <c:pt idx="2325">
                  <c:v>90.04</c:v>
                </c:pt>
                <c:pt idx="2326">
                  <c:v>90.93</c:v>
                </c:pt>
                <c:pt idx="2327">
                  <c:v>89.85</c:v>
                </c:pt>
                <c:pt idx="2328">
                  <c:v>88.69</c:v>
                </c:pt>
                <c:pt idx="2329">
                  <c:v>87.29</c:v>
                </c:pt>
                <c:pt idx="2330">
                  <c:v>86.74</c:v>
                </c:pt>
                <c:pt idx="2331">
                  <c:v>87.28</c:v>
                </c:pt>
                <c:pt idx="2332">
                  <c:v>87.64</c:v>
                </c:pt>
                <c:pt idx="2333">
                  <c:v>87.63</c:v>
                </c:pt>
                <c:pt idx="2334">
                  <c:v>86.97</c:v>
                </c:pt>
                <c:pt idx="2335">
                  <c:v>87.73</c:v>
                </c:pt>
                <c:pt idx="2336">
                  <c:v>87.66</c:v>
                </c:pt>
                <c:pt idx="2337">
                  <c:v>88.9</c:v>
                </c:pt>
                <c:pt idx="2338">
                  <c:v>88.58</c:v>
                </c:pt>
                <c:pt idx="2339">
                  <c:v>89.29</c:v>
                </c:pt>
                <c:pt idx="2340">
                  <c:v>89.41</c:v>
                </c:pt>
                <c:pt idx="2341">
                  <c:v>89.79</c:v>
                </c:pt>
                <c:pt idx="2342">
                  <c:v>90.09</c:v>
                </c:pt>
                <c:pt idx="2343">
                  <c:v>90.23</c:v>
                </c:pt>
                <c:pt idx="2344">
                  <c:v>89.57</c:v>
                </c:pt>
                <c:pt idx="2345">
                  <c:v>88.83</c:v>
                </c:pt>
                <c:pt idx="2346">
                  <c:v>89</c:v>
                </c:pt>
                <c:pt idx="2347">
                  <c:v>88.14</c:v>
                </c:pt>
                <c:pt idx="2348">
                  <c:v>88.85</c:v>
                </c:pt>
                <c:pt idx="2349">
                  <c:v>88.07</c:v>
                </c:pt>
                <c:pt idx="2350">
                  <c:v>89.04</c:v>
                </c:pt>
                <c:pt idx="2351">
                  <c:v>88.11</c:v>
                </c:pt>
                <c:pt idx="2352">
                  <c:v>88.29</c:v>
                </c:pt>
                <c:pt idx="2353">
                  <c:v>89.28</c:v>
                </c:pt>
                <c:pt idx="2354">
                  <c:v>87.88</c:v>
                </c:pt>
                <c:pt idx="2355">
                  <c:v>89.37</c:v>
                </c:pt>
                <c:pt idx="2356">
                  <c:v>88.87</c:v>
                </c:pt>
                <c:pt idx="2357">
                  <c:v>88.37</c:v>
                </c:pt>
                <c:pt idx="2358">
                  <c:v>86.82</c:v>
                </c:pt>
                <c:pt idx="2359">
                  <c:v>86.6</c:v>
                </c:pt>
                <c:pt idx="2360">
                  <c:v>86.01</c:v>
                </c:pt>
                <c:pt idx="2361">
                  <c:v>86.1</c:v>
                </c:pt>
                <c:pt idx="2362">
                  <c:v>85.28</c:v>
                </c:pt>
                <c:pt idx="2363">
                  <c:v>86.63</c:v>
                </c:pt>
                <c:pt idx="2364">
                  <c:v>86.98</c:v>
                </c:pt>
                <c:pt idx="2365">
                  <c:v>86.22</c:v>
                </c:pt>
                <c:pt idx="2366">
                  <c:v>85.66</c:v>
                </c:pt>
                <c:pt idx="2367">
                  <c:v>86.78</c:v>
                </c:pt>
                <c:pt idx="2368">
                  <c:v>86.8</c:v>
                </c:pt>
                <c:pt idx="2369">
                  <c:v>86.27</c:v>
                </c:pt>
                <c:pt idx="2370">
                  <c:v>86.99</c:v>
                </c:pt>
                <c:pt idx="2371">
                  <c:v>88.42</c:v>
                </c:pt>
                <c:pt idx="2372">
                  <c:v>87.08</c:v>
                </c:pt>
                <c:pt idx="2373">
                  <c:v>89.26</c:v>
                </c:pt>
                <c:pt idx="2374">
                  <c:v>89.71</c:v>
                </c:pt>
                <c:pt idx="2375">
                  <c:v>91.07</c:v>
                </c:pt>
                <c:pt idx="2376">
                  <c:v>90.87</c:v>
                </c:pt>
                <c:pt idx="2377">
                  <c:v>91.13</c:v>
                </c:pt>
                <c:pt idx="2378">
                  <c:v>90.39</c:v>
                </c:pt>
                <c:pt idx="2379">
                  <c:v>91.97</c:v>
                </c:pt>
                <c:pt idx="2380">
                  <c:v>92.18</c:v>
                </c:pt>
                <c:pt idx="2381">
                  <c:v>91.15</c:v>
                </c:pt>
                <c:pt idx="2382">
                  <c:v>91.03</c:v>
                </c:pt>
                <c:pt idx="2383">
                  <c:v>91.57</c:v>
                </c:pt>
                <c:pt idx="2384">
                  <c:v>91.68</c:v>
                </c:pt>
                <c:pt idx="2385">
                  <c:v>92.04</c:v>
                </c:pt>
                <c:pt idx="2386">
                  <c:v>90.03</c:v>
                </c:pt>
                <c:pt idx="2387">
                  <c:v>89.49</c:v>
                </c:pt>
                <c:pt idx="2388">
                  <c:v>88.81</c:v>
                </c:pt>
                <c:pt idx="2389">
                  <c:v>89.32</c:v>
                </c:pt>
                <c:pt idx="2390">
                  <c:v>88.21</c:v>
                </c:pt>
                <c:pt idx="2391">
                  <c:v>88.09</c:v>
                </c:pt>
                <c:pt idx="2392">
                  <c:v>88.44</c:v>
                </c:pt>
                <c:pt idx="2393">
                  <c:v>87.48</c:v>
                </c:pt>
                <c:pt idx="2394">
                  <c:v>90.23</c:v>
                </c:pt>
                <c:pt idx="2395">
                  <c:v>91.18</c:v>
                </c:pt>
                <c:pt idx="2396">
                  <c:v>90.07</c:v>
                </c:pt>
                <c:pt idx="2397">
                  <c:v>90.81</c:v>
                </c:pt>
                <c:pt idx="2398">
                  <c:v>89.63</c:v>
                </c:pt>
                <c:pt idx="2399">
                  <c:v>88.81</c:v>
                </c:pt>
                <c:pt idx="2400">
                  <c:v>88.15</c:v>
                </c:pt>
                <c:pt idx="2401">
                  <c:v>91.22</c:v>
                </c:pt>
                <c:pt idx="2402">
                  <c:v>89.25</c:v>
                </c:pt>
                <c:pt idx="2403">
                  <c:v>90.38</c:v>
                </c:pt>
                <c:pt idx="2404">
                  <c:v>91.64</c:v>
                </c:pt>
                <c:pt idx="2405">
                  <c:v>89.67</c:v>
                </c:pt>
                <c:pt idx="2406">
                  <c:v>89.39</c:v>
                </c:pt>
                <c:pt idx="2407">
                  <c:v>88.26</c:v>
                </c:pt>
                <c:pt idx="2408">
                  <c:v>91.16</c:v>
                </c:pt>
                <c:pt idx="2409">
                  <c:v>92.77</c:v>
                </c:pt>
                <c:pt idx="2410">
                  <c:v>93.34</c:v>
                </c:pt>
                <c:pt idx="2411">
                  <c:v>94.93</c:v>
                </c:pt>
                <c:pt idx="2412">
                  <c:v>95.62</c:v>
                </c:pt>
                <c:pt idx="2413">
                  <c:v>97.15</c:v>
                </c:pt>
                <c:pt idx="2414">
                  <c:v>98.69</c:v>
                </c:pt>
                <c:pt idx="2415">
                  <c:v>100.04</c:v>
                </c:pt>
                <c:pt idx="2416">
                  <c:v>99.72</c:v>
                </c:pt>
                <c:pt idx="2417">
                  <c:v>99.28</c:v>
                </c:pt>
                <c:pt idx="2418">
                  <c:v>98.23</c:v>
                </c:pt>
                <c:pt idx="2419">
                  <c:v>98.89</c:v>
                </c:pt>
                <c:pt idx="2420">
                  <c:v>99.6</c:v>
                </c:pt>
                <c:pt idx="2421">
                  <c:v>100.5</c:v>
                </c:pt>
                <c:pt idx="2422">
                  <c:v>101.05</c:v>
                </c:pt>
                <c:pt idx="2423">
                  <c:v>100.55</c:v>
                </c:pt>
                <c:pt idx="2424">
                  <c:v>100.05</c:v>
                </c:pt>
                <c:pt idx="2425">
                  <c:v>100.87</c:v>
                </c:pt>
                <c:pt idx="2426">
                  <c:v>99.42</c:v>
                </c:pt>
                <c:pt idx="2427">
                  <c:v>97.62</c:v>
                </c:pt>
                <c:pt idx="2428">
                  <c:v>97.15</c:v>
                </c:pt>
                <c:pt idx="2429">
                  <c:v>96.95</c:v>
                </c:pt>
                <c:pt idx="2430">
                  <c:v>96.72</c:v>
                </c:pt>
                <c:pt idx="2431">
                  <c:v>96.11</c:v>
                </c:pt>
                <c:pt idx="2432">
                  <c:v>94.68</c:v>
                </c:pt>
                <c:pt idx="2433">
                  <c:v>95.21</c:v>
                </c:pt>
                <c:pt idx="2434">
                  <c:v>94.89</c:v>
                </c:pt>
                <c:pt idx="2435">
                  <c:v>93.91</c:v>
                </c:pt>
                <c:pt idx="2436">
                  <c:v>95.69</c:v>
                </c:pt>
                <c:pt idx="2437">
                  <c:v>95.57</c:v>
                </c:pt>
                <c:pt idx="2438">
                  <c:v>95.91</c:v>
                </c:pt>
                <c:pt idx="2439">
                  <c:v>95.44</c:v>
                </c:pt>
                <c:pt idx="2440">
                  <c:v>95.07</c:v>
                </c:pt>
                <c:pt idx="2441">
                  <c:v>94.3</c:v>
                </c:pt>
                <c:pt idx="2442">
                  <c:v>93.48</c:v>
                </c:pt>
                <c:pt idx="2443">
                  <c:v>93.51</c:v>
                </c:pt>
                <c:pt idx="2444">
                  <c:v>92.77</c:v>
                </c:pt>
                <c:pt idx="2445">
                  <c:v>93.18</c:v>
                </c:pt>
                <c:pt idx="2446">
                  <c:v>93.03</c:v>
                </c:pt>
                <c:pt idx="2447">
                  <c:v>90.2</c:v>
                </c:pt>
                <c:pt idx="2448">
                  <c:v>87.72</c:v>
                </c:pt>
                <c:pt idx="2449">
                  <c:v>86.93</c:v>
                </c:pt>
                <c:pt idx="2450">
                  <c:v>86.48</c:v>
                </c:pt>
                <c:pt idx="2451">
                  <c:v>84.63</c:v>
                </c:pt>
                <c:pt idx="2452">
                  <c:v>88.75</c:v>
                </c:pt>
                <c:pt idx="2453">
                  <c:v>90.82</c:v>
                </c:pt>
                <c:pt idx="2454">
                  <c:v>90.96</c:v>
                </c:pt>
                <c:pt idx="2455">
                  <c:v>91.82</c:v>
                </c:pt>
                <c:pt idx="2456">
                  <c:v>91.16</c:v>
                </c:pt>
                <c:pt idx="2457">
                  <c:v>90.77</c:v>
                </c:pt>
                <c:pt idx="2458">
                  <c:v>92.98</c:v>
                </c:pt>
                <c:pt idx="2459">
                  <c:v>92.88</c:v>
                </c:pt>
                <c:pt idx="2460">
                  <c:v>92.95</c:v>
                </c:pt>
                <c:pt idx="2461">
                  <c:v>93.45</c:v>
                </c:pt>
                <c:pt idx="2462">
                  <c:v>95.38</c:v>
                </c:pt>
                <c:pt idx="2463">
                  <c:v>93.56</c:v>
                </c:pt>
                <c:pt idx="2464">
                  <c:v>92.01</c:v>
                </c:pt>
                <c:pt idx="2465">
                  <c:v>91.13</c:v>
                </c:pt>
                <c:pt idx="2466">
                  <c:v>94.5</c:v>
                </c:pt>
                <c:pt idx="2467">
                  <c:v>94.99</c:v>
                </c:pt>
                <c:pt idx="2468">
                  <c:v>95.89</c:v>
                </c:pt>
                <c:pt idx="2469">
                  <c:v>96.05</c:v>
                </c:pt>
                <c:pt idx="2470">
                  <c:v>97.53</c:v>
                </c:pt>
                <c:pt idx="2471">
                  <c:v>98.12</c:v>
                </c:pt>
                <c:pt idx="2472">
                  <c:v>95.04</c:v>
                </c:pt>
                <c:pt idx="2473">
                  <c:v>95.58</c:v>
                </c:pt>
                <c:pt idx="2474">
                  <c:v>96.33</c:v>
                </c:pt>
                <c:pt idx="2475">
                  <c:v>96.92</c:v>
                </c:pt>
                <c:pt idx="2476">
                  <c:v>97.53</c:v>
                </c:pt>
                <c:pt idx="2477">
                  <c:v>95.11</c:v>
                </c:pt>
                <c:pt idx="2478">
                  <c:v>95.09</c:v>
                </c:pt>
                <c:pt idx="2479">
                  <c:v>96.19</c:v>
                </c:pt>
                <c:pt idx="2480">
                  <c:v>94.37</c:v>
                </c:pt>
                <c:pt idx="2481">
                  <c:v>93.08</c:v>
                </c:pt>
                <c:pt idx="2482">
                  <c:v>93.24</c:v>
                </c:pt>
                <c:pt idx="2483">
                  <c:v>93.15</c:v>
                </c:pt>
                <c:pt idx="2484">
                  <c:v>92.24</c:v>
                </c:pt>
                <c:pt idx="2485">
                  <c:v>92.15</c:v>
                </c:pt>
                <c:pt idx="2486">
                  <c:v>92.2</c:v>
                </c:pt>
                <c:pt idx="2487">
                  <c:v>92.37</c:v>
                </c:pt>
                <c:pt idx="2488">
                  <c:v>91.79</c:v>
                </c:pt>
                <c:pt idx="2489">
                  <c:v>92.49</c:v>
                </c:pt>
                <c:pt idx="2490">
                  <c:v>91.86</c:v>
                </c:pt>
                <c:pt idx="2491">
                  <c:v>90.94</c:v>
                </c:pt>
                <c:pt idx="2492">
                  <c:v>91.04</c:v>
                </c:pt>
                <c:pt idx="2493">
                  <c:v>90.7</c:v>
                </c:pt>
                <c:pt idx="2494">
                  <c:v>90.71</c:v>
                </c:pt>
                <c:pt idx="2495">
                  <c:v>89.04</c:v>
                </c:pt>
                <c:pt idx="2496">
                  <c:v>88.67</c:v>
                </c:pt>
                <c:pt idx="2497">
                  <c:v>88.29</c:v>
                </c:pt>
                <c:pt idx="2498">
                  <c:v>89.19</c:v>
                </c:pt>
                <c:pt idx="2499">
                  <c:v>88.71</c:v>
                </c:pt>
                <c:pt idx="2500">
                  <c:v>88.24</c:v>
                </c:pt>
                <c:pt idx="2501">
                  <c:v>90.96</c:v>
                </c:pt>
                <c:pt idx="2502">
                  <c:v>89.86</c:v>
                </c:pt>
                <c:pt idx="2503">
                  <c:v>88.09</c:v>
                </c:pt>
                <c:pt idx="2504">
                  <c:v>87.11</c:v>
                </c:pt>
                <c:pt idx="2505">
                  <c:v>85.62</c:v>
                </c:pt>
                <c:pt idx="2506">
                  <c:v>84.31</c:v>
                </c:pt>
                <c:pt idx="2507">
                  <c:v>84.54</c:v>
                </c:pt>
                <c:pt idx="2508">
                  <c:v>83.65</c:v>
                </c:pt>
                <c:pt idx="2509">
                  <c:v>83.53</c:v>
                </c:pt>
                <c:pt idx="2510">
                  <c:v>81.040000000000006</c:v>
                </c:pt>
                <c:pt idx="2511">
                  <c:v>81.3</c:v>
                </c:pt>
                <c:pt idx="2512">
                  <c:v>83.45</c:v>
                </c:pt>
                <c:pt idx="2513">
                  <c:v>84.62</c:v>
                </c:pt>
                <c:pt idx="2514">
                  <c:v>84.81</c:v>
                </c:pt>
                <c:pt idx="2515">
                  <c:v>83.59</c:v>
                </c:pt>
                <c:pt idx="2516">
                  <c:v>81.99</c:v>
                </c:pt>
                <c:pt idx="2517">
                  <c:v>82.05</c:v>
                </c:pt>
                <c:pt idx="2518">
                  <c:v>81.819999999999993</c:v>
                </c:pt>
                <c:pt idx="2519">
                  <c:v>81.650000000000006</c:v>
                </c:pt>
                <c:pt idx="2520">
                  <c:v>81.58</c:v>
                </c:pt>
                <c:pt idx="2521">
                  <c:v>80.97</c:v>
                </c:pt>
                <c:pt idx="2522">
                  <c:v>81.11</c:v>
                </c:pt>
                <c:pt idx="2523">
                  <c:v>81.38</c:v>
                </c:pt>
                <c:pt idx="2524">
                  <c:v>80.400000000000006</c:v>
                </c:pt>
                <c:pt idx="2525">
                  <c:v>81.13</c:v>
                </c:pt>
                <c:pt idx="2526">
                  <c:v>82</c:v>
                </c:pt>
                <c:pt idx="2527">
                  <c:v>81.900000000000006</c:v>
                </c:pt>
                <c:pt idx="2528">
                  <c:v>79.55</c:v>
                </c:pt>
                <c:pt idx="2529">
                  <c:v>79.41</c:v>
                </c:pt>
                <c:pt idx="2530">
                  <c:v>80.72</c:v>
                </c:pt>
                <c:pt idx="2531">
                  <c:v>82.01</c:v>
                </c:pt>
                <c:pt idx="2532">
                  <c:v>82.94</c:v>
                </c:pt>
                <c:pt idx="2533">
                  <c:v>81.67</c:v>
                </c:pt>
                <c:pt idx="2534">
                  <c:v>81.31</c:v>
                </c:pt>
                <c:pt idx="2535">
                  <c:v>85.94</c:v>
                </c:pt>
                <c:pt idx="2536">
                  <c:v>83.52</c:v>
                </c:pt>
                <c:pt idx="2537">
                  <c:v>79.69</c:v>
                </c:pt>
                <c:pt idx="2538">
                  <c:v>81.89</c:v>
                </c:pt>
                <c:pt idx="2539">
                  <c:v>83.53</c:v>
                </c:pt>
                <c:pt idx="2540">
                  <c:v>82.75</c:v>
                </c:pt>
                <c:pt idx="2541">
                  <c:v>82</c:v>
                </c:pt>
                <c:pt idx="2542">
                  <c:v>81.61</c:v>
                </c:pt>
                <c:pt idx="2543">
                  <c:v>84.81</c:v>
                </c:pt>
                <c:pt idx="2544">
                  <c:v>84.66</c:v>
                </c:pt>
                <c:pt idx="2545">
                  <c:v>84.19</c:v>
                </c:pt>
                <c:pt idx="2546">
                  <c:v>83.73</c:v>
                </c:pt>
                <c:pt idx="2547">
                  <c:v>80.86</c:v>
                </c:pt>
                <c:pt idx="2548">
                  <c:v>82.03</c:v>
                </c:pt>
                <c:pt idx="2549">
                  <c:v>82.81</c:v>
                </c:pt>
                <c:pt idx="2550">
                  <c:v>82.97</c:v>
                </c:pt>
                <c:pt idx="2551">
                  <c:v>82.83</c:v>
                </c:pt>
                <c:pt idx="2552">
                  <c:v>81.48</c:v>
                </c:pt>
                <c:pt idx="2553">
                  <c:v>78.77</c:v>
                </c:pt>
                <c:pt idx="2554">
                  <c:v>75.010000000000005</c:v>
                </c:pt>
                <c:pt idx="2555">
                  <c:v>76.959999999999994</c:v>
                </c:pt>
                <c:pt idx="2556">
                  <c:v>75.099999999999994</c:v>
                </c:pt>
                <c:pt idx="2557">
                  <c:v>73.900000000000006</c:v>
                </c:pt>
                <c:pt idx="2558">
                  <c:v>73.08</c:v>
                </c:pt>
                <c:pt idx="2559">
                  <c:v>73.540000000000006</c:v>
                </c:pt>
                <c:pt idx="2560">
                  <c:v>67.2</c:v>
                </c:pt>
                <c:pt idx="2561">
                  <c:v>68.87</c:v>
                </c:pt>
                <c:pt idx="2562">
                  <c:v>73.040000000000006</c:v>
                </c:pt>
                <c:pt idx="2563">
                  <c:v>74.75</c:v>
                </c:pt>
                <c:pt idx="2564">
                  <c:v>77.569999999999993</c:v>
                </c:pt>
                <c:pt idx="2565">
                  <c:v>76.05</c:v>
                </c:pt>
                <c:pt idx="2566">
                  <c:v>79.599999999999994</c:v>
                </c:pt>
                <c:pt idx="2567">
                  <c:v>82.92</c:v>
                </c:pt>
                <c:pt idx="2568">
                  <c:v>83.18</c:v>
                </c:pt>
                <c:pt idx="2569">
                  <c:v>82.16</c:v>
                </c:pt>
                <c:pt idx="2570">
                  <c:v>82.05</c:v>
                </c:pt>
                <c:pt idx="2571">
                  <c:v>81.459999999999994</c:v>
                </c:pt>
                <c:pt idx="2572">
                  <c:v>84.96</c:v>
                </c:pt>
                <c:pt idx="2573">
                  <c:v>83.42</c:v>
                </c:pt>
                <c:pt idx="2574">
                  <c:v>88.62</c:v>
                </c:pt>
                <c:pt idx="2575">
                  <c:v>84.51</c:v>
                </c:pt>
                <c:pt idx="2576">
                  <c:v>83.68</c:v>
                </c:pt>
                <c:pt idx="2577">
                  <c:v>83.89</c:v>
                </c:pt>
                <c:pt idx="2578">
                  <c:v>79.069999999999993</c:v>
                </c:pt>
                <c:pt idx="2579">
                  <c:v>79.069999999999993</c:v>
                </c:pt>
                <c:pt idx="2580">
                  <c:v>75.099999999999994</c:v>
                </c:pt>
                <c:pt idx="2581">
                  <c:v>75.84</c:v>
                </c:pt>
                <c:pt idx="2582">
                  <c:v>74.77</c:v>
                </c:pt>
                <c:pt idx="2583">
                  <c:v>75.61</c:v>
                </c:pt>
                <c:pt idx="2584">
                  <c:v>79.67</c:v>
                </c:pt>
                <c:pt idx="2585">
                  <c:v>80.97</c:v>
                </c:pt>
                <c:pt idx="2586">
                  <c:v>79.95</c:v>
                </c:pt>
                <c:pt idx="2587">
                  <c:v>81.56</c:v>
                </c:pt>
                <c:pt idx="2588">
                  <c:v>81.84</c:v>
                </c:pt>
                <c:pt idx="2589">
                  <c:v>85.62</c:v>
                </c:pt>
                <c:pt idx="2590">
                  <c:v>87.75</c:v>
                </c:pt>
                <c:pt idx="2591">
                  <c:v>87.77</c:v>
                </c:pt>
                <c:pt idx="2592">
                  <c:v>82.14</c:v>
                </c:pt>
                <c:pt idx="2593">
                  <c:v>81.39</c:v>
                </c:pt>
                <c:pt idx="2594">
                  <c:v>83.28</c:v>
                </c:pt>
                <c:pt idx="2595">
                  <c:v>83.28</c:v>
                </c:pt>
                <c:pt idx="2596">
                  <c:v>79.900000000000006</c:v>
                </c:pt>
                <c:pt idx="2597">
                  <c:v>76.52</c:v>
                </c:pt>
                <c:pt idx="2598">
                  <c:v>76.94</c:v>
                </c:pt>
                <c:pt idx="2599">
                  <c:v>82.14</c:v>
                </c:pt>
                <c:pt idx="2600">
                  <c:v>89.11</c:v>
                </c:pt>
                <c:pt idx="2601">
                  <c:v>83.21</c:v>
                </c:pt>
                <c:pt idx="2602">
                  <c:v>88.43</c:v>
                </c:pt>
                <c:pt idx="2603">
                  <c:v>89.46</c:v>
                </c:pt>
                <c:pt idx="2604">
                  <c:v>88.2</c:v>
                </c:pt>
                <c:pt idx="2605">
                  <c:v>88.54</c:v>
                </c:pt>
                <c:pt idx="2606">
                  <c:v>91.59</c:v>
                </c:pt>
                <c:pt idx="2607">
                  <c:v>91</c:v>
                </c:pt>
                <c:pt idx="2608">
                  <c:v>88.05</c:v>
                </c:pt>
                <c:pt idx="2609">
                  <c:v>89.43</c:v>
                </c:pt>
                <c:pt idx="2610">
                  <c:v>85.97</c:v>
                </c:pt>
                <c:pt idx="2611">
                  <c:v>87.76</c:v>
                </c:pt>
                <c:pt idx="2612">
                  <c:v>93.52</c:v>
                </c:pt>
                <c:pt idx="2613">
                  <c:v>93.22</c:v>
                </c:pt>
                <c:pt idx="2614">
                  <c:v>94.48</c:v>
                </c:pt>
                <c:pt idx="2615">
                  <c:v>95.47</c:v>
                </c:pt>
                <c:pt idx="2616">
                  <c:v>97.64</c:v>
                </c:pt>
                <c:pt idx="2617">
                  <c:v>98.57</c:v>
                </c:pt>
                <c:pt idx="2618">
                  <c:v>100.22</c:v>
                </c:pt>
                <c:pt idx="2619">
                  <c:v>100.15</c:v>
                </c:pt>
                <c:pt idx="2620">
                  <c:v>100.65</c:v>
                </c:pt>
                <c:pt idx="2621">
                  <c:v>98.74</c:v>
                </c:pt>
                <c:pt idx="2622">
                  <c:v>98.73</c:v>
                </c:pt>
                <c:pt idx="2623">
                  <c:v>96.72</c:v>
                </c:pt>
                <c:pt idx="2624">
                  <c:v>95.75</c:v>
                </c:pt>
                <c:pt idx="2625">
                  <c:v>97.21</c:v>
                </c:pt>
                <c:pt idx="2626">
                  <c:v>96.32</c:v>
                </c:pt>
                <c:pt idx="2627">
                  <c:v>97.05</c:v>
                </c:pt>
                <c:pt idx="2628">
                  <c:v>95.4</c:v>
                </c:pt>
                <c:pt idx="2629">
                  <c:v>98.51</c:v>
                </c:pt>
                <c:pt idx="2630">
                  <c:v>99.49</c:v>
                </c:pt>
                <c:pt idx="2631">
                  <c:v>99.5</c:v>
                </c:pt>
                <c:pt idx="2632">
                  <c:v>99.36</c:v>
                </c:pt>
                <c:pt idx="2633">
                  <c:v>96.95</c:v>
                </c:pt>
                <c:pt idx="2634">
                  <c:v>97.6</c:v>
                </c:pt>
                <c:pt idx="2635">
                  <c:v>97.92</c:v>
                </c:pt>
                <c:pt idx="2636">
                  <c:v>99.74</c:v>
                </c:pt>
                <c:pt idx="2637">
                  <c:v>101.98</c:v>
                </c:pt>
                <c:pt idx="2638">
                  <c:v>100.64</c:v>
                </c:pt>
                <c:pt idx="2639">
                  <c:v>100.12</c:v>
                </c:pt>
                <c:pt idx="2640">
                  <c:v>99.9</c:v>
                </c:pt>
                <c:pt idx="2641">
                  <c:v>96.64</c:v>
                </c:pt>
                <c:pt idx="2642">
                  <c:v>96.38</c:v>
                </c:pt>
                <c:pt idx="2643">
                  <c:v>95.27</c:v>
                </c:pt>
                <c:pt idx="2644">
                  <c:v>95.14</c:v>
                </c:pt>
                <c:pt idx="2645">
                  <c:v>95.25</c:v>
                </c:pt>
                <c:pt idx="2646">
                  <c:v>94.17</c:v>
                </c:pt>
                <c:pt idx="2647">
                  <c:v>93.84</c:v>
                </c:pt>
                <c:pt idx="2648">
                  <c:v>94.11</c:v>
                </c:pt>
                <c:pt idx="2649">
                  <c:v>94.33</c:v>
                </c:pt>
                <c:pt idx="2650">
                  <c:v>94.13</c:v>
                </c:pt>
                <c:pt idx="2651">
                  <c:v>95.98</c:v>
                </c:pt>
                <c:pt idx="2652">
                  <c:v>94.81</c:v>
                </c:pt>
                <c:pt idx="2653">
                  <c:v>94.32</c:v>
                </c:pt>
                <c:pt idx="2654">
                  <c:v>94.93</c:v>
                </c:pt>
                <c:pt idx="2655">
                  <c:v>94.33</c:v>
                </c:pt>
                <c:pt idx="2656">
                  <c:v>93.12</c:v>
                </c:pt>
                <c:pt idx="2657">
                  <c:v>92.39</c:v>
                </c:pt>
                <c:pt idx="2658">
                  <c:v>91.16</c:v>
                </c:pt>
                <c:pt idx="2659">
                  <c:v>91.72</c:v>
                </c:pt>
                <c:pt idx="2660">
                  <c:v>89.86</c:v>
                </c:pt>
                <c:pt idx="2661">
                  <c:v>88.87</c:v>
                </c:pt>
                <c:pt idx="2662">
                  <c:v>88.96</c:v>
                </c:pt>
                <c:pt idx="2663">
                  <c:v>90.86</c:v>
                </c:pt>
                <c:pt idx="2664">
                  <c:v>90.4</c:v>
                </c:pt>
                <c:pt idx="2665">
                  <c:v>93.18</c:v>
                </c:pt>
                <c:pt idx="2666">
                  <c:v>91.46</c:v>
                </c:pt>
                <c:pt idx="2667">
                  <c:v>90.1</c:v>
                </c:pt>
                <c:pt idx="2668">
                  <c:v>90.68</c:v>
                </c:pt>
                <c:pt idx="2669">
                  <c:v>90.65</c:v>
                </c:pt>
                <c:pt idx="2670">
                  <c:v>92.15</c:v>
                </c:pt>
                <c:pt idx="2671">
                  <c:v>92.2</c:v>
                </c:pt>
                <c:pt idx="2672">
                  <c:v>91.12</c:v>
                </c:pt>
                <c:pt idx="2673">
                  <c:v>90.65</c:v>
                </c:pt>
                <c:pt idx="2674">
                  <c:v>89.83</c:v>
                </c:pt>
                <c:pt idx="2675">
                  <c:v>87.75</c:v>
                </c:pt>
                <c:pt idx="2676">
                  <c:v>87.15</c:v>
                </c:pt>
                <c:pt idx="2677">
                  <c:v>86.95</c:v>
                </c:pt>
                <c:pt idx="2678">
                  <c:v>85.53</c:v>
                </c:pt>
                <c:pt idx="2679">
                  <c:v>84.99</c:v>
                </c:pt>
                <c:pt idx="2680">
                  <c:v>84.7</c:v>
                </c:pt>
                <c:pt idx="2681">
                  <c:v>85.69</c:v>
                </c:pt>
                <c:pt idx="2682">
                  <c:v>84.99</c:v>
                </c:pt>
                <c:pt idx="2683">
                  <c:v>85.07</c:v>
                </c:pt>
                <c:pt idx="2684">
                  <c:v>83.03</c:v>
                </c:pt>
                <c:pt idx="2685">
                  <c:v>84.55</c:v>
                </c:pt>
                <c:pt idx="2686">
                  <c:v>83.16</c:v>
                </c:pt>
                <c:pt idx="2687">
                  <c:v>85.78</c:v>
                </c:pt>
                <c:pt idx="2688">
                  <c:v>86.51</c:v>
                </c:pt>
                <c:pt idx="2689">
                  <c:v>87.5</c:v>
                </c:pt>
                <c:pt idx="2690">
                  <c:v>86.74</c:v>
                </c:pt>
                <c:pt idx="2691">
                  <c:v>86.19</c:v>
                </c:pt>
                <c:pt idx="2692">
                  <c:v>85.8</c:v>
                </c:pt>
                <c:pt idx="2693">
                  <c:v>86.19</c:v>
                </c:pt>
                <c:pt idx="2694">
                  <c:v>85.24</c:v>
                </c:pt>
                <c:pt idx="2695">
                  <c:v>84.94</c:v>
                </c:pt>
                <c:pt idx="2696">
                  <c:v>84.46</c:v>
                </c:pt>
                <c:pt idx="2697">
                  <c:v>84.2</c:v>
                </c:pt>
                <c:pt idx="2698">
                  <c:v>84.46</c:v>
                </c:pt>
                <c:pt idx="2699">
                  <c:v>84.79</c:v>
                </c:pt>
                <c:pt idx="2700">
                  <c:v>84.82</c:v>
                </c:pt>
                <c:pt idx="2701">
                  <c:v>83.26</c:v>
                </c:pt>
                <c:pt idx="2702">
                  <c:v>82.08</c:v>
                </c:pt>
                <c:pt idx="2703">
                  <c:v>81.48</c:v>
                </c:pt>
                <c:pt idx="2704">
                  <c:v>81.239999999999995</c:v>
                </c:pt>
                <c:pt idx="2705">
                  <c:v>80.64</c:v>
                </c:pt>
                <c:pt idx="2706">
                  <c:v>80.510000000000005</c:v>
                </c:pt>
                <c:pt idx="2707">
                  <c:v>80.150000000000006</c:v>
                </c:pt>
                <c:pt idx="2708">
                  <c:v>80.09</c:v>
                </c:pt>
                <c:pt idx="2709">
                  <c:v>79.069999999999993</c:v>
                </c:pt>
                <c:pt idx="2710">
                  <c:v>79.27</c:v>
                </c:pt>
                <c:pt idx="2711">
                  <c:v>78.72</c:v>
                </c:pt>
                <c:pt idx="2712">
                  <c:v>79.09</c:v>
                </c:pt>
                <c:pt idx="2713">
                  <c:v>79.36</c:v>
                </c:pt>
                <c:pt idx="2714">
                  <c:v>78.81</c:v>
                </c:pt>
                <c:pt idx="2715">
                  <c:v>80.08</c:v>
                </c:pt>
                <c:pt idx="2716">
                  <c:v>80.150000000000006</c:v>
                </c:pt>
                <c:pt idx="2717">
                  <c:v>80.45</c:v>
                </c:pt>
                <c:pt idx="2718">
                  <c:v>80.400000000000006</c:v>
                </c:pt>
                <c:pt idx="2719">
                  <c:v>79.62</c:v>
                </c:pt>
                <c:pt idx="2720">
                  <c:v>80.010000000000005</c:v>
                </c:pt>
                <c:pt idx="2721">
                  <c:v>79.05</c:v>
                </c:pt>
                <c:pt idx="2722">
                  <c:v>78.599999999999994</c:v>
                </c:pt>
                <c:pt idx="2723">
                  <c:v>78.48</c:v>
                </c:pt>
                <c:pt idx="2724">
                  <c:v>79.11</c:v>
                </c:pt>
                <c:pt idx="2725">
                  <c:v>78.31</c:v>
                </c:pt>
                <c:pt idx="2726">
                  <c:v>78.63</c:v>
                </c:pt>
                <c:pt idx="2727">
                  <c:v>75.900000000000006</c:v>
                </c:pt>
                <c:pt idx="2728">
                  <c:v>73.010000000000005</c:v>
                </c:pt>
                <c:pt idx="2729">
                  <c:v>73</c:v>
                </c:pt>
                <c:pt idx="2730">
                  <c:v>75.89</c:v>
                </c:pt>
                <c:pt idx="2731">
                  <c:v>76.37</c:v>
                </c:pt>
                <c:pt idx="2732">
                  <c:v>77.849999999999994</c:v>
                </c:pt>
                <c:pt idx="2733">
                  <c:v>76.39</c:v>
                </c:pt>
                <c:pt idx="2734">
                  <c:v>75.19</c:v>
                </c:pt>
                <c:pt idx="2735">
                  <c:v>72.069999999999993</c:v>
                </c:pt>
                <c:pt idx="2736">
                  <c:v>71.540000000000006</c:v>
                </c:pt>
                <c:pt idx="2737">
                  <c:v>72.430000000000007</c:v>
                </c:pt>
                <c:pt idx="2738">
                  <c:v>71.349999999999994</c:v>
                </c:pt>
                <c:pt idx="2739">
                  <c:v>71.81</c:v>
                </c:pt>
                <c:pt idx="2740">
                  <c:v>70.3</c:v>
                </c:pt>
                <c:pt idx="2741">
                  <c:v>70.260000000000005</c:v>
                </c:pt>
                <c:pt idx="2742">
                  <c:v>72.59</c:v>
                </c:pt>
                <c:pt idx="2743">
                  <c:v>70.53</c:v>
                </c:pt>
                <c:pt idx="2744">
                  <c:v>69.599999999999994</c:v>
                </c:pt>
                <c:pt idx="2745">
                  <c:v>68.599999999999994</c:v>
                </c:pt>
                <c:pt idx="2746">
                  <c:v>72.37</c:v>
                </c:pt>
                <c:pt idx="2747">
                  <c:v>71.569999999999993</c:v>
                </c:pt>
                <c:pt idx="2748">
                  <c:v>74.849999999999994</c:v>
                </c:pt>
                <c:pt idx="2749">
                  <c:v>77.790000000000006</c:v>
                </c:pt>
                <c:pt idx="2750">
                  <c:v>74.78</c:v>
                </c:pt>
                <c:pt idx="2751">
                  <c:v>77.25</c:v>
                </c:pt>
                <c:pt idx="2752">
                  <c:v>79.09</c:v>
                </c:pt>
                <c:pt idx="2753">
                  <c:v>79.33</c:v>
                </c:pt>
                <c:pt idx="2754">
                  <c:v>77.25</c:v>
                </c:pt>
                <c:pt idx="2755">
                  <c:v>78.58</c:v>
                </c:pt>
                <c:pt idx="2756">
                  <c:v>79.12</c:v>
                </c:pt>
                <c:pt idx="2757">
                  <c:v>79.55</c:v>
                </c:pt>
                <c:pt idx="2758">
                  <c:v>79.41</c:v>
                </c:pt>
                <c:pt idx="2759">
                  <c:v>79.92</c:v>
                </c:pt>
                <c:pt idx="2760">
                  <c:v>78.94</c:v>
                </c:pt>
                <c:pt idx="2761">
                  <c:v>77.59</c:v>
                </c:pt>
                <c:pt idx="2762">
                  <c:v>77.25</c:v>
                </c:pt>
                <c:pt idx="2763">
                  <c:v>76.88</c:v>
                </c:pt>
                <c:pt idx="2764">
                  <c:v>76.180000000000007</c:v>
                </c:pt>
                <c:pt idx="2765">
                  <c:v>75.010000000000005</c:v>
                </c:pt>
                <c:pt idx="2766">
                  <c:v>74.67</c:v>
                </c:pt>
                <c:pt idx="2767">
                  <c:v>75.62</c:v>
                </c:pt>
                <c:pt idx="2768">
                  <c:v>75.599999999999994</c:v>
                </c:pt>
                <c:pt idx="2769">
                  <c:v>76.099999999999994</c:v>
                </c:pt>
                <c:pt idx="2770">
                  <c:v>75</c:v>
                </c:pt>
                <c:pt idx="2771">
                  <c:v>74.27</c:v>
                </c:pt>
                <c:pt idx="2772">
                  <c:v>74.150000000000006</c:v>
                </c:pt>
                <c:pt idx="2773">
                  <c:v>73.42</c:v>
                </c:pt>
                <c:pt idx="2774">
                  <c:v>72.430000000000007</c:v>
                </c:pt>
                <c:pt idx="2775">
                  <c:v>73.09</c:v>
                </c:pt>
                <c:pt idx="2776">
                  <c:v>72.55</c:v>
                </c:pt>
                <c:pt idx="2777">
                  <c:v>70.73</c:v>
                </c:pt>
                <c:pt idx="2778">
                  <c:v>69.31</c:v>
                </c:pt>
                <c:pt idx="2779">
                  <c:v>66.98</c:v>
                </c:pt>
                <c:pt idx="2780">
                  <c:v>67.53</c:v>
                </c:pt>
                <c:pt idx="2781">
                  <c:v>70.84</c:v>
                </c:pt>
                <c:pt idx="2782">
                  <c:v>72.14</c:v>
                </c:pt>
                <c:pt idx="2783">
                  <c:v>69.5</c:v>
                </c:pt>
                <c:pt idx="2784">
                  <c:v>71.5</c:v>
                </c:pt>
                <c:pt idx="2785">
                  <c:v>69.5</c:v>
                </c:pt>
                <c:pt idx="2786">
                  <c:v>72.540000000000006</c:v>
                </c:pt>
                <c:pt idx="2787">
                  <c:v>71.89</c:v>
                </c:pt>
                <c:pt idx="2788">
                  <c:v>70.88</c:v>
                </c:pt>
                <c:pt idx="2789">
                  <c:v>70.099999999999994</c:v>
                </c:pt>
                <c:pt idx="2790">
                  <c:v>68.900000000000006</c:v>
                </c:pt>
                <c:pt idx="2791">
                  <c:v>67.88</c:v>
                </c:pt>
                <c:pt idx="2792">
                  <c:v>68.13</c:v>
                </c:pt>
                <c:pt idx="2793">
                  <c:v>66.37</c:v>
                </c:pt>
                <c:pt idx="2794">
                  <c:v>64.73</c:v>
                </c:pt>
                <c:pt idx="2795">
                  <c:v>64.67</c:v>
                </c:pt>
                <c:pt idx="2796">
                  <c:v>64.75</c:v>
                </c:pt>
                <c:pt idx="2797">
                  <c:v>65.239999999999995</c:v>
                </c:pt>
                <c:pt idx="2798">
                  <c:v>65.260000000000005</c:v>
                </c:pt>
                <c:pt idx="2799">
                  <c:v>63.83</c:v>
                </c:pt>
                <c:pt idx="2800">
                  <c:v>62.72</c:v>
                </c:pt>
                <c:pt idx="2801">
                  <c:v>62.63</c:v>
                </c:pt>
                <c:pt idx="2802">
                  <c:v>62.34</c:v>
                </c:pt>
                <c:pt idx="2803">
                  <c:v>61.46</c:v>
                </c:pt>
                <c:pt idx="2804">
                  <c:v>60.48</c:v>
                </c:pt>
                <c:pt idx="2805">
                  <c:v>60.21</c:v>
                </c:pt>
                <c:pt idx="2806">
                  <c:v>59.45</c:v>
                </c:pt>
                <c:pt idx="2807">
                  <c:v>58.47</c:v>
                </c:pt>
                <c:pt idx="2808">
                  <c:v>59.31</c:v>
                </c:pt>
                <c:pt idx="2809">
                  <c:v>59.11</c:v>
                </c:pt>
                <c:pt idx="2810">
                  <c:v>58.84</c:v>
                </c:pt>
                <c:pt idx="2811">
                  <c:v>58.42</c:v>
                </c:pt>
                <c:pt idx="2812">
                  <c:v>58.74</c:v>
                </c:pt>
                <c:pt idx="2813">
                  <c:v>58.88</c:v>
                </c:pt>
                <c:pt idx="2814">
                  <c:v>59.37</c:v>
                </c:pt>
                <c:pt idx="2815">
                  <c:v>59.53</c:v>
                </c:pt>
                <c:pt idx="2816">
                  <c:v>58.96</c:v>
                </c:pt>
                <c:pt idx="2817">
                  <c:v>58.71</c:v>
                </c:pt>
                <c:pt idx="2818">
                  <c:v>58.21</c:v>
                </c:pt>
                <c:pt idx="2819">
                  <c:v>58.25</c:v>
                </c:pt>
                <c:pt idx="2820">
                  <c:v>58.45</c:v>
                </c:pt>
                <c:pt idx="2821">
                  <c:v>58.1</c:v>
                </c:pt>
                <c:pt idx="2822">
                  <c:v>57.99</c:v>
                </c:pt>
                <c:pt idx="2823">
                  <c:v>57.62</c:v>
                </c:pt>
                <c:pt idx="2824">
                  <c:v>57.08</c:v>
                </c:pt>
                <c:pt idx="2825">
                  <c:v>56.7</c:v>
                </c:pt>
                <c:pt idx="2826">
                  <c:v>58.12</c:v>
                </c:pt>
                <c:pt idx="2827">
                  <c:v>58.84</c:v>
                </c:pt>
                <c:pt idx="2828">
                  <c:v>58.06</c:v>
                </c:pt>
                <c:pt idx="2829">
                  <c:v>59.68</c:v>
                </c:pt>
                <c:pt idx="2830">
                  <c:v>59.79</c:v>
                </c:pt>
                <c:pt idx="2831">
                  <c:v>59.3</c:v>
                </c:pt>
                <c:pt idx="2832">
                  <c:v>57.81</c:v>
                </c:pt>
                <c:pt idx="2833">
                  <c:v>56.97</c:v>
                </c:pt>
                <c:pt idx="2834">
                  <c:v>56.32</c:v>
                </c:pt>
                <c:pt idx="2835">
                  <c:v>56.49</c:v>
                </c:pt>
                <c:pt idx="2836">
                  <c:v>56.86</c:v>
                </c:pt>
                <c:pt idx="2837">
                  <c:v>56.33</c:v>
                </c:pt>
                <c:pt idx="2838">
                  <c:v>56.84</c:v>
                </c:pt>
                <c:pt idx="2839">
                  <c:v>56.46</c:v>
                </c:pt>
                <c:pt idx="2840">
                  <c:v>56.27</c:v>
                </c:pt>
                <c:pt idx="2841">
                  <c:v>56.46</c:v>
                </c:pt>
                <c:pt idx="2842">
                  <c:v>56.64</c:v>
                </c:pt>
                <c:pt idx="2843">
                  <c:v>56.16</c:v>
                </c:pt>
                <c:pt idx="2844">
                  <c:v>56.03</c:v>
                </c:pt>
                <c:pt idx="2845">
                  <c:v>55.58</c:v>
                </c:pt>
                <c:pt idx="2846">
                  <c:v>54.71</c:v>
                </c:pt>
                <c:pt idx="2847">
                  <c:v>55.18</c:v>
                </c:pt>
                <c:pt idx="2848">
                  <c:v>55.26</c:v>
                </c:pt>
                <c:pt idx="2849">
                  <c:v>55.54</c:v>
                </c:pt>
                <c:pt idx="2850">
                  <c:v>55.05</c:v>
                </c:pt>
                <c:pt idx="2851">
                  <c:v>48.62</c:v>
                </c:pt>
                <c:pt idx="2852">
                  <c:v>48.65</c:v>
                </c:pt>
                <c:pt idx="2853">
                  <c:v>48.79</c:v>
                </c:pt>
                <c:pt idx="2854">
                  <c:v>48.31</c:v>
                </c:pt>
                <c:pt idx="2855">
                  <c:v>49.15</c:v>
                </c:pt>
                <c:pt idx="2856">
                  <c:v>49.33</c:v>
                </c:pt>
                <c:pt idx="2857">
                  <c:v>49.85</c:v>
                </c:pt>
                <c:pt idx="2858">
                  <c:v>50.46</c:v>
                </c:pt>
                <c:pt idx="2859">
                  <c:v>50.32</c:v>
                </c:pt>
                <c:pt idx="2860">
                  <c:v>50.15</c:v>
                </c:pt>
                <c:pt idx="2861">
                  <c:v>50.05</c:v>
                </c:pt>
                <c:pt idx="2862">
                  <c:v>49.75</c:v>
                </c:pt>
                <c:pt idx="2863">
                  <c:v>49.36</c:v>
                </c:pt>
                <c:pt idx="2864">
                  <c:v>49.55</c:v>
                </c:pt>
                <c:pt idx="2865">
                  <c:v>49.48</c:v>
                </c:pt>
                <c:pt idx="2866">
                  <c:v>49.04</c:v>
                </c:pt>
                <c:pt idx="2867">
                  <c:v>48.27</c:v>
                </c:pt>
                <c:pt idx="2868">
                  <c:v>47.85</c:v>
                </c:pt>
                <c:pt idx="2869">
                  <c:v>47.96</c:v>
                </c:pt>
                <c:pt idx="2870">
                  <c:v>48.07</c:v>
                </c:pt>
                <c:pt idx="2871">
                  <c:v>47.82</c:v>
                </c:pt>
                <c:pt idx="2872">
                  <c:v>47.54</c:v>
                </c:pt>
                <c:pt idx="2873">
                  <c:v>46.93</c:v>
                </c:pt>
                <c:pt idx="2874">
                  <c:v>46.99</c:v>
                </c:pt>
                <c:pt idx="2875">
                  <c:v>47.76</c:v>
                </c:pt>
                <c:pt idx="2876">
                  <c:v>48.23</c:v>
                </c:pt>
                <c:pt idx="2877">
                  <c:v>48.66</c:v>
                </c:pt>
                <c:pt idx="2878">
                  <c:v>48.49</c:v>
                </c:pt>
                <c:pt idx="2879">
                  <c:v>48.71</c:v>
                </c:pt>
                <c:pt idx="2880">
                  <c:v>49.34</c:v>
                </c:pt>
                <c:pt idx="2881">
                  <c:v>49.61</c:v>
                </c:pt>
                <c:pt idx="2882">
                  <c:v>49.98</c:v>
                </c:pt>
                <c:pt idx="2883">
                  <c:v>49.13</c:v>
                </c:pt>
                <c:pt idx="2884">
                  <c:v>48.9</c:v>
                </c:pt>
                <c:pt idx="2885">
                  <c:v>48.29</c:v>
                </c:pt>
                <c:pt idx="2886">
                  <c:v>48.97</c:v>
                </c:pt>
                <c:pt idx="2887">
                  <c:v>48.39</c:v>
                </c:pt>
                <c:pt idx="2888">
                  <c:v>48.26</c:v>
                </c:pt>
                <c:pt idx="2889">
                  <c:v>48.91</c:v>
                </c:pt>
                <c:pt idx="2890">
                  <c:v>49.03</c:v>
                </c:pt>
                <c:pt idx="2891">
                  <c:v>48.38</c:v>
                </c:pt>
                <c:pt idx="2892">
                  <c:v>47.7</c:v>
                </c:pt>
                <c:pt idx="2893">
                  <c:v>47.3</c:v>
                </c:pt>
                <c:pt idx="2894">
                  <c:v>47.26</c:v>
                </c:pt>
                <c:pt idx="2895">
                  <c:v>47.62</c:v>
                </c:pt>
                <c:pt idx="2896">
                  <c:v>47.9</c:v>
                </c:pt>
                <c:pt idx="2897">
                  <c:v>48.35</c:v>
                </c:pt>
                <c:pt idx="2898">
                  <c:v>47.66</c:v>
                </c:pt>
                <c:pt idx="2899">
                  <c:v>47.92</c:v>
                </c:pt>
                <c:pt idx="2900">
                  <c:v>48.03</c:v>
                </c:pt>
                <c:pt idx="2901">
                  <c:v>48.91</c:v>
                </c:pt>
                <c:pt idx="2902">
                  <c:v>49.14</c:v>
                </c:pt>
                <c:pt idx="2903">
                  <c:v>49.17</c:v>
                </c:pt>
                <c:pt idx="2904">
                  <c:v>48.4</c:v>
                </c:pt>
                <c:pt idx="2905">
                  <c:v>47.85</c:v>
                </c:pt>
                <c:pt idx="2906">
                  <c:v>49.1</c:v>
                </c:pt>
                <c:pt idx="2907">
                  <c:v>49.49</c:v>
                </c:pt>
                <c:pt idx="2908">
                  <c:v>49.61</c:v>
                </c:pt>
                <c:pt idx="2909">
                  <c:v>49.38</c:v>
                </c:pt>
                <c:pt idx="2910">
                  <c:v>49.35</c:v>
                </c:pt>
                <c:pt idx="2911">
                  <c:v>49.79</c:v>
                </c:pt>
                <c:pt idx="2912">
                  <c:v>49.81</c:v>
                </c:pt>
                <c:pt idx="2913">
                  <c:v>49.39</c:v>
                </c:pt>
                <c:pt idx="2914">
                  <c:v>51</c:v>
                </c:pt>
                <c:pt idx="2915">
                  <c:v>52.3</c:v>
                </c:pt>
                <c:pt idx="2916">
                  <c:v>52.64</c:v>
                </c:pt>
                <c:pt idx="2917">
                  <c:v>51.99</c:v>
                </c:pt>
                <c:pt idx="2918">
                  <c:v>51.95</c:v>
                </c:pt>
                <c:pt idx="2919">
                  <c:v>51.28</c:v>
                </c:pt>
                <c:pt idx="2920">
                  <c:v>51.44</c:v>
                </c:pt>
                <c:pt idx="2921">
                  <c:v>51.34</c:v>
                </c:pt>
                <c:pt idx="2922">
                  <c:v>51.22</c:v>
                </c:pt>
                <c:pt idx="2923">
                  <c:v>50.5</c:v>
                </c:pt>
                <c:pt idx="2924">
                  <c:v>50.09</c:v>
                </c:pt>
                <c:pt idx="2925">
                  <c:v>50.03</c:v>
                </c:pt>
                <c:pt idx="2926">
                  <c:v>50.33</c:v>
                </c:pt>
                <c:pt idx="2927">
                  <c:v>49.71</c:v>
                </c:pt>
                <c:pt idx="2928">
                  <c:v>49.82</c:v>
                </c:pt>
                <c:pt idx="2929">
                  <c:v>48.94</c:v>
                </c:pt>
                <c:pt idx="2930">
                  <c:v>48.26</c:v>
                </c:pt>
                <c:pt idx="2931">
                  <c:v>48.57</c:v>
                </c:pt>
                <c:pt idx="2932">
                  <c:v>47.68</c:v>
                </c:pt>
                <c:pt idx="2933">
                  <c:v>48.4</c:v>
                </c:pt>
                <c:pt idx="2934">
                  <c:v>48.8</c:v>
                </c:pt>
                <c:pt idx="2935">
                  <c:v>49.52</c:v>
                </c:pt>
                <c:pt idx="2936">
                  <c:v>48.84</c:v>
                </c:pt>
                <c:pt idx="2937">
                  <c:v>49.7</c:v>
                </c:pt>
                <c:pt idx="2938">
                  <c:v>50.19</c:v>
                </c:pt>
                <c:pt idx="2939">
                  <c:v>50.06</c:v>
                </c:pt>
                <c:pt idx="2940">
                  <c:v>50.11</c:v>
                </c:pt>
                <c:pt idx="2941">
                  <c:v>49.63</c:v>
                </c:pt>
                <c:pt idx="2942">
                  <c:v>49.76</c:v>
                </c:pt>
                <c:pt idx="2943">
                  <c:v>49.39</c:v>
                </c:pt>
                <c:pt idx="2944">
                  <c:v>48.21</c:v>
                </c:pt>
                <c:pt idx="2945">
                  <c:v>48.82</c:v>
                </c:pt>
                <c:pt idx="2946">
                  <c:v>49.04</c:v>
                </c:pt>
                <c:pt idx="2947">
                  <c:v>48.25</c:v>
                </c:pt>
                <c:pt idx="2948">
                  <c:v>48.92</c:v>
                </c:pt>
                <c:pt idx="2949">
                  <c:v>50.51</c:v>
                </c:pt>
                <c:pt idx="2950">
                  <c:v>50.5</c:v>
                </c:pt>
                <c:pt idx="2951">
                  <c:v>50.15</c:v>
                </c:pt>
                <c:pt idx="2952">
                  <c:v>50.57</c:v>
                </c:pt>
                <c:pt idx="2953">
                  <c:v>50.34</c:v>
                </c:pt>
                <c:pt idx="2954">
                  <c:v>49.8</c:v>
                </c:pt>
                <c:pt idx="2955">
                  <c:v>49.73</c:v>
                </c:pt>
                <c:pt idx="2956">
                  <c:v>49.83</c:v>
                </c:pt>
                <c:pt idx="2957">
                  <c:v>49.79</c:v>
                </c:pt>
                <c:pt idx="2958">
                  <c:v>49.67</c:v>
                </c:pt>
                <c:pt idx="2959">
                  <c:v>49.02</c:v>
                </c:pt>
                <c:pt idx="2960">
                  <c:v>48.58</c:v>
                </c:pt>
                <c:pt idx="2961">
                  <c:v>48.53</c:v>
                </c:pt>
                <c:pt idx="2962">
                  <c:v>47.99</c:v>
                </c:pt>
                <c:pt idx="2963">
                  <c:v>47.92</c:v>
                </c:pt>
                <c:pt idx="2964">
                  <c:v>47.24</c:v>
                </c:pt>
                <c:pt idx="2965">
                  <c:v>48.3</c:v>
                </c:pt>
                <c:pt idx="2966">
                  <c:v>47.9</c:v>
                </c:pt>
                <c:pt idx="2967">
                  <c:v>48.07</c:v>
                </c:pt>
                <c:pt idx="2968">
                  <c:v>47.38</c:v>
                </c:pt>
                <c:pt idx="2969">
                  <c:v>47.45</c:v>
                </c:pt>
                <c:pt idx="2970">
                  <c:v>47.64</c:v>
                </c:pt>
                <c:pt idx="2971">
                  <c:v>47.45</c:v>
                </c:pt>
                <c:pt idx="2972">
                  <c:v>46.71</c:v>
                </c:pt>
                <c:pt idx="2973">
                  <c:v>46.88</c:v>
                </c:pt>
                <c:pt idx="2974">
                  <c:v>47.05</c:v>
                </c:pt>
                <c:pt idx="2975">
                  <c:v>47.35</c:v>
                </c:pt>
                <c:pt idx="2976">
                  <c:v>47.41</c:v>
                </c:pt>
                <c:pt idx="2977">
                  <c:v>46.25</c:v>
                </c:pt>
                <c:pt idx="2978">
                  <c:v>45.92</c:v>
                </c:pt>
                <c:pt idx="2979">
                  <c:v>45.46</c:v>
                </c:pt>
                <c:pt idx="2980">
                  <c:v>45.38</c:v>
                </c:pt>
                <c:pt idx="2981">
                  <c:v>45.37</c:v>
                </c:pt>
                <c:pt idx="2982">
                  <c:v>44.93</c:v>
                </c:pt>
                <c:pt idx="2983">
                  <c:v>45.1</c:v>
                </c:pt>
                <c:pt idx="2984">
                  <c:v>44.96</c:v>
                </c:pt>
                <c:pt idx="2985">
                  <c:v>45.19</c:v>
                </c:pt>
                <c:pt idx="2986">
                  <c:v>45.1</c:v>
                </c:pt>
                <c:pt idx="2987">
                  <c:v>44.23</c:v>
                </c:pt>
                <c:pt idx="2988">
                  <c:v>44.81</c:v>
                </c:pt>
                <c:pt idx="2989">
                  <c:v>45.12</c:v>
                </c:pt>
                <c:pt idx="2990">
                  <c:v>45.35</c:v>
                </c:pt>
                <c:pt idx="2991">
                  <c:v>44.74</c:v>
                </c:pt>
                <c:pt idx="2992">
                  <c:v>44.91</c:v>
                </c:pt>
                <c:pt idx="2993">
                  <c:v>45.46</c:v>
                </c:pt>
                <c:pt idx="2994">
                  <c:v>45.34</c:v>
                </c:pt>
                <c:pt idx="2995">
                  <c:v>44.58</c:v>
                </c:pt>
                <c:pt idx="2996">
                  <c:v>44.33</c:v>
                </c:pt>
                <c:pt idx="2997">
                  <c:v>43.82</c:v>
                </c:pt>
                <c:pt idx="2998">
                  <c:v>43.72</c:v>
                </c:pt>
                <c:pt idx="2999">
                  <c:v>42.8</c:v>
                </c:pt>
                <c:pt idx="3000">
                  <c:v>42.34</c:v>
                </c:pt>
                <c:pt idx="3001">
                  <c:v>42.28</c:v>
                </c:pt>
                <c:pt idx="3002">
                  <c:v>42.37</c:v>
                </c:pt>
                <c:pt idx="3003">
                  <c:v>42.4</c:v>
                </c:pt>
                <c:pt idx="3004">
                  <c:v>42.16</c:v>
                </c:pt>
                <c:pt idx="3005">
                  <c:v>42.85</c:v>
                </c:pt>
                <c:pt idx="3006">
                  <c:v>42.62</c:v>
                </c:pt>
                <c:pt idx="3007">
                  <c:v>42.67</c:v>
                </c:pt>
                <c:pt idx="3008">
                  <c:v>42.65</c:v>
                </c:pt>
                <c:pt idx="3009">
                  <c:v>42.63</c:v>
                </c:pt>
                <c:pt idx="3010">
                  <c:v>42.73</c:v>
                </c:pt>
                <c:pt idx="3011">
                  <c:v>42.62</c:v>
                </c:pt>
                <c:pt idx="3012">
                  <c:v>42.65</c:v>
                </c:pt>
                <c:pt idx="3013">
                  <c:v>42.53</c:v>
                </c:pt>
                <c:pt idx="3014">
                  <c:v>42.3</c:v>
                </c:pt>
                <c:pt idx="3015">
                  <c:v>42.33</c:v>
                </c:pt>
                <c:pt idx="3016">
                  <c:v>42.49</c:v>
                </c:pt>
                <c:pt idx="3017">
                  <c:v>42.45</c:v>
                </c:pt>
                <c:pt idx="3018">
                  <c:v>42.65</c:v>
                </c:pt>
                <c:pt idx="3019">
                  <c:v>42.25</c:v>
                </c:pt>
                <c:pt idx="3020">
                  <c:v>42.43</c:v>
                </c:pt>
                <c:pt idx="3021">
                  <c:v>42.26</c:v>
                </c:pt>
                <c:pt idx="3022">
                  <c:v>42.61</c:v>
                </c:pt>
                <c:pt idx="3023">
                  <c:v>42.78</c:v>
                </c:pt>
                <c:pt idx="3024">
                  <c:v>42.82</c:v>
                </c:pt>
                <c:pt idx="3025">
                  <c:v>42.25</c:v>
                </c:pt>
                <c:pt idx="3026">
                  <c:v>42.21</c:v>
                </c:pt>
                <c:pt idx="3027">
                  <c:v>42.13</c:v>
                </c:pt>
                <c:pt idx="3028">
                  <c:v>41.82</c:v>
                </c:pt>
                <c:pt idx="3029">
                  <c:v>41.83</c:v>
                </c:pt>
                <c:pt idx="3030">
                  <c:v>41.37</c:v>
                </c:pt>
                <c:pt idx="3031">
                  <c:v>41.07</c:v>
                </c:pt>
                <c:pt idx="3032">
                  <c:v>40.99</c:v>
                </c:pt>
                <c:pt idx="3033">
                  <c:v>40.630000000000003</c:v>
                </c:pt>
                <c:pt idx="3034">
                  <c:v>40.380000000000003</c:v>
                </c:pt>
                <c:pt idx="3035">
                  <c:v>40.51</c:v>
                </c:pt>
                <c:pt idx="3036">
                  <c:v>42</c:v>
                </c:pt>
                <c:pt idx="3037">
                  <c:v>41.62</c:v>
                </c:pt>
                <c:pt idx="3038">
                  <c:v>41.17</c:v>
                </c:pt>
                <c:pt idx="3039">
                  <c:v>41.52</c:v>
                </c:pt>
                <c:pt idx="3040">
                  <c:v>41.79</c:v>
                </c:pt>
                <c:pt idx="3041">
                  <c:v>41.96</c:v>
                </c:pt>
                <c:pt idx="3042">
                  <c:v>41.83</c:v>
                </c:pt>
                <c:pt idx="3043">
                  <c:v>41.12</c:v>
                </c:pt>
                <c:pt idx="3044">
                  <c:v>40.89</c:v>
                </c:pt>
                <c:pt idx="3045">
                  <c:v>40.42</c:v>
                </c:pt>
                <c:pt idx="3046">
                  <c:v>40.450000000000003</c:v>
                </c:pt>
                <c:pt idx="3047">
                  <c:v>40.369999999999997</c:v>
                </c:pt>
                <c:pt idx="3048">
                  <c:v>40.49</c:v>
                </c:pt>
                <c:pt idx="3049">
                  <c:v>40.86</c:v>
                </c:pt>
                <c:pt idx="3050">
                  <c:v>40.68</c:v>
                </c:pt>
                <c:pt idx="3051">
                  <c:v>39.950000000000003</c:v>
                </c:pt>
                <c:pt idx="3052">
                  <c:v>39.79</c:v>
                </c:pt>
                <c:pt idx="3053">
                  <c:v>39.85</c:v>
                </c:pt>
                <c:pt idx="3054">
                  <c:v>39.799999999999997</c:v>
                </c:pt>
                <c:pt idx="3055">
                  <c:v>39.020000000000003</c:v>
                </c:pt>
                <c:pt idx="3056">
                  <c:v>37.86</c:v>
                </c:pt>
                <c:pt idx="3057">
                  <c:v>37.68</c:v>
                </c:pt>
                <c:pt idx="3058">
                  <c:v>37.49</c:v>
                </c:pt>
                <c:pt idx="3059">
                  <c:v>38.26</c:v>
                </c:pt>
                <c:pt idx="3060">
                  <c:v>38.61</c:v>
                </c:pt>
                <c:pt idx="3061">
                  <c:v>38.57</c:v>
                </c:pt>
                <c:pt idx="3062">
                  <c:v>38.03</c:v>
                </c:pt>
                <c:pt idx="3063">
                  <c:v>38.32</c:v>
                </c:pt>
                <c:pt idx="3064">
                  <c:v>38.53</c:v>
                </c:pt>
                <c:pt idx="3065">
                  <c:v>38.56</c:v>
                </c:pt>
                <c:pt idx="3066">
                  <c:v>38.299999999999997</c:v>
                </c:pt>
                <c:pt idx="3067">
                  <c:v>37.89</c:v>
                </c:pt>
                <c:pt idx="3068">
                  <c:v>38.049999999999997</c:v>
                </c:pt>
                <c:pt idx="3069">
                  <c:v>38.44</c:v>
                </c:pt>
                <c:pt idx="3070">
                  <c:v>38.72</c:v>
                </c:pt>
                <c:pt idx="3071">
                  <c:v>38.01</c:v>
                </c:pt>
                <c:pt idx="3072">
                  <c:v>38.43</c:v>
                </c:pt>
                <c:pt idx="3073">
                  <c:v>38.369999999999997</c:v>
                </c:pt>
                <c:pt idx="3074">
                  <c:v>38.520000000000003</c:v>
                </c:pt>
                <c:pt idx="3075">
                  <c:v>38.24</c:v>
                </c:pt>
                <c:pt idx="3076">
                  <c:v>37.97</c:v>
                </c:pt>
                <c:pt idx="3077">
                  <c:v>37.020000000000003</c:v>
                </c:pt>
                <c:pt idx="3078">
                  <c:v>37.18</c:v>
                </c:pt>
                <c:pt idx="3079">
                  <c:v>37.53</c:v>
                </c:pt>
                <c:pt idx="3080">
                  <c:v>38.130000000000003</c:v>
                </c:pt>
                <c:pt idx="3081">
                  <c:v>38.340000000000003</c:v>
                </c:pt>
                <c:pt idx="3082">
                  <c:v>39.020000000000003</c:v>
                </c:pt>
                <c:pt idx="3083">
                  <c:v>39.01</c:v>
                </c:pt>
                <c:pt idx="3084">
                  <c:v>39.270000000000003</c:v>
                </c:pt>
                <c:pt idx="3085">
                  <c:v>39</c:v>
                </c:pt>
                <c:pt idx="3086">
                  <c:v>38.01</c:v>
                </c:pt>
                <c:pt idx="3087">
                  <c:v>37.82</c:v>
                </c:pt>
                <c:pt idx="3088">
                  <c:v>37.32</c:v>
                </c:pt>
                <c:pt idx="3089">
                  <c:v>37.159999999999997</c:v>
                </c:pt>
                <c:pt idx="3090">
                  <c:v>35.950000000000003</c:v>
                </c:pt>
                <c:pt idx="3091">
                  <c:v>36.950000000000003</c:v>
                </c:pt>
                <c:pt idx="3092">
                  <c:v>37.119999999999997</c:v>
                </c:pt>
                <c:pt idx="3093">
                  <c:v>38.590000000000003</c:v>
                </c:pt>
                <c:pt idx="3094">
                  <c:v>39.39</c:v>
                </c:pt>
                <c:pt idx="3095">
                  <c:v>39.25</c:v>
                </c:pt>
                <c:pt idx="3096">
                  <c:v>37.75</c:v>
                </c:pt>
                <c:pt idx="3097">
                  <c:v>38.35</c:v>
                </c:pt>
                <c:pt idx="3098">
                  <c:v>38.28</c:v>
                </c:pt>
                <c:pt idx="3099">
                  <c:v>39.270000000000003</c:v>
                </c:pt>
                <c:pt idx="3100">
                  <c:v>39.49</c:v>
                </c:pt>
                <c:pt idx="3101">
                  <c:v>38.82</c:v>
                </c:pt>
                <c:pt idx="3102">
                  <c:v>40.92</c:v>
                </c:pt>
                <c:pt idx="3103">
                  <c:v>41.13</c:v>
                </c:pt>
                <c:pt idx="3104">
                  <c:v>41.76</c:v>
                </c:pt>
                <c:pt idx="3105">
                  <c:v>41.9</c:v>
                </c:pt>
                <c:pt idx="3106">
                  <c:v>40.950000000000003</c:v>
                </c:pt>
                <c:pt idx="3107">
                  <c:v>40.520000000000003</c:v>
                </c:pt>
                <c:pt idx="3108">
                  <c:v>40.880000000000003</c:v>
                </c:pt>
                <c:pt idx="3109">
                  <c:v>40.880000000000003</c:v>
                </c:pt>
                <c:pt idx="3110">
                  <c:v>40.65</c:v>
                </c:pt>
                <c:pt idx="3111">
                  <c:v>41.15</c:v>
                </c:pt>
                <c:pt idx="3112">
                  <c:v>41.46</c:v>
                </c:pt>
                <c:pt idx="3113">
                  <c:v>41.7</c:v>
                </c:pt>
                <c:pt idx="3114">
                  <c:v>41.55</c:v>
                </c:pt>
                <c:pt idx="3115">
                  <c:v>42.09</c:v>
                </c:pt>
                <c:pt idx="3116">
                  <c:v>41.97</c:v>
                </c:pt>
                <c:pt idx="3117">
                  <c:v>42.08</c:v>
                </c:pt>
                <c:pt idx="3118">
                  <c:v>42.22</c:v>
                </c:pt>
                <c:pt idx="3119">
                  <c:v>41.7</c:v>
                </c:pt>
                <c:pt idx="3120">
                  <c:v>41.84</c:v>
                </c:pt>
                <c:pt idx="3121">
                  <c:v>41.87</c:v>
                </c:pt>
                <c:pt idx="3122">
                  <c:v>41.45</c:v>
                </c:pt>
                <c:pt idx="3123">
                  <c:v>41.44</c:v>
                </c:pt>
                <c:pt idx="3124">
                  <c:v>40.81</c:v>
                </c:pt>
                <c:pt idx="3125">
                  <c:v>39.96</c:v>
                </c:pt>
                <c:pt idx="3126">
                  <c:v>40.29</c:v>
                </c:pt>
                <c:pt idx="3127">
                  <c:v>40.24</c:v>
                </c:pt>
                <c:pt idx="3128">
                  <c:v>39.49</c:v>
                </c:pt>
                <c:pt idx="3129">
                  <c:v>39.01</c:v>
                </c:pt>
                <c:pt idx="3130">
                  <c:v>38.76</c:v>
                </c:pt>
                <c:pt idx="3131">
                  <c:v>38.93</c:v>
                </c:pt>
                <c:pt idx="3132">
                  <c:v>38.479999999999997</c:v>
                </c:pt>
                <c:pt idx="3133">
                  <c:v>38.049999999999997</c:v>
                </c:pt>
                <c:pt idx="3134">
                  <c:v>38.049999999999997</c:v>
                </c:pt>
                <c:pt idx="3135">
                  <c:v>38.57</c:v>
                </c:pt>
                <c:pt idx="3136">
                  <c:v>38.01</c:v>
                </c:pt>
                <c:pt idx="3137">
                  <c:v>39.200000000000003</c:v>
                </c:pt>
                <c:pt idx="3138">
                  <c:v>39.22</c:v>
                </c:pt>
                <c:pt idx="3139">
                  <c:v>39.44</c:v>
                </c:pt>
                <c:pt idx="3140">
                  <c:v>38.619999999999997</c:v>
                </c:pt>
                <c:pt idx="3141">
                  <c:v>38.53</c:v>
                </c:pt>
                <c:pt idx="3142">
                  <c:v>38.46</c:v>
                </c:pt>
                <c:pt idx="3143">
                  <c:v>38.380000000000003</c:v>
                </c:pt>
                <c:pt idx="3144">
                  <c:v>38.56</c:v>
                </c:pt>
                <c:pt idx="3145">
                  <c:v>38.450000000000003</c:v>
                </c:pt>
                <c:pt idx="3146">
                  <c:v>37.96</c:v>
                </c:pt>
                <c:pt idx="3147">
                  <c:v>37.86</c:v>
                </c:pt>
                <c:pt idx="3148">
                  <c:v>38.119999999999997</c:v>
                </c:pt>
                <c:pt idx="3149">
                  <c:v>37.97</c:v>
                </c:pt>
                <c:pt idx="3150">
                  <c:v>37.869999999999997</c:v>
                </c:pt>
                <c:pt idx="3151">
                  <c:v>38.22</c:v>
                </c:pt>
                <c:pt idx="3152">
                  <c:v>38.229999999999997</c:v>
                </c:pt>
                <c:pt idx="3153">
                  <c:v>38.200000000000003</c:v>
                </c:pt>
                <c:pt idx="3154">
                  <c:v>38.42</c:v>
                </c:pt>
                <c:pt idx="3155">
                  <c:v>38.630000000000003</c:v>
                </c:pt>
                <c:pt idx="3156">
                  <c:v>38.56</c:v>
                </c:pt>
                <c:pt idx="3157">
                  <c:v>38.43</c:v>
                </c:pt>
                <c:pt idx="3158">
                  <c:v>38.42</c:v>
                </c:pt>
                <c:pt idx="3159">
                  <c:v>38.33</c:v>
                </c:pt>
                <c:pt idx="3160">
                  <c:v>38.299999999999997</c:v>
                </c:pt>
                <c:pt idx="3161">
                  <c:v>38.04</c:v>
                </c:pt>
                <c:pt idx="3162">
                  <c:v>37.729999999999997</c:v>
                </c:pt>
                <c:pt idx="3163">
                  <c:v>38.03</c:v>
                </c:pt>
                <c:pt idx="3164">
                  <c:v>38.39</c:v>
                </c:pt>
                <c:pt idx="3165">
                  <c:v>37.94</c:v>
                </c:pt>
                <c:pt idx="3166">
                  <c:v>37.630000000000003</c:v>
                </c:pt>
                <c:pt idx="3167">
                  <c:v>36.83</c:v>
                </c:pt>
                <c:pt idx="3168">
                  <c:v>36.78</c:v>
                </c:pt>
                <c:pt idx="3169">
                  <c:v>36.979999999999997</c:v>
                </c:pt>
                <c:pt idx="3170">
                  <c:v>37.24</c:v>
                </c:pt>
                <c:pt idx="3171">
                  <c:v>37.22</c:v>
                </c:pt>
                <c:pt idx="3172">
                  <c:v>37.29</c:v>
                </c:pt>
                <c:pt idx="3173">
                  <c:v>37</c:v>
                </c:pt>
                <c:pt idx="3174">
                  <c:v>36.799999999999997</c:v>
                </c:pt>
                <c:pt idx="3175">
                  <c:v>36.770000000000003</c:v>
                </c:pt>
                <c:pt idx="3176">
                  <c:v>37.06</c:v>
                </c:pt>
                <c:pt idx="3177">
                  <c:v>37.130000000000003</c:v>
                </c:pt>
                <c:pt idx="3178">
                  <c:v>37.409999999999997</c:v>
                </c:pt>
                <c:pt idx="3179">
                  <c:v>37.69</c:v>
                </c:pt>
                <c:pt idx="3180">
                  <c:v>37.29</c:v>
                </c:pt>
                <c:pt idx="3181">
                  <c:v>36.83</c:v>
                </c:pt>
                <c:pt idx="3182">
                  <c:v>36.880000000000003</c:v>
                </c:pt>
                <c:pt idx="3183">
                  <c:v>36.4</c:v>
                </c:pt>
                <c:pt idx="3184">
                  <c:v>36.28</c:v>
                </c:pt>
                <c:pt idx="3185">
                  <c:v>35.78</c:v>
                </c:pt>
                <c:pt idx="3186">
                  <c:v>35.78</c:v>
                </c:pt>
                <c:pt idx="3187">
                  <c:v>35.4</c:v>
                </c:pt>
                <c:pt idx="3188">
                  <c:v>34.57</c:v>
                </c:pt>
                <c:pt idx="3189">
                  <c:v>34.950000000000003</c:v>
                </c:pt>
                <c:pt idx="3190">
                  <c:v>36.1</c:v>
                </c:pt>
                <c:pt idx="3191">
                  <c:v>35.53</c:v>
                </c:pt>
                <c:pt idx="3192">
                  <c:v>35.79</c:v>
                </c:pt>
                <c:pt idx="3193">
                  <c:v>35.700000000000003</c:v>
                </c:pt>
                <c:pt idx="3194">
                  <c:v>35.32</c:v>
                </c:pt>
                <c:pt idx="3195">
                  <c:v>35.880000000000003</c:v>
                </c:pt>
                <c:pt idx="3196">
                  <c:v>35.71</c:v>
                </c:pt>
                <c:pt idx="3197">
                  <c:v>35.97</c:v>
                </c:pt>
                <c:pt idx="3198">
                  <c:v>35.76</c:v>
                </c:pt>
                <c:pt idx="3199">
                  <c:v>35.9</c:v>
                </c:pt>
                <c:pt idx="3200">
                  <c:v>36.380000000000003</c:v>
                </c:pt>
                <c:pt idx="3201">
                  <c:v>36.33</c:v>
                </c:pt>
                <c:pt idx="3202">
                  <c:v>36.19</c:v>
                </c:pt>
                <c:pt idx="3203">
                  <c:v>36.340000000000003</c:v>
                </c:pt>
                <c:pt idx="3204">
                  <c:v>36.28</c:v>
                </c:pt>
                <c:pt idx="3205">
                  <c:v>36.409999999999997</c:v>
                </c:pt>
                <c:pt idx="3206">
                  <c:v>35.97</c:v>
                </c:pt>
                <c:pt idx="3207">
                  <c:v>36.14</c:v>
                </c:pt>
                <c:pt idx="3208">
                  <c:v>35.61</c:v>
                </c:pt>
                <c:pt idx="3209">
                  <c:v>35.75</c:v>
                </c:pt>
                <c:pt idx="3210">
                  <c:v>35.42</c:v>
                </c:pt>
                <c:pt idx="3211">
                  <c:v>35.21</c:v>
                </c:pt>
                <c:pt idx="3212">
                  <c:v>34.840000000000003</c:v>
                </c:pt>
                <c:pt idx="3213">
                  <c:v>35.14</c:v>
                </c:pt>
                <c:pt idx="3214">
                  <c:v>34.93</c:v>
                </c:pt>
                <c:pt idx="3215">
                  <c:v>34.869999999999997</c:v>
                </c:pt>
                <c:pt idx="3216">
                  <c:v>34.76</c:v>
                </c:pt>
                <c:pt idx="3217">
                  <c:v>35.53</c:v>
                </c:pt>
                <c:pt idx="3218">
                  <c:v>35.5</c:v>
                </c:pt>
                <c:pt idx="3219">
                  <c:v>35.9</c:v>
                </c:pt>
                <c:pt idx="3220">
                  <c:v>35.659999999999997</c:v>
                </c:pt>
                <c:pt idx="3221">
                  <c:v>35.15</c:v>
                </c:pt>
                <c:pt idx="3222">
                  <c:v>33.99</c:v>
                </c:pt>
                <c:pt idx="3223">
                  <c:v>33.700000000000003</c:v>
                </c:pt>
                <c:pt idx="3224">
                  <c:v>32.950000000000003</c:v>
                </c:pt>
                <c:pt idx="3225">
                  <c:v>33.54</c:v>
                </c:pt>
                <c:pt idx="3226">
                  <c:v>33.57</c:v>
                </c:pt>
                <c:pt idx="3227">
                  <c:v>34.19</c:v>
                </c:pt>
                <c:pt idx="3228">
                  <c:v>32.979999999999997</c:v>
                </c:pt>
                <c:pt idx="3229">
                  <c:v>30.1</c:v>
                </c:pt>
                <c:pt idx="3230">
                  <c:v>30.33</c:v>
                </c:pt>
                <c:pt idx="3231">
                  <c:v>30.84</c:v>
                </c:pt>
                <c:pt idx="3232">
                  <c:v>31.31</c:v>
                </c:pt>
                <c:pt idx="3233">
                  <c:v>31.02</c:v>
                </c:pt>
                <c:pt idx="3234">
                  <c:v>31.55</c:v>
                </c:pt>
                <c:pt idx="3235">
                  <c:v>31.65</c:v>
                </c:pt>
                <c:pt idx="3236">
                  <c:v>31.4</c:v>
                </c:pt>
                <c:pt idx="3237">
                  <c:v>31.77</c:v>
                </c:pt>
                <c:pt idx="3238">
                  <c:v>31.29</c:v>
                </c:pt>
                <c:pt idx="3239">
                  <c:v>31.04</c:v>
                </c:pt>
                <c:pt idx="3240">
                  <c:v>30.74</c:v>
                </c:pt>
                <c:pt idx="3241">
                  <c:v>30.16</c:v>
                </c:pt>
                <c:pt idx="3242">
                  <c:v>29.8</c:v>
                </c:pt>
                <c:pt idx="3243">
                  <c:v>29.73</c:v>
                </c:pt>
                <c:pt idx="3244">
                  <c:v>29.57</c:v>
                </c:pt>
                <c:pt idx="3245">
                  <c:v>30.1</c:v>
                </c:pt>
                <c:pt idx="3246">
                  <c:v>29.31</c:v>
                </c:pt>
                <c:pt idx="3247">
                  <c:v>29.66</c:v>
                </c:pt>
                <c:pt idx="3248">
                  <c:v>29.92</c:v>
                </c:pt>
                <c:pt idx="3249">
                  <c:v>29.68</c:v>
                </c:pt>
                <c:pt idx="3250">
                  <c:v>29.93</c:v>
                </c:pt>
                <c:pt idx="3251">
                  <c:v>29.69</c:v>
                </c:pt>
                <c:pt idx="3252">
                  <c:v>28.99</c:v>
                </c:pt>
                <c:pt idx="3253">
                  <c:v>29.15</c:v>
                </c:pt>
                <c:pt idx="3254">
                  <c:v>28.48</c:v>
                </c:pt>
                <c:pt idx="3255">
                  <c:v>28.02</c:v>
                </c:pt>
                <c:pt idx="3256">
                  <c:v>27.7</c:v>
                </c:pt>
                <c:pt idx="3257">
                  <c:v>27.6</c:v>
                </c:pt>
                <c:pt idx="3258">
                  <c:v>27.97</c:v>
                </c:pt>
                <c:pt idx="3259">
                  <c:v>28.71</c:v>
                </c:pt>
                <c:pt idx="3260">
                  <c:v>28.85</c:v>
                </c:pt>
                <c:pt idx="3261">
                  <c:v>28.67</c:v>
                </c:pt>
                <c:pt idx="3262">
                  <c:v>28.48</c:v>
                </c:pt>
                <c:pt idx="3263">
                  <c:v>27.95</c:v>
                </c:pt>
                <c:pt idx="3264">
                  <c:v>27.97</c:v>
                </c:pt>
                <c:pt idx="3265">
                  <c:v>28.01</c:v>
                </c:pt>
                <c:pt idx="3266">
                  <c:v>28.14</c:v>
                </c:pt>
                <c:pt idx="3267">
                  <c:v>28.76</c:v>
                </c:pt>
                <c:pt idx="3268">
                  <c:v>28.87</c:v>
                </c:pt>
                <c:pt idx="3269">
                  <c:v>29.01</c:v>
                </c:pt>
                <c:pt idx="3270">
                  <c:v>28.95</c:v>
                </c:pt>
                <c:pt idx="3271">
                  <c:v>27.63</c:v>
                </c:pt>
                <c:pt idx="3272">
                  <c:v>27.76</c:v>
                </c:pt>
                <c:pt idx="3273">
                  <c:v>27.76</c:v>
                </c:pt>
                <c:pt idx="3274">
                  <c:v>27.7</c:v>
                </c:pt>
                <c:pt idx="3275">
                  <c:v>27.65</c:v>
                </c:pt>
                <c:pt idx="3276">
                  <c:v>27.98</c:v>
                </c:pt>
                <c:pt idx="3277">
                  <c:v>26.75</c:v>
                </c:pt>
                <c:pt idx="3278">
                  <c:v>26.25</c:v>
                </c:pt>
                <c:pt idx="3279">
                  <c:v>26.7</c:v>
                </c:pt>
                <c:pt idx="3280">
                  <c:v>26.06</c:v>
                </c:pt>
                <c:pt idx="3281">
                  <c:v>25.35</c:v>
                </c:pt>
                <c:pt idx="3282">
                  <c:v>25.19</c:v>
                </c:pt>
                <c:pt idx="3283">
                  <c:v>24.52</c:v>
                </c:pt>
                <c:pt idx="3284">
                  <c:v>24.1</c:v>
                </c:pt>
                <c:pt idx="3285">
                  <c:v>24.41</c:v>
                </c:pt>
                <c:pt idx="3286">
                  <c:v>25.11</c:v>
                </c:pt>
                <c:pt idx="3287">
                  <c:v>26.81</c:v>
                </c:pt>
                <c:pt idx="3288">
                  <c:v>26.55</c:v>
                </c:pt>
                <c:pt idx="3289">
                  <c:v>27.6</c:v>
                </c:pt>
                <c:pt idx="3290">
                  <c:v>28.74</c:v>
                </c:pt>
                <c:pt idx="3291">
                  <c:v>29.35</c:v>
                </c:pt>
                <c:pt idx="3292">
                  <c:v>31.77</c:v>
                </c:pt>
                <c:pt idx="3293">
                  <c:v>29.17</c:v>
                </c:pt>
                <c:pt idx="3294">
                  <c:v>30.06</c:v>
                </c:pt>
                <c:pt idx="3295">
                  <c:v>29.83</c:v>
                </c:pt>
                <c:pt idx="3296">
                  <c:v>29.82</c:v>
                </c:pt>
                <c:pt idx="3297">
                  <c:v>28.75</c:v>
                </c:pt>
                <c:pt idx="3298">
                  <c:v>28.59</c:v>
                </c:pt>
                <c:pt idx="3299">
                  <c:v>28.72</c:v>
                </c:pt>
                <c:pt idx="3300">
                  <c:v>28.51</c:v>
                </c:pt>
                <c:pt idx="3301">
                  <c:v>29.65</c:v>
                </c:pt>
                <c:pt idx="3302">
                  <c:v>29.09</c:v>
                </c:pt>
                <c:pt idx="3303">
                  <c:v>30.89</c:v>
                </c:pt>
                <c:pt idx="3304">
                  <c:v>30.89</c:v>
                </c:pt>
                <c:pt idx="3305">
                  <c:v>30.35</c:v>
                </c:pt>
                <c:pt idx="3306">
                  <c:v>30.4</c:v>
                </c:pt>
                <c:pt idx="3307">
                  <c:v>31.63</c:v>
                </c:pt>
                <c:pt idx="3308">
                  <c:v>31.69</c:v>
                </c:pt>
                <c:pt idx="3309">
                  <c:v>31.85</c:v>
                </c:pt>
                <c:pt idx="3310">
                  <c:v>33.79</c:v>
                </c:pt>
                <c:pt idx="3311">
                  <c:v>34.450000000000003</c:v>
                </c:pt>
                <c:pt idx="3312">
                  <c:v>34.700000000000003</c:v>
                </c:pt>
                <c:pt idx="3313">
                  <c:v>33.76</c:v>
                </c:pt>
                <c:pt idx="3314">
                  <c:v>33.14</c:v>
                </c:pt>
                <c:pt idx="3315">
                  <c:v>33.19</c:v>
                </c:pt>
                <c:pt idx="3316">
                  <c:v>33.159999999999997</c:v>
                </c:pt>
                <c:pt idx="3317">
                  <c:v>33.229999999999997</c:v>
                </c:pt>
                <c:pt idx="3318">
                  <c:v>33.21</c:v>
                </c:pt>
                <c:pt idx="3319">
                  <c:v>33.53</c:v>
                </c:pt>
                <c:pt idx="3320">
                  <c:v>33.79</c:v>
                </c:pt>
                <c:pt idx="3321">
                  <c:v>32.93</c:v>
                </c:pt>
                <c:pt idx="3322">
                  <c:v>32.9</c:v>
                </c:pt>
              </c:numCache>
            </c:numRef>
          </c:val>
          <c:smooth val="0"/>
          <c:extLst>
            <c:ext xmlns:c16="http://schemas.microsoft.com/office/drawing/2014/chart" uri="{C3380CC4-5D6E-409C-BE32-E72D297353CC}">
              <c16:uniqueId val="{00000000-4435-4772-9988-CC758A3E574C}"/>
            </c:ext>
          </c:extLst>
        </c:ser>
        <c:dLbls>
          <c:showLegendKey val="0"/>
          <c:showVal val="0"/>
          <c:showCatName val="0"/>
          <c:showSerName val="0"/>
          <c:showPercent val="0"/>
          <c:showBubbleSize val="0"/>
        </c:dLbls>
        <c:smooth val="0"/>
        <c:axId val="384079040"/>
        <c:axId val="384098176"/>
      </c:lineChart>
      <c:dateAx>
        <c:axId val="384079040"/>
        <c:scaling>
          <c:orientation val="minMax"/>
        </c:scaling>
        <c:delete val="0"/>
        <c:axPos val="b"/>
        <c:numFmt formatCode="[$-409]mmm\-yy;@"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4098176"/>
        <c:crosses val="autoZero"/>
        <c:auto val="0"/>
        <c:lblOffset val="100"/>
        <c:baseTimeUnit val="days"/>
        <c:majorUnit val="1"/>
        <c:majorTimeUnit val="months"/>
      </c:dateAx>
      <c:valAx>
        <c:axId val="3840981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407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645422357106728E-2"/>
          <c:y val="0.16224188790560473"/>
          <c:w val="0.98229640870005042"/>
          <c:h val="0.67551622418879054"/>
        </c:manualLayout>
      </c:layout>
      <c:barChart>
        <c:barDir val="col"/>
        <c:grouping val="clustered"/>
        <c:varyColors val="0"/>
        <c:ser>
          <c:idx val="0"/>
          <c:order val="0"/>
          <c:spPr>
            <a:solidFill>
              <a:srgbClr val="FFC000"/>
            </a:solidFill>
            <a:ln>
              <a:noFill/>
            </a:ln>
            <a:effectLst/>
          </c:spPr>
          <c:invertIfNegative val="0"/>
          <c:dPt>
            <c:idx val="1179"/>
            <c:invertIfNegative val="0"/>
            <c:bubble3D val="0"/>
            <c:spPr>
              <a:solidFill>
                <a:srgbClr val="FFC000"/>
              </a:solidFill>
              <a:ln>
                <a:solidFill>
                  <a:srgbClr val="FFC000"/>
                </a:solidFill>
              </a:ln>
              <a:effectLst/>
            </c:spPr>
            <c:extLst>
              <c:ext xmlns:c16="http://schemas.microsoft.com/office/drawing/2014/chart" uri="{C3380CC4-5D6E-409C-BE32-E72D297353CC}">
                <c16:uniqueId val="{00000001-6FEA-5549-BA50-D31785757427}"/>
              </c:ext>
            </c:extLst>
          </c:dPt>
          <c:cat>
            <c:numRef>
              <c:f>'AMZN daily'!$C$8:$C$3330</c:f>
              <c:numCache>
                <c:formatCode>m/d/yy</c:formatCode>
                <c:ptCount val="3323"/>
                <c:pt idx="0">
                  <c:v>46003</c:v>
                </c:pt>
                <c:pt idx="1">
                  <c:v>46002</c:v>
                </c:pt>
                <c:pt idx="2">
                  <c:v>46001</c:v>
                </c:pt>
                <c:pt idx="3">
                  <c:v>46000</c:v>
                </c:pt>
                <c:pt idx="4">
                  <c:v>45999</c:v>
                </c:pt>
                <c:pt idx="5">
                  <c:v>45996</c:v>
                </c:pt>
                <c:pt idx="6">
                  <c:v>45995</c:v>
                </c:pt>
                <c:pt idx="7">
                  <c:v>45994</c:v>
                </c:pt>
                <c:pt idx="8">
                  <c:v>45993</c:v>
                </c:pt>
                <c:pt idx="9">
                  <c:v>45992</c:v>
                </c:pt>
                <c:pt idx="10">
                  <c:v>45989</c:v>
                </c:pt>
                <c:pt idx="11">
                  <c:v>45987</c:v>
                </c:pt>
                <c:pt idx="12">
                  <c:v>45986</c:v>
                </c:pt>
                <c:pt idx="13">
                  <c:v>45985</c:v>
                </c:pt>
                <c:pt idx="14">
                  <c:v>45982</c:v>
                </c:pt>
                <c:pt idx="15">
                  <c:v>45981</c:v>
                </c:pt>
                <c:pt idx="16">
                  <c:v>45980</c:v>
                </c:pt>
                <c:pt idx="17">
                  <c:v>45979</c:v>
                </c:pt>
                <c:pt idx="18">
                  <c:v>45978</c:v>
                </c:pt>
                <c:pt idx="19">
                  <c:v>45975</c:v>
                </c:pt>
                <c:pt idx="20">
                  <c:v>45974</c:v>
                </c:pt>
                <c:pt idx="21">
                  <c:v>45973</c:v>
                </c:pt>
                <c:pt idx="22">
                  <c:v>45972</c:v>
                </c:pt>
                <c:pt idx="23">
                  <c:v>45971</c:v>
                </c:pt>
                <c:pt idx="24">
                  <c:v>45968</c:v>
                </c:pt>
                <c:pt idx="25">
                  <c:v>45967</c:v>
                </c:pt>
                <c:pt idx="26">
                  <c:v>45966</c:v>
                </c:pt>
                <c:pt idx="27">
                  <c:v>45965</c:v>
                </c:pt>
                <c:pt idx="28">
                  <c:v>45964</c:v>
                </c:pt>
                <c:pt idx="29">
                  <c:v>45961</c:v>
                </c:pt>
                <c:pt idx="30">
                  <c:v>45960</c:v>
                </c:pt>
                <c:pt idx="31">
                  <c:v>45959</c:v>
                </c:pt>
                <c:pt idx="32">
                  <c:v>45958</c:v>
                </c:pt>
                <c:pt idx="33">
                  <c:v>45957</c:v>
                </c:pt>
                <c:pt idx="34">
                  <c:v>45954</c:v>
                </c:pt>
                <c:pt idx="35">
                  <c:v>45953</c:v>
                </c:pt>
                <c:pt idx="36">
                  <c:v>45952</c:v>
                </c:pt>
                <c:pt idx="37">
                  <c:v>45951</c:v>
                </c:pt>
                <c:pt idx="38">
                  <c:v>45950</c:v>
                </c:pt>
                <c:pt idx="39">
                  <c:v>45947</c:v>
                </c:pt>
                <c:pt idx="40">
                  <c:v>45946</c:v>
                </c:pt>
                <c:pt idx="41">
                  <c:v>45945</c:v>
                </c:pt>
                <c:pt idx="42">
                  <c:v>45944</c:v>
                </c:pt>
                <c:pt idx="43">
                  <c:v>45943</c:v>
                </c:pt>
                <c:pt idx="44">
                  <c:v>45940</c:v>
                </c:pt>
                <c:pt idx="45">
                  <c:v>45939</c:v>
                </c:pt>
                <c:pt idx="46">
                  <c:v>45938</c:v>
                </c:pt>
                <c:pt idx="47">
                  <c:v>45937</c:v>
                </c:pt>
                <c:pt idx="48">
                  <c:v>45936</c:v>
                </c:pt>
                <c:pt idx="49">
                  <c:v>45933</c:v>
                </c:pt>
                <c:pt idx="50">
                  <c:v>45932</c:v>
                </c:pt>
                <c:pt idx="51">
                  <c:v>45931</c:v>
                </c:pt>
                <c:pt idx="52">
                  <c:v>45930</c:v>
                </c:pt>
                <c:pt idx="53">
                  <c:v>45929</c:v>
                </c:pt>
                <c:pt idx="54">
                  <c:v>45926</c:v>
                </c:pt>
                <c:pt idx="55">
                  <c:v>45925</c:v>
                </c:pt>
                <c:pt idx="56">
                  <c:v>45924</c:v>
                </c:pt>
                <c:pt idx="57">
                  <c:v>45923</c:v>
                </c:pt>
                <c:pt idx="58">
                  <c:v>45922</c:v>
                </c:pt>
                <c:pt idx="59">
                  <c:v>45919</c:v>
                </c:pt>
                <c:pt idx="60">
                  <c:v>45918</c:v>
                </c:pt>
                <c:pt idx="61">
                  <c:v>45917</c:v>
                </c:pt>
                <c:pt idx="62">
                  <c:v>45916</c:v>
                </c:pt>
                <c:pt idx="63">
                  <c:v>45915</c:v>
                </c:pt>
                <c:pt idx="64">
                  <c:v>45912</c:v>
                </c:pt>
                <c:pt idx="65">
                  <c:v>45911</c:v>
                </c:pt>
                <c:pt idx="66">
                  <c:v>45910</c:v>
                </c:pt>
                <c:pt idx="67">
                  <c:v>45909</c:v>
                </c:pt>
                <c:pt idx="68">
                  <c:v>45908</c:v>
                </c:pt>
                <c:pt idx="69">
                  <c:v>45905</c:v>
                </c:pt>
                <c:pt idx="70">
                  <c:v>45904</c:v>
                </c:pt>
                <c:pt idx="71">
                  <c:v>45903</c:v>
                </c:pt>
                <c:pt idx="72">
                  <c:v>45902</c:v>
                </c:pt>
                <c:pt idx="73">
                  <c:v>45898</c:v>
                </c:pt>
                <c:pt idx="74">
                  <c:v>45897</c:v>
                </c:pt>
                <c:pt idx="75">
                  <c:v>45896</c:v>
                </c:pt>
                <c:pt idx="76">
                  <c:v>45895</c:v>
                </c:pt>
                <c:pt idx="77">
                  <c:v>45894</c:v>
                </c:pt>
                <c:pt idx="78">
                  <c:v>45891</c:v>
                </c:pt>
                <c:pt idx="79">
                  <c:v>45890</c:v>
                </c:pt>
                <c:pt idx="80">
                  <c:v>45889</c:v>
                </c:pt>
                <c:pt idx="81">
                  <c:v>45888</c:v>
                </c:pt>
                <c:pt idx="82">
                  <c:v>45887</c:v>
                </c:pt>
                <c:pt idx="83">
                  <c:v>45884</c:v>
                </c:pt>
                <c:pt idx="84">
                  <c:v>45883</c:v>
                </c:pt>
                <c:pt idx="85">
                  <c:v>45882</c:v>
                </c:pt>
                <c:pt idx="86">
                  <c:v>45881</c:v>
                </c:pt>
                <c:pt idx="87">
                  <c:v>45880</c:v>
                </c:pt>
                <c:pt idx="88">
                  <c:v>45877</c:v>
                </c:pt>
                <c:pt idx="89">
                  <c:v>45876</c:v>
                </c:pt>
                <c:pt idx="90">
                  <c:v>45875</c:v>
                </c:pt>
                <c:pt idx="91">
                  <c:v>45874</c:v>
                </c:pt>
                <c:pt idx="92">
                  <c:v>45873</c:v>
                </c:pt>
                <c:pt idx="93">
                  <c:v>45870</c:v>
                </c:pt>
                <c:pt idx="94">
                  <c:v>45869</c:v>
                </c:pt>
                <c:pt idx="95">
                  <c:v>45868</c:v>
                </c:pt>
                <c:pt idx="96">
                  <c:v>45867</c:v>
                </c:pt>
                <c:pt idx="97">
                  <c:v>45866</c:v>
                </c:pt>
                <c:pt idx="98">
                  <c:v>45863</c:v>
                </c:pt>
                <c:pt idx="99">
                  <c:v>45862</c:v>
                </c:pt>
                <c:pt idx="100">
                  <c:v>45861</c:v>
                </c:pt>
                <c:pt idx="101">
                  <c:v>45860</c:v>
                </c:pt>
                <c:pt idx="102">
                  <c:v>45859</c:v>
                </c:pt>
                <c:pt idx="103">
                  <c:v>45856</c:v>
                </c:pt>
                <c:pt idx="104">
                  <c:v>45855</c:v>
                </c:pt>
                <c:pt idx="105">
                  <c:v>45854</c:v>
                </c:pt>
                <c:pt idx="106">
                  <c:v>45853</c:v>
                </c:pt>
                <c:pt idx="107">
                  <c:v>45852</c:v>
                </c:pt>
                <c:pt idx="108">
                  <c:v>45849</c:v>
                </c:pt>
                <c:pt idx="109">
                  <c:v>45848</c:v>
                </c:pt>
                <c:pt idx="110">
                  <c:v>45847</c:v>
                </c:pt>
                <c:pt idx="111">
                  <c:v>45846</c:v>
                </c:pt>
                <c:pt idx="112">
                  <c:v>45845</c:v>
                </c:pt>
                <c:pt idx="113">
                  <c:v>45841</c:v>
                </c:pt>
                <c:pt idx="114">
                  <c:v>45840</c:v>
                </c:pt>
                <c:pt idx="115">
                  <c:v>45839</c:v>
                </c:pt>
                <c:pt idx="116">
                  <c:v>45838</c:v>
                </c:pt>
                <c:pt idx="117">
                  <c:v>45835</c:v>
                </c:pt>
                <c:pt idx="118">
                  <c:v>45834</c:v>
                </c:pt>
                <c:pt idx="119">
                  <c:v>45833</c:v>
                </c:pt>
                <c:pt idx="120">
                  <c:v>45832</c:v>
                </c:pt>
                <c:pt idx="121">
                  <c:v>45831</c:v>
                </c:pt>
                <c:pt idx="122">
                  <c:v>45828</c:v>
                </c:pt>
                <c:pt idx="123">
                  <c:v>45826</c:v>
                </c:pt>
                <c:pt idx="124">
                  <c:v>45825</c:v>
                </c:pt>
                <c:pt idx="125">
                  <c:v>45824</c:v>
                </c:pt>
                <c:pt idx="126">
                  <c:v>45821</c:v>
                </c:pt>
                <c:pt idx="127">
                  <c:v>45820</c:v>
                </c:pt>
                <c:pt idx="128">
                  <c:v>45819</c:v>
                </c:pt>
                <c:pt idx="129">
                  <c:v>45818</c:v>
                </c:pt>
                <c:pt idx="130">
                  <c:v>45817</c:v>
                </c:pt>
                <c:pt idx="131">
                  <c:v>45814</c:v>
                </c:pt>
                <c:pt idx="132">
                  <c:v>45813</c:v>
                </c:pt>
                <c:pt idx="133">
                  <c:v>45812</c:v>
                </c:pt>
                <c:pt idx="134">
                  <c:v>45811</c:v>
                </c:pt>
                <c:pt idx="135">
                  <c:v>45810</c:v>
                </c:pt>
                <c:pt idx="136">
                  <c:v>45807</c:v>
                </c:pt>
                <c:pt idx="137">
                  <c:v>45806</c:v>
                </c:pt>
                <c:pt idx="138">
                  <c:v>45805</c:v>
                </c:pt>
                <c:pt idx="139">
                  <c:v>45804</c:v>
                </c:pt>
                <c:pt idx="140">
                  <c:v>45800</c:v>
                </c:pt>
                <c:pt idx="141">
                  <c:v>45799</c:v>
                </c:pt>
                <c:pt idx="142">
                  <c:v>45798</c:v>
                </c:pt>
                <c:pt idx="143">
                  <c:v>45797</c:v>
                </c:pt>
                <c:pt idx="144">
                  <c:v>45796</c:v>
                </c:pt>
                <c:pt idx="145">
                  <c:v>45793</c:v>
                </c:pt>
                <c:pt idx="146">
                  <c:v>45792</c:v>
                </c:pt>
                <c:pt idx="147">
                  <c:v>45791</c:v>
                </c:pt>
                <c:pt idx="148">
                  <c:v>45790</c:v>
                </c:pt>
                <c:pt idx="149">
                  <c:v>45789</c:v>
                </c:pt>
                <c:pt idx="150">
                  <c:v>45786</c:v>
                </c:pt>
                <c:pt idx="151">
                  <c:v>45785</c:v>
                </c:pt>
                <c:pt idx="152">
                  <c:v>45784</c:v>
                </c:pt>
                <c:pt idx="153">
                  <c:v>45783</c:v>
                </c:pt>
                <c:pt idx="154">
                  <c:v>45782</c:v>
                </c:pt>
                <c:pt idx="155">
                  <c:v>45779</c:v>
                </c:pt>
                <c:pt idx="156">
                  <c:v>45778</c:v>
                </c:pt>
                <c:pt idx="157">
                  <c:v>45777</c:v>
                </c:pt>
                <c:pt idx="158">
                  <c:v>45776</c:v>
                </c:pt>
                <c:pt idx="159">
                  <c:v>45775</c:v>
                </c:pt>
                <c:pt idx="160">
                  <c:v>45772</c:v>
                </c:pt>
                <c:pt idx="161">
                  <c:v>45771</c:v>
                </c:pt>
                <c:pt idx="162">
                  <c:v>45770</c:v>
                </c:pt>
                <c:pt idx="163">
                  <c:v>45769</c:v>
                </c:pt>
                <c:pt idx="164">
                  <c:v>45768</c:v>
                </c:pt>
                <c:pt idx="165">
                  <c:v>45764</c:v>
                </c:pt>
                <c:pt idx="166">
                  <c:v>45763</c:v>
                </c:pt>
                <c:pt idx="167">
                  <c:v>45762</c:v>
                </c:pt>
                <c:pt idx="168">
                  <c:v>45761</c:v>
                </c:pt>
                <c:pt idx="169">
                  <c:v>45758</c:v>
                </c:pt>
                <c:pt idx="170">
                  <c:v>45757</c:v>
                </c:pt>
                <c:pt idx="171">
                  <c:v>45756</c:v>
                </c:pt>
                <c:pt idx="172">
                  <c:v>45755</c:v>
                </c:pt>
                <c:pt idx="173">
                  <c:v>45754</c:v>
                </c:pt>
                <c:pt idx="174">
                  <c:v>45751</c:v>
                </c:pt>
                <c:pt idx="175">
                  <c:v>45750</c:v>
                </c:pt>
                <c:pt idx="176">
                  <c:v>45749</c:v>
                </c:pt>
                <c:pt idx="177">
                  <c:v>45748</c:v>
                </c:pt>
                <c:pt idx="178">
                  <c:v>45747</c:v>
                </c:pt>
                <c:pt idx="179">
                  <c:v>45744</c:v>
                </c:pt>
                <c:pt idx="180">
                  <c:v>45743</c:v>
                </c:pt>
                <c:pt idx="181">
                  <c:v>45742</c:v>
                </c:pt>
                <c:pt idx="182">
                  <c:v>45741</c:v>
                </c:pt>
                <c:pt idx="183">
                  <c:v>45740</c:v>
                </c:pt>
                <c:pt idx="184">
                  <c:v>45737</c:v>
                </c:pt>
                <c:pt idx="185">
                  <c:v>45736</c:v>
                </c:pt>
                <c:pt idx="186">
                  <c:v>45735</c:v>
                </c:pt>
                <c:pt idx="187">
                  <c:v>45734</c:v>
                </c:pt>
                <c:pt idx="188">
                  <c:v>45733</c:v>
                </c:pt>
                <c:pt idx="189">
                  <c:v>45730</c:v>
                </c:pt>
                <c:pt idx="190">
                  <c:v>45729</c:v>
                </c:pt>
                <c:pt idx="191">
                  <c:v>45728</c:v>
                </c:pt>
                <c:pt idx="192">
                  <c:v>45727</c:v>
                </c:pt>
                <c:pt idx="193">
                  <c:v>45726</c:v>
                </c:pt>
                <c:pt idx="194">
                  <c:v>45723</c:v>
                </c:pt>
                <c:pt idx="195">
                  <c:v>45722</c:v>
                </c:pt>
                <c:pt idx="196">
                  <c:v>45721</c:v>
                </c:pt>
                <c:pt idx="197">
                  <c:v>45720</c:v>
                </c:pt>
                <c:pt idx="198">
                  <c:v>45719</c:v>
                </c:pt>
                <c:pt idx="199">
                  <c:v>45716</c:v>
                </c:pt>
                <c:pt idx="200">
                  <c:v>45715</c:v>
                </c:pt>
                <c:pt idx="201">
                  <c:v>45714</c:v>
                </c:pt>
                <c:pt idx="202">
                  <c:v>45713</c:v>
                </c:pt>
                <c:pt idx="203">
                  <c:v>45712</c:v>
                </c:pt>
                <c:pt idx="204">
                  <c:v>45709</c:v>
                </c:pt>
                <c:pt idx="205">
                  <c:v>45708</c:v>
                </c:pt>
                <c:pt idx="206">
                  <c:v>45707</c:v>
                </c:pt>
                <c:pt idx="207">
                  <c:v>45706</c:v>
                </c:pt>
                <c:pt idx="208">
                  <c:v>45702</c:v>
                </c:pt>
                <c:pt idx="209">
                  <c:v>45701</c:v>
                </c:pt>
                <c:pt idx="210">
                  <c:v>45700</c:v>
                </c:pt>
                <c:pt idx="211">
                  <c:v>45699</c:v>
                </c:pt>
                <c:pt idx="212">
                  <c:v>45698</c:v>
                </c:pt>
                <c:pt idx="213">
                  <c:v>45695</c:v>
                </c:pt>
                <c:pt idx="214">
                  <c:v>45694</c:v>
                </c:pt>
                <c:pt idx="215">
                  <c:v>45693</c:v>
                </c:pt>
                <c:pt idx="216">
                  <c:v>45692</c:v>
                </c:pt>
                <c:pt idx="217">
                  <c:v>45691</c:v>
                </c:pt>
                <c:pt idx="218">
                  <c:v>45688</c:v>
                </c:pt>
                <c:pt idx="219">
                  <c:v>45687</c:v>
                </c:pt>
                <c:pt idx="220">
                  <c:v>45686</c:v>
                </c:pt>
                <c:pt idx="221">
                  <c:v>45685</c:v>
                </c:pt>
                <c:pt idx="222">
                  <c:v>45684</c:v>
                </c:pt>
                <c:pt idx="223">
                  <c:v>45681</c:v>
                </c:pt>
                <c:pt idx="224">
                  <c:v>45680</c:v>
                </c:pt>
                <c:pt idx="225">
                  <c:v>45679</c:v>
                </c:pt>
                <c:pt idx="226">
                  <c:v>45678</c:v>
                </c:pt>
                <c:pt idx="227">
                  <c:v>45674</c:v>
                </c:pt>
                <c:pt idx="228">
                  <c:v>45673</c:v>
                </c:pt>
                <c:pt idx="229">
                  <c:v>45672</c:v>
                </c:pt>
                <c:pt idx="230">
                  <c:v>45671</c:v>
                </c:pt>
                <c:pt idx="231">
                  <c:v>45670</c:v>
                </c:pt>
                <c:pt idx="232">
                  <c:v>45667</c:v>
                </c:pt>
                <c:pt idx="233">
                  <c:v>45665</c:v>
                </c:pt>
                <c:pt idx="234">
                  <c:v>45664</c:v>
                </c:pt>
                <c:pt idx="235">
                  <c:v>45663</c:v>
                </c:pt>
                <c:pt idx="236">
                  <c:v>45660</c:v>
                </c:pt>
                <c:pt idx="237">
                  <c:v>45659</c:v>
                </c:pt>
                <c:pt idx="238">
                  <c:v>45657</c:v>
                </c:pt>
                <c:pt idx="239">
                  <c:v>45656</c:v>
                </c:pt>
                <c:pt idx="240">
                  <c:v>45653</c:v>
                </c:pt>
                <c:pt idx="241">
                  <c:v>45652</c:v>
                </c:pt>
                <c:pt idx="242">
                  <c:v>45650</c:v>
                </c:pt>
                <c:pt idx="243">
                  <c:v>45649</c:v>
                </c:pt>
                <c:pt idx="244">
                  <c:v>45646</c:v>
                </c:pt>
                <c:pt idx="245">
                  <c:v>45645</c:v>
                </c:pt>
                <c:pt idx="246">
                  <c:v>45644</c:v>
                </c:pt>
                <c:pt idx="247">
                  <c:v>45643</c:v>
                </c:pt>
                <c:pt idx="248">
                  <c:v>45642</c:v>
                </c:pt>
                <c:pt idx="249">
                  <c:v>45639</c:v>
                </c:pt>
                <c:pt idx="250">
                  <c:v>45638</c:v>
                </c:pt>
                <c:pt idx="251">
                  <c:v>45637</c:v>
                </c:pt>
                <c:pt idx="252">
                  <c:v>45636</c:v>
                </c:pt>
                <c:pt idx="253">
                  <c:v>45635</c:v>
                </c:pt>
                <c:pt idx="254">
                  <c:v>45632</c:v>
                </c:pt>
                <c:pt idx="255">
                  <c:v>45631</c:v>
                </c:pt>
                <c:pt idx="256">
                  <c:v>45630</c:v>
                </c:pt>
                <c:pt idx="257">
                  <c:v>45629</c:v>
                </c:pt>
                <c:pt idx="258">
                  <c:v>45628</c:v>
                </c:pt>
                <c:pt idx="259">
                  <c:v>45625</c:v>
                </c:pt>
                <c:pt idx="260">
                  <c:v>45623</c:v>
                </c:pt>
                <c:pt idx="261">
                  <c:v>45622</c:v>
                </c:pt>
                <c:pt idx="262">
                  <c:v>45621</c:v>
                </c:pt>
                <c:pt idx="263">
                  <c:v>45618</c:v>
                </c:pt>
                <c:pt idx="264">
                  <c:v>45617</c:v>
                </c:pt>
                <c:pt idx="265">
                  <c:v>45616</c:v>
                </c:pt>
                <c:pt idx="266">
                  <c:v>45615</c:v>
                </c:pt>
                <c:pt idx="267">
                  <c:v>45614</c:v>
                </c:pt>
                <c:pt idx="268">
                  <c:v>45611</c:v>
                </c:pt>
                <c:pt idx="269">
                  <c:v>45610</c:v>
                </c:pt>
                <c:pt idx="270">
                  <c:v>45609</c:v>
                </c:pt>
                <c:pt idx="271">
                  <c:v>45608</c:v>
                </c:pt>
                <c:pt idx="272">
                  <c:v>45607</c:v>
                </c:pt>
                <c:pt idx="273">
                  <c:v>45604</c:v>
                </c:pt>
                <c:pt idx="274">
                  <c:v>45603</c:v>
                </c:pt>
                <c:pt idx="275">
                  <c:v>45602</c:v>
                </c:pt>
                <c:pt idx="276">
                  <c:v>45601</c:v>
                </c:pt>
                <c:pt idx="277">
                  <c:v>45600</c:v>
                </c:pt>
                <c:pt idx="278">
                  <c:v>45597</c:v>
                </c:pt>
                <c:pt idx="279">
                  <c:v>45596</c:v>
                </c:pt>
                <c:pt idx="280">
                  <c:v>45595</c:v>
                </c:pt>
                <c:pt idx="281">
                  <c:v>45594</c:v>
                </c:pt>
                <c:pt idx="282">
                  <c:v>45593</c:v>
                </c:pt>
                <c:pt idx="283">
                  <c:v>45590</c:v>
                </c:pt>
                <c:pt idx="284">
                  <c:v>45589</c:v>
                </c:pt>
                <c:pt idx="285">
                  <c:v>45588</c:v>
                </c:pt>
                <c:pt idx="286">
                  <c:v>45587</c:v>
                </c:pt>
                <c:pt idx="287">
                  <c:v>45586</c:v>
                </c:pt>
                <c:pt idx="288">
                  <c:v>45583</c:v>
                </c:pt>
                <c:pt idx="289">
                  <c:v>45582</c:v>
                </c:pt>
                <c:pt idx="290">
                  <c:v>45581</c:v>
                </c:pt>
                <c:pt idx="291">
                  <c:v>45580</c:v>
                </c:pt>
                <c:pt idx="292">
                  <c:v>45579</c:v>
                </c:pt>
                <c:pt idx="293">
                  <c:v>45576</c:v>
                </c:pt>
                <c:pt idx="294">
                  <c:v>45575</c:v>
                </c:pt>
                <c:pt idx="295">
                  <c:v>45574</c:v>
                </c:pt>
                <c:pt idx="296">
                  <c:v>45573</c:v>
                </c:pt>
                <c:pt idx="297">
                  <c:v>45572</c:v>
                </c:pt>
                <c:pt idx="298">
                  <c:v>45569</c:v>
                </c:pt>
                <c:pt idx="299">
                  <c:v>45568</c:v>
                </c:pt>
                <c:pt idx="300">
                  <c:v>45567</c:v>
                </c:pt>
                <c:pt idx="301">
                  <c:v>45566</c:v>
                </c:pt>
                <c:pt idx="302">
                  <c:v>45565</c:v>
                </c:pt>
                <c:pt idx="303">
                  <c:v>45562</c:v>
                </c:pt>
                <c:pt idx="304">
                  <c:v>45561</c:v>
                </c:pt>
                <c:pt idx="305">
                  <c:v>45560</c:v>
                </c:pt>
                <c:pt idx="306">
                  <c:v>45559</c:v>
                </c:pt>
                <c:pt idx="307">
                  <c:v>45558</c:v>
                </c:pt>
                <c:pt idx="308">
                  <c:v>45555</c:v>
                </c:pt>
                <c:pt idx="309">
                  <c:v>45554</c:v>
                </c:pt>
                <c:pt idx="310">
                  <c:v>45553</c:v>
                </c:pt>
                <c:pt idx="311">
                  <c:v>45552</c:v>
                </c:pt>
                <c:pt idx="312">
                  <c:v>45551</c:v>
                </c:pt>
                <c:pt idx="313">
                  <c:v>45548</c:v>
                </c:pt>
                <c:pt idx="314">
                  <c:v>45547</c:v>
                </c:pt>
                <c:pt idx="315">
                  <c:v>45546</c:v>
                </c:pt>
                <c:pt idx="316">
                  <c:v>45545</c:v>
                </c:pt>
                <c:pt idx="317">
                  <c:v>45544</c:v>
                </c:pt>
                <c:pt idx="318">
                  <c:v>45541</c:v>
                </c:pt>
                <c:pt idx="319">
                  <c:v>45540</c:v>
                </c:pt>
                <c:pt idx="320">
                  <c:v>45539</c:v>
                </c:pt>
                <c:pt idx="321">
                  <c:v>45538</c:v>
                </c:pt>
                <c:pt idx="322">
                  <c:v>45534</c:v>
                </c:pt>
                <c:pt idx="323">
                  <c:v>45533</c:v>
                </c:pt>
                <c:pt idx="324">
                  <c:v>45532</c:v>
                </c:pt>
                <c:pt idx="325">
                  <c:v>45531</c:v>
                </c:pt>
                <c:pt idx="326">
                  <c:v>45530</c:v>
                </c:pt>
                <c:pt idx="327">
                  <c:v>45527</c:v>
                </c:pt>
                <c:pt idx="328">
                  <c:v>45526</c:v>
                </c:pt>
                <c:pt idx="329">
                  <c:v>45525</c:v>
                </c:pt>
                <c:pt idx="330">
                  <c:v>45524</c:v>
                </c:pt>
                <c:pt idx="331">
                  <c:v>45523</c:v>
                </c:pt>
                <c:pt idx="332">
                  <c:v>45520</c:v>
                </c:pt>
                <c:pt idx="333">
                  <c:v>45519</c:v>
                </c:pt>
                <c:pt idx="334">
                  <c:v>45518</c:v>
                </c:pt>
                <c:pt idx="335">
                  <c:v>45517</c:v>
                </c:pt>
                <c:pt idx="336">
                  <c:v>45516</c:v>
                </c:pt>
                <c:pt idx="337">
                  <c:v>45513</c:v>
                </c:pt>
                <c:pt idx="338">
                  <c:v>45512</c:v>
                </c:pt>
                <c:pt idx="339">
                  <c:v>45511</c:v>
                </c:pt>
                <c:pt idx="340">
                  <c:v>45510</c:v>
                </c:pt>
                <c:pt idx="341">
                  <c:v>45509</c:v>
                </c:pt>
                <c:pt idx="342">
                  <c:v>45506</c:v>
                </c:pt>
                <c:pt idx="343">
                  <c:v>45505</c:v>
                </c:pt>
                <c:pt idx="344">
                  <c:v>45504</c:v>
                </c:pt>
                <c:pt idx="345">
                  <c:v>45503</c:v>
                </c:pt>
                <c:pt idx="346">
                  <c:v>45502</c:v>
                </c:pt>
                <c:pt idx="347">
                  <c:v>45499</c:v>
                </c:pt>
                <c:pt idx="348">
                  <c:v>45498</c:v>
                </c:pt>
                <c:pt idx="349">
                  <c:v>45497</c:v>
                </c:pt>
                <c:pt idx="350">
                  <c:v>45496</c:v>
                </c:pt>
                <c:pt idx="351">
                  <c:v>45495</c:v>
                </c:pt>
                <c:pt idx="352">
                  <c:v>45492</c:v>
                </c:pt>
                <c:pt idx="353">
                  <c:v>45491</c:v>
                </c:pt>
                <c:pt idx="354">
                  <c:v>45490</c:v>
                </c:pt>
                <c:pt idx="355">
                  <c:v>45489</c:v>
                </c:pt>
                <c:pt idx="356">
                  <c:v>45488</c:v>
                </c:pt>
                <c:pt idx="357">
                  <c:v>45485</c:v>
                </c:pt>
                <c:pt idx="358">
                  <c:v>45484</c:v>
                </c:pt>
                <c:pt idx="359">
                  <c:v>45483</c:v>
                </c:pt>
                <c:pt idx="360">
                  <c:v>45482</c:v>
                </c:pt>
                <c:pt idx="361">
                  <c:v>45481</c:v>
                </c:pt>
                <c:pt idx="362">
                  <c:v>45478</c:v>
                </c:pt>
                <c:pt idx="363">
                  <c:v>45476</c:v>
                </c:pt>
                <c:pt idx="364">
                  <c:v>45475</c:v>
                </c:pt>
                <c:pt idx="365">
                  <c:v>45474</c:v>
                </c:pt>
                <c:pt idx="366">
                  <c:v>45471</c:v>
                </c:pt>
                <c:pt idx="367">
                  <c:v>45470</c:v>
                </c:pt>
                <c:pt idx="368">
                  <c:v>45469</c:v>
                </c:pt>
                <c:pt idx="369">
                  <c:v>45468</c:v>
                </c:pt>
                <c:pt idx="370">
                  <c:v>45467</c:v>
                </c:pt>
                <c:pt idx="371">
                  <c:v>45464</c:v>
                </c:pt>
                <c:pt idx="372">
                  <c:v>45463</c:v>
                </c:pt>
                <c:pt idx="373">
                  <c:v>45461</c:v>
                </c:pt>
                <c:pt idx="374">
                  <c:v>45460</c:v>
                </c:pt>
                <c:pt idx="375">
                  <c:v>45457</c:v>
                </c:pt>
                <c:pt idx="376">
                  <c:v>45456</c:v>
                </c:pt>
                <c:pt idx="377">
                  <c:v>45455</c:v>
                </c:pt>
                <c:pt idx="378">
                  <c:v>45454</c:v>
                </c:pt>
                <c:pt idx="379">
                  <c:v>45453</c:v>
                </c:pt>
                <c:pt idx="380">
                  <c:v>45450</c:v>
                </c:pt>
                <c:pt idx="381">
                  <c:v>45449</c:v>
                </c:pt>
                <c:pt idx="382">
                  <c:v>45448</c:v>
                </c:pt>
                <c:pt idx="383">
                  <c:v>45447</c:v>
                </c:pt>
                <c:pt idx="384">
                  <c:v>45446</c:v>
                </c:pt>
                <c:pt idx="385">
                  <c:v>45443</c:v>
                </c:pt>
                <c:pt idx="386">
                  <c:v>45442</c:v>
                </c:pt>
                <c:pt idx="387">
                  <c:v>45441</c:v>
                </c:pt>
                <c:pt idx="388">
                  <c:v>45440</c:v>
                </c:pt>
                <c:pt idx="389">
                  <c:v>45436</c:v>
                </c:pt>
                <c:pt idx="390">
                  <c:v>45435</c:v>
                </c:pt>
                <c:pt idx="391">
                  <c:v>45434</c:v>
                </c:pt>
                <c:pt idx="392">
                  <c:v>45433</c:v>
                </c:pt>
                <c:pt idx="393">
                  <c:v>45432</c:v>
                </c:pt>
                <c:pt idx="394">
                  <c:v>45429</c:v>
                </c:pt>
                <c:pt idx="395">
                  <c:v>45428</c:v>
                </c:pt>
                <c:pt idx="396">
                  <c:v>45427</c:v>
                </c:pt>
                <c:pt idx="397">
                  <c:v>45426</c:v>
                </c:pt>
                <c:pt idx="398">
                  <c:v>45425</c:v>
                </c:pt>
                <c:pt idx="399">
                  <c:v>45422</c:v>
                </c:pt>
                <c:pt idx="400">
                  <c:v>45421</c:v>
                </c:pt>
                <c:pt idx="401">
                  <c:v>45420</c:v>
                </c:pt>
                <c:pt idx="402">
                  <c:v>45419</c:v>
                </c:pt>
                <c:pt idx="403">
                  <c:v>45418</c:v>
                </c:pt>
                <c:pt idx="404">
                  <c:v>45415</c:v>
                </c:pt>
                <c:pt idx="405">
                  <c:v>45414</c:v>
                </c:pt>
                <c:pt idx="406">
                  <c:v>45413</c:v>
                </c:pt>
                <c:pt idx="407">
                  <c:v>45412</c:v>
                </c:pt>
                <c:pt idx="408">
                  <c:v>45411</c:v>
                </c:pt>
                <c:pt idx="409">
                  <c:v>45408</c:v>
                </c:pt>
                <c:pt idx="410">
                  <c:v>45407</c:v>
                </c:pt>
                <c:pt idx="411">
                  <c:v>45406</c:v>
                </c:pt>
                <c:pt idx="412">
                  <c:v>45405</c:v>
                </c:pt>
                <c:pt idx="413">
                  <c:v>45404</c:v>
                </c:pt>
                <c:pt idx="414">
                  <c:v>45401</c:v>
                </c:pt>
                <c:pt idx="415">
                  <c:v>45400</c:v>
                </c:pt>
                <c:pt idx="416">
                  <c:v>45399</c:v>
                </c:pt>
                <c:pt idx="417">
                  <c:v>45398</c:v>
                </c:pt>
                <c:pt idx="418">
                  <c:v>45397</c:v>
                </c:pt>
                <c:pt idx="419">
                  <c:v>45394</c:v>
                </c:pt>
                <c:pt idx="420">
                  <c:v>45393</c:v>
                </c:pt>
                <c:pt idx="421">
                  <c:v>45392</c:v>
                </c:pt>
                <c:pt idx="422">
                  <c:v>45391</c:v>
                </c:pt>
                <c:pt idx="423">
                  <c:v>45390</c:v>
                </c:pt>
                <c:pt idx="424">
                  <c:v>45387</c:v>
                </c:pt>
                <c:pt idx="425">
                  <c:v>45386</c:v>
                </c:pt>
                <c:pt idx="426">
                  <c:v>45385</c:v>
                </c:pt>
                <c:pt idx="427">
                  <c:v>45384</c:v>
                </c:pt>
                <c:pt idx="428">
                  <c:v>45383</c:v>
                </c:pt>
                <c:pt idx="429">
                  <c:v>45379</c:v>
                </c:pt>
                <c:pt idx="430">
                  <c:v>45378</c:v>
                </c:pt>
                <c:pt idx="431">
                  <c:v>45377</c:v>
                </c:pt>
                <c:pt idx="432">
                  <c:v>45376</c:v>
                </c:pt>
                <c:pt idx="433">
                  <c:v>45373</c:v>
                </c:pt>
                <c:pt idx="434">
                  <c:v>45372</c:v>
                </c:pt>
                <c:pt idx="435">
                  <c:v>45371</c:v>
                </c:pt>
                <c:pt idx="436">
                  <c:v>45370</c:v>
                </c:pt>
                <c:pt idx="437">
                  <c:v>45369</c:v>
                </c:pt>
                <c:pt idx="438">
                  <c:v>45366</c:v>
                </c:pt>
                <c:pt idx="439">
                  <c:v>45365</c:v>
                </c:pt>
                <c:pt idx="440">
                  <c:v>45364</c:v>
                </c:pt>
                <c:pt idx="441">
                  <c:v>45363</c:v>
                </c:pt>
                <c:pt idx="442">
                  <c:v>45362</c:v>
                </c:pt>
                <c:pt idx="443">
                  <c:v>45359</c:v>
                </c:pt>
                <c:pt idx="444">
                  <c:v>45358</c:v>
                </c:pt>
                <c:pt idx="445">
                  <c:v>45357</c:v>
                </c:pt>
                <c:pt idx="446">
                  <c:v>45356</c:v>
                </c:pt>
                <c:pt idx="447">
                  <c:v>45355</c:v>
                </c:pt>
                <c:pt idx="448">
                  <c:v>45352</c:v>
                </c:pt>
                <c:pt idx="449">
                  <c:v>45351</c:v>
                </c:pt>
                <c:pt idx="450">
                  <c:v>45350</c:v>
                </c:pt>
                <c:pt idx="451">
                  <c:v>45349</c:v>
                </c:pt>
                <c:pt idx="452">
                  <c:v>45348</c:v>
                </c:pt>
                <c:pt idx="453">
                  <c:v>45345</c:v>
                </c:pt>
                <c:pt idx="454">
                  <c:v>45344</c:v>
                </c:pt>
                <c:pt idx="455">
                  <c:v>45343</c:v>
                </c:pt>
                <c:pt idx="456">
                  <c:v>45342</c:v>
                </c:pt>
                <c:pt idx="457">
                  <c:v>45338</c:v>
                </c:pt>
                <c:pt idx="458">
                  <c:v>45337</c:v>
                </c:pt>
                <c:pt idx="459">
                  <c:v>45336</c:v>
                </c:pt>
                <c:pt idx="460">
                  <c:v>45335</c:v>
                </c:pt>
                <c:pt idx="461">
                  <c:v>45334</c:v>
                </c:pt>
                <c:pt idx="462">
                  <c:v>45331</c:v>
                </c:pt>
                <c:pt idx="463">
                  <c:v>45330</c:v>
                </c:pt>
                <c:pt idx="464">
                  <c:v>45329</c:v>
                </c:pt>
                <c:pt idx="465">
                  <c:v>45328</c:v>
                </c:pt>
                <c:pt idx="466">
                  <c:v>45327</c:v>
                </c:pt>
                <c:pt idx="467">
                  <c:v>45324</c:v>
                </c:pt>
                <c:pt idx="468">
                  <c:v>45323</c:v>
                </c:pt>
                <c:pt idx="469">
                  <c:v>45322</c:v>
                </c:pt>
                <c:pt idx="470">
                  <c:v>45321</c:v>
                </c:pt>
                <c:pt idx="471">
                  <c:v>45320</c:v>
                </c:pt>
                <c:pt idx="472">
                  <c:v>45317</c:v>
                </c:pt>
                <c:pt idx="473">
                  <c:v>45316</c:v>
                </c:pt>
                <c:pt idx="474">
                  <c:v>45315</c:v>
                </c:pt>
                <c:pt idx="475">
                  <c:v>45314</c:v>
                </c:pt>
                <c:pt idx="476">
                  <c:v>45313</c:v>
                </c:pt>
                <c:pt idx="477">
                  <c:v>45310</c:v>
                </c:pt>
                <c:pt idx="478">
                  <c:v>45309</c:v>
                </c:pt>
                <c:pt idx="479">
                  <c:v>45308</c:v>
                </c:pt>
                <c:pt idx="480">
                  <c:v>45307</c:v>
                </c:pt>
                <c:pt idx="481">
                  <c:v>45303</c:v>
                </c:pt>
                <c:pt idx="482">
                  <c:v>45302</c:v>
                </c:pt>
                <c:pt idx="483">
                  <c:v>45301</c:v>
                </c:pt>
                <c:pt idx="484">
                  <c:v>45300</c:v>
                </c:pt>
                <c:pt idx="485">
                  <c:v>45299</c:v>
                </c:pt>
                <c:pt idx="486">
                  <c:v>45296</c:v>
                </c:pt>
                <c:pt idx="487">
                  <c:v>45295</c:v>
                </c:pt>
                <c:pt idx="488">
                  <c:v>45294</c:v>
                </c:pt>
                <c:pt idx="489">
                  <c:v>45293</c:v>
                </c:pt>
                <c:pt idx="490">
                  <c:v>45289</c:v>
                </c:pt>
                <c:pt idx="491">
                  <c:v>45288</c:v>
                </c:pt>
                <c:pt idx="492">
                  <c:v>45287</c:v>
                </c:pt>
                <c:pt idx="493">
                  <c:v>45286</c:v>
                </c:pt>
                <c:pt idx="494">
                  <c:v>45282</c:v>
                </c:pt>
                <c:pt idx="495">
                  <c:v>45281</c:v>
                </c:pt>
                <c:pt idx="496">
                  <c:v>45280</c:v>
                </c:pt>
                <c:pt idx="497">
                  <c:v>45279</c:v>
                </c:pt>
                <c:pt idx="498">
                  <c:v>45278</c:v>
                </c:pt>
                <c:pt idx="499">
                  <c:v>45275</c:v>
                </c:pt>
                <c:pt idx="500">
                  <c:v>45274</c:v>
                </c:pt>
                <c:pt idx="501">
                  <c:v>45273</c:v>
                </c:pt>
                <c:pt idx="502">
                  <c:v>45272</c:v>
                </c:pt>
                <c:pt idx="503">
                  <c:v>45271</c:v>
                </c:pt>
                <c:pt idx="504">
                  <c:v>45268</c:v>
                </c:pt>
                <c:pt idx="505">
                  <c:v>45267</c:v>
                </c:pt>
                <c:pt idx="506">
                  <c:v>45266</c:v>
                </c:pt>
                <c:pt idx="507">
                  <c:v>45265</c:v>
                </c:pt>
                <c:pt idx="508">
                  <c:v>45264</c:v>
                </c:pt>
                <c:pt idx="509">
                  <c:v>45261</c:v>
                </c:pt>
                <c:pt idx="510">
                  <c:v>45260</c:v>
                </c:pt>
                <c:pt idx="511">
                  <c:v>45259</c:v>
                </c:pt>
                <c:pt idx="512">
                  <c:v>45258</c:v>
                </c:pt>
                <c:pt idx="513">
                  <c:v>45257</c:v>
                </c:pt>
                <c:pt idx="514">
                  <c:v>45254</c:v>
                </c:pt>
                <c:pt idx="515">
                  <c:v>45252</c:v>
                </c:pt>
                <c:pt idx="516">
                  <c:v>45251</c:v>
                </c:pt>
                <c:pt idx="517">
                  <c:v>45250</c:v>
                </c:pt>
                <c:pt idx="518">
                  <c:v>45247</c:v>
                </c:pt>
                <c:pt idx="519">
                  <c:v>45246</c:v>
                </c:pt>
                <c:pt idx="520">
                  <c:v>45245</c:v>
                </c:pt>
                <c:pt idx="521">
                  <c:v>45244</c:v>
                </c:pt>
                <c:pt idx="522">
                  <c:v>45243</c:v>
                </c:pt>
                <c:pt idx="523">
                  <c:v>45240</c:v>
                </c:pt>
                <c:pt idx="524">
                  <c:v>45239</c:v>
                </c:pt>
                <c:pt idx="525">
                  <c:v>45238</c:v>
                </c:pt>
                <c:pt idx="526">
                  <c:v>45237</c:v>
                </c:pt>
                <c:pt idx="527">
                  <c:v>45236</c:v>
                </c:pt>
                <c:pt idx="528">
                  <c:v>45233</c:v>
                </c:pt>
                <c:pt idx="529">
                  <c:v>45232</c:v>
                </c:pt>
                <c:pt idx="530">
                  <c:v>45231</c:v>
                </c:pt>
                <c:pt idx="531">
                  <c:v>45230</c:v>
                </c:pt>
                <c:pt idx="532">
                  <c:v>45229</c:v>
                </c:pt>
                <c:pt idx="533">
                  <c:v>45226</c:v>
                </c:pt>
                <c:pt idx="534">
                  <c:v>45225</c:v>
                </c:pt>
                <c:pt idx="535">
                  <c:v>45224</c:v>
                </c:pt>
                <c:pt idx="536">
                  <c:v>45223</c:v>
                </c:pt>
                <c:pt idx="537">
                  <c:v>45222</c:v>
                </c:pt>
                <c:pt idx="538">
                  <c:v>45219</c:v>
                </c:pt>
                <c:pt idx="539">
                  <c:v>45218</c:v>
                </c:pt>
                <c:pt idx="540">
                  <c:v>45217</c:v>
                </c:pt>
                <c:pt idx="541">
                  <c:v>45216</c:v>
                </c:pt>
                <c:pt idx="542">
                  <c:v>45215</c:v>
                </c:pt>
                <c:pt idx="543">
                  <c:v>45212</c:v>
                </c:pt>
                <c:pt idx="544">
                  <c:v>45211</c:v>
                </c:pt>
                <c:pt idx="545">
                  <c:v>45210</c:v>
                </c:pt>
                <c:pt idx="546">
                  <c:v>45209</c:v>
                </c:pt>
                <c:pt idx="547">
                  <c:v>45208</c:v>
                </c:pt>
                <c:pt idx="548">
                  <c:v>45205</c:v>
                </c:pt>
                <c:pt idx="549">
                  <c:v>45204</c:v>
                </c:pt>
                <c:pt idx="550">
                  <c:v>45203</c:v>
                </c:pt>
                <c:pt idx="551">
                  <c:v>45202</c:v>
                </c:pt>
                <c:pt idx="552">
                  <c:v>45201</c:v>
                </c:pt>
                <c:pt idx="553">
                  <c:v>45198</c:v>
                </c:pt>
                <c:pt idx="554">
                  <c:v>45197</c:v>
                </c:pt>
                <c:pt idx="555">
                  <c:v>45196</c:v>
                </c:pt>
                <c:pt idx="556">
                  <c:v>45195</c:v>
                </c:pt>
                <c:pt idx="557">
                  <c:v>45194</c:v>
                </c:pt>
                <c:pt idx="558">
                  <c:v>45191</c:v>
                </c:pt>
                <c:pt idx="559">
                  <c:v>45190</c:v>
                </c:pt>
                <c:pt idx="560">
                  <c:v>45189</c:v>
                </c:pt>
                <c:pt idx="561">
                  <c:v>45188</c:v>
                </c:pt>
                <c:pt idx="562">
                  <c:v>45187</c:v>
                </c:pt>
                <c:pt idx="563">
                  <c:v>45184</c:v>
                </c:pt>
                <c:pt idx="564">
                  <c:v>45183</c:v>
                </c:pt>
                <c:pt idx="565">
                  <c:v>45182</c:v>
                </c:pt>
                <c:pt idx="566">
                  <c:v>45181</c:v>
                </c:pt>
                <c:pt idx="567">
                  <c:v>45180</c:v>
                </c:pt>
                <c:pt idx="568">
                  <c:v>45177</c:v>
                </c:pt>
                <c:pt idx="569">
                  <c:v>45176</c:v>
                </c:pt>
                <c:pt idx="570">
                  <c:v>45175</c:v>
                </c:pt>
                <c:pt idx="571">
                  <c:v>45174</c:v>
                </c:pt>
                <c:pt idx="572">
                  <c:v>45170</c:v>
                </c:pt>
                <c:pt idx="573">
                  <c:v>45169</c:v>
                </c:pt>
                <c:pt idx="574">
                  <c:v>45168</c:v>
                </c:pt>
                <c:pt idx="575">
                  <c:v>45167</c:v>
                </c:pt>
                <c:pt idx="576">
                  <c:v>45166</c:v>
                </c:pt>
                <c:pt idx="577">
                  <c:v>45163</c:v>
                </c:pt>
                <c:pt idx="578">
                  <c:v>45162</c:v>
                </c:pt>
                <c:pt idx="579">
                  <c:v>45161</c:v>
                </c:pt>
                <c:pt idx="580">
                  <c:v>45160</c:v>
                </c:pt>
                <c:pt idx="581">
                  <c:v>45159</c:v>
                </c:pt>
                <c:pt idx="582">
                  <c:v>45156</c:v>
                </c:pt>
                <c:pt idx="583">
                  <c:v>45155</c:v>
                </c:pt>
                <c:pt idx="584">
                  <c:v>45154</c:v>
                </c:pt>
                <c:pt idx="585">
                  <c:v>45153</c:v>
                </c:pt>
                <c:pt idx="586">
                  <c:v>45152</c:v>
                </c:pt>
                <c:pt idx="587">
                  <c:v>45149</c:v>
                </c:pt>
                <c:pt idx="588">
                  <c:v>45148</c:v>
                </c:pt>
                <c:pt idx="589">
                  <c:v>45147</c:v>
                </c:pt>
                <c:pt idx="590">
                  <c:v>45146</c:v>
                </c:pt>
                <c:pt idx="591">
                  <c:v>45145</c:v>
                </c:pt>
                <c:pt idx="592">
                  <c:v>45142</c:v>
                </c:pt>
                <c:pt idx="593">
                  <c:v>45141</c:v>
                </c:pt>
                <c:pt idx="594">
                  <c:v>45140</c:v>
                </c:pt>
                <c:pt idx="595">
                  <c:v>45139</c:v>
                </c:pt>
                <c:pt idx="596">
                  <c:v>45138</c:v>
                </c:pt>
                <c:pt idx="597">
                  <c:v>45135</c:v>
                </c:pt>
                <c:pt idx="598">
                  <c:v>45134</c:v>
                </c:pt>
                <c:pt idx="599">
                  <c:v>45133</c:v>
                </c:pt>
                <c:pt idx="600">
                  <c:v>45132</c:v>
                </c:pt>
                <c:pt idx="601">
                  <c:v>45131</c:v>
                </c:pt>
                <c:pt idx="602">
                  <c:v>45128</c:v>
                </c:pt>
                <c:pt idx="603">
                  <c:v>45127</c:v>
                </c:pt>
                <c:pt idx="604">
                  <c:v>45126</c:v>
                </c:pt>
                <c:pt idx="605">
                  <c:v>45125</c:v>
                </c:pt>
                <c:pt idx="606">
                  <c:v>45124</c:v>
                </c:pt>
                <c:pt idx="607">
                  <c:v>45121</c:v>
                </c:pt>
                <c:pt idx="608">
                  <c:v>45120</c:v>
                </c:pt>
                <c:pt idx="609">
                  <c:v>45119</c:v>
                </c:pt>
                <c:pt idx="610">
                  <c:v>45118</c:v>
                </c:pt>
                <c:pt idx="611">
                  <c:v>45117</c:v>
                </c:pt>
                <c:pt idx="612">
                  <c:v>45114</c:v>
                </c:pt>
                <c:pt idx="613">
                  <c:v>45113</c:v>
                </c:pt>
                <c:pt idx="614">
                  <c:v>45112</c:v>
                </c:pt>
                <c:pt idx="615">
                  <c:v>45110</c:v>
                </c:pt>
                <c:pt idx="616">
                  <c:v>45107</c:v>
                </c:pt>
                <c:pt idx="617">
                  <c:v>45106</c:v>
                </c:pt>
                <c:pt idx="618">
                  <c:v>45105</c:v>
                </c:pt>
                <c:pt idx="619">
                  <c:v>45104</c:v>
                </c:pt>
                <c:pt idx="620">
                  <c:v>45103</c:v>
                </c:pt>
                <c:pt idx="621">
                  <c:v>45100</c:v>
                </c:pt>
                <c:pt idx="622">
                  <c:v>45099</c:v>
                </c:pt>
                <c:pt idx="623">
                  <c:v>45098</c:v>
                </c:pt>
                <c:pt idx="624">
                  <c:v>45097</c:v>
                </c:pt>
                <c:pt idx="625">
                  <c:v>45093</c:v>
                </c:pt>
                <c:pt idx="626">
                  <c:v>45092</c:v>
                </c:pt>
                <c:pt idx="627">
                  <c:v>45091</c:v>
                </c:pt>
                <c:pt idx="628">
                  <c:v>45090</c:v>
                </c:pt>
                <c:pt idx="629">
                  <c:v>45089</c:v>
                </c:pt>
                <c:pt idx="630">
                  <c:v>45086</c:v>
                </c:pt>
                <c:pt idx="631">
                  <c:v>45085</c:v>
                </c:pt>
                <c:pt idx="632">
                  <c:v>45084</c:v>
                </c:pt>
                <c:pt idx="633">
                  <c:v>45083</c:v>
                </c:pt>
                <c:pt idx="634">
                  <c:v>45082</c:v>
                </c:pt>
                <c:pt idx="635">
                  <c:v>45079</c:v>
                </c:pt>
                <c:pt idx="636">
                  <c:v>45078</c:v>
                </c:pt>
                <c:pt idx="637">
                  <c:v>45077</c:v>
                </c:pt>
                <c:pt idx="638">
                  <c:v>45076</c:v>
                </c:pt>
                <c:pt idx="639">
                  <c:v>45072</c:v>
                </c:pt>
                <c:pt idx="640">
                  <c:v>45071</c:v>
                </c:pt>
                <c:pt idx="641">
                  <c:v>45070</c:v>
                </c:pt>
                <c:pt idx="642">
                  <c:v>45069</c:v>
                </c:pt>
                <c:pt idx="643">
                  <c:v>45068</c:v>
                </c:pt>
                <c:pt idx="644">
                  <c:v>45065</c:v>
                </c:pt>
                <c:pt idx="645">
                  <c:v>45064</c:v>
                </c:pt>
                <c:pt idx="646">
                  <c:v>45063</c:v>
                </c:pt>
                <c:pt idx="647">
                  <c:v>45062</c:v>
                </c:pt>
                <c:pt idx="648">
                  <c:v>45061</c:v>
                </c:pt>
                <c:pt idx="649">
                  <c:v>45058</c:v>
                </c:pt>
                <c:pt idx="650">
                  <c:v>45057</c:v>
                </c:pt>
                <c:pt idx="651">
                  <c:v>45056</c:v>
                </c:pt>
                <c:pt idx="652">
                  <c:v>45055</c:v>
                </c:pt>
                <c:pt idx="653">
                  <c:v>45054</c:v>
                </c:pt>
                <c:pt idx="654">
                  <c:v>45051</c:v>
                </c:pt>
                <c:pt idx="655">
                  <c:v>45050</c:v>
                </c:pt>
                <c:pt idx="656">
                  <c:v>45049</c:v>
                </c:pt>
                <c:pt idx="657">
                  <c:v>45048</c:v>
                </c:pt>
                <c:pt idx="658">
                  <c:v>45047</c:v>
                </c:pt>
                <c:pt idx="659">
                  <c:v>45044</c:v>
                </c:pt>
                <c:pt idx="660">
                  <c:v>45043</c:v>
                </c:pt>
                <c:pt idx="661">
                  <c:v>45042</c:v>
                </c:pt>
                <c:pt idx="662">
                  <c:v>45041</c:v>
                </c:pt>
                <c:pt idx="663">
                  <c:v>45040</c:v>
                </c:pt>
                <c:pt idx="664">
                  <c:v>45037</c:v>
                </c:pt>
                <c:pt idx="665">
                  <c:v>45036</c:v>
                </c:pt>
                <c:pt idx="666">
                  <c:v>45035</c:v>
                </c:pt>
                <c:pt idx="667">
                  <c:v>45034</c:v>
                </c:pt>
                <c:pt idx="668">
                  <c:v>45033</c:v>
                </c:pt>
                <c:pt idx="669">
                  <c:v>45030</c:v>
                </c:pt>
                <c:pt idx="670">
                  <c:v>45029</c:v>
                </c:pt>
                <c:pt idx="671">
                  <c:v>45028</c:v>
                </c:pt>
                <c:pt idx="672">
                  <c:v>45027</c:v>
                </c:pt>
                <c:pt idx="673">
                  <c:v>45026</c:v>
                </c:pt>
                <c:pt idx="674">
                  <c:v>45022</c:v>
                </c:pt>
                <c:pt idx="675">
                  <c:v>45021</c:v>
                </c:pt>
                <c:pt idx="676">
                  <c:v>45020</c:v>
                </c:pt>
                <c:pt idx="677">
                  <c:v>45019</c:v>
                </c:pt>
                <c:pt idx="678">
                  <c:v>45016</c:v>
                </c:pt>
                <c:pt idx="679">
                  <c:v>45015</c:v>
                </c:pt>
                <c:pt idx="680">
                  <c:v>45014</c:v>
                </c:pt>
                <c:pt idx="681">
                  <c:v>45013</c:v>
                </c:pt>
                <c:pt idx="682">
                  <c:v>45012</c:v>
                </c:pt>
                <c:pt idx="683">
                  <c:v>45009</c:v>
                </c:pt>
                <c:pt idx="684">
                  <c:v>45008</c:v>
                </c:pt>
                <c:pt idx="685">
                  <c:v>45007</c:v>
                </c:pt>
                <c:pt idx="686">
                  <c:v>45006</c:v>
                </c:pt>
                <c:pt idx="687">
                  <c:v>45005</c:v>
                </c:pt>
                <c:pt idx="688">
                  <c:v>45002</c:v>
                </c:pt>
                <c:pt idx="689">
                  <c:v>45001</c:v>
                </c:pt>
                <c:pt idx="690">
                  <c:v>45001</c:v>
                </c:pt>
                <c:pt idx="691">
                  <c:v>45000</c:v>
                </c:pt>
                <c:pt idx="692">
                  <c:v>45000</c:v>
                </c:pt>
                <c:pt idx="693">
                  <c:v>44999</c:v>
                </c:pt>
                <c:pt idx="694">
                  <c:v>44999</c:v>
                </c:pt>
                <c:pt idx="695">
                  <c:v>44998</c:v>
                </c:pt>
                <c:pt idx="696">
                  <c:v>44998</c:v>
                </c:pt>
                <c:pt idx="697">
                  <c:v>44995</c:v>
                </c:pt>
                <c:pt idx="698">
                  <c:v>44995</c:v>
                </c:pt>
                <c:pt idx="699">
                  <c:v>44994</c:v>
                </c:pt>
                <c:pt idx="700">
                  <c:v>44994</c:v>
                </c:pt>
                <c:pt idx="701">
                  <c:v>44993</c:v>
                </c:pt>
                <c:pt idx="702">
                  <c:v>44993</c:v>
                </c:pt>
                <c:pt idx="703">
                  <c:v>44992</c:v>
                </c:pt>
                <c:pt idx="704">
                  <c:v>44992</c:v>
                </c:pt>
                <c:pt idx="705">
                  <c:v>44991</c:v>
                </c:pt>
                <c:pt idx="706">
                  <c:v>44991</c:v>
                </c:pt>
                <c:pt idx="707">
                  <c:v>44988</c:v>
                </c:pt>
                <c:pt idx="708">
                  <c:v>44988</c:v>
                </c:pt>
                <c:pt idx="709">
                  <c:v>44987</c:v>
                </c:pt>
                <c:pt idx="710">
                  <c:v>44987</c:v>
                </c:pt>
                <c:pt idx="711">
                  <c:v>44986</c:v>
                </c:pt>
                <c:pt idx="712">
                  <c:v>44986</c:v>
                </c:pt>
                <c:pt idx="713">
                  <c:v>44985</c:v>
                </c:pt>
                <c:pt idx="714">
                  <c:v>44985</c:v>
                </c:pt>
                <c:pt idx="715">
                  <c:v>44984</c:v>
                </c:pt>
                <c:pt idx="716">
                  <c:v>44984</c:v>
                </c:pt>
                <c:pt idx="717">
                  <c:v>44981</c:v>
                </c:pt>
                <c:pt idx="718">
                  <c:v>44981</c:v>
                </c:pt>
                <c:pt idx="719">
                  <c:v>44980</c:v>
                </c:pt>
                <c:pt idx="720">
                  <c:v>44980</c:v>
                </c:pt>
                <c:pt idx="721">
                  <c:v>44979</c:v>
                </c:pt>
                <c:pt idx="722">
                  <c:v>44979</c:v>
                </c:pt>
                <c:pt idx="723">
                  <c:v>44978</c:v>
                </c:pt>
                <c:pt idx="724">
                  <c:v>44978</c:v>
                </c:pt>
                <c:pt idx="725">
                  <c:v>44974</c:v>
                </c:pt>
                <c:pt idx="726">
                  <c:v>44974</c:v>
                </c:pt>
                <c:pt idx="727">
                  <c:v>44973</c:v>
                </c:pt>
                <c:pt idx="728">
                  <c:v>44973</c:v>
                </c:pt>
                <c:pt idx="729">
                  <c:v>44972</c:v>
                </c:pt>
                <c:pt idx="730">
                  <c:v>44972</c:v>
                </c:pt>
                <c:pt idx="731">
                  <c:v>44971</c:v>
                </c:pt>
                <c:pt idx="732">
                  <c:v>44971</c:v>
                </c:pt>
                <c:pt idx="733">
                  <c:v>44970</c:v>
                </c:pt>
                <c:pt idx="734">
                  <c:v>44970</c:v>
                </c:pt>
                <c:pt idx="735">
                  <c:v>44967</c:v>
                </c:pt>
                <c:pt idx="736">
                  <c:v>44967</c:v>
                </c:pt>
                <c:pt idx="737">
                  <c:v>44966</c:v>
                </c:pt>
                <c:pt idx="738">
                  <c:v>44966</c:v>
                </c:pt>
                <c:pt idx="739">
                  <c:v>44965</c:v>
                </c:pt>
                <c:pt idx="740">
                  <c:v>44965</c:v>
                </c:pt>
                <c:pt idx="741">
                  <c:v>44964</c:v>
                </c:pt>
                <c:pt idx="742">
                  <c:v>44964</c:v>
                </c:pt>
                <c:pt idx="743">
                  <c:v>44963</c:v>
                </c:pt>
                <c:pt idx="744">
                  <c:v>44963</c:v>
                </c:pt>
                <c:pt idx="745">
                  <c:v>44960</c:v>
                </c:pt>
                <c:pt idx="746">
                  <c:v>44960</c:v>
                </c:pt>
                <c:pt idx="747">
                  <c:v>44959</c:v>
                </c:pt>
                <c:pt idx="748">
                  <c:v>44959</c:v>
                </c:pt>
                <c:pt idx="749">
                  <c:v>44958</c:v>
                </c:pt>
                <c:pt idx="750">
                  <c:v>44958</c:v>
                </c:pt>
                <c:pt idx="751">
                  <c:v>44957</c:v>
                </c:pt>
                <c:pt idx="752">
                  <c:v>44957</c:v>
                </c:pt>
                <c:pt idx="753">
                  <c:v>44956</c:v>
                </c:pt>
                <c:pt idx="754">
                  <c:v>44956</c:v>
                </c:pt>
                <c:pt idx="755">
                  <c:v>44953</c:v>
                </c:pt>
                <c:pt idx="756">
                  <c:v>44953</c:v>
                </c:pt>
                <c:pt idx="757">
                  <c:v>44952</c:v>
                </c:pt>
                <c:pt idx="758">
                  <c:v>44952</c:v>
                </c:pt>
                <c:pt idx="759">
                  <c:v>44951</c:v>
                </c:pt>
                <c:pt idx="760">
                  <c:v>44951</c:v>
                </c:pt>
                <c:pt idx="761">
                  <c:v>44950</c:v>
                </c:pt>
                <c:pt idx="762">
                  <c:v>44950</c:v>
                </c:pt>
                <c:pt idx="763">
                  <c:v>44949</c:v>
                </c:pt>
                <c:pt idx="764">
                  <c:v>44949</c:v>
                </c:pt>
                <c:pt idx="765">
                  <c:v>44946</c:v>
                </c:pt>
                <c:pt idx="766">
                  <c:v>44946</c:v>
                </c:pt>
                <c:pt idx="767">
                  <c:v>44945</c:v>
                </c:pt>
                <c:pt idx="768">
                  <c:v>44945</c:v>
                </c:pt>
                <c:pt idx="769">
                  <c:v>44944</c:v>
                </c:pt>
                <c:pt idx="770">
                  <c:v>44944</c:v>
                </c:pt>
                <c:pt idx="771">
                  <c:v>44943</c:v>
                </c:pt>
                <c:pt idx="772">
                  <c:v>44943</c:v>
                </c:pt>
                <c:pt idx="773">
                  <c:v>44939</c:v>
                </c:pt>
                <c:pt idx="774">
                  <c:v>44939</c:v>
                </c:pt>
                <c:pt idx="775">
                  <c:v>44938</c:v>
                </c:pt>
                <c:pt idx="776">
                  <c:v>44938</c:v>
                </c:pt>
                <c:pt idx="777">
                  <c:v>44937</c:v>
                </c:pt>
                <c:pt idx="778">
                  <c:v>44937</c:v>
                </c:pt>
                <c:pt idx="779">
                  <c:v>44936</c:v>
                </c:pt>
                <c:pt idx="780">
                  <c:v>44936</c:v>
                </c:pt>
                <c:pt idx="781">
                  <c:v>44935</c:v>
                </c:pt>
                <c:pt idx="782">
                  <c:v>44935</c:v>
                </c:pt>
                <c:pt idx="783">
                  <c:v>44932</c:v>
                </c:pt>
                <c:pt idx="784">
                  <c:v>44932</c:v>
                </c:pt>
                <c:pt idx="785">
                  <c:v>44931</c:v>
                </c:pt>
                <c:pt idx="786">
                  <c:v>44931</c:v>
                </c:pt>
                <c:pt idx="787">
                  <c:v>44930</c:v>
                </c:pt>
                <c:pt idx="788">
                  <c:v>44930</c:v>
                </c:pt>
                <c:pt idx="789">
                  <c:v>44929</c:v>
                </c:pt>
                <c:pt idx="790">
                  <c:v>44929</c:v>
                </c:pt>
                <c:pt idx="791">
                  <c:v>44925</c:v>
                </c:pt>
                <c:pt idx="792">
                  <c:v>44925</c:v>
                </c:pt>
                <c:pt idx="793">
                  <c:v>44924</c:v>
                </c:pt>
                <c:pt idx="794">
                  <c:v>44924</c:v>
                </c:pt>
                <c:pt idx="795">
                  <c:v>44923</c:v>
                </c:pt>
                <c:pt idx="796">
                  <c:v>44923</c:v>
                </c:pt>
                <c:pt idx="797">
                  <c:v>44922</c:v>
                </c:pt>
                <c:pt idx="798">
                  <c:v>44922</c:v>
                </c:pt>
                <c:pt idx="799">
                  <c:v>44918</c:v>
                </c:pt>
                <c:pt idx="800">
                  <c:v>44918</c:v>
                </c:pt>
                <c:pt idx="801">
                  <c:v>44917</c:v>
                </c:pt>
                <c:pt idx="802">
                  <c:v>44917</c:v>
                </c:pt>
                <c:pt idx="803">
                  <c:v>44916</c:v>
                </c:pt>
                <c:pt idx="804">
                  <c:v>44916</c:v>
                </c:pt>
                <c:pt idx="805">
                  <c:v>44915</c:v>
                </c:pt>
                <c:pt idx="806">
                  <c:v>44915</c:v>
                </c:pt>
                <c:pt idx="807">
                  <c:v>44914</c:v>
                </c:pt>
                <c:pt idx="808">
                  <c:v>44914</c:v>
                </c:pt>
                <c:pt idx="809">
                  <c:v>44911</c:v>
                </c:pt>
                <c:pt idx="810">
                  <c:v>44911</c:v>
                </c:pt>
                <c:pt idx="811">
                  <c:v>44910</c:v>
                </c:pt>
                <c:pt idx="812">
                  <c:v>44910</c:v>
                </c:pt>
                <c:pt idx="813">
                  <c:v>44909</c:v>
                </c:pt>
                <c:pt idx="814">
                  <c:v>44909</c:v>
                </c:pt>
                <c:pt idx="815">
                  <c:v>44908</c:v>
                </c:pt>
                <c:pt idx="816">
                  <c:v>44908</c:v>
                </c:pt>
                <c:pt idx="817">
                  <c:v>44907</c:v>
                </c:pt>
                <c:pt idx="818">
                  <c:v>44907</c:v>
                </c:pt>
                <c:pt idx="819">
                  <c:v>44904</c:v>
                </c:pt>
                <c:pt idx="820">
                  <c:v>44904</c:v>
                </c:pt>
                <c:pt idx="821">
                  <c:v>44903</c:v>
                </c:pt>
                <c:pt idx="822">
                  <c:v>44903</c:v>
                </c:pt>
                <c:pt idx="823">
                  <c:v>44902</c:v>
                </c:pt>
                <c:pt idx="824">
                  <c:v>44902</c:v>
                </c:pt>
                <c:pt idx="825">
                  <c:v>44901</c:v>
                </c:pt>
                <c:pt idx="826">
                  <c:v>44901</c:v>
                </c:pt>
                <c:pt idx="827">
                  <c:v>44900</c:v>
                </c:pt>
                <c:pt idx="828">
                  <c:v>44900</c:v>
                </c:pt>
                <c:pt idx="829">
                  <c:v>44897</c:v>
                </c:pt>
                <c:pt idx="830">
                  <c:v>44897</c:v>
                </c:pt>
                <c:pt idx="831">
                  <c:v>44896</c:v>
                </c:pt>
                <c:pt idx="832">
                  <c:v>44896</c:v>
                </c:pt>
                <c:pt idx="833">
                  <c:v>44895</c:v>
                </c:pt>
                <c:pt idx="834">
                  <c:v>44895</c:v>
                </c:pt>
                <c:pt idx="835">
                  <c:v>44894</c:v>
                </c:pt>
                <c:pt idx="836">
                  <c:v>44894</c:v>
                </c:pt>
                <c:pt idx="837">
                  <c:v>44893</c:v>
                </c:pt>
                <c:pt idx="838">
                  <c:v>44893</c:v>
                </c:pt>
                <c:pt idx="839">
                  <c:v>44890</c:v>
                </c:pt>
                <c:pt idx="840">
                  <c:v>44890</c:v>
                </c:pt>
                <c:pt idx="841">
                  <c:v>44888</c:v>
                </c:pt>
                <c:pt idx="842">
                  <c:v>44888</c:v>
                </c:pt>
                <c:pt idx="843">
                  <c:v>44887</c:v>
                </c:pt>
                <c:pt idx="844">
                  <c:v>44887</c:v>
                </c:pt>
                <c:pt idx="845">
                  <c:v>44886</c:v>
                </c:pt>
                <c:pt idx="846">
                  <c:v>44886</c:v>
                </c:pt>
                <c:pt idx="847">
                  <c:v>44883</c:v>
                </c:pt>
                <c:pt idx="848">
                  <c:v>44883</c:v>
                </c:pt>
                <c:pt idx="849">
                  <c:v>44882</c:v>
                </c:pt>
                <c:pt idx="850">
                  <c:v>44882</c:v>
                </c:pt>
                <c:pt idx="851">
                  <c:v>44881</c:v>
                </c:pt>
                <c:pt idx="852">
                  <c:v>44881</c:v>
                </c:pt>
                <c:pt idx="853">
                  <c:v>44880</c:v>
                </c:pt>
                <c:pt idx="854">
                  <c:v>44880</c:v>
                </c:pt>
                <c:pt idx="855">
                  <c:v>44879</c:v>
                </c:pt>
                <c:pt idx="856">
                  <c:v>44879</c:v>
                </c:pt>
                <c:pt idx="857">
                  <c:v>44876</c:v>
                </c:pt>
                <c:pt idx="858">
                  <c:v>44876</c:v>
                </c:pt>
                <c:pt idx="859">
                  <c:v>44875</c:v>
                </c:pt>
                <c:pt idx="860">
                  <c:v>44875</c:v>
                </c:pt>
                <c:pt idx="861">
                  <c:v>44874</c:v>
                </c:pt>
                <c:pt idx="862">
                  <c:v>44874</c:v>
                </c:pt>
                <c:pt idx="863">
                  <c:v>44873</c:v>
                </c:pt>
                <c:pt idx="864">
                  <c:v>44873</c:v>
                </c:pt>
                <c:pt idx="865">
                  <c:v>44872</c:v>
                </c:pt>
                <c:pt idx="866">
                  <c:v>44872</c:v>
                </c:pt>
                <c:pt idx="867">
                  <c:v>44869</c:v>
                </c:pt>
                <c:pt idx="868">
                  <c:v>44869</c:v>
                </c:pt>
                <c:pt idx="869">
                  <c:v>44868</c:v>
                </c:pt>
                <c:pt idx="870">
                  <c:v>44868</c:v>
                </c:pt>
                <c:pt idx="871">
                  <c:v>44867</c:v>
                </c:pt>
                <c:pt idx="872">
                  <c:v>44867</c:v>
                </c:pt>
                <c:pt idx="873">
                  <c:v>44866</c:v>
                </c:pt>
                <c:pt idx="874">
                  <c:v>44866</c:v>
                </c:pt>
                <c:pt idx="875">
                  <c:v>44865</c:v>
                </c:pt>
                <c:pt idx="876">
                  <c:v>44865</c:v>
                </c:pt>
                <c:pt idx="877">
                  <c:v>44862</c:v>
                </c:pt>
                <c:pt idx="878">
                  <c:v>44862</c:v>
                </c:pt>
                <c:pt idx="879">
                  <c:v>44861</c:v>
                </c:pt>
                <c:pt idx="880">
                  <c:v>44861</c:v>
                </c:pt>
                <c:pt idx="881">
                  <c:v>44860</c:v>
                </c:pt>
                <c:pt idx="882">
                  <c:v>44860</c:v>
                </c:pt>
                <c:pt idx="883">
                  <c:v>44859</c:v>
                </c:pt>
                <c:pt idx="884">
                  <c:v>44859</c:v>
                </c:pt>
                <c:pt idx="885">
                  <c:v>44858</c:v>
                </c:pt>
                <c:pt idx="886">
                  <c:v>44858</c:v>
                </c:pt>
                <c:pt idx="887">
                  <c:v>44855</c:v>
                </c:pt>
                <c:pt idx="888">
                  <c:v>44855</c:v>
                </c:pt>
                <c:pt idx="889">
                  <c:v>44854</c:v>
                </c:pt>
                <c:pt idx="890">
                  <c:v>44854</c:v>
                </c:pt>
                <c:pt idx="891">
                  <c:v>44853</c:v>
                </c:pt>
                <c:pt idx="892">
                  <c:v>44853</c:v>
                </c:pt>
                <c:pt idx="893">
                  <c:v>44852</c:v>
                </c:pt>
                <c:pt idx="894">
                  <c:v>44852</c:v>
                </c:pt>
                <c:pt idx="895">
                  <c:v>44851</c:v>
                </c:pt>
                <c:pt idx="896">
                  <c:v>44851</c:v>
                </c:pt>
                <c:pt idx="897">
                  <c:v>44848</c:v>
                </c:pt>
                <c:pt idx="898">
                  <c:v>44848</c:v>
                </c:pt>
                <c:pt idx="899">
                  <c:v>44847</c:v>
                </c:pt>
                <c:pt idx="900">
                  <c:v>44847</c:v>
                </c:pt>
                <c:pt idx="901">
                  <c:v>44846</c:v>
                </c:pt>
                <c:pt idx="902">
                  <c:v>44846</c:v>
                </c:pt>
                <c:pt idx="903">
                  <c:v>44845</c:v>
                </c:pt>
                <c:pt idx="904">
                  <c:v>44845</c:v>
                </c:pt>
                <c:pt idx="905">
                  <c:v>44844</c:v>
                </c:pt>
                <c:pt idx="906">
                  <c:v>44844</c:v>
                </c:pt>
                <c:pt idx="907">
                  <c:v>44841</c:v>
                </c:pt>
                <c:pt idx="908">
                  <c:v>44841</c:v>
                </c:pt>
                <c:pt idx="909">
                  <c:v>44840</c:v>
                </c:pt>
                <c:pt idx="910">
                  <c:v>44840</c:v>
                </c:pt>
                <c:pt idx="911">
                  <c:v>44839</c:v>
                </c:pt>
                <c:pt idx="912">
                  <c:v>44839</c:v>
                </c:pt>
                <c:pt idx="913">
                  <c:v>44838</c:v>
                </c:pt>
                <c:pt idx="914">
                  <c:v>44838</c:v>
                </c:pt>
                <c:pt idx="915">
                  <c:v>44837</c:v>
                </c:pt>
                <c:pt idx="916">
                  <c:v>44837</c:v>
                </c:pt>
                <c:pt idx="917">
                  <c:v>44834</c:v>
                </c:pt>
                <c:pt idx="918">
                  <c:v>44834</c:v>
                </c:pt>
                <c:pt idx="919">
                  <c:v>44833</c:v>
                </c:pt>
                <c:pt idx="920">
                  <c:v>44833</c:v>
                </c:pt>
                <c:pt idx="921">
                  <c:v>44832</c:v>
                </c:pt>
                <c:pt idx="922">
                  <c:v>44832</c:v>
                </c:pt>
                <c:pt idx="923">
                  <c:v>44831</c:v>
                </c:pt>
                <c:pt idx="924">
                  <c:v>44831</c:v>
                </c:pt>
                <c:pt idx="925">
                  <c:v>44830</c:v>
                </c:pt>
                <c:pt idx="926">
                  <c:v>44830</c:v>
                </c:pt>
                <c:pt idx="927">
                  <c:v>44827</c:v>
                </c:pt>
                <c:pt idx="928">
                  <c:v>44827</c:v>
                </c:pt>
                <c:pt idx="929">
                  <c:v>44826</c:v>
                </c:pt>
                <c:pt idx="930">
                  <c:v>44826</c:v>
                </c:pt>
                <c:pt idx="931">
                  <c:v>44825</c:v>
                </c:pt>
                <c:pt idx="932">
                  <c:v>44825</c:v>
                </c:pt>
                <c:pt idx="933">
                  <c:v>44824</c:v>
                </c:pt>
                <c:pt idx="934">
                  <c:v>44824</c:v>
                </c:pt>
                <c:pt idx="935">
                  <c:v>44823</c:v>
                </c:pt>
                <c:pt idx="936">
                  <c:v>44823</c:v>
                </c:pt>
                <c:pt idx="937">
                  <c:v>44820</c:v>
                </c:pt>
                <c:pt idx="938">
                  <c:v>44820</c:v>
                </c:pt>
                <c:pt idx="939">
                  <c:v>44819</c:v>
                </c:pt>
                <c:pt idx="940">
                  <c:v>44819</c:v>
                </c:pt>
                <c:pt idx="941">
                  <c:v>44818</c:v>
                </c:pt>
                <c:pt idx="942">
                  <c:v>44818</c:v>
                </c:pt>
                <c:pt idx="943">
                  <c:v>44817</c:v>
                </c:pt>
                <c:pt idx="944">
                  <c:v>44817</c:v>
                </c:pt>
                <c:pt idx="945">
                  <c:v>44816</c:v>
                </c:pt>
                <c:pt idx="946">
                  <c:v>44816</c:v>
                </c:pt>
                <c:pt idx="947">
                  <c:v>44813</c:v>
                </c:pt>
                <c:pt idx="948">
                  <c:v>44813</c:v>
                </c:pt>
                <c:pt idx="949">
                  <c:v>44812</c:v>
                </c:pt>
                <c:pt idx="950">
                  <c:v>44812</c:v>
                </c:pt>
                <c:pt idx="951">
                  <c:v>44811</c:v>
                </c:pt>
                <c:pt idx="952">
                  <c:v>44811</c:v>
                </c:pt>
                <c:pt idx="953">
                  <c:v>44810</c:v>
                </c:pt>
                <c:pt idx="954">
                  <c:v>44810</c:v>
                </c:pt>
                <c:pt idx="955">
                  <c:v>44806</c:v>
                </c:pt>
                <c:pt idx="956">
                  <c:v>44806</c:v>
                </c:pt>
                <c:pt idx="957">
                  <c:v>44805</c:v>
                </c:pt>
                <c:pt idx="958">
                  <c:v>44805</c:v>
                </c:pt>
                <c:pt idx="959">
                  <c:v>44804</c:v>
                </c:pt>
                <c:pt idx="960">
                  <c:v>44804</c:v>
                </c:pt>
                <c:pt idx="961">
                  <c:v>44803</c:v>
                </c:pt>
                <c:pt idx="962">
                  <c:v>44803</c:v>
                </c:pt>
                <c:pt idx="963">
                  <c:v>44802</c:v>
                </c:pt>
                <c:pt idx="964">
                  <c:v>44802</c:v>
                </c:pt>
                <c:pt idx="965">
                  <c:v>44799</c:v>
                </c:pt>
                <c:pt idx="966">
                  <c:v>44799</c:v>
                </c:pt>
                <c:pt idx="967">
                  <c:v>44798</c:v>
                </c:pt>
                <c:pt idx="968">
                  <c:v>44798</c:v>
                </c:pt>
                <c:pt idx="969">
                  <c:v>44797</c:v>
                </c:pt>
                <c:pt idx="970">
                  <c:v>44797</c:v>
                </c:pt>
                <c:pt idx="971">
                  <c:v>44796</c:v>
                </c:pt>
                <c:pt idx="972">
                  <c:v>44796</c:v>
                </c:pt>
                <c:pt idx="973">
                  <c:v>44795</c:v>
                </c:pt>
                <c:pt idx="974">
                  <c:v>44795</c:v>
                </c:pt>
                <c:pt idx="975">
                  <c:v>44792</c:v>
                </c:pt>
                <c:pt idx="976">
                  <c:v>44792</c:v>
                </c:pt>
                <c:pt idx="977">
                  <c:v>44791</c:v>
                </c:pt>
                <c:pt idx="978">
                  <c:v>44791</c:v>
                </c:pt>
                <c:pt idx="979">
                  <c:v>44790</c:v>
                </c:pt>
                <c:pt idx="980">
                  <c:v>44790</c:v>
                </c:pt>
                <c:pt idx="981">
                  <c:v>44789</c:v>
                </c:pt>
                <c:pt idx="982">
                  <c:v>44789</c:v>
                </c:pt>
                <c:pt idx="983">
                  <c:v>44788</c:v>
                </c:pt>
                <c:pt idx="984">
                  <c:v>44788</c:v>
                </c:pt>
                <c:pt idx="985">
                  <c:v>44785</c:v>
                </c:pt>
                <c:pt idx="986">
                  <c:v>44785</c:v>
                </c:pt>
                <c:pt idx="987">
                  <c:v>44784</c:v>
                </c:pt>
                <c:pt idx="988">
                  <c:v>44784</c:v>
                </c:pt>
                <c:pt idx="989">
                  <c:v>44783</c:v>
                </c:pt>
                <c:pt idx="990">
                  <c:v>44783</c:v>
                </c:pt>
                <c:pt idx="991">
                  <c:v>44782</c:v>
                </c:pt>
                <c:pt idx="992">
                  <c:v>44782</c:v>
                </c:pt>
                <c:pt idx="993">
                  <c:v>44781</c:v>
                </c:pt>
                <c:pt idx="994">
                  <c:v>44781</c:v>
                </c:pt>
                <c:pt idx="995">
                  <c:v>44778</c:v>
                </c:pt>
                <c:pt idx="996">
                  <c:v>44778</c:v>
                </c:pt>
                <c:pt idx="997">
                  <c:v>44777</c:v>
                </c:pt>
                <c:pt idx="998">
                  <c:v>44777</c:v>
                </c:pt>
                <c:pt idx="999">
                  <c:v>44776</c:v>
                </c:pt>
                <c:pt idx="1000">
                  <c:v>44776</c:v>
                </c:pt>
                <c:pt idx="1001">
                  <c:v>44775</c:v>
                </c:pt>
                <c:pt idx="1002">
                  <c:v>44775</c:v>
                </c:pt>
                <c:pt idx="1003">
                  <c:v>44774</c:v>
                </c:pt>
                <c:pt idx="1004">
                  <c:v>44774</c:v>
                </c:pt>
                <c:pt idx="1005">
                  <c:v>44771</c:v>
                </c:pt>
                <c:pt idx="1006">
                  <c:v>44771</c:v>
                </c:pt>
                <c:pt idx="1007">
                  <c:v>44770</c:v>
                </c:pt>
                <c:pt idx="1008">
                  <c:v>44770</c:v>
                </c:pt>
                <c:pt idx="1009">
                  <c:v>44769</c:v>
                </c:pt>
                <c:pt idx="1010">
                  <c:v>44769</c:v>
                </c:pt>
                <c:pt idx="1011">
                  <c:v>44768</c:v>
                </c:pt>
                <c:pt idx="1012">
                  <c:v>44768</c:v>
                </c:pt>
                <c:pt idx="1013">
                  <c:v>44767</c:v>
                </c:pt>
                <c:pt idx="1014">
                  <c:v>44767</c:v>
                </c:pt>
                <c:pt idx="1015">
                  <c:v>44764</c:v>
                </c:pt>
                <c:pt idx="1016">
                  <c:v>44764</c:v>
                </c:pt>
                <c:pt idx="1017">
                  <c:v>44763</c:v>
                </c:pt>
                <c:pt idx="1018">
                  <c:v>44763</c:v>
                </c:pt>
                <c:pt idx="1019">
                  <c:v>44762</c:v>
                </c:pt>
                <c:pt idx="1020">
                  <c:v>44762</c:v>
                </c:pt>
                <c:pt idx="1021">
                  <c:v>44761</c:v>
                </c:pt>
                <c:pt idx="1022">
                  <c:v>44761</c:v>
                </c:pt>
                <c:pt idx="1023">
                  <c:v>44760</c:v>
                </c:pt>
                <c:pt idx="1024">
                  <c:v>44760</c:v>
                </c:pt>
                <c:pt idx="1025">
                  <c:v>44757</c:v>
                </c:pt>
                <c:pt idx="1026">
                  <c:v>44757</c:v>
                </c:pt>
                <c:pt idx="1027">
                  <c:v>44756</c:v>
                </c:pt>
                <c:pt idx="1028">
                  <c:v>44756</c:v>
                </c:pt>
                <c:pt idx="1029">
                  <c:v>44755</c:v>
                </c:pt>
                <c:pt idx="1030">
                  <c:v>44755</c:v>
                </c:pt>
                <c:pt idx="1031">
                  <c:v>44754</c:v>
                </c:pt>
                <c:pt idx="1032">
                  <c:v>44754</c:v>
                </c:pt>
                <c:pt idx="1033">
                  <c:v>44753</c:v>
                </c:pt>
                <c:pt idx="1034">
                  <c:v>44753</c:v>
                </c:pt>
                <c:pt idx="1035">
                  <c:v>44750</c:v>
                </c:pt>
                <c:pt idx="1036">
                  <c:v>44750</c:v>
                </c:pt>
                <c:pt idx="1037">
                  <c:v>44749</c:v>
                </c:pt>
                <c:pt idx="1038">
                  <c:v>44749</c:v>
                </c:pt>
                <c:pt idx="1039">
                  <c:v>44748</c:v>
                </c:pt>
                <c:pt idx="1040">
                  <c:v>44748</c:v>
                </c:pt>
                <c:pt idx="1041">
                  <c:v>44747</c:v>
                </c:pt>
                <c:pt idx="1042">
                  <c:v>44747</c:v>
                </c:pt>
                <c:pt idx="1043">
                  <c:v>44743</c:v>
                </c:pt>
                <c:pt idx="1044">
                  <c:v>44743</c:v>
                </c:pt>
                <c:pt idx="1045">
                  <c:v>44742</c:v>
                </c:pt>
                <c:pt idx="1046">
                  <c:v>44742</c:v>
                </c:pt>
                <c:pt idx="1047">
                  <c:v>44741</c:v>
                </c:pt>
                <c:pt idx="1048">
                  <c:v>44741</c:v>
                </c:pt>
                <c:pt idx="1049">
                  <c:v>44740</c:v>
                </c:pt>
                <c:pt idx="1050">
                  <c:v>44740</c:v>
                </c:pt>
                <c:pt idx="1051">
                  <c:v>44739</c:v>
                </c:pt>
                <c:pt idx="1052">
                  <c:v>44739</c:v>
                </c:pt>
                <c:pt idx="1053">
                  <c:v>44736</c:v>
                </c:pt>
                <c:pt idx="1054">
                  <c:v>44736</c:v>
                </c:pt>
                <c:pt idx="1055">
                  <c:v>44735</c:v>
                </c:pt>
                <c:pt idx="1056">
                  <c:v>44735</c:v>
                </c:pt>
                <c:pt idx="1057">
                  <c:v>44734</c:v>
                </c:pt>
                <c:pt idx="1058">
                  <c:v>44734</c:v>
                </c:pt>
                <c:pt idx="1059">
                  <c:v>44733</c:v>
                </c:pt>
                <c:pt idx="1060">
                  <c:v>44733</c:v>
                </c:pt>
                <c:pt idx="1061">
                  <c:v>44729</c:v>
                </c:pt>
                <c:pt idx="1062">
                  <c:v>44729</c:v>
                </c:pt>
                <c:pt idx="1063">
                  <c:v>44728</c:v>
                </c:pt>
                <c:pt idx="1064">
                  <c:v>44728</c:v>
                </c:pt>
                <c:pt idx="1065">
                  <c:v>44727</c:v>
                </c:pt>
                <c:pt idx="1066">
                  <c:v>44727</c:v>
                </c:pt>
                <c:pt idx="1067">
                  <c:v>44726</c:v>
                </c:pt>
                <c:pt idx="1068">
                  <c:v>44726</c:v>
                </c:pt>
                <c:pt idx="1069">
                  <c:v>44725</c:v>
                </c:pt>
                <c:pt idx="1070">
                  <c:v>44725</c:v>
                </c:pt>
                <c:pt idx="1071">
                  <c:v>44722</c:v>
                </c:pt>
                <c:pt idx="1072">
                  <c:v>44722</c:v>
                </c:pt>
                <c:pt idx="1073">
                  <c:v>44721</c:v>
                </c:pt>
                <c:pt idx="1074">
                  <c:v>44721</c:v>
                </c:pt>
                <c:pt idx="1075">
                  <c:v>44720</c:v>
                </c:pt>
                <c:pt idx="1076">
                  <c:v>44720</c:v>
                </c:pt>
                <c:pt idx="1077">
                  <c:v>44719</c:v>
                </c:pt>
                <c:pt idx="1078">
                  <c:v>44719</c:v>
                </c:pt>
                <c:pt idx="1079">
                  <c:v>44718</c:v>
                </c:pt>
                <c:pt idx="1080">
                  <c:v>44718</c:v>
                </c:pt>
                <c:pt idx="1081">
                  <c:v>44718</c:v>
                </c:pt>
                <c:pt idx="1082">
                  <c:v>44715</c:v>
                </c:pt>
                <c:pt idx="1083">
                  <c:v>44715</c:v>
                </c:pt>
                <c:pt idx="1084">
                  <c:v>44714</c:v>
                </c:pt>
                <c:pt idx="1085">
                  <c:v>44714</c:v>
                </c:pt>
                <c:pt idx="1086">
                  <c:v>44713</c:v>
                </c:pt>
                <c:pt idx="1087">
                  <c:v>44713</c:v>
                </c:pt>
                <c:pt idx="1088">
                  <c:v>44712</c:v>
                </c:pt>
                <c:pt idx="1089">
                  <c:v>44712</c:v>
                </c:pt>
                <c:pt idx="1090">
                  <c:v>44708</c:v>
                </c:pt>
                <c:pt idx="1091">
                  <c:v>44708</c:v>
                </c:pt>
                <c:pt idx="1092">
                  <c:v>44707</c:v>
                </c:pt>
                <c:pt idx="1093">
                  <c:v>44707</c:v>
                </c:pt>
                <c:pt idx="1094">
                  <c:v>44706</c:v>
                </c:pt>
                <c:pt idx="1095">
                  <c:v>44706</c:v>
                </c:pt>
                <c:pt idx="1096">
                  <c:v>44705</c:v>
                </c:pt>
                <c:pt idx="1097">
                  <c:v>44705</c:v>
                </c:pt>
                <c:pt idx="1098">
                  <c:v>44704</c:v>
                </c:pt>
                <c:pt idx="1099">
                  <c:v>44704</c:v>
                </c:pt>
                <c:pt idx="1100">
                  <c:v>44701</c:v>
                </c:pt>
                <c:pt idx="1101">
                  <c:v>44701</c:v>
                </c:pt>
                <c:pt idx="1102">
                  <c:v>44700</c:v>
                </c:pt>
                <c:pt idx="1103">
                  <c:v>44700</c:v>
                </c:pt>
                <c:pt idx="1104">
                  <c:v>44699</c:v>
                </c:pt>
                <c:pt idx="1105">
                  <c:v>44699</c:v>
                </c:pt>
                <c:pt idx="1106">
                  <c:v>44698</c:v>
                </c:pt>
                <c:pt idx="1107">
                  <c:v>44698</c:v>
                </c:pt>
                <c:pt idx="1108">
                  <c:v>44697</c:v>
                </c:pt>
                <c:pt idx="1109">
                  <c:v>44697</c:v>
                </c:pt>
                <c:pt idx="1110">
                  <c:v>44694</c:v>
                </c:pt>
                <c:pt idx="1111">
                  <c:v>44694</c:v>
                </c:pt>
                <c:pt idx="1112">
                  <c:v>44693</c:v>
                </c:pt>
                <c:pt idx="1113">
                  <c:v>44693</c:v>
                </c:pt>
                <c:pt idx="1114">
                  <c:v>44692</c:v>
                </c:pt>
                <c:pt idx="1115">
                  <c:v>44692</c:v>
                </c:pt>
                <c:pt idx="1116">
                  <c:v>44691</c:v>
                </c:pt>
                <c:pt idx="1117">
                  <c:v>44691</c:v>
                </c:pt>
                <c:pt idx="1118">
                  <c:v>44690</c:v>
                </c:pt>
                <c:pt idx="1119">
                  <c:v>44690</c:v>
                </c:pt>
                <c:pt idx="1120">
                  <c:v>44687</c:v>
                </c:pt>
                <c:pt idx="1121">
                  <c:v>44687</c:v>
                </c:pt>
                <c:pt idx="1122">
                  <c:v>44686</c:v>
                </c:pt>
                <c:pt idx="1123">
                  <c:v>44686</c:v>
                </c:pt>
                <c:pt idx="1124">
                  <c:v>44685</c:v>
                </c:pt>
                <c:pt idx="1125">
                  <c:v>44685</c:v>
                </c:pt>
                <c:pt idx="1126">
                  <c:v>44684</c:v>
                </c:pt>
                <c:pt idx="1127">
                  <c:v>44684</c:v>
                </c:pt>
                <c:pt idx="1128">
                  <c:v>44683</c:v>
                </c:pt>
                <c:pt idx="1129">
                  <c:v>44683</c:v>
                </c:pt>
                <c:pt idx="1130">
                  <c:v>44680</c:v>
                </c:pt>
                <c:pt idx="1131">
                  <c:v>44680</c:v>
                </c:pt>
                <c:pt idx="1132">
                  <c:v>44679</c:v>
                </c:pt>
                <c:pt idx="1133">
                  <c:v>44679</c:v>
                </c:pt>
                <c:pt idx="1134">
                  <c:v>44678</c:v>
                </c:pt>
                <c:pt idx="1135">
                  <c:v>44678</c:v>
                </c:pt>
                <c:pt idx="1136">
                  <c:v>44677</c:v>
                </c:pt>
                <c:pt idx="1137">
                  <c:v>44677</c:v>
                </c:pt>
                <c:pt idx="1138">
                  <c:v>44676</c:v>
                </c:pt>
                <c:pt idx="1139">
                  <c:v>44676</c:v>
                </c:pt>
                <c:pt idx="1140">
                  <c:v>44673</c:v>
                </c:pt>
                <c:pt idx="1141">
                  <c:v>44673</c:v>
                </c:pt>
                <c:pt idx="1142">
                  <c:v>44672</c:v>
                </c:pt>
                <c:pt idx="1143">
                  <c:v>44672</c:v>
                </c:pt>
                <c:pt idx="1144">
                  <c:v>44671</c:v>
                </c:pt>
                <c:pt idx="1145">
                  <c:v>44671</c:v>
                </c:pt>
                <c:pt idx="1146">
                  <c:v>44670</c:v>
                </c:pt>
                <c:pt idx="1147">
                  <c:v>44670</c:v>
                </c:pt>
                <c:pt idx="1148">
                  <c:v>44669</c:v>
                </c:pt>
                <c:pt idx="1149">
                  <c:v>44669</c:v>
                </c:pt>
                <c:pt idx="1150">
                  <c:v>44665</c:v>
                </c:pt>
                <c:pt idx="1151">
                  <c:v>44665</c:v>
                </c:pt>
                <c:pt idx="1152">
                  <c:v>44664</c:v>
                </c:pt>
                <c:pt idx="1153">
                  <c:v>44664</c:v>
                </c:pt>
                <c:pt idx="1154">
                  <c:v>44663</c:v>
                </c:pt>
                <c:pt idx="1155">
                  <c:v>44663</c:v>
                </c:pt>
                <c:pt idx="1156">
                  <c:v>44662</c:v>
                </c:pt>
                <c:pt idx="1157">
                  <c:v>44662</c:v>
                </c:pt>
                <c:pt idx="1158">
                  <c:v>44659</c:v>
                </c:pt>
                <c:pt idx="1159">
                  <c:v>44659</c:v>
                </c:pt>
                <c:pt idx="1160">
                  <c:v>44658</c:v>
                </c:pt>
                <c:pt idx="1161">
                  <c:v>44658</c:v>
                </c:pt>
                <c:pt idx="1162">
                  <c:v>44657</c:v>
                </c:pt>
                <c:pt idx="1163">
                  <c:v>44657</c:v>
                </c:pt>
                <c:pt idx="1164">
                  <c:v>44656</c:v>
                </c:pt>
                <c:pt idx="1165">
                  <c:v>44656</c:v>
                </c:pt>
                <c:pt idx="1166">
                  <c:v>44655</c:v>
                </c:pt>
                <c:pt idx="1167">
                  <c:v>44655</c:v>
                </c:pt>
                <c:pt idx="1168">
                  <c:v>44652</c:v>
                </c:pt>
                <c:pt idx="1169">
                  <c:v>44652</c:v>
                </c:pt>
                <c:pt idx="1170">
                  <c:v>44651</c:v>
                </c:pt>
                <c:pt idx="1171">
                  <c:v>44651</c:v>
                </c:pt>
                <c:pt idx="1172">
                  <c:v>44650</c:v>
                </c:pt>
                <c:pt idx="1173">
                  <c:v>44650</c:v>
                </c:pt>
                <c:pt idx="1174">
                  <c:v>44649</c:v>
                </c:pt>
                <c:pt idx="1175">
                  <c:v>44649</c:v>
                </c:pt>
                <c:pt idx="1176">
                  <c:v>44648</c:v>
                </c:pt>
                <c:pt idx="1177">
                  <c:v>44648</c:v>
                </c:pt>
                <c:pt idx="1178">
                  <c:v>44645</c:v>
                </c:pt>
                <c:pt idx="1179">
                  <c:v>44645</c:v>
                </c:pt>
                <c:pt idx="1180">
                  <c:v>44644</c:v>
                </c:pt>
                <c:pt idx="1181">
                  <c:v>44644</c:v>
                </c:pt>
                <c:pt idx="1182">
                  <c:v>44643</c:v>
                </c:pt>
                <c:pt idx="1183">
                  <c:v>44643</c:v>
                </c:pt>
                <c:pt idx="1184">
                  <c:v>44642</c:v>
                </c:pt>
                <c:pt idx="1185">
                  <c:v>44642</c:v>
                </c:pt>
                <c:pt idx="1186">
                  <c:v>44641</c:v>
                </c:pt>
                <c:pt idx="1187">
                  <c:v>44641</c:v>
                </c:pt>
                <c:pt idx="1188">
                  <c:v>44638</c:v>
                </c:pt>
                <c:pt idx="1189">
                  <c:v>44638</c:v>
                </c:pt>
                <c:pt idx="1190">
                  <c:v>44637</c:v>
                </c:pt>
                <c:pt idx="1191">
                  <c:v>44637</c:v>
                </c:pt>
                <c:pt idx="1192">
                  <c:v>44636</c:v>
                </c:pt>
                <c:pt idx="1193">
                  <c:v>44636</c:v>
                </c:pt>
                <c:pt idx="1194">
                  <c:v>44635</c:v>
                </c:pt>
                <c:pt idx="1195">
                  <c:v>44635</c:v>
                </c:pt>
                <c:pt idx="1196">
                  <c:v>44634</c:v>
                </c:pt>
                <c:pt idx="1197">
                  <c:v>44634</c:v>
                </c:pt>
                <c:pt idx="1198">
                  <c:v>44631</c:v>
                </c:pt>
                <c:pt idx="1199">
                  <c:v>44631</c:v>
                </c:pt>
                <c:pt idx="1200">
                  <c:v>44630</c:v>
                </c:pt>
                <c:pt idx="1201">
                  <c:v>44630</c:v>
                </c:pt>
                <c:pt idx="1202">
                  <c:v>44629</c:v>
                </c:pt>
                <c:pt idx="1203">
                  <c:v>44629</c:v>
                </c:pt>
                <c:pt idx="1204">
                  <c:v>44628</c:v>
                </c:pt>
                <c:pt idx="1205">
                  <c:v>44628</c:v>
                </c:pt>
                <c:pt idx="1206">
                  <c:v>44627</c:v>
                </c:pt>
                <c:pt idx="1207">
                  <c:v>44627</c:v>
                </c:pt>
                <c:pt idx="1208">
                  <c:v>44624</c:v>
                </c:pt>
                <c:pt idx="1209">
                  <c:v>44624</c:v>
                </c:pt>
                <c:pt idx="1210">
                  <c:v>44623</c:v>
                </c:pt>
                <c:pt idx="1211">
                  <c:v>44623</c:v>
                </c:pt>
                <c:pt idx="1212">
                  <c:v>44622</c:v>
                </c:pt>
                <c:pt idx="1213">
                  <c:v>44622</c:v>
                </c:pt>
                <c:pt idx="1214">
                  <c:v>44621</c:v>
                </c:pt>
                <c:pt idx="1215">
                  <c:v>44621</c:v>
                </c:pt>
                <c:pt idx="1216">
                  <c:v>44620</c:v>
                </c:pt>
                <c:pt idx="1217">
                  <c:v>44620</c:v>
                </c:pt>
                <c:pt idx="1218">
                  <c:v>44617</c:v>
                </c:pt>
                <c:pt idx="1219">
                  <c:v>44617</c:v>
                </c:pt>
                <c:pt idx="1220">
                  <c:v>44616</c:v>
                </c:pt>
                <c:pt idx="1221">
                  <c:v>44616</c:v>
                </c:pt>
                <c:pt idx="1222">
                  <c:v>44615</c:v>
                </c:pt>
                <c:pt idx="1223">
                  <c:v>44615</c:v>
                </c:pt>
                <c:pt idx="1224">
                  <c:v>44614</c:v>
                </c:pt>
                <c:pt idx="1225">
                  <c:v>44614</c:v>
                </c:pt>
                <c:pt idx="1226">
                  <c:v>44610</c:v>
                </c:pt>
                <c:pt idx="1227">
                  <c:v>44610</c:v>
                </c:pt>
                <c:pt idx="1228">
                  <c:v>44609</c:v>
                </c:pt>
                <c:pt idx="1229">
                  <c:v>44609</c:v>
                </c:pt>
                <c:pt idx="1230">
                  <c:v>44608</c:v>
                </c:pt>
                <c:pt idx="1231">
                  <c:v>44608</c:v>
                </c:pt>
                <c:pt idx="1232">
                  <c:v>44607</c:v>
                </c:pt>
                <c:pt idx="1233">
                  <c:v>44607</c:v>
                </c:pt>
                <c:pt idx="1234">
                  <c:v>44606</c:v>
                </c:pt>
                <c:pt idx="1235">
                  <c:v>44606</c:v>
                </c:pt>
                <c:pt idx="1236">
                  <c:v>44603</c:v>
                </c:pt>
                <c:pt idx="1237">
                  <c:v>44603</c:v>
                </c:pt>
                <c:pt idx="1238">
                  <c:v>44602</c:v>
                </c:pt>
                <c:pt idx="1239">
                  <c:v>44602</c:v>
                </c:pt>
                <c:pt idx="1240">
                  <c:v>44601</c:v>
                </c:pt>
                <c:pt idx="1241">
                  <c:v>44601</c:v>
                </c:pt>
                <c:pt idx="1242">
                  <c:v>44600</c:v>
                </c:pt>
                <c:pt idx="1243">
                  <c:v>44600</c:v>
                </c:pt>
                <c:pt idx="1244">
                  <c:v>44599</c:v>
                </c:pt>
                <c:pt idx="1245">
                  <c:v>44599</c:v>
                </c:pt>
                <c:pt idx="1246">
                  <c:v>44596</c:v>
                </c:pt>
                <c:pt idx="1247">
                  <c:v>44596</c:v>
                </c:pt>
                <c:pt idx="1248">
                  <c:v>44595</c:v>
                </c:pt>
                <c:pt idx="1249">
                  <c:v>44595</c:v>
                </c:pt>
                <c:pt idx="1250">
                  <c:v>44594</c:v>
                </c:pt>
                <c:pt idx="1251">
                  <c:v>44594</c:v>
                </c:pt>
                <c:pt idx="1252">
                  <c:v>44593</c:v>
                </c:pt>
                <c:pt idx="1253">
                  <c:v>44593</c:v>
                </c:pt>
                <c:pt idx="1254">
                  <c:v>44592</c:v>
                </c:pt>
                <c:pt idx="1255">
                  <c:v>44592</c:v>
                </c:pt>
                <c:pt idx="1256">
                  <c:v>44589</c:v>
                </c:pt>
                <c:pt idx="1257">
                  <c:v>44589</c:v>
                </c:pt>
                <c:pt idx="1258">
                  <c:v>44588</c:v>
                </c:pt>
                <c:pt idx="1259">
                  <c:v>44588</c:v>
                </c:pt>
                <c:pt idx="1260">
                  <c:v>44587</c:v>
                </c:pt>
                <c:pt idx="1261">
                  <c:v>44587</c:v>
                </c:pt>
                <c:pt idx="1262">
                  <c:v>44586</c:v>
                </c:pt>
                <c:pt idx="1263">
                  <c:v>44586</c:v>
                </c:pt>
                <c:pt idx="1264">
                  <c:v>44585</c:v>
                </c:pt>
                <c:pt idx="1265">
                  <c:v>44585</c:v>
                </c:pt>
                <c:pt idx="1266">
                  <c:v>44582</c:v>
                </c:pt>
                <c:pt idx="1267">
                  <c:v>44582</c:v>
                </c:pt>
                <c:pt idx="1268">
                  <c:v>44581</c:v>
                </c:pt>
                <c:pt idx="1269">
                  <c:v>44581</c:v>
                </c:pt>
                <c:pt idx="1270">
                  <c:v>44580</c:v>
                </c:pt>
                <c:pt idx="1271">
                  <c:v>44580</c:v>
                </c:pt>
                <c:pt idx="1272">
                  <c:v>44579</c:v>
                </c:pt>
                <c:pt idx="1273">
                  <c:v>44579</c:v>
                </c:pt>
                <c:pt idx="1274">
                  <c:v>44575</c:v>
                </c:pt>
                <c:pt idx="1275">
                  <c:v>44575</c:v>
                </c:pt>
                <c:pt idx="1276">
                  <c:v>44574</c:v>
                </c:pt>
                <c:pt idx="1277">
                  <c:v>44574</c:v>
                </c:pt>
                <c:pt idx="1278">
                  <c:v>44573</c:v>
                </c:pt>
                <c:pt idx="1279">
                  <c:v>44573</c:v>
                </c:pt>
                <c:pt idx="1280">
                  <c:v>44572</c:v>
                </c:pt>
                <c:pt idx="1281">
                  <c:v>44572</c:v>
                </c:pt>
                <c:pt idx="1282">
                  <c:v>44571</c:v>
                </c:pt>
                <c:pt idx="1283">
                  <c:v>44571</c:v>
                </c:pt>
                <c:pt idx="1284">
                  <c:v>44568</c:v>
                </c:pt>
                <c:pt idx="1285">
                  <c:v>44568</c:v>
                </c:pt>
                <c:pt idx="1286">
                  <c:v>44567</c:v>
                </c:pt>
                <c:pt idx="1287">
                  <c:v>44567</c:v>
                </c:pt>
                <c:pt idx="1288">
                  <c:v>44566</c:v>
                </c:pt>
                <c:pt idx="1289">
                  <c:v>44566</c:v>
                </c:pt>
                <c:pt idx="1290">
                  <c:v>44565</c:v>
                </c:pt>
                <c:pt idx="1291">
                  <c:v>44565</c:v>
                </c:pt>
                <c:pt idx="1292">
                  <c:v>44564</c:v>
                </c:pt>
                <c:pt idx="1293">
                  <c:v>44564</c:v>
                </c:pt>
                <c:pt idx="1294">
                  <c:v>44561</c:v>
                </c:pt>
                <c:pt idx="1295">
                  <c:v>44561</c:v>
                </c:pt>
                <c:pt idx="1296">
                  <c:v>44560</c:v>
                </c:pt>
                <c:pt idx="1297">
                  <c:v>44560</c:v>
                </c:pt>
                <c:pt idx="1298">
                  <c:v>44559</c:v>
                </c:pt>
                <c:pt idx="1299">
                  <c:v>44559</c:v>
                </c:pt>
                <c:pt idx="1300">
                  <c:v>44558</c:v>
                </c:pt>
                <c:pt idx="1301">
                  <c:v>44558</c:v>
                </c:pt>
                <c:pt idx="1302">
                  <c:v>44557</c:v>
                </c:pt>
                <c:pt idx="1303">
                  <c:v>44557</c:v>
                </c:pt>
                <c:pt idx="1304">
                  <c:v>44553</c:v>
                </c:pt>
                <c:pt idx="1305">
                  <c:v>44553</c:v>
                </c:pt>
                <c:pt idx="1306">
                  <c:v>44552</c:v>
                </c:pt>
                <c:pt idx="1307">
                  <c:v>44552</c:v>
                </c:pt>
                <c:pt idx="1308">
                  <c:v>44551</c:v>
                </c:pt>
                <c:pt idx="1309">
                  <c:v>44551</c:v>
                </c:pt>
                <c:pt idx="1310">
                  <c:v>44550</c:v>
                </c:pt>
                <c:pt idx="1311">
                  <c:v>44550</c:v>
                </c:pt>
                <c:pt idx="1312">
                  <c:v>44547</c:v>
                </c:pt>
                <c:pt idx="1313">
                  <c:v>44547</c:v>
                </c:pt>
                <c:pt idx="1314">
                  <c:v>44546</c:v>
                </c:pt>
                <c:pt idx="1315">
                  <c:v>44546</c:v>
                </c:pt>
                <c:pt idx="1316">
                  <c:v>44545</c:v>
                </c:pt>
                <c:pt idx="1317">
                  <c:v>44545</c:v>
                </c:pt>
                <c:pt idx="1318">
                  <c:v>44544</c:v>
                </c:pt>
                <c:pt idx="1319">
                  <c:v>44544</c:v>
                </c:pt>
                <c:pt idx="1320">
                  <c:v>44543</c:v>
                </c:pt>
                <c:pt idx="1321">
                  <c:v>44543</c:v>
                </c:pt>
                <c:pt idx="1322">
                  <c:v>44540</c:v>
                </c:pt>
                <c:pt idx="1323">
                  <c:v>44540</c:v>
                </c:pt>
                <c:pt idx="1324">
                  <c:v>44539</c:v>
                </c:pt>
                <c:pt idx="1325">
                  <c:v>44539</c:v>
                </c:pt>
                <c:pt idx="1326">
                  <c:v>44538</c:v>
                </c:pt>
                <c:pt idx="1327">
                  <c:v>44538</c:v>
                </c:pt>
                <c:pt idx="1328">
                  <c:v>44537</c:v>
                </c:pt>
                <c:pt idx="1329">
                  <c:v>44537</c:v>
                </c:pt>
                <c:pt idx="1330">
                  <c:v>44536</c:v>
                </c:pt>
                <c:pt idx="1331">
                  <c:v>44536</c:v>
                </c:pt>
                <c:pt idx="1332">
                  <c:v>44533</c:v>
                </c:pt>
                <c:pt idx="1333">
                  <c:v>44533</c:v>
                </c:pt>
                <c:pt idx="1334">
                  <c:v>44532</c:v>
                </c:pt>
                <c:pt idx="1335">
                  <c:v>44532</c:v>
                </c:pt>
                <c:pt idx="1336">
                  <c:v>44531</c:v>
                </c:pt>
                <c:pt idx="1337">
                  <c:v>44531</c:v>
                </c:pt>
                <c:pt idx="1338">
                  <c:v>44530</c:v>
                </c:pt>
                <c:pt idx="1339">
                  <c:v>44530</c:v>
                </c:pt>
                <c:pt idx="1340">
                  <c:v>44529</c:v>
                </c:pt>
                <c:pt idx="1341">
                  <c:v>44529</c:v>
                </c:pt>
                <c:pt idx="1342">
                  <c:v>44526</c:v>
                </c:pt>
                <c:pt idx="1343">
                  <c:v>44526</c:v>
                </c:pt>
                <c:pt idx="1344">
                  <c:v>44524</c:v>
                </c:pt>
                <c:pt idx="1345">
                  <c:v>44524</c:v>
                </c:pt>
                <c:pt idx="1346">
                  <c:v>44523</c:v>
                </c:pt>
                <c:pt idx="1347">
                  <c:v>44523</c:v>
                </c:pt>
                <c:pt idx="1348">
                  <c:v>44522</c:v>
                </c:pt>
                <c:pt idx="1349">
                  <c:v>44522</c:v>
                </c:pt>
                <c:pt idx="1350">
                  <c:v>44519</c:v>
                </c:pt>
                <c:pt idx="1351">
                  <c:v>44519</c:v>
                </c:pt>
                <c:pt idx="1352">
                  <c:v>44518</c:v>
                </c:pt>
                <c:pt idx="1353">
                  <c:v>44518</c:v>
                </c:pt>
                <c:pt idx="1354">
                  <c:v>44517</c:v>
                </c:pt>
                <c:pt idx="1355">
                  <c:v>44517</c:v>
                </c:pt>
                <c:pt idx="1356">
                  <c:v>44516</c:v>
                </c:pt>
                <c:pt idx="1357">
                  <c:v>44516</c:v>
                </c:pt>
                <c:pt idx="1358">
                  <c:v>44515</c:v>
                </c:pt>
                <c:pt idx="1359">
                  <c:v>44515</c:v>
                </c:pt>
                <c:pt idx="1360">
                  <c:v>44512</c:v>
                </c:pt>
                <c:pt idx="1361">
                  <c:v>44512</c:v>
                </c:pt>
                <c:pt idx="1362">
                  <c:v>44511</c:v>
                </c:pt>
                <c:pt idx="1363">
                  <c:v>44511</c:v>
                </c:pt>
                <c:pt idx="1364">
                  <c:v>44510</c:v>
                </c:pt>
                <c:pt idx="1365">
                  <c:v>44510</c:v>
                </c:pt>
                <c:pt idx="1366">
                  <c:v>44509</c:v>
                </c:pt>
                <c:pt idx="1367">
                  <c:v>44509</c:v>
                </c:pt>
                <c:pt idx="1368">
                  <c:v>44508</c:v>
                </c:pt>
                <c:pt idx="1369">
                  <c:v>44508</c:v>
                </c:pt>
                <c:pt idx="1370">
                  <c:v>44505</c:v>
                </c:pt>
                <c:pt idx="1371">
                  <c:v>44505</c:v>
                </c:pt>
                <c:pt idx="1372">
                  <c:v>44504</c:v>
                </c:pt>
                <c:pt idx="1373">
                  <c:v>44504</c:v>
                </c:pt>
                <c:pt idx="1374">
                  <c:v>44503</c:v>
                </c:pt>
                <c:pt idx="1375">
                  <c:v>44503</c:v>
                </c:pt>
                <c:pt idx="1376">
                  <c:v>44502</c:v>
                </c:pt>
                <c:pt idx="1377">
                  <c:v>44502</c:v>
                </c:pt>
                <c:pt idx="1378">
                  <c:v>44501</c:v>
                </c:pt>
                <c:pt idx="1379">
                  <c:v>44501</c:v>
                </c:pt>
                <c:pt idx="1380">
                  <c:v>44498</c:v>
                </c:pt>
                <c:pt idx="1381">
                  <c:v>44498</c:v>
                </c:pt>
                <c:pt idx="1382">
                  <c:v>44497</c:v>
                </c:pt>
                <c:pt idx="1383">
                  <c:v>44497</c:v>
                </c:pt>
                <c:pt idx="1384">
                  <c:v>44496</c:v>
                </c:pt>
                <c:pt idx="1385">
                  <c:v>44496</c:v>
                </c:pt>
                <c:pt idx="1386">
                  <c:v>44495</c:v>
                </c:pt>
                <c:pt idx="1387">
                  <c:v>44495</c:v>
                </c:pt>
                <c:pt idx="1388">
                  <c:v>44494</c:v>
                </c:pt>
                <c:pt idx="1389">
                  <c:v>44494</c:v>
                </c:pt>
                <c:pt idx="1390">
                  <c:v>44491</c:v>
                </c:pt>
                <c:pt idx="1391">
                  <c:v>44491</c:v>
                </c:pt>
                <c:pt idx="1392">
                  <c:v>44490</c:v>
                </c:pt>
                <c:pt idx="1393">
                  <c:v>44490</c:v>
                </c:pt>
                <c:pt idx="1394">
                  <c:v>44489</c:v>
                </c:pt>
                <c:pt idx="1395">
                  <c:v>44489</c:v>
                </c:pt>
                <c:pt idx="1396">
                  <c:v>44488</c:v>
                </c:pt>
                <c:pt idx="1397">
                  <c:v>44488</c:v>
                </c:pt>
                <c:pt idx="1398">
                  <c:v>44487</c:v>
                </c:pt>
                <c:pt idx="1399">
                  <c:v>44487</c:v>
                </c:pt>
                <c:pt idx="1400">
                  <c:v>44484</c:v>
                </c:pt>
                <c:pt idx="1401">
                  <c:v>44484</c:v>
                </c:pt>
                <c:pt idx="1402">
                  <c:v>44483</c:v>
                </c:pt>
                <c:pt idx="1403">
                  <c:v>44483</c:v>
                </c:pt>
                <c:pt idx="1404">
                  <c:v>44482</c:v>
                </c:pt>
                <c:pt idx="1405">
                  <c:v>44482</c:v>
                </c:pt>
                <c:pt idx="1406">
                  <c:v>44481</c:v>
                </c:pt>
                <c:pt idx="1407">
                  <c:v>44481</c:v>
                </c:pt>
                <c:pt idx="1408">
                  <c:v>44480</c:v>
                </c:pt>
                <c:pt idx="1409">
                  <c:v>44480</c:v>
                </c:pt>
                <c:pt idx="1410">
                  <c:v>44477</c:v>
                </c:pt>
                <c:pt idx="1411">
                  <c:v>44477</c:v>
                </c:pt>
                <c:pt idx="1412">
                  <c:v>44476</c:v>
                </c:pt>
                <c:pt idx="1413">
                  <c:v>44476</c:v>
                </c:pt>
                <c:pt idx="1414">
                  <c:v>44475</c:v>
                </c:pt>
                <c:pt idx="1415">
                  <c:v>44475</c:v>
                </c:pt>
                <c:pt idx="1416">
                  <c:v>44474</c:v>
                </c:pt>
                <c:pt idx="1417">
                  <c:v>44474</c:v>
                </c:pt>
                <c:pt idx="1418">
                  <c:v>44473</c:v>
                </c:pt>
                <c:pt idx="1419">
                  <c:v>44473</c:v>
                </c:pt>
                <c:pt idx="1420">
                  <c:v>44470</c:v>
                </c:pt>
                <c:pt idx="1421">
                  <c:v>44470</c:v>
                </c:pt>
                <c:pt idx="1422">
                  <c:v>44469</c:v>
                </c:pt>
                <c:pt idx="1423">
                  <c:v>44469</c:v>
                </c:pt>
                <c:pt idx="1424">
                  <c:v>44468</c:v>
                </c:pt>
                <c:pt idx="1425">
                  <c:v>44468</c:v>
                </c:pt>
                <c:pt idx="1426">
                  <c:v>44467</c:v>
                </c:pt>
                <c:pt idx="1427">
                  <c:v>44467</c:v>
                </c:pt>
                <c:pt idx="1428">
                  <c:v>44466</c:v>
                </c:pt>
                <c:pt idx="1429">
                  <c:v>44466</c:v>
                </c:pt>
                <c:pt idx="1430">
                  <c:v>44463</c:v>
                </c:pt>
                <c:pt idx="1431">
                  <c:v>44463</c:v>
                </c:pt>
                <c:pt idx="1432">
                  <c:v>44462</c:v>
                </c:pt>
                <c:pt idx="1433">
                  <c:v>44462</c:v>
                </c:pt>
                <c:pt idx="1434">
                  <c:v>44461</c:v>
                </c:pt>
                <c:pt idx="1435">
                  <c:v>44461</c:v>
                </c:pt>
                <c:pt idx="1436">
                  <c:v>44460</c:v>
                </c:pt>
                <c:pt idx="1437">
                  <c:v>44460</c:v>
                </c:pt>
                <c:pt idx="1438">
                  <c:v>44459</c:v>
                </c:pt>
                <c:pt idx="1439">
                  <c:v>44459</c:v>
                </c:pt>
                <c:pt idx="1440">
                  <c:v>44456</c:v>
                </c:pt>
                <c:pt idx="1441">
                  <c:v>44456</c:v>
                </c:pt>
                <c:pt idx="1442">
                  <c:v>44455</c:v>
                </c:pt>
                <c:pt idx="1443">
                  <c:v>44455</c:v>
                </c:pt>
                <c:pt idx="1444">
                  <c:v>44454</c:v>
                </c:pt>
                <c:pt idx="1445">
                  <c:v>44454</c:v>
                </c:pt>
                <c:pt idx="1446">
                  <c:v>44453</c:v>
                </c:pt>
                <c:pt idx="1447">
                  <c:v>44453</c:v>
                </c:pt>
                <c:pt idx="1448">
                  <c:v>44452</c:v>
                </c:pt>
                <c:pt idx="1449">
                  <c:v>44452</c:v>
                </c:pt>
                <c:pt idx="1450">
                  <c:v>44449</c:v>
                </c:pt>
                <c:pt idx="1451">
                  <c:v>44449</c:v>
                </c:pt>
                <c:pt idx="1452">
                  <c:v>44448</c:v>
                </c:pt>
                <c:pt idx="1453">
                  <c:v>44448</c:v>
                </c:pt>
                <c:pt idx="1454">
                  <c:v>44447</c:v>
                </c:pt>
                <c:pt idx="1455">
                  <c:v>44447</c:v>
                </c:pt>
                <c:pt idx="1456">
                  <c:v>44446</c:v>
                </c:pt>
                <c:pt idx="1457">
                  <c:v>44446</c:v>
                </c:pt>
                <c:pt idx="1458">
                  <c:v>44442</c:v>
                </c:pt>
                <c:pt idx="1459">
                  <c:v>44442</c:v>
                </c:pt>
                <c:pt idx="1460">
                  <c:v>44441</c:v>
                </c:pt>
                <c:pt idx="1461">
                  <c:v>44441</c:v>
                </c:pt>
                <c:pt idx="1462">
                  <c:v>44440</c:v>
                </c:pt>
                <c:pt idx="1463">
                  <c:v>44440</c:v>
                </c:pt>
                <c:pt idx="1464">
                  <c:v>44439</c:v>
                </c:pt>
                <c:pt idx="1465">
                  <c:v>44439</c:v>
                </c:pt>
                <c:pt idx="1466">
                  <c:v>44438</c:v>
                </c:pt>
                <c:pt idx="1467">
                  <c:v>44438</c:v>
                </c:pt>
                <c:pt idx="1468">
                  <c:v>44435</c:v>
                </c:pt>
                <c:pt idx="1469">
                  <c:v>44435</c:v>
                </c:pt>
                <c:pt idx="1470">
                  <c:v>44434</c:v>
                </c:pt>
                <c:pt idx="1471">
                  <c:v>44434</c:v>
                </c:pt>
                <c:pt idx="1472">
                  <c:v>44433</c:v>
                </c:pt>
                <c:pt idx="1473">
                  <c:v>44433</c:v>
                </c:pt>
                <c:pt idx="1474">
                  <c:v>44432</c:v>
                </c:pt>
                <c:pt idx="1475">
                  <c:v>44432</c:v>
                </c:pt>
                <c:pt idx="1476">
                  <c:v>44431</c:v>
                </c:pt>
                <c:pt idx="1477">
                  <c:v>44431</c:v>
                </c:pt>
                <c:pt idx="1478">
                  <c:v>44428</c:v>
                </c:pt>
                <c:pt idx="1479">
                  <c:v>44428</c:v>
                </c:pt>
                <c:pt idx="1480">
                  <c:v>44427</c:v>
                </c:pt>
                <c:pt idx="1481">
                  <c:v>44427</c:v>
                </c:pt>
                <c:pt idx="1482">
                  <c:v>44426</c:v>
                </c:pt>
                <c:pt idx="1483">
                  <c:v>44426</c:v>
                </c:pt>
                <c:pt idx="1484">
                  <c:v>44425</c:v>
                </c:pt>
                <c:pt idx="1485">
                  <c:v>44425</c:v>
                </c:pt>
                <c:pt idx="1486">
                  <c:v>44424</c:v>
                </c:pt>
                <c:pt idx="1487">
                  <c:v>44424</c:v>
                </c:pt>
                <c:pt idx="1488">
                  <c:v>44421</c:v>
                </c:pt>
                <c:pt idx="1489">
                  <c:v>44421</c:v>
                </c:pt>
                <c:pt idx="1490">
                  <c:v>44420</c:v>
                </c:pt>
                <c:pt idx="1491">
                  <c:v>44420</c:v>
                </c:pt>
                <c:pt idx="1492">
                  <c:v>44419</c:v>
                </c:pt>
                <c:pt idx="1493">
                  <c:v>44419</c:v>
                </c:pt>
                <c:pt idx="1494">
                  <c:v>44418</c:v>
                </c:pt>
                <c:pt idx="1495">
                  <c:v>44418</c:v>
                </c:pt>
                <c:pt idx="1496">
                  <c:v>44417</c:v>
                </c:pt>
                <c:pt idx="1497">
                  <c:v>44417</c:v>
                </c:pt>
                <c:pt idx="1498">
                  <c:v>44414</c:v>
                </c:pt>
                <c:pt idx="1499">
                  <c:v>44414</c:v>
                </c:pt>
                <c:pt idx="1500">
                  <c:v>44413</c:v>
                </c:pt>
                <c:pt idx="1501">
                  <c:v>44413</c:v>
                </c:pt>
                <c:pt idx="1502">
                  <c:v>44412</c:v>
                </c:pt>
                <c:pt idx="1503">
                  <c:v>44412</c:v>
                </c:pt>
                <c:pt idx="1504">
                  <c:v>44411</c:v>
                </c:pt>
                <c:pt idx="1505">
                  <c:v>44411</c:v>
                </c:pt>
                <c:pt idx="1506">
                  <c:v>44410</c:v>
                </c:pt>
                <c:pt idx="1507">
                  <c:v>44410</c:v>
                </c:pt>
                <c:pt idx="1508">
                  <c:v>44407</c:v>
                </c:pt>
                <c:pt idx="1509">
                  <c:v>44407</c:v>
                </c:pt>
                <c:pt idx="1510">
                  <c:v>44406</c:v>
                </c:pt>
                <c:pt idx="1511">
                  <c:v>44406</c:v>
                </c:pt>
                <c:pt idx="1512">
                  <c:v>44405</c:v>
                </c:pt>
                <c:pt idx="1513">
                  <c:v>44405</c:v>
                </c:pt>
                <c:pt idx="1514">
                  <c:v>44404</c:v>
                </c:pt>
                <c:pt idx="1515">
                  <c:v>44404</c:v>
                </c:pt>
                <c:pt idx="1516">
                  <c:v>44403</c:v>
                </c:pt>
                <c:pt idx="1517">
                  <c:v>44403</c:v>
                </c:pt>
                <c:pt idx="1518">
                  <c:v>44400</c:v>
                </c:pt>
                <c:pt idx="1519">
                  <c:v>44400</c:v>
                </c:pt>
                <c:pt idx="1520">
                  <c:v>44399</c:v>
                </c:pt>
                <c:pt idx="1521">
                  <c:v>44399</c:v>
                </c:pt>
                <c:pt idx="1522">
                  <c:v>44398</c:v>
                </c:pt>
                <c:pt idx="1523">
                  <c:v>44398</c:v>
                </c:pt>
                <c:pt idx="1524">
                  <c:v>44397</c:v>
                </c:pt>
                <c:pt idx="1525">
                  <c:v>44397</c:v>
                </c:pt>
                <c:pt idx="1526">
                  <c:v>44396</c:v>
                </c:pt>
                <c:pt idx="1527">
                  <c:v>44396</c:v>
                </c:pt>
                <c:pt idx="1528">
                  <c:v>44393</c:v>
                </c:pt>
                <c:pt idx="1529">
                  <c:v>44393</c:v>
                </c:pt>
                <c:pt idx="1530">
                  <c:v>44392</c:v>
                </c:pt>
                <c:pt idx="1531">
                  <c:v>44392</c:v>
                </c:pt>
                <c:pt idx="1532">
                  <c:v>44391</c:v>
                </c:pt>
                <c:pt idx="1533">
                  <c:v>44391</c:v>
                </c:pt>
                <c:pt idx="1534">
                  <c:v>44390</c:v>
                </c:pt>
                <c:pt idx="1535">
                  <c:v>44390</c:v>
                </c:pt>
                <c:pt idx="1536">
                  <c:v>44389</c:v>
                </c:pt>
                <c:pt idx="1537">
                  <c:v>44389</c:v>
                </c:pt>
                <c:pt idx="1538">
                  <c:v>44386</c:v>
                </c:pt>
                <c:pt idx="1539">
                  <c:v>44386</c:v>
                </c:pt>
                <c:pt idx="1540">
                  <c:v>44385</c:v>
                </c:pt>
                <c:pt idx="1541">
                  <c:v>44385</c:v>
                </c:pt>
                <c:pt idx="1542">
                  <c:v>44384</c:v>
                </c:pt>
                <c:pt idx="1543">
                  <c:v>44384</c:v>
                </c:pt>
                <c:pt idx="1544">
                  <c:v>44383</c:v>
                </c:pt>
                <c:pt idx="1545">
                  <c:v>44383</c:v>
                </c:pt>
                <c:pt idx="1546">
                  <c:v>44379</c:v>
                </c:pt>
                <c:pt idx="1547">
                  <c:v>44379</c:v>
                </c:pt>
                <c:pt idx="1548">
                  <c:v>44378</c:v>
                </c:pt>
                <c:pt idx="1549">
                  <c:v>44378</c:v>
                </c:pt>
                <c:pt idx="1550">
                  <c:v>44377</c:v>
                </c:pt>
                <c:pt idx="1551">
                  <c:v>44377</c:v>
                </c:pt>
                <c:pt idx="1552">
                  <c:v>44376</c:v>
                </c:pt>
                <c:pt idx="1553">
                  <c:v>44376</c:v>
                </c:pt>
                <c:pt idx="1554">
                  <c:v>44375</c:v>
                </c:pt>
                <c:pt idx="1555">
                  <c:v>44375</c:v>
                </c:pt>
                <c:pt idx="1556">
                  <c:v>44372</c:v>
                </c:pt>
                <c:pt idx="1557">
                  <c:v>44372</c:v>
                </c:pt>
                <c:pt idx="1558">
                  <c:v>44371</c:v>
                </c:pt>
                <c:pt idx="1559">
                  <c:v>44371</c:v>
                </c:pt>
                <c:pt idx="1560">
                  <c:v>44370</c:v>
                </c:pt>
                <c:pt idx="1561">
                  <c:v>44370</c:v>
                </c:pt>
                <c:pt idx="1562">
                  <c:v>44369</c:v>
                </c:pt>
                <c:pt idx="1563">
                  <c:v>44369</c:v>
                </c:pt>
                <c:pt idx="1564">
                  <c:v>44368</c:v>
                </c:pt>
                <c:pt idx="1565">
                  <c:v>44368</c:v>
                </c:pt>
                <c:pt idx="1566">
                  <c:v>44365</c:v>
                </c:pt>
                <c:pt idx="1567">
                  <c:v>44365</c:v>
                </c:pt>
                <c:pt idx="1568">
                  <c:v>44364</c:v>
                </c:pt>
                <c:pt idx="1569">
                  <c:v>44364</c:v>
                </c:pt>
                <c:pt idx="1570">
                  <c:v>44363</c:v>
                </c:pt>
                <c:pt idx="1571">
                  <c:v>44363</c:v>
                </c:pt>
                <c:pt idx="1572">
                  <c:v>44362</c:v>
                </c:pt>
                <c:pt idx="1573">
                  <c:v>44362</c:v>
                </c:pt>
                <c:pt idx="1574">
                  <c:v>44361</c:v>
                </c:pt>
                <c:pt idx="1575">
                  <c:v>44361</c:v>
                </c:pt>
                <c:pt idx="1576">
                  <c:v>44358</c:v>
                </c:pt>
                <c:pt idx="1577">
                  <c:v>44358</c:v>
                </c:pt>
                <c:pt idx="1578">
                  <c:v>44357</c:v>
                </c:pt>
                <c:pt idx="1579">
                  <c:v>44357</c:v>
                </c:pt>
                <c:pt idx="1580">
                  <c:v>44356</c:v>
                </c:pt>
                <c:pt idx="1581">
                  <c:v>44356</c:v>
                </c:pt>
                <c:pt idx="1582">
                  <c:v>44355</c:v>
                </c:pt>
                <c:pt idx="1583">
                  <c:v>44355</c:v>
                </c:pt>
                <c:pt idx="1584">
                  <c:v>44354</c:v>
                </c:pt>
                <c:pt idx="1585">
                  <c:v>44354</c:v>
                </c:pt>
                <c:pt idx="1586">
                  <c:v>44351</c:v>
                </c:pt>
                <c:pt idx="1587">
                  <c:v>44351</c:v>
                </c:pt>
                <c:pt idx="1588">
                  <c:v>44350</c:v>
                </c:pt>
                <c:pt idx="1589">
                  <c:v>44350</c:v>
                </c:pt>
                <c:pt idx="1590">
                  <c:v>44349</c:v>
                </c:pt>
                <c:pt idx="1591">
                  <c:v>44349</c:v>
                </c:pt>
                <c:pt idx="1592">
                  <c:v>44348</c:v>
                </c:pt>
                <c:pt idx="1593">
                  <c:v>44348</c:v>
                </c:pt>
                <c:pt idx="1594">
                  <c:v>44344</c:v>
                </c:pt>
                <c:pt idx="1595">
                  <c:v>44344</c:v>
                </c:pt>
                <c:pt idx="1596">
                  <c:v>44343</c:v>
                </c:pt>
                <c:pt idx="1597">
                  <c:v>44343</c:v>
                </c:pt>
                <c:pt idx="1598">
                  <c:v>44342</c:v>
                </c:pt>
                <c:pt idx="1599">
                  <c:v>44342</c:v>
                </c:pt>
                <c:pt idx="1600">
                  <c:v>44341</c:v>
                </c:pt>
                <c:pt idx="1601">
                  <c:v>44341</c:v>
                </c:pt>
                <c:pt idx="1602">
                  <c:v>44340</c:v>
                </c:pt>
                <c:pt idx="1603">
                  <c:v>44340</c:v>
                </c:pt>
                <c:pt idx="1604">
                  <c:v>44337</c:v>
                </c:pt>
                <c:pt idx="1605">
                  <c:v>44337</c:v>
                </c:pt>
                <c:pt idx="1606">
                  <c:v>44336</c:v>
                </c:pt>
                <c:pt idx="1607">
                  <c:v>44336</c:v>
                </c:pt>
                <c:pt idx="1608">
                  <c:v>44335</c:v>
                </c:pt>
                <c:pt idx="1609">
                  <c:v>44335</c:v>
                </c:pt>
                <c:pt idx="1610">
                  <c:v>44334</c:v>
                </c:pt>
                <c:pt idx="1611">
                  <c:v>44334</c:v>
                </c:pt>
                <c:pt idx="1612">
                  <c:v>44333</c:v>
                </c:pt>
                <c:pt idx="1613">
                  <c:v>44333</c:v>
                </c:pt>
                <c:pt idx="1614">
                  <c:v>44330</c:v>
                </c:pt>
                <c:pt idx="1615">
                  <c:v>44330</c:v>
                </c:pt>
                <c:pt idx="1616">
                  <c:v>44329</c:v>
                </c:pt>
                <c:pt idx="1617">
                  <c:v>44329</c:v>
                </c:pt>
                <c:pt idx="1618">
                  <c:v>44328</c:v>
                </c:pt>
                <c:pt idx="1619">
                  <c:v>44328</c:v>
                </c:pt>
                <c:pt idx="1620">
                  <c:v>44327</c:v>
                </c:pt>
                <c:pt idx="1621">
                  <c:v>44327</c:v>
                </c:pt>
                <c:pt idx="1622">
                  <c:v>44326</c:v>
                </c:pt>
                <c:pt idx="1623">
                  <c:v>44326</c:v>
                </c:pt>
                <c:pt idx="1624">
                  <c:v>44323</c:v>
                </c:pt>
                <c:pt idx="1625">
                  <c:v>44323</c:v>
                </c:pt>
                <c:pt idx="1626">
                  <c:v>44322</c:v>
                </c:pt>
                <c:pt idx="1627">
                  <c:v>44322</c:v>
                </c:pt>
                <c:pt idx="1628">
                  <c:v>44321</c:v>
                </c:pt>
                <c:pt idx="1629">
                  <c:v>44321</c:v>
                </c:pt>
                <c:pt idx="1630">
                  <c:v>44320</c:v>
                </c:pt>
                <c:pt idx="1631">
                  <c:v>44320</c:v>
                </c:pt>
                <c:pt idx="1632">
                  <c:v>44319</c:v>
                </c:pt>
                <c:pt idx="1633">
                  <c:v>44319</c:v>
                </c:pt>
                <c:pt idx="1634">
                  <c:v>44316</c:v>
                </c:pt>
                <c:pt idx="1635">
                  <c:v>44316</c:v>
                </c:pt>
                <c:pt idx="1636">
                  <c:v>44315</c:v>
                </c:pt>
                <c:pt idx="1637">
                  <c:v>44315</c:v>
                </c:pt>
                <c:pt idx="1638">
                  <c:v>44314</c:v>
                </c:pt>
                <c:pt idx="1639">
                  <c:v>44314</c:v>
                </c:pt>
                <c:pt idx="1640">
                  <c:v>44313</c:v>
                </c:pt>
                <c:pt idx="1641">
                  <c:v>44313</c:v>
                </c:pt>
                <c:pt idx="1642">
                  <c:v>44312</c:v>
                </c:pt>
                <c:pt idx="1643">
                  <c:v>44312</c:v>
                </c:pt>
                <c:pt idx="1644">
                  <c:v>44309</c:v>
                </c:pt>
                <c:pt idx="1645">
                  <c:v>44309</c:v>
                </c:pt>
                <c:pt idx="1646">
                  <c:v>44308</c:v>
                </c:pt>
                <c:pt idx="1647">
                  <c:v>44308</c:v>
                </c:pt>
                <c:pt idx="1648">
                  <c:v>44307</c:v>
                </c:pt>
                <c:pt idx="1649">
                  <c:v>44307</c:v>
                </c:pt>
                <c:pt idx="1650">
                  <c:v>44306</c:v>
                </c:pt>
                <c:pt idx="1651">
                  <c:v>44306</c:v>
                </c:pt>
                <c:pt idx="1652">
                  <c:v>44305</c:v>
                </c:pt>
                <c:pt idx="1653">
                  <c:v>44305</c:v>
                </c:pt>
                <c:pt idx="1654">
                  <c:v>44302</c:v>
                </c:pt>
                <c:pt idx="1655">
                  <c:v>44302</c:v>
                </c:pt>
                <c:pt idx="1656">
                  <c:v>44301</c:v>
                </c:pt>
                <c:pt idx="1657">
                  <c:v>44301</c:v>
                </c:pt>
                <c:pt idx="1658">
                  <c:v>44300</c:v>
                </c:pt>
                <c:pt idx="1659">
                  <c:v>44300</c:v>
                </c:pt>
                <c:pt idx="1660">
                  <c:v>44299</c:v>
                </c:pt>
                <c:pt idx="1661">
                  <c:v>44299</c:v>
                </c:pt>
                <c:pt idx="1662">
                  <c:v>44298</c:v>
                </c:pt>
                <c:pt idx="1663">
                  <c:v>44298</c:v>
                </c:pt>
                <c:pt idx="1664">
                  <c:v>44295</c:v>
                </c:pt>
                <c:pt idx="1665">
                  <c:v>44295</c:v>
                </c:pt>
                <c:pt idx="1666">
                  <c:v>44294</c:v>
                </c:pt>
                <c:pt idx="1667">
                  <c:v>44294</c:v>
                </c:pt>
                <c:pt idx="1668">
                  <c:v>44293</c:v>
                </c:pt>
                <c:pt idx="1669">
                  <c:v>44293</c:v>
                </c:pt>
                <c:pt idx="1670">
                  <c:v>44292</c:v>
                </c:pt>
                <c:pt idx="1671">
                  <c:v>44292</c:v>
                </c:pt>
                <c:pt idx="1672">
                  <c:v>44291</c:v>
                </c:pt>
                <c:pt idx="1673">
                  <c:v>44291</c:v>
                </c:pt>
                <c:pt idx="1674">
                  <c:v>44287</c:v>
                </c:pt>
                <c:pt idx="1675">
                  <c:v>44287</c:v>
                </c:pt>
                <c:pt idx="1676">
                  <c:v>44286</c:v>
                </c:pt>
                <c:pt idx="1677">
                  <c:v>44286</c:v>
                </c:pt>
                <c:pt idx="1678">
                  <c:v>44285</c:v>
                </c:pt>
                <c:pt idx="1679">
                  <c:v>44285</c:v>
                </c:pt>
                <c:pt idx="1680">
                  <c:v>44284</c:v>
                </c:pt>
                <c:pt idx="1681">
                  <c:v>44284</c:v>
                </c:pt>
                <c:pt idx="1682">
                  <c:v>44281</c:v>
                </c:pt>
                <c:pt idx="1683">
                  <c:v>44281</c:v>
                </c:pt>
                <c:pt idx="1684">
                  <c:v>44280</c:v>
                </c:pt>
                <c:pt idx="1685">
                  <c:v>44280</c:v>
                </c:pt>
                <c:pt idx="1686">
                  <c:v>44279</c:v>
                </c:pt>
                <c:pt idx="1687">
                  <c:v>44279</c:v>
                </c:pt>
                <c:pt idx="1688">
                  <c:v>44278</c:v>
                </c:pt>
                <c:pt idx="1689">
                  <c:v>44278</c:v>
                </c:pt>
                <c:pt idx="1690">
                  <c:v>44277</c:v>
                </c:pt>
                <c:pt idx="1691">
                  <c:v>44277</c:v>
                </c:pt>
                <c:pt idx="1692">
                  <c:v>44274</c:v>
                </c:pt>
                <c:pt idx="1693">
                  <c:v>44274</c:v>
                </c:pt>
                <c:pt idx="1694">
                  <c:v>44273</c:v>
                </c:pt>
                <c:pt idx="1695">
                  <c:v>44273</c:v>
                </c:pt>
                <c:pt idx="1696">
                  <c:v>44272</c:v>
                </c:pt>
                <c:pt idx="1697">
                  <c:v>44272</c:v>
                </c:pt>
                <c:pt idx="1698">
                  <c:v>44271</c:v>
                </c:pt>
                <c:pt idx="1699">
                  <c:v>44271</c:v>
                </c:pt>
                <c:pt idx="1700">
                  <c:v>44270</c:v>
                </c:pt>
                <c:pt idx="1701">
                  <c:v>44270</c:v>
                </c:pt>
                <c:pt idx="1702">
                  <c:v>44267</c:v>
                </c:pt>
                <c:pt idx="1703">
                  <c:v>44267</c:v>
                </c:pt>
                <c:pt idx="1704">
                  <c:v>44266</c:v>
                </c:pt>
                <c:pt idx="1705">
                  <c:v>44266</c:v>
                </c:pt>
                <c:pt idx="1706">
                  <c:v>44265</c:v>
                </c:pt>
                <c:pt idx="1707">
                  <c:v>44265</c:v>
                </c:pt>
                <c:pt idx="1708">
                  <c:v>44264</c:v>
                </c:pt>
                <c:pt idx="1709">
                  <c:v>44264</c:v>
                </c:pt>
                <c:pt idx="1710">
                  <c:v>44263</c:v>
                </c:pt>
                <c:pt idx="1711">
                  <c:v>44263</c:v>
                </c:pt>
                <c:pt idx="1712">
                  <c:v>44260</c:v>
                </c:pt>
                <c:pt idx="1713">
                  <c:v>44260</c:v>
                </c:pt>
                <c:pt idx="1714">
                  <c:v>44259</c:v>
                </c:pt>
                <c:pt idx="1715">
                  <c:v>44259</c:v>
                </c:pt>
                <c:pt idx="1716">
                  <c:v>44258</c:v>
                </c:pt>
                <c:pt idx="1717">
                  <c:v>44258</c:v>
                </c:pt>
                <c:pt idx="1718">
                  <c:v>44257</c:v>
                </c:pt>
                <c:pt idx="1719">
                  <c:v>44257</c:v>
                </c:pt>
                <c:pt idx="1720">
                  <c:v>44256</c:v>
                </c:pt>
                <c:pt idx="1721">
                  <c:v>44256</c:v>
                </c:pt>
                <c:pt idx="1722">
                  <c:v>44253</c:v>
                </c:pt>
                <c:pt idx="1723">
                  <c:v>44253</c:v>
                </c:pt>
                <c:pt idx="1724">
                  <c:v>44252</c:v>
                </c:pt>
                <c:pt idx="1725">
                  <c:v>44252</c:v>
                </c:pt>
                <c:pt idx="1726">
                  <c:v>44251</c:v>
                </c:pt>
                <c:pt idx="1727">
                  <c:v>44251</c:v>
                </c:pt>
                <c:pt idx="1728">
                  <c:v>44250</c:v>
                </c:pt>
                <c:pt idx="1729">
                  <c:v>44250</c:v>
                </c:pt>
                <c:pt idx="1730">
                  <c:v>44249</c:v>
                </c:pt>
                <c:pt idx="1731">
                  <c:v>44249</c:v>
                </c:pt>
                <c:pt idx="1732">
                  <c:v>44246</c:v>
                </c:pt>
                <c:pt idx="1733">
                  <c:v>44246</c:v>
                </c:pt>
                <c:pt idx="1734">
                  <c:v>44245</c:v>
                </c:pt>
                <c:pt idx="1735">
                  <c:v>44245</c:v>
                </c:pt>
                <c:pt idx="1736">
                  <c:v>44244</c:v>
                </c:pt>
                <c:pt idx="1737">
                  <c:v>44244</c:v>
                </c:pt>
                <c:pt idx="1738">
                  <c:v>44243</c:v>
                </c:pt>
                <c:pt idx="1739">
                  <c:v>44243</c:v>
                </c:pt>
                <c:pt idx="1740">
                  <c:v>44239</c:v>
                </c:pt>
                <c:pt idx="1741">
                  <c:v>44239</c:v>
                </c:pt>
                <c:pt idx="1742">
                  <c:v>44238</c:v>
                </c:pt>
                <c:pt idx="1743">
                  <c:v>44238</c:v>
                </c:pt>
                <c:pt idx="1744">
                  <c:v>44237</c:v>
                </c:pt>
                <c:pt idx="1745">
                  <c:v>44237</c:v>
                </c:pt>
                <c:pt idx="1746">
                  <c:v>44236</c:v>
                </c:pt>
                <c:pt idx="1747">
                  <c:v>44236</c:v>
                </c:pt>
                <c:pt idx="1748">
                  <c:v>44235</c:v>
                </c:pt>
                <c:pt idx="1749">
                  <c:v>44235</c:v>
                </c:pt>
                <c:pt idx="1750">
                  <c:v>44232</c:v>
                </c:pt>
                <c:pt idx="1751">
                  <c:v>44232</c:v>
                </c:pt>
                <c:pt idx="1752">
                  <c:v>44231</c:v>
                </c:pt>
                <c:pt idx="1753">
                  <c:v>44231</c:v>
                </c:pt>
                <c:pt idx="1754">
                  <c:v>44230</c:v>
                </c:pt>
                <c:pt idx="1755">
                  <c:v>44230</c:v>
                </c:pt>
                <c:pt idx="1756">
                  <c:v>44229</c:v>
                </c:pt>
                <c:pt idx="1757">
                  <c:v>44229</c:v>
                </c:pt>
                <c:pt idx="1758">
                  <c:v>44228</c:v>
                </c:pt>
                <c:pt idx="1759">
                  <c:v>44228</c:v>
                </c:pt>
                <c:pt idx="1760">
                  <c:v>44225</c:v>
                </c:pt>
                <c:pt idx="1761">
                  <c:v>44225</c:v>
                </c:pt>
                <c:pt idx="1762">
                  <c:v>44224</c:v>
                </c:pt>
                <c:pt idx="1763">
                  <c:v>44224</c:v>
                </c:pt>
                <c:pt idx="1764">
                  <c:v>44223</c:v>
                </c:pt>
                <c:pt idx="1765">
                  <c:v>44223</c:v>
                </c:pt>
                <c:pt idx="1766">
                  <c:v>44222</c:v>
                </c:pt>
                <c:pt idx="1767">
                  <c:v>44222</c:v>
                </c:pt>
                <c:pt idx="1768">
                  <c:v>44221</c:v>
                </c:pt>
                <c:pt idx="1769">
                  <c:v>44221</c:v>
                </c:pt>
                <c:pt idx="1770">
                  <c:v>44218</c:v>
                </c:pt>
                <c:pt idx="1771">
                  <c:v>44218</c:v>
                </c:pt>
                <c:pt idx="1772">
                  <c:v>44217</c:v>
                </c:pt>
                <c:pt idx="1773">
                  <c:v>44217</c:v>
                </c:pt>
                <c:pt idx="1774">
                  <c:v>44216</c:v>
                </c:pt>
                <c:pt idx="1775">
                  <c:v>44216</c:v>
                </c:pt>
                <c:pt idx="1776">
                  <c:v>44215</c:v>
                </c:pt>
                <c:pt idx="1777">
                  <c:v>44215</c:v>
                </c:pt>
                <c:pt idx="1778">
                  <c:v>44211</c:v>
                </c:pt>
                <c:pt idx="1779">
                  <c:v>44211</c:v>
                </c:pt>
                <c:pt idx="1780">
                  <c:v>44210</c:v>
                </c:pt>
                <c:pt idx="1781">
                  <c:v>44210</c:v>
                </c:pt>
                <c:pt idx="1782">
                  <c:v>44209</c:v>
                </c:pt>
                <c:pt idx="1783">
                  <c:v>44209</c:v>
                </c:pt>
                <c:pt idx="1784">
                  <c:v>44208</c:v>
                </c:pt>
                <c:pt idx="1785">
                  <c:v>44208</c:v>
                </c:pt>
                <c:pt idx="1786">
                  <c:v>44207</c:v>
                </c:pt>
                <c:pt idx="1787">
                  <c:v>44207</c:v>
                </c:pt>
                <c:pt idx="1788">
                  <c:v>44204</c:v>
                </c:pt>
                <c:pt idx="1789">
                  <c:v>44204</c:v>
                </c:pt>
                <c:pt idx="1790">
                  <c:v>44203</c:v>
                </c:pt>
                <c:pt idx="1791">
                  <c:v>44203</c:v>
                </c:pt>
                <c:pt idx="1792">
                  <c:v>44202</c:v>
                </c:pt>
                <c:pt idx="1793">
                  <c:v>44202</c:v>
                </c:pt>
                <c:pt idx="1794">
                  <c:v>44201</c:v>
                </c:pt>
                <c:pt idx="1795">
                  <c:v>44201</c:v>
                </c:pt>
                <c:pt idx="1796">
                  <c:v>44200</c:v>
                </c:pt>
                <c:pt idx="1797">
                  <c:v>44200</c:v>
                </c:pt>
                <c:pt idx="1798">
                  <c:v>44196</c:v>
                </c:pt>
                <c:pt idx="1799">
                  <c:v>44196</c:v>
                </c:pt>
                <c:pt idx="1800">
                  <c:v>44195</c:v>
                </c:pt>
                <c:pt idx="1801">
                  <c:v>44195</c:v>
                </c:pt>
                <c:pt idx="1802">
                  <c:v>44194</c:v>
                </c:pt>
                <c:pt idx="1803">
                  <c:v>44194</c:v>
                </c:pt>
                <c:pt idx="1804">
                  <c:v>44193</c:v>
                </c:pt>
                <c:pt idx="1805">
                  <c:v>44193</c:v>
                </c:pt>
                <c:pt idx="1806">
                  <c:v>44189</c:v>
                </c:pt>
                <c:pt idx="1807">
                  <c:v>44189</c:v>
                </c:pt>
                <c:pt idx="1808">
                  <c:v>44188</c:v>
                </c:pt>
                <c:pt idx="1809">
                  <c:v>44188</c:v>
                </c:pt>
                <c:pt idx="1810">
                  <c:v>44187</c:v>
                </c:pt>
                <c:pt idx="1811">
                  <c:v>44187</c:v>
                </c:pt>
                <c:pt idx="1812">
                  <c:v>44186</c:v>
                </c:pt>
                <c:pt idx="1813">
                  <c:v>44186</c:v>
                </c:pt>
                <c:pt idx="1814">
                  <c:v>44183</c:v>
                </c:pt>
                <c:pt idx="1815">
                  <c:v>44183</c:v>
                </c:pt>
                <c:pt idx="1816">
                  <c:v>44182</c:v>
                </c:pt>
                <c:pt idx="1817">
                  <c:v>44182</c:v>
                </c:pt>
                <c:pt idx="1818">
                  <c:v>44181</c:v>
                </c:pt>
                <c:pt idx="1819">
                  <c:v>44181</c:v>
                </c:pt>
                <c:pt idx="1820">
                  <c:v>44180</c:v>
                </c:pt>
                <c:pt idx="1821">
                  <c:v>44180</c:v>
                </c:pt>
                <c:pt idx="1822">
                  <c:v>44179</c:v>
                </c:pt>
                <c:pt idx="1823">
                  <c:v>44179</c:v>
                </c:pt>
                <c:pt idx="1824">
                  <c:v>44176</c:v>
                </c:pt>
                <c:pt idx="1825">
                  <c:v>44176</c:v>
                </c:pt>
                <c:pt idx="1826">
                  <c:v>44175</c:v>
                </c:pt>
                <c:pt idx="1827">
                  <c:v>44175</c:v>
                </c:pt>
                <c:pt idx="1828">
                  <c:v>44174</c:v>
                </c:pt>
                <c:pt idx="1829">
                  <c:v>44174</c:v>
                </c:pt>
                <c:pt idx="1830">
                  <c:v>44173</c:v>
                </c:pt>
                <c:pt idx="1831">
                  <c:v>44173</c:v>
                </c:pt>
                <c:pt idx="1832">
                  <c:v>44172</c:v>
                </c:pt>
                <c:pt idx="1833">
                  <c:v>44172</c:v>
                </c:pt>
                <c:pt idx="1834">
                  <c:v>44169</c:v>
                </c:pt>
                <c:pt idx="1835">
                  <c:v>44169</c:v>
                </c:pt>
                <c:pt idx="1836">
                  <c:v>44168</c:v>
                </c:pt>
                <c:pt idx="1837">
                  <c:v>44168</c:v>
                </c:pt>
                <c:pt idx="1838">
                  <c:v>44167</c:v>
                </c:pt>
                <c:pt idx="1839">
                  <c:v>44167</c:v>
                </c:pt>
                <c:pt idx="1840">
                  <c:v>44166</c:v>
                </c:pt>
                <c:pt idx="1841">
                  <c:v>44166</c:v>
                </c:pt>
                <c:pt idx="1842">
                  <c:v>44165</c:v>
                </c:pt>
                <c:pt idx="1843">
                  <c:v>44165</c:v>
                </c:pt>
                <c:pt idx="1844">
                  <c:v>44162</c:v>
                </c:pt>
                <c:pt idx="1845">
                  <c:v>44162</c:v>
                </c:pt>
                <c:pt idx="1846">
                  <c:v>44160</c:v>
                </c:pt>
                <c:pt idx="1847">
                  <c:v>44160</c:v>
                </c:pt>
                <c:pt idx="1848">
                  <c:v>44159</c:v>
                </c:pt>
                <c:pt idx="1849">
                  <c:v>44159</c:v>
                </c:pt>
                <c:pt idx="1850">
                  <c:v>44158</c:v>
                </c:pt>
                <c:pt idx="1851">
                  <c:v>44158</c:v>
                </c:pt>
                <c:pt idx="1852">
                  <c:v>44155</c:v>
                </c:pt>
                <c:pt idx="1853">
                  <c:v>44155</c:v>
                </c:pt>
                <c:pt idx="1854">
                  <c:v>44154</c:v>
                </c:pt>
                <c:pt idx="1855">
                  <c:v>44154</c:v>
                </c:pt>
                <c:pt idx="1856">
                  <c:v>44153</c:v>
                </c:pt>
                <c:pt idx="1857">
                  <c:v>44153</c:v>
                </c:pt>
                <c:pt idx="1858">
                  <c:v>44152</c:v>
                </c:pt>
                <c:pt idx="1859">
                  <c:v>44152</c:v>
                </c:pt>
                <c:pt idx="1860">
                  <c:v>44151</c:v>
                </c:pt>
                <c:pt idx="1861">
                  <c:v>44151</c:v>
                </c:pt>
                <c:pt idx="1862">
                  <c:v>44148</c:v>
                </c:pt>
                <c:pt idx="1863">
                  <c:v>44148</c:v>
                </c:pt>
                <c:pt idx="1864">
                  <c:v>44147</c:v>
                </c:pt>
                <c:pt idx="1865">
                  <c:v>44147</c:v>
                </c:pt>
                <c:pt idx="1866">
                  <c:v>44146</c:v>
                </c:pt>
                <c:pt idx="1867">
                  <c:v>44146</c:v>
                </c:pt>
                <c:pt idx="1868">
                  <c:v>44145</c:v>
                </c:pt>
                <c:pt idx="1869">
                  <c:v>44145</c:v>
                </c:pt>
                <c:pt idx="1870">
                  <c:v>44144</c:v>
                </c:pt>
                <c:pt idx="1871">
                  <c:v>44144</c:v>
                </c:pt>
                <c:pt idx="1872">
                  <c:v>44141</c:v>
                </c:pt>
                <c:pt idx="1873">
                  <c:v>44141</c:v>
                </c:pt>
                <c:pt idx="1874">
                  <c:v>44140</c:v>
                </c:pt>
                <c:pt idx="1875">
                  <c:v>44140</c:v>
                </c:pt>
                <c:pt idx="1876">
                  <c:v>44139</c:v>
                </c:pt>
                <c:pt idx="1877">
                  <c:v>44139</c:v>
                </c:pt>
                <c:pt idx="1878">
                  <c:v>44138</c:v>
                </c:pt>
                <c:pt idx="1879">
                  <c:v>44138</c:v>
                </c:pt>
                <c:pt idx="1880">
                  <c:v>44137</c:v>
                </c:pt>
                <c:pt idx="1881">
                  <c:v>44137</c:v>
                </c:pt>
                <c:pt idx="1882">
                  <c:v>44134</c:v>
                </c:pt>
                <c:pt idx="1883">
                  <c:v>44134</c:v>
                </c:pt>
                <c:pt idx="1884">
                  <c:v>44133</c:v>
                </c:pt>
                <c:pt idx="1885">
                  <c:v>44133</c:v>
                </c:pt>
                <c:pt idx="1886">
                  <c:v>44132</c:v>
                </c:pt>
                <c:pt idx="1887">
                  <c:v>44132</c:v>
                </c:pt>
                <c:pt idx="1888">
                  <c:v>44131</c:v>
                </c:pt>
                <c:pt idx="1889">
                  <c:v>44131</c:v>
                </c:pt>
                <c:pt idx="1890">
                  <c:v>44130</c:v>
                </c:pt>
                <c:pt idx="1891">
                  <c:v>44130</c:v>
                </c:pt>
                <c:pt idx="1892">
                  <c:v>44127</c:v>
                </c:pt>
                <c:pt idx="1893">
                  <c:v>44127</c:v>
                </c:pt>
                <c:pt idx="1894">
                  <c:v>44126</c:v>
                </c:pt>
                <c:pt idx="1895">
                  <c:v>44126</c:v>
                </c:pt>
                <c:pt idx="1896">
                  <c:v>44125</c:v>
                </c:pt>
                <c:pt idx="1897">
                  <c:v>44125</c:v>
                </c:pt>
                <c:pt idx="1898">
                  <c:v>44124</c:v>
                </c:pt>
                <c:pt idx="1899">
                  <c:v>44124</c:v>
                </c:pt>
                <c:pt idx="1900">
                  <c:v>44123</c:v>
                </c:pt>
                <c:pt idx="1901">
                  <c:v>44123</c:v>
                </c:pt>
                <c:pt idx="1902">
                  <c:v>44120</c:v>
                </c:pt>
                <c:pt idx="1903">
                  <c:v>44120</c:v>
                </c:pt>
                <c:pt idx="1904">
                  <c:v>44119</c:v>
                </c:pt>
                <c:pt idx="1905">
                  <c:v>44119</c:v>
                </c:pt>
                <c:pt idx="1906">
                  <c:v>44118</c:v>
                </c:pt>
                <c:pt idx="1907">
                  <c:v>44118</c:v>
                </c:pt>
                <c:pt idx="1908">
                  <c:v>44117</c:v>
                </c:pt>
                <c:pt idx="1909">
                  <c:v>44117</c:v>
                </c:pt>
                <c:pt idx="1910">
                  <c:v>44116</c:v>
                </c:pt>
                <c:pt idx="1911">
                  <c:v>44116</c:v>
                </c:pt>
                <c:pt idx="1912">
                  <c:v>44113</c:v>
                </c:pt>
                <c:pt idx="1913">
                  <c:v>44113</c:v>
                </c:pt>
                <c:pt idx="1914">
                  <c:v>44112</c:v>
                </c:pt>
                <c:pt idx="1915">
                  <c:v>44112</c:v>
                </c:pt>
                <c:pt idx="1916">
                  <c:v>44111</c:v>
                </c:pt>
                <c:pt idx="1917">
                  <c:v>44111</c:v>
                </c:pt>
                <c:pt idx="1918">
                  <c:v>44110</c:v>
                </c:pt>
                <c:pt idx="1919">
                  <c:v>44110</c:v>
                </c:pt>
                <c:pt idx="1920">
                  <c:v>44109</c:v>
                </c:pt>
                <c:pt idx="1921">
                  <c:v>44109</c:v>
                </c:pt>
                <c:pt idx="1922">
                  <c:v>44106</c:v>
                </c:pt>
                <c:pt idx="1923">
                  <c:v>44106</c:v>
                </c:pt>
                <c:pt idx="1924">
                  <c:v>44105</c:v>
                </c:pt>
                <c:pt idx="1925">
                  <c:v>44105</c:v>
                </c:pt>
                <c:pt idx="1926">
                  <c:v>44104</c:v>
                </c:pt>
                <c:pt idx="1927">
                  <c:v>44104</c:v>
                </c:pt>
                <c:pt idx="1928">
                  <c:v>44103</c:v>
                </c:pt>
                <c:pt idx="1929">
                  <c:v>44103</c:v>
                </c:pt>
                <c:pt idx="1930">
                  <c:v>44102</c:v>
                </c:pt>
                <c:pt idx="1931">
                  <c:v>44102</c:v>
                </c:pt>
                <c:pt idx="1932">
                  <c:v>44099</c:v>
                </c:pt>
                <c:pt idx="1933">
                  <c:v>44099</c:v>
                </c:pt>
                <c:pt idx="1934">
                  <c:v>44098</c:v>
                </c:pt>
                <c:pt idx="1935">
                  <c:v>44098</c:v>
                </c:pt>
                <c:pt idx="1936">
                  <c:v>44097</c:v>
                </c:pt>
                <c:pt idx="1937">
                  <c:v>44097</c:v>
                </c:pt>
                <c:pt idx="1938">
                  <c:v>44096</c:v>
                </c:pt>
                <c:pt idx="1939">
                  <c:v>44096</c:v>
                </c:pt>
                <c:pt idx="1940">
                  <c:v>44095</c:v>
                </c:pt>
                <c:pt idx="1941">
                  <c:v>44095</c:v>
                </c:pt>
                <c:pt idx="1942">
                  <c:v>44092</c:v>
                </c:pt>
                <c:pt idx="1943">
                  <c:v>44092</c:v>
                </c:pt>
                <c:pt idx="1944">
                  <c:v>44091</c:v>
                </c:pt>
                <c:pt idx="1945">
                  <c:v>44091</c:v>
                </c:pt>
                <c:pt idx="1946">
                  <c:v>44090</c:v>
                </c:pt>
                <c:pt idx="1947">
                  <c:v>44090</c:v>
                </c:pt>
                <c:pt idx="1948">
                  <c:v>44089</c:v>
                </c:pt>
                <c:pt idx="1949">
                  <c:v>44089</c:v>
                </c:pt>
                <c:pt idx="1950">
                  <c:v>44088</c:v>
                </c:pt>
                <c:pt idx="1951">
                  <c:v>44088</c:v>
                </c:pt>
                <c:pt idx="1952">
                  <c:v>44085</c:v>
                </c:pt>
                <c:pt idx="1953">
                  <c:v>44085</c:v>
                </c:pt>
                <c:pt idx="1954">
                  <c:v>44084</c:v>
                </c:pt>
                <c:pt idx="1955">
                  <c:v>44084</c:v>
                </c:pt>
                <c:pt idx="1956">
                  <c:v>44083</c:v>
                </c:pt>
                <c:pt idx="1957">
                  <c:v>44083</c:v>
                </c:pt>
                <c:pt idx="1958">
                  <c:v>44082</c:v>
                </c:pt>
                <c:pt idx="1959">
                  <c:v>44082</c:v>
                </c:pt>
                <c:pt idx="1960">
                  <c:v>44078</c:v>
                </c:pt>
                <c:pt idx="1961">
                  <c:v>44078</c:v>
                </c:pt>
                <c:pt idx="1962">
                  <c:v>44077</c:v>
                </c:pt>
                <c:pt idx="1963">
                  <c:v>44077</c:v>
                </c:pt>
                <c:pt idx="1964">
                  <c:v>44076</c:v>
                </c:pt>
                <c:pt idx="1965">
                  <c:v>44076</c:v>
                </c:pt>
                <c:pt idx="1966">
                  <c:v>44075</c:v>
                </c:pt>
                <c:pt idx="1967">
                  <c:v>44075</c:v>
                </c:pt>
                <c:pt idx="1968">
                  <c:v>44074</c:v>
                </c:pt>
                <c:pt idx="1969">
                  <c:v>44074</c:v>
                </c:pt>
                <c:pt idx="1970">
                  <c:v>44071</c:v>
                </c:pt>
                <c:pt idx="1971">
                  <c:v>44071</c:v>
                </c:pt>
                <c:pt idx="1972">
                  <c:v>44070</c:v>
                </c:pt>
                <c:pt idx="1973">
                  <c:v>44070</c:v>
                </c:pt>
                <c:pt idx="1974">
                  <c:v>44069</c:v>
                </c:pt>
                <c:pt idx="1975">
                  <c:v>44069</c:v>
                </c:pt>
                <c:pt idx="1976">
                  <c:v>44068</c:v>
                </c:pt>
                <c:pt idx="1977">
                  <c:v>44068</c:v>
                </c:pt>
                <c:pt idx="1978">
                  <c:v>44067</c:v>
                </c:pt>
                <c:pt idx="1979">
                  <c:v>44067</c:v>
                </c:pt>
                <c:pt idx="1980">
                  <c:v>44064</c:v>
                </c:pt>
                <c:pt idx="1981">
                  <c:v>44064</c:v>
                </c:pt>
                <c:pt idx="1982">
                  <c:v>44063</c:v>
                </c:pt>
                <c:pt idx="1983">
                  <c:v>44063</c:v>
                </c:pt>
                <c:pt idx="1984">
                  <c:v>44062</c:v>
                </c:pt>
                <c:pt idx="1985">
                  <c:v>44062</c:v>
                </c:pt>
                <c:pt idx="1986">
                  <c:v>44061</c:v>
                </c:pt>
                <c:pt idx="1987">
                  <c:v>44061</c:v>
                </c:pt>
                <c:pt idx="1988">
                  <c:v>44060</c:v>
                </c:pt>
                <c:pt idx="1989">
                  <c:v>44060</c:v>
                </c:pt>
                <c:pt idx="1990">
                  <c:v>44057</c:v>
                </c:pt>
                <c:pt idx="1991">
                  <c:v>44057</c:v>
                </c:pt>
                <c:pt idx="1992">
                  <c:v>44056</c:v>
                </c:pt>
                <c:pt idx="1993">
                  <c:v>44056</c:v>
                </c:pt>
                <c:pt idx="1994">
                  <c:v>44055</c:v>
                </c:pt>
                <c:pt idx="1995">
                  <c:v>44055</c:v>
                </c:pt>
                <c:pt idx="1996">
                  <c:v>44054</c:v>
                </c:pt>
                <c:pt idx="1997">
                  <c:v>44054</c:v>
                </c:pt>
                <c:pt idx="1998">
                  <c:v>44053</c:v>
                </c:pt>
                <c:pt idx="1999">
                  <c:v>44053</c:v>
                </c:pt>
                <c:pt idx="2000">
                  <c:v>44050</c:v>
                </c:pt>
                <c:pt idx="2001">
                  <c:v>44050</c:v>
                </c:pt>
                <c:pt idx="2002">
                  <c:v>44049</c:v>
                </c:pt>
                <c:pt idx="2003">
                  <c:v>44049</c:v>
                </c:pt>
                <c:pt idx="2004">
                  <c:v>44048</c:v>
                </c:pt>
                <c:pt idx="2005">
                  <c:v>44048</c:v>
                </c:pt>
                <c:pt idx="2006">
                  <c:v>44047</c:v>
                </c:pt>
                <c:pt idx="2007">
                  <c:v>44047</c:v>
                </c:pt>
                <c:pt idx="2008">
                  <c:v>44046</c:v>
                </c:pt>
                <c:pt idx="2009">
                  <c:v>44046</c:v>
                </c:pt>
                <c:pt idx="2010">
                  <c:v>44043</c:v>
                </c:pt>
                <c:pt idx="2011">
                  <c:v>44043</c:v>
                </c:pt>
                <c:pt idx="2012">
                  <c:v>44042</c:v>
                </c:pt>
                <c:pt idx="2013">
                  <c:v>44042</c:v>
                </c:pt>
                <c:pt idx="2014">
                  <c:v>44041</c:v>
                </c:pt>
                <c:pt idx="2015">
                  <c:v>44041</c:v>
                </c:pt>
                <c:pt idx="2016">
                  <c:v>44040</c:v>
                </c:pt>
                <c:pt idx="2017">
                  <c:v>44040</c:v>
                </c:pt>
                <c:pt idx="2018">
                  <c:v>44039</c:v>
                </c:pt>
                <c:pt idx="2019">
                  <c:v>44039</c:v>
                </c:pt>
                <c:pt idx="2020">
                  <c:v>44036</c:v>
                </c:pt>
                <c:pt idx="2021">
                  <c:v>44036</c:v>
                </c:pt>
                <c:pt idx="2022">
                  <c:v>44035</c:v>
                </c:pt>
                <c:pt idx="2023">
                  <c:v>44035</c:v>
                </c:pt>
                <c:pt idx="2024">
                  <c:v>44034</c:v>
                </c:pt>
                <c:pt idx="2025">
                  <c:v>44034</c:v>
                </c:pt>
                <c:pt idx="2026">
                  <c:v>44033</c:v>
                </c:pt>
                <c:pt idx="2027">
                  <c:v>44033</c:v>
                </c:pt>
                <c:pt idx="2028">
                  <c:v>44032</c:v>
                </c:pt>
                <c:pt idx="2029">
                  <c:v>44032</c:v>
                </c:pt>
                <c:pt idx="2030">
                  <c:v>44029</c:v>
                </c:pt>
                <c:pt idx="2031">
                  <c:v>44029</c:v>
                </c:pt>
                <c:pt idx="2032">
                  <c:v>44028</c:v>
                </c:pt>
                <c:pt idx="2033">
                  <c:v>44028</c:v>
                </c:pt>
                <c:pt idx="2034">
                  <c:v>44027</c:v>
                </c:pt>
                <c:pt idx="2035">
                  <c:v>44027</c:v>
                </c:pt>
                <c:pt idx="2036">
                  <c:v>44026</c:v>
                </c:pt>
                <c:pt idx="2037">
                  <c:v>44026</c:v>
                </c:pt>
                <c:pt idx="2038">
                  <c:v>44025</c:v>
                </c:pt>
                <c:pt idx="2039">
                  <c:v>44025</c:v>
                </c:pt>
                <c:pt idx="2040">
                  <c:v>44022</c:v>
                </c:pt>
                <c:pt idx="2041">
                  <c:v>44022</c:v>
                </c:pt>
                <c:pt idx="2042">
                  <c:v>44021</c:v>
                </c:pt>
                <c:pt idx="2043">
                  <c:v>44021</c:v>
                </c:pt>
                <c:pt idx="2044">
                  <c:v>44020</c:v>
                </c:pt>
                <c:pt idx="2045">
                  <c:v>44020</c:v>
                </c:pt>
                <c:pt idx="2046">
                  <c:v>44019</c:v>
                </c:pt>
                <c:pt idx="2047">
                  <c:v>44019</c:v>
                </c:pt>
                <c:pt idx="2048">
                  <c:v>44018</c:v>
                </c:pt>
                <c:pt idx="2049">
                  <c:v>44018</c:v>
                </c:pt>
                <c:pt idx="2050">
                  <c:v>44014</c:v>
                </c:pt>
                <c:pt idx="2051">
                  <c:v>44014</c:v>
                </c:pt>
                <c:pt idx="2052">
                  <c:v>44013</c:v>
                </c:pt>
                <c:pt idx="2053">
                  <c:v>44013</c:v>
                </c:pt>
                <c:pt idx="2054">
                  <c:v>44012</c:v>
                </c:pt>
                <c:pt idx="2055">
                  <c:v>44012</c:v>
                </c:pt>
                <c:pt idx="2056">
                  <c:v>44011</c:v>
                </c:pt>
                <c:pt idx="2057">
                  <c:v>44011</c:v>
                </c:pt>
                <c:pt idx="2058">
                  <c:v>44008</c:v>
                </c:pt>
                <c:pt idx="2059">
                  <c:v>44008</c:v>
                </c:pt>
                <c:pt idx="2060">
                  <c:v>44007</c:v>
                </c:pt>
                <c:pt idx="2061">
                  <c:v>44007</c:v>
                </c:pt>
                <c:pt idx="2062">
                  <c:v>44006</c:v>
                </c:pt>
                <c:pt idx="2063">
                  <c:v>44006</c:v>
                </c:pt>
                <c:pt idx="2064">
                  <c:v>44005</c:v>
                </c:pt>
                <c:pt idx="2065">
                  <c:v>44005</c:v>
                </c:pt>
                <c:pt idx="2066">
                  <c:v>44004</c:v>
                </c:pt>
                <c:pt idx="2067">
                  <c:v>44004</c:v>
                </c:pt>
                <c:pt idx="2068">
                  <c:v>44001</c:v>
                </c:pt>
                <c:pt idx="2069">
                  <c:v>44001</c:v>
                </c:pt>
                <c:pt idx="2070">
                  <c:v>44000</c:v>
                </c:pt>
                <c:pt idx="2071">
                  <c:v>44000</c:v>
                </c:pt>
                <c:pt idx="2072">
                  <c:v>43999</c:v>
                </c:pt>
                <c:pt idx="2073">
                  <c:v>43999</c:v>
                </c:pt>
                <c:pt idx="2074">
                  <c:v>43998</c:v>
                </c:pt>
                <c:pt idx="2075">
                  <c:v>43998</c:v>
                </c:pt>
                <c:pt idx="2076">
                  <c:v>43997</c:v>
                </c:pt>
                <c:pt idx="2077">
                  <c:v>43997</c:v>
                </c:pt>
                <c:pt idx="2078">
                  <c:v>43994</c:v>
                </c:pt>
                <c:pt idx="2079">
                  <c:v>43994</c:v>
                </c:pt>
                <c:pt idx="2080">
                  <c:v>43993</c:v>
                </c:pt>
                <c:pt idx="2081">
                  <c:v>43993</c:v>
                </c:pt>
                <c:pt idx="2082">
                  <c:v>43992</c:v>
                </c:pt>
                <c:pt idx="2083">
                  <c:v>43992</c:v>
                </c:pt>
                <c:pt idx="2084">
                  <c:v>43991</c:v>
                </c:pt>
                <c:pt idx="2085">
                  <c:v>43991</c:v>
                </c:pt>
                <c:pt idx="2086">
                  <c:v>43990</c:v>
                </c:pt>
                <c:pt idx="2087">
                  <c:v>43990</c:v>
                </c:pt>
                <c:pt idx="2088">
                  <c:v>43987</c:v>
                </c:pt>
                <c:pt idx="2089">
                  <c:v>43987</c:v>
                </c:pt>
                <c:pt idx="2090">
                  <c:v>43986</c:v>
                </c:pt>
                <c:pt idx="2091">
                  <c:v>43986</c:v>
                </c:pt>
                <c:pt idx="2092">
                  <c:v>43985</c:v>
                </c:pt>
                <c:pt idx="2093">
                  <c:v>43985</c:v>
                </c:pt>
                <c:pt idx="2094">
                  <c:v>43984</c:v>
                </c:pt>
                <c:pt idx="2095">
                  <c:v>43984</c:v>
                </c:pt>
                <c:pt idx="2096">
                  <c:v>43983</c:v>
                </c:pt>
                <c:pt idx="2097">
                  <c:v>43983</c:v>
                </c:pt>
                <c:pt idx="2098">
                  <c:v>43980</c:v>
                </c:pt>
                <c:pt idx="2099">
                  <c:v>43980</c:v>
                </c:pt>
                <c:pt idx="2100">
                  <c:v>43979</c:v>
                </c:pt>
                <c:pt idx="2101">
                  <c:v>43979</c:v>
                </c:pt>
                <c:pt idx="2102">
                  <c:v>43978</c:v>
                </c:pt>
                <c:pt idx="2103">
                  <c:v>43978</c:v>
                </c:pt>
                <c:pt idx="2104">
                  <c:v>43977</c:v>
                </c:pt>
                <c:pt idx="2105">
                  <c:v>43977</c:v>
                </c:pt>
                <c:pt idx="2106">
                  <c:v>43973</c:v>
                </c:pt>
                <c:pt idx="2107">
                  <c:v>43973</c:v>
                </c:pt>
                <c:pt idx="2108">
                  <c:v>43972</c:v>
                </c:pt>
                <c:pt idx="2109">
                  <c:v>43972</c:v>
                </c:pt>
                <c:pt idx="2110">
                  <c:v>43971</c:v>
                </c:pt>
                <c:pt idx="2111">
                  <c:v>43971</c:v>
                </c:pt>
                <c:pt idx="2112">
                  <c:v>43970</c:v>
                </c:pt>
                <c:pt idx="2113">
                  <c:v>43970</c:v>
                </c:pt>
                <c:pt idx="2114">
                  <c:v>43969</c:v>
                </c:pt>
                <c:pt idx="2115">
                  <c:v>43969</c:v>
                </c:pt>
                <c:pt idx="2116">
                  <c:v>43966</c:v>
                </c:pt>
                <c:pt idx="2117">
                  <c:v>43966</c:v>
                </c:pt>
                <c:pt idx="2118">
                  <c:v>43965</c:v>
                </c:pt>
                <c:pt idx="2119">
                  <c:v>43965</c:v>
                </c:pt>
                <c:pt idx="2120">
                  <c:v>43964</c:v>
                </c:pt>
                <c:pt idx="2121">
                  <c:v>43964</c:v>
                </c:pt>
                <c:pt idx="2122">
                  <c:v>43963</c:v>
                </c:pt>
                <c:pt idx="2123">
                  <c:v>43963</c:v>
                </c:pt>
                <c:pt idx="2124">
                  <c:v>43962</c:v>
                </c:pt>
                <c:pt idx="2125">
                  <c:v>43962</c:v>
                </c:pt>
                <c:pt idx="2126">
                  <c:v>43959</c:v>
                </c:pt>
                <c:pt idx="2127">
                  <c:v>43959</c:v>
                </c:pt>
                <c:pt idx="2128">
                  <c:v>43958</c:v>
                </c:pt>
                <c:pt idx="2129">
                  <c:v>43958</c:v>
                </c:pt>
                <c:pt idx="2130">
                  <c:v>43957</c:v>
                </c:pt>
                <c:pt idx="2131">
                  <c:v>43957</c:v>
                </c:pt>
                <c:pt idx="2132">
                  <c:v>43956</c:v>
                </c:pt>
                <c:pt idx="2133">
                  <c:v>43956</c:v>
                </c:pt>
                <c:pt idx="2134">
                  <c:v>43955</c:v>
                </c:pt>
                <c:pt idx="2135">
                  <c:v>43955</c:v>
                </c:pt>
                <c:pt idx="2136">
                  <c:v>43952</c:v>
                </c:pt>
                <c:pt idx="2137">
                  <c:v>43952</c:v>
                </c:pt>
                <c:pt idx="2138">
                  <c:v>43951</c:v>
                </c:pt>
                <c:pt idx="2139">
                  <c:v>43951</c:v>
                </c:pt>
                <c:pt idx="2140">
                  <c:v>43950</c:v>
                </c:pt>
                <c:pt idx="2141">
                  <c:v>43950</c:v>
                </c:pt>
                <c:pt idx="2142">
                  <c:v>43949</c:v>
                </c:pt>
                <c:pt idx="2143">
                  <c:v>43949</c:v>
                </c:pt>
                <c:pt idx="2144">
                  <c:v>43948</c:v>
                </c:pt>
                <c:pt idx="2145">
                  <c:v>43948</c:v>
                </c:pt>
                <c:pt idx="2146">
                  <c:v>43945</c:v>
                </c:pt>
                <c:pt idx="2147">
                  <c:v>43945</c:v>
                </c:pt>
                <c:pt idx="2148">
                  <c:v>43944</c:v>
                </c:pt>
                <c:pt idx="2149">
                  <c:v>43944</c:v>
                </c:pt>
                <c:pt idx="2150">
                  <c:v>43943</c:v>
                </c:pt>
                <c:pt idx="2151">
                  <c:v>43943</c:v>
                </c:pt>
                <c:pt idx="2152">
                  <c:v>43942</c:v>
                </c:pt>
                <c:pt idx="2153">
                  <c:v>43942</c:v>
                </c:pt>
                <c:pt idx="2154">
                  <c:v>43941</c:v>
                </c:pt>
                <c:pt idx="2155">
                  <c:v>43941</c:v>
                </c:pt>
                <c:pt idx="2156">
                  <c:v>43938</c:v>
                </c:pt>
                <c:pt idx="2157">
                  <c:v>43938</c:v>
                </c:pt>
                <c:pt idx="2158">
                  <c:v>43937</c:v>
                </c:pt>
                <c:pt idx="2159">
                  <c:v>43937</c:v>
                </c:pt>
                <c:pt idx="2160">
                  <c:v>43936</c:v>
                </c:pt>
                <c:pt idx="2161">
                  <c:v>43936</c:v>
                </c:pt>
                <c:pt idx="2162">
                  <c:v>43935</c:v>
                </c:pt>
                <c:pt idx="2163">
                  <c:v>43935</c:v>
                </c:pt>
                <c:pt idx="2164">
                  <c:v>43934</c:v>
                </c:pt>
                <c:pt idx="2165">
                  <c:v>43934</c:v>
                </c:pt>
                <c:pt idx="2166">
                  <c:v>43930</c:v>
                </c:pt>
                <c:pt idx="2167">
                  <c:v>43930</c:v>
                </c:pt>
                <c:pt idx="2168">
                  <c:v>43929</c:v>
                </c:pt>
                <c:pt idx="2169">
                  <c:v>43929</c:v>
                </c:pt>
                <c:pt idx="2170">
                  <c:v>43928</c:v>
                </c:pt>
                <c:pt idx="2171">
                  <c:v>43928</c:v>
                </c:pt>
                <c:pt idx="2172">
                  <c:v>43927</c:v>
                </c:pt>
                <c:pt idx="2173">
                  <c:v>43927</c:v>
                </c:pt>
                <c:pt idx="2174">
                  <c:v>43924</c:v>
                </c:pt>
                <c:pt idx="2175">
                  <c:v>43924</c:v>
                </c:pt>
                <c:pt idx="2176">
                  <c:v>43923</c:v>
                </c:pt>
                <c:pt idx="2177">
                  <c:v>43923</c:v>
                </c:pt>
                <c:pt idx="2178">
                  <c:v>43922</c:v>
                </c:pt>
                <c:pt idx="2179">
                  <c:v>43922</c:v>
                </c:pt>
                <c:pt idx="2180">
                  <c:v>43921</c:v>
                </c:pt>
                <c:pt idx="2181">
                  <c:v>43921</c:v>
                </c:pt>
                <c:pt idx="2182">
                  <c:v>43920</c:v>
                </c:pt>
                <c:pt idx="2183">
                  <c:v>43920</c:v>
                </c:pt>
                <c:pt idx="2184">
                  <c:v>43917</c:v>
                </c:pt>
                <c:pt idx="2185">
                  <c:v>43917</c:v>
                </c:pt>
                <c:pt idx="2186">
                  <c:v>43916</c:v>
                </c:pt>
                <c:pt idx="2187">
                  <c:v>43916</c:v>
                </c:pt>
                <c:pt idx="2188">
                  <c:v>43915</c:v>
                </c:pt>
                <c:pt idx="2189">
                  <c:v>43915</c:v>
                </c:pt>
                <c:pt idx="2190">
                  <c:v>43914</c:v>
                </c:pt>
                <c:pt idx="2191">
                  <c:v>43914</c:v>
                </c:pt>
                <c:pt idx="2192">
                  <c:v>43913</c:v>
                </c:pt>
                <c:pt idx="2193">
                  <c:v>43913</c:v>
                </c:pt>
                <c:pt idx="2194">
                  <c:v>43910</c:v>
                </c:pt>
                <c:pt idx="2195">
                  <c:v>43910</c:v>
                </c:pt>
                <c:pt idx="2196">
                  <c:v>43909</c:v>
                </c:pt>
                <c:pt idx="2197">
                  <c:v>43909</c:v>
                </c:pt>
                <c:pt idx="2198">
                  <c:v>43908</c:v>
                </c:pt>
                <c:pt idx="2199">
                  <c:v>43908</c:v>
                </c:pt>
                <c:pt idx="2200">
                  <c:v>43907</c:v>
                </c:pt>
                <c:pt idx="2201">
                  <c:v>43907</c:v>
                </c:pt>
                <c:pt idx="2202">
                  <c:v>43906</c:v>
                </c:pt>
                <c:pt idx="2203">
                  <c:v>43906</c:v>
                </c:pt>
                <c:pt idx="2204">
                  <c:v>43903</c:v>
                </c:pt>
                <c:pt idx="2205">
                  <c:v>43903</c:v>
                </c:pt>
                <c:pt idx="2206">
                  <c:v>43902</c:v>
                </c:pt>
                <c:pt idx="2207">
                  <c:v>43902</c:v>
                </c:pt>
                <c:pt idx="2208">
                  <c:v>43901</c:v>
                </c:pt>
                <c:pt idx="2209">
                  <c:v>43901</c:v>
                </c:pt>
                <c:pt idx="2210">
                  <c:v>43900</c:v>
                </c:pt>
                <c:pt idx="2211">
                  <c:v>43900</c:v>
                </c:pt>
                <c:pt idx="2212">
                  <c:v>43899</c:v>
                </c:pt>
                <c:pt idx="2213">
                  <c:v>43899</c:v>
                </c:pt>
                <c:pt idx="2214">
                  <c:v>43896</c:v>
                </c:pt>
                <c:pt idx="2215">
                  <c:v>43896</c:v>
                </c:pt>
                <c:pt idx="2216">
                  <c:v>43895</c:v>
                </c:pt>
                <c:pt idx="2217">
                  <c:v>43895</c:v>
                </c:pt>
                <c:pt idx="2218">
                  <c:v>43894</c:v>
                </c:pt>
                <c:pt idx="2219">
                  <c:v>43894</c:v>
                </c:pt>
                <c:pt idx="2220">
                  <c:v>43893</c:v>
                </c:pt>
                <c:pt idx="2221">
                  <c:v>43893</c:v>
                </c:pt>
                <c:pt idx="2222">
                  <c:v>43892</c:v>
                </c:pt>
                <c:pt idx="2223">
                  <c:v>43892</c:v>
                </c:pt>
                <c:pt idx="2224">
                  <c:v>43889</c:v>
                </c:pt>
                <c:pt idx="2225">
                  <c:v>43889</c:v>
                </c:pt>
                <c:pt idx="2226">
                  <c:v>43888</c:v>
                </c:pt>
                <c:pt idx="2227">
                  <c:v>43888</c:v>
                </c:pt>
                <c:pt idx="2228">
                  <c:v>43887</c:v>
                </c:pt>
                <c:pt idx="2229">
                  <c:v>43887</c:v>
                </c:pt>
                <c:pt idx="2230">
                  <c:v>43886</c:v>
                </c:pt>
                <c:pt idx="2231">
                  <c:v>43886</c:v>
                </c:pt>
                <c:pt idx="2232">
                  <c:v>43885</c:v>
                </c:pt>
                <c:pt idx="2233">
                  <c:v>43885</c:v>
                </c:pt>
                <c:pt idx="2234">
                  <c:v>43882</c:v>
                </c:pt>
                <c:pt idx="2235">
                  <c:v>43882</c:v>
                </c:pt>
                <c:pt idx="2236">
                  <c:v>43881</c:v>
                </c:pt>
                <c:pt idx="2237">
                  <c:v>43881</c:v>
                </c:pt>
                <c:pt idx="2238">
                  <c:v>43880</c:v>
                </c:pt>
                <c:pt idx="2239">
                  <c:v>43880</c:v>
                </c:pt>
                <c:pt idx="2240">
                  <c:v>43879</c:v>
                </c:pt>
                <c:pt idx="2241">
                  <c:v>43879</c:v>
                </c:pt>
                <c:pt idx="2242">
                  <c:v>43875</c:v>
                </c:pt>
                <c:pt idx="2243">
                  <c:v>43875</c:v>
                </c:pt>
                <c:pt idx="2244">
                  <c:v>43874</c:v>
                </c:pt>
                <c:pt idx="2245">
                  <c:v>43874</c:v>
                </c:pt>
                <c:pt idx="2246">
                  <c:v>43873</c:v>
                </c:pt>
                <c:pt idx="2247">
                  <c:v>43873</c:v>
                </c:pt>
                <c:pt idx="2248">
                  <c:v>43872</c:v>
                </c:pt>
                <c:pt idx="2249">
                  <c:v>43872</c:v>
                </c:pt>
                <c:pt idx="2250">
                  <c:v>43871</c:v>
                </c:pt>
                <c:pt idx="2251">
                  <c:v>43871</c:v>
                </c:pt>
                <c:pt idx="2252">
                  <c:v>43868</c:v>
                </c:pt>
                <c:pt idx="2253">
                  <c:v>43868</c:v>
                </c:pt>
                <c:pt idx="2254">
                  <c:v>43867</c:v>
                </c:pt>
                <c:pt idx="2255">
                  <c:v>43867</c:v>
                </c:pt>
                <c:pt idx="2256">
                  <c:v>43866</c:v>
                </c:pt>
                <c:pt idx="2257">
                  <c:v>43866</c:v>
                </c:pt>
                <c:pt idx="2258">
                  <c:v>43865</c:v>
                </c:pt>
                <c:pt idx="2259">
                  <c:v>43865</c:v>
                </c:pt>
                <c:pt idx="2260">
                  <c:v>43864</c:v>
                </c:pt>
                <c:pt idx="2261">
                  <c:v>43864</c:v>
                </c:pt>
                <c:pt idx="2262">
                  <c:v>43861</c:v>
                </c:pt>
                <c:pt idx="2263">
                  <c:v>43861</c:v>
                </c:pt>
                <c:pt idx="2264">
                  <c:v>43860</c:v>
                </c:pt>
                <c:pt idx="2265">
                  <c:v>43860</c:v>
                </c:pt>
                <c:pt idx="2266">
                  <c:v>43859</c:v>
                </c:pt>
                <c:pt idx="2267">
                  <c:v>43859</c:v>
                </c:pt>
                <c:pt idx="2268">
                  <c:v>43858</c:v>
                </c:pt>
                <c:pt idx="2269">
                  <c:v>43858</c:v>
                </c:pt>
                <c:pt idx="2270">
                  <c:v>43857</c:v>
                </c:pt>
                <c:pt idx="2271">
                  <c:v>43857</c:v>
                </c:pt>
                <c:pt idx="2272">
                  <c:v>43854</c:v>
                </c:pt>
                <c:pt idx="2273">
                  <c:v>43854</c:v>
                </c:pt>
                <c:pt idx="2274">
                  <c:v>43853</c:v>
                </c:pt>
                <c:pt idx="2275">
                  <c:v>43853</c:v>
                </c:pt>
                <c:pt idx="2276">
                  <c:v>43852</c:v>
                </c:pt>
                <c:pt idx="2277">
                  <c:v>43852</c:v>
                </c:pt>
                <c:pt idx="2278">
                  <c:v>43851</c:v>
                </c:pt>
                <c:pt idx="2279">
                  <c:v>43851</c:v>
                </c:pt>
                <c:pt idx="2280">
                  <c:v>43847</c:v>
                </c:pt>
                <c:pt idx="2281">
                  <c:v>43847</c:v>
                </c:pt>
                <c:pt idx="2282">
                  <c:v>43846</c:v>
                </c:pt>
                <c:pt idx="2283">
                  <c:v>43846</c:v>
                </c:pt>
                <c:pt idx="2284">
                  <c:v>43845</c:v>
                </c:pt>
                <c:pt idx="2285">
                  <c:v>43845</c:v>
                </c:pt>
                <c:pt idx="2286">
                  <c:v>43844</c:v>
                </c:pt>
                <c:pt idx="2287">
                  <c:v>43844</c:v>
                </c:pt>
                <c:pt idx="2288">
                  <c:v>43843</c:v>
                </c:pt>
                <c:pt idx="2289">
                  <c:v>43843</c:v>
                </c:pt>
                <c:pt idx="2290">
                  <c:v>43840</c:v>
                </c:pt>
                <c:pt idx="2291">
                  <c:v>43840</c:v>
                </c:pt>
                <c:pt idx="2292">
                  <c:v>43839</c:v>
                </c:pt>
                <c:pt idx="2293">
                  <c:v>43839</c:v>
                </c:pt>
                <c:pt idx="2294">
                  <c:v>43838</c:v>
                </c:pt>
                <c:pt idx="2295">
                  <c:v>43838</c:v>
                </c:pt>
                <c:pt idx="2296">
                  <c:v>43837</c:v>
                </c:pt>
                <c:pt idx="2297">
                  <c:v>43837</c:v>
                </c:pt>
                <c:pt idx="2298">
                  <c:v>43836</c:v>
                </c:pt>
                <c:pt idx="2299">
                  <c:v>43836</c:v>
                </c:pt>
                <c:pt idx="2300">
                  <c:v>43833</c:v>
                </c:pt>
                <c:pt idx="2301">
                  <c:v>43833</c:v>
                </c:pt>
                <c:pt idx="2302">
                  <c:v>43832</c:v>
                </c:pt>
                <c:pt idx="2303">
                  <c:v>43832</c:v>
                </c:pt>
                <c:pt idx="2304">
                  <c:v>43830</c:v>
                </c:pt>
                <c:pt idx="2305">
                  <c:v>43829</c:v>
                </c:pt>
                <c:pt idx="2306">
                  <c:v>43826</c:v>
                </c:pt>
                <c:pt idx="2307">
                  <c:v>43825</c:v>
                </c:pt>
                <c:pt idx="2308">
                  <c:v>43823</c:v>
                </c:pt>
                <c:pt idx="2309">
                  <c:v>43822</c:v>
                </c:pt>
                <c:pt idx="2310">
                  <c:v>43819</c:v>
                </c:pt>
                <c:pt idx="2311">
                  <c:v>43818</c:v>
                </c:pt>
                <c:pt idx="2312">
                  <c:v>43817</c:v>
                </c:pt>
                <c:pt idx="2313">
                  <c:v>43816</c:v>
                </c:pt>
                <c:pt idx="2314">
                  <c:v>43815</c:v>
                </c:pt>
                <c:pt idx="2315">
                  <c:v>43812</c:v>
                </c:pt>
                <c:pt idx="2316">
                  <c:v>43811</c:v>
                </c:pt>
                <c:pt idx="2317">
                  <c:v>43810</c:v>
                </c:pt>
                <c:pt idx="2318">
                  <c:v>43809</c:v>
                </c:pt>
                <c:pt idx="2319">
                  <c:v>43808</c:v>
                </c:pt>
                <c:pt idx="2320">
                  <c:v>43805</c:v>
                </c:pt>
                <c:pt idx="2321">
                  <c:v>43804</c:v>
                </c:pt>
                <c:pt idx="2322">
                  <c:v>43803</c:v>
                </c:pt>
                <c:pt idx="2323">
                  <c:v>43802</c:v>
                </c:pt>
                <c:pt idx="2324">
                  <c:v>43801</c:v>
                </c:pt>
                <c:pt idx="2325">
                  <c:v>43798</c:v>
                </c:pt>
                <c:pt idx="2326">
                  <c:v>43796</c:v>
                </c:pt>
                <c:pt idx="2327">
                  <c:v>43795</c:v>
                </c:pt>
                <c:pt idx="2328">
                  <c:v>43794</c:v>
                </c:pt>
                <c:pt idx="2329">
                  <c:v>43791</c:v>
                </c:pt>
                <c:pt idx="2330">
                  <c:v>43790</c:v>
                </c:pt>
                <c:pt idx="2331">
                  <c:v>43789</c:v>
                </c:pt>
                <c:pt idx="2332">
                  <c:v>43788</c:v>
                </c:pt>
                <c:pt idx="2333">
                  <c:v>43787</c:v>
                </c:pt>
                <c:pt idx="2334">
                  <c:v>43784</c:v>
                </c:pt>
                <c:pt idx="2335">
                  <c:v>43783</c:v>
                </c:pt>
                <c:pt idx="2336">
                  <c:v>43782</c:v>
                </c:pt>
                <c:pt idx="2337">
                  <c:v>43781</c:v>
                </c:pt>
                <c:pt idx="2338">
                  <c:v>43780</c:v>
                </c:pt>
                <c:pt idx="2339">
                  <c:v>43777</c:v>
                </c:pt>
                <c:pt idx="2340">
                  <c:v>43776</c:v>
                </c:pt>
                <c:pt idx="2341">
                  <c:v>43775</c:v>
                </c:pt>
                <c:pt idx="2342">
                  <c:v>43774</c:v>
                </c:pt>
                <c:pt idx="2343">
                  <c:v>43773</c:v>
                </c:pt>
                <c:pt idx="2344">
                  <c:v>43770</c:v>
                </c:pt>
                <c:pt idx="2345">
                  <c:v>43769</c:v>
                </c:pt>
                <c:pt idx="2346">
                  <c:v>43768</c:v>
                </c:pt>
                <c:pt idx="2347">
                  <c:v>43767</c:v>
                </c:pt>
                <c:pt idx="2348">
                  <c:v>43766</c:v>
                </c:pt>
                <c:pt idx="2349">
                  <c:v>43763</c:v>
                </c:pt>
                <c:pt idx="2350">
                  <c:v>43762</c:v>
                </c:pt>
                <c:pt idx="2351">
                  <c:v>43761</c:v>
                </c:pt>
                <c:pt idx="2352">
                  <c:v>43760</c:v>
                </c:pt>
                <c:pt idx="2353">
                  <c:v>43759</c:v>
                </c:pt>
                <c:pt idx="2354">
                  <c:v>43756</c:v>
                </c:pt>
                <c:pt idx="2355">
                  <c:v>43755</c:v>
                </c:pt>
                <c:pt idx="2356">
                  <c:v>43754</c:v>
                </c:pt>
                <c:pt idx="2357">
                  <c:v>43753</c:v>
                </c:pt>
                <c:pt idx="2358">
                  <c:v>43752</c:v>
                </c:pt>
                <c:pt idx="2359">
                  <c:v>43749</c:v>
                </c:pt>
                <c:pt idx="2360">
                  <c:v>43748</c:v>
                </c:pt>
                <c:pt idx="2361">
                  <c:v>43747</c:v>
                </c:pt>
                <c:pt idx="2362">
                  <c:v>43746</c:v>
                </c:pt>
                <c:pt idx="2363">
                  <c:v>43745</c:v>
                </c:pt>
                <c:pt idx="2364">
                  <c:v>43742</c:v>
                </c:pt>
                <c:pt idx="2365">
                  <c:v>43741</c:v>
                </c:pt>
                <c:pt idx="2366">
                  <c:v>43740</c:v>
                </c:pt>
                <c:pt idx="2367">
                  <c:v>43739</c:v>
                </c:pt>
                <c:pt idx="2368">
                  <c:v>43738</c:v>
                </c:pt>
                <c:pt idx="2369">
                  <c:v>43735</c:v>
                </c:pt>
                <c:pt idx="2370">
                  <c:v>43734</c:v>
                </c:pt>
                <c:pt idx="2371">
                  <c:v>43733</c:v>
                </c:pt>
                <c:pt idx="2372">
                  <c:v>43732</c:v>
                </c:pt>
                <c:pt idx="2373">
                  <c:v>43731</c:v>
                </c:pt>
                <c:pt idx="2374">
                  <c:v>43728</c:v>
                </c:pt>
                <c:pt idx="2375">
                  <c:v>43727</c:v>
                </c:pt>
                <c:pt idx="2376">
                  <c:v>43726</c:v>
                </c:pt>
                <c:pt idx="2377">
                  <c:v>43725</c:v>
                </c:pt>
                <c:pt idx="2378">
                  <c:v>43724</c:v>
                </c:pt>
                <c:pt idx="2379">
                  <c:v>43721</c:v>
                </c:pt>
                <c:pt idx="2380">
                  <c:v>43720</c:v>
                </c:pt>
                <c:pt idx="2381">
                  <c:v>43719</c:v>
                </c:pt>
                <c:pt idx="2382">
                  <c:v>43718</c:v>
                </c:pt>
                <c:pt idx="2383">
                  <c:v>43717</c:v>
                </c:pt>
                <c:pt idx="2384">
                  <c:v>43714</c:v>
                </c:pt>
                <c:pt idx="2385">
                  <c:v>43713</c:v>
                </c:pt>
                <c:pt idx="2386">
                  <c:v>43712</c:v>
                </c:pt>
                <c:pt idx="2387">
                  <c:v>43711</c:v>
                </c:pt>
                <c:pt idx="2388">
                  <c:v>43707</c:v>
                </c:pt>
                <c:pt idx="2389">
                  <c:v>43706</c:v>
                </c:pt>
                <c:pt idx="2390">
                  <c:v>43705</c:v>
                </c:pt>
                <c:pt idx="2391">
                  <c:v>43704</c:v>
                </c:pt>
                <c:pt idx="2392">
                  <c:v>43703</c:v>
                </c:pt>
                <c:pt idx="2393">
                  <c:v>43700</c:v>
                </c:pt>
                <c:pt idx="2394">
                  <c:v>43699</c:v>
                </c:pt>
                <c:pt idx="2395">
                  <c:v>43698</c:v>
                </c:pt>
                <c:pt idx="2396">
                  <c:v>43697</c:v>
                </c:pt>
                <c:pt idx="2397">
                  <c:v>43696</c:v>
                </c:pt>
                <c:pt idx="2398">
                  <c:v>43693</c:v>
                </c:pt>
                <c:pt idx="2399">
                  <c:v>43692</c:v>
                </c:pt>
                <c:pt idx="2400">
                  <c:v>43691</c:v>
                </c:pt>
                <c:pt idx="2401">
                  <c:v>43690</c:v>
                </c:pt>
                <c:pt idx="2402">
                  <c:v>43689</c:v>
                </c:pt>
                <c:pt idx="2403">
                  <c:v>43686</c:v>
                </c:pt>
                <c:pt idx="2404">
                  <c:v>43685</c:v>
                </c:pt>
                <c:pt idx="2405">
                  <c:v>43684</c:v>
                </c:pt>
                <c:pt idx="2406">
                  <c:v>43683</c:v>
                </c:pt>
                <c:pt idx="2407">
                  <c:v>43682</c:v>
                </c:pt>
                <c:pt idx="2408">
                  <c:v>43679</c:v>
                </c:pt>
                <c:pt idx="2409">
                  <c:v>43678</c:v>
                </c:pt>
                <c:pt idx="2410">
                  <c:v>43677</c:v>
                </c:pt>
                <c:pt idx="2411">
                  <c:v>43676</c:v>
                </c:pt>
                <c:pt idx="2412">
                  <c:v>43675</c:v>
                </c:pt>
                <c:pt idx="2413">
                  <c:v>43672</c:v>
                </c:pt>
                <c:pt idx="2414">
                  <c:v>43671</c:v>
                </c:pt>
                <c:pt idx="2415">
                  <c:v>43670</c:v>
                </c:pt>
                <c:pt idx="2416">
                  <c:v>43669</c:v>
                </c:pt>
                <c:pt idx="2417">
                  <c:v>43668</c:v>
                </c:pt>
                <c:pt idx="2418">
                  <c:v>43665</c:v>
                </c:pt>
                <c:pt idx="2419">
                  <c:v>43664</c:v>
                </c:pt>
                <c:pt idx="2420">
                  <c:v>43663</c:v>
                </c:pt>
                <c:pt idx="2421">
                  <c:v>43662</c:v>
                </c:pt>
                <c:pt idx="2422">
                  <c:v>43661</c:v>
                </c:pt>
                <c:pt idx="2423">
                  <c:v>43658</c:v>
                </c:pt>
                <c:pt idx="2424">
                  <c:v>43657</c:v>
                </c:pt>
                <c:pt idx="2425">
                  <c:v>43656</c:v>
                </c:pt>
                <c:pt idx="2426">
                  <c:v>43655</c:v>
                </c:pt>
                <c:pt idx="2427">
                  <c:v>43654</c:v>
                </c:pt>
                <c:pt idx="2428">
                  <c:v>43651</c:v>
                </c:pt>
                <c:pt idx="2429">
                  <c:v>43649</c:v>
                </c:pt>
                <c:pt idx="2430">
                  <c:v>43648</c:v>
                </c:pt>
                <c:pt idx="2431">
                  <c:v>43647</c:v>
                </c:pt>
                <c:pt idx="2432">
                  <c:v>43644</c:v>
                </c:pt>
                <c:pt idx="2433">
                  <c:v>43643</c:v>
                </c:pt>
                <c:pt idx="2434">
                  <c:v>43642</c:v>
                </c:pt>
                <c:pt idx="2435">
                  <c:v>43641</c:v>
                </c:pt>
                <c:pt idx="2436">
                  <c:v>43640</c:v>
                </c:pt>
                <c:pt idx="2437">
                  <c:v>43637</c:v>
                </c:pt>
                <c:pt idx="2438">
                  <c:v>43636</c:v>
                </c:pt>
                <c:pt idx="2439">
                  <c:v>43635</c:v>
                </c:pt>
                <c:pt idx="2440">
                  <c:v>43634</c:v>
                </c:pt>
                <c:pt idx="2441">
                  <c:v>43633</c:v>
                </c:pt>
                <c:pt idx="2442">
                  <c:v>43630</c:v>
                </c:pt>
                <c:pt idx="2443">
                  <c:v>43629</c:v>
                </c:pt>
                <c:pt idx="2444">
                  <c:v>43628</c:v>
                </c:pt>
                <c:pt idx="2445">
                  <c:v>43627</c:v>
                </c:pt>
                <c:pt idx="2446">
                  <c:v>43626</c:v>
                </c:pt>
                <c:pt idx="2447">
                  <c:v>43623</c:v>
                </c:pt>
                <c:pt idx="2448">
                  <c:v>43622</c:v>
                </c:pt>
                <c:pt idx="2449">
                  <c:v>43621</c:v>
                </c:pt>
                <c:pt idx="2450">
                  <c:v>43620</c:v>
                </c:pt>
                <c:pt idx="2451">
                  <c:v>43619</c:v>
                </c:pt>
                <c:pt idx="2452">
                  <c:v>43616</c:v>
                </c:pt>
                <c:pt idx="2453">
                  <c:v>43615</c:v>
                </c:pt>
                <c:pt idx="2454">
                  <c:v>43614</c:v>
                </c:pt>
                <c:pt idx="2455">
                  <c:v>43613</c:v>
                </c:pt>
                <c:pt idx="2456">
                  <c:v>43609</c:v>
                </c:pt>
                <c:pt idx="2457">
                  <c:v>43608</c:v>
                </c:pt>
                <c:pt idx="2458">
                  <c:v>43607</c:v>
                </c:pt>
                <c:pt idx="2459">
                  <c:v>43606</c:v>
                </c:pt>
                <c:pt idx="2460">
                  <c:v>43605</c:v>
                </c:pt>
                <c:pt idx="2461">
                  <c:v>43602</c:v>
                </c:pt>
                <c:pt idx="2462">
                  <c:v>43601</c:v>
                </c:pt>
                <c:pt idx="2463">
                  <c:v>43600</c:v>
                </c:pt>
                <c:pt idx="2464">
                  <c:v>43599</c:v>
                </c:pt>
                <c:pt idx="2465">
                  <c:v>43598</c:v>
                </c:pt>
                <c:pt idx="2466">
                  <c:v>43595</c:v>
                </c:pt>
                <c:pt idx="2467">
                  <c:v>43594</c:v>
                </c:pt>
                <c:pt idx="2468">
                  <c:v>43593</c:v>
                </c:pt>
                <c:pt idx="2469">
                  <c:v>43592</c:v>
                </c:pt>
                <c:pt idx="2470">
                  <c:v>43591</c:v>
                </c:pt>
                <c:pt idx="2471">
                  <c:v>43588</c:v>
                </c:pt>
                <c:pt idx="2472">
                  <c:v>43587</c:v>
                </c:pt>
                <c:pt idx="2473">
                  <c:v>43586</c:v>
                </c:pt>
                <c:pt idx="2474">
                  <c:v>43585</c:v>
                </c:pt>
                <c:pt idx="2475">
                  <c:v>43584</c:v>
                </c:pt>
                <c:pt idx="2476">
                  <c:v>43581</c:v>
                </c:pt>
                <c:pt idx="2477">
                  <c:v>43580</c:v>
                </c:pt>
                <c:pt idx="2478">
                  <c:v>43579</c:v>
                </c:pt>
                <c:pt idx="2479">
                  <c:v>43578</c:v>
                </c:pt>
                <c:pt idx="2480">
                  <c:v>43577</c:v>
                </c:pt>
                <c:pt idx="2481">
                  <c:v>43573</c:v>
                </c:pt>
                <c:pt idx="2482">
                  <c:v>43572</c:v>
                </c:pt>
                <c:pt idx="2483">
                  <c:v>43571</c:v>
                </c:pt>
                <c:pt idx="2484">
                  <c:v>43570</c:v>
                </c:pt>
                <c:pt idx="2485">
                  <c:v>43567</c:v>
                </c:pt>
                <c:pt idx="2486">
                  <c:v>43566</c:v>
                </c:pt>
                <c:pt idx="2487">
                  <c:v>43565</c:v>
                </c:pt>
                <c:pt idx="2488">
                  <c:v>43564</c:v>
                </c:pt>
                <c:pt idx="2489">
                  <c:v>43563</c:v>
                </c:pt>
                <c:pt idx="2490">
                  <c:v>43560</c:v>
                </c:pt>
                <c:pt idx="2491">
                  <c:v>43559</c:v>
                </c:pt>
                <c:pt idx="2492">
                  <c:v>43558</c:v>
                </c:pt>
                <c:pt idx="2493">
                  <c:v>43557</c:v>
                </c:pt>
                <c:pt idx="2494">
                  <c:v>43556</c:v>
                </c:pt>
                <c:pt idx="2495">
                  <c:v>43553</c:v>
                </c:pt>
                <c:pt idx="2496">
                  <c:v>43552</c:v>
                </c:pt>
                <c:pt idx="2497">
                  <c:v>43551</c:v>
                </c:pt>
                <c:pt idx="2498">
                  <c:v>43550</c:v>
                </c:pt>
                <c:pt idx="2499">
                  <c:v>43549</c:v>
                </c:pt>
                <c:pt idx="2500">
                  <c:v>43546</c:v>
                </c:pt>
                <c:pt idx="2501">
                  <c:v>43545</c:v>
                </c:pt>
                <c:pt idx="2502">
                  <c:v>43544</c:v>
                </c:pt>
                <c:pt idx="2503">
                  <c:v>43543</c:v>
                </c:pt>
                <c:pt idx="2504">
                  <c:v>43542</c:v>
                </c:pt>
                <c:pt idx="2505">
                  <c:v>43539</c:v>
                </c:pt>
                <c:pt idx="2506">
                  <c:v>43538</c:v>
                </c:pt>
                <c:pt idx="2507">
                  <c:v>43537</c:v>
                </c:pt>
                <c:pt idx="2508">
                  <c:v>43536</c:v>
                </c:pt>
                <c:pt idx="2509">
                  <c:v>43535</c:v>
                </c:pt>
                <c:pt idx="2510">
                  <c:v>43532</c:v>
                </c:pt>
                <c:pt idx="2511">
                  <c:v>43531</c:v>
                </c:pt>
                <c:pt idx="2512">
                  <c:v>43530</c:v>
                </c:pt>
                <c:pt idx="2513">
                  <c:v>43529</c:v>
                </c:pt>
                <c:pt idx="2514">
                  <c:v>43528</c:v>
                </c:pt>
                <c:pt idx="2515">
                  <c:v>43525</c:v>
                </c:pt>
                <c:pt idx="2516">
                  <c:v>43524</c:v>
                </c:pt>
                <c:pt idx="2517">
                  <c:v>43523</c:v>
                </c:pt>
                <c:pt idx="2518">
                  <c:v>43522</c:v>
                </c:pt>
                <c:pt idx="2519">
                  <c:v>43521</c:v>
                </c:pt>
                <c:pt idx="2520">
                  <c:v>43518</c:v>
                </c:pt>
                <c:pt idx="2521">
                  <c:v>43517</c:v>
                </c:pt>
                <c:pt idx="2522">
                  <c:v>43516</c:v>
                </c:pt>
                <c:pt idx="2523">
                  <c:v>43515</c:v>
                </c:pt>
                <c:pt idx="2524">
                  <c:v>43511</c:v>
                </c:pt>
                <c:pt idx="2525">
                  <c:v>43510</c:v>
                </c:pt>
                <c:pt idx="2526">
                  <c:v>43509</c:v>
                </c:pt>
                <c:pt idx="2527">
                  <c:v>43508</c:v>
                </c:pt>
                <c:pt idx="2528">
                  <c:v>43507</c:v>
                </c:pt>
                <c:pt idx="2529">
                  <c:v>43504</c:v>
                </c:pt>
                <c:pt idx="2530">
                  <c:v>43503</c:v>
                </c:pt>
                <c:pt idx="2531">
                  <c:v>43502</c:v>
                </c:pt>
                <c:pt idx="2532">
                  <c:v>43501</c:v>
                </c:pt>
                <c:pt idx="2533">
                  <c:v>43500</c:v>
                </c:pt>
                <c:pt idx="2534">
                  <c:v>43497</c:v>
                </c:pt>
                <c:pt idx="2535">
                  <c:v>43496</c:v>
                </c:pt>
                <c:pt idx="2536">
                  <c:v>43495</c:v>
                </c:pt>
                <c:pt idx="2537">
                  <c:v>43494</c:v>
                </c:pt>
                <c:pt idx="2538">
                  <c:v>43493</c:v>
                </c:pt>
                <c:pt idx="2539">
                  <c:v>43490</c:v>
                </c:pt>
                <c:pt idx="2540">
                  <c:v>43489</c:v>
                </c:pt>
                <c:pt idx="2541">
                  <c:v>43488</c:v>
                </c:pt>
                <c:pt idx="2542">
                  <c:v>43487</c:v>
                </c:pt>
                <c:pt idx="2543">
                  <c:v>43483</c:v>
                </c:pt>
                <c:pt idx="2544">
                  <c:v>43482</c:v>
                </c:pt>
                <c:pt idx="2545">
                  <c:v>43481</c:v>
                </c:pt>
                <c:pt idx="2546">
                  <c:v>43480</c:v>
                </c:pt>
                <c:pt idx="2547">
                  <c:v>43479</c:v>
                </c:pt>
                <c:pt idx="2548">
                  <c:v>43476</c:v>
                </c:pt>
                <c:pt idx="2549">
                  <c:v>43475</c:v>
                </c:pt>
                <c:pt idx="2550">
                  <c:v>43474</c:v>
                </c:pt>
                <c:pt idx="2551">
                  <c:v>43473</c:v>
                </c:pt>
                <c:pt idx="2552">
                  <c:v>43472</c:v>
                </c:pt>
                <c:pt idx="2553">
                  <c:v>43469</c:v>
                </c:pt>
                <c:pt idx="2554">
                  <c:v>43468</c:v>
                </c:pt>
                <c:pt idx="2555">
                  <c:v>43467</c:v>
                </c:pt>
                <c:pt idx="2556">
                  <c:v>43465</c:v>
                </c:pt>
                <c:pt idx="2557">
                  <c:v>43462</c:v>
                </c:pt>
                <c:pt idx="2558">
                  <c:v>43461</c:v>
                </c:pt>
                <c:pt idx="2559">
                  <c:v>43460</c:v>
                </c:pt>
                <c:pt idx="2560">
                  <c:v>43458</c:v>
                </c:pt>
                <c:pt idx="2561">
                  <c:v>43455</c:v>
                </c:pt>
                <c:pt idx="2562">
                  <c:v>43454</c:v>
                </c:pt>
                <c:pt idx="2563">
                  <c:v>43453</c:v>
                </c:pt>
                <c:pt idx="2564">
                  <c:v>43452</c:v>
                </c:pt>
                <c:pt idx="2565">
                  <c:v>43451</c:v>
                </c:pt>
                <c:pt idx="2566">
                  <c:v>43448</c:v>
                </c:pt>
                <c:pt idx="2567">
                  <c:v>43447</c:v>
                </c:pt>
                <c:pt idx="2568">
                  <c:v>43446</c:v>
                </c:pt>
                <c:pt idx="2569">
                  <c:v>43445</c:v>
                </c:pt>
                <c:pt idx="2570">
                  <c:v>43444</c:v>
                </c:pt>
                <c:pt idx="2571">
                  <c:v>43441</c:v>
                </c:pt>
                <c:pt idx="2572">
                  <c:v>43440</c:v>
                </c:pt>
                <c:pt idx="2573">
                  <c:v>43438</c:v>
                </c:pt>
                <c:pt idx="2574">
                  <c:v>43437</c:v>
                </c:pt>
                <c:pt idx="2575">
                  <c:v>43434</c:v>
                </c:pt>
                <c:pt idx="2576">
                  <c:v>43433</c:v>
                </c:pt>
                <c:pt idx="2577">
                  <c:v>43432</c:v>
                </c:pt>
                <c:pt idx="2578">
                  <c:v>43431</c:v>
                </c:pt>
                <c:pt idx="2579">
                  <c:v>43430</c:v>
                </c:pt>
                <c:pt idx="2580">
                  <c:v>43427</c:v>
                </c:pt>
                <c:pt idx="2581">
                  <c:v>43425</c:v>
                </c:pt>
                <c:pt idx="2582">
                  <c:v>43424</c:v>
                </c:pt>
                <c:pt idx="2583">
                  <c:v>43423</c:v>
                </c:pt>
                <c:pt idx="2584">
                  <c:v>43420</c:v>
                </c:pt>
                <c:pt idx="2585">
                  <c:v>43419</c:v>
                </c:pt>
                <c:pt idx="2586">
                  <c:v>43418</c:v>
                </c:pt>
                <c:pt idx="2587">
                  <c:v>43417</c:v>
                </c:pt>
                <c:pt idx="2588">
                  <c:v>43416</c:v>
                </c:pt>
                <c:pt idx="2589">
                  <c:v>43413</c:v>
                </c:pt>
                <c:pt idx="2590">
                  <c:v>43412</c:v>
                </c:pt>
                <c:pt idx="2591">
                  <c:v>43411</c:v>
                </c:pt>
                <c:pt idx="2592">
                  <c:v>43410</c:v>
                </c:pt>
                <c:pt idx="2593">
                  <c:v>43409</c:v>
                </c:pt>
                <c:pt idx="2594">
                  <c:v>43406</c:v>
                </c:pt>
                <c:pt idx="2595">
                  <c:v>43405</c:v>
                </c:pt>
                <c:pt idx="2596">
                  <c:v>43404</c:v>
                </c:pt>
                <c:pt idx="2597">
                  <c:v>43403</c:v>
                </c:pt>
                <c:pt idx="2598">
                  <c:v>43402</c:v>
                </c:pt>
                <c:pt idx="2599">
                  <c:v>43399</c:v>
                </c:pt>
                <c:pt idx="2600">
                  <c:v>43398</c:v>
                </c:pt>
                <c:pt idx="2601">
                  <c:v>43397</c:v>
                </c:pt>
                <c:pt idx="2602">
                  <c:v>43396</c:v>
                </c:pt>
                <c:pt idx="2603">
                  <c:v>43395</c:v>
                </c:pt>
                <c:pt idx="2604">
                  <c:v>43392</c:v>
                </c:pt>
                <c:pt idx="2605">
                  <c:v>43391</c:v>
                </c:pt>
                <c:pt idx="2606">
                  <c:v>43390</c:v>
                </c:pt>
                <c:pt idx="2607">
                  <c:v>43389</c:v>
                </c:pt>
                <c:pt idx="2608">
                  <c:v>43388</c:v>
                </c:pt>
                <c:pt idx="2609">
                  <c:v>43385</c:v>
                </c:pt>
                <c:pt idx="2610">
                  <c:v>43384</c:v>
                </c:pt>
                <c:pt idx="2611">
                  <c:v>43383</c:v>
                </c:pt>
                <c:pt idx="2612">
                  <c:v>43382</c:v>
                </c:pt>
                <c:pt idx="2613">
                  <c:v>43381</c:v>
                </c:pt>
                <c:pt idx="2614">
                  <c:v>43378</c:v>
                </c:pt>
                <c:pt idx="2615">
                  <c:v>43377</c:v>
                </c:pt>
                <c:pt idx="2616">
                  <c:v>43376</c:v>
                </c:pt>
                <c:pt idx="2617">
                  <c:v>43375</c:v>
                </c:pt>
                <c:pt idx="2618">
                  <c:v>43374</c:v>
                </c:pt>
                <c:pt idx="2619">
                  <c:v>43371</c:v>
                </c:pt>
                <c:pt idx="2620">
                  <c:v>43370</c:v>
                </c:pt>
                <c:pt idx="2621">
                  <c:v>43369</c:v>
                </c:pt>
                <c:pt idx="2622">
                  <c:v>43368</c:v>
                </c:pt>
                <c:pt idx="2623">
                  <c:v>43367</c:v>
                </c:pt>
                <c:pt idx="2624">
                  <c:v>43364</c:v>
                </c:pt>
                <c:pt idx="2625">
                  <c:v>43363</c:v>
                </c:pt>
                <c:pt idx="2626">
                  <c:v>43362</c:v>
                </c:pt>
                <c:pt idx="2627">
                  <c:v>43361</c:v>
                </c:pt>
                <c:pt idx="2628">
                  <c:v>43360</c:v>
                </c:pt>
                <c:pt idx="2629">
                  <c:v>43357</c:v>
                </c:pt>
                <c:pt idx="2630">
                  <c:v>43356</c:v>
                </c:pt>
                <c:pt idx="2631">
                  <c:v>43355</c:v>
                </c:pt>
                <c:pt idx="2632">
                  <c:v>43354</c:v>
                </c:pt>
                <c:pt idx="2633">
                  <c:v>43353</c:v>
                </c:pt>
                <c:pt idx="2634">
                  <c:v>43350</c:v>
                </c:pt>
                <c:pt idx="2635">
                  <c:v>43349</c:v>
                </c:pt>
                <c:pt idx="2636">
                  <c:v>43348</c:v>
                </c:pt>
                <c:pt idx="2637">
                  <c:v>43347</c:v>
                </c:pt>
                <c:pt idx="2638">
                  <c:v>43343</c:v>
                </c:pt>
                <c:pt idx="2639">
                  <c:v>43342</c:v>
                </c:pt>
                <c:pt idx="2640">
                  <c:v>43341</c:v>
                </c:pt>
                <c:pt idx="2641">
                  <c:v>43340</c:v>
                </c:pt>
                <c:pt idx="2642">
                  <c:v>43339</c:v>
                </c:pt>
                <c:pt idx="2643">
                  <c:v>43336</c:v>
                </c:pt>
                <c:pt idx="2644">
                  <c:v>43335</c:v>
                </c:pt>
                <c:pt idx="2645">
                  <c:v>43334</c:v>
                </c:pt>
                <c:pt idx="2646">
                  <c:v>43333</c:v>
                </c:pt>
                <c:pt idx="2647">
                  <c:v>43332</c:v>
                </c:pt>
                <c:pt idx="2648">
                  <c:v>43329</c:v>
                </c:pt>
                <c:pt idx="2649">
                  <c:v>43328</c:v>
                </c:pt>
                <c:pt idx="2650">
                  <c:v>43327</c:v>
                </c:pt>
                <c:pt idx="2651">
                  <c:v>43326</c:v>
                </c:pt>
                <c:pt idx="2652">
                  <c:v>43325</c:v>
                </c:pt>
                <c:pt idx="2653">
                  <c:v>43322</c:v>
                </c:pt>
                <c:pt idx="2654">
                  <c:v>43321</c:v>
                </c:pt>
                <c:pt idx="2655">
                  <c:v>43320</c:v>
                </c:pt>
                <c:pt idx="2656">
                  <c:v>43319</c:v>
                </c:pt>
                <c:pt idx="2657">
                  <c:v>43318</c:v>
                </c:pt>
                <c:pt idx="2658">
                  <c:v>43315</c:v>
                </c:pt>
                <c:pt idx="2659">
                  <c:v>43314</c:v>
                </c:pt>
                <c:pt idx="2660">
                  <c:v>43313</c:v>
                </c:pt>
                <c:pt idx="2661">
                  <c:v>43312</c:v>
                </c:pt>
                <c:pt idx="2662">
                  <c:v>43311</c:v>
                </c:pt>
                <c:pt idx="2663">
                  <c:v>43308</c:v>
                </c:pt>
                <c:pt idx="2664">
                  <c:v>43307</c:v>
                </c:pt>
                <c:pt idx="2665">
                  <c:v>43306</c:v>
                </c:pt>
                <c:pt idx="2666">
                  <c:v>43305</c:v>
                </c:pt>
                <c:pt idx="2667">
                  <c:v>43304</c:v>
                </c:pt>
                <c:pt idx="2668">
                  <c:v>43301</c:v>
                </c:pt>
                <c:pt idx="2669">
                  <c:v>43300</c:v>
                </c:pt>
                <c:pt idx="2670">
                  <c:v>43299</c:v>
                </c:pt>
                <c:pt idx="2671">
                  <c:v>43298</c:v>
                </c:pt>
                <c:pt idx="2672">
                  <c:v>43297</c:v>
                </c:pt>
                <c:pt idx="2673">
                  <c:v>43294</c:v>
                </c:pt>
                <c:pt idx="2674">
                  <c:v>43293</c:v>
                </c:pt>
                <c:pt idx="2675">
                  <c:v>43292</c:v>
                </c:pt>
                <c:pt idx="2676">
                  <c:v>43291</c:v>
                </c:pt>
                <c:pt idx="2677">
                  <c:v>43290</c:v>
                </c:pt>
                <c:pt idx="2678">
                  <c:v>43287</c:v>
                </c:pt>
                <c:pt idx="2679">
                  <c:v>43286</c:v>
                </c:pt>
                <c:pt idx="2680">
                  <c:v>43284</c:v>
                </c:pt>
                <c:pt idx="2681">
                  <c:v>43283</c:v>
                </c:pt>
                <c:pt idx="2682">
                  <c:v>43280</c:v>
                </c:pt>
                <c:pt idx="2683">
                  <c:v>43279</c:v>
                </c:pt>
                <c:pt idx="2684">
                  <c:v>43278</c:v>
                </c:pt>
                <c:pt idx="2685">
                  <c:v>43277</c:v>
                </c:pt>
                <c:pt idx="2686">
                  <c:v>43276</c:v>
                </c:pt>
                <c:pt idx="2687">
                  <c:v>43273</c:v>
                </c:pt>
                <c:pt idx="2688">
                  <c:v>43272</c:v>
                </c:pt>
                <c:pt idx="2689">
                  <c:v>43271</c:v>
                </c:pt>
                <c:pt idx="2690">
                  <c:v>43270</c:v>
                </c:pt>
                <c:pt idx="2691">
                  <c:v>43269</c:v>
                </c:pt>
                <c:pt idx="2692">
                  <c:v>43266</c:v>
                </c:pt>
                <c:pt idx="2693">
                  <c:v>43265</c:v>
                </c:pt>
                <c:pt idx="2694">
                  <c:v>43264</c:v>
                </c:pt>
                <c:pt idx="2695">
                  <c:v>43263</c:v>
                </c:pt>
                <c:pt idx="2696">
                  <c:v>43262</c:v>
                </c:pt>
                <c:pt idx="2697">
                  <c:v>43259</c:v>
                </c:pt>
                <c:pt idx="2698">
                  <c:v>43258</c:v>
                </c:pt>
                <c:pt idx="2699">
                  <c:v>43257</c:v>
                </c:pt>
                <c:pt idx="2700">
                  <c:v>43256</c:v>
                </c:pt>
                <c:pt idx="2701">
                  <c:v>43255</c:v>
                </c:pt>
                <c:pt idx="2702">
                  <c:v>43252</c:v>
                </c:pt>
                <c:pt idx="2703">
                  <c:v>43251</c:v>
                </c:pt>
                <c:pt idx="2704">
                  <c:v>43250</c:v>
                </c:pt>
                <c:pt idx="2705">
                  <c:v>43249</c:v>
                </c:pt>
                <c:pt idx="2706">
                  <c:v>43245</c:v>
                </c:pt>
                <c:pt idx="2707">
                  <c:v>43244</c:v>
                </c:pt>
                <c:pt idx="2708">
                  <c:v>43243</c:v>
                </c:pt>
                <c:pt idx="2709">
                  <c:v>43242</c:v>
                </c:pt>
                <c:pt idx="2710">
                  <c:v>43241</c:v>
                </c:pt>
                <c:pt idx="2711">
                  <c:v>43238</c:v>
                </c:pt>
                <c:pt idx="2712">
                  <c:v>43237</c:v>
                </c:pt>
                <c:pt idx="2713">
                  <c:v>43236</c:v>
                </c:pt>
                <c:pt idx="2714">
                  <c:v>43235</c:v>
                </c:pt>
                <c:pt idx="2715">
                  <c:v>43234</c:v>
                </c:pt>
                <c:pt idx="2716">
                  <c:v>43231</c:v>
                </c:pt>
                <c:pt idx="2717">
                  <c:v>43230</c:v>
                </c:pt>
                <c:pt idx="2718">
                  <c:v>43229</c:v>
                </c:pt>
                <c:pt idx="2719">
                  <c:v>43228</c:v>
                </c:pt>
                <c:pt idx="2720">
                  <c:v>43227</c:v>
                </c:pt>
                <c:pt idx="2721">
                  <c:v>43224</c:v>
                </c:pt>
                <c:pt idx="2722">
                  <c:v>43223</c:v>
                </c:pt>
                <c:pt idx="2723">
                  <c:v>43222</c:v>
                </c:pt>
                <c:pt idx="2724">
                  <c:v>43221</c:v>
                </c:pt>
                <c:pt idx="2725">
                  <c:v>43220</c:v>
                </c:pt>
                <c:pt idx="2726">
                  <c:v>43217</c:v>
                </c:pt>
                <c:pt idx="2727">
                  <c:v>43216</c:v>
                </c:pt>
                <c:pt idx="2728">
                  <c:v>43215</c:v>
                </c:pt>
                <c:pt idx="2729">
                  <c:v>43214</c:v>
                </c:pt>
                <c:pt idx="2730">
                  <c:v>43213</c:v>
                </c:pt>
                <c:pt idx="2731">
                  <c:v>43210</c:v>
                </c:pt>
                <c:pt idx="2732">
                  <c:v>43209</c:v>
                </c:pt>
                <c:pt idx="2733">
                  <c:v>43208</c:v>
                </c:pt>
                <c:pt idx="2734">
                  <c:v>43207</c:v>
                </c:pt>
                <c:pt idx="2735">
                  <c:v>43206</c:v>
                </c:pt>
                <c:pt idx="2736">
                  <c:v>43203</c:v>
                </c:pt>
                <c:pt idx="2737">
                  <c:v>43202</c:v>
                </c:pt>
                <c:pt idx="2738">
                  <c:v>43201</c:v>
                </c:pt>
                <c:pt idx="2739">
                  <c:v>43200</c:v>
                </c:pt>
                <c:pt idx="2740">
                  <c:v>43199</c:v>
                </c:pt>
                <c:pt idx="2741">
                  <c:v>43196</c:v>
                </c:pt>
                <c:pt idx="2742">
                  <c:v>43195</c:v>
                </c:pt>
                <c:pt idx="2743">
                  <c:v>43194</c:v>
                </c:pt>
                <c:pt idx="2744">
                  <c:v>43193</c:v>
                </c:pt>
                <c:pt idx="2745">
                  <c:v>43192</c:v>
                </c:pt>
                <c:pt idx="2746">
                  <c:v>43188</c:v>
                </c:pt>
                <c:pt idx="2747">
                  <c:v>43187</c:v>
                </c:pt>
                <c:pt idx="2748">
                  <c:v>43186</c:v>
                </c:pt>
                <c:pt idx="2749">
                  <c:v>43185</c:v>
                </c:pt>
                <c:pt idx="2750">
                  <c:v>43182</c:v>
                </c:pt>
                <c:pt idx="2751">
                  <c:v>43181</c:v>
                </c:pt>
                <c:pt idx="2752">
                  <c:v>43180</c:v>
                </c:pt>
                <c:pt idx="2753">
                  <c:v>43179</c:v>
                </c:pt>
                <c:pt idx="2754">
                  <c:v>43178</c:v>
                </c:pt>
                <c:pt idx="2755">
                  <c:v>43175</c:v>
                </c:pt>
                <c:pt idx="2756">
                  <c:v>43174</c:v>
                </c:pt>
                <c:pt idx="2757">
                  <c:v>43173</c:v>
                </c:pt>
                <c:pt idx="2758">
                  <c:v>43172</c:v>
                </c:pt>
                <c:pt idx="2759">
                  <c:v>43171</c:v>
                </c:pt>
                <c:pt idx="2760">
                  <c:v>43168</c:v>
                </c:pt>
                <c:pt idx="2761">
                  <c:v>43167</c:v>
                </c:pt>
                <c:pt idx="2762">
                  <c:v>43166</c:v>
                </c:pt>
                <c:pt idx="2763">
                  <c:v>43165</c:v>
                </c:pt>
                <c:pt idx="2764">
                  <c:v>43164</c:v>
                </c:pt>
                <c:pt idx="2765">
                  <c:v>43161</c:v>
                </c:pt>
                <c:pt idx="2766">
                  <c:v>43160</c:v>
                </c:pt>
                <c:pt idx="2767">
                  <c:v>43159</c:v>
                </c:pt>
                <c:pt idx="2768">
                  <c:v>43158</c:v>
                </c:pt>
                <c:pt idx="2769">
                  <c:v>43157</c:v>
                </c:pt>
                <c:pt idx="2770">
                  <c:v>43154</c:v>
                </c:pt>
                <c:pt idx="2771">
                  <c:v>43153</c:v>
                </c:pt>
                <c:pt idx="2772">
                  <c:v>43152</c:v>
                </c:pt>
                <c:pt idx="2773">
                  <c:v>43151</c:v>
                </c:pt>
                <c:pt idx="2774">
                  <c:v>43147</c:v>
                </c:pt>
                <c:pt idx="2775">
                  <c:v>43146</c:v>
                </c:pt>
                <c:pt idx="2776">
                  <c:v>43145</c:v>
                </c:pt>
                <c:pt idx="2777">
                  <c:v>43144</c:v>
                </c:pt>
                <c:pt idx="2778">
                  <c:v>43143</c:v>
                </c:pt>
                <c:pt idx="2779">
                  <c:v>43140</c:v>
                </c:pt>
                <c:pt idx="2780">
                  <c:v>43139</c:v>
                </c:pt>
                <c:pt idx="2781">
                  <c:v>43138</c:v>
                </c:pt>
                <c:pt idx="2782">
                  <c:v>43137</c:v>
                </c:pt>
                <c:pt idx="2783">
                  <c:v>43136</c:v>
                </c:pt>
                <c:pt idx="2784">
                  <c:v>43133</c:v>
                </c:pt>
                <c:pt idx="2785">
                  <c:v>43132</c:v>
                </c:pt>
                <c:pt idx="2786">
                  <c:v>43131</c:v>
                </c:pt>
                <c:pt idx="2787">
                  <c:v>43130</c:v>
                </c:pt>
                <c:pt idx="2788">
                  <c:v>43129</c:v>
                </c:pt>
                <c:pt idx="2789">
                  <c:v>43126</c:v>
                </c:pt>
                <c:pt idx="2790">
                  <c:v>43125</c:v>
                </c:pt>
                <c:pt idx="2791">
                  <c:v>43124</c:v>
                </c:pt>
                <c:pt idx="2792">
                  <c:v>43123</c:v>
                </c:pt>
                <c:pt idx="2793">
                  <c:v>43122</c:v>
                </c:pt>
                <c:pt idx="2794">
                  <c:v>43119</c:v>
                </c:pt>
                <c:pt idx="2795">
                  <c:v>43118</c:v>
                </c:pt>
                <c:pt idx="2796">
                  <c:v>43117</c:v>
                </c:pt>
                <c:pt idx="2797">
                  <c:v>43116</c:v>
                </c:pt>
                <c:pt idx="2798">
                  <c:v>43112</c:v>
                </c:pt>
                <c:pt idx="2799">
                  <c:v>43111</c:v>
                </c:pt>
                <c:pt idx="2800">
                  <c:v>43110</c:v>
                </c:pt>
                <c:pt idx="2801">
                  <c:v>43109</c:v>
                </c:pt>
                <c:pt idx="2802">
                  <c:v>43108</c:v>
                </c:pt>
                <c:pt idx="2803">
                  <c:v>43105</c:v>
                </c:pt>
                <c:pt idx="2804">
                  <c:v>43104</c:v>
                </c:pt>
                <c:pt idx="2805">
                  <c:v>43103</c:v>
                </c:pt>
                <c:pt idx="2806">
                  <c:v>43102</c:v>
                </c:pt>
                <c:pt idx="2807">
                  <c:v>43098</c:v>
                </c:pt>
                <c:pt idx="2808">
                  <c:v>43097</c:v>
                </c:pt>
                <c:pt idx="2809">
                  <c:v>43096</c:v>
                </c:pt>
                <c:pt idx="2810">
                  <c:v>43095</c:v>
                </c:pt>
                <c:pt idx="2811">
                  <c:v>43091</c:v>
                </c:pt>
                <c:pt idx="2812">
                  <c:v>43090</c:v>
                </c:pt>
                <c:pt idx="2813">
                  <c:v>43089</c:v>
                </c:pt>
                <c:pt idx="2814">
                  <c:v>43088</c:v>
                </c:pt>
                <c:pt idx="2815">
                  <c:v>43087</c:v>
                </c:pt>
                <c:pt idx="2816">
                  <c:v>43084</c:v>
                </c:pt>
                <c:pt idx="2817">
                  <c:v>43083</c:v>
                </c:pt>
                <c:pt idx="2818">
                  <c:v>43082</c:v>
                </c:pt>
                <c:pt idx="2819">
                  <c:v>43081</c:v>
                </c:pt>
                <c:pt idx="2820">
                  <c:v>43080</c:v>
                </c:pt>
                <c:pt idx="2821">
                  <c:v>43077</c:v>
                </c:pt>
                <c:pt idx="2822">
                  <c:v>43076</c:v>
                </c:pt>
                <c:pt idx="2823">
                  <c:v>43075</c:v>
                </c:pt>
                <c:pt idx="2824">
                  <c:v>43074</c:v>
                </c:pt>
                <c:pt idx="2825">
                  <c:v>43073</c:v>
                </c:pt>
                <c:pt idx="2826">
                  <c:v>43070</c:v>
                </c:pt>
                <c:pt idx="2827">
                  <c:v>43069</c:v>
                </c:pt>
                <c:pt idx="2828">
                  <c:v>43068</c:v>
                </c:pt>
                <c:pt idx="2829">
                  <c:v>43067</c:v>
                </c:pt>
                <c:pt idx="2830">
                  <c:v>43066</c:v>
                </c:pt>
                <c:pt idx="2831">
                  <c:v>43063</c:v>
                </c:pt>
                <c:pt idx="2832">
                  <c:v>43061</c:v>
                </c:pt>
                <c:pt idx="2833">
                  <c:v>43060</c:v>
                </c:pt>
                <c:pt idx="2834">
                  <c:v>43059</c:v>
                </c:pt>
                <c:pt idx="2835">
                  <c:v>43056</c:v>
                </c:pt>
                <c:pt idx="2836">
                  <c:v>43055</c:v>
                </c:pt>
                <c:pt idx="2837">
                  <c:v>43054</c:v>
                </c:pt>
                <c:pt idx="2838">
                  <c:v>43053</c:v>
                </c:pt>
                <c:pt idx="2839">
                  <c:v>43052</c:v>
                </c:pt>
                <c:pt idx="2840">
                  <c:v>43049</c:v>
                </c:pt>
                <c:pt idx="2841">
                  <c:v>43048</c:v>
                </c:pt>
                <c:pt idx="2842">
                  <c:v>43047</c:v>
                </c:pt>
                <c:pt idx="2843">
                  <c:v>43046</c:v>
                </c:pt>
                <c:pt idx="2844">
                  <c:v>43045</c:v>
                </c:pt>
                <c:pt idx="2845">
                  <c:v>43042</c:v>
                </c:pt>
                <c:pt idx="2846">
                  <c:v>43041</c:v>
                </c:pt>
                <c:pt idx="2847">
                  <c:v>43040</c:v>
                </c:pt>
                <c:pt idx="2848">
                  <c:v>43039</c:v>
                </c:pt>
                <c:pt idx="2849">
                  <c:v>43038</c:v>
                </c:pt>
                <c:pt idx="2850">
                  <c:v>43035</c:v>
                </c:pt>
                <c:pt idx="2851">
                  <c:v>43034</c:v>
                </c:pt>
                <c:pt idx="2852">
                  <c:v>43033</c:v>
                </c:pt>
                <c:pt idx="2853">
                  <c:v>43032</c:v>
                </c:pt>
                <c:pt idx="2854">
                  <c:v>43031</c:v>
                </c:pt>
                <c:pt idx="2855">
                  <c:v>43028</c:v>
                </c:pt>
                <c:pt idx="2856">
                  <c:v>43027</c:v>
                </c:pt>
                <c:pt idx="2857">
                  <c:v>43026</c:v>
                </c:pt>
                <c:pt idx="2858">
                  <c:v>43025</c:v>
                </c:pt>
                <c:pt idx="2859">
                  <c:v>43024</c:v>
                </c:pt>
                <c:pt idx="2860">
                  <c:v>43021</c:v>
                </c:pt>
                <c:pt idx="2861">
                  <c:v>43020</c:v>
                </c:pt>
                <c:pt idx="2862">
                  <c:v>43019</c:v>
                </c:pt>
                <c:pt idx="2863">
                  <c:v>43018</c:v>
                </c:pt>
                <c:pt idx="2864">
                  <c:v>43017</c:v>
                </c:pt>
                <c:pt idx="2865">
                  <c:v>43014</c:v>
                </c:pt>
                <c:pt idx="2866">
                  <c:v>43013</c:v>
                </c:pt>
                <c:pt idx="2867">
                  <c:v>43012</c:v>
                </c:pt>
                <c:pt idx="2868">
                  <c:v>43011</c:v>
                </c:pt>
                <c:pt idx="2869">
                  <c:v>43010</c:v>
                </c:pt>
                <c:pt idx="2870">
                  <c:v>43007</c:v>
                </c:pt>
                <c:pt idx="2871">
                  <c:v>43006</c:v>
                </c:pt>
                <c:pt idx="2872">
                  <c:v>43005</c:v>
                </c:pt>
                <c:pt idx="2873">
                  <c:v>43004</c:v>
                </c:pt>
                <c:pt idx="2874">
                  <c:v>43003</c:v>
                </c:pt>
                <c:pt idx="2875">
                  <c:v>43000</c:v>
                </c:pt>
                <c:pt idx="2876">
                  <c:v>42999</c:v>
                </c:pt>
                <c:pt idx="2877">
                  <c:v>42998</c:v>
                </c:pt>
                <c:pt idx="2878">
                  <c:v>42997</c:v>
                </c:pt>
                <c:pt idx="2879">
                  <c:v>42996</c:v>
                </c:pt>
                <c:pt idx="2880">
                  <c:v>42993</c:v>
                </c:pt>
                <c:pt idx="2881">
                  <c:v>42992</c:v>
                </c:pt>
                <c:pt idx="2882">
                  <c:v>42991</c:v>
                </c:pt>
                <c:pt idx="2883">
                  <c:v>42990</c:v>
                </c:pt>
                <c:pt idx="2884">
                  <c:v>42989</c:v>
                </c:pt>
                <c:pt idx="2885">
                  <c:v>42986</c:v>
                </c:pt>
                <c:pt idx="2886">
                  <c:v>42985</c:v>
                </c:pt>
                <c:pt idx="2887">
                  <c:v>42984</c:v>
                </c:pt>
                <c:pt idx="2888">
                  <c:v>42983</c:v>
                </c:pt>
                <c:pt idx="2889">
                  <c:v>42979</c:v>
                </c:pt>
                <c:pt idx="2890">
                  <c:v>42978</c:v>
                </c:pt>
                <c:pt idx="2891">
                  <c:v>42977</c:v>
                </c:pt>
                <c:pt idx="2892">
                  <c:v>42976</c:v>
                </c:pt>
                <c:pt idx="2893">
                  <c:v>42975</c:v>
                </c:pt>
                <c:pt idx="2894">
                  <c:v>42972</c:v>
                </c:pt>
                <c:pt idx="2895">
                  <c:v>42971</c:v>
                </c:pt>
                <c:pt idx="2896">
                  <c:v>42970</c:v>
                </c:pt>
                <c:pt idx="2897">
                  <c:v>42969</c:v>
                </c:pt>
                <c:pt idx="2898">
                  <c:v>42968</c:v>
                </c:pt>
                <c:pt idx="2899">
                  <c:v>42965</c:v>
                </c:pt>
                <c:pt idx="2900">
                  <c:v>42964</c:v>
                </c:pt>
                <c:pt idx="2901">
                  <c:v>42963</c:v>
                </c:pt>
                <c:pt idx="2902">
                  <c:v>42962</c:v>
                </c:pt>
                <c:pt idx="2903">
                  <c:v>42961</c:v>
                </c:pt>
                <c:pt idx="2904">
                  <c:v>42958</c:v>
                </c:pt>
                <c:pt idx="2905">
                  <c:v>42957</c:v>
                </c:pt>
                <c:pt idx="2906">
                  <c:v>42956</c:v>
                </c:pt>
                <c:pt idx="2907">
                  <c:v>42955</c:v>
                </c:pt>
                <c:pt idx="2908">
                  <c:v>42954</c:v>
                </c:pt>
                <c:pt idx="2909">
                  <c:v>42951</c:v>
                </c:pt>
                <c:pt idx="2910">
                  <c:v>42950</c:v>
                </c:pt>
                <c:pt idx="2911">
                  <c:v>42949</c:v>
                </c:pt>
                <c:pt idx="2912">
                  <c:v>42948</c:v>
                </c:pt>
                <c:pt idx="2913">
                  <c:v>42947</c:v>
                </c:pt>
                <c:pt idx="2914">
                  <c:v>42944</c:v>
                </c:pt>
                <c:pt idx="2915">
                  <c:v>42943</c:v>
                </c:pt>
                <c:pt idx="2916">
                  <c:v>42942</c:v>
                </c:pt>
                <c:pt idx="2917">
                  <c:v>42941</c:v>
                </c:pt>
                <c:pt idx="2918">
                  <c:v>42940</c:v>
                </c:pt>
                <c:pt idx="2919">
                  <c:v>42937</c:v>
                </c:pt>
                <c:pt idx="2920">
                  <c:v>42936</c:v>
                </c:pt>
                <c:pt idx="2921">
                  <c:v>42935</c:v>
                </c:pt>
                <c:pt idx="2922">
                  <c:v>42934</c:v>
                </c:pt>
                <c:pt idx="2923">
                  <c:v>42933</c:v>
                </c:pt>
                <c:pt idx="2924">
                  <c:v>42930</c:v>
                </c:pt>
                <c:pt idx="2925">
                  <c:v>42929</c:v>
                </c:pt>
                <c:pt idx="2926">
                  <c:v>42928</c:v>
                </c:pt>
                <c:pt idx="2927">
                  <c:v>42927</c:v>
                </c:pt>
                <c:pt idx="2928">
                  <c:v>42926</c:v>
                </c:pt>
                <c:pt idx="2929">
                  <c:v>42923</c:v>
                </c:pt>
                <c:pt idx="2930">
                  <c:v>42922</c:v>
                </c:pt>
                <c:pt idx="2931">
                  <c:v>42921</c:v>
                </c:pt>
                <c:pt idx="2932">
                  <c:v>42919</c:v>
                </c:pt>
                <c:pt idx="2933">
                  <c:v>42916</c:v>
                </c:pt>
                <c:pt idx="2934">
                  <c:v>42915</c:v>
                </c:pt>
                <c:pt idx="2935">
                  <c:v>42914</c:v>
                </c:pt>
                <c:pt idx="2936">
                  <c:v>42913</c:v>
                </c:pt>
                <c:pt idx="2937">
                  <c:v>42912</c:v>
                </c:pt>
                <c:pt idx="2938">
                  <c:v>42909</c:v>
                </c:pt>
                <c:pt idx="2939">
                  <c:v>42908</c:v>
                </c:pt>
                <c:pt idx="2940">
                  <c:v>42907</c:v>
                </c:pt>
                <c:pt idx="2941">
                  <c:v>42906</c:v>
                </c:pt>
                <c:pt idx="2942">
                  <c:v>42905</c:v>
                </c:pt>
                <c:pt idx="2943">
                  <c:v>42902</c:v>
                </c:pt>
                <c:pt idx="2944">
                  <c:v>42901</c:v>
                </c:pt>
                <c:pt idx="2945">
                  <c:v>42900</c:v>
                </c:pt>
                <c:pt idx="2946">
                  <c:v>42899</c:v>
                </c:pt>
                <c:pt idx="2947">
                  <c:v>42898</c:v>
                </c:pt>
                <c:pt idx="2948">
                  <c:v>42895</c:v>
                </c:pt>
                <c:pt idx="2949">
                  <c:v>42894</c:v>
                </c:pt>
                <c:pt idx="2950">
                  <c:v>42893</c:v>
                </c:pt>
                <c:pt idx="2951">
                  <c:v>42892</c:v>
                </c:pt>
                <c:pt idx="2952">
                  <c:v>42891</c:v>
                </c:pt>
                <c:pt idx="2953">
                  <c:v>42888</c:v>
                </c:pt>
                <c:pt idx="2954">
                  <c:v>42887</c:v>
                </c:pt>
                <c:pt idx="2955">
                  <c:v>42886</c:v>
                </c:pt>
                <c:pt idx="2956">
                  <c:v>42885</c:v>
                </c:pt>
                <c:pt idx="2957">
                  <c:v>42881</c:v>
                </c:pt>
                <c:pt idx="2958">
                  <c:v>42880</c:v>
                </c:pt>
                <c:pt idx="2959">
                  <c:v>42879</c:v>
                </c:pt>
                <c:pt idx="2960">
                  <c:v>42878</c:v>
                </c:pt>
                <c:pt idx="2961">
                  <c:v>42877</c:v>
                </c:pt>
                <c:pt idx="2962">
                  <c:v>42874</c:v>
                </c:pt>
                <c:pt idx="2963">
                  <c:v>42873</c:v>
                </c:pt>
                <c:pt idx="2964">
                  <c:v>42872</c:v>
                </c:pt>
                <c:pt idx="2965">
                  <c:v>42871</c:v>
                </c:pt>
                <c:pt idx="2966">
                  <c:v>42870</c:v>
                </c:pt>
                <c:pt idx="2967">
                  <c:v>42867</c:v>
                </c:pt>
                <c:pt idx="2968">
                  <c:v>42866</c:v>
                </c:pt>
                <c:pt idx="2969">
                  <c:v>42865</c:v>
                </c:pt>
                <c:pt idx="2970">
                  <c:v>42864</c:v>
                </c:pt>
                <c:pt idx="2971">
                  <c:v>42863</c:v>
                </c:pt>
                <c:pt idx="2972">
                  <c:v>42860</c:v>
                </c:pt>
                <c:pt idx="2973">
                  <c:v>42859</c:v>
                </c:pt>
                <c:pt idx="2974">
                  <c:v>42858</c:v>
                </c:pt>
                <c:pt idx="2975">
                  <c:v>42857</c:v>
                </c:pt>
                <c:pt idx="2976">
                  <c:v>42856</c:v>
                </c:pt>
                <c:pt idx="2977">
                  <c:v>42853</c:v>
                </c:pt>
                <c:pt idx="2978">
                  <c:v>42852</c:v>
                </c:pt>
                <c:pt idx="2979">
                  <c:v>42851</c:v>
                </c:pt>
                <c:pt idx="2980">
                  <c:v>42850</c:v>
                </c:pt>
                <c:pt idx="2981">
                  <c:v>42849</c:v>
                </c:pt>
                <c:pt idx="2982">
                  <c:v>42846</c:v>
                </c:pt>
                <c:pt idx="2983">
                  <c:v>42845</c:v>
                </c:pt>
                <c:pt idx="2984">
                  <c:v>42844</c:v>
                </c:pt>
                <c:pt idx="2985">
                  <c:v>42843</c:v>
                </c:pt>
                <c:pt idx="2986">
                  <c:v>42842</c:v>
                </c:pt>
                <c:pt idx="2987">
                  <c:v>42838</c:v>
                </c:pt>
                <c:pt idx="2988">
                  <c:v>42837</c:v>
                </c:pt>
                <c:pt idx="2989">
                  <c:v>42836</c:v>
                </c:pt>
                <c:pt idx="2990">
                  <c:v>42835</c:v>
                </c:pt>
                <c:pt idx="2991">
                  <c:v>42832</c:v>
                </c:pt>
                <c:pt idx="2992">
                  <c:v>42831</c:v>
                </c:pt>
                <c:pt idx="2993">
                  <c:v>42830</c:v>
                </c:pt>
                <c:pt idx="2994">
                  <c:v>42829</c:v>
                </c:pt>
                <c:pt idx="2995">
                  <c:v>42828</c:v>
                </c:pt>
                <c:pt idx="2996">
                  <c:v>42825</c:v>
                </c:pt>
                <c:pt idx="2997">
                  <c:v>42824</c:v>
                </c:pt>
                <c:pt idx="2998">
                  <c:v>42823</c:v>
                </c:pt>
                <c:pt idx="2999">
                  <c:v>42822</c:v>
                </c:pt>
                <c:pt idx="3000">
                  <c:v>42821</c:v>
                </c:pt>
                <c:pt idx="3001">
                  <c:v>42818</c:v>
                </c:pt>
                <c:pt idx="3002">
                  <c:v>42817</c:v>
                </c:pt>
                <c:pt idx="3003">
                  <c:v>42816</c:v>
                </c:pt>
                <c:pt idx="3004">
                  <c:v>42815</c:v>
                </c:pt>
                <c:pt idx="3005">
                  <c:v>42814</c:v>
                </c:pt>
                <c:pt idx="3006">
                  <c:v>42811</c:v>
                </c:pt>
                <c:pt idx="3007">
                  <c:v>42810</c:v>
                </c:pt>
                <c:pt idx="3008">
                  <c:v>42809</c:v>
                </c:pt>
                <c:pt idx="3009">
                  <c:v>42808</c:v>
                </c:pt>
                <c:pt idx="3010">
                  <c:v>42807</c:v>
                </c:pt>
                <c:pt idx="3011">
                  <c:v>42804</c:v>
                </c:pt>
                <c:pt idx="3012">
                  <c:v>42803</c:v>
                </c:pt>
                <c:pt idx="3013">
                  <c:v>42802</c:v>
                </c:pt>
                <c:pt idx="3014">
                  <c:v>42801</c:v>
                </c:pt>
                <c:pt idx="3015">
                  <c:v>42800</c:v>
                </c:pt>
                <c:pt idx="3016">
                  <c:v>42797</c:v>
                </c:pt>
                <c:pt idx="3017">
                  <c:v>42796</c:v>
                </c:pt>
                <c:pt idx="3018">
                  <c:v>42795</c:v>
                </c:pt>
                <c:pt idx="3019">
                  <c:v>42794</c:v>
                </c:pt>
                <c:pt idx="3020">
                  <c:v>42793</c:v>
                </c:pt>
                <c:pt idx="3021">
                  <c:v>42790</c:v>
                </c:pt>
                <c:pt idx="3022">
                  <c:v>42789</c:v>
                </c:pt>
                <c:pt idx="3023">
                  <c:v>42788</c:v>
                </c:pt>
                <c:pt idx="3024">
                  <c:v>42787</c:v>
                </c:pt>
                <c:pt idx="3025">
                  <c:v>42783</c:v>
                </c:pt>
                <c:pt idx="3026">
                  <c:v>42782</c:v>
                </c:pt>
                <c:pt idx="3027">
                  <c:v>42781</c:v>
                </c:pt>
                <c:pt idx="3028">
                  <c:v>42780</c:v>
                </c:pt>
                <c:pt idx="3029">
                  <c:v>42779</c:v>
                </c:pt>
                <c:pt idx="3030">
                  <c:v>42776</c:v>
                </c:pt>
                <c:pt idx="3031">
                  <c:v>42775</c:v>
                </c:pt>
                <c:pt idx="3032">
                  <c:v>42774</c:v>
                </c:pt>
                <c:pt idx="3033">
                  <c:v>42773</c:v>
                </c:pt>
                <c:pt idx="3034">
                  <c:v>42772</c:v>
                </c:pt>
                <c:pt idx="3035">
                  <c:v>42769</c:v>
                </c:pt>
                <c:pt idx="3036">
                  <c:v>42768</c:v>
                </c:pt>
                <c:pt idx="3037">
                  <c:v>42767</c:v>
                </c:pt>
                <c:pt idx="3038">
                  <c:v>42766</c:v>
                </c:pt>
                <c:pt idx="3039">
                  <c:v>42765</c:v>
                </c:pt>
                <c:pt idx="3040">
                  <c:v>42762</c:v>
                </c:pt>
                <c:pt idx="3041">
                  <c:v>42761</c:v>
                </c:pt>
                <c:pt idx="3042">
                  <c:v>42760</c:v>
                </c:pt>
                <c:pt idx="3043">
                  <c:v>42759</c:v>
                </c:pt>
                <c:pt idx="3044">
                  <c:v>42758</c:v>
                </c:pt>
                <c:pt idx="3045">
                  <c:v>42755</c:v>
                </c:pt>
                <c:pt idx="3046">
                  <c:v>42754</c:v>
                </c:pt>
                <c:pt idx="3047">
                  <c:v>42753</c:v>
                </c:pt>
                <c:pt idx="3048">
                  <c:v>42752</c:v>
                </c:pt>
                <c:pt idx="3049">
                  <c:v>42748</c:v>
                </c:pt>
                <c:pt idx="3050">
                  <c:v>42747</c:v>
                </c:pt>
                <c:pt idx="3051">
                  <c:v>42746</c:v>
                </c:pt>
                <c:pt idx="3052">
                  <c:v>42745</c:v>
                </c:pt>
                <c:pt idx="3053">
                  <c:v>42744</c:v>
                </c:pt>
                <c:pt idx="3054">
                  <c:v>42741</c:v>
                </c:pt>
                <c:pt idx="3055">
                  <c:v>42740</c:v>
                </c:pt>
                <c:pt idx="3056">
                  <c:v>42739</c:v>
                </c:pt>
                <c:pt idx="3057">
                  <c:v>42738</c:v>
                </c:pt>
                <c:pt idx="3058">
                  <c:v>42734</c:v>
                </c:pt>
                <c:pt idx="3059">
                  <c:v>42733</c:v>
                </c:pt>
                <c:pt idx="3060">
                  <c:v>42732</c:v>
                </c:pt>
                <c:pt idx="3061">
                  <c:v>42731</c:v>
                </c:pt>
                <c:pt idx="3062">
                  <c:v>42727</c:v>
                </c:pt>
                <c:pt idx="3063">
                  <c:v>42726</c:v>
                </c:pt>
                <c:pt idx="3064">
                  <c:v>42725</c:v>
                </c:pt>
                <c:pt idx="3065">
                  <c:v>42724</c:v>
                </c:pt>
                <c:pt idx="3066">
                  <c:v>42723</c:v>
                </c:pt>
                <c:pt idx="3067">
                  <c:v>42720</c:v>
                </c:pt>
                <c:pt idx="3068">
                  <c:v>42719</c:v>
                </c:pt>
                <c:pt idx="3069">
                  <c:v>42718</c:v>
                </c:pt>
                <c:pt idx="3070">
                  <c:v>42717</c:v>
                </c:pt>
                <c:pt idx="3071">
                  <c:v>42716</c:v>
                </c:pt>
                <c:pt idx="3072">
                  <c:v>42713</c:v>
                </c:pt>
                <c:pt idx="3073">
                  <c:v>42712</c:v>
                </c:pt>
                <c:pt idx="3074">
                  <c:v>42711</c:v>
                </c:pt>
                <c:pt idx="3075">
                  <c:v>42710</c:v>
                </c:pt>
                <c:pt idx="3076">
                  <c:v>42709</c:v>
                </c:pt>
                <c:pt idx="3077">
                  <c:v>42706</c:v>
                </c:pt>
                <c:pt idx="3078">
                  <c:v>42705</c:v>
                </c:pt>
                <c:pt idx="3079">
                  <c:v>42704</c:v>
                </c:pt>
                <c:pt idx="3080">
                  <c:v>42703</c:v>
                </c:pt>
                <c:pt idx="3081">
                  <c:v>42702</c:v>
                </c:pt>
                <c:pt idx="3082">
                  <c:v>42699</c:v>
                </c:pt>
                <c:pt idx="3083">
                  <c:v>42697</c:v>
                </c:pt>
                <c:pt idx="3084">
                  <c:v>42696</c:v>
                </c:pt>
                <c:pt idx="3085">
                  <c:v>42695</c:v>
                </c:pt>
                <c:pt idx="3086">
                  <c:v>42692</c:v>
                </c:pt>
                <c:pt idx="3087">
                  <c:v>42691</c:v>
                </c:pt>
                <c:pt idx="3088">
                  <c:v>42690</c:v>
                </c:pt>
                <c:pt idx="3089">
                  <c:v>42689</c:v>
                </c:pt>
                <c:pt idx="3090">
                  <c:v>42688</c:v>
                </c:pt>
                <c:pt idx="3091">
                  <c:v>42685</c:v>
                </c:pt>
                <c:pt idx="3092">
                  <c:v>42684</c:v>
                </c:pt>
                <c:pt idx="3093">
                  <c:v>42683</c:v>
                </c:pt>
                <c:pt idx="3094">
                  <c:v>42682</c:v>
                </c:pt>
                <c:pt idx="3095">
                  <c:v>42681</c:v>
                </c:pt>
                <c:pt idx="3096">
                  <c:v>42678</c:v>
                </c:pt>
                <c:pt idx="3097">
                  <c:v>42677</c:v>
                </c:pt>
                <c:pt idx="3098">
                  <c:v>42676</c:v>
                </c:pt>
                <c:pt idx="3099">
                  <c:v>42675</c:v>
                </c:pt>
                <c:pt idx="3100">
                  <c:v>42674</c:v>
                </c:pt>
                <c:pt idx="3101">
                  <c:v>42671</c:v>
                </c:pt>
                <c:pt idx="3102">
                  <c:v>42670</c:v>
                </c:pt>
                <c:pt idx="3103">
                  <c:v>42669</c:v>
                </c:pt>
                <c:pt idx="3104">
                  <c:v>42668</c:v>
                </c:pt>
                <c:pt idx="3105">
                  <c:v>42667</c:v>
                </c:pt>
                <c:pt idx="3106">
                  <c:v>42664</c:v>
                </c:pt>
                <c:pt idx="3107">
                  <c:v>42663</c:v>
                </c:pt>
                <c:pt idx="3108">
                  <c:v>42662</c:v>
                </c:pt>
                <c:pt idx="3109">
                  <c:v>42661</c:v>
                </c:pt>
                <c:pt idx="3110">
                  <c:v>42660</c:v>
                </c:pt>
                <c:pt idx="3111">
                  <c:v>42657</c:v>
                </c:pt>
                <c:pt idx="3112">
                  <c:v>42656</c:v>
                </c:pt>
                <c:pt idx="3113">
                  <c:v>42655</c:v>
                </c:pt>
                <c:pt idx="3114">
                  <c:v>42654</c:v>
                </c:pt>
                <c:pt idx="3115">
                  <c:v>42653</c:v>
                </c:pt>
                <c:pt idx="3116">
                  <c:v>42650</c:v>
                </c:pt>
                <c:pt idx="3117">
                  <c:v>42649</c:v>
                </c:pt>
                <c:pt idx="3118">
                  <c:v>42648</c:v>
                </c:pt>
                <c:pt idx="3119">
                  <c:v>42647</c:v>
                </c:pt>
                <c:pt idx="3120">
                  <c:v>42646</c:v>
                </c:pt>
                <c:pt idx="3121">
                  <c:v>42643</c:v>
                </c:pt>
                <c:pt idx="3122">
                  <c:v>42642</c:v>
                </c:pt>
                <c:pt idx="3123">
                  <c:v>42641</c:v>
                </c:pt>
                <c:pt idx="3124">
                  <c:v>42640</c:v>
                </c:pt>
                <c:pt idx="3125">
                  <c:v>42639</c:v>
                </c:pt>
                <c:pt idx="3126">
                  <c:v>42636</c:v>
                </c:pt>
                <c:pt idx="3127">
                  <c:v>42635</c:v>
                </c:pt>
                <c:pt idx="3128">
                  <c:v>42634</c:v>
                </c:pt>
                <c:pt idx="3129">
                  <c:v>42633</c:v>
                </c:pt>
                <c:pt idx="3130">
                  <c:v>42632</c:v>
                </c:pt>
                <c:pt idx="3131">
                  <c:v>42629</c:v>
                </c:pt>
                <c:pt idx="3132">
                  <c:v>42628</c:v>
                </c:pt>
                <c:pt idx="3133">
                  <c:v>42627</c:v>
                </c:pt>
                <c:pt idx="3134">
                  <c:v>42626</c:v>
                </c:pt>
                <c:pt idx="3135">
                  <c:v>42625</c:v>
                </c:pt>
                <c:pt idx="3136">
                  <c:v>42622</c:v>
                </c:pt>
                <c:pt idx="3137">
                  <c:v>42621</c:v>
                </c:pt>
                <c:pt idx="3138">
                  <c:v>42620</c:v>
                </c:pt>
                <c:pt idx="3139">
                  <c:v>42619</c:v>
                </c:pt>
                <c:pt idx="3140">
                  <c:v>42615</c:v>
                </c:pt>
                <c:pt idx="3141">
                  <c:v>42614</c:v>
                </c:pt>
                <c:pt idx="3142">
                  <c:v>42613</c:v>
                </c:pt>
                <c:pt idx="3143">
                  <c:v>42612</c:v>
                </c:pt>
                <c:pt idx="3144">
                  <c:v>42611</c:v>
                </c:pt>
                <c:pt idx="3145">
                  <c:v>42608</c:v>
                </c:pt>
                <c:pt idx="3146">
                  <c:v>42607</c:v>
                </c:pt>
                <c:pt idx="3147">
                  <c:v>42606</c:v>
                </c:pt>
                <c:pt idx="3148">
                  <c:v>42605</c:v>
                </c:pt>
                <c:pt idx="3149">
                  <c:v>42604</c:v>
                </c:pt>
                <c:pt idx="3150">
                  <c:v>42601</c:v>
                </c:pt>
                <c:pt idx="3151">
                  <c:v>42600</c:v>
                </c:pt>
                <c:pt idx="3152">
                  <c:v>42599</c:v>
                </c:pt>
                <c:pt idx="3153">
                  <c:v>42598</c:v>
                </c:pt>
                <c:pt idx="3154">
                  <c:v>42597</c:v>
                </c:pt>
                <c:pt idx="3155">
                  <c:v>42594</c:v>
                </c:pt>
                <c:pt idx="3156">
                  <c:v>42593</c:v>
                </c:pt>
                <c:pt idx="3157">
                  <c:v>42592</c:v>
                </c:pt>
                <c:pt idx="3158">
                  <c:v>42591</c:v>
                </c:pt>
                <c:pt idx="3159">
                  <c:v>42590</c:v>
                </c:pt>
                <c:pt idx="3160">
                  <c:v>42587</c:v>
                </c:pt>
                <c:pt idx="3161">
                  <c:v>42586</c:v>
                </c:pt>
                <c:pt idx="3162">
                  <c:v>42585</c:v>
                </c:pt>
                <c:pt idx="3163">
                  <c:v>42584</c:v>
                </c:pt>
                <c:pt idx="3164">
                  <c:v>42583</c:v>
                </c:pt>
                <c:pt idx="3165">
                  <c:v>42580</c:v>
                </c:pt>
                <c:pt idx="3166">
                  <c:v>42579</c:v>
                </c:pt>
                <c:pt idx="3167">
                  <c:v>42578</c:v>
                </c:pt>
                <c:pt idx="3168">
                  <c:v>42577</c:v>
                </c:pt>
                <c:pt idx="3169">
                  <c:v>42576</c:v>
                </c:pt>
                <c:pt idx="3170">
                  <c:v>42573</c:v>
                </c:pt>
                <c:pt idx="3171">
                  <c:v>42572</c:v>
                </c:pt>
                <c:pt idx="3172">
                  <c:v>42571</c:v>
                </c:pt>
                <c:pt idx="3173">
                  <c:v>42570</c:v>
                </c:pt>
                <c:pt idx="3174">
                  <c:v>42569</c:v>
                </c:pt>
                <c:pt idx="3175">
                  <c:v>42566</c:v>
                </c:pt>
                <c:pt idx="3176">
                  <c:v>42565</c:v>
                </c:pt>
                <c:pt idx="3177">
                  <c:v>42564</c:v>
                </c:pt>
                <c:pt idx="3178">
                  <c:v>42563</c:v>
                </c:pt>
                <c:pt idx="3179">
                  <c:v>42562</c:v>
                </c:pt>
                <c:pt idx="3180">
                  <c:v>42559</c:v>
                </c:pt>
                <c:pt idx="3181">
                  <c:v>42558</c:v>
                </c:pt>
                <c:pt idx="3182">
                  <c:v>42557</c:v>
                </c:pt>
                <c:pt idx="3183">
                  <c:v>42556</c:v>
                </c:pt>
                <c:pt idx="3184">
                  <c:v>42552</c:v>
                </c:pt>
                <c:pt idx="3185">
                  <c:v>42551</c:v>
                </c:pt>
                <c:pt idx="3186">
                  <c:v>42550</c:v>
                </c:pt>
                <c:pt idx="3187">
                  <c:v>42549</c:v>
                </c:pt>
                <c:pt idx="3188">
                  <c:v>42548</c:v>
                </c:pt>
                <c:pt idx="3189">
                  <c:v>42545</c:v>
                </c:pt>
                <c:pt idx="3190">
                  <c:v>42544</c:v>
                </c:pt>
                <c:pt idx="3191">
                  <c:v>42543</c:v>
                </c:pt>
                <c:pt idx="3192">
                  <c:v>42542</c:v>
                </c:pt>
                <c:pt idx="3193">
                  <c:v>42541</c:v>
                </c:pt>
                <c:pt idx="3194">
                  <c:v>42538</c:v>
                </c:pt>
                <c:pt idx="3195">
                  <c:v>42537</c:v>
                </c:pt>
                <c:pt idx="3196">
                  <c:v>42536</c:v>
                </c:pt>
                <c:pt idx="3197">
                  <c:v>42535</c:v>
                </c:pt>
                <c:pt idx="3198">
                  <c:v>42534</c:v>
                </c:pt>
                <c:pt idx="3199">
                  <c:v>42531</c:v>
                </c:pt>
                <c:pt idx="3200">
                  <c:v>42530</c:v>
                </c:pt>
                <c:pt idx="3201">
                  <c:v>42529</c:v>
                </c:pt>
                <c:pt idx="3202">
                  <c:v>42528</c:v>
                </c:pt>
                <c:pt idx="3203">
                  <c:v>42527</c:v>
                </c:pt>
                <c:pt idx="3204">
                  <c:v>42524</c:v>
                </c:pt>
                <c:pt idx="3205">
                  <c:v>42523</c:v>
                </c:pt>
                <c:pt idx="3206">
                  <c:v>42522</c:v>
                </c:pt>
                <c:pt idx="3207">
                  <c:v>42521</c:v>
                </c:pt>
                <c:pt idx="3208">
                  <c:v>42517</c:v>
                </c:pt>
                <c:pt idx="3209">
                  <c:v>42516</c:v>
                </c:pt>
                <c:pt idx="3210">
                  <c:v>42515</c:v>
                </c:pt>
                <c:pt idx="3211">
                  <c:v>42514</c:v>
                </c:pt>
                <c:pt idx="3212">
                  <c:v>42513</c:v>
                </c:pt>
                <c:pt idx="3213">
                  <c:v>42510</c:v>
                </c:pt>
                <c:pt idx="3214">
                  <c:v>42509</c:v>
                </c:pt>
                <c:pt idx="3215">
                  <c:v>42508</c:v>
                </c:pt>
                <c:pt idx="3216">
                  <c:v>42507</c:v>
                </c:pt>
                <c:pt idx="3217">
                  <c:v>42506</c:v>
                </c:pt>
                <c:pt idx="3218">
                  <c:v>42503</c:v>
                </c:pt>
                <c:pt idx="3219">
                  <c:v>42502</c:v>
                </c:pt>
                <c:pt idx="3220">
                  <c:v>42501</c:v>
                </c:pt>
                <c:pt idx="3221">
                  <c:v>42500</c:v>
                </c:pt>
                <c:pt idx="3222">
                  <c:v>42499</c:v>
                </c:pt>
                <c:pt idx="3223">
                  <c:v>42496</c:v>
                </c:pt>
                <c:pt idx="3224">
                  <c:v>42495</c:v>
                </c:pt>
                <c:pt idx="3225">
                  <c:v>42494</c:v>
                </c:pt>
                <c:pt idx="3226">
                  <c:v>42493</c:v>
                </c:pt>
                <c:pt idx="3227">
                  <c:v>42492</c:v>
                </c:pt>
                <c:pt idx="3228">
                  <c:v>42489</c:v>
                </c:pt>
                <c:pt idx="3229">
                  <c:v>42488</c:v>
                </c:pt>
                <c:pt idx="3230">
                  <c:v>42487</c:v>
                </c:pt>
                <c:pt idx="3231">
                  <c:v>42486</c:v>
                </c:pt>
                <c:pt idx="3232">
                  <c:v>42485</c:v>
                </c:pt>
                <c:pt idx="3233">
                  <c:v>42482</c:v>
                </c:pt>
                <c:pt idx="3234">
                  <c:v>42481</c:v>
                </c:pt>
                <c:pt idx="3235">
                  <c:v>42480</c:v>
                </c:pt>
                <c:pt idx="3236">
                  <c:v>42479</c:v>
                </c:pt>
                <c:pt idx="3237">
                  <c:v>42478</c:v>
                </c:pt>
                <c:pt idx="3238">
                  <c:v>42475</c:v>
                </c:pt>
                <c:pt idx="3239">
                  <c:v>42474</c:v>
                </c:pt>
                <c:pt idx="3240">
                  <c:v>42473</c:v>
                </c:pt>
                <c:pt idx="3241">
                  <c:v>42472</c:v>
                </c:pt>
                <c:pt idx="3242">
                  <c:v>42471</c:v>
                </c:pt>
                <c:pt idx="3243">
                  <c:v>42468</c:v>
                </c:pt>
                <c:pt idx="3244">
                  <c:v>42467</c:v>
                </c:pt>
                <c:pt idx="3245">
                  <c:v>42466</c:v>
                </c:pt>
                <c:pt idx="3246">
                  <c:v>42465</c:v>
                </c:pt>
                <c:pt idx="3247">
                  <c:v>42464</c:v>
                </c:pt>
                <c:pt idx="3248">
                  <c:v>42461</c:v>
                </c:pt>
                <c:pt idx="3249">
                  <c:v>42460</c:v>
                </c:pt>
                <c:pt idx="3250">
                  <c:v>42459</c:v>
                </c:pt>
                <c:pt idx="3251">
                  <c:v>42458</c:v>
                </c:pt>
                <c:pt idx="3252">
                  <c:v>42457</c:v>
                </c:pt>
                <c:pt idx="3253">
                  <c:v>42453</c:v>
                </c:pt>
                <c:pt idx="3254">
                  <c:v>42452</c:v>
                </c:pt>
                <c:pt idx="3255">
                  <c:v>42451</c:v>
                </c:pt>
                <c:pt idx="3256">
                  <c:v>42450</c:v>
                </c:pt>
                <c:pt idx="3257">
                  <c:v>42447</c:v>
                </c:pt>
                <c:pt idx="3258">
                  <c:v>42446</c:v>
                </c:pt>
                <c:pt idx="3259">
                  <c:v>42445</c:v>
                </c:pt>
                <c:pt idx="3260">
                  <c:v>42444</c:v>
                </c:pt>
                <c:pt idx="3261">
                  <c:v>42443</c:v>
                </c:pt>
                <c:pt idx="3262">
                  <c:v>42440</c:v>
                </c:pt>
                <c:pt idx="3263">
                  <c:v>42439</c:v>
                </c:pt>
                <c:pt idx="3264">
                  <c:v>42438</c:v>
                </c:pt>
                <c:pt idx="3265">
                  <c:v>42437</c:v>
                </c:pt>
                <c:pt idx="3266">
                  <c:v>42436</c:v>
                </c:pt>
                <c:pt idx="3267">
                  <c:v>42433</c:v>
                </c:pt>
                <c:pt idx="3268">
                  <c:v>42432</c:v>
                </c:pt>
                <c:pt idx="3269">
                  <c:v>42431</c:v>
                </c:pt>
                <c:pt idx="3270">
                  <c:v>42430</c:v>
                </c:pt>
                <c:pt idx="3271">
                  <c:v>42429</c:v>
                </c:pt>
                <c:pt idx="3272">
                  <c:v>42426</c:v>
                </c:pt>
                <c:pt idx="3273">
                  <c:v>42425</c:v>
                </c:pt>
                <c:pt idx="3274">
                  <c:v>42424</c:v>
                </c:pt>
                <c:pt idx="3275">
                  <c:v>42423</c:v>
                </c:pt>
                <c:pt idx="3276">
                  <c:v>42422</c:v>
                </c:pt>
                <c:pt idx="3277">
                  <c:v>42419</c:v>
                </c:pt>
                <c:pt idx="3278">
                  <c:v>42418</c:v>
                </c:pt>
                <c:pt idx="3279">
                  <c:v>42417</c:v>
                </c:pt>
                <c:pt idx="3280">
                  <c:v>42416</c:v>
                </c:pt>
                <c:pt idx="3281">
                  <c:v>42412</c:v>
                </c:pt>
                <c:pt idx="3282">
                  <c:v>42411</c:v>
                </c:pt>
                <c:pt idx="3283">
                  <c:v>42410</c:v>
                </c:pt>
                <c:pt idx="3284">
                  <c:v>42409</c:v>
                </c:pt>
                <c:pt idx="3285">
                  <c:v>42408</c:v>
                </c:pt>
                <c:pt idx="3286">
                  <c:v>42405</c:v>
                </c:pt>
                <c:pt idx="3287">
                  <c:v>42404</c:v>
                </c:pt>
                <c:pt idx="3288">
                  <c:v>42403</c:v>
                </c:pt>
                <c:pt idx="3289">
                  <c:v>42402</c:v>
                </c:pt>
                <c:pt idx="3290">
                  <c:v>42401</c:v>
                </c:pt>
                <c:pt idx="3291">
                  <c:v>42398</c:v>
                </c:pt>
                <c:pt idx="3292">
                  <c:v>42397</c:v>
                </c:pt>
                <c:pt idx="3293">
                  <c:v>42396</c:v>
                </c:pt>
                <c:pt idx="3294">
                  <c:v>42395</c:v>
                </c:pt>
                <c:pt idx="3295">
                  <c:v>42394</c:v>
                </c:pt>
                <c:pt idx="3296">
                  <c:v>42391</c:v>
                </c:pt>
                <c:pt idx="3297">
                  <c:v>42390</c:v>
                </c:pt>
                <c:pt idx="3298">
                  <c:v>42389</c:v>
                </c:pt>
                <c:pt idx="3299">
                  <c:v>42388</c:v>
                </c:pt>
                <c:pt idx="3300">
                  <c:v>42384</c:v>
                </c:pt>
                <c:pt idx="3301">
                  <c:v>42383</c:v>
                </c:pt>
                <c:pt idx="3302">
                  <c:v>42382</c:v>
                </c:pt>
                <c:pt idx="3303">
                  <c:v>42381</c:v>
                </c:pt>
                <c:pt idx="3304">
                  <c:v>42380</c:v>
                </c:pt>
                <c:pt idx="3305">
                  <c:v>42377</c:v>
                </c:pt>
                <c:pt idx="3306">
                  <c:v>42376</c:v>
                </c:pt>
                <c:pt idx="3307">
                  <c:v>42375</c:v>
                </c:pt>
                <c:pt idx="3308">
                  <c:v>42374</c:v>
                </c:pt>
                <c:pt idx="3309">
                  <c:v>42373</c:v>
                </c:pt>
                <c:pt idx="3310">
                  <c:v>42369</c:v>
                </c:pt>
                <c:pt idx="3311">
                  <c:v>42368</c:v>
                </c:pt>
                <c:pt idx="3312">
                  <c:v>42367</c:v>
                </c:pt>
                <c:pt idx="3313">
                  <c:v>42366</c:v>
                </c:pt>
                <c:pt idx="3314">
                  <c:v>42362</c:v>
                </c:pt>
                <c:pt idx="3315">
                  <c:v>42361</c:v>
                </c:pt>
                <c:pt idx="3316">
                  <c:v>42360</c:v>
                </c:pt>
                <c:pt idx="3317">
                  <c:v>42359</c:v>
                </c:pt>
                <c:pt idx="3318">
                  <c:v>42356</c:v>
                </c:pt>
                <c:pt idx="3319">
                  <c:v>42355</c:v>
                </c:pt>
                <c:pt idx="3320">
                  <c:v>42354</c:v>
                </c:pt>
                <c:pt idx="3321">
                  <c:v>42353</c:v>
                </c:pt>
                <c:pt idx="3322">
                  <c:v>42352</c:v>
                </c:pt>
              </c:numCache>
            </c:numRef>
          </c:cat>
          <c:val>
            <c:numRef>
              <c:f>'AMZN daily'!$I$8:$I$3330</c:f>
              <c:numCache>
                <c:formatCode>#,##0_);[Red]\(#,##0\)</c:formatCode>
                <c:ptCount val="3323"/>
                <c:pt idx="0">
                  <c:v>33011277</c:v>
                </c:pt>
                <c:pt idx="1">
                  <c:v>28249600</c:v>
                </c:pt>
                <c:pt idx="2">
                  <c:v>38790700</c:v>
                </c:pt>
                <c:pt idx="3">
                  <c:v>25841700</c:v>
                </c:pt>
                <c:pt idx="4">
                  <c:v>35019200</c:v>
                </c:pt>
                <c:pt idx="5">
                  <c:v>33117400</c:v>
                </c:pt>
                <c:pt idx="6">
                  <c:v>45683200</c:v>
                </c:pt>
                <c:pt idx="7">
                  <c:v>35495100</c:v>
                </c:pt>
                <c:pt idx="8">
                  <c:v>45785400</c:v>
                </c:pt>
                <c:pt idx="9">
                  <c:v>42904000</c:v>
                </c:pt>
                <c:pt idx="10">
                  <c:v>20292300</c:v>
                </c:pt>
                <c:pt idx="11">
                  <c:v>38497900</c:v>
                </c:pt>
                <c:pt idx="12">
                  <c:v>39379300</c:v>
                </c:pt>
                <c:pt idx="13">
                  <c:v>54318400</c:v>
                </c:pt>
                <c:pt idx="14">
                  <c:v>68490500</c:v>
                </c:pt>
                <c:pt idx="15">
                  <c:v>50309000</c:v>
                </c:pt>
                <c:pt idx="16">
                  <c:v>58335600</c:v>
                </c:pt>
                <c:pt idx="17">
                  <c:v>60608400</c:v>
                </c:pt>
                <c:pt idx="18">
                  <c:v>59919000</c:v>
                </c:pt>
                <c:pt idx="19">
                  <c:v>38956700</c:v>
                </c:pt>
                <c:pt idx="20">
                  <c:v>41401700</c:v>
                </c:pt>
                <c:pt idx="21">
                  <c:v>31190100</c:v>
                </c:pt>
                <c:pt idx="22">
                  <c:v>23564100</c:v>
                </c:pt>
                <c:pt idx="23">
                  <c:v>36476500</c:v>
                </c:pt>
                <c:pt idx="24">
                  <c:v>46374300</c:v>
                </c:pt>
                <c:pt idx="25">
                  <c:v>46004200</c:v>
                </c:pt>
                <c:pt idx="26">
                  <c:v>40610700</c:v>
                </c:pt>
                <c:pt idx="27">
                  <c:v>51546300</c:v>
                </c:pt>
                <c:pt idx="28">
                  <c:v>95997800</c:v>
                </c:pt>
                <c:pt idx="29">
                  <c:v>166340800</c:v>
                </c:pt>
                <c:pt idx="30">
                  <c:v>102252900</c:v>
                </c:pt>
                <c:pt idx="31">
                  <c:v>52036200</c:v>
                </c:pt>
                <c:pt idx="32">
                  <c:v>47100000</c:v>
                </c:pt>
                <c:pt idx="33">
                  <c:v>38267000</c:v>
                </c:pt>
                <c:pt idx="34">
                  <c:v>38685100</c:v>
                </c:pt>
                <c:pt idx="35">
                  <c:v>31540000</c:v>
                </c:pt>
                <c:pt idx="36">
                  <c:v>44308500</c:v>
                </c:pt>
                <c:pt idx="37">
                  <c:v>50494600</c:v>
                </c:pt>
                <c:pt idx="38">
                  <c:v>38882800</c:v>
                </c:pt>
                <c:pt idx="39">
                  <c:v>45986900</c:v>
                </c:pt>
                <c:pt idx="40">
                  <c:v>42414600</c:v>
                </c:pt>
                <c:pt idx="41">
                  <c:v>45909500</c:v>
                </c:pt>
                <c:pt idx="42">
                  <c:v>45665600</c:v>
                </c:pt>
                <c:pt idx="43">
                  <c:v>37809700</c:v>
                </c:pt>
                <c:pt idx="44">
                  <c:v>72367500</c:v>
                </c:pt>
                <c:pt idx="45">
                  <c:v>46412100</c:v>
                </c:pt>
                <c:pt idx="46">
                  <c:v>46686000</c:v>
                </c:pt>
                <c:pt idx="47">
                  <c:v>31194700</c:v>
                </c:pt>
                <c:pt idx="48">
                  <c:v>43690900</c:v>
                </c:pt>
                <c:pt idx="49">
                  <c:v>43639000</c:v>
                </c:pt>
                <c:pt idx="50">
                  <c:v>41258600</c:v>
                </c:pt>
                <c:pt idx="51">
                  <c:v>43933800</c:v>
                </c:pt>
                <c:pt idx="52">
                  <c:v>48396400</c:v>
                </c:pt>
                <c:pt idx="53">
                  <c:v>44259200</c:v>
                </c:pt>
                <c:pt idx="54">
                  <c:v>41650100</c:v>
                </c:pt>
                <c:pt idx="55">
                  <c:v>52226300</c:v>
                </c:pt>
                <c:pt idx="56">
                  <c:v>49509000</c:v>
                </c:pt>
                <c:pt idx="57">
                  <c:v>70956200</c:v>
                </c:pt>
                <c:pt idx="58">
                  <c:v>45914500</c:v>
                </c:pt>
                <c:pt idx="59">
                  <c:v>97943200</c:v>
                </c:pt>
                <c:pt idx="60">
                  <c:v>37931700</c:v>
                </c:pt>
                <c:pt idx="61">
                  <c:v>42815200</c:v>
                </c:pt>
                <c:pt idx="62">
                  <c:v>38203900</c:v>
                </c:pt>
                <c:pt idx="63">
                  <c:v>33243300</c:v>
                </c:pt>
                <c:pt idx="64">
                  <c:v>38496200</c:v>
                </c:pt>
                <c:pt idx="65">
                  <c:v>37485600</c:v>
                </c:pt>
                <c:pt idx="66">
                  <c:v>60907700</c:v>
                </c:pt>
                <c:pt idx="67">
                  <c:v>27033800</c:v>
                </c:pt>
                <c:pt idx="68">
                  <c:v>33947100</c:v>
                </c:pt>
                <c:pt idx="69">
                  <c:v>36721800</c:v>
                </c:pt>
                <c:pt idx="70">
                  <c:v>59391800</c:v>
                </c:pt>
                <c:pt idx="71">
                  <c:v>29223100</c:v>
                </c:pt>
                <c:pt idx="72">
                  <c:v>38843900</c:v>
                </c:pt>
                <c:pt idx="73">
                  <c:v>26199200</c:v>
                </c:pt>
                <c:pt idx="74">
                  <c:v>33679600</c:v>
                </c:pt>
                <c:pt idx="75">
                  <c:v>21254500</c:v>
                </c:pt>
                <c:pt idx="76">
                  <c:v>26105400</c:v>
                </c:pt>
                <c:pt idx="77">
                  <c:v>22633700</c:v>
                </c:pt>
                <c:pt idx="78">
                  <c:v>37315300</c:v>
                </c:pt>
                <c:pt idx="79">
                  <c:v>32140500</c:v>
                </c:pt>
                <c:pt idx="80">
                  <c:v>36604300</c:v>
                </c:pt>
                <c:pt idx="81">
                  <c:v>29891000</c:v>
                </c:pt>
                <c:pt idx="82">
                  <c:v>25248900</c:v>
                </c:pt>
                <c:pt idx="83">
                  <c:v>39649200</c:v>
                </c:pt>
                <c:pt idx="84">
                  <c:v>61545800</c:v>
                </c:pt>
                <c:pt idx="85">
                  <c:v>36508300</c:v>
                </c:pt>
                <c:pt idx="86">
                  <c:v>37185800</c:v>
                </c:pt>
                <c:pt idx="87">
                  <c:v>31646200</c:v>
                </c:pt>
                <c:pt idx="88">
                  <c:v>32970500</c:v>
                </c:pt>
                <c:pt idx="89">
                  <c:v>40603500</c:v>
                </c:pt>
                <c:pt idx="90">
                  <c:v>54823000</c:v>
                </c:pt>
                <c:pt idx="91">
                  <c:v>51505100</c:v>
                </c:pt>
                <c:pt idx="92">
                  <c:v>77890100</c:v>
                </c:pt>
                <c:pt idx="93">
                  <c:v>122258800</c:v>
                </c:pt>
                <c:pt idx="94">
                  <c:v>104357300</c:v>
                </c:pt>
                <c:pt idx="95">
                  <c:v>32993300</c:v>
                </c:pt>
                <c:pt idx="96">
                  <c:v>33716200</c:v>
                </c:pt>
                <c:pt idx="97">
                  <c:v>26300100</c:v>
                </c:pt>
                <c:pt idx="98">
                  <c:v>28712100</c:v>
                </c:pt>
                <c:pt idx="99">
                  <c:v>42902300</c:v>
                </c:pt>
                <c:pt idx="100">
                  <c:v>28294900</c:v>
                </c:pt>
                <c:pt idx="101">
                  <c:v>37483700</c:v>
                </c:pt>
                <c:pt idx="102">
                  <c:v>40297600</c:v>
                </c:pt>
                <c:pt idx="103">
                  <c:v>37833800</c:v>
                </c:pt>
                <c:pt idx="104">
                  <c:v>31855800</c:v>
                </c:pt>
                <c:pt idx="105">
                  <c:v>39535900</c:v>
                </c:pt>
                <c:pt idx="106">
                  <c:v>34907300</c:v>
                </c:pt>
                <c:pt idx="107">
                  <c:v>35702600</c:v>
                </c:pt>
                <c:pt idx="108">
                  <c:v>50518300</c:v>
                </c:pt>
                <c:pt idx="109">
                  <c:v>30370600</c:v>
                </c:pt>
                <c:pt idx="110">
                  <c:v>38155100</c:v>
                </c:pt>
                <c:pt idx="111">
                  <c:v>45692000</c:v>
                </c:pt>
                <c:pt idx="112">
                  <c:v>36604100</c:v>
                </c:pt>
                <c:pt idx="113">
                  <c:v>29632400</c:v>
                </c:pt>
                <c:pt idx="114">
                  <c:v>30894200</c:v>
                </c:pt>
                <c:pt idx="115">
                  <c:v>39256800</c:v>
                </c:pt>
                <c:pt idx="116">
                  <c:v>58887800</c:v>
                </c:pt>
                <c:pt idx="117">
                  <c:v>119217100</c:v>
                </c:pt>
                <c:pt idx="118">
                  <c:v>50480800</c:v>
                </c:pt>
                <c:pt idx="119">
                  <c:v>31755700</c:v>
                </c:pt>
                <c:pt idx="120">
                  <c:v>38378800</c:v>
                </c:pt>
                <c:pt idx="121">
                  <c:v>37311700</c:v>
                </c:pt>
                <c:pt idx="122">
                  <c:v>75350700</c:v>
                </c:pt>
                <c:pt idx="123">
                  <c:v>44360500</c:v>
                </c:pt>
                <c:pt idx="124">
                  <c:v>32086300</c:v>
                </c:pt>
                <c:pt idx="125">
                  <c:v>33284200</c:v>
                </c:pt>
                <c:pt idx="126">
                  <c:v>29337800</c:v>
                </c:pt>
                <c:pt idx="127">
                  <c:v>27640000</c:v>
                </c:pt>
                <c:pt idx="128">
                  <c:v>39326000</c:v>
                </c:pt>
                <c:pt idx="129">
                  <c:v>31303300</c:v>
                </c:pt>
                <c:pt idx="130">
                  <c:v>38102500</c:v>
                </c:pt>
                <c:pt idx="131">
                  <c:v>39832500</c:v>
                </c:pt>
                <c:pt idx="132">
                  <c:v>51864200</c:v>
                </c:pt>
                <c:pt idx="133">
                  <c:v>29915600</c:v>
                </c:pt>
                <c:pt idx="134">
                  <c:v>33139100</c:v>
                </c:pt>
                <c:pt idx="135">
                  <c:v>29113300</c:v>
                </c:pt>
                <c:pt idx="136">
                  <c:v>51679400</c:v>
                </c:pt>
                <c:pt idx="137">
                  <c:v>34650000</c:v>
                </c:pt>
                <c:pt idx="138">
                  <c:v>28549800</c:v>
                </c:pt>
                <c:pt idx="139">
                  <c:v>34892000</c:v>
                </c:pt>
                <c:pt idx="140">
                  <c:v>33393500</c:v>
                </c:pt>
                <c:pt idx="141">
                  <c:v>38938900</c:v>
                </c:pt>
                <c:pt idx="142">
                  <c:v>42460900</c:v>
                </c:pt>
                <c:pt idx="143">
                  <c:v>29470400</c:v>
                </c:pt>
                <c:pt idx="144">
                  <c:v>34314800</c:v>
                </c:pt>
                <c:pt idx="145">
                  <c:v>43318500</c:v>
                </c:pt>
                <c:pt idx="146">
                  <c:v>64347300</c:v>
                </c:pt>
                <c:pt idx="147">
                  <c:v>38492100</c:v>
                </c:pt>
                <c:pt idx="148">
                  <c:v>56193700</c:v>
                </c:pt>
                <c:pt idx="149">
                  <c:v>75205000</c:v>
                </c:pt>
                <c:pt idx="150">
                  <c:v>29663100</c:v>
                </c:pt>
                <c:pt idx="151">
                  <c:v>41043600</c:v>
                </c:pt>
                <c:pt idx="152">
                  <c:v>43948600</c:v>
                </c:pt>
                <c:pt idx="153">
                  <c:v>29314100</c:v>
                </c:pt>
                <c:pt idx="154">
                  <c:v>35217500</c:v>
                </c:pt>
                <c:pt idx="155">
                  <c:v>77903500</c:v>
                </c:pt>
                <c:pt idx="156">
                  <c:v>74266000</c:v>
                </c:pt>
                <c:pt idx="157">
                  <c:v>55176500</c:v>
                </c:pt>
                <c:pt idx="158">
                  <c:v>41667300</c:v>
                </c:pt>
                <c:pt idx="159">
                  <c:v>33224700</c:v>
                </c:pt>
                <c:pt idx="160">
                  <c:v>36414300</c:v>
                </c:pt>
                <c:pt idx="161">
                  <c:v>43763200</c:v>
                </c:pt>
                <c:pt idx="162">
                  <c:v>63470100</c:v>
                </c:pt>
                <c:pt idx="163">
                  <c:v>56607200</c:v>
                </c:pt>
                <c:pt idx="164">
                  <c:v>48126100</c:v>
                </c:pt>
                <c:pt idx="165">
                  <c:v>44726500</c:v>
                </c:pt>
                <c:pt idx="166">
                  <c:v>51875300</c:v>
                </c:pt>
                <c:pt idx="167">
                  <c:v>43642000</c:v>
                </c:pt>
                <c:pt idx="168">
                  <c:v>48002500</c:v>
                </c:pt>
                <c:pt idx="169">
                  <c:v>50594300</c:v>
                </c:pt>
                <c:pt idx="170">
                  <c:v>68302000</c:v>
                </c:pt>
                <c:pt idx="171">
                  <c:v>116804300</c:v>
                </c:pt>
                <c:pt idx="172">
                  <c:v>87710400</c:v>
                </c:pt>
                <c:pt idx="173">
                  <c:v>109327100</c:v>
                </c:pt>
                <c:pt idx="174">
                  <c:v>123159400</c:v>
                </c:pt>
                <c:pt idx="175">
                  <c:v>95553600</c:v>
                </c:pt>
                <c:pt idx="176">
                  <c:v>53679200</c:v>
                </c:pt>
                <c:pt idx="177">
                  <c:v>41267300</c:v>
                </c:pt>
                <c:pt idx="178">
                  <c:v>63547600</c:v>
                </c:pt>
                <c:pt idx="179">
                  <c:v>52548200</c:v>
                </c:pt>
                <c:pt idx="180">
                  <c:v>27317700</c:v>
                </c:pt>
                <c:pt idx="181">
                  <c:v>32855300</c:v>
                </c:pt>
                <c:pt idx="182">
                  <c:v>31171200</c:v>
                </c:pt>
                <c:pt idx="183">
                  <c:v>41625400</c:v>
                </c:pt>
                <c:pt idx="184">
                  <c:v>60056900</c:v>
                </c:pt>
                <c:pt idx="185">
                  <c:v>38921100</c:v>
                </c:pt>
                <c:pt idx="186">
                  <c:v>39442900</c:v>
                </c:pt>
                <c:pt idx="187">
                  <c:v>40414900</c:v>
                </c:pt>
                <c:pt idx="188">
                  <c:v>47341800</c:v>
                </c:pt>
                <c:pt idx="189">
                  <c:v>38096700</c:v>
                </c:pt>
                <c:pt idx="190">
                  <c:v>41270800</c:v>
                </c:pt>
                <c:pt idx="191">
                  <c:v>43679300</c:v>
                </c:pt>
                <c:pt idx="192">
                  <c:v>54002900</c:v>
                </c:pt>
                <c:pt idx="193">
                  <c:v>62350900</c:v>
                </c:pt>
                <c:pt idx="194">
                  <c:v>59802800</c:v>
                </c:pt>
                <c:pt idx="195">
                  <c:v>49863800</c:v>
                </c:pt>
                <c:pt idx="196">
                  <c:v>38610100</c:v>
                </c:pt>
                <c:pt idx="197">
                  <c:v>60853100</c:v>
                </c:pt>
                <c:pt idx="198">
                  <c:v>42948400</c:v>
                </c:pt>
                <c:pt idx="199">
                  <c:v>51771700</c:v>
                </c:pt>
                <c:pt idx="200">
                  <c:v>40548600</c:v>
                </c:pt>
                <c:pt idx="201">
                  <c:v>39120600</c:v>
                </c:pt>
                <c:pt idx="202">
                  <c:v>58958000</c:v>
                </c:pt>
                <c:pt idx="203">
                  <c:v>42387600</c:v>
                </c:pt>
                <c:pt idx="204">
                  <c:v>55323900</c:v>
                </c:pt>
                <c:pt idx="205">
                  <c:v>30001700</c:v>
                </c:pt>
                <c:pt idx="206">
                  <c:v>28566700</c:v>
                </c:pt>
                <c:pt idx="207">
                  <c:v>42975100</c:v>
                </c:pt>
                <c:pt idx="208">
                  <c:v>27031100</c:v>
                </c:pt>
                <c:pt idx="209">
                  <c:v>31346500</c:v>
                </c:pt>
                <c:pt idx="210">
                  <c:v>32285200</c:v>
                </c:pt>
                <c:pt idx="211">
                  <c:v>23713700</c:v>
                </c:pt>
                <c:pt idx="212">
                  <c:v>35419900</c:v>
                </c:pt>
                <c:pt idx="213">
                  <c:v>77539300</c:v>
                </c:pt>
                <c:pt idx="214">
                  <c:v>60897100</c:v>
                </c:pt>
                <c:pt idx="215">
                  <c:v>38727300</c:v>
                </c:pt>
                <c:pt idx="216">
                  <c:v>29713800</c:v>
                </c:pt>
                <c:pt idx="217">
                  <c:v>37285900</c:v>
                </c:pt>
                <c:pt idx="218">
                  <c:v>36110200</c:v>
                </c:pt>
                <c:pt idx="219">
                  <c:v>32020700</c:v>
                </c:pt>
                <c:pt idx="220">
                  <c:v>26091700</c:v>
                </c:pt>
                <c:pt idx="221">
                  <c:v>41587200</c:v>
                </c:pt>
                <c:pt idx="222">
                  <c:v>49428300</c:v>
                </c:pt>
                <c:pt idx="223">
                  <c:v>25890700</c:v>
                </c:pt>
                <c:pt idx="224">
                  <c:v>26404400</c:v>
                </c:pt>
                <c:pt idx="225">
                  <c:v>41448200</c:v>
                </c:pt>
                <c:pt idx="226">
                  <c:v>39951500</c:v>
                </c:pt>
                <c:pt idx="227">
                  <c:v>42370100</c:v>
                </c:pt>
                <c:pt idx="228">
                  <c:v>24757300</c:v>
                </c:pt>
                <c:pt idx="229">
                  <c:v>31291300</c:v>
                </c:pt>
                <c:pt idx="230">
                  <c:v>24711700</c:v>
                </c:pt>
                <c:pt idx="231">
                  <c:v>27262700</c:v>
                </c:pt>
                <c:pt idx="232">
                  <c:v>36811500</c:v>
                </c:pt>
                <c:pt idx="233">
                  <c:v>25033300</c:v>
                </c:pt>
                <c:pt idx="234">
                  <c:v>28084200</c:v>
                </c:pt>
                <c:pt idx="235">
                  <c:v>31849800</c:v>
                </c:pt>
                <c:pt idx="236">
                  <c:v>27515600</c:v>
                </c:pt>
                <c:pt idx="237">
                  <c:v>33956600</c:v>
                </c:pt>
                <c:pt idx="238">
                  <c:v>24819700</c:v>
                </c:pt>
                <c:pt idx="239">
                  <c:v>28321200</c:v>
                </c:pt>
                <c:pt idx="240">
                  <c:v>27367100</c:v>
                </c:pt>
                <c:pt idx="241">
                  <c:v>16146700</c:v>
                </c:pt>
                <c:pt idx="242">
                  <c:v>15007500</c:v>
                </c:pt>
                <c:pt idx="243">
                  <c:v>28070000</c:v>
                </c:pt>
                <c:pt idx="244">
                  <c:v>88279200</c:v>
                </c:pt>
                <c:pt idx="245">
                  <c:v>39918700</c:v>
                </c:pt>
                <c:pt idx="246">
                  <c:v>43281400</c:v>
                </c:pt>
                <c:pt idx="247">
                  <c:v>35948100</c:v>
                </c:pt>
                <c:pt idx="248">
                  <c:v>37552100</c:v>
                </c:pt>
                <c:pt idx="249">
                  <c:v>28768100</c:v>
                </c:pt>
                <c:pt idx="250">
                  <c:v>28204100</c:v>
                </c:pt>
                <c:pt idx="251">
                  <c:v>35385800</c:v>
                </c:pt>
                <c:pt idx="252">
                  <c:v>31199900</c:v>
                </c:pt>
                <c:pt idx="253">
                  <c:v>46819400</c:v>
                </c:pt>
                <c:pt idx="254">
                  <c:v>44178100</c:v>
                </c:pt>
                <c:pt idx="255">
                  <c:v>41140200</c:v>
                </c:pt>
                <c:pt idx="256">
                  <c:v>48745700</c:v>
                </c:pt>
                <c:pt idx="257">
                  <c:v>32214800</c:v>
                </c:pt>
                <c:pt idx="258">
                  <c:v>39523200</c:v>
                </c:pt>
                <c:pt idx="259">
                  <c:v>24892400</c:v>
                </c:pt>
                <c:pt idx="260">
                  <c:v>28061600</c:v>
                </c:pt>
                <c:pt idx="261">
                  <c:v>41673700</c:v>
                </c:pt>
                <c:pt idx="262">
                  <c:v>40685700</c:v>
                </c:pt>
                <c:pt idx="263">
                  <c:v>31530800</c:v>
                </c:pt>
                <c:pt idx="264">
                  <c:v>58800000</c:v>
                </c:pt>
                <c:pt idx="265">
                  <c:v>32769000</c:v>
                </c:pt>
                <c:pt idx="266">
                  <c:v>31197900</c:v>
                </c:pt>
                <c:pt idx="267">
                  <c:v>36409900</c:v>
                </c:pt>
                <c:pt idx="268">
                  <c:v>86591100</c:v>
                </c:pt>
                <c:pt idx="269">
                  <c:v>42620300</c:v>
                </c:pt>
                <c:pt idx="270">
                  <c:v>46212900</c:v>
                </c:pt>
                <c:pt idx="271">
                  <c:v>38942900</c:v>
                </c:pt>
                <c:pt idx="272">
                  <c:v>35456000</c:v>
                </c:pt>
                <c:pt idx="273">
                  <c:v>36075800</c:v>
                </c:pt>
                <c:pt idx="274">
                  <c:v>52878400</c:v>
                </c:pt>
                <c:pt idx="275">
                  <c:v>72292200</c:v>
                </c:pt>
                <c:pt idx="276">
                  <c:v>30564800</c:v>
                </c:pt>
                <c:pt idx="277">
                  <c:v>38492100</c:v>
                </c:pt>
                <c:pt idx="278">
                  <c:v>99687800</c:v>
                </c:pt>
                <c:pt idx="279">
                  <c:v>75146800</c:v>
                </c:pt>
                <c:pt idx="280">
                  <c:v>37707600</c:v>
                </c:pt>
                <c:pt idx="281">
                  <c:v>35690200</c:v>
                </c:pt>
                <c:pt idx="282">
                  <c:v>27930800</c:v>
                </c:pt>
                <c:pt idx="283">
                  <c:v>29362100</c:v>
                </c:pt>
                <c:pt idx="284">
                  <c:v>21647400</c:v>
                </c:pt>
                <c:pt idx="285">
                  <c:v>31937100</c:v>
                </c:pt>
                <c:pt idx="286">
                  <c:v>29650600</c:v>
                </c:pt>
                <c:pt idx="287">
                  <c:v>24639400</c:v>
                </c:pt>
                <c:pt idx="288">
                  <c:v>37417700</c:v>
                </c:pt>
                <c:pt idx="289">
                  <c:v>25039400</c:v>
                </c:pt>
                <c:pt idx="290">
                  <c:v>23456800</c:v>
                </c:pt>
                <c:pt idx="291">
                  <c:v>32178900</c:v>
                </c:pt>
                <c:pt idx="292">
                  <c:v>22614400</c:v>
                </c:pt>
                <c:pt idx="293">
                  <c:v>25751600</c:v>
                </c:pt>
                <c:pt idx="294">
                  <c:v>27785000</c:v>
                </c:pt>
                <c:pt idx="295">
                  <c:v>26343100</c:v>
                </c:pt>
                <c:pt idx="296">
                  <c:v>26372100</c:v>
                </c:pt>
                <c:pt idx="297">
                  <c:v>42364200</c:v>
                </c:pt>
                <c:pt idx="298">
                  <c:v>40890300</c:v>
                </c:pt>
                <c:pt idx="299">
                  <c:v>30204300</c:v>
                </c:pt>
                <c:pt idx="300">
                  <c:v>23704100</c:v>
                </c:pt>
                <c:pt idx="301">
                  <c:v>36044900</c:v>
                </c:pt>
                <c:pt idx="302">
                  <c:v>41583900</c:v>
                </c:pt>
                <c:pt idx="303">
                  <c:v>36002300</c:v>
                </c:pt>
                <c:pt idx="304">
                  <c:v>36334900</c:v>
                </c:pt>
                <c:pt idx="305">
                  <c:v>26391100</c:v>
                </c:pt>
                <c:pt idx="306">
                  <c:v>43478900</c:v>
                </c:pt>
                <c:pt idx="307">
                  <c:v>36993100</c:v>
                </c:pt>
                <c:pt idx="308">
                  <c:v>100378600</c:v>
                </c:pt>
                <c:pt idx="309">
                  <c:v>39543200</c:v>
                </c:pt>
                <c:pt idx="310">
                  <c:v>34448100</c:v>
                </c:pt>
                <c:pt idx="311">
                  <c:v>26091700</c:v>
                </c:pt>
                <c:pt idx="312">
                  <c:v>26065500</c:v>
                </c:pt>
                <c:pt idx="313">
                  <c:v>26495400</c:v>
                </c:pt>
                <c:pt idx="314">
                  <c:v>33544200</c:v>
                </c:pt>
                <c:pt idx="315">
                  <c:v>42564700</c:v>
                </c:pt>
                <c:pt idx="316">
                  <c:v>36233800</c:v>
                </c:pt>
                <c:pt idx="317">
                  <c:v>29037400</c:v>
                </c:pt>
                <c:pt idx="318">
                  <c:v>41466500</c:v>
                </c:pt>
                <c:pt idx="319">
                  <c:v>40170500</c:v>
                </c:pt>
                <c:pt idx="320">
                  <c:v>30309200</c:v>
                </c:pt>
                <c:pt idx="321">
                  <c:v>37817500</c:v>
                </c:pt>
                <c:pt idx="322">
                  <c:v>43429400</c:v>
                </c:pt>
                <c:pt idx="323">
                  <c:v>26407800</c:v>
                </c:pt>
                <c:pt idx="324">
                  <c:v>29045000</c:v>
                </c:pt>
                <c:pt idx="325">
                  <c:v>29842000</c:v>
                </c:pt>
                <c:pt idx="326">
                  <c:v>22366200</c:v>
                </c:pt>
                <c:pt idx="327">
                  <c:v>29150100</c:v>
                </c:pt>
                <c:pt idx="328">
                  <c:v>32047500</c:v>
                </c:pt>
                <c:pt idx="329">
                  <c:v>35599100</c:v>
                </c:pt>
                <c:pt idx="330">
                  <c:v>26255200</c:v>
                </c:pt>
                <c:pt idx="331">
                  <c:v>31129800</c:v>
                </c:pt>
                <c:pt idx="332">
                  <c:v>31489200</c:v>
                </c:pt>
                <c:pt idx="333">
                  <c:v>51698500</c:v>
                </c:pt>
                <c:pt idx="334">
                  <c:v>28843800</c:v>
                </c:pt>
                <c:pt idx="335">
                  <c:v>39237900</c:v>
                </c:pt>
                <c:pt idx="336">
                  <c:v>30072800</c:v>
                </c:pt>
                <c:pt idx="337">
                  <c:v>36401000</c:v>
                </c:pt>
                <c:pt idx="338">
                  <c:v>44616200</c:v>
                </c:pt>
                <c:pt idx="339">
                  <c:v>48408200</c:v>
                </c:pt>
                <c:pt idx="340">
                  <c:v>59950800</c:v>
                </c:pt>
                <c:pt idx="341">
                  <c:v>83149400</c:v>
                </c:pt>
                <c:pt idx="342">
                  <c:v>141448400</c:v>
                </c:pt>
                <c:pt idx="343">
                  <c:v>70435600</c:v>
                </c:pt>
                <c:pt idx="344">
                  <c:v>41667300</c:v>
                </c:pt>
                <c:pt idx="345">
                  <c:v>39508600</c:v>
                </c:pt>
                <c:pt idx="346">
                  <c:v>33270100</c:v>
                </c:pt>
                <c:pt idx="347">
                  <c:v>29506000</c:v>
                </c:pt>
                <c:pt idx="348">
                  <c:v>44464200</c:v>
                </c:pt>
                <c:pt idx="349">
                  <c:v>41532400</c:v>
                </c:pt>
                <c:pt idx="350">
                  <c:v>47537700</c:v>
                </c:pt>
                <c:pt idx="351">
                  <c:v>39931900</c:v>
                </c:pt>
                <c:pt idx="352">
                  <c:v>43081800</c:v>
                </c:pt>
                <c:pt idx="353">
                  <c:v>51043600</c:v>
                </c:pt>
                <c:pt idx="354">
                  <c:v>48076100</c:v>
                </c:pt>
                <c:pt idx="355">
                  <c:v>33994700</c:v>
                </c:pt>
                <c:pt idx="356">
                  <c:v>40683200</c:v>
                </c:pt>
                <c:pt idx="357">
                  <c:v>30598500</c:v>
                </c:pt>
                <c:pt idx="358">
                  <c:v>44565000</c:v>
                </c:pt>
                <c:pt idx="359">
                  <c:v>32883800</c:v>
                </c:pt>
                <c:pt idx="360">
                  <c:v>32700100</c:v>
                </c:pt>
                <c:pt idx="361">
                  <c:v>34767300</c:v>
                </c:pt>
                <c:pt idx="362">
                  <c:v>39858900</c:v>
                </c:pt>
                <c:pt idx="363">
                  <c:v>31597900</c:v>
                </c:pt>
                <c:pt idx="364">
                  <c:v>45600000</c:v>
                </c:pt>
                <c:pt idx="365">
                  <c:v>41192000</c:v>
                </c:pt>
                <c:pt idx="366">
                  <c:v>76930200</c:v>
                </c:pt>
                <c:pt idx="367">
                  <c:v>74397500</c:v>
                </c:pt>
                <c:pt idx="368">
                  <c:v>65103900</c:v>
                </c:pt>
                <c:pt idx="369">
                  <c:v>45366400</c:v>
                </c:pt>
                <c:pt idx="370">
                  <c:v>50610400</c:v>
                </c:pt>
                <c:pt idx="371">
                  <c:v>70792500</c:v>
                </c:pt>
                <c:pt idx="372">
                  <c:v>44726800</c:v>
                </c:pt>
                <c:pt idx="373">
                  <c:v>36659200</c:v>
                </c:pt>
                <c:pt idx="374">
                  <c:v>35601900</c:v>
                </c:pt>
                <c:pt idx="375">
                  <c:v>25456400</c:v>
                </c:pt>
                <c:pt idx="376">
                  <c:v>39721500</c:v>
                </c:pt>
                <c:pt idx="377">
                  <c:v>33984200</c:v>
                </c:pt>
                <c:pt idx="378">
                  <c:v>27265100</c:v>
                </c:pt>
                <c:pt idx="379">
                  <c:v>34445600</c:v>
                </c:pt>
                <c:pt idx="380">
                  <c:v>28021500</c:v>
                </c:pt>
                <c:pt idx="381">
                  <c:v>31371200</c:v>
                </c:pt>
                <c:pt idx="382">
                  <c:v>32116400</c:v>
                </c:pt>
                <c:pt idx="383">
                  <c:v>27198400</c:v>
                </c:pt>
                <c:pt idx="384">
                  <c:v>30786600</c:v>
                </c:pt>
                <c:pt idx="385">
                  <c:v>58903900</c:v>
                </c:pt>
                <c:pt idx="386">
                  <c:v>29184700</c:v>
                </c:pt>
                <c:pt idx="387">
                  <c:v>32009300</c:v>
                </c:pt>
                <c:pt idx="388">
                  <c:v>29927000</c:v>
                </c:pt>
                <c:pt idx="389">
                  <c:v>27471600</c:v>
                </c:pt>
                <c:pt idx="390">
                  <c:v>33670200</c:v>
                </c:pt>
                <c:pt idx="391">
                  <c:v>28148800</c:v>
                </c:pt>
                <c:pt idx="392">
                  <c:v>50839100</c:v>
                </c:pt>
                <c:pt idx="393">
                  <c:v>30511800</c:v>
                </c:pt>
                <c:pt idx="394">
                  <c:v>33175700</c:v>
                </c:pt>
                <c:pt idx="395">
                  <c:v>38834500</c:v>
                </c:pt>
                <c:pt idx="396">
                  <c:v>75459900</c:v>
                </c:pt>
                <c:pt idx="397">
                  <c:v>38698200</c:v>
                </c:pt>
                <c:pt idx="398">
                  <c:v>24898600</c:v>
                </c:pt>
                <c:pt idx="399">
                  <c:v>34141800</c:v>
                </c:pt>
                <c:pt idx="400">
                  <c:v>43368400</c:v>
                </c:pt>
                <c:pt idx="401">
                  <c:v>26136400</c:v>
                </c:pt>
                <c:pt idx="402">
                  <c:v>34048900</c:v>
                </c:pt>
                <c:pt idx="403">
                  <c:v>34725300</c:v>
                </c:pt>
                <c:pt idx="404">
                  <c:v>39172000</c:v>
                </c:pt>
                <c:pt idx="405">
                  <c:v>54303500</c:v>
                </c:pt>
                <c:pt idx="406">
                  <c:v>94645100</c:v>
                </c:pt>
                <c:pt idx="407">
                  <c:v>94639800</c:v>
                </c:pt>
                <c:pt idx="408">
                  <c:v>54063900</c:v>
                </c:pt>
                <c:pt idx="409">
                  <c:v>43919800</c:v>
                </c:pt>
                <c:pt idx="410">
                  <c:v>49249400</c:v>
                </c:pt>
                <c:pt idx="411">
                  <c:v>34185100</c:v>
                </c:pt>
                <c:pt idx="412">
                  <c:v>37046500</c:v>
                </c:pt>
                <c:pt idx="413">
                  <c:v>37924900</c:v>
                </c:pt>
                <c:pt idx="414">
                  <c:v>56000700</c:v>
                </c:pt>
                <c:pt idx="415">
                  <c:v>30723800</c:v>
                </c:pt>
                <c:pt idx="416">
                  <c:v>31359700</c:v>
                </c:pt>
                <c:pt idx="417">
                  <c:v>32891300</c:v>
                </c:pt>
                <c:pt idx="418">
                  <c:v>48052400</c:v>
                </c:pt>
                <c:pt idx="419">
                  <c:v>38608800</c:v>
                </c:pt>
                <c:pt idx="420">
                  <c:v>40020700</c:v>
                </c:pt>
                <c:pt idx="421">
                  <c:v>35879200</c:v>
                </c:pt>
                <c:pt idx="422">
                  <c:v>36520100</c:v>
                </c:pt>
                <c:pt idx="423">
                  <c:v>39221300</c:v>
                </c:pt>
                <c:pt idx="424">
                  <c:v>42374000</c:v>
                </c:pt>
                <c:pt idx="425">
                  <c:v>41624300</c:v>
                </c:pt>
                <c:pt idx="426">
                  <c:v>31046600</c:v>
                </c:pt>
                <c:pt idx="427">
                  <c:v>32611500</c:v>
                </c:pt>
                <c:pt idx="428">
                  <c:v>29174500</c:v>
                </c:pt>
                <c:pt idx="429">
                  <c:v>38051600</c:v>
                </c:pt>
                <c:pt idx="430">
                  <c:v>33272600</c:v>
                </c:pt>
                <c:pt idx="431">
                  <c:v>29659000</c:v>
                </c:pt>
                <c:pt idx="432">
                  <c:v>29815500</c:v>
                </c:pt>
                <c:pt idx="433">
                  <c:v>27995400</c:v>
                </c:pt>
                <c:pt idx="434">
                  <c:v>32824300</c:v>
                </c:pt>
                <c:pt idx="435">
                  <c:v>29947200</c:v>
                </c:pt>
                <c:pt idx="436">
                  <c:v>26880900</c:v>
                </c:pt>
                <c:pt idx="437">
                  <c:v>31250700</c:v>
                </c:pt>
                <c:pt idx="438">
                  <c:v>72147400</c:v>
                </c:pt>
                <c:pt idx="439">
                  <c:v>43705800</c:v>
                </c:pt>
                <c:pt idx="440">
                  <c:v>30772600</c:v>
                </c:pt>
                <c:pt idx="441">
                  <c:v>36610600</c:v>
                </c:pt>
                <c:pt idx="442">
                  <c:v>28484800</c:v>
                </c:pt>
                <c:pt idx="443">
                  <c:v>37893200</c:v>
                </c:pt>
                <c:pt idx="444">
                  <c:v>34063300</c:v>
                </c:pt>
                <c:pt idx="445">
                  <c:v>32090900</c:v>
                </c:pt>
                <c:pt idx="446">
                  <c:v>37228300</c:v>
                </c:pt>
                <c:pt idx="447">
                  <c:v>37381500</c:v>
                </c:pt>
                <c:pt idx="448">
                  <c:v>31981200</c:v>
                </c:pt>
                <c:pt idx="449">
                  <c:v>53805400</c:v>
                </c:pt>
                <c:pt idx="450">
                  <c:v>28180500</c:v>
                </c:pt>
                <c:pt idx="451">
                  <c:v>31141700</c:v>
                </c:pt>
                <c:pt idx="452">
                  <c:v>44368600</c:v>
                </c:pt>
                <c:pt idx="453">
                  <c:v>59715200</c:v>
                </c:pt>
                <c:pt idx="454">
                  <c:v>55392400</c:v>
                </c:pt>
                <c:pt idx="455">
                  <c:v>44420100</c:v>
                </c:pt>
                <c:pt idx="456">
                  <c:v>41980300</c:v>
                </c:pt>
                <c:pt idx="457">
                  <c:v>48107700</c:v>
                </c:pt>
                <c:pt idx="458">
                  <c:v>49855200</c:v>
                </c:pt>
                <c:pt idx="459">
                  <c:v>42815500</c:v>
                </c:pt>
                <c:pt idx="460">
                  <c:v>56345100</c:v>
                </c:pt>
                <c:pt idx="461">
                  <c:v>51050400</c:v>
                </c:pt>
                <c:pt idx="462">
                  <c:v>56986000</c:v>
                </c:pt>
                <c:pt idx="463">
                  <c:v>42316500</c:v>
                </c:pt>
                <c:pt idx="464">
                  <c:v>47174100</c:v>
                </c:pt>
                <c:pt idx="465">
                  <c:v>42505500</c:v>
                </c:pt>
                <c:pt idx="466">
                  <c:v>55081300</c:v>
                </c:pt>
                <c:pt idx="467">
                  <c:v>117218300</c:v>
                </c:pt>
                <c:pt idx="468">
                  <c:v>76542400</c:v>
                </c:pt>
                <c:pt idx="469">
                  <c:v>50284400</c:v>
                </c:pt>
                <c:pt idx="470">
                  <c:v>45207400</c:v>
                </c:pt>
                <c:pt idx="471">
                  <c:v>45270400</c:v>
                </c:pt>
                <c:pt idx="472">
                  <c:v>51047400</c:v>
                </c:pt>
                <c:pt idx="473">
                  <c:v>43638600</c:v>
                </c:pt>
                <c:pt idx="474">
                  <c:v>48547300</c:v>
                </c:pt>
                <c:pt idx="475">
                  <c:v>37986000</c:v>
                </c:pt>
                <c:pt idx="476">
                  <c:v>43687500</c:v>
                </c:pt>
                <c:pt idx="477">
                  <c:v>51651600</c:v>
                </c:pt>
                <c:pt idx="478">
                  <c:v>37850200</c:v>
                </c:pt>
                <c:pt idx="479">
                  <c:v>34953400</c:v>
                </c:pt>
                <c:pt idx="480">
                  <c:v>41384600</c:v>
                </c:pt>
                <c:pt idx="481">
                  <c:v>40484200</c:v>
                </c:pt>
                <c:pt idx="482">
                  <c:v>49072700</c:v>
                </c:pt>
                <c:pt idx="483">
                  <c:v>44421800</c:v>
                </c:pt>
                <c:pt idx="484">
                  <c:v>43812600</c:v>
                </c:pt>
                <c:pt idx="485">
                  <c:v>46757100</c:v>
                </c:pt>
                <c:pt idx="486">
                  <c:v>45153100</c:v>
                </c:pt>
                <c:pt idx="487">
                  <c:v>56039800</c:v>
                </c:pt>
                <c:pt idx="488">
                  <c:v>49425500</c:v>
                </c:pt>
                <c:pt idx="489">
                  <c:v>47339400</c:v>
                </c:pt>
                <c:pt idx="490">
                  <c:v>39823200</c:v>
                </c:pt>
                <c:pt idx="491">
                  <c:v>27057000</c:v>
                </c:pt>
                <c:pt idx="492">
                  <c:v>31434700</c:v>
                </c:pt>
                <c:pt idx="493">
                  <c:v>25067200</c:v>
                </c:pt>
                <c:pt idx="494">
                  <c:v>29514100</c:v>
                </c:pt>
                <c:pt idx="495">
                  <c:v>36305700</c:v>
                </c:pt>
                <c:pt idx="496">
                  <c:v>50322100</c:v>
                </c:pt>
                <c:pt idx="497">
                  <c:v>43171300</c:v>
                </c:pt>
                <c:pt idx="498">
                  <c:v>62512800</c:v>
                </c:pt>
                <c:pt idx="499">
                  <c:v>110089300</c:v>
                </c:pt>
                <c:pt idx="500">
                  <c:v>58400800</c:v>
                </c:pt>
                <c:pt idx="501">
                  <c:v>52766200</c:v>
                </c:pt>
                <c:pt idx="502">
                  <c:v>44944300</c:v>
                </c:pt>
                <c:pt idx="503">
                  <c:v>50907300</c:v>
                </c:pt>
                <c:pt idx="504">
                  <c:v>41906000</c:v>
                </c:pt>
                <c:pt idx="505">
                  <c:v>52352800</c:v>
                </c:pt>
                <c:pt idx="506">
                  <c:v>39679000</c:v>
                </c:pt>
                <c:pt idx="507">
                  <c:v>46822400</c:v>
                </c:pt>
                <c:pt idx="508">
                  <c:v>48294200</c:v>
                </c:pt>
                <c:pt idx="509">
                  <c:v>39951800</c:v>
                </c:pt>
                <c:pt idx="510">
                  <c:v>65814000</c:v>
                </c:pt>
                <c:pt idx="511">
                  <c:v>40610900</c:v>
                </c:pt>
                <c:pt idx="512">
                  <c:v>42711700</c:v>
                </c:pt>
                <c:pt idx="513">
                  <c:v>53762400</c:v>
                </c:pt>
                <c:pt idx="514">
                  <c:v>22378400</c:v>
                </c:pt>
                <c:pt idx="515">
                  <c:v>45669100</c:v>
                </c:pt>
                <c:pt idx="516">
                  <c:v>71226000</c:v>
                </c:pt>
                <c:pt idx="517">
                  <c:v>41951200</c:v>
                </c:pt>
                <c:pt idx="518">
                  <c:v>49636700</c:v>
                </c:pt>
                <c:pt idx="519">
                  <c:v>49653500</c:v>
                </c:pt>
                <c:pt idx="520">
                  <c:v>63875700</c:v>
                </c:pt>
                <c:pt idx="521">
                  <c:v>56674600</c:v>
                </c:pt>
                <c:pt idx="522">
                  <c:v>35680600</c:v>
                </c:pt>
                <c:pt idx="523">
                  <c:v>49287800</c:v>
                </c:pt>
                <c:pt idx="524">
                  <c:v>36235400</c:v>
                </c:pt>
                <c:pt idx="525">
                  <c:v>44521700</c:v>
                </c:pt>
                <c:pt idx="526">
                  <c:v>53553500</c:v>
                </c:pt>
                <c:pt idx="527">
                  <c:v>44970400</c:v>
                </c:pt>
                <c:pt idx="528">
                  <c:v>44059800</c:v>
                </c:pt>
                <c:pt idx="529">
                  <c:v>52236700</c:v>
                </c:pt>
                <c:pt idx="530">
                  <c:v>61529400</c:v>
                </c:pt>
                <c:pt idx="531">
                  <c:v>51589400</c:v>
                </c:pt>
                <c:pt idx="532">
                  <c:v>72485500</c:v>
                </c:pt>
                <c:pt idx="533">
                  <c:v>125309300</c:v>
                </c:pt>
                <c:pt idx="534">
                  <c:v>100419500</c:v>
                </c:pt>
                <c:pt idx="535">
                  <c:v>74577500</c:v>
                </c:pt>
                <c:pt idx="536">
                  <c:v>46477400</c:v>
                </c:pt>
                <c:pt idx="537">
                  <c:v>48260000</c:v>
                </c:pt>
                <c:pt idx="538">
                  <c:v>56406400</c:v>
                </c:pt>
                <c:pt idx="539">
                  <c:v>60961400</c:v>
                </c:pt>
                <c:pt idx="540">
                  <c:v>42699500</c:v>
                </c:pt>
                <c:pt idx="541">
                  <c:v>49344600</c:v>
                </c:pt>
                <c:pt idx="542">
                  <c:v>42832900</c:v>
                </c:pt>
                <c:pt idx="543">
                  <c:v>45786600</c:v>
                </c:pt>
                <c:pt idx="544">
                  <c:v>55528600</c:v>
                </c:pt>
                <c:pt idx="545">
                  <c:v>40741800</c:v>
                </c:pt>
                <c:pt idx="546">
                  <c:v>42178600</c:v>
                </c:pt>
                <c:pt idx="547">
                  <c:v>38773700</c:v>
                </c:pt>
                <c:pt idx="548">
                  <c:v>46836700</c:v>
                </c:pt>
                <c:pt idx="549">
                  <c:v>39660600</c:v>
                </c:pt>
                <c:pt idx="550">
                  <c:v>44203900</c:v>
                </c:pt>
                <c:pt idx="551">
                  <c:v>51565000</c:v>
                </c:pt>
                <c:pt idx="552">
                  <c:v>48029700</c:v>
                </c:pt>
                <c:pt idx="553">
                  <c:v>62411700</c:v>
                </c:pt>
                <c:pt idx="554">
                  <c:v>54555000</c:v>
                </c:pt>
                <c:pt idx="555">
                  <c:v>66553400</c:v>
                </c:pt>
                <c:pt idx="556">
                  <c:v>73048200</c:v>
                </c:pt>
                <c:pt idx="557">
                  <c:v>46017800</c:v>
                </c:pt>
                <c:pt idx="558">
                  <c:v>59904300</c:v>
                </c:pt>
                <c:pt idx="559">
                  <c:v>70343300</c:v>
                </c:pt>
                <c:pt idx="560">
                  <c:v>46263700</c:v>
                </c:pt>
                <c:pt idx="561">
                  <c:v>61482500</c:v>
                </c:pt>
                <c:pt idx="562">
                  <c:v>42823500</c:v>
                </c:pt>
                <c:pt idx="563">
                  <c:v>102909300</c:v>
                </c:pt>
                <c:pt idx="564">
                  <c:v>64033600</c:v>
                </c:pt>
                <c:pt idx="565">
                  <c:v>60465200</c:v>
                </c:pt>
                <c:pt idx="566">
                  <c:v>42668500</c:v>
                </c:pt>
                <c:pt idx="567">
                  <c:v>56764500</c:v>
                </c:pt>
                <c:pt idx="568">
                  <c:v>38348200</c:v>
                </c:pt>
                <c:pt idx="569">
                  <c:v>48498900</c:v>
                </c:pt>
                <c:pt idx="570">
                  <c:v>41785500</c:v>
                </c:pt>
                <c:pt idx="571">
                  <c:v>40636700</c:v>
                </c:pt>
                <c:pt idx="572">
                  <c:v>40991500</c:v>
                </c:pt>
                <c:pt idx="573">
                  <c:v>58781300</c:v>
                </c:pt>
                <c:pt idx="574">
                  <c:v>36137000</c:v>
                </c:pt>
                <c:pt idx="575">
                  <c:v>38646100</c:v>
                </c:pt>
                <c:pt idx="576">
                  <c:v>34108400</c:v>
                </c:pt>
                <c:pt idx="577">
                  <c:v>44147500</c:v>
                </c:pt>
                <c:pt idx="578">
                  <c:v>43646300</c:v>
                </c:pt>
                <c:pt idx="579">
                  <c:v>42801000</c:v>
                </c:pt>
                <c:pt idx="580">
                  <c:v>32905400</c:v>
                </c:pt>
                <c:pt idx="581">
                  <c:v>41442500</c:v>
                </c:pt>
                <c:pt idx="582">
                  <c:v>48497700</c:v>
                </c:pt>
                <c:pt idx="583">
                  <c:v>48354100</c:v>
                </c:pt>
                <c:pt idx="584">
                  <c:v>41675900</c:v>
                </c:pt>
                <c:pt idx="585">
                  <c:v>42781500</c:v>
                </c:pt>
                <c:pt idx="586">
                  <c:v>47148700</c:v>
                </c:pt>
                <c:pt idx="587">
                  <c:v>42905800</c:v>
                </c:pt>
                <c:pt idx="588">
                  <c:v>58928400</c:v>
                </c:pt>
                <c:pt idx="589">
                  <c:v>50017300</c:v>
                </c:pt>
                <c:pt idx="590">
                  <c:v>51710500</c:v>
                </c:pt>
                <c:pt idx="591">
                  <c:v>71213100</c:v>
                </c:pt>
                <c:pt idx="592">
                  <c:v>153128500</c:v>
                </c:pt>
                <c:pt idx="593">
                  <c:v>88585200</c:v>
                </c:pt>
                <c:pt idx="594">
                  <c:v>51027600</c:v>
                </c:pt>
                <c:pt idx="595">
                  <c:v>42098500</c:v>
                </c:pt>
                <c:pt idx="596">
                  <c:v>41901500</c:v>
                </c:pt>
                <c:pt idx="597">
                  <c:v>46317400</c:v>
                </c:pt>
                <c:pt idx="598">
                  <c:v>52610700</c:v>
                </c:pt>
                <c:pt idx="599">
                  <c:v>53910100</c:v>
                </c:pt>
                <c:pt idx="600">
                  <c:v>39236700</c:v>
                </c:pt>
                <c:pt idx="601">
                  <c:v>45591100</c:v>
                </c:pt>
                <c:pt idx="602">
                  <c:v>133307300</c:v>
                </c:pt>
                <c:pt idx="603">
                  <c:v>59820600</c:v>
                </c:pt>
                <c:pt idx="604">
                  <c:v>54531000</c:v>
                </c:pt>
                <c:pt idx="605">
                  <c:v>54882900</c:v>
                </c:pt>
                <c:pt idx="606">
                  <c:v>48450200</c:v>
                </c:pt>
                <c:pt idx="607">
                  <c:v>54487100</c:v>
                </c:pt>
                <c:pt idx="608">
                  <c:v>61170900</c:v>
                </c:pt>
                <c:pt idx="609">
                  <c:v>54022800</c:v>
                </c:pt>
                <c:pt idx="610">
                  <c:v>49951500</c:v>
                </c:pt>
                <c:pt idx="611">
                  <c:v>61889300</c:v>
                </c:pt>
                <c:pt idx="612">
                  <c:v>41992300</c:v>
                </c:pt>
                <c:pt idx="613">
                  <c:v>40639900</c:v>
                </c:pt>
                <c:pt idx="614">
                  <c:v>35895400</c:v>
                </c:pt>
                <c:pt idx="615">
                  <c:v>28264800</c:v>
                </c:pt>
                <c:pt idx="616">
                  <c:v>54350700</c:v>
                </c:pt>
                <c:pt idx="617">
                  <c:v>40761000</c:v>
                </c:pt>
                <c:pt idx="618">
                  <c:v>52149500</c:v>
                </c:pt>
                <c:pt idx="619">
                  <c:v>46801000</c:v>
                </c:pt>
                <c:pt idx="620">
                  <c:v>59989300</c:v>
                </c:pt>
                <c:pt idx="621">
                  <c:v>71927800</c:v>
                </c:pt>
                <c:pt idx="622">
                  <c:v>90354600</c:v>
                </c:pt>
                <c:pt idx="623">
                  <c:v>52137700</c:v>
                </c:pt>
                <c:pt idx="624">
                  <c:v>56930100</c:v>
                </c:pt>
                <c:pt idx="625">
                  <c:v>84247100</c:v>
                </c:pt>
                <c:pt idx="626">
                  <c:v>60458500</c:v>
                </c:pt>
                <c:pt idx="627">
                  <c:v>52422500</c:v>
                </c:pt>
                <c:pt idx="628">
                  <c:v>50564800</c:v>
                </c:pt>
                <c:pt idx="629">
                  <c:v>51338000</c:v>
                </c:pt>
                <c:pt idx="630">
                  <c:v>51396000</c:v>
                </c:pt>
                <c:pt idx="631">
                  <c:v>62159300</c:v>
                </c:pt>
                <c:pt idx="632">
                  <c:v>95663300</c:v>
                </c:pt>
                <c:pt idx="633">
                  <c:v>45695200</c:v>
                </c:pt>
                <c:pt idx="634">
                  <c:v>47950100</c:v>
                </c:pt>
                <c:pt idx="635">
                  <c:v>61264400</c:v>
                </c:pt>
                <c:pt idx="636">
                  <c:v>54375100</c:v>
                </c:pt>
                <c:pt idx="637">
                  <c:v>72800800</c:v>
                </c:pt>
                <c:pt idx="638">
                  <c:v>64314800</c:v>
                </c:pt>
                <c:pt idx="639">
                  <c:v>96779900</c:v>
                </c:pt>
                <c:pt idx="640">
                  <c:v>66496700</c:v>
                </c:pt>
                <c:pt idx="641">
                  <c:v>63487900</c:v>
                </c:pt>
                <c:pt idx="642">
                  <c:v>67576300</c:v>
                </c:pt>
                <c:pt idx="643">
                  <c:v>70741100</c:v>
                </c:pt>
                <c:pt idx="644">
                  <c:v>55056300</c:v>
                </c:pt>
                <c:pt idx="645">
                  <c:v>73174100</c:v>
                </c:pt>
                <c:pt idx="646">
                  <c:v>65655200</c:v>
                </c:pt>
                <c:pt idx="647">
                  <c:v>71472900</c:v>
                </c:pt>
                <c:pt idx="648">
                  <c:v>53011100</c:v>
                </c:pt>
                <c:pt idx="649">
                  <c:v>49852700</c:v>
                </c:pt>
                <c:pt idx="650">
                  <c:v>74924800</c:v>
                </c:pt>
                <c:pt idx="651">
                  <c:v>78627600</c:v>
                </c:pt>
                <c:pt idx="652">
                  <c:v>44089400</c:v>
                </c:pt>
                <c:pt idx="653">
                  <c:v>49430900</c:v>
                </c:pt>
                <c:pt idx="654">
                  <c:v>56951700</c:v>
                </c:pt>
                <c:pt idx="655">
                  <c:v>45345500</c:v>
                </c:pt>
                <c:pt idx="656">
                  <c:v>65051900</c:v>
                </c:pt>
                <c:pt idx="657">
                  <c:v>73469400</c:v>
                </c:pt>
                <c:pt idx="658">
                  <c:v>74728100</c:v>
                </c:pt>
                <c:pt idx="659">
                  <c:v>130715900</c:v>
                </c:pt>
                <c:pt idx="660">
                  <c:v>149961200</c:v>
                </c:pt>
                <c:pt idx="661">
                  <c:v>73803800</c:v>
                </c:pt>
                <c:pt idx="662">
                  <c:v>65026800</c:v>
                </c:pt>
                <c:pt idx="663">
                  <c:v>69575600</c:v>
                </c:pt>
                <c:pt idx="664">
                  <c:v>86774200</c:v>
                </c:pt>
                <c:pt idx="665">
                  <c:v>57696900</c:v>
                </c:pt>
                <c:pt idx="666">
                  <c:v>58398900</c:v>
                </c:pt>
                <c:pt idx="667">
                  <c:v>39790500</c:v>
                </c:pt>
                <c:pt idx="668">
                  <c:v>39919500</c:v>
                </c:pt>
                <c:pt idx="669">
                  <c:v>51450500</c:v>
                </c:pt>
                <c:pt idx="670">
                  <c:v>67925100</c:v>
                </c:pt>
                <c:pt idx="671">
                  <c:v>56735000</c:v>
                </c:pt>
                <c:pt idx="672">
                  <c:v>60417800</c:v>
                </c:pt>
                <c:pt idx="673">
                  <c:v>37261200</c:v>
                </c:pt>
                <c:pt idx="674">
                  <c:v>43808000</c:v>
                </c:pt>
                <c:pt idx="675">
                  <c:v>45175400</c:v>
                </c:pt>
                <c:pt idx="676">
                  <c:v>48662500</c:v>
                </c:pt>
                <c:pt idx="677">
                  <c:v>41135700</c:v>
                </c:pt>
                <c:pt idx="678">
                  <c:v>56750300</c:v>
                </c:pt>
                <c:pt idx="679">
                  <c:v>53633400</c:v>
                </c:pt>
                <c:pt idx="680">
                  <c:v>49783300</c:v>
                </c:pt>
                <c:pt idx="681">
                  <c:v>38720100</c:v>
                </c:pt>
                <c:pt idx="682">
                  <c:v>46721300</c:v>
                </c:pt>
                <c:pt idx="683">
                  <c:v>56095400</c:v>
                </c:pt>
                <c:pt idx="684">
                  <c:v>57559300</c:v>
                </c:pt>
                <c:pt idx="685">
                  <c:v>57475400</c:v>
                </c:pt>
                <c:pt idx="686">
                  <c:v>58597300</c:v>
                </c:pt>
                <c:pt idx="687">
                  <c:v>62388900</c:v>
                </c:pt>
                <c:pt idx="688">
                  <c:v>87300200</c:v>
                </c:pt>
                <c:pt idx="689">
                  <c:v>84446900</c:v>
                </c:pt>
                <c:pt idx="690">
                  <c:v>3555000</c:v>
                </c:pt>
                <c:pt idx="691">
                  <c:v>70731800</c:v>
                </c:pt>
                <c:pt idx="692">
                  <c:v>5471700</c:v>
                </c:pt>
                <c:pt idx="693">
                  <c:v>60912700</c:v>
                </c:pt>
                <c:pt idx="694">
                  <c:v>3754900</c:v>
                </c:pt>
                <c:pt idx="695">
                  <c:v>72397100</c:v>
                </c:pt>
                <c:pt idx="696">
                  <c:v>4885100</c:v>
                </c:pt>
                <c:pt idx="697">
                  <c:v>69827500</c:v>
                </c:pt>
                <c:pt idx="698">
                  <c:v>5763200</c:v>
                </c:pt>
                <c:pt idx="699">
                  <c:v>56218700</c:v>
                </c:pt>
                <c:pt idx="700">
                  <c:v>2518800</c:v>
                </c:pt>
                <c:pt idx="701">
                  <c:v>44899100</c:v>
                </c:pt>
                <c:pt idx="702">
                  <c:v>2068600</c:v>
                </c:pt>
                <c:pt idx="703">
                  <c:v>49100700</c:v>
                </c:pt>
                <c:pt idx="704">
                  <c:v>3018400</c:v>
                </c:pt>
                <c:pt idx="705">
                  <c:v>52112400</c:v>
                </c:pt>
                <c:pt idx="706">
                  <c:v>2317100</c:v>
                </c:pt>
                <c:pt idx="707">
                  <c:v>55759600</c:v>
                </c:pt>
                <c:pt idx="708">
                  <c:v>2313400</c:v>
                </c:pt>
                <c:pt idx="709">
                  <c:v>55509400</c:v>
                </c:pt>
                <c:pt idx="710">
                  <c:v>2676500</c:v>
                </c:pt>
                <c:pt idx="711">
                  <c:v>52299500</c:v>
                </c:pt>
                <c:pt idx="712">
                  <c:v>4117700</c:v>
                </c:pt>
                <c:pt idx="713">
                  <c:v>43959300</c:v>
                </c:pt>
                <c:pt idx="714">
                  <c:v>2647700</c:v>
                </c:pt>
                <c:pt idx="715">
                  <c:v>47470300</c:v>
                </c:pt>
                <c:pt idx="716">
                  <c:v>1720900</c:v>
                </c:pt>
                <c:pt idx="717">
                  <c:v>57053800</c:v>
                </c:pt>
                <c:pt idx="718">
                  <c:v>2105500</c:v>
                </c:pt>
                <c:pt idx="719">
                  <c:v>48467000</c:v>
                </c:pt>
                <c:pt idx="720">
                  <c:v>3219000</c:v>
                </c:pt>
                <c:pt idx="721">
                  <c:v>59534100</c:v>
                </c:pt>
                <c:pt idx="722">
                  <c:v>3145200</c:v>
                </c:pt>
                <c:pt idx="723">
                  <c:v>56580400</c:v>
                </c:pt>
                <c:pt idx="724">
                  <c:v>3105900</c:v>
                </c:pt>
                <c:pt idx="725">
                  <c:v>60029400</c:v>
                </c:pt>
                <c:pt idx="726">
                  <c:v>3759300</c:v>
                </c:pt>
                <c:pt idx="727">
                  <c:v>56339200</c:v>
                </c:pt>
                <c:pt idx="728">
                  <c:v>1934900</c:v>
                </c:pt>
                <c:pt idx="729">
                  <c:v>47957600</c:v>
                </c:pt>
                <c:pt idx="730">
                  <c:v>2398200</c:v>
                </c:pt>
                <c:pt idx="731">
                  <c:v>56202900</c:v>
                </c:pt>
                <c:pt idx="732">
                  <c:v>2512900</c:v>
                </c:pt>
                <c:pt idx="733">
                  <c:v>52841500</c:v>
                </c:pt>
                <c:pt idx="734">
                  <c:v>3068100</c:v>
                </c:pt>
                <c:pt idx="735">
                  <c:v>52740100</c:v>
                </c:pt>
                <c:pt idx="736">
                  <c:v>2820300</c:v>
                </c:pt>
                <c:pt idx="737">
                  <c:v>64622500</c:v>
                </c:pt>
                <c:pt idx="738">
                  <c:v>2464900</c:v>
                </c:pt>
                <c:pt idx="739">
                  <c:v>75878300</c:v>
                </c:pt>
                <c:pt idx="740">
                  <c:v>2300300</c:v>
                </c:pt>
                <c:pt idx="741">
                  <c:v>119501300</c:v>
                </c:pt>
                <c:pt idx="742">
                  <c:v>3467900</c:v>
                </c:pt>
                <c:pt idx="743">
                  <c:v>81945200</c:v>
                </c:pt>
                <c:pt idx="744">
                  <c:v>3528800</c:v>
                </c:pt>
                <c:pt idx="745">
                  <c:v>144374800</c:v>
                </c:pt>
                <c:pt idx="746">
                  <c:v>4134700</c:v>
                </c:pt>
                <c:pt idx="747">
                  <c:v>158154200</c:v>
                </c:pt>
                <c:pt idx="748">
                  <c:v>6130300</c:v>
                </c:pt>
                <c:pt idx="749">
                  <c:v>80450100</c:v>
                </c:pt>
                <c:pt idx="750">
                  <c:v>6022000</c:v>
                </c:pt>
                <c:pt idx="751">
                  <c:v>66527300</c:v>
                </c:pt>
                <c:pt idx="752">
                  <c:v>10992100</c:v>
                </c:pt>
                <c:pt idx="753">
                  <c:v>70691900</c:v>
                </c:pt>
                <c:pt idx="754">
                  <c:v>3426900</c:v>
                </c:pt>
                <c:pt idx="755">
                  <c:v>87775600</c:v>
                </c:pt>
                <c:pt idx="756">
                  <c:v>2783000</c:v>
                </c:pt>
                <c:pt idx="757">
                  <c:v>68523600</c:v>
                </c:pt>
                <c:pt idx="758">
                  <c:v>2677200</c:v>
                </c:pt>
                <c:pt idx="759">
                  <c:v>94261600</c:v>
                </c:pt>
                <c:pt idx="760">
                  <c:v>2424900</c:v>
                </c:pt>
                <c:pt idx="761">
                  <c:v>66929500</c:v>
                </c:pt>
                <c:pt idx="762">
                  <c:v>3505100</c:v>
                </c:pt>
                <c:pt idx="763">
                  <c:v>76501100</c:v>
                </c:pt>
                <c:pt idx="764">
                  <c:v>2610200</c:v>
                </c:pt>
                <c:pt idx="765">
                  <c:v>67481500</c:v>
                </c:pt>
                <c:pt idx="766">
                  <c:v>2964100</c:v>
                </c:pt>
                <c:pt idx="767">
                  <c:v>69002700</c:v>
                </c:pt>
                <c:pt idx="768">
                  <c:v>4885200</c:v>
                </c:pt>
                <c:pt idx="769">
                  <c:v>79570400</c:v>
                </c:pt>
                <c:pt idx="770">
                  <c:v>3361400</c:v>
                </c:pt>
                <c:pt idx="771">
                  <c:v>72755000</c:v>
                </c:pt>
                <c:pt idx="772">
                  <c:v>4100100</c:v>
                </c:pt>
                <c:pt idx="773">
                  <c:v>85549400</c:v>
                </c:pt>
                <c:pt idx="774">
                  <c:v>3067800</c:v>
                </c:pt>
                <c:pt idx="775">
                  <c:v>85254800</c:v>
                </c:pt>
                <c:pt idx="776">
                  <c:v>3881500</c:v>
                </c:pt>
                <c:pt idx="777">
                  <c:v>103126200</c:v>
                </c:pt>
                <c:pt idx="778">
                  <c:v>2402400</c:v>
                </c:pt>
                <c:pt idx="779">
                  <c:v>67756600</c:v>
                </c:pt>
                <c:pt idx="780">
                  <c:v>3011900</c:v>
                </c:pt>
                <c:pt idx="781">
                  <c:v>65266100</c:v>
                </c:pt>
                <c:pt idx="782">
                  <c:v>3417100</c:v>
                </c:pt>
                <c:pt idx="783">
                  <c:v>83303400</c:v>
                </c:pt>
                <c:pt idx="784">
                  <c:v>3945100</c:v>
                </c:pt>
                <c:pt idx="785">
                  <c:v>67930800</c:v>
                </c:pt>
                <c:pt idx="786">
                  <c:v>2355900</c:v>
                </c:pt>
                <c:pt idx="787">
                  <c:v>68885100</c:v>
                </c:pt>
                <c:pt idx="788">
                  <c:v>2387900</c:v>
                </c:pt>
                <c:pt idx="789">
                  <c:v>76706000</c:v>
                </c:pt>
                <c:pt idx="790">
                  <c:v>2651900</c:v>
                </c:pt>
                <c:pt idx="791">
                  <c:v>62401200</c:v>
                </c:pt>
                <c:pt idx="792">
                  <c:v>1521100</c:v>
                </c:pt>
                <c:pt idx="793">
                  <c:v>54995900</c:v>
                </c:pt>
                <c:pt idx="794">
                  <c:v>1652500</c:v>
                </c:pt>
                <c:pt idx="795">
                  <c:v>58228600</c:v>
                </c:pt>
                <c:pt idx="796">
                  <c:v>2270000</c:v>
                </c:pt>
                <c:pt idx="797">
                  <c:v>57284000</c:v>
                </c:pt>
                <c:pt idx="798">
                  <c:v>3381500</c:v>
                </c:pt>
                <c:pt idx="799">
                  <c:v>57433700</c:v>
                </c:pt>
                <c:pt idx="800">
                  <c:v>1959900</c:v>
                </c:pt>
                <c:pt idx="801">
                  <c:v>81431300</c:v>
                </c:pt>
                <c:pt idx="802">
                  <c:v>3129900</c:v>
                </c:pt>
                <c:pt idx="803">
                  <c:v>59267200</c:v>
                </c:pt>
                <c:pt idx="804">
                  <c:v>4143600</c:v>
                </c:pt>
                <c:pt idx="805">
                  <c:v>74348300</c:v>
                </c:pt>
                <c:pt idx="806">
                  <c:v>2649900</c:v>
                </c:pt>
                <c:pt idx="807">
                  <c:v>83531500</c:v>
                </c:pt>
                <c:pt idx="808">
                  <c:v>2622400</c:v>
                </c:pt>
                <c:pt idx="809">
                  <c:v>146144100</c:v>
                </c:pt>
                <c:pt idx="810">
                  <c:v>7610700</c:v>
                </c:pt>
                <c:pt idx="811">
                  <c:v>84802900</c:v>
                </c:pt>
                <c:pt idx="812">
                  <c:v>2953200</c:v>
                </c:pt>
                <c:pt idx="813">
                  <c:v>70298000</c:v>
                </c:pt>
                <c:pt idx="814">
                  <c:v>3513800</c:v>
                </c:pt>
                <c:pt idx="815">
                  <c:v>100212000</c:v>
                </c:pt>
                <c:pt idx="816">
                  <c:v>2945200</c:v>
                </c:pt>
                <c:pt idx="817">
                  <c:v>61999800</c:v>
                </c:pt>
                <c:pt idx="818">
                  <c:v>2709200</c:v>
                </c:pt>
                <c:pt idx="819">
                  <c:v>67398500</c:v>
                </c:pt>
                <c:pt idx="820">
                  <c:v>2257000</c:v>
                </c:pt>
                <c:pt idx="821">
                  <c:v>73305900</c:v>
                </c:pt>
                <c:pt idx="822">
                  <c:v>2189400</c:v>
                </c:pt>
                <c:pt idx="823">
                  <c:v>68086900</c:v>
                </c:pt>
                <c:pt idx="824">
                  <c:v>3044000</c:v>
                </c:pt>
                <c:pt idx="825">
                  <c:v>75503600</c:v>
                </c:pt>
                <c:pt idx="826">
                  <c:v>3633800</c:v>
                </c:pt>
                <c:pt idx="827">
                  <c:v>71535500</c:v>
                </c:pt>
                <c:pt idx="828">
                  <c:v>2064500</c:v>
                </c:pt>
                <c:pt idx="829">
                  <c:v>72496400</c:v>
                </c:pt>
                <c:pt idx="830">
                  <c:v>2218300</c:v>
                </c:pt>
                <c:pt idx="831">
                  <c:v>68488000</c:v>
                </c:pt>
                <c:pt idx="832">
                  <c:v>2504700</c:v>
                </c:pt>
                <c:pt idx="833">
                  <c:v>102805800</c:v>
                </c:pt>
                <c:pt idx="834">
                  <c:v>3850000</c:v>
                </c:pt>
                <c:pt idx="835">
                  <c:v>65567300</c:v>
                </c:pt>
                <c:pt idx="836">
                  <c:v>2277900</c:v>
                </c:pt>
                <c:pt idx="837">
                  <c:v>74943100</c:v>
                </c:pt>
                <c:pt idx="838">
                  <c:v>2862100</c:v>
                </c:pt>
                <c:pt idx="839">
                  <c:v>35088600</c:v>
                </c:pt>
                <c:pt idx="840">
                  <c:v>1034800</c:v>
                </c:pt>
                <c:pt idx="841">
                  <c:v>59414700</c:v>
                </c:pt>
                <c:pt idx="842">
                  <c:v>2311300</c:v>
                </c:pt>
                <c:pt idx="843">
                  <c:v>62192000</c:v>
                </c:pt>
                <c:pt idx="844">
                  <c:v>2523300</c:v>
                </c:pt>
                <c:pt idx="845">
                  <c:v>84330300</c:v>
                </c:pt>
                <c:pt idx="846">
                  <c:v>2522600</c:v>
                </c:pt>
                <c:pt idx="847">
                  <c:v>72428200</c:v>
                </c:pt>
                <c:pt idx="848">
                  <c:v>2868700</c:v>
                </c:pt>
                <c:pt idx="849">
                  <c:v>82617900</c:v>
                </c:pt>
                <c:pt idx="850">
                  <c:v>3256900</c:v>
                </c:pt>
                <c:pt idx="851">
                  <c:v>87958800</c:v>
                </c:pt>
                <c:pt idx="852">
                  <c:v>3062000</c:v>
                </c:pt>
                <c:pt idx="853">
                  <c:v>111336300</c:v>
                </c:pt>
                <c:pt idx="854">
                  <c:v>3371000</c:v>
                </c:pt>
                <c:pt idx="855">
                  <c:v>99533100</c:v>
                </c:pt>
                <c:pt idx="856">
                  <c:v>3217700</c:v>
                </c:pt>
                <c:pt idx="857">
                  <c:v>111590500</c:v>
                </c:pt>
                <c:pt idx="858">
                  <c:v>3585400</c:v>
                </c:pt>
                <c:pt idx="859">
                  <c:v>173414900</c:v>
                </c:pt>
                <c:pt idx="860">
                  <c:v>4590800</c:v>
                </c:pt>
                <c:pt idx="861">
                  <c:v>90796200</c:v>
                </c:pt>
                <c:pt idx="862">
                  <c:v>6248300</c:v>
                </c:pt>
                <c:pt idx="863">
                  <c:v>88703400</c:v>
                </c:pt>
                <c:pt idx="864">
                  <c:v>3676600</c:v>
                </c:pt>
                <c:pt idx="865">
                  <c:v>77495700</c:v>
                </c:pt>
                <c:pt idx="866">
                  <c:v>3405600</c:v>
                </c:pt>
                <c:pt idx="867">
                  <c:v>129101300</c:v>
                </c:pt>
                <c:pt idx="868">
                  <c:v>4973800</c:v>
                </c:pt>
                <c:pt idx="869">
                  <c:v>136683300</c:v>
                </c:pt>
                <c:pt idx="870">
                  <c:v>3570400</c:v>
                </c:pt>
                <c:pt idx="871">
                  <c:v>135761800</c:v>
                </c:pt>
                <c:pt idx="872">
                  <c:v>3150000</c:v>
                </c:pt>
                <c:pt idx="873">
                  <c:v>153370000</c:v>
                </c:pt>
                <c:pt idx="874">
                  <c:v>2717500</c:v>
                </c:pt>
                <c:pt idx="875">
                  <c:v>99251400</c:v>
                </c:pt>
                <c:pt idx="876">
                  <c:v>3786100</c:v>
                </c:pt>
                <c:pt idx="877">
                  <c:v>223133400</c:v>
                </c:pt>
                <c:pt idx="878">
                  <c:v>5161000</c:v>
                </c:pt>
                <c:pt idx="879">
                  <c:v>129605400</c:v>
                </c:pt>
                <c:pt idx="880">
                  <c:v>7872200</c:v>
                </c:pt>
                <c:pt idx="881">
                  <c:v>68802300</c:v>
                </c:pt>
                <c:pt idx="882">
                  <c:v>3546000</c:v>
                </c:pt>
                <c:pt idx="883">
                  <c:v>50934600</c:v>
                </c:pt>
                <c:pt idx="884">
                  <c:v>2545000</c:v>
                </c:pt>
                <c:pt idx="885">
                  <c:v>49531500</c:v>
                </c:pt>
                <c:pt idx="886">
                  <c:v>2919500</c:v>
                </c:pt>
                <c:pt idx="887">
                  <c:v>55660500</c:v>
                </c:pt>
                <c:pt idx="888">
                  <c:v>3483800</c:v>
                </c:pt>
                <c:pt idx="889">
                  <c:v>48795100</c:v>
                </c:pt>
                <c:pt idx="890">
                  <c:v>2953900</c:v>
                </c:pt>
                <c:pt idx="891">
                  <c:v>47198100</c:v>
                </c:pt>
                <c:pt idx="892">
                  <c:v>2088700</c:v>
                </c:pt>
                <c:pt idx="893">
                  <c:v>65607400</c:v>
                </c:pt>
                <c:pt idx="894">
                  <c:v>2674000</c:v>
                </c:pt>
                <c:pt idx="895">
                  <c:v>62782000</c:v>
                </c:pt>
                <c:pt idx="896">
                  <c:v>2940000</c:v>
                </c:pt>
                <c:pt idx="897">
                  <c:v>67737300</c:v>
                </c:pt>
                <c:pt idx="898">
                  <c:v>2830200</c:v>
                </c:pt>
                <c:pt idx="899">
                  <c:v>86868100</c:v>
                </c:pt>
                <c:pt idx="900">
                  <c:v>3745900</c:v>
                </c:pt>
                <c:pt idx="901">
                  <c:v>45728700</c:v>
                </c:pt>
                <c:pt idx="902">
                  <c:v>2260800</c:v>
                </c:pt>
                <c:pt idx="903">
                  <c:v>56432200</c:v>
                </c:pt>
                <c:pt idx="904">
                  <c:v>2542400</c:v>
                </c:pt>
                <c:pt idx="905">
                  <c:v>42339700</c:v>
                </c:pt>
                <c:pt idx="906">
                  <c:v>2633900</c:v>
                </c:pt>
                <c:pt idx="907">
                  <c:v>54678000</c:v>
                </c:pt>
                <c:pt idx="908">
                  <c:v>2759200</c:v>
                </c:pt>
                <c:pt idx="909">
                  <c:v>42253800</c:v>
                </c:pt>
                <c:pt idx="910">
                  <c:v>2415000</c:v>
                </c:pt>
                <c:pt idx="911">
                  <c:v>48217500</c:v>
                </c:pt>
                <c:pt idx="912">
                  <c:v>3067400</c:v>
                </c:pt>
                <c:pt idx="913">
                  <c:v>62812600</c:v>
                </c:pt>
                <c:pt idx="914">
                  <c:v>4008200</c:v>
                </c:pt>
                <c:pt idx="915">
                  <c:v>50941900</c:v>
                </c:pt>
                <c:pt idx="916">
                  <c:v>3444700</c:v>
                </c:pt>
                <c:pt idx="917">
                  <c:v>59479600</c:v>
                </c:pt>
                <c:pt idx="918">
                  <c:v>2963000</c:v>
                </c:pt>
                <c:pt idx="919">
                  <c:v>58969700</c:v>
                </c:pt>
                <c:pt idx="920">
                  <c:v>3518100</c:v>
                </c:pt>
                <c:pt idx="921">
                  <c:v>55763800</c:v>
                </c:pt>
                <c:pt idx="922">
                  <c:v>3694800</c:v>
                </c:pt>
                <c:pt idx="923">
                  <c:v>60094700</c:v>
                </c:pt>
                <c:pt idx="924">
                  <c:v>2753500</c:v>
                </c:pt>
                <c:pt idx="925">
                  <c:v>62723300</c:v>
                </c:pt>
                <c:pt idx="926">
                  <c:v>3213400</c:v>
                </c:pt>
                <c:pt idx="927">
                  <c:v>65126700</c:v>
                </c:pt>
                <c:pt idx="928">
                  <c:v>4047200</c:v>
                </c:pt>
                <c:pt idx="929">
                  <c:v>55229200</c:v>
                </c:pt>
                <c:pt idx="930">
                  <c:v>2508400</c:v>
                </c:pt>
                <c:pt idx="931">
                  <c:v>58498900</c:v>
                </c:pt>
                <c:pt idx="932">
                  <c:v>4061900</c:v>
                </c:pt>
                <c:pt idx="933">
                  <c:v>47698400</c:v>
                </c:pt>
                <c:pt idx="934">
                  <c:v>2512400</c:v>
                </c:pt>
                <c:pt idx="935">
                  <c:v>47279700</c:v>
                </c:pt>
                <c:pt idx="936">
                  <c:v>2923700</c:v>
                </c:pt>
                <c:pt idx="937">
                  <c:v>115667800</c:v>
                </c:pt>
                <c:pt idx="938">
                  <c:v>5088300</c:v>
                </c:pt>
                <c:pt idx="939">
                  <c:v>52887200</c:v>
                </c:pt>
                <c:pt idx="940">
                  <c:v>1933100</c:v>
                </c:pt>
                <c:pt idx="941">
                  <c:v>45316800</c:v>
                </c:pt>
                <c:pt idx="942">
                  <c:v>2295000</c:v>
                </c:pt>
                <c:pt idx="943">
                  <c:v>72694000</c:v>
                </c:pt>
                <c:pt idx="944">
                  <c:v>2207500</c:v>
                </c:pt>
                <c:pt idx="945">
                  <c:v>53826900</c:v>
                </c:pt>
                <c:pt idx="946">
                  <c:v>1937200</c:v>
                </c:pt>
                <c:pt idx="947">
                  <c:v>49387600</c:v>
                </c:pt>
                <c:pt idx="948">
                  <c:v>2279600</c:v>
                </c:pt>
                <c:pt idx="949">
                  <c:v>43988500</c:v>
                </c:pt>
                <c:pt idx="950">
                  <c:v>2245700</c:v>
                </c:pt>
                <c:pt idx="951">
                  <c:v>47900300</c:v>
                </c:pt>
                <c:pt idx="952">
                  <c:v>2166900</c:v>
                </c:pt>
                <c:pt idx="953">
                  <c:v>43888600</c:v>
                </c:pt>
                <c:pt idx="954">
                  <c:v>2141700</c:v>
                </c:pt>
                <c:pt idx="955">
                  <c:v>57429800</c:v>
                </c:pt>
                <c:pt idx="956">
                  <c:v>2185400</c:v>
                </c:pt>
                <c:pt idx="957">
                  <c:v>56636100</c:v>
                </c:pt>
                <c:pt idx="958">
                  <c:v>2686200</c:v>
                </c:pt>
                <c:pt idx="959">
                  <c:v>53648700</c:v>
                </c:pt>
                <c:pt idx="960">
                  <c:v>2656600</c:v>
                </c:pt>
                <c:pt idx="961">
                  <c:v>49203000</c:v>
                </c:pt>
                <c:pt idx="962">
                  <c:v>2691200</c:v>
                </c:pt>
                <c:pt idx="963">
                  <c:v>48101600</c:v>
                </c:pt>
                <c:pt idx="964">
                  <c:v>1996600</c:v>
                </c:pt>
                <c:pt idx="965">
                  <c:v>53322700</c:v>
                </c:pt>
                <c:pt idx="966">
                  <c:v>2560400</c:v>
                </c:pt>
                <c:pt idx="967">
                  <c:v>37496300</c:v>
                </c:pt>
                <c:pt idx="968">
                  <c:v>1888700</c:v>
                </c:pt>
                <c:pt idx="969">
                  <c:v>38627000</c:v>
                </c:pt>
                <c:pt idx="970">
                  <c:v>2503200</c:v>
                </c:pt>
                <c:pt idx="971">
                  <c:v>36252100</c:v>
                </c:pt>
                <c:pt idx="972">
                  <c:v>2444900</c:v>
                </c:pt>
                <c:pt idx="973">
                  <c:v>50461500</c:v>
                </c:pt>
                <c:pt idx="974">
                  <c:v>2008900</c:v>
                </c:pt>
                <c:pt idx="975">
                  <c:v>47792800</c:v>
                </c:pt>
                <c:pt idx="976">
                  <c:v>2003600</c:v>
                </c:pt>
                <c:pt idx="977">
                  <c:v>37458700</c:v>
                </c:pt>
                <c:pt idx="978">
                  <c:v>1750900</c:v>
                </c:pt>
                <c:pt idx="979">
                  <c:v>48149800</c:v>
                </c:pt>
                <c:pt idx="980">
                  <c:v>1576200</c:v>
                </c:pt>
                <c:pt idx="981">
                  <c:v>59102900</c:v>
                </c:pt>
                <c:pt idx="982">
                  <c:v>1959300</c:v>
                </c:pt>
                <c:pt idx="983">
                  <c:v>39014600</c:v>
                </c:pt>
                <c:pt idx="984">
                  <c:v>1752400</c:v>
                </c:pt>
                <c:pt idx="985">
                  <c:v>47643500</c:v>
                </c:pt>
                <c:pt idx="986">
                  <c:v>1864800</c:v>
                </c:pt>
                <c:pt idx="987">
                  <c:v>44867300</c:v>
                </c:pt>
                <c:pt idx="988">
                  <c:v>2538900</c:v>
                </c:pt>
                <c:pt idx="989">
                  <c:v>54773800</c:v>
                </c:pt>
                <c:pt idx="990">
                  <c:v>2304300</c:v>
                </c:pt>
                <c:pt idx="991">
                  <c:v>40434700</c:v>
                </c:pt>
                <c:pt idx="992">
                  <c:v>2460000</c:v>
                </c:pt>
                <c:pt idx="993">
                  <c:v>52229000</c:v>
                </c:pt>
                <c:pt idx="994">
                  <c:v>2655000</c:v>
                </c:pt>
                <c:pt idx="995">
                  <c:v>50686900</c:v>
                </c:pt>
                <c:pt idx="996">
                  <c:v>1908500</c:v>
                </c:pt>
                <c:pt idx="997">
                  <c:v>70585000</c:v>
                </c:pt>
                <c:pt idx="998">
                  <c:v>2478900</c:v>
                </c:pt>
                <c:pt idx="999">
                  <c:v>71827800</c:v>
                </c:pt>
                <c:pt idx="1000">
                  <c:v>4155900</c:v>
                </c:pt>
                <c:pt idx="1001">
                  <c:v>61922400</c:v>
                </c:pt>
                <c:pt idx="1002">
                  <c:v>8193100</c:v>
                </c:pt>
                <c:pt idx="1003">
                  <c:v>76846900</c:v>
                </c:pt>
                <c:pt idx="1004">
                  <c:v>3185100</c:v>
                </c:pt>
                <c:pt idx="1005">
                  <c:v>148892900</c:v>
                </c:pt>
                <c:pt idx="1006">
                  <c:v>5188100</c:v>
                </c:pt>
                <c:pt idx="1007">
                  <c:v>82245500</c:v>
                </c:pt>
                <c:pt idx="1008">
                  <c:v>2229200</c:v>
                </c:pt>
                <c:pt idx="1009">
                  <c:v>61582000</c:v>
                </c:pt>
                <c:pt idx="1010">
                  <c:v>1856500</c:v>
                </c:pt>
                <c:pt idx="1011">
                  <c:v>67075100</c:v>
                </c:pt>
                <c:pt idx="1012">
                  <c:v>1767700</c:v>
                </c:pt>
                <c:pt idx="1013">
                  <c:v>50221300</c:v>
                </c:pt>
                <c:pt idx="1014">
                  <c:v>1845600</c:v>
                </c:pt>
                <c:pt idx="1015">
                  <c:v>51463800</c:v>
                </c:pt>
                <c:pt idx="1016">
                  <c:v>1961500</c:v>
                </c:pt>
                <c:pt idx="1017">
                  <c:v>60239900</c:v>
                </c:pt>
                <c:pt idx="1018">
                  <c:v>2214500</c:v>
                </c:pt>
                <c:pt idx="1019">
                  <c:v>71268300</c:v>
                </c:pt>
                <c:pt idx="1020">
                  <c:v>2175900</c:v>
                </c:pt>
                <c:pt idx="1021">
                  <c:v>60990000</c:v>
                </c:pt>
                <c:pt idx="1022">
                  <c:v>2671400</c:v>
                </c:pt>
                <c:pt idx="1023">
                  <c:v>59115400</c:v>
                </c:pt>
                <c:pt idx="1024">
                  <c:v>2476400</c:v>
                </c:pt>
                <c:pt idx="1025">
                  <c:v>84317800</c:v>
                </c:pt>
                <c:pt idx="1026">
                  <c:v>2282100</c:v>
                </c:pt>
                <c:pt idx="1027">
                  <c:v>51163100</c:v>
                </c:pt>
                <c:pt idx="1028">
                  <c:v>2531200</c:v>
                </c:pt>
                <c:pt idx="1029">
                  <c:v>61353800</c:v>
                </c:pt>
                <c:pt idx="1030">
                  <c:v>2389000</c:v>
                </c:pt>
                <c:pt idx="1031">
                  <c:v>54280300</c:v>
                </c:pt>
                <c:pt idx="1032">
                  <c:v>2718400</c:v>
                </c:pt>
                <c:pt idx="1033">
                  <c:v>53487600</c:v>
                </c:pt>
                <c:pt idx="1034">
                  <c:v>2773300</c:v>
                </c:pt>
                <c:pt idx="1035">
                  <c:v>45719700</c:v>
                </c:pt>
                <c:pt idx="1036">
                  <c:v>2491100</c:v>
                </c:pt>
                <c:pt idx="1037">
                  <c:v>57872300</c:v>
                </c:pt>
                <c:pt idx="1038">
                  <c:v>4677600</c:v>
                </c:pt>
                <c:pt idx="1039">
                  <c:v>66958900</c:v>
                </c:pt>
                <c:pt idx="1040">
                  <c:v>3190600</c:v>
                </c:pt>
                <c:pt idx="1041">
                  <c:v>76583700</c:v>
                </c:pt>
                <c:pt idx="1042">
                  <c:v>3724900</c:v>
                </c:pt>
                <c:pt idx="1043">
                  <c:v>73021200</c:v>
                </c:pt>
                <c:pt idx="1044">
                  <c:v>3423100</c:v>
                </c:pt>
                <c:pt idx="1045">
                  <c:v>97679400</c:v>
                </c:pt>
                <c:pt idx="1046">
                  <c:v>4197100</c:v>
                </c:pt>
                <c:pt idx="1047">
                  <c:v>66375300</c:v>
                </c:pt>
                <c:pt idx="1048">
                  <c:v>2436900</c:v>
                </c:pt>
                <c:pt idx="1049">
                  <c:v>74942900</c:v>
                </c:pt>
                <c:pt idx="1050">
                  <c:v>3327200</c:v>
                </c:pt>
                <c:pt idx="1051">
                  <c:v>62133200</c:v>
                </c:pt>
                <c:pt idx="1052">
                  <c:v>3061100</c:v>
                </c:pt>
                <c:pt idx="1053">
                  <c:v>69867600</c:v>
                </c:pt>
                <c:pt idx="1054">
                  <c:v>4868900</c:v>
                </c:pt>
                <c:pt idx="1055">
                  <c:v>64345300</c:v>
                </c:pt>
                <c:pt idx="1056">
                  <c:v>6667900</c:v>
                </c:pt>
                <c:pt idx="1057">
                  <c:v>60040100</c:v>
                </c:pt>
                <c:pt idx="1058">
                  <c:v>4008700</c:v>
                </c:pt>
                <c:pt idx="1059">
                  <c:v>70901200</c:v>
                </c:pt>
                <c:pt idx="1060">
                  <c:v>2755400</c:v>
                </c:pt>
                <c:pt idx="1061">
                  <c:v>99772100</c:v>
                </c:pt>
                <c:pt idx="1062">
                  <c:v>7226100</c:v>
                </c:pt>
                <c:pt idx="1063">
                  <c:v>82186300</c:v>
                </c:pt>
                <c:pt idx="1064">
                  <c:v>4789900</c:v>
                </c:pt>
                <c:pt idx="1065">
                  <c:v>85011100</c:v>
                </c:pt>
                <c:pt idx="1066">
                  <c:v>2343100</c:v>
                </c:pt>
                <c:pt idx="1067">
                  <c:v>69728800</c:v>
                </c:pt>
                <c:pt idx="1068">
                  <c:v>2359000</c:v>
                </c:pt>
                <c:pt idx="1069">
                  <c:v>99277700</c:v>
                </c:pt>
                <c:pt idx="1070">
                  <c:v>3559400</c:v>
                </c:pt>
                <c:pt idx="1071">
                  <c:v>87266000</c:v>
                </c:pt>
                <c:pt idx="1072">
                  <c:v>2604100</c:v>
                </c:pt>
                <c:pt idx="1073">
                  <c:v>67029800</c:v>
                </c:pt>
                <c:pt idx="1074">
                  <c:v>3045700</c:v>
                </c:pt>
                <c:pt idx="1075">
                  <c:v>64926600</c:v>
                </c:pt>
                <c:pt idx="1076">
                  <c:v>4171300</c:v>
                </c:pt>
                <c:pt idx="1077">
                  <c:v>85156700</c:v>
                </c:pt>
                <c:pt idx="1078">
                  <c:v>1799000</c:v>
                </c:pt>
                <c:pt idx="1080">
                  <c:v>135269000</c:v>
                </c:pt>
                <c:pt idx="1081">
                  <c:v>1565400</c:v>
                </c:pt>
                <c:pt idx="1082">
                  <c:v>97604000</c:v>
                </c:pt>
                <c:pt idx="1083">
                  <c:v>2222500</c:v>
                </c:pt>
                <c:pt idx="1084">
                  <c:v>100560000</c:v>
                </c:pt>
                <c:pt idx="1085">
                  <c:v>1784100</c:v>
                </c:pt>
                <c:pt idx="1086">
                  <c:v>127528000</c:v>
                </c:pt>
                <c:pt idx="1087">
                  <c:v>2314000</c:v>
                </c:pt>
                <c:pt idx="1088">
                  <c:v>144634000</c:v>
                </c:pt>
                <c:pt idx="1089">
                  <c:v>3773500</c:v>
                </c:pt>
                <c:pt idx="1090">
                  <c:v>93660000</c:v>
                </c:pt>
                <c:pt idx="1091">
                  <c:v>2020400</c:v>
                </c:pt>
                <c:pt idx="1092">
                  <c:v>93002000</c:v>
                </c:pt>
                <c:pt idx="1093">
                  <c:v>2016000</c:v>
                </c:pt>
                <c:pt idx="1094">
                  <c:v>93120000</c:v>
                </c:pt>
                <c:pt idx="1095">
                  <c:v>3080200</c:v>
                </c:pt>
                <c:pt idx="1096">
                  <c:v>102934000</c:v>
                </c:pt>
                <c:pt idx="1097">
                  <c:v>2467800</c:v>
                </c:pt>
                <c:pt idx="1098">
                  <c:v>107798000</c:v>
                </c:pt>
                <c:pt idx="1099">
                  <c:v>3246600</c:v>
                </c:pt>
                <c:pt idx="1100">
                  <c:v>99500000</c:v>
                </c:pt>
                <c:pt idx="1101">
                  <c:v>5404500</c:v>
                </c:pt>
                <c:pt idx="1102">
                  <c:v>88142000</c:v>
                </c:pt>
                <c:pt idx="1103">
                  <c:v>2887700</c:v>
                </c:pt>
                <c:pt idx="1104">
                  <c:v>108380000</c:v>
                </c:pt>
                <c:pt idx="1105">
                  <c:v>4723300</c:v>
                </c:pt>
                <c:pt idx="1106">
                  <c:v>76448000</c:v>
                </c:pt>
                <c:pt idx="1107">
                  <c:v>2275900</c:v>
                </c:pt>
                <c:pt idx="1108">
                  <c:v>74566000</c:v>
                </c:pt>
                <c:pt idx="1109">
                  <c:v>2540800</c:v>
                </c:pt>
                <c:pt idx="1110">
                  <c:v>93684000</c:v>
                </c:pt>
                <c:pt idx="1111">
                  <c:v>2323800</c:v>
                </c:pt>
                <c:pt idx="1112">
                  <c:v>132026000</c:v>
                </c:pt>
                <c:pt idx="1113">
                  <c:v>3282000</c:v>
                </c:pt>
                <c:pt idx="1114">
                  <c:v>109704000</c:v>
                </c:pt>
                <c:pt idx="1115">
                  <c:v>2552400</c:v>
                </c:pt>
                <c:pt idx="1116">
                  <c:v>105434000</c:v>
                </c:pt>
                <c:pt idx="1117">
                  <c:v>3040400</c:v>
                </c:pt>
                <c:pt idx="1118">
                  <c:v>128124000</c:v>
                </c:pt>
                <c:pt idx="1119">
                  <c:v>2929900</c:v>
                </c:pt>
                <c:pt idx="1120">
                  <c:v>124260000</c:v>
                </c:pt>
                <c:pt idx="1121">
                  <c:v>2268400</c:v>
                </c:pt>
                <c:pt idx="1122">
                  <c:v>144392000</c:v>
                </c:pt>
                <c:pt idx="1123">
                  <c:v>3005600</c:v>
                </c:pt>
                <c:pt idx="1124">
                  <c:v>110746000</c:v>
                </c:pt>
                <c:pt idx="1125">
                  <c:v>3023700</c:v>
                </c:pt>
                <c:pt idx="1126">
                  <c:v>79134000</c:v>
                </c:pt>
                <c:pt idx="1127">
                  <c:v>2121100</c:v>
                </c:pt>
                <c:pt idx="1128">
                  <c:v>148788000</c:v>
                </c:pt>
                <c:pt idx="1129">
                  <c:v>2639500</c:v>
                </c:pt>
                <c:pt idx="1130">
                  <c:v>272662000</c:v>
                </c:pt>
                <c:pt idx="1131">
                  <c:v>3404000</c:v>
                </c:pt>
                <c:pt idx="1132">
                  <c:v>117316000</c:v>
                </c:pt>
                <c:pt idx="1133">
                  <c:v>6092800</c:v>
                </c:pt>
                <c:pt idx="1134">
                  <c:v>71336000</c:v>
                </c:pt>
                <c:pt idx="1135">
                  <c:v>3358300</c:v>
                </c:pt>
                <c:pt idx="1136">
                  <c:v>77530000</c:v>
                </c:pt>
                <c:pt idx="1137">
                  <c:v>4176700</c:v>
                </c:pt>
                <c:pt idx="1138">
                  <c:v>61874000</c:v>
                </c:pt>
                <c:pt idx="1139">
                  <c:v>4145500</c:v>
                </c:pt>
                <c:pt idx="1140">
                  <c:v>73078000</c:v>
                </c:pt>
                <c:pt idx="1141">
                  <c:v>5053700</c:v>
                </c:pt>
                <c:pt idx="1142">
                  <c:v>63970000</c:v>
                </c:pt>
                <c:pt idx="1143">
                  <c:v>3571400</c:v>
                </c:pt>
                <c:pt idx="1144">
                  <c:v>59630000</c:v>
                </c:pt>
                <c:pt idx="1145">
                  <c:v>2907700</c:v>
                </c:pt>
                <c:pt idx="1146">
                  <c:v>54926000</c:v>
                </c:pt>
                <c:pt idx="1147">
                  <c:v>2689400</c:v>
                </c:pt>
                <c:pt idx="1148">
                  <c:v>46514000</c:v>
                </c:pt>
                <c:pt idx="1149">
                  <c:v>3644000</c:v>
                </c:pt>
                <c:pt idx="1150">
                  <c:v>51598000</c:v>
                </c:pt>
                <c:pt idx="1151">
                  <c:v>5337900</c:v>
                </c:pt>
                <c:pt idx="1152">
                  <c:v>53390000</c:v>
                </c:pt>
                <c:pt idx="1153">
                  <c:v>1898900</c:v>
                </c:pt>
                <c:pt idx="1154">
                  <c:v>55178000</c:v>
                </c:pt>
                <c:pt idx="1155">
                  <c:v>2508200</c:v>
                </c:pt>
                <c:pt idx="1156">
                  <c:v>52112000</c:v>
                </c:pt>
                <c:pt idx="1157">
                  <c:v>2494700</c:v>
                </c:pt>
                <c:pt idx="1158">
                  <c:v>46002000</c:v>
                </c:pt>
                <c:pt idx="1159">
                  <c:v>2450200</c:v>
                </c:pt>
                <c:pt idx="1160">
                  <c:v>68136000</c:v>
                </c:pt>
                <c:pt idx="1161">
                  <c:v>2253600</c:v>
                </c:pt>
                <c:pt idx="1162">
                  <c:v>79056000</c:v>
                </c:pt>
                <c:pt idx="1163">
                  <c:v>2783300</c:v>
                </c:pt>
                <c:pt idx="1164">
                  <c:v>53728000</c:v>
                </c:pt>
                <c:pt idx="1165">
                  <c:v>3582100</c:v>
                </c:pt>
                <c:pt idx="1166">
                  <c:v>49882000</c:v>
                </c:pt>
                <c:pt idx="1167">
                  <c:v>2181300</c:v>
                </c:pt>
                <c:pt idx="1168">
                  <c:v>57090000</c:v>
                </c:pt>
                <c:pt idx="1169">
                  <c:v>2618300</c:v>
                </c:pt>
                <c:pt idx="1170">
                  <c:v>59966000</c:v>
                </c:pt>
                <c:pt idx="1171">
                  <c:v>3152100</c:v>
                </c:pt>
                <c:pt idx="1172">
                  <c:v>56168000</c:v>
                </c:pt>
                <c:pt idx="1173">
                  <c:v>2507400</c:v>
                </c:pt>
                <c:pt idx="1174">
                  <c:v>66154000</c:v>
                </c:pt>
                <c:pt idx="1175">
                  <c:v>3667800</c:v>
                </c:pt>
                <c:pt idx="1176">
                  <c:v>59854000</c:v>
                </c:pt>
                <c:pt idx="1177">
                  <c:v>3072500</c:v>
                </c:pt>
                <c:pt idx="1178">
                  <c:v>49032000</c:v>
                </c:pt>
                <c:pt idx="1179">
                  <c:v>1581100</c:v>
                </c:pt>
                <c:pt idx="1180">
                  <c:v>56798000</c:v>
                </c:pt>
                <c:pt idx="1181">
                  <c:v>2110900</c:v>
                </c:pt>
                <c:pt idx="1182">
                  <c:v>55812000</c:v>
                </c:pt>
                <c:pt idx="1183">
                  <c:v>2001700</c:v>
                </c:pt>
                <c:pt idx="1184">
                  <c:v>64086000</c:v>
                </c:pt>
                <c:pt idx="1185">
                  <c:v>2461500</c:v>
                </c:pt>
                <c:pt idx="1186">
                  <c:v>66538000</c:v>
                </c:pt>
                <c:pt idx="1187">
                  <c:v>2902200</c:v>
                </c:pt>
                <c:pt idx="1188">
                  <c:v>102962000</c:v>
                </c:pt>
                <c:pt idx="1189">
                  <c:v>4105100</c:v>
                </c:pt>
                <c:pt idx="1190">
                  <c:v>72934000</c:v>
                </c:pt>
                <c:pt idx="1191">
                  <c:v>3600400</c:v>
                </c:pt>
                <c:pt idx="1192">
                  <c:v>84958000</c:v>
                </c:pt>
                <c:pt idx="1193">
                  <c:v>4378700</c:v>
                </c:pt>
                <c:pt idx="1194">
                  <c:v>75584000</c:v>
                </c:pt>
                <c:pt idx="1195">
                  <c:v>4364200</c:v>
                </c:pt>
                <c:pt idx="1196">
                  <c:v>74086000</c:v>
                </c:pt>
                <c:pt idx="1197">
                  <c:v>3530700</c:v>
                </c:pt>
                <c:pt idx="1198">
                  <c:v>68900000</c:v>
                </c:pt>
                <c:pt idx="1199">
                  <c:v>4045500</c:v>
                </c:pt>
                <c:pt idx="1200">
                  <c:v>135062000</c:v>
                </c:pt>
                <c:pt idx="1201">
                  <c:v>4886300</c:v>
                </c:pt>
                <c:pt idx="1202">
                  <c:v>82656000</c:v>
                </c:pt>
                <c:pt idx="1203">
                  <c:v>4798300</c:v>
                </c:pt>
                <c:pt idx="1204">
                  <c:v>91662000</c:v>
                </c:pt>
                <c:pt idx="1205">
                  <c:v>9318600</c:v>
                </c:pt>
                <c:pt idx="1206">
                  <c:v>86934000</c:v>
                </c:pt>
                <c:pt idx="1207">
                  <c:v>6912300</c:v>
                </c:pt>
                <c:pt idx="1208">
                  <c:v>60934000</c:v>
                </c:pt>
                <c:pt idx="1209">
                  <c:v>4334700</c:v>
                </c:pt>
                <c:pt idx="1210">
                  <c:v>65198000</c:v>
                </c:pt>
                <c:pt idx="1211">
                  <c:v>4429700</c:v>
                </c:pt>
                <c:pt idx="1212">
                  <c:v>47334000</c:v>
                </c:pt>
                <c:pt idx="1213">
                  <c:v>5849900</c:v>
                </c:pt>
                <c:pt idx="1214">
                  <c:v>44874000</c:v>
                </c:pt>
                <c:pt idx="1215">
                  <c:v>5110600</c:v>
                </c:pt>
                <c:pt idx="1216">
                  <c:v>57684000</c:v>
                </c:pt>
                <c:pt idx="1217">
                  <c:v>5168500</c:v>
                </c:pt>
                <c:pt idx="1218">
                  <c:v>62396000</c:v>
                </c:pt>
                <c:pt idx="1219">
                  <c:v>3594600</c:v>
                </c:pt>
                <c:pt idx="1220">
                  <c:v>100786000</c:v>
                </c:pt>
                <c:pt idx="1221">
                  <c:v>5919500</c:v>
                </c:pt>
                <c:pt idx="1222">
                  <c:v>64244000</c:v>
                </c:pt>
                <c:pt idx="1223">
                  <c:v>3550400</c:v>
                </c:pt>
                <c:pt idx="1224">
                  <c:v>66128000</c:v>
                </c:pt>
                <c:pt idx="1225">
                  <c:v>3488000</c:v>
                </c:pt>
                <c:pt idx="1226">
                  <c:v>63604000</c:v>
                </c:pt>
                <c:pt idx="1227">
                  <c:v>4385200</c:v>
                </c:pt>
                <c:pt idx="1228">
                  <c:v>64032000</c:v>
                </c:pt>
                <c:pt idx="1229">
                  <c:v>4699600</c:v>
                </c:pt>
                <c:pt idx="1230">
                  <c:v>52704000</c:v>
                </c:pt>
                <c:pt idx="1231">
                  <c:v>2253900</c:v>
                </c:pt>
                <c:pt idx="1232">
                  <c:v>56440000</c:v>
                </c:pt>
                <c:pt idx="1233">
                  <c:v>2752600</c:v>
                </c:pt>
                <c:pt idx="1234">
                  <c:v>83230000</c:v>
                </c:pt>
                <c:pt idx="1235">
                  <c:v>2730500</c:v>
                </c:pt>
                <c:pt idx="1236">
                  <c:v>77100000</c:v>
                </c:pt>
                <c:pt idx="1237">
                  <c:v>3826700</c:v>
                </c:pt>
                <c:pt idx="1238">
                  <c:v>68268000</c:v>
                </c:pt>
                <c:pt idx="1239">
                  <c:v>3538500</c:v>
                </c:pt>
                <c:pt idx="1240">
                  <c:v>68786000</c:v>
                </c:pt>
                <c:pt idx="1241">
                  <c:v>2743700</c:v>
                </c:pt>
                <c:pt idx="1242">
                  <c:v>76040000</c:v>
                </c:pt>
                <c:pt idx="1243">
                  <c:v>2407100</c:v>
                </c:pt>
                <c:pt idx="1244">
                  <c:v>102624000</c:v>
                </c:pt>
                <c:pt idx="1245">
                  <c:v>2402000</c:v>
                </c:pt>
                <c:pt idx="1246">
                  <c:v>253456000</c:v>
                </c:pt>
                <c:pt idx="1247">
                  <c:v>3930800</c:v>
                </c:pt>
                <c:pt idx="1248">
                  <c:v>225532000</c:v>
                </c:pt>
                <c:pt idx="1249">
                  <c:v>2748200</c:v>
                </c:pt>
                <c:pt idx="1250">
                  <c:v>87330000</c:v>
                </c:pt>
                <c:pt idx="1251">
                  <c:v>3492300</c:v>
                </c:pt>
                <c:pt idx="1252">
                  <c:v>59220000</c:v>
                </c:pt>
                <c:pt idx="1253">
                  <c:v>4026400</c:v>
                </c:pt>
                <c:pt idx="1254">
                  <c:v>78308000</c:v>
                </c:pt>
                <c:pt idx="1255">
                  <c:v>6179000</c:v>
                </c:pt>
                <c:pt idx="1256">
                  <c:v>74392000</c:v>
                </c:pt>
                <c:pt idx="1257">
                  <c:v>10747300</c:v>
                </c:pt>
                <c:pt idx="1258">
                  <c:v>77516000</c:v>
                </c:pt>
                <c:pt idx="1259">
                  <c:v>3678100</c:v>
                </c:pt>
                <c:pt idx="1260">
                  <c:v>95602000</c:v>
                </c:pt>
                <c:pt idx="1261">
                  <c:v>3558500</c:v>
                </c:pt>
                <c:pt idx="1262">
                  <c:v>90824000</c:v>
                </c:pt>
                <c:pt idx="1263">
                  <c:v>4554300</c:v>
                </c:pt>
                <c:pt idx="1264">
                  <c:v>155624000</c:v>
                </c:pt>
                <c:pt idx="1265">
                  <c:v>5107300</c:v>
                </c:pt>
                <c:pt idx="1266">
                  <c:v>163972000</c:v>
                </c:pt>
                <c:pt idx="1267">
                  <c:v>3754700</c:v>
                </c:pt>
                <c:pt idx="1268">
                  <c:v>71974000</c:v>
                </c:pt>
                <c:pt idx="1269">
                  <c:v>3545600</c:v>
                </c:pt>
                <c:pt idx="1270">
                  <c:v>53242000</c:v>
                </c:pt>
                <c:pt idx="1271">
                  <c:v>4991700</c:v>
                </c:pt>
                <c:pt idx="1272">
                  <c:v>67292000</c:v>
                </c:pt>
                <c:pt idx="1273">
                  <c:v>5411900</c:v>
                </c:pt>
                <c:pt idx="1274">
                  <c:v>45974000</c:v>
                </c:pt>
                <c:pt idx="1275">
                  <c:v>3970600</c:v>
                </c:pt>
                <c:pt idx="1276">
                  <c:v>52188000</c:v>
                </c:pt>
                <c:pt idx="1277">
                  <c:v>5002300</c:v>
                </c:pt>
                <c:pt idx="1278">
                  <c:v>50030000</c:v>
                </c:pt>
                <c:pt idx="1279">
                  <c:v>2506900</c:v>
                </c:pt>
                <c:pt idx="1280">
                  <c:v>62806000</c:v>
                </c:pt>
                <c:pt idx="1281">
                  <c:v>2944300</c:v>
                </c:pt>
                <c:pt idx="1282">
                  <c:v>87798000</c:v>
                </c:pt>
                <c:pt idx="1283">
                  <c:v>3734900</c:v>
                </c:pt>
                <c:pt idx="1284">
                  <c:v>46606000</c:v>
                </c:pt>
                <c:pt idx="1285">
                  <c:v>3673400</c:v>
                </c:pt>
                <c:pt idx="1286">
                  <c:v>51958000</c:v>
                </c:pt>
                <c:pt idx="1287">
                  <c:v>3913200</c:v>
                </c:pt>
                <c:pt idx="1288">
                  <c:v>64302000</c:v>
                </c:pt>
                <c:pt idx="1289">
                  <c:v>5378200</c:v>
                </c:pt>
                <c:pt idx="1290">
                  <c:v>70726000</c:v>
                </c:pt>
                <c:pt idx="1291">
                  <c:v>5242300</c:v>
                </c:pt>
                <c:pt idx="1292">
                  <c:v>63520000</c:v>
                </c:pt>
                <c:pt idx="1293">
                  <c:v>2055600</c:v>
                </c:pt>
                <c:pt idx="1294">
                  <c:v>47830000</c:v>
                </c:pt>
                <c:pt idx="1295">
                  <c:v>1374500</c:v>
                </c:pt>
                <c:pt idx="1296">
                  <c:v>37584000</c:v>
                </c:pt>
                <c:pt idx="1297">
                  <c:v>1465900</c:v>
                </c:pt>
                <c:pt idx="1298">
                  <c:v>35754000</c:v>
                </c:pt>
                <c:pt idx="1299">
                  <c:v>1334900</c:v>
                </c:pt>
                <c:pt idx="1300">
                  <c:v>54638000</c:v>
                </c:pt>
                <c:pt idx="1301">
                  <c:v>1393000</c:v>
                </c:pt>
                <c:pt idx="1302">
                  <c:v>58688000</c:v>
                </c:pt>
                <c:pt idx="1303">
                  <c:v>1711200</c:v>
                </c:pt>
                <c:pt idx="1304">
                  <c:v>36788000</c:v>
                </c:pt>
                <c:pt idx="1305">
                  <c:v>2669600</c:v>
                </c:pt>
                <c:pt idx="1306">
                  <c:v>55036000</c:v>
                </c:pt>
                <c:pt idx="1307">
                  <c:v>3558700</c:v>
                </c:pt>
                <c:pt idx="1308">
                  <c:v>55956000</c:v>
                </c:pt>
                <c:pt idx="1309">
                  <c:v>2303400</c:v>
                </c:pt>
                <c:pt idx="1310">
                  <c:v>57372000</c:v>
                </c:pt>
                <c:pt idx="1311">
                  <c:v>3605100</c:v>
                </c:pt>
                <c:pt idx="1312">
                  <c:v>85542000</c:v>
                </c:pt>
                <c:pt idx="1313">
                  <c:v>6079600</c:v>
                </c:pt>
                <c:pt idx="1314">
                  <c:v>60876000</c:v>
                </c:pt>
                <c:pt idx="1315">
                  <c:v>2856800</c:v>
                </c:pt>
                <c:pt idx="1316">
                  <c:v>75794000</c:v>
                </c:pt>
                <c:pt idx="1317">
                  <c:v>2193700</c:v>
                </c:pt>
                <c:pt idx="1318">
                  <c:v>55976000</c:v>
                </c:pt>
                <c:pt idx="1319">
                  <c:v>2248800</c:v>
                </c:pt>
                <c:pt idx="1320">
                  <c:v>62170000</c:v>
                </c:pt>
                <c:pt idx="1321">
                  <c:v>1868500</c:v>
                </c:pt>
                <c:pt idx="1322">
                  <c:v>60690000</c:v>
                </c:pt>
                <c:pt idx="1323">
                  <c:v>3315200</c:v>
                </c:pt>
                <c:pt idx="1324">
                  <c:v>46062000</c:v>
                </c:pt>
                <c:pt idx="1325">
                  <c:v>1646600</c:v>
                </c:pt>
                <c:pt idx="1326">
                  <c:v>45254000</c:v>
                </c:pt>
                <c:pt idx="1327">
                  <c:v>2341200</c:v>
                </c:pt>
                <c:pt idx="1328">
                  <c:v>66410000</c:v>
                </c:pt>
                <c:pt idx="1329">
                  <c:v>2818000</c:v>
                </c:pt>
                <c:pt idx="1330">
                  <c:v>68860000</c:v>
                </c:pt>
                <c:pt idx="1331">
                  <c:v>2838400</c:v>
                </c:pt>
                <c:pt idx="1332">
                  <c:v>80712000</c:v>
                </c:pt>
                <c:pt idx="1333">
                  <c:v>3250900</c:v>
                </c:pt>
                <c:pt idx="1334">
                  <c:v>64726000</c:v>
                </c:pt>
                <c:pt idx="1335">
                  <c:v>3445700</c:v>
                </c:pt>
                <c:pt idx="1336">
                  <c:v>74916000</c:v>
                </c:pt>
                <c:pt idx="1337">
                  <c:v>3425300</c:v>
                </c:pt>
                <c:pt idx="1338">
                  <c:v>80022000</c:v>
                </c:pt>
                <c:pt idx="1339">
                  <c:v>6358000</c:v>
                </c:pt>
                <c:pt idx="1340">
                  <c:v>65312000</c:v>
                </c:pt>
                <c:pt idx="1341">
                  <c:v>4559900</c:v>
                </c:pt>
                <c:pt idx="1342">
                  <c:v>59826000</c:v>
                </c:pt>
                <c:pt idx="1343">
                  <c:v>3496000</c:v>
                </c:pt>
                <c:pt idx="1344">
                  <c:v>46560000</c:v>
                </c:pt>
                <c:pt idx="1345">
                  <c:v>3880500</c:v>
                </c:pt>
                <c:pt idx="1346">
                  <c:v>73804000</c:v>
                </c:pt>
                <c:pt idx="1347">
                  <c:v>3127100</c:v>
                </c:pt>
                <c:pt idx="1348">
                  <c:v>96844000</c:v>
                </c:pt>
                <c:pt idx="1349">
                  <c:v>2596500</c:v>
                </c:pt>
                <c:pt idx="1350">
                  <c:v>98734000</c:v>
                </c:pt>
                <c:pt idx="1351">
                  <c:v>2980100</c:v>
                </c:pt>
                <c:pt idx="1352">
                  <c:v>114070000</c:v>
                </c:pt>
                <c:pt idx="1353">
                  <c:v>2119900</c:v>
                </c:pt>
                <c:pt idx="1354">
                  <c:v>51206000</c:v>
                </c:pt>
                <c:pt idx="1355">
                  <c:v>3135700</c:v>
                </c:pt>
                <c:pt idx="1356">
                  <c:v>44342000</c:v>
                </c:pt>
                <c:pt idx="1357">
                  <c:v>2138000</c:v>
                </c:pt>
                <c:pt idx="1358">
                  <c:v>58594000</c:v>
                </c:pt>
                <c:pt idx="1359">
                  <c:v>2392600</c:v>
                </c:pt>
                <c:pt idx="1360">
                  <c:v>53788000</c:v>
                </c:pt>
                <c:pt idx="1361">
                  <c:v>2018000</c:v>
                </c:pt>
                <c:pt idx="1362">
                  <c:v>45288000</c:v>
                </c:pt>
                <c:pt idx="1363">
                  <c:v>4819800</c:v>
                </c:pt>
                <c:pt idx="1364">
                  <c:v>80548000</c:v>
                </c:pt>
                <c:pt idx="1365">
                  <c:v>3261800</c:v>
                </c:pt>
                <c:pt idx="1366">
                  <c:v>85898000</c:v>
                </c:pt>
                <c:pt idx="1367">
                  <c:v>3310300</c:v>
                </c:pt>
                <c:pt idx="1368">
                  <c:v>61480000</c:v>
                </c:pt>
                <c:pt idx="1369">
                  <c:v>5944700</c:v>
                </c:pt>
                <c:pt idx="1370">
                  <c:v>99940000</c:v>
                </c:pt>
                <c:pt idx="1371">
                  <c:v>2591300</c:v>
                </c:pt>
                <c:pt idx="1372">
                  <c:v>107060000</c:v>
                </c:pt>
                <c:pt idx="1373">
                  <c:v>2543500</c:v>
                </c:pt>
                <c:pt idx="1374">
                  <c:v>67944000</c:v>
                </c:pt>
                <c:pt idx="1375">
                  <c:v>3137000</c:v>
                </c:pt>
                <c:pt idx="1376">
                  <c:v>52552000</c:v>
                </c:pt>
                <c:pt idx="1377">
                  <c:v>3429600</c:v>
                </c:pt>
                <c:pt idx="1378">
                  <c:v>72178000</c:v>
                </c:pt>
                <c:pt idx="1379">
                  <c:v>3215200</c:v>
                </c:pt>
                <c:pt idx="1380">
                  <c:v>129722000</c:v>
                </c:pt>
                <c:pt idx="1381">
                  <c:v>4292200</c:v>
                </c:pt>
                <c:pt idx="1382">
                  <c:v>114174000</c:v>
                </c:pt>
                <c:pt idx="1383">
                  <c:v>4462700</c:v>
                </c:pt>
                <c:pt idx="1384">
                  <c:v>54044000</c:v>
                </c:pt>
                <c:pt idx="1385">
                  <c:v>3406700</c:v>
                </c:pt>
                <c:pt idx="1386">
                  <c:v>53966000</c:v>
                </c:pt>
                <c:pt idx="1387">
                  <c:v>2933600</c:v>
                </c:pt>
                <c:pt idx="1388">
                  <c:v>44520000</c:v>
                </c:pt>
                <c:pt idx="1389">
                  <c:v>3294700</c:v>
                </c:pt>
                <c:pt idx="1390">
                  <c:v>62782000</c:v>
                </c:pt>
                <c:pt idx="1391">
                  <c:v>2632400</c:v>
                </c:pt>
                <c:pt idx="1392">
                  <c:v>37628000</c:v>
                </c:pt>
                <c:pt idx="1393">
                  <c:v>3071300</c:v>
                </c:pt>
                <c:pt idx="1394">
                  <c:v>42796000</c:v>
                </c:pt>
                <c:pt idx="1395">
                  <c:v>2936000</c:v>
                </c:pt>
                <c:pt idx="1396">
                  <c:v>47722000</c:v>
                </c:pt>
                <c:pt idx="1397">
                  <c:v>2626900</c:v>
                </c:pt>
                <c:pt idx="1398">
                  <c:v>63482000</c:v>
                </c:pt>
                <c:pt idx="1399">
                  <c:v>2809400</c:v>
                </c:pt>
                <c:pt idx="1400">
                  <c:v>103598000</c:v>
                </c:pt>
                <c:pt idx="1401">
                  <c:v>4736300</c:v>
                </c:pt>
                <c:pt idx="1402">
                  <c:v>42190000</c:v>
                </c:pt>
                <c:pt idx="1403">
                  <c:v>5212900</c:v>
                </c:pt>
                <c:pt idx="1404">
                  <c:v>48402000</c:v>
                </c:pt>
                <c:pt idx="1405">
                  <c:v>3253200</c:v>
                </c:pt>
                <c:pt idx="1406">
                  <c:v>36392000</c:v>
                </c:pt>
                <c:pt idx="1407">
                  <c:v>4706700</c:v>
                </c:pt>
                <c:pt idx="1408">
                  <c:v>40684000</c:v>
                </c:pt>
                <c:pt idx="1409">
                  <c:v>2015200</c:v>
                </c:pt>
                <c:pt idx="1410">
                  <c:v>39964000</c:v>
                </c:pt>
                <c:pt idx="1411">
                  <c:v>2713200</c:v>
                </c:pt>
                <c:pt idx="1412">
                  <c:v>48182000</c:v>
                </c:pt>
                <c:pt idx="1413">
                  <c:v>3510500</c:v>
                </c:pt>
                <c:pt idx="1414">
                  <c:v>50660000</c:v>
                </c:pt>
                <c:pt idx="1415">
                  <c:v>3777700</c:v>
                </c:pt>
                <c:pt idx="1416">
                  <c:v>65384000</c:v>
                </c:pt>
                <c:pt idx="1417">
                  <c:v>3074600</c:v>
                </c:pt>
                <c:pt idx="1418">
                  <c:v>90462000</c:v>
                </c:pt>
                <c:pt idx="1419">
                  <c:v>2864600</c:v>
                </c:pt>
                <c:pt idx="1420">
                  <c:v>56712000</c:v>
                </c:pt>
                <c:pt idx="1421">
                  <c:v>3695500</c:v>
                </c:pt>
                <c:pt idx="1422">
                  <c:v>56848000</c:v>
                </c:pt>
                <c:pt idx="1423">
                  <c:v>4978100</c:v>
                </c:pt>
                <c:pt idx="1424">
                  <c:v>51246000</c:v>
                </c:pt>
                <c:pt idx="1425">
                  <c:v>2954700</c:v>
                </c:pt>
                <c:pt idx="1426">
                  <c:v>88616000</c:v>
                </c:pt>
                <c:pt idx="1427">
                  <c:v>3247500</c:v>
                </c:pt>
                <c:pt idx="1428">
                  <c:v>72690000</c:v>
                </c:pt>
                <c:pt idx="1429">
                  <c:v>3033100</c:v>
                </c:pt>
                <c:pt idx="1430">
                  <c:v>42324000</c:v>
                </c:pt>
                <c:pt idx="1431">
                  <c:v>2199500</c:v>
                </c:pt>
                <c:pt idx="1432">
                  <c:v>47588000</c:v>
                </c:pt>
                <c:pt idx="1433">
                  <c:v>3367800</c:v>
                </c:pt>
                <c:pt idx="1434">
                  <c:v>48228000</c:v>
                </c:pt>
                <c:pt idx="1435">
                  <c:v>3924400</c:v>
                </c:pt>
                <c:pt idx="1436">
                  <c:v>55618000</c:v>
                </c:pt>
                <c:pt idx="1437">
                  <c:v>5699900</c:v>
                </c:pt>
                <c:pt idx="1438">
                  <c:v>93382000</c:v>
                </c:pt>
                <c:pt idx="1439">
                  <c:v>9151100</c:v>
                </c:pt>
                <c:pt idx="1440">
                  <c:v>92332000</c:v>
                </c:pt>
                <c:pt idx="1441">
                  <c:v>6351100</c:v>
                </c:pt>
                <c:pt idx="1442">
                  <c:v>51672000</c:v>
                </c:pt>
                <c:pt idx="1443">
                  <c:v>3120100</c:v>
                </c:pt>
                <c:pt idx="1444">
                  <c:v>59150000</c:v>
                </c:pt>
                <c:pt idx="1445">
                  <c:v>3342700</c:v>
                </c:pt>
                <c:pt idx="1446">
                  <c:v>38738000</c:v>
                </c:pt>
                <c:pt idx="1447">
                  <c:v>3757600</c:v>
                </c:pt>
                <c:pt idx="1448">
                  <c:v>51380000</c:v>
                </c:pt>
                <c:pt idx="1449">
                  <c:v>2699100</c:v>
                </c:pt>
                <c:pt idx="1450">
                  <c:v>47946000</c:v>
                </c:pt>
                <c:pt idx="1451">
                  <c:v>2551200</c:v>
                </c:pt>
                <c:pt idx="1452">
                  <c:v>54384000</c:v>
                </c:pt>
                <c:pt idx="1453">
                  <c:v>2777900</c:v>
                </c:pt>
                <c:pt idx="1454">
                  <c:v>61068000</c:v>
                </c:pt>
                <c:pt idx="1455">
                  <c:v>2603100</c:v>
                </c:pt>
                <c:pt idx="1456">
                  <c:v>54758000</c:v>
                </c:pt>
                <c:pt idx="1457">
                  <c:v>2641100</c:v>
                </c:pt>
                <c:pt idx="1458">
                  <c:v>51514000</c:v>
                </c:pt>
                <c:pt idx="1459">
                  <c:v>2512000</c:v>
                </c:pt>
                <c:pt idx="1460">
                  <c:v>58474000</c:v>
                </c:pt>
                <c:pt idx="1461">
                  <c:v>2921600</c:v>
                </c:pt>
                <c:pt idx="1462">
                  <c:v>72598000</c:v>
                </c:pt>
                <c:pt idx="1463">
                  <c:v>4122900</c:v>
                </c:pt>
                <c:pt idx="1464">
                  <c:v>87128000</c:v>
                </c:pt>
                <c:pt idx="1465">
                  <c:v>2857900</c:v>
                </c:pt>
                <c:pt idx="1466">
                  <c:v>63844000</c:v>
                </c:pt>
                <c:pt idx="1467">
                  <c:v>1922100</c:v>
                </c:pt>
                <c:pt idx="1468">
                  <c:v>48048000</c:v>
                </c:pt>
                <c:pt idx="1469">
                  <c:v>2511400</c:v>
                </c:pt>
                <c:pt idx="1470">
                  <c:v>41976000</c:v>
                </c:pt>
                <c:pt idx="1471">
                  <c:v>2513900</c:v>
                </c:pt>
                <c:pt idx="1472">
                  <c:v>33606000</c:v>
                </c:pt>
                <c:pt idx="1473">
                  <c:v>2599800</c:v>
                </c:pt>
                <c:pt idx="1474">
                  <c:v>51036000</c:v>
                </c:pt>
                <c:pt idx="1475">
                  <c:v>2485900</c:v>
                </c:pt>
                <c:pt idx="1476">
                  <c:v>65362000</c:v>
                </c:pt>
                <c:pt idx="1477">
                  <c:v>2827400</c:v>
                </c:pt>
                <c:pt idx="1478">
                  <c:v>67168000</c:v>
                </c:pt>
                <c:pt idx="1479">
                  <c:v>2765500</c:v>
                </c:pt>
                <c:pt idx="1480">
                  <c:v>75658000</c:v>
                </c:pt>
                <c:pt idx="1481">
                  <c:v>4788100</c:v>
                </c:pt>
                <c:pt idx="1482">
                  <c:v>56086000</c:v>
                </c:pt>
                <c:pt idx="1483">
                  <c:v>2947700</c:v>
                </c:pt>
                <c:pt idx="1484">
                  <c:v>67758000</c:v>
                </c:pt>
                <c:pt idx="1485">
                  <c:v>4022800</c:v>
                </c:pt>
                <c:pt idx="1486">
                  <c:v>66394000</c:v>
                </c:pt>
                <c:pt idx="1487">
                  <c:v>3132500</c:v>
                </c:pt>
                <c:pt idx="1488">
                  <c:v>41134000</c:v>
                </c:pt>
                <c:pt idx="1489">
                  <c:v>2049400</c:v>
                </c:pt>
                <c:pt idx="1490">
                  <c:v>46282000</c:v>
                </c:pt>
                <c:pt idx="1491">
                  <c:v>4444500</c:v>
                </c:pt>
                <c:pt idx="1492">
                  <c:v>58944000</c:v>
                </c:pt>
                <c:pt idx="1493">
                  <c:v>7794100</c:v>
                </c:pt>
                <c:pt idx="1494">
                  <c:v>48252000</c:v>
                </c:pt>
                <c:pt idx="1495">
                  <c:v>4193600</c:v>
                </c:pt>
                <c:pt idx="1496">
                  <c:v>42964000</c:v>
                </c:pt>
                <c:pt idx="1497">
                  <c:v>2747200</c:v>
                </c:pt>
                <c:pt idx="1498">
                  <c:v>52752000</c:v>
                </c:pt>
                <c:pt idx="1499">
                  <c:v>2677100</c:v>
                </c:pt>
                <c:pt idx="1500">
                  <c:v>48670000</c:v>
                </c:pt>
                <c:pt idx="1501">
                  <c:v>2685800</c:v>
                </c:pt>
                <c:pt idx="1502">
                  <c:v>43678000</c:v>
                </c:pt>
                <c:pt idx="1503">
                  <c:v>2948700</c:v>
                </c:pt>
                <c:pt idx="1504">
                  <c:v>83146000</c:v>
                </c:pt>
                <c:pt idx="1505">
                  <c:v>3580500</c:v>
                </c:pt>
                <c:pt idx="1506">
                  <c:v>67078000</c:v>
                </c:pt>
                <c:pt idx="1507">
                  <c:v>3977100</c:v>
                </c:pt>
                <c:pt idx="1508">
                  <c:v>199312000</c:v>
                </c:pt>
                <c:pt idx="1509">
                  <c:v>5834900</c:v>
                </c:pt>
                <c:pt idx="1510">
                  <c:v>110400000</c:v>
                </c:pt>
                <c:pt idx="1511">
                  <c:v>3419700</c:v>
                </c:pt>
                <c:pt idx="1512">
                  <c:v>59988000</c:v>
                </c:pt>
                <c:pt idx="1513">
                  <c:v>3246900</c:v>
                </c:pt>
                <c:pt idx="1514">
                  <c:v>82638000</c:v>
                </c:pt>
                <c:pt idx="1515">
                  <c:v>2472000</c:v>
                </c:pt>
                <c:pt idx="1516">
                  <c:v>58002000</c:v>
                </c:pt>
                <c:pt idx="1517">
                  <c:v>2157600</c:v>
                </c:pt>
                <c:pt idx="1518">
                  <c:v>48726000</c:v>
                </c:pt>
                <c:pt idx="1519">
                  <c:v>2302600</c:v>
                </c:pt>
                <c:pt idx="1520">
                  <c:v>65308000</c:v>
                </c:pt>
                <c:pt idx="1521">
                  <c:v>1931500</c:v>
                </c:pt>
                <c:pt idx="1522">
                  <c:v>46380000</c:v>
                </c:pt>
                <c:pt idx="1523">
                  <c:v>3407300</c:v>
                </c:pt>
                <c:pt idx="1524">
                  <c:v>65114000</c:v>
                </c:pt>
                <c:pt idx="1525">
                  <c:v>3934300</c:v>
                </c:pt>
                <c:pt idx="1526">
                  <c:v>75692000</c:v>
                </c:pt>
                <c:pt idx="1527">
                  <c:v>5391100</c:v>
                </c:pt>
                <c:pt idx="1528">
                  <c:v>80874000</c:v>
                </c:pt>
                <c:pt idx="1529">
                  <c:v>4368800</c:v>
                </c:pt>
                <c:pt idx="1530">
                  <c:v>63706000</c:v>
                </c:pt>
                <c:pt idx="1531">
                  <c:v>2737500</c:v>
                </c:pt>
                <c:pt idx="1532">
                  <c:v>65932000</c:v>
                </c:pt>
                <c:pt idx="1533">
                  <c:v>3185200</c:v>
                </c:pt>
                <c:pt idx="1534">
                  <c:v>76918000</c:v>
                </c:pt>
                <c:pt idx="1535">
                  <c:v>2373300</c:v>
                </c:pt>
                <c:pt idx="1536">
                  <c:v>51432000</c:v>
                </c:pt>
                <c:pt idx="1537">
                  <c:v>2509000</c:v>
                </c:pt>
                <c:pt idx="1538">
                  <c:v>74964000</c:v>
                </c:pt>
                <c:pt idx="1539">
                  <c:v>3163800</c:v>
                </c:pt>
                <c:pt idx="1540">
                  <c:v>103612000</c:v>
                </c:pt>
                <c:pt idx="1541">
                  <c:v>3723800</c:v>
                </c:pt>
                <c:pt idx="1542">
                  <c:v>106562000</c:v>
                </c:pt>
                <c:pt idx="1543">
                  <c:v>2707700</c:v>
                </c:pt>
                <c:pt idx="1544">
                  <c:v>134896000</c:v>
                </c:pt>
                <c:pt idx="1545">
                  <c:v>4348100</c:v>
                </c:pt>
                <c:pt idx="1546">
                  <c:v>63388000</c:v>
                </c:pt>
                <c:pt idx="1547">
                  <c:v>2433600</c:v>
                </c:pt>
                <c:pt idx="1548">
                  <c:v>40742000</c:v>
                </c:pt>
                <c:pt idx="1549">
                  <c:v>2426300</c:v>
                </c:pt>
                <c:pt idx="1550">
                  <c:v>48080000</c:v>
                </c:pt>
                <c:pt idx="1551">
                  <c:v>3249500</c:v>
                </c:pt>
                <c:pt idx="1552">
                  <c:v>41968000</c:v>
                </c:pt>
                <c:pt idx="1553">
                  <c:v>3443400</c:v>
                </c:pt>
                <c:pt idx="1554">
                  <c:v>44856000</c:v>
                </c:pt>
                <c:pt idx="1555">
                  <c:v>3172000</c:v>
                </c:pt>
                <c:pt idx="1556">
                  <c:v>78820000</c:v>
                </c:pt>
                <c:pt idx="1557">
                  <c:v>11274200</c:v>
                </c:pt>
                <c:pt idx="1558">
                  <c:v>76640000</c:v>
                </c:pt>
                <c:pt idx="1559">
                  <c:v>6827600</c:v>
                </c:pt>
                <c:pt idx="1560">
                  <c:v>56266000</c:v>
                </c:pt>
                <c:pt idx="1561">
                  <c:v>3283400</c:v>
                </c:pt>
                <c:pt idx="1562">
                  <c:v>66902000</c:v>
                </c:pt>
                <c:pt idx="1563">
                  <c:v>3776400</c:v>
                </c:pt>
                <c:pt idx="1564">
                  <c:v>65542000</c:v>
                </c:pt>
                <c:pt idx="1565">
                  <c:v>5633900</c:v>
                </c:pt>
                <c:pt idx="1566">
                  <c:v>104954000</c:v>
                </c:pt>
                <c:pt idx="1567">
                  <c:v>7156400</c:v>
                </c:pt>
                <c:pt idx="1568">
                  <c:v>102730000</c:v>
                </c:pt>
                <c:pt idx="1569">
                  <c:v>7995300</c:v>
                </c:pt>
                <c:pt idx="1570">
                  <c:v>84056000</c:v>
                </c:pt>
                <c:pt idx="1571">
                  <c:v>4156900</c:v>
                </c:pt>
                <c:pt idx="1572">
                  <c:v>48524000</c:v>
                </c:pt>
                <c:pt idx="1573">
                  <c:v>5055900</c:v>
                </c:pt>
                <c:pt idx="1574">
                  <c:v>51394000</c:v>
                </c:pt>
                <c:pt idx="1575">
                  <c:v>7213300</c:v>
                </c:pt>
                <c:pt idx="1576">
                  <c:v>56348000</c:v>
                </c:pt>
                <c:pt idx="1577">
                  <c:v>8734900</c:v>
                </c:pt>
                <c:pt idx="1578">
                  <c:v>69530000</c:v>
                </c:pt>
                <c:pt idx="1579">
                  <c:v>6281800</c:v>
                </c:pt>
                <c:pt idx="1580">
                  <c:v>49110000</c:v>
                </c:pt>
                <c:pt idx="1581">
                  <c:v>2919600</c:v>
                </c:pt>
                <c:pt idx="1582">
                  <c:v>68334000</c:v>
                </c:pt>
                <c:pt idx="1583">
                  <c:v>2212300</c:v>
                </c:pt>
                <c:pt idx="1584">
                  <c:v>44316000</c:v>
                </c:pt>
                <c:pt idx="1585">
                  <c:v>2330700</c:v>
                </c:pt>
                <c:pt idx="1586">
                  <c:v>44994000</c:v>
                </c:pt>
                <c:pt idx="1587">
                  <c:v>1837900</c:v>
                </c:pt>
                <c:pt idx="1588">
                  <c:v>47966000</c:v>
                </c:pt>
                <c:pt idx="1589">
                  <c:v>1923200</c:v>
                </c:pt>
                <c:pt idx="1590">
                  <c:v>40290000</c:v>
                </c:pt>
                <c:pt idx="1591">
                  <c:v>2348500</c:v>
                </c:pt>
                <c:pt idx="1592">
                  <c:v>48600000</c:v>
                </c:pt>
                <c:pt idx="1593">
                  <c:v>2476000</c:v>
                </c:pt>
                <c:pt idx="1594">
                  <c:v>46596000</c:v>
                </c:pt>
                <c:pt idx="1595">
                  <c:v>2290700</c:v>
                </c:pt>
                <c:pt idx="1596">
                  <c:v>51224000</c:v>
                </c:pt>
                <c:pt idx="1597">
                  <c:v>3594700</c:v>
                </c:pt>
                <c:pt idx="1598">
                  <c:v>47680000</c:v>
                </c:pt>
                <c:pt idx="1599">
                  <c:v>2070000</c:v>
                </c:pt>
                <c:pt idx="1600">
                  <c:v>65222000</c:v>
                </c:pt>
                <c:pt idx="1601">
                  <c:v>2265700</c:v>
                </c:pt>
                <c:pt idx="1602">
                  <c:v>48456000</c:v>
                </c:pt>
                <c:pt idx="1603">
                  <c:v>2372700</c:v>
                </c:pt>
                <c:pt idx="1604">
                  <c:v>82098000</c:v>
                </c:pt>
                <c:pt idx="1605">
                  <c:v>2479100</c:v>
                </c:pt>
                <c:pt idx="1606">
                  <c:v>52664000</c:v>
                </c:pt>
                <c:pt idx="1607">
                  <c:v>3339200</c:v>
                </c:pt>
                <c:pt idx="1608">
                  <c:v>53594000</c:v>
                </c:pt>
                <c:pt idx="1609">
                  <c:v>3143100</c:v>
                </c:pt>
                <c:pt idx="1610">
                  <c:v>56568000</c:v>
                </c:pt>
                <c:pt idx="1611">
                  <c:v>2436200</c:v>
                </c:pt>
                <c:pt idx="1612">
                  <c:v>74478000</c:v>
                </c:pt>
                <c:pt idx="1613">
                  <c:v>1998400</c:v>
                </c:pt>
                <c:pt idx="1614">
                  <c:v>66500000</c:v>
                </c:pt>
                <c:pt idx="1615">
                  <c:v>2041600</c:v>
                </c:pt>
                <c:pt idx="1616">
                  <c:v>67018000</c:v>
                </c:pt>
                <c:pt idx="1617">
                  <c:v>2228100</c:v>
                </c:pt>
                <c:pt idx="1618">
                  <c:v>98728000</c:v>
                </c:pt>
                <c:pt idx="1619">
                  <c:v>3668500</c:v>
                </c:pt>
                <c:pt idx="1620">
                  <c:v>92396000</c:v>
                </c:pt>
                <c:pt idx="1621">
                  <c:v>3163100</c:v>
                </c:pt>
                <c:pt idx="1622">
                  <c:v>116772000</c:v>
                </c:pt>
                <c:pt idx="1623">
                  <c:v>3752900</c:v>
                </c:pt>
                <c:pt idx="1624">
                  <c:v>94206000</c:v>
                </c:pt>
                <c:pt idx="1625">
                  <c:v>3327900</c:v>
                </c:pt>
                <c:pt idx="1626">
                  <c:v>88954000</c:v>
                </c:pt>
                <c:pt idx="1627">
                  <c:v>4527000</c:v>
                </c:pt>
                <c:pt idx="1628">
                  <c:v>74226000</c:v>
                </c:pt>
                <c:pt idx="1629">
                  <c:v>3690600</c:v>
                </c:pt>
                <c:pt idx="1630">
                  <c:v>108788000</c:v>
                </c:pt>
                <c:pt idx="1631">
                  <c:v>4040700</c:v>
                </c:pt>
                <c:pt idx="1632">
                  <c:v>117510000</c:v>
                </c:pt>
                <c:pt idx="1633">
                  <c:v>3182900</c:v>
                </c:pt>
                <c:pt idx="1634">
                  <c:v>140186000</c:v>
                </c:pt>
                <c:pt idx="1635">
                  <c:v>3953500</c:v>
                </c:pt>
                <c:pt idx="1636">
                  <c:v>153648000</c:v>
                </c:pt>
                <c:pt idx="1637">
                  <c:v>5442400</c:v>
                </c:pt>
                <c:pt idx="1638">
                  <c:v>92638000</c:v>
                </c:pt>
                <c:pt idx="1639">
                  <c:v>2965300</c:v>
                </c:pt>
                <c:pt idx="1640">
                  <c:v>76542000</c:v>
                </c:pt>
                <c:pt idx="1641">
                  <c:v>1959300</c:v>
                </c:pt>
                <c:pt idx="1642">
                  <c:v>97614000</c:v>
                </c:pt>
                <c:pt idx="1643">
                  <c:v>1864800</c:v>
                </c:pt>
                <c:pt idx="1644">
                  <c:v>63856000</c:v>
                </c:pt>
                <c:pt idx="1645">
                  <c:v>3458300</c:v>
                </c:pt>
                <c:pt idx="1646">
                  <c:v>51612000</c:v>
                </c:pt>
                <c:pt idx="1647">
                  <c:v>2410700</c:v>
                </c:pt>
                <c:pt idx="1648">
                  <c:v>44224000</c:v>
                </c:pt>
                <c:pt idx="1649">
                  <c:v>1977700</c:v>
                </c:pt>
                <c:pt idx="1650">
                  <c:v>52460000</c:v>
                </c:pt>
                <c:pt idx="1651">
                  <c:v>2815800</c:v>
                </c:pt>
                <c:pt idx="1652">
                  <c:v>54508000</c:v>
                </c:pt>
                <c:pt idx="1653">
                  <c:v>1712600</c:v>
                </c:pt>
                <c:pt idx="1654">
                  <c:v>63720000</c:v>
                </c:pt>
                <c:pt idx="1655">
                  <c:v>2128400</c:v>
                </c:pt>
                <c:pt idx="1656">
                  <c:v>64672000</c:v>
                </c:pt>
                <c:pt idx="1657">
                  <c:v>1860200</c:v>
                </c:pt>
                <c:pt idx="1658">
                  <c:v>62904000</c:v>
                </c:pt>
                <c:pt idx="1659">
                  <c:v>2491000</c:v>
                </c:pt>
                <c:pt idx="1660">
                  <c:v>66316000</c:v>
                </c:pt>
                <c:pt idx="1661">
                  <c:v>2286400</c:v>
                </c:pt>
                <c:pt idx="1662">
                  <c:v>65636000</c:v>
                </c:pt>
                <c:pt idx="1663">
                  <c:v>1688200</c:v>
                </c:pt>
                <c:pt idx="1664">
                  <c:v>86830000</c:v>
                </c:pt>
                <c:pt idx="1665">
                  <c:v>2482900</c:v>
                </c:pt>
                <c:pt idx="1666">
                  <c:v>56242000</c:v>
                </c:pt>
                <c:pt idx="1667">
                  <c:v>2158900</c:v>
                </c:pt>
                <c:pt idx="1668">
                  <c:v>66924000</c:v>
                </c:pt>
                <c:pt idx="1669">
                  <c:v>2449600</c:v>
                </c:pt>
                <c:pt idx="1670">
                  <c:v>50756000</c:v>
                </c:pt>
                <c:pt idx="1671">
                  <c:v>2614500</c:v>
                </c:pt>
                <c:pt idx="1672">
                  <c:v>66698000</c:v>
                </c:pt>
                <c:pt idx="1673">
                  <c:v>2323400</c:v>
                </c:pt>
                <c:pt idx="1674">
                  <c:v>58806000</c:v>
                </c:pt>
                <c:pt idx="1675">
                  <c:v>3787100</c:v>
                </c:pt>
                <c:pt idx="1676">
                  <c:v>61878000</c:v>
                </c:pt>
                <c:pt idx="1677">
                  <c:v>4512300</c:v>
                </c:pt>
                <c:pt idx="1678">
                  <c:v>46752000</c:v>
                </c:pt>
                <c:pt idx="1679">
                  <c:v>3139100</c:v>
                </c:pt>
                <c:pt idx="1680">
                  <c:v>54920000</c:v>
                </c:pt>
                <c:pt idx="1681">
                  <c:v>3003200</c:v>
                </c:pt>
                <c:pt idx="1682">
                  <c:v>66258000</c:v>
                </c:pt>
                <c:pt idx="1683">
                  <c:v>3040100</c:v>
                </c:pt>
                <c:pt idx="1684">
                  <c:v>71270000</c:v>
                </c:pt>
                <c:pt idx="1685">
                  <c:v>2901800</c:v>
                </c:pt>
                <c:pt idx="1686">
                  <c:v>59180000</c:v>
                </c:pt>
                <c:pt idx="1687">
                  <c:v>4258000</c:v>
                </c:pt>
                <c:pt idx="1688">
                  <c:v>76346000</c:v>
                </c:pt>
                <c:pt idx="1689">
                  <c:v>4017600</c:v>
                </c:pt>
                <c:pt idx="1690">
                  <c:v>58044000</c:v>
                </c:pt>
                <c:pt idx="1691">
                  <c:v>2211600</c:v>
                </c:pt>
                <c:pt idx="1692">
                  <c:v>92508000</c:v>
                </c:pt>
                <c:pt idx="1693">
                  <c:v>7485100</c:v>
                </c:pt>
                <c:pt idx="1694">
                  <c:v>72992000</c:v>
                </c:pt>
                <c:pt idx="1695">
                  <c:v>4336200</c:v>
                </c:pt>
                <c:pt idx="1696">
                  <c:v>62372000</c:v>
                </c:pt>
                <c:pt idx="1697">
                  <c:v>3518500</c:v>
                </c:pt>
                <c:pt idx="1698">
                  <c:v>50776000</c:v>
                </c:pt>
                <c:pt idx="1699">
                  <c:v>3539200</c:v>
                </c:pt>
                <c:pt idx="1700">
                  <c:v>58272000</c:v>
                </c:pt>
                <c:pt idx="1701">
                  <c:v>4215300</c:v>
                </c:pt>
                <c:pt idx="1702">
                  <c:v>48438000</c:v>
                </c:pt>
                <c:pt idx="1703">
                  <c:v>4756500</c:v>
                </c:pt>
                <c:pt idx="1704">
                  <c:v>55528000</c:v>
                </c:pt>
                <c:pt idx="1705">
                  <c:v>2960000</c:v>
                </c:pt>
                <c:pt idx="1706">
                  <c:v>60250000</c:v>
                </c:pt>
                <c:pt idx="1707">
                  <c:v>2435800</c:v>
                </c:pt>
                <c:pt idx="1708">
                  <c:v>80600000</c:v>
                </c:pt>
                <c:pt idx="1709">
                  <c:v>2902400</c:v>
                </c:pt>
                <c:pt idx="1710">
                  <c:v>83700000</c:v>
                </c:pt>
                <c:pt idx="1711">
                  <c:v>3048700</c:v>
                </c:pt>
                <c:pt idx="1712">
                  <c:v>107772000</c:v>
                </c:pt>
                <c:pt idx="1713">
                  <c:v>3602300</c:v>
                </c:pt>
                <c:pt idx="1714">
                  <c:v>109632000</c:v>
                </c:pt>
                <c:pt idx="1715">
                  <c:v>3568400</c:v>
                </c:pt>
                <c:pt idx="1716">
                  <c:v>79774000</c:v>
                </c:pt>
                <c:pt idx="1717">
                  <c:v>2664000</c:v>
                </c:pt>
                <c:pt idx="1718">
                  <c:v>51916000</c:v>
                </c:pt>
                <c:pt idx="1719">
                  <c:v>2854300</c:v>
                </c:pt>
                <c:pt idx="1720">
                  <c:v>54582000</c:v>
                </c:pt>
                <c:pt idx="1721">
                  <c:v>2871200</c:v>
                </c:pt>
                <c:pt idx="1722">
                  <c:v>85518000</c:v>
                </c:pt>
                <c:pt idx="1723">
                  <c:v>4461300</c:v>
                </c:pt>
                <c:pt idx="1724">
                  <c:v>90676000</c:v>
                </c:pt>
                <c:pt idx="1725">
                  <c:v>4313000</c:v>
                </c:pt>
                <c:pt idx="1726">
                  <c:v>60226000</c:v>
                </c:pt>
                <c:pt idx="1727">
                  <c:v>4925000</c:v>
                </c:pt>
                <c:pt idx="1728">
                  <c:v>93544000</c:v>
                </c:pt>
                <c:pt idx="1729">
                  <c:v>4125100</c:v>
                </c:pt>
                <c:pt idx="1730">
                  <c:v>70314000</c:v>
                </c:pt>
                <c:pt idx="1731">
                  <c:v>4578300</c:v>
                </c:pt>
                <c:pt idx="1732">
                  <c:v>86104000</c:v>
                </c:pt>
                <c:pt idx="1733">
                  <c:v>4937300</c:v>
                </c:pt>
                <c:pt idx="1734">
                  <c:v>60548000</c:v>
                </c:pt>
                <c:pt idx="1735">
                  <c:v>2345800</c:v>
                </c:pt>
                <c:pt idx="1736">
                  <c:v>65950000</c:v>
                </c:pt>
                <c:pt idx="1737">
                  <c:v>2290400</c:v>
                </c:pt>
                <c:pt idx="1738">
                  <c:v>51494000</c:v>
                </c:pt>
                <c:pt idx="1739">
                  <c:v>3722700</c:v>
                </c:pt>
                <c:pt idx="1740">
                  <c:v>46706000</c:v>
                </c:pt>
                <c:pt idx="1741">
                  <c:v>1804200</c:v>
                </c:pt>
                <c:pt idx="1742">
                  <c:v>46028000</c:v>
                </c:pt>
                <c:pt idx="1743">
                  <c:v>2178200</c:v>
                </c:pt>
                <c:pt idx="1744">
                  <c:v>63032000</c:v>
                </c:pt>
                <c:pt idx="1745">
                  <c:v>2816400</c:v>
                </c:pt>
                <c:pt idx="1746">
                  <c:v>44070000</c:v>
                </c:pt>
                <c:pt idx="1747">
                  <c:v>2331600</c:v>
                </c:pt>
                <c:pt idx="1748">
                  <c:v>65148000</c:v>
                </c:pt>
                <c:pt idx="1749">
                  <c:v>2725700</c:v>
                </c:pt>
                <c:pt idx="1750">
                  <c:v>72416000</c:v>
                </c:pt>
                <c:pt idx="1751">
                  <c:v>2240000</c:v>
                </c:pt>
                <c:pt idx="1752">
                  <c:v>73414000</c:v>
                </c:pt>
                <c:pt idx="1753">
                  <c:v>2253800</c:v>
                </c:pt>
                <c:pt idx="1754">
                  <c:v>141776000</c:v>
                </c:pt>
                <c:pt idx="1755">
                  <c:v>2979000</c:v>
                </c:pt>
                <c:pt idx="1756">
                  <c:v>141972000</c:v>
                </c:pt>
                <c:pt idx="1757">
                  <c:v>5265400</c:v>
                </c:pt>
                <c:pt idx="1758">
                  <c:v>83204000</c:v>
                </c:pt>
                <c:pt idx="1759">
                  <c:v>2738200</c:v>
                </c:pt>
                <c:pt idx="1760">
                  <c:v>85872000</c:v>
                </c:pt>
                <c:pt idx="1761">
                  <c:v>4541400</c:v>
                </c:pt>
                <c:pt idx="1762">
                  <c:v>62984000</c:v>
                </c:pt>
                <c:pt idx="1763">
                  <c:v>3445400</c:v>
                </c:pt>
                <c:pt idx="1764">
                  <c:v>93204000</c:v>
                </c:pt>
                <c:pt idx="1765">
                  <c:v>4095300</c:v>
                </c:pt>
                <c:pt idx="1766">
                  <c:v>59104000</c:v>
                </c:pt>
                <c:pt idx="1767">
                  <c:v>2506000</c:v>
                </c:pt>
                <c:pt idx="1768">
                  <c:v>74996000</c:v>
                </c:pt>
                <c:pt idx="1769">
                  <c:v>3837100</c:v>
                </c:pt>
                <c:pt idx="1770">
                  <c:v>56438000</c:v>
                </c:pt>
                <c:pt idx="1771">
                  <c:v>2027000</c:v>
                </c:pt>
                <c:pt idx="1772">
                  <c:v>98722000</c:v>
                </c:pt>
                <c:pt idx="1773">
                  <c:v>1951200</c:v>
                </c:pt>
                <c:pt idx="1774">
                  <c:v>106196000</c:v>
                </c:pt>
                <c:pt idx="1775">
                  <c:v>2501100</c:v>
                </c:pt>
                <c:pt idx="1776">
                  <c:v>66102000</c:v>
                </c:pt>
                <c:pt idx="1777">
                  <c:v>2361200</c:v>
                </c:pt>
                <c:pt idx="1778">
                  <c:v>84880000</c:v>
                </c:pt>
                <c:pt idx="1779">
                  <c:v>3317100</c:v>
                </c:pt>
                <c:pt idx="1780">
                  <c:v>61418000</c:v>
                </c:pt>
                <c:pt idx="1781">
                  <c:v>2486600</c:v>
                </c:pt>
                <c:pt idx="1782">
                  <c:v>66424000</c:v>
                </c:pt>
                <c:pt idx="1783">
                  <c:v>3154700</c:v>
                </c:pt>
                <c:pt idx="1784">
                  <c:v>70292000</c:v>
                </c:pt>
                <c:pt idx="1785">
                  <c:v>2466100</c:v>
                </c:pt>
                <c:pt idx="1786">
                  <c:v>73668000</c:v>
                </c:pt>
                <c:pt idx="1787">
                  <c:v>2540800</c:v>
                </c:pt>
                <c:pt idx="1788">
                  <c:v>70754000</c:v>
                </c:pt>
                <c:pt idx="1789">
                  <c:v>3186600</c:v>
                </c:pt>
                <c:pt idx="1790">
                  <c:v>70290000</c:v>
                </c:pt>
                <c:pt idx="1791">
                  <c:v>5297500</c:v>
                </c:pt>
                <c:pt idx="1792">
                  <c:v>87896000</c:v>
                </c:pt>
                <c:pt idx="1793">
                  <c:v>8034700</c:v>
                </c:pt>
                <c:pt idx="1794">
                  <c:v>53110000</c:v>
                </c:pt>
                <c:pt idx="1795">
                  <c:v>2933700</c:v>
                </c:pt>
                <c:pt idx="1796">
                  <c:v>88228000</c:v>
                </c:pt>
                <c:pt idx="1797">
                  <c:v>4078300</c:v>
                </c:pt>
                <c:pt idx="1798">
                  <c:v>59144000</c:v>
                </c:pt>
                <c:pt idx="1799">
                  <c:v>1717800</c:v>
                </c:pt>
                <c:pt idx="1800">
                  <c:v>64186000</c:v>
                </c:pt>
                <c:pt idx="1801">
                  <c:v>2720600</c:v>
                </c:pt>
                <c:pt idx="1802">
                  <c:v>97458000</c:v>
                </c:pt>
                <c:pt idx="1803">
                  <c:v>1490300</c:v>
                </c:pt>
                <c:pt idx="1804">
                  <c:v>113736000</c:v>
                </c:pt>
                <c:pt idx="1805">
                  <c:v>1508800</c:v>
                </c:pt>
                <c:pt idx="1806">
                  <c:v>29038000</c:v>
                </c:pt>
                <c:pt idx="1807">
                  <c:v>585700</c:v>
                </c:pt>
                <c:pt idx="1808">
                  <c:v>41876000</c:v>
                </c:pt>
                <c:pt idx="1809">
                  <c:v>1862500</c:v>
                </c:pt>
                <c:pt idx="1810">
                  <c:v>47388000</c:v>
                </c:pt>
                <c:pt idx="1811">
                  <c:v>2493300</c:v>
                </c:pt>
                <c:pt idx="1812">
                  <c:v>76736000</c:v>
                </c:pt>
                <c:pt idx="1813">
                  <c:v>2071000</c:v>
                </c:pt>
                <c:pt idx="1814">
                  <c:v>119914000</c:v>
                </c:pt>
                <c:pt idx="1815">
                  <c:v>5262700</c:v>
                </c:pt>
                <c:pt idx="1816">
                  <c:v>69486000</c:v>
                </c:pt>
                <c:pt idx="1817">
                  <c:v>2296500</c:v>
                </c:pt>
                <c:pt idx="1818">
                  <c:v>88552000</c:v>
                </c:pt>
                <c:pt idx="1819">
                  <c:v>2031800</c:v>
                </c:pt>
                <c:pt idx="1820">
                  <c:v>66390000</c:v>
                </c:pt>
                <c:pt idx="1821">
                  <c:v>2360300</c:v>
                </c:pt>
                <c:pt idx="1822">
                  <c:v>83116000</c:v>
                </c:pt>
                <c:pt idx="1823">
                  <c:v>2533600</c:v>
                </c:pt>
                <c:pt idx="1824">
                  <c:v>61294000</c:v>
                </c:pt>
                <c:pt idx="1825">
                  <c:v>2673400</c:v>
                </c:pt>
                <c:pt idx="1826">
                  <c:v>60604000</c:v>
                </c:pt>
                <c:pt idx="1827">
                  <c:v>3109400</c:v>
                </c:pt>
                <c:pt idx="1828">
                  <c:v>82016000</c:v>
                </c:pt>
                <c:pt idx="1829">
                  <c:v>2915500</c:v>
                </c:pt>
                <c:pt idx="1830">
                  <c:v>65726000</c:v>
                </c:pt>
                <c:pt idx="1831">
                  <c:v>2001600</c:v>
                </c:pt>
                <c:pt idx="1832">
                  <c:v>55026000</c:v>
                </c:pt>
                <c:pt idx="1833">
                  <c:v>4587400</c:v>
                </c:pt>
                <c:pt idx="1834">
                  <c:v>58272000</c:v>
                </c:pt>
                <c:pt idx="1835">
                  <c:v>6086200</c:v>
                </c:pt>
                <c:pt idx="1836">
                  <c:v>57840000</c:v>
                </c:pt>
                <c:pt idx="1837">
                  <c:v>2903900</c:v>
                </c:pt>
                <c:pt idx="1838">
                  <c:v>62586000</c:v>
                </c:pt>
                <c:pt idx="1839">
                  <c:v>1971000</c:v>
                </c:pt>
                <c:pt idx="1840">
                  <c:v>90740000</c:v>
                </c:pt>
                <c:pt idx="1841">
                  <c:v>2710200</c:v>
                </c:pt>
                <c:pt idx="1842">
                  <c:v>81278000</c:v>
                </c:pt>
                <c:pt idx="1843">
                  <c:v>2382600</c:v>
                </c:pt>
                <c:pt idx="1844">
                  <c:v>47858000</c:v>
                </c:pt>
                <c:pt idx="1845">
                  <c:v>976900</c:v>
                </c:pt>
                <c:pt idx="1846">
                  <c:v>75808000</c:v>
                </c:pt>
                <c:pt idx="1847">
                  <c:v>2506400</c:v>
                </c:pt>
                <c:pt idx="1848">
                  <c:v>72042000</c:v>
                </c:pt>
                <c:pt idx="1849">
                  <c:v>3447000</c:v>
                </c:pt>
                <c:pt idx="1850">
                  <c:v>94178000</c:v>
                </c:pt>
                <c:pt idx="1851">
                  <c:v>2403500</c:v>
                </c:pt>
                <c:pt idx="1852">
                  <c:v>67488000</c:v>
                </c:pt>
                <c:pt idx="1853">
                  <c:v>2449800</c:v>
                </c:pt>
                <c:pt idx="1854">
                  <c:v>60206000</c:v>
                </c:pt>
                <c:pt idx="1855">
                  <c:v>2012100</c:v>
                </c:pt>
                <c:pt idx="1856">
                  <c:v>58336000</c:v>
                </c:pt>
                <c:pt idx="1857">
                  <c:v>3165100</c:v>
                </c:pt>
                <c:pt idx="1858">
                  <c:v>68894000</c:v>
                </c:pt>
                <c:pt idx="1859">
                  <c:v>2110800</c:v>
                </c:pt>
                <c:pt idx="1860">
                  <c:v>76174000</c:v>
                </c:pt>
                <c:pt idx="1861">
                  <c:v>3902400</c:v>
                </c:pt>
                <c:pt idx="1862">
                  <c:v>75124000</c:v>
                </c:pt>
                <c:pt idx="1863">
                  <c:v>2120200</c:v>
                </c:pt>
                <c:pt idx="1864">
                  <c:v>87240000</c:v>
                </c:pt>
                <c:pt idx="1865">
                  <c:v>2185500</c:v>
                </c:pt>
                <c:pt idx="1866">
                  <c:v>87338000</c:v>
                </c:pt>
                <c:pt idx="1867">
                  <c:v>2345500</c:v>
                </c:pt>
                <c:pt idx="1868">
                  <c:v>131820000</c:v>
                </c:pt>
                <c:pt idx="1869">
                  <c:v>3499100</c:v>
                </c:pt>
                <c:pt idx="1870">
                  <c:v>143808000</c:v>
                </c:pt>
                <c:pt idx="1871">
                  <c:v>5969600</c:v>
                </c:pt>
                <c:pt idx="1872">
                  <c:v>92946000</c:v>
                </c:pt>
                <c:pt idx="1873">
                  <c:v>2983000</c:v>
                </c:pt>
                <c:pt idx="1874">
                  <c:v>115786000</c:v>
                </c:pt>
                <c:pt idx="1875">
                  <c:v>4821600</c:v>
                </c:pt>
                <c:pt idx="1876">
                  <c:v>136780000</c:v>
                </c:pt>
                <c:pt idx="1877">
                  <c:v>9081700</c:v>
                </c:pt>
                <c:pt idx="1878">
                  <c:v>97958000</c:v>
                </c:pt>
                <c:pt idx="1879">
                  <c:v>4843600</c:v>
                </c:pt>
                <c:pt idx="1880">
                  <c:v>145148000</c:v>
                </c:pt>
                <c:pt idx="1881">
                  <c:v>4072400</c:v>
                </c:pt>
                <c:pt idx="1882">
                  <c:v>167728000</c:v>
                </c:pt>
                <c:pt idx="1883">
                  <c:v>4373500</c:v>
                </c:pt>
                <c:pt idx="1884">
                  <c:v>131930000</c:v>
                </c:pt>
                <c:pt idx="1885">
                  <c:v>3867200</c:v>
                </c:pt>
                <c:pt idx="1886">
                  <c:v>111766000</c:v>
                </c:pt>
                <c:pt idx="1887">
                  <c:v>5645100</c:v>
                </c:pt>
                <c:pt idx="1888">
                  <c:v>85820000</c:v>
                </c:pt>
                <c:pt idx="1889">
                  <c:v>4857900</c:v>
                </c:pt>
                <c:pt idx="1890">
                  <c:v>118024000</c:v>
                </c:pt>
                <c:pt idx="1891">
                  <c:v>4506600</c:v>
                </c:pt>
                <c:pt idx="1892">
                  <c:v>69334000</c:v>
                </c:pt>
                <c:pt idx="1893">
                  <c:v>2857300</c:v>
                </c:pt>
                <c:pt idx="1894">
                  <c:v>84240000</c:v>
                </c:pt>
                <c:pt idx="1895">
                  <c:v>2356800</c:v>
                </c:pt>
                <c:pt idx="1896">
                  <c:v>91854000</c:v>
                </c:pt>
                <c:pt idx="1897">
                  <c:v>2502000</c:v>
                </c:pt>
                <c:pt idx="1898">
                  <c:v>90194000</c:v>
                </c:pt>
                <c:pt idx="1899">
                  <c:v>3007100</c:v>
                </c:pt>
                <c:pt idx="1900">
                  <c:v>104472000</c:v>
                </c:pt>
                <c:pt idx="1901">
                  <c:v>2757700</c:v>
                </c:pt>
                <c:pt idx="1902">
                  <c:v>129488000</c:v>
                </c:pt>
                <c:pt idx="1903">
                  <c:v>5569000</c:v>
                </c:pt>
                <c:pt idx="1904">
                  <c:v>104468000</c:v>
                </c:pt>
                <c:pt idx="1905">
                  <c:v>2958500</c:v>
                </c:pt>
                <c:pt idx="1906">
                  <c:v>116254000</c:v>
                </c:pt>
                <c:pt idx="1907">
                  <c:v>4087100</c:v>
                </c:pt>
                <c:pt idx="1908">
                  <c:v>114894000</c:v>
                </c:pt>
                <c:pt idx="1909">
                  <c:v>3319000</c:v>
                </c:pt>
                <c:pt idx="1910">
                  <c:v>167284000</c:v>
                </c:pt>
                <c:pt idx="1911">
                  <c:v>4279800</c:v>
                </c:pt>
                <c:pt idx="1912">
                  <c:v>98158000</c:v>
                </c:pt>
                <c:pt idx="1913">
                  <c:v>4084200</c:v>
                </c:pt>
                <c:pt idx="1914">
                  <c:v>63482000</c:v>
                </c:pt>
                <c:pt idx="1915">
                  <c:v>1842900</c:v>
                </c:pt>
                <c:pt idx="1916">
                  <c:v>86188000</c:v>
                </c:pt>
                <c:pt idx="1917">
                  <c:v>2334200</c:v>
                </c:pt>
                <c:pt idx="1918">
                  <c:v>101738000</c:v>
                </c:pt>
                <c:pt idx="1919">
                  <c:v>2559800</c:v>
                </c:pt>
                <c:pt idx="1920">
                  <c:v>75506000</c:v>
                </c:pt>
                <c:pt idx="1921">
                  <c:v>2597700</c:v>
                </c:pt>
                <c:pt idx="1922">
                  <c:v>112262000</c:v>
                </c:pt>
                <c:pt idx="1923">
                  <c:v>3220500</c:v>
                </c:pt>
                <c:pt idx="1924">
                  <c:v>99438000</c:v>
                </c:pt>
                <c:pt idx="1925">
                  <c:v>2157400</c:v>
                </c:pt>
                <c:pt idx="1926">
                  <c:v>97922000</c:v>
                </c:pt>
                <c:pt idx="1927">
                  <c:v>3642800</c:v>
                </c:pt>
                <c:pt idx="1928">
                  <c:v>69916000</c:v>
                </c:pt>
                <c:pt idx="1929">
                  <c:v>1605600</c:v>
                </c:pt>
                <c:pt idx="1930">
                  <c:v>84484000</c:v>
                </c:pt>
                <c:pt idx="1931">
                  <c:v>2212700</c:v>
                </c:pt>
                <c:pt idx="1932">
                  <c:v>92304000</c:v>
                </c:pt>
                <c:pt idx="1933">
                  <c:v>1848900</c:v>
                </c:pt>
                <c:pt idx="1934">
                  <c:v>110588000</c:v>
                </c:pt>
                <c:pt idx="1935">
                  <c:v>2138800</c:v>
                </c:pt>
                <c:pt idx="1936">
                  <c:v>113054000</c:v>
                </c:pt>
                <c:pt idx="1937">
                  <c:v>2420100</c:v>
                </c:pt>
                <c:pt idx="1938">
                  <c:v>138976000</c:v>
                </c:pt>
                <c:pt idx="1939">
                  <c:v>2579500</c:v>
                </c:pt>
                <c:pt idx="1940">
                  <c:v>122358000</c:v>
                </c:pt>
                <c:pt idx="1941">
                  <c:v>4278200</c:v>
                </c:pt>
                <c:pt idx="1942">
                  <c:v>177852000</c:v>
                </c:pt>
                <c:pt idx="1943">
                  <c:v>5113500</c:v>
                </c:pt>
                <c:pt idx="1944">
                  <c:v>128982000</c:v>
                </c:pt>
                <c:pt idx="1945">
                  <c:v>4487000</c:v>
                </c:pt>
                <c:pt idx="1946">
                  <c:v>90244000</c:v>
                </c:pt>
                <c:pt idx="1947">
                  <c:v>3302000</c:v>
                </c:pt>
                <c:pt idx="1948">
                  <c:v>80430000</c:v>
                </c:pt>
                <c:pt idx="1949">
                  <c:v>4092400</c:v>
                </c:pt>
                <c:pt idx="1950">
                  <c:v>90592000</c:v>
                </c:pt>
                <c:pt idx="1951">
                  <c:v>2569300</c:v>
                </c:pt>
                <c:pt idx="1952">
                  <c:v>101880000</c:v>
                </c:pt>
                <c:pt idx="1953">
                  <c:v>3237100</c:v>
                </c:pt>
                <c:pt idx="1954">
                  <c:v>106614000</c:v>
                </c:pt>
                <c:pt idx="1955">
                  <c:v>4387000</c:v>
                </c:pt>
                <c:pt idx="1956">
                  <c:v>103774000</c:v>
                </c:pt>
                <c:pt idx="1957">
                  <c:v>5345100</c:v>
                </c:pt>
                <c:pt idx="1958">
                  <c:v>121884000</c:v>
                </c:pt>
                <c:pt idx="1959">
                  <c:v>4775200</c:v>
                </c:pt>
                <c:pt idx="1960">
                  <c:v>175636000</c:v>
                </c:pt>
                <c:pt idx="1961">
                  <c:v>5129400</c:v>
                </c:pt>
                <c:pt idx="1962">
                  <c:v>163222000</c:v>
                </c:pt>
                <c:pt idx="1963">
                  <c:v>4479100</c:v>
                </c:pt>
                <c:pt idx="1964">
                  <c:v>78630000</c:v>
                </c:pt>
                <c:pt idx="1965">
                  <c:v>4515500</c:v>
                </c:pt>
                <c:pt idx="1966">
                  <c:v>68644000</c:v>
                </c:pt>
                <c:pt idx="1967">
                  <c:v>2673900</c:v>
                </c:pt>
                <c:pt idx="1968">
                  <c:v>83718000</c:v>
                </c:pt>
                <c:pt idx="1969">
                  <c:v>2886500</c:v>
                </c:pt>
                <c:pt idx="1970">
                  <c:v>57940000</c:v>
                </c:pt>
                <c:pt idx="1971">
                  <c:v>3698700</c:v>
                </c:pt>
                <c:pt idx="1972">
                  <c:v>85296000</c:v>
                </c:pt>
                <c:pt idx="1973">
                  <c:v>3010300</c:v>
                </c:pt>
                <c:pt idx="1974">
                  <c:v>130174000</c:v>
                </c:pt>
                <c:pt idx="1975">
                  <c:v>2379900</c:v>
                </c:pt>
                <c:pt idx="1976">
                  <c:v>79856000</c:v>
                </c:pt>
                <c:pt idx="1977">
                  <c:v>2467500</c:v>
                </c:pt>
                <c:pt idx="1978">
                  <c:v>93326000</c:v>
                </c:pt>
                <c:pt idx="1979">
                  <c:v>2921700</c:v>
                </c:pt>
                <c:pt idx="1980">
                  <c:v>71518000</c:v>
                </c:pt>
                <c:pt idx="1981">
                  <c:v>2524600</c:v>
                </c:pt>
                <c:pt idx="1982">
                  <c:v>66650000</c:v>
                </c:pt>
                <c:pt idx="1983">
                  <c:v>2279700</c:v>
                </c:pt>
                <c:pt idx="1984">
                  <c:v>83702000</c:v>
                </c:pt>
                <c:pt idx="1985">
                  <c:v>1849500</c:v>
                </c:pt>
                <c:pt idx="1986">
                  <c:v>106920000</c:v>
                </c:pt>
                <c:pt idx="1987">
                  <c:v>1563200</c:v>
                </c:pt>
                <c:pt idx="1988">
                  <c:v>53824000</c:v>
                </c:pt>
                <c:pt idx="1989">
                  <c:v>2284000</c:v>
                </c:pt>
                <c:pt idx="1990">
                  <c:v>55034000</c:v>
                </c:pt>
                <c:pt idx="1991">
                  <c:v>2038500</c:v>
                </c:pt>
                <c:pt idx="1992">
                  <c:v>62980000</c:v>
                </c:pt>
                <c:pt idx="1993">
                  <c:v>2939900</c:v>
                </c:pt>
                <c:pt idx="1994">
                  <c:v>70442000</c:v>
                </c:pt>
                <c:pt idx="1995">
                  <c:v>2541200</c:v>
                </c:pt>
                <c:pt idx="1996">
                  <c:v>74362000</c:v>
                </c:pt>
                <c:pt idx="1997">
                  <c:v>4206000</c:v>
                </c:pt>
                <c:pt idx="1998">
                  <c:v>63346000</c:v>
                </c:pt>
                <c:pt idx="1999">
                  <c:v>5181600</c:v>
                </c:pt>
                <c:pt idx="2000">
                  <c:v>78722000</c:v>
                </c:pt>
                <c:pt idx="2001">
                  <c:v>2223700</c:v>
                </c:pt>
                <c:pt idx="2002">
                  <c:v>78812000</c:v>
                </c:pt>
                <c:pt idx="2003">
                  <c:v>2446400</c:v>
                </c:pt>
                <c:pt idx="2004">
                  <c:v>78330000</c:v>
                </c:pt>
                <c:pt idx="2005">
                  <c:v>2767800</c:v>
                </c:pt>
                <c:pt idx="2006">
                  <c:v>93886000</c:v>
                </c:pt>
                <c:pt idx="2007">
                  <c:v>2301800</c:v>
                </c:pt>
                <c:pt idx="2008">
                  <c:v>101494000</c:v>
                </c:pt>
                <c:pt idx="2009">
                  <c:v>2851100</c:v>
                </c:pt>
                <c:pt idx="2010">
                  <c:v>161710000</c:v>
                </c:pt>
                <c:pt idx="2011">
                  <c:v>6780900</c:v>
                </c:pt>
                <c:pt idx="2012">
                  <c:v>122566000</c:v>
                </c:pt>
                <c:pt idx="2013">
                  <c:v>3063500</c:v>
                </c:pt>
                <c:pt idx="2014">
                  <c:v>59482000</c:v>
                </c:pt>
                <c:pt idx="2015">
                  <c:v>2338300</c:v>
                </c:pt>
                <c:pt idx="2016">
                  <c:v>62534000</c:v>
                </c:pt>
                <c:pt idx="2017">
                  <c:v>2029900</c:v>
                </c:pt>
                <c:pt idx="2018">
                  <c:v>83410000</c:v>
                </c:pt>
                <c:pt idx="2019">
                  <c:v>2506900</c:v>
                </c:pt>
                <c:pt idx="2020">
                  <c:v>112648000</c:v>
                </c:pt>
                <c:pt idx="2021">
                  <c:v>2036300</c:v>
                </c:pt>
                <c:pt idx="2022">
                  <c:v>113138000</c:v>
                </c:pt>
                <c:pt idx="2023">
                  <c:v>1613700</c:v>
                </c:pt>
                <c:pt idx="2024">
                  <c:v>82084000</c:v>
                </c:pt>
                <c:pt idx="2025">
                  <c:v>2156800</c:v>
                </c:pt>
                <c:pt idx="2026">
                  <c:v>122426000</c:v>
                </c:pt>
                <c:pt idx="2027">
                  <c:v>3221100</c:v>
                </c:pt>
                <c:pt idx="2028">
                  <c:v>151964000</c:v>
                </c:pt>
                <c:pt idx="2029">
                  <c:v>2478000</c:v>
                </c:pt>
                <c:pt idx="2030">
                  <c:v>95226000</c:v>
                </c:pt>
                <c:pt idx="2031">
                  <c:v>2458200</c:v>
                </c:pt>
                <c:pt idx="2032">
                  <c:v>127884000</c:v>
                </c:pt>
                <c:pt idx="2033">
                  <c:v>3621500</c:v>
                </c:pt>
                <c:pt idx="2034">
                  <c:v>115778000</c:v>
                </c:pt>
                <c:pt idx="2035">
                  <c:v>4915200</c:v>
                </c:pt>
                <c:pt idx="2036">
                  <c:v>144638000</c:v>
                </c:pt>
                <c:pt idx="2037">
                  <c:v>6540800</c:v>
                </c:pt>
                <c:pt idx="2038">
                  <c:v>154408000</c:v>
                </c:pt>
                <c:pt idx="2039">
                  <c:v>3708400</c:v>
                </c:pt>
                <c:pt idx="2040">
                  <c:v>109720000</c:v>
                </c:pt>
                <c:pt idx="2041">
                  <c:v>2691400</c:v>
                </c:pt>
                <c:pt idx="2042">
                  <c:v>127774000</c:v>
                </c:pt>
                <c:pt idx="2043">
                  <c:v>2663500</c:v>
                </c:pt>
                <c:pt idx="2044">
                  <c:v>100752000</c:v>
                </c:pt>
                <c:pt idx="2045">
                  <c:v>2279500</c:v>
                </c:pt>
                <c:pt idx="2046">
                  <c:v>105150000</c:v>
                </c:pt>
                <c:pt idx="2047">
                  <c:v>2018100</c:v>
                </c:pt>
                <c:pt idx="2048">
                  <c:v>137612000</c:v>
                </c:pt>
                <c:pt idx="2049">
                  <c:v>2491900</c:v>
                </c:pt>
                <c:pt idx="2050">
                  <c:v>131868000</c:v>
                </c:pt>
                <c:pt idx="2051">
                  <c:v>2527500</c:v>
                </c:pt>
                <c:pt idx="2052">
                  <c:v>127268000</c:v>
                </c:pt>
                <c:pt idx="2053">
                  <c:v>2807800</c:v>
                </c:pt>
                <c:pt idx="2054">
                  <c:v>75394000</c:v>
                </c:pt>
                <c:pt idx="2055">
                  <c:v>2778800</c:v>
                </c:pt>
                <c:pt idx="2056">
                  <c:v>84468000</c:v>
                </c:pt>
                <c:pt idx="2057">
                  <c:v>2798700</c:v>
                </c:pt>
                <c:pt idx="2058">
                  <c:v>130016000</c:v>
                </c:pt>
                <c:pt idx="2059">
                  <c:v>3645800</c:v>
                </c:pt>
                <c:pt idx="2060">
                  <c:v>59374000</c:v>
                </c:pt>
                <c:pt idx="2061">
                  <c:v>2903400</c:v>
                </c:pt>
                <c:pt idx="2062">
                  <c:v>90532000</c:v>
                </c:pt>
                <c:pt idx="2063">
                  <c:v>3766500</c:v>
                </c:pt>
                <c:pt idx="2064">
                  <c:v>84634000</c:v>
                </c:pt>
                <c:pt idx="2065">
                  <c:v>2357100</c:v>
                </c:pt>
                <c:pt idx="2066">
                  <c:v>64176000</c:v>
                </c:pt>
                <c:pt idx="2067">
                  <c:v>2806300</c:v>
                </c:pt>
                <c:pt idx="2068">
                  <c:v>115540000</c:v>
                </c:pt>
                <c:pt idx="2069">
                  <c:v>6488000</c:v>
                </c:pt>
                <c:pt idx="2070">
                  <c:v>49756000</c:v>
                </c:pt>
                <c:pt idx="2071">
                  <c:v>2467700</c:v>
                </c:pt>
                <c:pt idx="2072">
                  <c:v>59186000</c:v>
                </c:pt>
                <c:pt idx="2073">
                  <c:v>3228100</c:v>
                </c:pt>
                <c:pt idx="2074">
                  <c:v>71712000</c:v>
                </c:pt>
                <c:pt idx="2075">
                  <c:v>6892400</c:v>
                </c:pt>
                <c:pt idx="2076">
                  <c:v>77302000</c:v>
                </c:pt>
                <c:pt idx="2077">
                  <c:v>4093100</c:v>
                </c:pt>
                <c:pt idx="2078">
                  <c:v>108722000</c:v>
                </c:pt>
                <c:pt idx="2079">
                  <c:v>4492700</c:v>
                </c:pt>
                <c:pt idx="2080">
                  <c:v>116002000</c:v>
                </c:pt>
                <c:pt idx="2081">
                  <c:v>5969300</c:v>
                </c:pt>
                <c:pt idx="2082">
                  <c:v>98920000</c:v>
                </c:pt>
                <c:pt idx="2083">
                  <c:v>4018700</c:v>
                </c:pt>
                <c:pt idx="2084">
                  <c:v>103520000</c:v>
                </c:pt>
                <c:pt idx="2085">
                  <c:v>3819600</c:v>
                </c:pt>
                <c:pt idx="2086">
                  <c:v>79414000</c:v>
                </c:pt>
                <c:pt idx="2087">
                  <c:v>4139200</c:v>
                </c:pt>
                <c:pt idx="2088">
                  <c:v>66128000</c:v>
                </c:pt>
                <c:pt idx="2089">
                  <c:v>5591900</c:v>
                </c:pt>
                <c:pt idx="2090">
                  <c:v>58974000</c:v>
                </c:pt>
                <c:pt idx="2091">
                  <c:v>3076700</c:v>
                </c:pt>
                <c:pt idx="2092">
                  <c:v>53420000</c:v>
                </c:pt>
                <c:pt idx="2093">
                  <c:v>3712600</c:v>
                </c:pt>
                <c:pt idx="2094">
                  <c:v>50598000</c:v>
                </c:pt>
                <c:pt idx="2095">
                  <c:v>2977500</c:v>
                </c:pt>
                <c:pt idx="2096">
                  <c:v>58578000</c:v>
                </c:pt>
                <c:pt idx="2097">
                  <c:v>2131300</c:v>
                </c:pt>
                <c:pt idx="2098">
                  <c:v>70198000</c:v>
                </c:pt>
                <c:pt idx="2099">
                  <c:v>4219000</c:v>
                </c:pt>
                <c:pt idx="2100">
                  <c:v>63804000</c:v>
                </c:pt>
                <c:pt idx="2101">
                  <c:v>3743700</c:v>
                </c:pt>
                <c:pt idx="2102">
                  <c:v>101138000</c:v>
                </c:pt>
                <c:pt idx="2103">
                  <c:v>4462700</c:v>
                </c:pt>
                <c:pt idx="2104">
                  <c:v>71364000</c:v>
                </c:pt>
                <c:pt idx="2105">
                  <c:v>4185100</c:v>
                </c:pt>
                <c:pt idx="2106">
                  <c:v>57342000</c:v>
                </c:pt>
                <c:pt idx="2107">
                  <c:v>2735100</c:v>
                </c:pt>
                <c:pt idx="2108">
                  <c:v>102288000</c:v>
                </c:pt>
                <c:pt idx="2109">
                  <c:v>2342300</c:v>
                </c:pt>
                <c:pt idx="2110">
                  <c:v>79962000</c:v>
                </c:pt>
                <c:pt idx="2111">
                  <c:v>3735700</c:v>
                </c:pt>
                <c:pt idx="2112">
                  <c:v>86410000</c:v>
                </c:pt>
                <c:pt idx="2113">
                  <c:v>3404900</c:v>
                </c:pt>
                <c:pt idx="2114">
                  <c:v>87144000</c:v>
                </c:pt>
                <c:pt idx="2115">
                  <c:v>5603500</c:v>
                </c:pt>
                <c:pt idx="2116">
                  <c:v>84700000</c:v>
                </c:pt>
                <c:pt idx="2117">
                  <c:v>6583100</c:v>
                </c:pt>
                <c:pt idx="2118">
                  <c:v>72962000</c:v>
                </c:pt>
                <c:pt idx="2119">
                  <c:v>5542400</c:v>
                </c:pt>
                <c:pt idx="2120">
                  <c:v>95658000</c:v>
                </c:pt>
                <c:pt idx="2121">
                  <c:v>5376100</c:v>
                </c:pt>
                <c:pt idx="2122">
                  <c:v>61498000</c:v>
                </c:pt>
                <c:pt idx="2123">
                  <c:v>3874100</c:v>
                </c:pt>
                <c:pt idx="2124">
                  <c:v>65184000</c:v>
                </c:pt>
                <c:pt idx="2125">
                  <c:v>4207300</c:v>
                </c:pt>
                <c:pt idx="2126">
                  <c:v>64132000</c:v>
                </c:pt>
                <c:pt idx="2127">
                  <c:v>3911300</c:v>
                </c:pt>
                <c:pt idx="2128">
                  <c:v>67928000</c:v>
                </c:pt>
                <c:pt idx="2129">
                  <c:v>4377900</c:v>
                </c:pt>
                <c:pt idx="2130">
                  <c:v>62356000</c:v>
                </c:pt>
                <c:pt idx="2131">
                  <c:v>4465300</c:v>
                </c:pt>
                <c:pt idx="2132">
                  <c:v>64850000</c:v>
                </c:pt>
                <c:pt idx="2133">
                  <c:v>3477400</c:v>
                </c:pt>
                <c:pt idx="2134">
                  <c:v>97318000</c:v>
                </c:pt>
                <c:pt idx="2135">
                  <c:v>4500700</c:v>
                </c:pt>
                <c:pt idx="2136">
                  <c:v>195452000</c:v>
                </c:pt>
                <c:pt idx="2137">
                  <c:v>3960400</c:v>
                </c:pt>
                <c:pt idx="2138">
                  <c:v>190692000</c:v>
                </c:pt>
                <c:pt idx="2139">
                  <c:v>4040500</c:v>
                </c:pt>
                <c:pt idx="2140">
                  <c:v>91832000</c:v>
                </c:pt>
                <c:pt idx="2141">
                  <c:v>4261100</c:v>
                </c:pt>
                <c:pt idx="2142">
                  <c:v>105388000</c:v>
                </c:pt>
                <c:pt idx="2143">
                  <c:v>5604600</c:v>
                </c:pt>
                <c:pt idx="2144">
                  <c:v>112912000</c:v>
                </c:pt>
                <c:pt idx="2145">
                  <c:v>5344800</c:v>
                </c:pt>
                <c:pt idx="2146">
                  <c:v>76498000</c:v>
                </c:pt>
                <c:pt idx="2147">
                  <c:v>3045300</c:v>
                </c:pt>
                <c:pt idx="2148">
                  <c:v>101332000</c:v>
                </c:pt>
                <c:pt idx="2149">
                  <c:v>3545400</c:v>
                </c:pt>
                <c:pt idx="2150">
                  <c:v>84244000</c:v>
                </c:pt>
                <c:pt idx="2151">
                  <c:v>3794000</c:v>
                </c:pt>
                <c:pt idx="2152">
                  <c:v>149534000</c:v>
                </c:pt>
                <c:pt idx="2153">
                  <c:v>5743300</c:v>
                </c:pt>
                <c:pt idx="2154">
                  <c:v>115414000</c:v>
                </c:pt>
                <c:pt idx="2155">
                  <c:v>4083800</c:v>
                </c:pt>
                <c:pt idx="2156">
                  <c:v>158600000</c:v>
                </c:pt>
                <c:pt idx="2157">
                  <c:v>4132300</c:v>
                </c:pt>
                <c:pt idx="2158">
                  <c:v>240764000</c:v>
                </c:pt>
                <c:pt idx="2159">
                  <c:v>5926400</c:v>
                </c:pt>
                <c:pt idx="2160">
                  <c:v>137332000</c:v>
                </c:pt>
                <c:pt idx="2161">
                  <c:v>5652800</c:v>
                </c:pt>
                <c:pt idx="2162">
                  <c:v>161744000</c:v>
                </c:pt>
                <c:pt idx="2163">
                  <c:v>7166300</c:v>
                </c:pt>
                <c:pt idx="2164">
                  <c:v>134334000</c:v>
                </c:pt>
                <c:pt idx="2165">
                  <c:v>10519600</c:v>
                </c:pt>
                <c:pt idx="2166">
                  <c:v>92930000</c:v>
                </c:pt>
                <c:pt idx="2167">
                  <c:v>4752100</c:v>
                </c:pt>
                <c:pt idx="2168">
                  <c:v>79546000</c:v>
                </c:pt>
                <c:pt idx="2169">
                  <c:v>4686100</c:v>
                </c:pt>
                <c:pt idx="2170">
                  <c:v>102280000</c:v>
                </c:pt>
                <c:pt idx="2171">
                  <c:v>8489900</c:v>
                </c:pt>
                <c:pt idx="2172">
                  <c:v>115464000</c:v>
                </c:pt>
                <c:pt idx="2173">
                  <c:v>5785600</c:v>
                </c:pt>
                <c:pt idx="2174">
                  <c:v>72198000</c:v>
                </c:pt>
                <c:pt idx="2175">
                  <c:v>5036400</c:v>
                </c:pt>
                <c:pt idx="2176">
                  <c:v>86720000</c:v>
                </c:pt>
                <c:pt idx="2177">
                  <c:v>8106500</c:v>
                </c:pt>
                <c:pt idx="2178">
                  <c:v>82438000</c:v>
                </c:pt>
                <c:pt idx="2179">
                  <c:v>6847000</c:v>
                </c:pt>
                <c:pt idx="2180">
                  <c:v>102472000</c:v>
                </c:pt>
                <c:pt idx="2181">
                  <c:v>8970800</c:v>
                </c:pt>
                <c:pt idx="2182">
                  <c:v>122522000</c:v>
                </c:pt>
                <c:pt idx="2183">
                  <c:v>5725600</c:v>
                </c:pt>
                <c:pt idx="2184">
                  <c:v>107758000</c:v>
                </c:pt>
                <c:pt idx="2185">
                  <c:v>5746500</c:v>
                </c:pt>
                <c:pt idx="2186">
                  <c:v>124426000</c:v>
                </c:pt>
                <c:pt idx="2187">
                  <c:v>6059600</c:v>
                </c:pt>
                <c:pt idx="2188">
                  <c:v>129582000</c:v>
                </c:pt>
                <c:pt idx="2189">
                  <c:v>6578100</c:v>
                </c:pt>
                <c:pt idx="2190">
                  <c:v>142942000</c:v>
                </c:pt>
                <c:pt idx="2191">
                  <c:v>7417100</c:v>
                </c:pt>
                <c:pt idx="2192">
                  <c:v>156170000</c:v>
                </c:pt>
                <c:pt idx="2193">
                  <c:v>6737500</c:v>
                </c:pt>
                <c:pt idx="2194">
                  <c:v>196358000</c:v>
                </c:pt>
                <c:pt idx="2195">
                  <c:v>7650300</c:v>
                </c:pt>
                <c:pt idx="2196">
                  <c:v>207998000</c:v>
                </c:pt>
                <c:pt idx="2197">
                  <c:v>6870800</c:v>
                </c:pt>
                <c:pt idx="2198">
                  <c:v>192904000</c:v>
                </c:pt>
                <c:pt idx="2199">
                  <c:v>6995100</c:v>
                </c:pt>
                <c:pt idx="2200">
                  <c:v>218342000</c:v>
                </c:pt>
                <c:pt idx="2201">
                  <c:v>7206100</c:v>
                </c:pt>
                <c:pt idx="2202">
                  <c:v>178346000</c:v>
                </c:pt>
                <c:pt idx="2203">
                  <c:v>9899000</c:v>
                </c:pt>
                <c:pt idx="2204">
                  <c:v>176194000</c:v>
                </c:pt>
                <c:pt idx="2205">
                  <c:v>8718600</c:v>
                </c:pt>
                <c:pt idx="2206">
                  <c:v>226924000</c:v>
                </c:pt>
                <c:pt idx="2207">
                  <c:v>10285900</c:v>
                </c:pt>
                <c:pt idx="2208">
                  <c:v>112496000</c:v>
                </c:pt>
                <c:pt idx="2209">
                  <c:v>6543600</c:v>
                </c:pt>
                <c:pt idx="2210">
                  <c:v>142666000</c:v>
                </c:pt>
                <c:pt idx="2211">
                  <c:v>8293200</c:v>
                </c:pt>
                <c:pt idx="2212">
                  <c:v>156264000</c:v>
                </c:pt>
                <c:pt idx="2213">
                  <c:v>8636200</c:v>
                </c:pt>
                <c:pt idx="2214">
                  <c:v>105472000</c:v>
                </c:pt>
                <c:pt idx="2215">
                  <c:v>5767900</c:v>
                </c:pt>
                <c:pt idx="2216">
                  <c:v>94964000</c:v>
                </c:pt>
                <c:pt idx="2217">
                  <c:v>6015300</c:v>
                </c:pt>
                <c:pt idx="2218">
                  <c:v>95458000</c:v>
                </c:pt>
                <c:pt idx="2219">
                  <c:v>5074700</c:v>
                </c:pt>
                <c:pt idx="2220">
                  <c:v>150690000</c:v>
                </c:pt>
                <c:pt idx="2221">
                  <c:v>6358100</c:v>
                </c:pt>
                <c:pt idx="2222">
                  <c:v>135234000</c:v>
                </c:pt>
                <c:pt idx="2223">
                  <c:v>6100200</c:v>
                </c:pt>
                <c:pt idx="2224">
                  <c:v>189620000</c:v>
                </c:pt>
                <c:pt idx="2225">
                  <c:v>8300700</c:v>
                </c:pt>
                <c:pt idx="2226">
                  <c:v>162880000</c:v>
                </c:pt>
                <c:pt idx="2227">
                  <c:v>7369000</c:v>
                </c:pt>
                <c:pt idx="2228">
                  <c:v>104492000</c:v>
                </c:pt>
                <c:pt idx="2229">
                  <c:v>3902500</c:v>
                </c:pt>
                <c:pt idx="2230">
                  <c:v>124382000</c:v>
                </c:pt>
                <c:pt idx="2231">
                  <c:v>4840200</c:v>
                </c:pt>
                <c:pt idx="2232">
                  <c:v>130940000</c:v>
                </c:pt>
                <c:pt idx="2233">
                  <c:v>4964800</c:v>
                </c:pt>
                <c:pt idx="2234">
                  <c:v>92926000</c:v>
                </c:pt>
                <c:pt idx="2235">
                  <c:v>2855600</c:v>
                </c:pt>
                <c:pt idx="2236">
                  <c:v>62626000</c:v>
                </c:pt>
                <c:pt idx="2237">
                  <c:v>2678200</c:v>
                </c:pt>
                <c:pt idx="2238">
                  <c:v>51224000</c:v>
                </c:pt>
                <c:pt idx="2239">
                  <c:v>2134900</c:v>
                </c:pt>
                <c:pt idx="2240">
                  <c:v>58912000</c:v>
                </c:pt>
                <c:pt idx="2241">
                  <c:v>3869700</c:v>
                </c:pt>
                <c:pt idx="2242">
                  <c:v>52124000</c:v>
                </c:pt>
                <c:pt idx="2243">
                  <c:v>2813400</c:v>
                </c:pt>
                <c:pt idx="2244">
                  <c:v>60636000</c:v>
                </c:pt>
                <c:pt idx="2245">
                  <c:v>3318800</c:v>
                </c:pt>
                <c:pt idx="2246">
                  <c:v>66686000</c:v>
                </c:pt>
                <c:pt idx="2247">
                  <c:v>3222000</c:v>
                </c:pt>
                <c:pt idx="2248">
                  <c:v>114920000</c:v>
                </c:pt>
                <c:pt idx="2249">
                  <c:v>2381900</c:v>
                </c:pt>
                <c:pt idx="2250">
                  <c:v>101124000</c:v>
                </c:pt>
                <c:pt idx="2251">
                  <c:v>2331600</c:v>
                </c:pt>
                <c:pt idx="2252">
                  <c:v>101906000</c:v>
                </c:pt>
                <c:pt idx="2253">
                  <c:v>3812300</c:v>
                </c:pt>
                <c:pt idx="2254">
                  <c:v>63660000</c:v>
                </c:pt>
                <c:pt idx="2255">
                  <c:v>2283800</c:v>
                </c:pt>
                <c:pt idx="2256">
                  <c:v>87524000</c:v>
                </c:pt>
                <c:pt idx="2257">
                  <c:v>4448100</c:v>
                </c:pt>
                <c:pt idx="2258">
                  <c:v>105786000</c:v>
                </c:pt>
                <c:pt idx="2259">
                  <c:v>3501600</c:v>
                </c:pt>
                <c:pt idx="2260">
                  <c:v>117834000</c:v>
                </c:pt>
                <c:pt idx="2261">
                  <c:v>4385300</c:v>
                </c:pt>
                <c:pt idx="2262">
                  <c:v>311346000</c:v>
                </c:pt>
                <c:pt idx="2263">
                  <c:v>6785700</c:v>
                </c:pt>
                <c:pt idx="2264">
                  <c:v>126548000</c:v>
                </c:pt>
                <c:pt idx="2265">
                  <c:v>3862600</c:v>
                </c:pt>
                <c:pt idx="2266">
                  <c:v>41760000</c:v>
                </c:pt>
                <c:pt idx="2267">
                  <c:v>2620000</c:v>
                </c:pt>
                <c:pt idx="2268">
                  <c:v>56160000</c:v>
                </c:pt>
                <c:pt idx="2269">
                  <c:v>2763800</c:v>
                </c:pt>
                <c:pt idx="2270">
                  <c:v>70570000</c:v>
                </c:pt>
                <c:pt idx="2271">
                  <c:v>2920500</c:v>
                </c:pt>
                <c:pt idx="2272">
                  <c:v>75324000</c:v>
                </c:pt>
                <c:pt idx="2273">
                  <c:v>2526200</c:v>
                </c:pt>
                <c:pt idx="2274">
                  <c:v>49692000</c:v>
                </c:pt>
                <c:pt idx="2275">
                  <c:v>3182700</c:v>
                </c:pt>
                <c:pt idx="2276">
                  <c:v>64326000</c:v>
                </c:pt>
                <c:pt idx="2277">
                  <c:v>3602400</c:v>
                </c:pt>
                <c:pt idx="2278">
                  <c:v>74156000</c:v>
                </c:pt>
                <c:pt idx="2279">
                  <c:v>2476700</c:v>
                </c:pt>
                <c:pt idx="2280">
                  <c:v>79946000</c:v>
                </c:pt>
                <c:pt idx="2281">
                  <c:v>3331500</c:v>
                </c:pt>
                <c:pt idx="2282">
                  <c:v>53190000</c:v>
                </c:pt>
                <c:pt idx="2283">
                  <c:v>3070900</c:v>
                </c:pt>
                <c:pt idx="2284">
                  <c:v>57932000</c:v>
                </c:pt>
                <c:pt idx="2285">
                  <c:v>2640500</c:v>
                </c:pt>
                <c:pt idx="2286">
                  <c:v>68818000</c:v>
                </c:pt>
                <c:pt idx="2287">
                  <c:v>2742200</c:v>
                </c:pt>
                <c:pt idx="2288">
                  <c:v>55616000</c:v>
                </c:pt>
                <c:pt idx="2289">
                  <c:v>3355200</c:v>
                </c:pt>
                <c:pt idx="2290">
                  <c:v>57074000</c:v>
                </c:pt>
                <c:pt idx="2291">
                  <c:v>2393700</c:v>
                </c:pt>
                <c:pt idx="2292">
                  <c:v>63346000</c:v>
                </c:pt>
                <c:pt idx="2293">
                  <c:v>2272500</c:v>
                </c:pt>
                <c:pt idx="2294">
                  <c:v>70160000</c:v>
                </c:pt>
                <c:pt idx="2295">
                  <c:v>2153200</c:v>
                </c:pt>
                <c:pt idx="2296">
                  <c:v>80898000</c:v>
                </c:pt>
                <c:pt idx="2297">
                  <c:v>2841900</c:v>
                </c:pt>
                <c:pt idx="2298">
                  <c:v>81236000</c:v>
                </c:pt>
                <c:pt idx="2299">
                  <c:v>2549600</c:v>
                </c:pt>
                <c:pt idx="2300">
                  <c:v>75288000</c:v>
                </c:pt>
                <c:pt idx="2301">
                  <c:v>3100600</c:v>
                </c:pt>
                <c:pt idx="2302">
                  <c:v>80580000</c:v>
                </c:pt>
                <c:pt idx="2303">
                  <c:v>3311900</c:v>
                </c:pt>
                <c:pt idx="2304">
                  <c:v>50130000</c:v>
                </c:pt>
                <c:pt idx="2305">
                  <c:v>73494000</c:v>
                </c:pt>
                <c:pt idx="2306">
                  <c:v>123732000</c:v>
                </c:pt>
                <c:pt idx="2307">
                  <c:v>120108000</c:v>
                </c:pt>
                <c:pt idx="2308">
                  <c:v>17626000</c:v>
                </c:pt>
                <c:pt idx="2309">
                  <c:v>42728000</c:v>
                </c:pt>
                <c:pt idx="2310">
                  <c:v>103016000</c:v>
                </c:pt>
                <c:pt idx="2311">
                  <c:v>53056000</c:v>
                </c:pt>
                <c:pt idx="2312">
                  <c:v>67028000</c:v>
                </c:pt>
                <c:pt idx="2313">
                  <c:v>72888000</c:v>
                </c:pt>
                <c:pt idx="2314">
                  <c:v>62904000</c:v>
                </c:pt>
                <c:pt idx="2315">
                  <c:v>54914000</c:v>
                </c:pt>
                <c:pt idx="2316">
                  <c:v>61918000</c:v>
                </c:pt>
                <c:pt idx="2317">
                  <c:v>41952000</c:v>
                </c:pt>
                <c:pt idx="2318">
                  <c:v>50286000</c:v>
                </c:pt>
                <c:pt idx="2319">
                  <c:v>48856000</c:v>
                </c:pt>
                <c:pt idx="2320">
                  <c:v>62348000</c:v>
                </c:pt>
                <c:pt idx="2321">
                  <c:v>56476000</c:v>
                </c:pt>
                <c:pt idx="2322">
                  <c:v>53402000</c:v>
                </c:pt>
                <c:pt idx="2323">
                  <c:v>67618000</c:v>
                </c:pt>
                <c:pt idx="2324">
                  <c:v>78512000</c:v>
                </c:pt>
                <c:pt idx="2325">
                  <c:v>38468000</c:v>
                </c:pt>
                <c:pt idx="2326">
                  <c:v>60512000</c:v>
                </c:pt>
                <c:pt idx="2327">
                  <c:v>63624000</c:v>
                </c:pt>
                <c:pt idx="2328">
                  <c:v>69724000</c:v>
                </c:pt>
                <c:pt idx="2329">
                  <c:v>49582000</c:v>
                </c:pt>
                <c:pt idx="2330">
                  <c:v>53258000</c:v>
                </c:pt>
                <c:pt idx="2331">
                  <c:v>55800000</c:v>
                </c:pt>
                <c:pt idx="2332">
                  <c:v>45416000</c:v>
                </c:pt>
                <c:pt idx="2333">
                  <c:v>56790000</c:v>
                </c:pt>
                <c:pt idx="2334">
                  <c:v>78552000</c:v>
                </c:pt>
                <c:pt idx="2335">
                  <c:v>45296000</c:v>
                </c:pt>
                <c:pt idx="2336">
                  <c:v>59790000</c:v>
                </c:pt>
                <c:pt idx="2337">
                  <c:v>40752000</c:v>
                </c:pt>
                <c:pt idx="2338">
                  <c:v>38920000</c:v>
                </c:pt>
                <c:pt idx="2339">
                  <c:v>42466000</c:v>
                </c:pt>
                <c:pt idx="2340">
                  <c:v>53022000</c:v>
                </c:pt>
                <c:pt idx="2341">
                  <c:v>40596000</c:v>
                </c:pt>
                <c:pt idx="2342">
                  <c:v>37710000</c:v>
                </c:pt>
                <c:pt idx="2343">
                  <c:v>55438000</c:v>
                </c:pt>
                <c:pt idx="2344">
                  <c:v>55808000</c:v>
                </c:pt>
                <c:pt idx="2345">
                  <c:v>55624000</c:v>
                </c:pt>
                <c:pt idx="2346">
                  <c:v>48988000</c:v>
                </c:pt>
                <c:pt idx="2347">
                  <c:v>45538000</c:v>
                </c:pt>
                <c:pt idx="2348">
                  <c:v>74178000</c:v>
                </c:pt>
                <c:pt idx="2349">
                  <c:v>192528000</c:v>
                </c:pt>
                <c:pt idx="2350">
                  <c:v>88922000</c:v>
                </c:pt>
                <c:pt idx="2351">
                  <c:v>42764000</c:v>
                </c:pt>
                <c:pt idx="2352">
                  <c:v>42234000</c:v>
                </c:pt>
                <c:pt idx="2353">
                  <c:v>42608000</c:v>
                </c:pt>
                <c:pt idx="2354">
                  <c:v>67250000</c:v>
                </c:pt>
                <c:pt idx="2355">
                  <c:v>52948000</c:v>
                </c:pt>
                <c:pt idx="2356">
                  <c:v>55268000</c:v>
                </c:pt>
                <c:pt idx="2357">
                  <c:v>62234000</c:v>
                </c:pt>
                <c:pt idx="2358">
                  <c:v>38204000</c:v>
                </c:pt>
                <c:pt idx="2359">
                  <c:v>65100000</c:v>
                </c:pt>
                <c:pt idx="2360">
                  <c:v>51504000</c:v>
                </c:pt>
                <c:pt idx="2361">
                  <c:v>40870000</c:v>
                </c:pt>
                <c:pt idx="2362">
                  <c:v>50840000</c:v>
                </c:pt>
                <c:pt idx="2363">
                  <c:v>43094000</c:v>
                </c:pt>
                <c:pt idx="2364">
                  <c:v>49438000</c:v>
                </c:pt>
                <c:pt idx="2365">
                  <c:v>69364000</c:v>
                </c:pt>
                <c:pt idx="2366">
                  <c:v>66022000</c:v>
                </c:pt>
                <c:pt idx="2367">
                  <c:v>61690000</c:v>
                </c:pt>
                <c:pt idx="2368">
                  <c:v>52894000</c:v>
                </c:pt>
                <c:pt idx="2369">
                  <c:v>78144000</c:v>
                </c:pt>
                <c:pt idx="2370">
                  <c:v>70736000</c:v>
                </c:pt>
                <c:pt idx="2371">
                  <c:v>69864000</c:v>
                </c:pt>
                <c:pt idx="2372">
                  <c:v>92320000</c:v>
                </c:pt>
                <c:pt idx="2373">
                  <c:v>58446000</c:v>
                </c:pt>
                <c:pt idx="2374">
                  <c:v>106838000</c:v>
                </c:pt>
                <c:pt idx="2375">
                  <c:v>40630000</c:v>
                </c:pt>
                <c:pt idx="2376">
                  <c:v>50112000</c:v>
                </c:pt>
                <c:pt idx="2377">
                  <c:v>39648000</c:v>
                </c:pt>
                <c:pt idx="2378">
                  <c:v>73510000</c:v>
                </c:pt>
                <c:pt idx="2379">
                  <c:v>39426000</c:v>
                </c:pt>
                <c:pt idx="2380">
                  <c:v>56470000</c:v>
                </c:pt>
                <c:pt idx="2381">
                  <c:v>48656000</c:v>
                </c:pt>
                <c:pt idx="2382">
                  <c:v>52278000</c:v>
                </c:pt>
                <c:pt idx="2383">
                  <c:v>59990000</c:v>
                </c:pt>
                <c:pt idx="2384">
                  <c:v>49938000</c:v>
                </c:pt>
                <c:pt idx="2385">
                  <c:v>66216000</c:v>
                </c:pt>
                <c:pt idx="2386">
                  <c:v>46482000</c:v>
                </c:pt>
                <c:pt idx="2387">
                  <c:v>70860000</c:v>
                </c:pt>
                <c:pt idx="2388">
                  <c:v>61174000</c:v>
                </c:pt>
                <c:pt idx="2389">
                  <c:v>60302000</c:v>
                </c:pt>
                <c:pt idx="2390">
                  <c:v>48394000</c:v>
                </c:pt>
                <c:pt idx="2391">
                  <c:v>60394000</c:v>
                </c:pt>
                <c:pt idx="2392">
                  <c:v>61600000</c:v>
                </c:pt>
                <c:pt idx="2393">
                  <c:v>105416000</c:v>
                </c:pt>
                <c:pt idx="2394">
                  <c:v>53070000</c:v>
                </c:pt>
                <c:pt idx="2395">
                  <c:v>40636000</c:v>
                </c:pt>
                <c:pt idx="2396">
                  <c:v>38590000</c:v>
                </c:pt>
                <c:pt idx="2397">
                  <c:v>56326000</c:v>
                </c:pt>
                <c:pt idx="2398">
                  <c:v>60360000</c:v>
                </c:pt>
                <c:pt idx="2399">
                  <c:v>75182000</c:v>
                </c:pt>
                <c:pt idx="2400">
                  <c:v>97872000</c:v>
                </c:pt>
                <c:pt idx="2401">
                  <c:v>79880000</c:v>
                </c:pt>
                <c:pt idx="2402">
                  <c:v>58110000</c:v>
                </c:pt>
                <c:pt idx="2403">
                  <c:v>57596000</c:v>
                </c:pt>
                <c:pt idx="2404">
                  <c:v>74024000</c:v>
                </c:pt>
                <c:pt idx="2405">
                  <c:v>90538000</c:v>
                </c:pt>
                <c:pt idx="2406">
                  <c:v>101406000</c:v>
                </c:pt>
                <c:pt idx="2407">
                  <c:v>121164000</c:v>
                </c:pt>
                <c:pt idx="2408">
                  <c:v>99124000</c:v>
                </c:pt>
                <c:pt idx="2409">
                  <c:v>94266000</c:v>
                </c:pt>
                <c:pt idx="2410">
                  <c:v>89414000</c:v>
                </c:pt>
                <c:pt idx="2411">
                  <c:v>58218000</c:v>
                </c:pt>
                <c:pt idx="2412">
                  <c:v>89864000</c:v>
                </c:pt>
                <c:pt idx="2413">
                  <c:v>98542000</c:v>
                </c:pt>
                <c:pt idx="2414">
                  <c:v>82730000</c:v>
                </c:pt>
                <c:pt idx="2415">
                  <c:v>52626000</c:v>
                </c:pt>
                <c:pt idx="2416">
                  <c:v>54070000</c:v>
                </c:pt>
                <c:pt idx="2417">
                  <c:v>58000000</c:v>
                </c:pt>
                <c:pt idx="2418">
                  <c:v>63712000</c:v>
                </c:pt>
                <c:pt idx="2419">
                  <c:v>69738000</c:v>
                </c:pt>
                <c:pt idx="2420">
                  <c:v>51176000</c:v>
                </c:pt>
                <c:pt idx="2421">
                  <c:v>52364000</c:v>
                </c:pt>
                <c:pt idx="2422">
                  <c:v>59626000</c:v>
                </c:pt>
                <c:pt idx="2423">
                  <c:v>50186000</c:v>
                </c:pt>
                <c:pt idx="2424">
                  <c:v>86356000</c:v>
                </c:pt>
                <c:pt idx="2425">
                  <c:v>98638000</c:v>
                </c:pt>
                <c:pt idx="2426">
                  <c:v>86914000</c:v>
                </c:pt>
                <c:pt idx="2427">
                  <c:v>57668000</c:v>
                </c:pt>
                <c:pt idx="2428">
                  <c:v>52568000</c:v>
                </c:pt>
                <c:pt idx="2429">
                  <c:v>33806000</c:v>
                </c:pt>
                <c:pt idx="2430">
                  <c:v>52918000</c:v>
                </c:pt>
                <c:pt idx="2431">
                  <c:v>63842000</c:v>
                </c:pt>
                <c:pt idx="2432">
                  <c:v>60748000</c:v>
                </c:pt>
                <c:pt idx="2433">
                  <c:v>42834000</c:v>
                </c:pt>
                <c:pt idx="2434">
                  <c:v>48838000</c:v>
                </c:pt>
                <c:pt idx="2435">
                  <c:v>60246000</c:v>
                </c:pt>
                <c:pt idx="2436">
                  <c:v>45660000</c:v>
                </c:pt>
                <c:pt idx="2437">
                  <c:v>78672000</c:v>
                </c:pt>
                <c:pt idx="2438">
                  <c:v>64344000</c:v>
                </c:pt>
                <c:pt idx="2439">
                  <c:v>57906000</c:v>
                </c:pt>
                <c:pt idx="2440">
                  <c:v>77914000</c:v>
                </c:pt>
                <c:pt idx="2441">
                  <c:v>52686000</c:v>
                </c:pt>
                <c:pt idx="2442">
                  <c:v>57024000</c:v>
                </c:pt>
                <c:pt idx="2443">
                  <c:v>55916000</c:v>
                </c:pt>
                <c:pt idx="2444">
                  <c:v>53566000</c:v>
                </c:pt>
                <c:pt idx="2445">
                  <c:v>80854000</c:v>
                </c:pt>
                <c:pt idx="2446">
                  <c:v>107420000</c:v>
                </c:pt>
                <c:pt idx="2447">
                  <c:v>96164000</c:v>
                </c:pt>
                <c:pt idx="2448">
                  <c:v>73786000</c:v>
                </c:pt>
                <c:pt idx="2449">
                  <c:v>84796000</c:v>
                </c:pt>
                <c:pt idx="2450">
                  <c:v>113582000</c:v>
                </c:pt>
                <c:pt idx="2451">
                  <c:v>181974000</c:v>
                </c:pt>
                <c:pt idx="2452">
                  <c:v>92376000</c:v>
                </c:pt>
                <c:pt idx="2453">
                  <c:v>62938000</c:v>
                </c:pt>
                <c:pt idx="2454">
                  <c:v>85580000</c:v>
                </c:pt>
                <c:pt idx="2455">
                  <c:v>64000000</c:v>
                </c:pt>
                <c:pt idx="2456">
                  <c:v>67394000</c:v>
                </c:pt>
                <c:pt idx="2457">
                  <c:v>88486000</c:v>
                </c:pt>
                <c:pt idx="2458">
                  <c:v>58732000</c:v>
                </c:pt>
                <c:pt idx="2459">
                  <c:v>80102000</c:v>
                </c:pt>
                <c:pt idx="2460">
                  <c:v>75964000</c:v>
                </c:pt>
                <c:pt idx="2461">
                  <c:v>94732000</c:v>
                </c:pt>
                <c:pt idx="2462">
                  <c:v>94156000</c:v>
                </c:pt>
                <c:pt idx="2463">
                  <c:v>93852000</c:v>
                </c:pt>
                <c:pt idx="2464">
                  <c:v>92582000</c:v>
                </c:pt>
                <c:pt idx="2465">
                  <c:v>115668000</c:v>
                </c:pt>
                <c:pt idx="2466">
                  <c:v>114360000</c:v>
                </c:pt>
                <c:pt idx="2467">
                  <c:v>106166000</c:v>
                </c:pt>
                <c:pt idx="2468">
                  <c:v>81572000</c:v>
                </c:pt>
                <c:pt idx="2469">
                  <c:v>118042000</c:v>
                </c:pt>
                <c:pt idx="2470">
                  <c:v>108356000</c:v>
                </c:pt>
                <c:pt idx="2471">
                  <c:v>127632000</c:v>
                </c:pt>
                <c:pt idx="2472">
                  <c:v>79258000</c:v>
                </c:pt>
                <c:pt idx="2473">
                  <c:v>62340000</c:v>
                </c:pt>
                <c:pt idx="2474">
                  <c:v>70120000</c:v>
                </c:pt>
                <c:pt idx="2475">
                  <c:v>80426000</c:v>
                </c:pt>
                <c:pt idx="2476">
                  <c:v>168652000</c:v>
                </c:pt>
                <c:pt idx="2477">
                  <c:v>121982000</c:v>
                </c:pt>
                <c:pt idx="2478">
                  <c:v>73516000</c:v>
                </c:pt>
                <c:pt idx="2479">
                  <c:v>92808000</c:v>
                </c:pt>
                <c:pt idx="2480">
                  <c:v>67476000</c:v>
                </c:pt>
                <c:pt idx="2481">
                  <c:v>54998000</c:v>
                </c:pt>
                <c:pt idx="2482">
                  <c:v>57870000</c:v>
                </c:pt>
                <c:pt idx="2483">
                  <c:v>60892000</c:v>
                </c:pt>
                <c:pt idx="2484">
                  <c:v>74488000</c:v>
                </c:pt>
                <c:pt idx="2485">
                  <c:v>62288000</c:v>
                </c:pt>
                <c:pt idx="2486">
                  <c:v>53096000</c:v>
                </c:pt>
                <c:pt idx="2487">
                  <c:v>59280000</c:v>
                </c:pt>
                <c:pt idx="2488">
                  <c:v>74288000</c:v>
                </c:pt>
                <c:pt idx="2489">
                  <c:v>75056000</c:v>
                </c:pt>
                <c:pt idx="2490">
                  <c:v>72810000</c:v>
                </c:pt>
                <c:pt idx="2491">
                  <c:v>72478000</c:v>
                </c:pt>
                <c:pt idx="2492">
                  <c:v>78522000</c:v>
                </c:pt>
                <c:pt idx="2493">
                  <c:v>68962000</c:v>
                </c:pt>
                <c:pt idx="2494">
                  <c:v>84776000</c:v>
                </c:pt>
                <c:pt idx="2495">
                  <c:v>66416000</c:v>
                </c:pt>
                <c:pt idx="2496">
                  <c:v>60860000</c:v>
                </c:pt>
                <c:pt idx="2497">
                  <c:v>86496000</c:v>
                </c:pt>
                <c:pt idx="2498">
                  <c:v>97318000</c:v>
                </c:pt>
                <c:pt idx="2499">
                  <c:v>102076000</c:v>
                </c:pt>
                <c:pt idx="2500">
                  <c:v>127260000</c:v>
                </c:pt>
                <c:pt idx="2501">
                  <c:v>115356000</c:v>
                </c:pt>
                <c:pt idx="2502">
                  <c:v>125312000</c:v>
                </c:pt>
                <c:pt idx="2503">
                  <c:v>127284000</c:v>
                </c:pt>
                <c:pt idx="2504">
                  <c:v>108582000</c:v>
                </c:pt>
                <c:pt idx="2505">
                  <c:v>151018000</c:v>
                </c:pt>
                <c:pt idx="2506">
                  <c:v>58932000</c:v>
                </c:pt>
                <c:pt idx="2507">
                  <c:v>71040000</c:v>
                </c:pt>
                <c:pt idx="2508">
                  <c:v>72290000</c:v>
                </c:pt>
                <c:pt idx="2509">
                  <c:v>77528000</c:v>
                </c:pt>
                <c:pt idx="2510">
                  <c:v>93340000</c:v>
                </c:pt>
                <c:pt idx="2511">
                  <c:v>99140000</c:v>
                </c:pt>
                <c:pt idx="2512">
                  <c:v>79920000</c:v>
                </c:pt>
                <c:pt idx="2513">
                  <c:v>73630000</c:v>
                </c:pt>
                <c:pt idx="2514">
                  <c:v>123348000</c:v>
                </c:pt>
                <c:pt idx="2515">
                  <c:v>99498000</c:v>
                </c:pt>
                <c:pt idx="2516">
                  <c:v>60518000</c:v>
                </c:pt>
                <c:pt idx="2517">
                  <c:v>62976000</c:v>
                </c:pt>
                <c:pt idx="2518">
                  <c:v>53316000</c:v>
                </c:pt>
                <c:pt idx="2519">
                  <c:v>63690000</c:v>
                </c:pt>
                <c:pt idx="2520">
                  <c:v>61924000</c:v>
                </c:pt>
                <c:pt idx="2521">
                  <c:v>69668000</c:v>
                </c:pt>
                <c:pt idx="2522">
                  <c:v>66752000</c:v>
                </c:pt>
                <c:pt idx="2523">
                  <c:v>73634000</c:v>
                </c:pt>
                <c:pt idx="2524">
                  <c:v>86878000</c:v>
                </c:pt>
                <c:pt idx="2525">
                  <c:v>82410000</c:v>
                </c:pt>
                <c:pt idx="2526">
                  <c:v>71206000</c:v>
                </c:pt>
                <c:pt idx="2527">
                  <c:v>97172000</c:v>
                </c:pt>
                <c:pt idx="2528">
                  <c:v>66346000</c:v>
                </c:pt>
                <c:pt idx="2529">
                  <c:v>113150000</c:v>
                </c:pt>
                <c:pt idx="2530">
                  <c:v>92532000</c:v>
                </c:pt>
                <c:pt idx="2531">
                  <c:v>78798000</c:v>
                </c:pt>
                <c:pt idx="2532">
                  <c:v>89062000</c:v>
                </c:pt>
                <c:pt idx="2533">
                  <c:v>98582000</c:v>
                </c:pt>
                <c:pt idx="2534">
                  <c:v>230124000</c:v>
                </c:pt>
                <c:pt idx="2535">
                  <c:v>218206000</c:v>
                </c:pt>
                <c:pt idx="2536">
                  <c:v>115676000</c:v>
                </c:pt>
                <c:pt idx="2537">
                  <c:v>92656000</c:v>
                </c:pt>
                <c:pt idx="2538">
                  <c:v>96754000</c:v>
                </c:pt>
                <c:pt idx="2539">
                  <c:v>98918000</c:v>
                </c:pt>
                <c:pt idx="2540">
                  <c:v>81798000</c:v>
                </c:pt>
                <c:pt idx="2541">
                  <c:v>104504000</c:v>
                </c:pt>
                <c:pt idx="2542">
                  <c:v>128336000</c:v>
                </c:pt>
                <c:pt idx="2543">
                  <c:v>120410000</c:v>
                </c:pt>
                <c:pt idx="2544">
                  <c:v>84178000</c:v>
                </c:pt>
                <c:pt idx="2545">
                  <c:v>127338000</c:v>
                </c:pt>
                <c:pt idx="2546">
                  <c:v>119970000</c:v>
                </c:pt>
                <c:pt idx="2547">
                  <c:v>120118000</c:v>
                </c:pt>
                <c:pt idx="2548">
                  <c:v>93724000</c:v>
                </c:pt>
                <c:pt idx="2549">
                  <c:v>130154000</c:v>
                </c:pt>
                <c:pt idx="2550">
                  <c:v>126976000</c:v>
                </c:pt>
                <c:pt idx="2551">
                  <c:v>177628000</c:v>
                </c:pt>
                <c:pt idx="2552">
                  <c:v>159864000</c:v>
                </c:pt>
                <c:pt idx="2553">
                  <c:v>183652000</c:v>
                </c:pt>
                <c:pt idx="2554">
                  <c:v>139512000</c:v>
                </c:pt>
                <c:pt idx="2555">
                  <c:v>159662000</c:v>
                </c:pt>
                <c:pt idx="2556">
                  <c:v>139090000</c:v>
                </c:pt>
                <c:pt idx="2557">
                  <c:v>176580000</c:v>
                </c:pt>
                <c:pt idx="2558">
                  <c:v>194440000</c:v>
                </c:pt>
                <c:pt idx="2559">
                  <c:v>208236000</c:v>
                </c:pt>
                <c:pt idx="2560">
                  <c:v>144400000</c:v>
                </c:pt>
                <c:pt idx="2561">
                  <c:v>272806000</c:v>
                </c:pt>
                <c:pt idx="2562">
                  <c:v>199836000</c:v>
                </c:pt>
                <c:pt idx="2563">
                  <c:v>175844000</c:v>
                </c:pt>
                <c:pt idx="2564">
                  <c:v>130460000</c:v>
                </c:pt>
                <c:pt idx="2565">
                  <c:v>176596000</c:v>
                </c:pt>
                <c:pt idx="2566">
                  <c:v>127344000</c:v>
                </c:pt>
                <c:pt idx="2567">
                  <c:v>105426000</c:v>
                </c:pt>
                <c:pt idx="2568">
                  <c:v>131960000</c:v>
                </c:pt>
                <c:pt idx="2569">
                  <c:v>124894000</c:v>
                </c:pt>
                <c:pt idx="2570">
                  <c:v>149896000</c:v>
                </c:pt>
                <c:pt idx="2571">
                  <c:v>151522000</c:v>
                </c:pt>
                <c:pt idx="2572">
                  <c:v>175788000</c:v>
                </c:pt>
                <c:pt idx="2573">
                  <c:v>173890000</c:v>
                </c:pt>
                <c:pt idx="2574">
                  <c:v>137246000</c:v>
                </c:pt>
                <c:pt idx="2575">
                  <c:v>115236000</c:v>
                </c:pt>
                <c:pt idx="2576">
                  <c:v>132264000</c:v>
                </c:pt>
                <c:pt idx="2577">
                  <c:v>169174000</c:v>
                </c:pt>
                <c:pt idx="2578">
                  <c:v>115664000</c:v>
                </c:pt>
                <c:pt idx="2579">
                  <c:v>125154000</c:v>
                </c:pt>
                <c:pt idx="2580">
                  <c:v>54152000</c:v>
                </c:pt>
                <c:pt idx="2581">
                  <c:v>114336000</c:v>
                </c:pt>
                <c:pt idx="2582">
                  <c:v>217576000</c:v>
                </c:pt>
                <c:pt idx="2583">
                  <c:v>155800000</c:v>
                </c:pt>
                <c:pt idx="2584">
                  <c:v>121322000</c:v>
                </c:pt>
                <c:pt idx="2585">
                  <c:v>168546000</c:v>
                </c:pt>
                <c:pt idx="2586">
                  <c:v>129738000</c:v>
                </c:pt>
                <c:pt idx="2587">
                  <c:v>118666000</c:v>
                </c:pt>
                <c:pt idx="2588">
                  <c:v>136124000</c:v>
                </c:pt>
                <c:pt idx="2589">
                  <c:v>118044000</c:v>
                </c:pt>
                <c:pt idx="2590">
                  <c:v>130698000</c:v>
                </c:pt>
                <c:pt idx="2591">
                  <c:v>163844000</c:v>
                </c:pt>
                <c:pt idx="2592">
                  <c:v>85148000</c:v>
                </c:pt>
                <c:pt idx="2593">
                  <c:v>112494000</c:v>
                </c:pt>
                <c:pt idx="2594">
                  <c:v>139110000</c:v>
                </c:pt>
                <c:pt idx="2595">
                  <c:v>162710000</c:v>
                </c:pt>
                <c:pt idx="2596">
                  <c:v>187804000</c:v>
                </c:pt>
                <c:pt idx="2597">
                  <c:v>249202000</c:v>
                </c:pt>
                <c:pt idx="2598">
                  <c:v>277322000</c:v>
                </c:pt>
                <c:pt idx="2599">
                  <c:v>299276000</c:v>
                </c:pt>
                <c:pt idx="2600">
                  <c:v>205714000</c:v>
                </c:pt>
                <c:pt idx="2601">
                  <c:v>138568000</c:v>
                </c:pt>
                <c:pt idx="2602">
                  <c:v>134478000</c:v>
                </c:pt>
                <c:pt idx="2603">
                  <c:v>90000000</c:v>
                </c:pt>
                <c:pt idx="2604">
                  <c:v>118144000</c:v>
                </c:pt>
                <c:pt idx="2605">
                  <c:v>117480000</c:v>
                </c:pt>
                <c:pt idx="2606">
                  <c:v>105904000</c:v>
                </c:pt>
                <c:pt idx="2607">
                  <c:v>117198000</c:v>
                </c:pt>
                <c:pt idx="2608">
                  <c:v>128744000</c:v>
                </c:pt>
                <c:pt idx="2609">
                  <c:v>188892000</c:v>
                </c:pt>
                <c:pt idx="2610">
                  <c:v>278718000</c:v>
                </c:pt>
                <c:pt idx="2611">
                  <c:v>219778000</c:v>
                </c:pt>
                <c:pt idx="2612">
                  <c:v>95458000</c:v>
                </c:pt>
                <c:pt idx="2613">
                  <c:v>147864000</c:v>
                </c:pt>
                <c:pt idx="2614">
                  <c:v>136446000</c:v>
                </c:pt>
                <c:pt idx="2615">
                  <c:v>145140000</c:v>
                </c:pt>
                <c:pt idx="2616">
                  <c:v>105062000</c:v>
                </c:pt>
                <c:pt idx="2617">
                  <c:v>108014000</c:v>
                </c:pt>
                <c:pt idx="2618">
                  <c:v>69210000</c:v>
                </c:pt>
                <c:pt idx="2619">
                  <c:v>81702000</c:v>
                </c:pt>
                <c:pt idx="2620">
                  <c:v>86588000</c:v>
                </c:pt>
                <c:pt idx="2621">
                  <c:v>86270000</c:v>
                </c:pt>
                <c:pt idx="2622">
                  <c:v>90768000</c:v>
                </c:pt>
                <c:pt idx="2623">
                  <c:v>84274000</c:v>
                </c:pt>
                <c:pt idx="2624">
                  <c:v>137118000</c:v>
                </c:pt>
                <c:pt idx="2625">
                  <c:v>63098000</c:v>
                </c:pt>
                <c:pt idx="2626">
                  <c:v>81136000</c:v>
                </c:pt>
                <c:pt idx="2627">
                  <c:v>85374000</c:v>
                </c:pt>
                <c:pt idx="2628">
                  <c:v>141004000</c:v>
                </c:pt>
                <c:pt idx="2629">
                  <c:v>72840000</c:v>
                </c:pt>
                <c:pt idx="2630">
                  <c:v>72430000</c:v>
                </c:pt>
                <c:pt idx="2631">
                  <c:v>88280000</c:v>
                </c:pt>
                <c:pt idx="2632">
                  <c:v>100672000</c:v>
                </c:pt>
                <c:pt idx="2633">
                  <c:v>90896000</c:v>
                </c:pt>
                <c:pt idx="2634">
                  <c:v>97852000</c:v>
                </c:pt>
                <c:pt idx="2635">
                  <c:v>149774000</c:v>
                </c:pt>
                <c:pt idx="2636">
                  <c:v>164412000</c:v>
                </c:pt>
                <c:pt idx="2637">
                  <c:v>114422000</c:v>
                </c:pt>
                <c:pt idx="2638">
                  <c:v>84088000</c:v>
                </c:pt>
                <c:pt idx="2639">
                  <c:v>145546000</c:v>
                </c:pt>
                <c:pt idx="2640">
                  <c:v>130636000</c:v>
                </c:pt>
                <c:pt idx="2641">
                  <c:v>62014000</c:v>
                </c:pt>
                <c:pt idx="2642">
                  <c:v>71380000</c:v>
                </c:pt>
                <c:pt idx="2643">
                  <c:v>56018000</c:v>
                </c:pt>
                <c:pt idx="2644">
                  <c:v>71260000</c:v>
                </c:pt>
                <c:pt idx="2645">
                  <c:v>61610000</c:v>
                </c:pt>
                <c:pt idx="2646">
                  <c:v>62112000</c:v>
                </c:pt>
                <c:pt idx="2647">
                  <c:v>57240000</c:v>
                </c:pt>
                <c:pt idx="2648">
                  <c:v>82086000</c:v>
                </c:pt>
                <c:pt idx="2649">
                  <c:v>79142000</c:v>
                </c:pt>
                <c:pt idx="2650">
                  <c:v>154014000</c:v>
                </c:pt>
                <c:pt idx="2651">
                  <c:v>79722000</c:v>
                </c:pt>
                <c:pt idx="2652">
                  <c:v>110630000</c:v>
                </c:pt>
                <c:pt idx="2653">
                  <c:v>72798000</c:v>
                </c:pt>
                <c:pt idx="2654">
                  <c:v>97208000</c:v>
                </c:pt>
                <c:pt idx="2655">
                  <c:v>79260000</c:v>
                </c:pt>
                <c:pt idx="2656">
                  <c:v>67550000</c:v>
                </c:pt>
                <c:pt idx="2657">
                  <c:v>67836000</c:v>
                </c:pt>
                <c:pt idx="2658">
                  <c:v>69210000</c:v>
                </c:pt>
                <c:pt idx="2659">
                  <c:v>87094000</c:v>
                </c:pt>
                <c:pt idx="2660">
                  <c:v>83062000</c:v>
                </c:pt>
                <c:pt idx="2661">
                  <c:v>114774000</c:v>
                </c:pt>
                <c:pt idx="2662">
                  <c:v>131246000</c:v>
                </c:pt>
                <c:pt idx="2663">
                  <c:v>193620000</c:v>
                </c:pt>
                <c:pt idx="2664">
                  <c:v>198488000</c:v>
                </c:pt>
                <c:pt idx="2665">
                  <c:v>74764000</c:v>
                </c:pt>
                <c:pt idx="2666">
                  <c:v>85574000</c:v>
                </c:pt>
                <c:pt idx="2667">
                  <c:v>77770000</c:v>
                </c:pt>
                <c:pt idx="2668">
                  <c:v>77688000</c:v>
                </c:pt>
                <c:pt idx="2669">
                  <c:v>93538000</c:v>
                </c:pt>
                <c:pt idx="2670">
                  <c:v>97238000</c:v>
                </c:pt>
                <c:pt idx="2671">
                  <c:v>113658000</c:v>
                </c:pt>
                <c:pt idx="2672">
                  <c:v>109324000</c:v>
                </c:pt>
                <c:pt idx="2673">
                  <c:v>87664000</c:v>
                </c:pt>
                <c:pt idx="2674">
                  <c:v>90654000</c:v>
                </c:pt>
                <c:pt idx="2675">
                  <c:v>64196000</c:v>
                </c:pt>
                <c:pt idx="2676">
                  <c:v>60058000</c:v>
                </c:pt>
                <c:pt idx="2677">
                  <c:v>60240000</c:v>
                </c:pt>
                <c:pt idx="2678">
                  <c:v>53006000</c:v>
                </c:pt>
                <c:pt idx="2679">
                  <c:v>59662000</c:v>
                </c:pt>
                <c:pt idx="2680">
                  <c:v>43546000</c:v>
                </c:pt>
                <c:pt idx="2681">
                  <c:v>63714000</c:v>
                </c:pt>
                <c:pt idx="2682">
                  <c:v>90870000</c:v>
                </c:pt>
                <c:pt idx="2683">
                  <c:v>90594000</c:v>
                </c:pt>
                <c:pt idx="2684">
                  <c:v>97444000</c:v>
                </c:pt>
                <c:pt idx="2685">
                  <c:v>87732000</c:v>
                </c:pt>
                <c:pt idx="2686">
                  <c:v>150224000</c:v>
                </c:pt>
                <c:pt idx="2687">
                  <c:v>81502000</c:v>
                </c:pt>
                <c:pt idx="2688">
                  <c:v>98822000</c:v>
                </c:pt>
                <c:pt idx="2689">
                  <c:v>86652000</c:v>
                </c:pt>
                <c:pt idx="2690">
                  <c:v>85802000</c:v>
                </c:pt>
                <c:pt idx="2691">
                  <c:v>62154000</c:v>
                </c:pt>
                <c:pt idx="2692">
                  <c:v>95552000</c:v>
                </c:pt>
                <c:pt idx="2693">
                  <c:v>63488000</c:v>
                </c:pt>
                <c:pt idx="2694">
                  <c:v>66550000</c:v>
                </c:pt>
                <c:pt idx="2695">
                  <c:v>45184000</c:v>
                </c:pt>
                <c:pt idx="2696">
                  <c:v>46710000</c:v>
                </c:pt>
                <c:pt idx="2697">
                  <c:v>59102000</c:v>
                </c:pt>
                <c:pt idx="2698">
                  <c:v>75314000</c:v>
                </c:pt>
                <c:pt idx="2699">
                  <c:v>109464000</c:v>
                </c:pt>
                <c:pt idx="2700">
                  <c:v>95644000</c:v>
                </c:pt>
                <c:pt idx="2701">
                  <c:v>63754000</c:v>
                </c:pt>
                <c:pt idx="2702">
                  <c:v>66268000</c:v>
                </c:pt>
                <c:pt idx="2703">
                  <c:v>63326000</c:v>
                </c:pt>
                <c:pt idx="2704">
                  <c:v>58148000</c:v>
                </c:pt>
                <c:pt idx="2705">
                  <c:v>76930000</c:v>
                </c:pt>
                <c:pt idx="2706">
                  <c:v>53968000</c:v>
                </c:pt>
                <c:pt idx="2707">
                  <c:v>68600000</c:v>
                </c:pt>
                <c:pt idx="2708">
                  <c:v>67238000</c:v>
                </c:pt>
                <c:pt idx="2709">
                  <c:v>42312000</c:v>
                </c:pt>
                <c:pt idx="2710">
                  <c:v>58504000</c:v>
                </c:pt>
                <c:pt idx="2711">
                  <c:v>52852000</c:v>
                </c:pt>
                <c:pt idx="2712">
                  <c:v>42952000</c:v>
                </c:pt>
                <c:pt idx="2713">
                  <c:v>51412000</c:v>
                </c:pt>
                <c:pt idx="2714">
                  <c:v>101550000</c:v>
                </c:pt>
                <c:pt idx="2715">
                  <c:v>50190000</c:v>
                </c:pt>
                <c:pt idx="2716">
                  <c:v>45278000</c:v>
                </c:pt>
                <c:pt idx="2717">
                  <c:v>56350000</c:v>
                </c:pt>
                <c:pt idx="2718">
                  <c:v>72746000</c:v>
                </c:pt>
                <c:pt idx="2719">
                  <c:v>61358000</c:v>
                </c:pt>
                <c:pt idx="2720">
                  <c:v>76038000</c:v>
                </c:pt>
                <c:pt idx="2721">
                  <c:v>68872000</c:v>
                </c:pt>
                <c:pt idx="2722">
                  <c:v>85038000</c:v>
                </c:pt>
                <c:pt idx="2723">
                  <c:v>87206000</c:v>
                </c:pt>
                <c:pt idx="2724">
                  <c:v>91442000</c:v>
                </c:pt>
                <c:pt idx="2725">
                  <c:v>109282000</c:v>
                </c:pt>
                <c:pt idx="2726">
                  <c:v>261064000</c:v>
                </c:pt>
                <c:pt idx="2727">
                  <c:v>176022000</c:v>
                </c:pt>
                <c:pt idx="2728">
                  <c:v>131746000</c:v>
                </c:pt>
                <c:pt idx="2729">
                  <c:v>149894000</c:v>
                </c:pt>
                <c:pt idx="2730">
                  <c:v>89308000</c:v>
                </c:pt>
                <c:pt idx="2731">
                  <c:v>110832000</c:v>
                </c:pt>
                <c:pt idx="2732">
                  <c:v>130474000</c:v>
                </c:pt>
                <c:pt idx="2733">
                  <c:v>104550000</c:v>
                </c:pt>
                <c:pt idx="2734">
                  <c:v>102288000</c:v>
                </c:pt>
                <c:pt idx="2735">
                  <c:v>56172000</c:v>
                </c:pt>
                <c:pt idx="2736">
                  <c:v>73706000</c:v>
                </c:pt>
                <c:pt idx="2737">
                  <c:v>62700000</c:v>
                </c:pt>
                <c:pt idx="2738">
                  <c:v>71650000</c:v>
                </c:pt>
                <c:pt idx="2739">
                  <c:v>85082000</c:v>
                </c:pt>
                <c:pt idx="2740">
                  <c:v>84164000</c:v>
                </c:pt>
                <c:pt idx="2741">
                  <c:v>117646000</c:v>
                </c:pt>
                <c:pt idx="2742">
                  <c:v>128270000</c:v>
                </c:pt>
                <c:pt idx="2743">
                  <c:v>139646000</c:v>
                </c:pt>
                <c:pt idx="2744">
                  <c:v>204624000</c:v>
                </c:pt>
                <c:pt idx="2745">
                  <c:v>209272000</c:v>
                </c:pt>
                <c:pt idx="2746">
                  <c:v>251622000</c:v>
                </c:pt>
                <c:pt idx="2747">
                  <c:v>274106000</c:v>
                </c:pt>
                <c:pt idx="2748">
                  <c:v>139992000</c:v>
                </c:pt>
                <c:pt idx="2749">
                  <c:v>112494000</c:v>
                </c:pt>
                <c:pt idx="2750">
                  <c:v>160120000</c:v>
                </c:pt>
                <c:pt idx="2751">
                  <c:v>126412000</c:v>
                </c:pt>
                <c:pt idx="2752">
                  <c:v>95016000</c:v>
                </c:pt>
                <c:pt idx="2753">
                  <c:v>91632000</c:v>
                </c:pt>
                <c:pt idx="2754">
                  <c:v>131616000</c:v>
                </c:pt>
                <c:pt idx="2755">
                  <c:v>108500000</c:v>
                </c:pt>
                <c:pt idx="2756">
                  <c:v>81394000</c:v>
                </c:pt>
                <c:pt idx="2757">
                  <c:v>85188000</c:v>
                </c:pt>
                <c:pt idx="2758">
                  <c:v>130638000</c:v>
                </c:pt>
                <c:pt idx="2759">
                  <c:v>103484000</c:v>
                </c:pt>
                <c:pt idx="2760">
                  <c:v>90686000</c:v>
                </c:pt>
                <c:pt idx="2761">
                  <c:v>77252000</c:v>
                </c:pt>
                <c:pt idx="2762">
                  <c:v>83482000</c:v>
                </c:pt>
                <c:pt idx="2763">
                  <c:v>91234000</c:v>
                </c:pt>
                <c:pt idx="2764">
                  <c:v>104678000</c:v>
                </c:pt>
                <c:pt idx="2765">
                  <c:v>131752000</c:v>
                </c:pt>
                <c:pt idx="2766">
                  <c:v>136704000</c:v>
                </c:pt>
                <c:pt idx="2767">
                  <c:v>90300000</c:v>
                </c:pt>
                <c:pt idx="2768">
                  <c:v>96176000</c:v>
                </c:pt>
                <c:pt idx="2769">
                  <c:v>99100000</c:v>
                </c:pt>
                <c:pt idx="2770">
                  <c:v>88362000</c:v>
                </c:pt>
                <c:pt idx="2771">
                  <c:v>97162000</c:v>
                </c:pt>
                <c:pt idx="2772">
                  <c:v>126088000</c:v>
                </c:pt>
                <c:pt idx="2773">
                  <c:v>129984000</c:v>
                </c:pt>
                <c:pt idx="2774">
                  <c:v>89452000</c:v>
                </c:pt>
                <c:pt idx="2775">
                  <c:v>113054000</c:v>
                </c:pt>
                <c:pt idx="2776">
                  <c:v>119184000</c:v>
                </c:pt>
                <c:pt idx="2777">
                  <c:v>118358000</c:v>
                </c:pt>
                <c:pt idx="2778">
                  <c:v>134778000</c:v>
                </c:pt>
                <c:pt idx="2779">
                  <c:v>282830000</c:v>
                </c:pt>
                <c:pt idx="2780">
                  <c:v>171572000</c:v>
                </c:pt>
                <c:pt idx="2781">
                  <c:v>143254000</c:v>
                </c:pt>
                <c:pt idx="2782">
                  <c:v>221336000</c:v>
                </c:pt>
                <c:pt idx="2783">
                  <c:v>229900000</c:v>
                </c:pt>
                <c:pt idx="2784">
                  <c:v>222514000</c:v>
                </c:pt>
                <c:pt idx="2785">
                  <c:v>182276000</c:v>
                </c:pt>
                <c:pt idx="2786">
                  <c:v>128494000</c:v>
                </c:pt>
                <c:pt idx="2787">
                  <c:v>117438000</c:v>
                </c:pt>
                <c:pt idx="2788">
                  <c:v>114038000</c:v>
                </c:pt>
                <c:pt idx="2789">
                  <c:v>97146000</c:v>
                </c:pt>
                <c:pt idx="2790">
                  <c:v>95060000</c:v>
                </c:pt>
                <c:pt idx="2791">
                  <c:v>136150000</c:v>
                </c:pt>
                <c:pt idx="2792">
                  <c:v>103386000</c:v>
                </c:pt>
                <c:pt idx="2793">
                  <c:v>82802000</c:v>
                </c:pt>
                <c:pt idx="2794">
                  <c:v>91570000</c:v>
                </c:pt>
                <c:pt idx="2795">
                  <c:v>80538000</c:v>
                </c:pt>
                <c:pt idx="2796">
                  <c:v>105076000</c:v>
                </c:pt>
                <c:pt idx="2797">
                  <c:v>144414000</c:v>
                </c:pt>
                <c:pt idx="2798">
                  <c:v>108874000</c:v>
                </c:pt>
                <c:pt idx="2799">
                  <c:v>62500000</c:v>
                </c:pt>
                <c:pt idx="2800">
                  <c:v>53720000</c:v>
                </c:pt>
                <c:pt idx="2801">
                  <c:v>73226000</c:v>
                </c:pt>
                <c:pt idx="2802">
                  <c:v>85590000</c:v>
                </c:pt>
                <c:pt idx="2803">
                  <c:v>70894000</c:v>
                </c:pt>
                <c:pt idx="2804">
                  <c:v>60442000</c:v>
                </c:pt>
                <c:pt idx="2805">
                  <c:v>62176000</c:v>
                </c:pt>
                <c:pt idx="2806">
                  <c:v>53890000</c:v>
                </c:pt>
                <c:pt idx="2807">
                  <c:v>53768000</c:v>
                </c:pt>
                <c:pt idx="2808">
                  <c:v>36834000</c:v>
                </c:pt>
                <c:pt idx="2809">
                  <c:v>37344000</c:v>
                </c:pt>
                <c:pt idx="2810">
                  <c:v>40104000</c:v>
                </c:pt>
                <c:pt idx="2811">
                  <c:v>31702000</c:v>
                </c:pt>
                <c:pt idx="2812">
                  <c:v>42462000</c:v>
                </c:pt>
                <c:pt idx="2813">
                  <c:v>47424000</c:v>
                </c:pt>
                <c:pt idx="2814">
                  <c:v>51756000</c:v>
                </c:pt>
                <c:pt idx="2815">
                  <c:v>58952000</c:v>
                </c:pt>
                <c:pt idx="2816">
                  <c:v>95572000</c:v>
                </c:pt>
                <c:pt idx="2817">
                  <c:v>64286000</c:v>
                </c:pt>
                <c:pt idx="2818">
                  <c:v>52336000</c:v>
                </c:pt>
                <c:pt idx="2819">
                  <c:v>44718000</c:v>
                </c:pt>
                <c:pt idx="2820">
                  <c:v>47270000</c:v>
                </c:pt>
                <c:pt idx="2821">
                  <c:v>61002000</c:v>
                </c:pt>
                <c:pt idx="2822">
                  <c:v>50232000</c:v>
                </c:pt>
                <c:pt idx="2823">
                  <c:v>57066000</c:v>
                </c:pt>
                <c:pt idx="2824">
                  <c:v>81596000</c:v>
                </c:pt>
                <c:pt idx="2825">
                  <c:v>118638000</c:v>
                </c:pt>
                <c:pt idx="2826">
                  <c:v>82142000</c:v>
                </c:pt>
                <c:pt idx="2827">
                  <c:v>90184000</c:v>
                </c:pt>
                <c:pt idx="2828">
                  <c:v>185150000</c:v>
                </c:pt>
                <c:pt idx="2829">
                  <c:v>91188000</c:v>
                </c:pt>
                <c:pt idx="2830">
                  <c:v>134880000</c:v>
                </c:pt>
                <c:pt idx="2831">
                  <c:v>70560000</c:v>
                </c:pt>
                <c:pt idx="2832">
                  <c:v>71106000</c:v>
                </c:pt>
                <c:pt idx="2833">
                  <c:v>49588000</c:v>
                </c:pt>
                <c:pt idx="2834">
                  <c:v>43278000</c:v>
                </c:pt>
                <c:pt idx="2835">
                  <c:v>48268000</c:v>
                </c:pt>
                <c:pt idx="2836">
                  <c:v>44266000</c:v>
                </c:pt>
                <c:pt idx="2837">
                  <c:v>78574000</c:v>
                </c:pt>
                <c:pt idx="2838">
                  <c:v>62768000</c:v>
                </c:pt>
                <c:pt idx="2839">
                  <c:v>58368000</c:v>
                </c:pt>
                <c:pt idx="2840">
                  <c:v>43598000</c:v>
                </c:pt>
                <c:pt idx="2841">
                  <c:v>74654000</c:v>
                </c:pt>
                <c:pt idx="2842">
                  <c:v>51630000</c:v>
                </c:pt>
                <c:pt idx="2843">
                  <c:v>53780000</c:v>
                </c:pt>
                <c:pt idx="2844">
                  <c:v>67622000</c:v>
                </c:pt>
                <c:pt idx="2845">
                  <c:v>75030000</c:v>
                </c:pt>
                <c:pt idx="2846">
                  <c:v>73698000</c:v>
                </c:pt>
                <c:pt idx="2847">
                  <c:v>75110000</c:v>
                </c:pt>
                <c:pt idx="2848">
                  <c:v>69540000</c:v>
                </c:pt>
                <c:pt idx="2849">
                  <c:v>132262000</c:v>
                </c:pt>
                <c:pt idx="2850">
                  <c:v>331300000</c:v>
                </c:pt>
                <c:pt idx="2851">
                  <c:v>112374000</c:v>
                </c:pt>
                <c:pt idx="2852">
                  <c:v>60662000</c:v>
                </c:pt>
                <c:pt idx="2853">
                  <c:v>54478000</c:v>
                </c:pt>
                <c:pt idx="2854">
                  <c:v>69882000</c:v>
                </c:pt>
                <c:pt idx="2855">
                  <c:v>47302000</c:v>
                </c:pt>
                <c:pt idx="2856">
                  <c:v>62164000</c:v>
                </c:pt>
                <c:pt idx="2857">
                  <c:v>49994000</c:v>
                </c:pt>
                <c:pt idx="2858">
                  <c:v>46394000</c:v>
                </c:pt>
                <c:pt idx="2859">
                  <c:v>40178000</c:v>
                </c:pt>
                <c:pt idx="2860">
                  <c:v>48630000</c:v>
                </c:pt>
                <c:pt idx="2861">
                  <c:v>81346000</c:v>
                </c:pt>
                <c:pt idx="2862">
                  <c:v>46742000</c:v>
                </c:pt>
                <c:pt idx="2863">
                  <c:v>61698000</c:v>
                </c:pt>
                <c:pt idx="2864">
                  <c:v>58772000</c:v>
                </c:pt>
                <c:pt idx="2865">
                  <c:v>75642000</c:v>
                </c:pt>
                <c:pt idx="2866">
                  <c:v>64584000</c:v>
                </c:pt>
                <c:pt idx="2867">
                  <c:v>50548000</c:v>
                </c:pt>
                <c:pt idx="2868">
                  <c:v>53332000</c:v>
                </c:pt>
                <c:pt idx="2869">
                  <c:v>48858000</c:v>
                </c:pt>
                <c:pt idx="2870">
                  <c:v>50876000</c:v>
                </c:pt>
                <c:pt idx="2871">
                  <c:v>50452000</c:v>
                </c:pt>
                <c:pt idx="2872">
                  <c:v>62978000</c:v>
                </c:pt>
                <c:pt idx="2873">
                  <c:v>71296000</c:v>
                </c:pt>
                <c:pt idx="2874">
                  <c:v>102480000</c:v>
                </c:pt>
                <c:pt idx="2875">
                  <c:v>52836000</c:v>
                </c:pt>
                <c:pt idx="2876">
                  <c:v>46752000</c:v>
                </c:pt>
                <c:pt idx="2877">
                  <c:v>57776000</c:v>
                </c:pt>
                <c:pt idx="2878">
                  <c:v>53422000</c:v>
                </c:pt>
                <c:pt idx="2879">
                  <c:v>68226000</c:v>
                </c:pt>
                <c:pt idx="2880">
                  <c:v>75204000</c:v>
                </c:pt>
                <c:pt idx="2881">
                  <c:v>78266000</c:v>
                </c:pt>
                <c:pt idx="2882">
                  <c:v>67494000</c:v>
                </c:pt>
                <c:pt idx="2883">
                  <c:v>49622000</c:v>
                </c:pt>
                <c:pt idx="2884">
                  <c:v>43734000</c:v>
                </c:pt>
                <c:pt idx="2885">
                  <c:v>52106000</c:v>
                </c:pt>
                <c:pt idx="2886">
                  <c:v>51336000</c:v>
                </c:pt>
                <c:pt idx="2887">
                  <c:v>42598000</c:v>
                </c:pt>
                <c:pt idx="2888">
                  <c:v>57664000</c:v>
                </c:pt>
                <c:pt idx="2889">
                  <c:v>50718000</c:v>
                </c:pt>
                <c:pt idx="2890">
                  <c:v>66630000</c:v>
                </c:pt>
                <c:pt idx="2891">
                  <c:v>58092000</c:v>
                </c:pt>
                <c:pt idx="2892">
                  <c:v>57486000</c:v>
                </c:pt>
                <c:pt idx="2893">
                  <c:v>51934000</c:v>
                </c:pt>
                <c:pt idx="2894">
                  <c:v>66496000</c:v>
                </c:pt>
                <c:pt idx="2895">
                  <c:v>103914000</c:v>
                </c:pt>
                <c:pt idx="2896">
                  <c:v>53366000</c:v>
                </c:pt>
                <c:pt idx="2897">
                  <c:v>55000000</c:v>
                </c:pt>
                <c:pt idx="2898">
                  <c:v>63290000</c:v>
                </c:pt>
                <c:pt idx="2899">
                  <c:v>65696000</c:v>
                </c:pt>
                <c:pt idx="2900">
                  <c:v>70248000</c:v>
                </c:pt>
                <c:pt idx="2901">
                  <c:v>62642000</c:v>
                </c:pt>
                <c:pt idx="2902">
                  <c:v>50986000</c:v>
                </c:pt>
                <c:pt idx="2903">
                  <c:v>63458000</c:v>
                </c:pt>
                <c:pt idx="2904">
                  <c:v>69360000</c:v>
                </c:pt>
                <c:pt idx="2905">
                  <c:v>113682000</c:v>
                </c:pt>
                <c:pt idx="2906">
                  <c:v>71394000</c:v>
                </c:pt>
                <c:pt idx="2907">
                  <c:v>58056000</c:v>
                </c:pt>
                <c:pt idx="2908">
                  <c:v>53532000</c:v>
                </c:pt>
                <c:pt idx="2909">
                  <c:v>54606000</c:v>
                </c:pt>
                <c:pt idx="2910">
                  <c:v>65116000</c:v>
                </c:pt>
                <c:pt idx="2911">
                  <c:v>81400000</c:v>
                </c:pt>
                <c:pt idx="2912">
                  <c:v>91452000</c:v>
                </c:pt>
                <c:pt idx="2913">
                  <c:v>147042000</c:v>
                </c:pt>
                <c:pt idx="2914">
                  <c:v>154188000</c:v>
                </c:pt>
                <c:pt idx="2915">
                  <c:v>219834000</c:v>
                </c:pt>
                <c:pt idx="2916">
                  <c:v>58426000</c:v>
                </c:pt>
                <c:pt idx="2917">
                  <c:v>48952000</c:v>
                </c:pt>
                <c:pt idx="2918">
                  <c:v>65760000</c:v>
                </c:pt>
                <c:pt idx="2919">
                  <c:v>54692000</c:v>
                </c:pt>
                <c:pt idx="2920">
                  <c:v>61950000</c:v>
                </c:pt>
                <c:pt idx="2921">
                  <c:v>59280000</c:v>
                </c:pt>
                <c:pt idx="2922">
                  <c:v>80152000</c:v>
                </c:pt>
                <c:pt idx="2923">
                  <c:v>74252000</c:v>
                </c:pt>
                <c:pt idx="2924">
                  <c:v>42050000</c:v>
                </c:pt>
                <c:pt idx="2925">
                  <c:v>57616000</c:v>
                </c:pt>
                <c:pt idx="2926">
                  <c:v>72172000</c:v>
                </c:pt>
                <c:pt idx="2927">
                  <c:v>59654000</c:v>
                </c:pt>
                <c:pt idx="2928">
                  <c:v>70926000</c:v>
                </c:pt>
                <c:pt idx="2929">
                  <c:v>52868000</c:v>
                </c:pt>
                <c:pt idx="2930">
                  <c:v>65192000</c:v>
                </c:pt>
                <c:pt idx="2931">
                  <c:v>73060000</c:v>
                </c:pt>
                <c:pt idx="2932">
                  <c:v>58182000</c:v>
                </c:pt>
                <c:pt idx="2933">
                  <c:v>67806000</c:v>
                </c:pt>
                <c:pt idx="2934">
                  <c:v>86060000</c:v>
                </c:pt>
                <c:pt idx="2935">
                  <c:v>74752000</c:v>
                </c:pt>
                <c:pt idx="2936">
                  <c:v>75648000</c:v>
                </c:pt>
                <c:pt idx="2937">
                  <c:v>67724000</c:v>
                </c:pt>
                <c:pt idx="2938">
                  <c:v>57582000</c:v>
                </c:pt>
                <c:pt idx="2939">
                  <c:v>45068000</c:v>
                </c:pt>
                <c:pt idx="2940">
                  <c:v>58450000</c:v>
                </c:pt>
                <c:pt idx="2941">
                  <c:v>81536000</c:v>
                </c:pt>
                <c:pt idx="2942">
                  <c:v>100868000</c:v>
                </c:pt>
                <c:pt idx="2943">
                  <c:v>229454000</c:v>
                </c:pt>
                <c:pt idx="2944">
                  <c:v>107478000</c:v>
                </c:pt>
                <c:pt idx="2945">
                  <c:v>79498000</c:v>
                </c:pt>
                <c:pt idx="2946">
                  <c:v>91600000</c:v>
                </c:pt>
                <c:pt idx="2947">
                  <c:v>188944000</c:v>
                </c:pt>
                <c:pt idx="2948">
                  <c:v>152954000</c:v>
                </c:pt>
                <c:pt idx="2949">
                  <c:v>55358000</c:v>
                </c:pt>
                <c:pt idx="2950">
                  <c:v>56460000</c:v>
                </c:pt>
                <c:pt idx="2951">
                  <c:v>66928000</c:v>
                </c:pt>
                <c:pt idx="2952">
                  <c:v>54398000</c:v>
                </c:pt>
                <c:pt idx="2953">
                  <c:v>75046000</c:v>
                </c:pt>
                <c:pt idx="2954">
                  <c:v>49096000</c:v>
                </c:pt>
                <c:pt idx="2955">
                  <c:v>78262000</c:v>
                </c:pt>
                <c:pt idx="2956">
                  <c:v>65262000</c:v>
                </c:pt>
                <c:pt idx="2957">
                  <c:v>69384000</c:v>
                </c:pt>
                <c:pt idx="2958">
                  <c:v>96440000</c:v>
                </c:pt>
                <c:pt idx="2959">
                  <c:v>48920000</c:v>
                </c:pt>
                <c:pt idx="2960">
                  <c:v>48312000</c:v>
                </c:pt>
                <c:pt idx="2961">
                  <c:v>52844000</c:v>
                </c:pt>
                <c:pt idx="2962">
                  <c:v>79442000</c:v>
                </c:pt>
                <c:pt idx="2963">
                  <c:v>78786000</c:v>
                </c:pt>
                <c:pt idx="2964">
                  <c:v>102912000</c:v>
                </c:pt>
                <c:pt idx="2965">
                  <c:v>62522000</c:v>
                </c:pt>
                <c:pt idx="2966">
                  <c:v>85412000</c:v>
                </c:pt>
                <c:pt idx="2967">
                  <c:v>72518000</c:v>
                </c:pt>
                <c:pt idx="2968">
                  <c:v>43882000</c:v>
                </c:pt>
                <c:pt idx="2969">
                  <c:v>41930000</c:v>
                </c:pt>
                <c:pt idx="2970">
                  <c:v>65242000</c:v>
                </c:pt>
                <c:pt idx="2971">
                  <c:v>68314000</c:v>
                </c:pt>
                <c:pt idx="2972">
                  <c:v>57328000</c:v>
                </c:pt>
                <c:pt idx="2973">
                  <c:v>48368000</c:v>
                </c:pt>
                <c:pt idx="2974">
                  <c:v>71654000</c:v>
                </c:pt>
                <c:pt idx="2975">
                  <c:v>76976000</c:v>
                </c:pt>
                <c:pt idx="2976">
                  <c:v>109330000</c:v>
                </c:pt>
                <c:pt idx="2977">
                  <c:v>147294000</c:v>
                </c:pt>
                <c:pt idx="2978">
                  <c:v>106110000</c:v>
                </c:pt>
                <c:pt idx="2979">
                  <c:v>52178000</c:v>
                </c:pt>
                <c:pt idx="2980">
                  <c:v>67612000</c:v>
                </c:pt>
                <c:pt idx="2981">
                  <c:v>62458000</c:v>
                </c:pt>
                <c:pt idx="2982">
                  <c:v>48410000</c:v>
                </c:pt>
                <c:pt idx="2983">
                  <c:v>56288000</c:v>
                </c:pt>
                <c:pt idx="2984">
                  <c:v>57404000</c:v>
                </c:pt>
                <c:pt idx="2985">
                  <c:v>59984000</c:v>
                </c:pt>
                <c:pt idx="2986">
                  <c:v>57094000</c:v>
                </c:pt>
                <c:pt idx="2987">
                  <c:v>63492000</c:v>
                </c:pt>
                <c:pt idx="2988">
                  <c:v>49122000</c:v>
                </c:pt>
                <c:pt idx="2989">
                  <c:v>60254000</c:v>
                </c:pt>
                <c:pt idx="2990">
                  <c:v>63686000</c:v>
                </c:pt>
                <c:pt idx="2991">
                  <c:v>74218000</c:v>
                </c:pt>
                <c:pt idx="2992">
                  <c:v>126882000</c:v>
                </c:pt>
                <c:pt idx="2993">
                  <c:v>150168000</c:v>
                </c:pt>
                <c:pt idx="2994">
                  <c:v>99694000</c:v>
                </c:pt>
                <c:pt idx="2995">
                  <c:v>68446000</c:v>
                </c:pt>
                <c:pt idx="2996">
                  <c:v>79152000</c:v>
                </c:pt>
                <c:pt idx="2997">
                  <c:v>55254000</c:v>
                </c:pt>
                <c:pt idx="2998">
                  <c:v>89716000</c:v>
                </c:pt>
                <c:pt idx="2999">
                  <c:v>60832000</c:v>
                </c:pt>
                <c:pt idx="3000">
                  <c:v>55116000</c:v>
                </c:pt>
                <c:pt idx="3001">
                  <c:v>42766000</c:v>
                </c:pt>
                <c:pt idx="3002">
                  <c:v>39060000</c:v>
                </c:pt>
                <c:pt idx="3003">
                  <c:v>53174000</c:v>
                </c:pt>
                <c:pt idx="3004">
                  <c:v>87658000</c:v>
                </c:pt>
                <c:pt idx="3005">
                  <c:v>45654000</c:v>
                </c:pt>
                <c:pt idx="3006">
                  <c:v>67688000</c:v>
                </c:pt>
                <c:pt idx="3007">
                  <c:v>36846000</c:v>
                </c:pt>
                <c:pt idx="3008">
                  <c:v>51244000</c:v>
                </c:pt>
                <c:pt idx="3009">
                  <c:v>42612000</c:v>
                </c:pt>
                <c:pt idx="3010">
                  <c:v>38194000</c:v>
                </c:pt>
                <c:pt idx="3011">
                  <c:v>48728000</c:v>
                </c:pt>
                <c:pt idx="3012">
                  <c:v>40964000</c:v>
                </c:pt>
                <c:pt idx="3013">
                  <c:v>45730000</c:v>
                </c:pt>
                <c:pt idx="3014">
                  <c:v>44952000</c:v>
                </c:pt>
                <c:pt idx="3015">
                  <c:v>52208000</c:v>
                </c:pt>
                <c:pt idx="3016">
                  <c:v>38822000</c:v>
                </c:pt>
                <c:pt idx="3017">
                  <c:v>42642000</c:v>
                </c:pt>
                <c:pt idx="3018">
                  <c:v>55202000</c:v>
                </c:pt>
                <c:pt idx="3019">
                  <c:v>55874000</c:v>
                </c:pt>
                <c:pt idx="3020">
                  <c:v>54272000</c:v>
                </c:pt>
                <c:pt idx="3021">
                  <c:v>73760000</c:v>
                </c:pt>
                <c:pt idx="3022">
                  <c:v>69240000</c:v>
                </c:pt>
                <c:pt idx="3023">
                  <c:v>52340000</c:v>
                </c:pt>
                <c:pt idx="3024">
                  <c:v>70154000</c:v>
                </c:pt>
                <c:pt idx="3025">
                  <c:v>62246000</c:v>
                </c:pt>
                <c:pt idx="3026">
                  <c:v>54294000</c:v>
                </c:pt>
                <c:pt idx="3027">
                  <c:v>59378000</c:v>
                </c:pt>
                <c:pt idx="3028">
                  <c:v>55848000</c:v>
                </c:pt>
                <c:pt idx="3029">
                  <c:v>83452000</c:v>
                </c:pt>
                <c:pt idx="3030">
                  <c:v>48592000</c:v>
                </c:pt>
                <c:pt idx="3031">
                  <c:v>49698000</c:v>
                </c:pt>
                <c:pt idx="3032">
                  <c:v>57160000</c:v>
                </c:pt>
                <c:pt idx="3033">
                  <c:v>69322000</c:v>
                </c:pt>
                <c:pt idx="3034">
                  <c:v>77946000</c:v>
                </c:pt>
                <c:pt idx="3035">
                  <c:v>217376000</c:v>
                </c:pt>
                <c:pt idx="3036">
                  <c:v>147010000</c:v>
                </c:pt>
                <c:pt idx="3037">
                  <c:v>77004000</c:v>
                </c:pt>
                <c:pt idx="3038">
                  <c:v>62744000</c:v>
                </c:pt>
                <c:pt idx="3039">
                  <c:v>74946000</c:v>
                </c:pt>
                <c:pt idx="3040">
                  <c:v>59974000</c:v>
                </c:pt>
                <c:pt idx="3041">
                  <c:v>71726000</c:v>
                </c:pt>
                <c:pt idx="3042">
                  <c:v>78452000</c:v>
                </c:pt>
                <c:pt idx="3043">
                  <c:v>59434000</c:v>
                </c:pt>
                <c:pt idx="3044">
                  <c:v>55950000</c:v>
                </c:pt>
                <c:pt idx="3045">
                  <c:v>67524000</c:v>
                </c:pt>
                <c:pt idx="3046">
                  <c:v>50816000</c:v>
                </c:pt>
                <c:pt idx="3047">
                  <c:v>47084000</c:v>
                </c:pt>
                <c:pt idx="3048">
                  <c:v>73410000</c:v>
                </c:pt>
                <c:pt idx="3049">
                  <c:v>75838000</c:v>
                </c:pt>
                <c:pt idx="3050">
                  <c:v>97478000</c:v>
                </c:pt>
                <c:pt idx="3051">
                  <c:v>59856000</c:v>
                </c:pt>
                <c:pt idx="3052">
                  <c:v>51168000</c:v>
                </c:pt>
                <c:pt idx="3053">
                  <c:v>68922000</c:v>
                </c:pt>
                <c:pt idx="3054">
                  <c:v>119724000</c:v>
                </c:pt>
                <c:pt idx="3055">
                  <c:v>116602000</c:v>
                </c:pt>
                <c:pt idx="3056">
                  <c:v>50210000</c:v>
                </c:pt>
                <c:pt idx="3057">
                  <c:v>70422000</c:v>
                </c:pt>
                <c:pt idx="3058">
                  <c:v>82788000</c:v>
                </c:pt>
                <c:pt idx="3059">
                  <c:v>63166000</c:v>
                </c:pt>
                <c:pt idx="3060">
                  <c:v>66020000</c:v>
                </c:pt>
                <c:pt idx="3061">
                  <c:v>52774000</c:v>
                </c:pt>
                <c:pt idx="3062">
                  <c:v>39632000</c:v>
                </c:pt>
                <c:pt idx="3063">
                  <c:v>50872000</c:v>
                </c:pt>
                <c:pt idx="3064">
                  <c:v>40892000</c:v>
                </c:pt>
                <c:pt idx="3065">
                  <c:v>54072000</c:v>
                </c:pt>
                <c:pt idx="3066">
                  <c:v>62264000</c:v>
                </c:pt>
                <c:pt idx="3067">
                  <c:v>96964000</c:v>
                </c:pt>
                <c:pt idx="3068">
                  <c:v>76038000</c:v>
                </c:pt>
                <c:pt idx="3069">
                  <c:v>109096000</c:v>
                </c:pt>
                <c:pt idx="3070">
                  <c:v>105706000</c:v>
                </c:pt>
                <c:pt idx="3071">
                  <c:v>59278000</c:v>
                </c:pt>
                <c:pt idx="3072">
                  <c:v>49418000</c:v>
                </c:pt>
                <c:pt idx="3073">
                  <c:v>63792000</c:v>
                </c:pt>
                <c:pt idx="3074">
                  <c:v>73698000</c:v>
                </c:pt>
                <c:pt idx="3075">
                  <c:v>75894000</c:v>
                </c:pt>
                <c:pt idx="3076">
                  <c:v>86294000</c:v>
                </c:pt>
                <c:pt idx="3077">
                  <c:v>71226000</c:v>
                </c:pt>
                <c:pt idx="3078">
                  <c:v>93320000</c:v>
                </c:pt>
                <c:pt idx="3079">
                  <c:v>92518000</c:v>
                </c:pt>
                <c:pt idx="3080">
                  <c:v>65446000</c:v>
                </c:pt>
                <c:pt idx="3081">
                  <c:v>88776000</c:v>
                </c:pt>
                <c:pt idx="3082">
                  <c:v>36742000</c:v>
                </c:pt>
                <c:pt idx="3083">
                  <c:v>70806000</c:v>
                </c:pt>
                <c:pt idx="3084">
                  <c:v>106226000</c:v>
                </c:pt>
                <c:pt idx="3085">
                  <c:v>92292000</c:v>
                </c:pt>
                <c:pt idx="3086">
                  <c:v>87468000</c:v>
                </c:pt>
                <c:pt idx="3087">
                  <c:v>73802000</c:v>
                </c:pt>
                <c:pt idx="3088">
                  <c:v>72976000</c:v>
                </c:pt>
                <c:pt idx="3089">
                  <c:v>135116000</c:v>
                </c:pt>
                <c:pt idx="3090">
                  <c:v>146426000</c:v>
                </c:pt>
                <c:pt idx="3091">
                  <c:v>132456000</c:v>
                </c:pt>
                <c:pt idx="3092">
                  <c:v>254940000</c:v>
                </c:pt>
                <c:pt idx="3093">
                  <c:v>171258000</c:v>
                </c:pt>
                <c:pt idx="3094">
                  <c:v>68252000</c:v>
                </c:pt>
                <c:pt idx="3095">
                  <c:v>119688000</c:v>
                </c:pt>
                <c:pt idx="3096">
                  <c:v>102442000</c:v>
                </c:pt>
                <c:pt idx="3097">
                  <c:v>77450000</c:v>
                </c:pt>
                <c:pt idx="3098">
                  <c:v>100530000</c:v>
                </c:pt>
                <c:pt idx="3099">
                  <c:v>106108000</c:v>
                </c:pt>
                <c:pt idx="3100">
                  <c:v>108266000</c:v>
                </c:pt>
                <c:pt idx="3101">
                  <c:v>216822000</c:v>
                </c:pt>
                <c:pt idx="3102">
                  <c:v>148128000</c:v>
                </c:pt>
                <c:pt idx="3103">
                  <c:v>79962000</c:v>
                </c:pt>
                <c:pt idx="3104">
                  <c:v>64968000</c:v>
                </c:pt>
                <c:pt idx="3105">
                  <c:v>81218000</c:v>
                </c:pt>
                <c:pt idx="3106">
                  <c:v>55860000</c:v>
                </c:pt>
                <c:pt idx="3107">
                  <c:v>63040000</c:v>
                </c:pt>
                <c:pt idx="3108">
                  <c:v>41814000</c:v>
                </c:pt>
                <c:pt idx="3109">
                  <c:v>50250000</c:v>
                </c:pt>
                <c:pt idx="3110">
                  <c:v>67230000</c:v>
                </c:pt>
                <c:pt idx="3111">
                  <c:v>59996000</c:v>
                </c:pt>
                <c:pt idx="3112">
                  <c:v>61828000</c:v>
                </c:pt>
                <c:pt idx="3113">
                  <c:v>47608000</c:v>
                </c:pt>
                <c:pt idx="3114">
                  <c:v>71764000</c:v>
                </c:pt>
                <c:pt idx="3115">
                  <c:v>36542000</c:v>
                </c:pt>
                <c:pt idx="3116">
                  <c:v>48524000</c:v>
                </c:pt>
                <c:pt idx="3117">
                  <c:v>53680000</c:v>
                </c:pt>
                <c:pt idx="3118">
                  <c:v>69382000</c:v>
                </c:pt>
                <c:pt idx="3119">
                  <c:v>59006000</c:v>
                </c:pt>
                <c:pt idx="3120">
                  <c:v>55388000</c:v>
                </c:pt>
                <c:pt idx="3121">
                  <c:v>88612000</c:v>
                </c:pt>
                <c:pt idx="3122">
                  <c:v>98444000</c:v>
                </c:pt>
                <c:pt idx="3123">
                  <c:v>88442000</c:v>
                </c:pt>
                <c:pt idx="3124">
                  <c:v>76392000</c:v>
                </c:pt>
                <c:pt idx="3125">
                  <c:v>53028000</c:v>
                </c:pt>
                <c:pt idx="3126">
                  <c:v>47070000</c:v>
                </c:pt>
                <c:pt idx="3127">
                  <c:v>81578000</c:v>
                </c:pt>
                <c:pt idx="3128">
                  <c:v>54372000</c:v>
                </c:pt>
                <c:pt idx="3129">
                  <c:v>38744000</c:v>
                </c:pt>
                <c:pt idx="3130">
                  <c:v>45944000</c:v>
                </c:pt>
                <c:pt idx="3131">
                  <c:v>109984000</c:v>
                </c:pt>
                <c:pt idx="3132">
                  <c:v>60680000</c:v>
                </c:pt>
                <c:pt idx="3133">
                  <c:v>50460000</c:v>
                </c:pt>
                <c:pt idx="3134">
                  <c:v>62344000</c:v>
                </c:pt>
                <c:pt idx="3135">
                  <c:v>62494000</c:v>
                </c:pt>
                <c:pt idx="3136">
                  <c:v>85146000</c:v>
                </c:pt>
                <c:pt idx="3137">
                  <c:v>40610000</c:v>
                </c:pt>
                <c:pt idx="3138">
                  <c:v>48492000</c:v>
                </c:pt>
                <c:pt idx="3139">
                  <c:v>74396000</c:v>
                </c:pt>
                <c:pt idx="3140">
                  <c:v>43636000</c:v>
                </c:pt>
                <c:pt idx="3141">
                  <c:v>35846000</c:v>
                </c:pt>
                <c:pt idx="3142">
                  <c:v>32676000</c:v>
                </c:pt>
                <c:pt idx="3143">
                  <c:v>34184000</c:v>
                </c:pt>
                <c:pt idx="3144">
                  <c:v>43972000</c:v>
                </c:pt>
                <c:pt idx="3145">
                  <c:v>55536000</c:v>
                </c:pt>
                <c:pt idx="3146">
                  <c:v>32460000</c:v>
                </c:pt>
                <c:pt idx="3147">
                  <c:v>34882000</c:v>
                </c:pt>
                <c:pt idx="3148">
                  <c:v>30482000</c:v>
                </c:pt>
                <c:pt idx="3149">
                  <c:v>33586000</c:v>
                </c:pt>
                <c:pt idx="3150">
                  <c:v>46864000</c:v>
                </c:pt>
                <c:pt idx="3151">
                  <c:v>29176000</c:v>
                </c:pt>
                <c:pt idx="3152">
                  <c:v>37822000</c:v>
                </c:pt>
                <c:pt idx="3153">
                  <c:v>32092000</c:v>
                </c:pt>
                <c:pt idx="3154">
                  <c:v>42370000</c:v>
                </c:pt>
                <c:pt idx="3155">
                  <c:v>31266000</c:v>
                </c:pt>
                <c:pt idx="3156">
                  <c:v>40394000</c:v>
                </c:pt>
                <c:pt idx="3157">
                  <c:v>32086000</c:v>
                </c:pt>
                <c:pt idx="3158">
                  <c:v>37522000</c:v>
                </c:pt>
                <c:pt idx="3159">
                  <c:v>39726000</c:v>
                </c:pt>
                <c:pt idx="3160">
                  <c:v>54088000</c:v>
                </c:pt>
                <c:pt idx="3161">
                  <c:v>63564000</c:v>
                </c:pt>
                <c:pt idx="3162">
                  <c:v>71630000</c:v>
                </c:pt>
                <c:pt idx="3163">
                  <c:v>72066000</c:v>
                </c:pt>
                <c:pt idx="3164">
                  <c:v>71564000</c:v>
                </c:pt>
                <c:pt idx="3165">
                  <c:v>135542000</c:v>
                </c:pt>
                <c:pt idx="3166">
                  <c:v>152352000</c:v>
                </c:pt>
                <c:pt idx="3167">
                  <c:v>58262000</c:v>
                </c:pt>
                <c:pt idx="3168">
                  <c:v>50594000</c:v>
                </c:pt>
                <c:pt idx="3169">
                  <c:v>53586000</c:v>
                </c:pt>
                <c:pt idx="3170">
                  <c:v>45554000</c:v>
                </c:pt>
                <c:pt idx="3171">
                  <c:v>46342000</c:v>
                </c:pt>
                <c:pt idx="3172">
                  <c:v>44280000</c:v>
                </c:pt>
                <c:pt idx="3173">
                  <c:v>44336000</c:v>
                </c:pt>
                <c:pt idx="3174">
                  <c:v>59098000</c:v>
                </c:pt>
                <c:pt idx="3175">
                  <c:v>62428000</c:v>
                </c:pt>
                <c:pt idx="3176">
                  <c:v>47810000</c:v>
                </c:pt>
                <c:pt idx="3177">
                  <c:v>82846000</c:v>
                </c:pt>
                <c:pt idx="3178">
                  <c:v>112474000</c:v>
                </c:pt>
                <c:pt idx="3179">
                  <c:v>63906000</c:v>
                </c:pt>
                <c:pt idx="3180">
                  <c:v>68584000</c:v>
                </c:pt>
                <c:pt idx="3181">
                  <c:v>58916000</c:v>
                </c:pt>
                <c:pt idx="3182">
                  <c:v>78764000</c:v>
                </c:pt>
                <c:pt idx="3183">
                  <c:v>48628000</c:v>
                </c:pt>
                <c:pt idx="3184">
                  <c:v>58408000</c:v>
                </c:pt>
                <c:pt idx="3185">
                  <c:v>57102000</c:v>
                </c:pt>
                <c:pt idx="3186">
                  <c:v>61402000</c:v>
                </c:pt>
                <c:pt idx="3187">
                  <c:v>80740000</c:v>
                </c:pt>
                <c:pt idx="3188">
                  <c:v>111360000</c:v>
                </c:pt>
                <c:pt idx="3189">
                  <c:v>152650000</c:v>
                </c:pt>
                <c:pt idx="3190">
                  <c:v>56500000</c:v>
                </c:pt>
                <c:pt idx="3191">
                  <c:v>45210000</c:v>
                </c:pt>
                <c:pt idx="3192">
                  <c:v>42750000</c:v>
                </c:pt>
                <c:pt idx="3193">
                  <c:v>73544000</c:v>
                </c:pt>
                <c:pt idx="3194">
                  <c:v>117956000</c:v>
                </c:pt>
                <c:pt idx="3195">
                  <c:v>61960000</c:v>
                </c:pt>
                <c:pt idx="3196">
                  <c:v>54188000</c:v>
                </c:pt>
                <c:pt idx="3197">
                  <c:v>50138000</c:v>
                </c:pt>
                <c:pt idx="3198">
                  <c:v>67044000</c:v>
                </c:pt>
                <c:pt idx="3199">
                  <c:v>68514000</c:v>
                </c:pt>
                <c:pt idx="3200">
                  <c:v>43406000</c:v>
                </c:pt>
                <c:pt idx="3201">
                  <c:v>44468000</c:v>
                </c:pt>
                <c:pt idx="3202">
                  <c:v>54650000</c:v>
                </c:pt>
                <c:pt idx="3203">
                  <c:v>54096000</c:v>
                </c:pt>
                <c:pt idx="3204">
                  <c:v>67346000</c:v>
                </c:pt>
                <c:pt idx="3205">
                  <c:v>60532000</c:v>
                </c:pt>
                <c:pt idx="3206">
                  <c:v>65262000</c:v>
                </c:pt>
                <c:pt idx="3207">
                  <c:v>72366000</c:v>
                </c:pt>
                <c:pt idx="3208">
                  <c:v>44984000</c:v>
                </c:pt>
                <c:pt idx="3209">
                  <c:v>48934000</c:v>
                </c:pt>
                <c:pt idx="3210">
                  <c:v>65354000</c:v>
                </c:pt>
                <c:pt idx="3211">
                  <c:v>60676000</c:v>
                </c:pt>
                <c:pt idx="3212">
                  <c:v>51902000</c:v>
                </c:pt>
                <c:pt idx="3213">
                  <c:v>58324000</c:v>
                </c:pt>
                <c:pt idx="3214">
                  <c:v>60512000</c:v>
                </c:pt>
                <c:pt idx="3215">
                  <c:v>85664000</c:v>
                </c:pt>
                <c:pt idx="3216">
                  <c:v>102428000</c:v>
                </c:pt>
                <c:pt idx="3217">
                  <c:v>108658000</c:v>
                </c:pt>
                <c:pt idx="3218">
                  <c:v>95268000</c:v>
                </c:pt>
                <c:pt idx="3219">
                  <c:v>100964000</c:v>
                </c:pt>
                <c:pt idx="3220">
                  <c:v>146764000</c:v>
                </c:pt>
                <c:pt idx="3221">
                  <c:v>122112000</c:v>
                </c:pt>
                <c:pt idx="3222">
                  <c:v>79644000</c:v>
                </c:pt>
                <c:pt idx="3223">
                  <c:v>87306000</c:v>
                </c:pt>
                <c:pt idx="3224">
                  <c:v>97682000</c:v>
                </c:pt>
                <c:pt idx="3225">
                  <c:v>92710000</c:v>
                </c:pt>
                <c:pt idx="3226">
                  <c:v>98468000</c:v>
                </c:pt>
                <c:pt idx="3227">
                  <c:v>131570000</c:v>
                </c:pt>
                <c:pt idx="3228">
                  <c:v>206214000</c:v>
                </c:pt>
                <c:pt idx="3229">
                  <c:v>157452000</c:v>
                </c:pt>
                <c:pt idx="3230">
                  <c:v>81376000</c:v>
                </c:pt>
                <c:pt idx="3231">
                  <c:v>50428000</c:v>
                </c:pt>
                <c:pt idx="3232">
                  <c:v>53658000</c:v>
                </c:pt>
                <c:pt idx="3233">
                  <c:v>101678000</c:v>
                </c:pt>
                <c:pt idx="3234">
                  <c:v>51926000</c:v>
                </c:pt>
                <c:pt idx="3235">
                  <c:v>52188000</c:v>
                </c:pt>
                <c:pt idx="3236">
                  <c:v>81118000</c:v>
                </c:pt>
                <c:pt idx="3237">
                  <c:v>87218000</c:v>
                </c:pt>
                <c:pt idx="3238">
                  <c:v>57754000</c:v>
                </c:pt>
                <c:pt idx="3239">
                  <c:v>70242000</c:v>
                </c:pt>
                <c:pt idx="3240">
                  <c:v>84566000</c:v>
                </c:pt>
                <c:pt idx="3241">
                  <c:v>52822000</c:v>
                </c:pt>
                <c:pt idx="3242">
                  <c:v>54086000</c:v>
                </c:pt>
                <c:pt idx="3243">
                  <c:v>51838000</c:v>
                </c:pt>
                <c:pt idx="3244">
                  <c:v>63780000</c:v>
                </c:pt>
                <c:pt idx="3245">
                  <c:v>56998000</c:v>
                </c:pt>
                <c:pt idx="3246">
                  <c:v>46178000</c:v>
                </c:pt>
                <c:pt idx="3247">
                  <c:v>49416000</c:v>
                </c:pt>
                <c:pt idx="3248">
                  <c:v>58348000</c:v>
                </c:pt>
                <c:pt idx="3249">
                  <c:v>53636000</c:v>
                </c:pt>
                <c:pt idx="3250">
                  <c:v>77810000</c:v>
                </c:pt>
                <c:pt idx="3251">
                  <c:v>87852000</c:v>
                </c:pt>
                <c:pt idx="3252">
                  <c:v>62430000</c:v>
                </c:pt>
                <c:pt idx="3253">
                  <c:v>103710000</c:v>
                </c:pt>
                <c:pt idx="3254">
                  <c:v>79674000</c:v>
                </c:pt>
                <c:pt idx="3255">
                  <c:v>80012000</c:v>
                </c:pt>
                <c:pt idx="3256">
                  <c:v>103114000</c:v>
                </c:pt>
                <c:pt idx="3257">
                  <c:v>145938000</c:v>
                </c:pt>
                <c:pt idx="3258">
                  <c:v>118562000</c:v>
                </c:pt>
                <c:pt idx="3259">
                  <c:v>70754000</c:v>
                </c:pt>
                <c:pt idx="3260">
                  <c:v>77536000</c:v>
                </c:pt>
                <c:pt idx="3261">
                  <c:v>69084000</c:v>
                </c:pt>
                <c:pt idx="3262">
                  <c:v>75426000</c:v>
                </c:pt>
                <c:pt idx="3263">
                  <c:v>78398000</c:v>
                </c:pt>
                <c:pt idx="3264">
                  <c:v>87546000</c:v>
                </c:pt>
                <c:pt idx="3265">
                  <c:v>94600000</c:v>
                </c:pt>
                <c:pt idx="3266">
                  <c:v>98538000</c:v>
                </c:pt>
                <c:pt idx="3267">
                  <c:v>68330000</c:v>
                </c:pt>
                <c:pt idx="3268">
                  <c:v>54826000</c:v>
                </c:pt>
                <c:pt idx="3269">
                  <c:v>91644000</c:v>
                </c:pt>
                <c:pt idx="3270">
                  <c:v>100770000</c:v>
                </c:pt>
                <c:pt idx="3271">
                  <c:v>82908000</c:v>
                </c:pt>
                <c:pt idx="3272">
                  <c:v>97540000</c:v>
                </c:pt>
                <c:pt idx="3273">
                  <c:v>90510000</c:v>
                </c:pt>
                <c:pt idx="3274">
                  <c:v>124634000</c:v>
                </c:pt>
                <c:pt idx="3275">
                  <c:v>81016000</c:v>
                </c:pt>
                <c:pt idx="3276">
                  <c:v>111332000</c:v>
                </c:pt>
                <c:pt idx="3277">
                  <c:v>99494000</c:v>
                </c:pt>
                <c:pt idx="3278">
                  <c:v>94700000</c:v>
                </c:pt>
                <c:pt idx="3279">
                  <c:v>96480000</c:v>
                </c:pt>
                <c:pt idx="3280">
                  <c:v>102370000</c:v>
                </c:pt>
                <c:pt idx="3281">
                  <c:v>107696000</c:v>
                </c:pt>
                <c:pt idx="3282">
                  <c:v>147948000</c:v>
                </c:pt>
                <c:pt idx="3283">
                  <c:v>135724000</c:v>
                </c:pt>
                <c:pt idx="3284">
                  <c:v>141558000</c:v>
                </c:pt>
                <c:pt idx="3285">
                  <c:v>196510000</c:v>
                </c:pt>
                <c:pt idx="3286">
                  <c:v>194178000</c:v>
                </c:pt>
                <c:pt idx="3287">
                  <c:v>123982000</c:v>
                </c:pt>
                <c:pt idx="3288">
                  <c:v>200974000</c:v>
                </c:pt>
                <c:pt idx="3289">
                  <c:v>126240000</c:v>
                </c:pt>
                <c:pt idx="3290">
                  <c:v>127102000</c:v>
                </c:pt>
                <c:pt idx="3291">
                  <c:v>293552000</c:v>
                </c:pt>
                <c:pt idx="3292">
                  <c:v>280304000</c:v>
                </c:pt>
                <c:pt idx="3293">
                  <c:v>103058000</c:v>
                </c:pt>
                <c:pt idx="3294">
                  <c:v>75314000</c:v>
                </c:pt>
                <c:pt idx="3295">
                  <c:v>87922000</c:v>
                </c:pt>
                <c:pt idx="3296">
                  <c:v>102402000</c:v>
                </c:pt>
                <c:pt idx="3297">
                  <c:v>99044000</c:v>
                </c:pt>
                <c:pt idx="3298">
                  <c:v>159328000</c:v>
                </c:pt>
                <c:pt idx="3299">
                  <c:v>96144000</c:v>
                </c:pt>
                <c:pt idx="3300">
                  <c:v>155690000</c:v>
                </c:pt>
                <c:pt idx="3301">
                  <c:v>144760000</c:v>
                </c:pt>
                <c:pt idx="3302">
                  <c:v>153104000</c:v>
                </c:pt>
                <c:pt idx="3303">
                  <c:v>94482000</c:v>
                </c:pt>
                <c:pt idx="3304">
                  <c:v>97832000</c:v>
                </c:pt>
                <c:pt idx="3305">
                  <c:v>110258000</c:v>
                </c:pt>
                <c:pt idx="3306">
                  <c:v>141498000</c:v>
                </c:pt>
                <c:pt idx="3307">
                  <c:v>106584000</c:v>
                </c:pt>
                <c:pt idx="3308">
                  <c:v>116452000</c:v>
                </c:pt>
                <c:pt idx="3309">
                  <c:v>186290000</c:v>
                </c:pt>
                <c:pt idx="3310">
                  <c:v>74992000</c:v>
                </c:pt>
                <c:pt idx="3311">
                  <c:v>70380000</c:v>
                </c:pt>
                <c:pt idx="3312">
                  <c:v>114700000</c:v>
                </c:pt>
                <c:pt idx="3313">
                  <c:v>75672000</c:v>
                </c:pt>
                <c:pt idx="3314">
                  <c:v>21824000</c:v>
                </c:pt>
                <c:pt idx="3315">
                  <c:v>54458000</c:v>
                </c:pt>
                <c:pt idx="3316">
                  <c:v>53356000</c:v>
                </c:pt>
                <c:pt idx="3317">
                  <c:v>65018000</c:v>
                </c:pt>
                <c:pt idx="3318">
                  <c:v>136826000</c:v>
                </c:pt>
                <c:pt idx="3319">
                  <c:v>73632000</c:v>
                </c:pt>
                <c:pt idx="3320">
                  <c:v>79290000</c:v>
                </c:pt>
                <c:pt idx="3321">
                  <c:v>95068000</c:v>
                </c:pt>
                <c:pt idx="3322">
                  <c:v>86594000</c:v>
                </c:pt>
              </c:numCache>
            </c:numRef>
          </c:val>
          <c:extLst>
            <c:ext xmlns:c16="http://schemas.microsoft.com/office/drawing/2014/chart" uri="{C3380CC4-5D6E-409C-BE32-E72D297353CC}">
              <c16:uniqueId val="{00000000-59CA-46CF-8D98-0AEECA3ED6DB}"/>
            </c:ext>
          </c:extLst>
        </c:ser>
        <c:dLbls>
          <c:showLegendKey val="0"/>
          <c:showVal val="0"/>
          <c:showCatName val="0"/>
          <c:showSerName val="0"/>
          <c:showPercent val="0"/>
          <c:showBubbleSize val="0"/>
        </c:dLbls>
        <c:gapWidth val="219"/>
        <c:overlap val="-27"/>
        <c:axId val="384112736"/>
        <c:axId val="384120224"/>
      </c:barChart>
      <c:dateAx>
        <c:axId val="384112736"/>
        <c:scaling>
          <c:orientation val="minMax"/>
        </c:scaling>
        <c:delete val="1"/>
        <c:axPos val="b"/>
        <c:numFmt formatCode="[$-409]mmm\-yy;@" sourceLinked="0"/>
        <c:majorTickMark val="none"/>
        <c:minorTickMark val="none"/>
        <c:tickLblPos val="nextTo"/>
        <c:crossAx val="384120224"/>
        <c:crosses val="autoZero"/>
        <c:auto val="1"/>
        <c:lblOffset val="100"/>
        <c:baseTimeUnit val="days"/>
      </c:dateAx>
      <c:valAx>
        <c:axId val="384120224"/>
        <c:scaling>
          <c:orientation val="minMax"/>
        </c:scaling>
        <c:delete val="1"/>
        <c:axPos val="l"/>
        <c:numFmt formatCode="#,##0_);[Red]\(#,##0\)" sourceLinked="1"/>
        <c:majorTickMark val="none"/>
        <c:minorTickMark val="none"/>
        <c:tickLblPos val="nextTo"/>
        <c:crossAx val="38411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t>Scenario Analysis</a:t>
            </a:r>
          </a:p>
          <a:p>
            <a:pPr>
              <a:defRPr/>
            </a:pPr>
            <a:r>
              <a:rPr lang="en-US" sz="1100" b="0"/>
              <a:t>Price per Share</a:t>
            </a:r>
          </a:p>
        </c:rich>
      </c:tx>
      <c:layout>
        <c:manualLayout>
          <c:xMode val="edge"/>
          <c:yMode val="edge"/>
          <c:x val="0.14590266841644792"/>
          <c:y val="4.9122807017543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stacked"/>
        <c:varyColors val="0"/>
        <c:ser>
          <c:idx val="0"/>
          <c:order val="0"/>
          <c:spPr>
            <a:noFill/>
            <a:ln>
              <a:noFill/>
            </a:ln>
            <a:effectLst/>
          </c:spPr>
          <c:invertIfNegative val="0"/>
          <c:cat>
            <c:strRef>
              <c:f>Summary!$E$41:$E$43</c:f>
              <c:strCache>
                <c:ptCount val="3"/>
                <c:pt idx="0">
                  <c:v>Bear Case</c:v>
                </c:pt>
                <c:pt idx="1">
                  <c:v>Bull Case</c:v>
                </c:pt>
                <c:pt idx="2">
                  <c:v>Base Case</c:v>
                </c:pt>
              </c:strCache>
            </c:strRef>
          </c:cat>
          <c:val>
            <c:numRef>
              <c:f>Summary!$F$41:$F$43</c:f>
              <c:numCache>
                <c:formatCode>#,##0.00_);[Red]\(#,##0.00\)</c:formatCode>
                <c:ptCount val="3"/>
                <c:pt idx="0">
                  <c:v>116.74016433301708</c:v>
                </c:pt>
                <c:pt idx="1">
                  <c:v>163.15538832554887</c:v>
                </c:pt>
                <c:pt idx="2">
                  <c:v>184.16499119502848</c:v>
                </c:pt>
              </c:numCache>
            </c:numRef>
          </c:val>
          <c:extLst>
            <c:ext xmlns:c16="http://schemas.microsoft.com/office/drawing/2014/chart" uri="{C3380CC4-5D6E-409C-BE32-E72D297353CC}">
              <c16:uniqueId val="{00000000-C564-4CE5-A013-2E068C08D777}"/>
            </c:ext>
          </c:extLst>
        </c:ser>
        <c:ser>
          <c:idx val="1"/>
          <c:order val="1"/>
          <c:spPr>
            <a:solidFill>
              <a:srgbClr val="AFDEFF"/>
            </a:solidFill>
            <a:ln>
              <a:noFill/>
            </a:ln>
            <a:effectLst/>
          </c:spPr>
          <c:invertIfNegative val="0"/>
          <c:dPt>
            <c:idx val="0"/>
            <c:invertIfNegative val="0"/>
            <c:bubble3D val="0"/>
            <c:spPr>
              <a:solidFill>
                <a:srgbClr val="AFDEFF"/>
              </a:solidFill>
              <a:ln>
                <a:noFill/>
              </a:ln>
              <a:effectLst/>
            </c:spPr>
            <c:extLst>
              <c:ext xmlns:c16="http://schemas.microsoft.com/office/drawing/2014/chart" uri="{C3380CC4-5D6E-409C-BE32-E72D297353CC}">
                <c16:uniqueId val="{00000003-C564-4CE5-A013-2E068C08D777}"/>
              </c:ext>
            </c:extLst>
          </c:dPt>
          <c:dPt>
            <c:idx val="1"/>
            <c:invertIfNegative val="0"/>
            <c:bubble3D val="0"/>
            <c:spPr>
              <a:solidFill>
                <a:srgbClr val="AFDEFF"/>
              </a:solidFill>
              <a:ln>
                <a:noFill/>
              </a:ln>
              <a:effectLst/>
            </c:spPr>
            <c:extLst>
              <c:ext xmlns:c16="http://schemas.microsoft.com/office/drawing/2014/chart" uri="{C3380CC4-5D6E-409C-BE32-E72D297353CC}">
                <c16:uniqueId val="{00000002-C564-4CE5-A013-2E068C08D777}"/>
              </c:ext>
            </c:extLst>
          </c:dPt>
          <c:cat>
            <c:strRef>
              <c:f>Summary!$E$41:$E$43</c:f>
              <c:strCache>
                <c:ptCount val="3"/>
                <c:pt idx="0">
                  <c:v>Bear Case</c:v>
                </c:pt>
                <c:pt idx="1">
                  <c:v>Bull Case</c:v>
                </c:pt>
                <c:pt idx="2">
                  <c:v>Base Case</c:v>
                </c:pt>
              </c:strCache>
            </c:strRef>
          </c:cat>
          <c:val>
            <c:numRef>
              <c:f>Summary!$G$41:$G$43</c:f>
              <c:numCache>
                <c:formatCode>#,##0.00_);[Red]\(#,##0.00\)</c:formatCode>
                <c:ptCount val="3"/>
                <c:pt idx="0">
                  <c:v>95.310024219240915</c:v>
                </c:pt>
                <c:pt idx="1">
                  <c:v>128.46269931710879</c:v>
                </c:pt>
                <c:pt idx="2">
                  <c:v>108.82942688061488</c:v>
                </c:pt>
              </c:numCache>
            </c:numRef>
          </c:val>
          <c:extLst>
            <c:ext xmlns:c16="http://schemas.microsoft.com/office/drawing/2014/chart" uri="{C3380CC4-5D6E-409C-BE32-E72D297353CC}">
              <c16:uniqueId val="{00000001-C564-4CE5-A013-2E068C08D777}"/>
            </c:ext>
          </c:extLst>
        </c:ser>
        <c:ser>
          <c:idx val="2"/>
          <c:order val="2"/>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Summary!$E$41:$E$43</c:f>
              <c:strCache>
                <c:ptCount val="3"/>
                <c:pt idx="0">
                  <c:v>Bear Case</c:v>
                </c:pt>
                <c:pt idx="1">
                  <c:v>Bull Case</c:v>
                </c:pt>
                <c:pt idx="2">
                  <c:v>Base Case</c:v>
                </c:pt>
              </c:strCache>
            </c:strRef>
          </c:cat>
          <c:val>
            <c:numRef>
              <c:f>Summary!$H$41:$H$43</c:f>
              <c:numCache>
                <c:formatCode>#,##0.00_);[Red]\(#,##0.00\)</c:formatCode>
                <c:ptCount val="3"/>
                <c:pt idx="0">
                  <c:v>212.05018855225799</c:v>
                </c:pt>
                <c:pt idx="1">
                  <c:v>291.61808764265766</c:v>
                </c:pt>
                <c:pt idx="2">
                  <c:v>292.99441807564335</c:v>
                </c:pt>
              </c:numCache>
            </c:numRef>
          </c:val>
          <c:extLst>
            <c:ext xmlns:c16="http://schemas.microsoft.com/office/drawing/2014/chart" uri="{C3380CC4-5D6E-409C-BE32-E72D297353CC}">
              <c16:uniqueId val="{00000004-C564-4CE5-A013-2E068C08D777}"/>
            </c:ext>
          </c:extLst>
        </c:ser>
        <c:dLbls>
          <c:showLegendKey val="0"/>
          <c:showVal val="0"/>
          <c:showCatName val="0"/>
          <c:showSerName val="0"/>
          <c:showPercent val="0"/>
          <c:showBubbleSize val="0"/>
        </c:dLbls>
        <c:gapWidth val="150"/>
        <c:overlap val="100"/>
        <c:axId val="1219167247"/>
        <c:axId val="1219169167"/>
      </c:barChart>
      <c:catAx>
        <c:axId val="1219167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19169167"/>
        <c:crosses val="autoZero"/>
        <c:auto val="1"/>
        <c:lblAlgn val="ctr"/>
        <c:lblOffset val="100"/>
        <c:noMultiLvlLbl val="0"/>
      </c:catAx>
      <c:valAx>
        <c:axId val="1219169167"/>
        <c:scaling>
          <c:orientation val="minMax"/>
        </c:scaling>
        <c:delete val="1"/>
        <c:axPos val="b"/>
        <c:numFmt formatCode="#,##0.00_);[Red]\(#,##0.00\)" sourceLinked="1"/>
        <c:majorTickMark val="none"/>
        <c:minorTickMark val="none"/>
        <c:tickLblPos val="nextTo"/>
        <c:crossAx val="121916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AMZN Q Sales vs HWMS Forecast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lineMarker"/>
        <c:varyColors val="0"/>
        <c:ser>
          <c:idx val="0"/>
          <c:order val="0"/>
          <c:tx>
            <c:strRef>
              <c:f>'HWMS Model'!$E$15</c:f>
              <c:strCache>
                <c:ptCount val="1"/>
                <c:pt idx="0">
                  <c:v>  Sales</c:v>
                </c:pt>
              </c:strCache>
            </c:strRef>
          </c:tx>
          <c:spPr>
            <a:ln w="28575" cap="rnd">
              <a:solidFill>
                <a:srgbClr val="AFDEFF"/>
              </a:solidFill>
              <a:round/>
            </a:ln>
            <a:effectLst/>
          </c:spPr>
          <c:marker>
            <c:symbol val="none"/>
          </c:marker>
          <c:xVal>
            <c:numRef>
              <c:f>'HWMS Model'!$D$16:$D$58</c:f>
              <c:numCache>
                <c:formatCode>m/d/yy</c:formatCode>
                <c:ptCount val="43"/>
                <c:pt idx="0">
                  <c:v>42277</c:v>
                </c:pt>
                <c:pt idx="1">
                  <c:v>42369</c:v>
                </c:pt>
                <c:pt idx="2">
                  <c:v>42460</c:v>
                </c:pt>
                <c:pt idx="3">
                  <c:v>42551</c:v>
                </c:pt>
                <c:pt idx="4">
                  <c:v>42643</c:v>
                </c:pt>
                <c:pt idx="5">
                  <c:v>42735</c:v>
                </c:pt>
                <c:pt idx="6">
                  <c:v>42825</c:v>
                </c:pt>
                <c:pt idx="7">
                  <c:v>42916</c:v>
                </c:pt>
                <c:pt idx="8">
                  <c:v>43008</c:v>
                </c:pt>
                <c:pt idx="9">
                  <c:v>43100</c:v>
                </c:pt>
                <c:pt idx="10">
                  <c:v>43190</c:v>
                </c:pt>
                <c:pt idx="11">
                  <c:v>43281</c:v>
                </c:pt>
                <c:pt idx="12">
                  <c:v>43373</c:v>
                </c:pt>
                <c:pt idx="13">
                  <c:v>43465</c:v>
                </c:pt>
                <c:pt idx="14">
                  <c:v>43555</c:v>
                </c:pt>
                <c:pt idx="15">
                  <c:v>43646</c:v>
                </c:pt>
                <c:pt idx="16">
                  <c:v>43738</c:v>
                </c:pt>
                <c:pt idx="17">
                  <c:v>43830</c:v>
                </c:pt>
                <c:pt idx="18">
                  <c:v>43921</c:v>
                </c:pt>
                <c:pt idx="19">
                  <c:v>44012</c:v>
                </c:pt>
                <c:pt idx="20">
                  <c:v>44104</c:v>
                </c:pt>
                <c:pt idx="21">
                  <c:v>44196</c:v>
                </c:pt>
                <c:pt idx="22">
                  <c:v>44286</c:v>
                </c:pt>
                <c:pt idx="23">
                  <c:v>44377</c:v>
                </c:pt>
                <c:pt idx="24">
                  <c:v>44469</c:v>
                </c:pt>
                <c:pt idx="25">
                  <c:v>44561</c:v>
                </c:pt>
                <c:pt idx="26">
                  <c:v>44651</c:v>
                </c:pt>
                <c:pt idx="27">
                  <c:v>44742</c:v>
                </c:pt>
                <c:pt idx="28">
                  <c:v>44834</c:v>
                </c:pt>
                <c:pt idx="29">
                  <c:v>44926</c:v>
                </c:pt>
                <c:pt idx="30">
                  <c:v>45016</c:v>
                </c:pt>
                <c:pt idx="31">
                  <c:v>45107</c:v>
                </c:pt>
                <c:pt idx="32">
                  <c:v>45199</c:v>
                </c:pt>
                <c:pt idx="33">
                  <c:v>45291</c:v>
                </c:pt>
                <c:pt idx="34">
                  <c:v>45382</c:v>
                </c:pt>
                <c:pt idx="35">
                  <c:v>45473</c:v>
                </c:pt>
                <c:pt idx="36">
                  <c:v>45565</c:v>
                </c:pt>
                <c:pt idx="37">
                  <c:v>45657</c:v>
                </c:pt>
                <c:pt idx="38">
                  <c:v>45747</c:v>
                </c:pt>
                <c:pt idx="39">
                  <c:v>45838</c:v>
                </c:pt>
                <c:pt idx="40">
                  <c:v>45930</c:v>
                </c:pt>
                <c:pt idx="41">
                  <c:v>46022</c:v>
                </c:pt>
                <c:pt idx="42">
                  <c:v>46112</c:v>
                </c:pt>
              </c:numCache>
            </c:numRef>
          </c:xVal>
          <c:yVal>
            <c:numRef>
              <c:f>'HWMS Model'!$E$16:$E$60</c:f>
              <c:numCache>
                <c:formatCode>_(* #,##0_);_(* \(#,##0\);_(* "-"??_);_(@_)</c:formatCode>
                <c:ptCount val="45"/>
                <c:pt idx="0">
                  <c:v>25358</c:v>
                </c:pt>
                <c:pt idx="1">
                  <c:v>35747</c:v>
                </c:pt>
                <c:pt idx="2">
                  <c:v>29128</c:v>
                </c:pt>
                <c:pt idx="3">
                  <c:v>30404</c:v>
                </c:pt>
                <c:pt idx="4">
                  <c:v>32714</c:v>
                </c:pt>
                <c:pt idx="5">
                  <c:v>43741</c:v>
                </c:pt>
                <c:pt idx="6">
                  <c:v>35714</c:v>
                </c:pt>
                <c:pt idx="7">
                  <c:v>37955</c:v>
                </c:pt>
                <c:pt idx="8">
                  <c:v>43744</c:v>
                </c:pt>
                <c:pt idx="9">
                  <c:v>60453</c:v>
                </c:pt>
                <c:pt idx="10">
                  <c:v>51042</c:v>
                </c:pt>
                <c:pt idx="11">
                  <c:v>52886</c:v>
                </c:pt>
                <c:pt idx="12">
                  <c:v>56576</c:v>
                </c:pt>
                <c:pt idx="13">
                  <c:v>72383</c:v>
                </c:pt>
                <c:pt idx="14">
                  <c:v>59700</c:v>
                </c:pt>
                <c:pt idx="15">
                  <c:v>63404</c:v>
                </c:pt>
                <c:pt idx="16">
                  <c:v>69981</c:v>
                </c:pt>
                <c:pt idx="17">
                  <c:v>87436</c:v>
                </c:pt>
                <c:pt idx="18">
                  <c:v>75452</c:v>
                </c:pt>
                <c:pt idx="19">
                  <c:v>88912</c:v>
                </c:pt>
                <c:pt idx="20">
                  <c:v>96145</c:v>
                </c:pt>
                <c:pt idx="21">
                  <c:v>125555</c:v>
                </c:pt>
                <c:pt idx="22">
                  <c:v>108518</c:v>
                </c:pt>
                <c:pt idx="23">
                  <c:v>113080</c:v>
                </c:pt>
                <c:pt idx="24">
                  <c:v>110812</c:v>
                </c:pt>
                <c:pt idx="25">
                  <c:v>137412</c:v>
                </c:pt>
                <c:pt idx="26">
                  <c:v>116444</c:v>
                </c:pt>
                <c:pt idx="27">
                  <c:v>121234</c:v>
                </c:pt>
                <c:pt idx="28">
                  <c:v>127101</c:v>
                </c:pt>
                <c:pt idx="29">
                  <c:v>149204</c:v>
                </c:pt>
                <c:pt idx="30">
                  <c:v>127358</c:v>
                </c:pt>
                <c:pt idx="31">
                  <c:v>134383</c:v>
                </c:pt>
                <c:pt idx="32">
                  <c:v>143083</c:v>
                </c:pt>
                <c:pt idx="33">
                  <c:v>169961</c:v>
                </c:pt>
                <c:pt idx="34">
                  <c:v>143313</c:v>
                </c:pt>
                <c:pt idx="35">
                  <c:v>147977</c:v>
                </c:pt>
                <c:pt idx="36">
                  <c:v>158877</c:v>
                </c:pt>
                <c:pt idx="37">
                  <c:v>187792</c:v>
                </c:pt>
                <c:pt idx="38">
                  <c:v>155667</c:v>
                </c:pt>
                <c:pt idx="39">
                  <c:v>167702</c:v>
                </c:pt>
                <c:pt idx="40">
                  <c:v>180169</c:v>
                </c:pt>
              </c:numCache>
            </c:numRef>
          </c:yVal>
          <c:smooth val="0"/>
          <c:extLst>
            <c:ext xmlns:c16="http://schemas.microsoft.com/office/drawing/2014/chart" uri="{C3380CC4-5D6E-409C-BE32-E72D297353CC}">
              <c16:uniqueId val="{00000000-5D5D-47A9-B097-64A940B805C4}"/>
            </c:ext>
          </c:extLst>
        </c:ser>
        <c:ser>
          <c:idx val="1"/>
          <c:order val="1"/>
          <c:tx>
            <c:strRef>
              <c:f>'HWMS Model'!$I$15</c:f>
              <c:strCache>
                <c:ptCount val="1"/>
                <c:pt idx="0">
                  <c:v>Forecast</c:v>
                </c:pt>
              </c:strCache>
            </c:strRef>
          </c:tx>
          <c:spPr>
            <a:ln w="28575" cap="rnd">
              <a:solidFill>
                <a:schemeClr val="tx1"/>
              </a:solidFill>
              <a:round/>
            </a:ln>
            <a:effectLst/>
          </c:spPr>
          <c:marker>
            <c:symbol val="none"/>
          </c:marker>
          <c:xVal>
            <c:numRef>
              <c:f>'HWMS Model'!$D$16:$D$58</c:f>
              <c:numCache>
                <c:formatCode>m/d/yy</c:formatCode>
                <c:ptCount val="43"/>
                <c:pt idx="0">
                  <c:v>42277</c:v>
                </c:pt>
                <c:pt idx="1">
                  <c:v>42369</c:v>
                </c:pt>
                <c:pt idx="2">
                  <c:v>42460</c:v>
                </c:pt>
                <c:pt idx="3">
                  <c:v>42551</c:v>
                </c:pt>
                <c:pt idx="4">
                  <c:v>42643</c:v>
                </c:pt>
                <c:pt idx="5">
                  <c:v>42735</c:v>
                </c:pt>
                <c:pt idx="6">
                  <c:v>42825</c:v>
                </c:pt>
                <c:pt idx="7">
                  <c:v>42916</c:v>
                </c:pt>
                <c:pt idx="8">
                  <c:v>43008</c:v>
                </c:pt>
                <c:pt idx="9">
                  <c:v>43100</c:v>
                </c:pt>
                <c:pt idx="10">
                  <c:v>43190</c:v>
                </c:pt>
                <c:pt idx="11">
                  <c:v>43281</c:v>
                </c:pt>
                <c:pt idx="12">
                  <c:v>43373</c:v>
                </c:pt>
                <c:pt idx="13">
                  <c:v>43465</c:v>
                </c:pt>
                <c:pt idx="14">
                  <c:v>43555</c:v>
                </c:pt>
                <c:pt idx="15">
                  <c:v>43646</c:v>
                </c:pt>
                <c:pt idx="16">
                  <c:v>43738</c:v>
                </c:pt>
                <c:pt idx="17">
                  <c:v>43830</c:v>
                </c:pt>
                <c:pt idx="18">
                  <c:v>43921</c:v>
                </c:pt>
                <c:pt idx="19">
                  <c:v>44012</c:v>
                </c:pt>
                <c:pt idx="20">
                  <c:v>44104</c:v>
                </c:pt>
                <c:pt idx="21">
                  <c:v>44196</c:v>
                </c:pt>
                <c:pt idx="22">
                  <c:v>44286</c:v>
                </c:pt>
                <c:pt idx="23">
                  <c:v>44377</c:v>
                </c:pt>
                <c:pt idx="24">
                  <c:v>44469</c:v>
                </c:pt>
                <c:pt idx="25">
                  <c:v>44561</c:v>
                </c:pt>
                <c:pt idx="26">
                  <c:v>44651</c:v>
                </c:pt>
                <c:pt idx="27">
                  <c:v>44742</c:v>
                </c:pt>
                <c:pt idx="28">
                  <c:v>44834</c:v>
                </c:pt>
                <c:pt idx="29">
                  <c:v>44926</c:v>
                </c:pt>
                <c:pt idx="30">
                  <c:v>45016</c:v>
                </c:pt>
                <c:pt idx="31">
                  <c:v>45107</c:v>
                </c:pt>
                <c:pt idx="32">
                  <c:v>45199</c:v>
                </c:pt>
                <c:pt idx="33">
                  <c:v>45291</c:v>
                </c:pt>
                <c:pt idx="34">
                  <c:v>45382</c:v>
                </c:pt>
                <c:pt idx="35">
                  <c:v>45473</c:v>
                </c:pt>
                <c:pt idx="36">
                  <c:v>45565</c:v>
                </c:pt>
                <c:pt idx="37">
                  <c:v>45657</c:v>
                </c:pt>
                <c:pt idx="38">
                  <c:v>45747</c:v>
                </c:pt>
                <c:pt idx="39">
                  <c:v>45838</c:v>
                </c:pt>
                <c:pt idx="40">
                  <c:v>45930</c:v>
                </c:pt>
                <c:pt idx="41">
                  <c:v>46022</c:v>
                </c:pt>
                <c:pt idx="42">
                  <c:v>46112</c:v>
                </c:pt>
              </c:numCache>
            </c:numRef>
          </c:xVal>
          <c:yVal>
            <c:numRef>
              <c:f>'HWMS Model'!$I$16:$I$60</c:f>
              <c:numCache>
                <c:formatCode>_(* #,##0.00_);_(* \(#,##0.00\);_(* "-"??_);_(@_)</c:formatCode>
                <c:ptCount val="45"/>
                <c:pt idx="4" formatCode="_(* #,##0_);_(* \(#,##0\);_(* &quot;-&quot;??_);_(@_)">
                  <c:v>25358</c:v>
                </c:pt>
                <c:pt idx="5" formatCode="_(* #,##0_);_(* \(#,##0\);_(* &quot;-&quot;??_);_(@_)">
                  <c:v>44772.025090237657</c:v>
                </c:pt>
                <c:pt idx="6" formatCode="_(* #,##0_);_(* \(#,##0\);_(* &quot;-&quot;??_);_(@_)">
                  <c:v>36956.986230871342</c:v>
                </c:pt>
                <c:pt idx="7" formatCode="_(* #,##0_);_(* \(#,##0\);_(* &quot;-&quot;??_);_(@_)">
                  <c:v>38580.64272560893</c:v>
                </c:pt>
                <c:pt idx="8" formatCode="_(* #,##0_);_(* \(#,##0\);_(* &quot;-&quot;??_);_(@_)">
                  <c:v>34636.445457398579</c:v>
                </c:pt>
                <c:pt idx="9" formatCode="_(* #,##0_);_(* \(#,##0\);_(* &quot;-&quot;??_);_(@_)">
                  <c:v>56969.780168267112</c:v>
                </c:pt>
                <c:pt idx="10" formatCode="_(* #,##0_);_(* \(#,##0\);_(* &quot;-&quot;??_);_(@_)">
                  <c:v>50947.479198923924</c:v>
                </c:pt>
                <c:pt idx="11" formatCode="_(* #,##0_);_(* \(#,##0\);_(* &quot;-&quot;??_);_(@_)">
                  <c:v>56265.935534852899</c:v>
                </c:pt>
                <c:pt idx="12" formatCode="_(* #,##0_);_(* \(#,##0\);_(* &quot;-&quot;??_);_(@_)">
                  <c:v>53052.892390866487</c:v>
                </c:pt>
                <c:pt idx="13" formatCode="_(* #,##0_);_(* \(#,##0\);_(* &quot;-&quot;??_);_(@_)">
                  <c:v>73418.951870297693</c:v>
                </c:pt>
                <c:pt idx="14" formatCode="_(* #,##0_);_(* \(#,##0\);_(* &quot;-&quot;??_);_(@_)">
                  <c:v>60685.212396998308</c:v>
                </c:pt>
                <c:pt idx="15" formatCode="_(* #,##0_);_(* \(#,##0\);_(* &quot;-&quot;??_);_(@_)">
                  <c:v>64283.287112566133</c:v>
                </c:pt>
                <c:pt idx="16" formatCode="_(* #,##0_);_(* \(#,##0\);_(* &quot;-&quot;??_);_(@_)">
                  <c:v>64629.624316064604</c:v>
                </c:pt>
                <c:pt idx="17" formatCode="_(* #,##0_);_(* \(#,##0\);_(* &quot;-&quot;??_);_(@_)">
                  <c:v>88343.957275658613</c:v>
                </c:pt>
                <c:pt idx="18" formatCode="_(* #,##0_);_(* \(#,##0\);_(* &quot;-&quot;??_);_(@_)">
                  <c:v>73035.674874318385</c:v>
                </c:pt>
                <c:pt idx="19" formatCode="_(* #,##0_);_(* \(#,##0\);_(* &quot;-&quot;??_);_(@_)">
                  <c:v>80507.89601518595</c:v>
                </c:pt>
                <c:pt idx="20" formatCode="_(* #,##0_);_(* \(#,##0\);_(* &quot;-&quot;??_);_(@_)">
                  <c:v>91545.887092127174</c:v>
                </c:pt>
                <c:pt idx="21" formatCode="_(* #,##0_);_(* \(#,##0\);_(* &quot;-&quot;??_);_(@_)">
                  <c:v>120650.28485043827</c:v>
                </c:pt>
                <c:pt idx="22" formatCode="_(* #,##0_);_(* \(#,##0\);_(* &quot;-&quot;??_);_(@_)">
                  <c:v>106158.48114384917</c:v>
                </c:pt>
                <c:pt idx="23" formatCode="_(* #,##0_);_(* \(#,##0\);_(* &quot;-&quot;??_);_(@_)">
                  <c:v>119507.32123003615</c:v>
                </c:pt>
                <c:pt idx="24" formatCode="_(* #,##0_);_(* \(#,##0\);_(* &quot;-&quot;??_);_(@_)">
                  <c:v>119132.18692189299</c:v>
                </c:pt>
                <c:pt idx="25" formatCode="_(* #,##0_);_(* \(#,##0\);_(* &quot;-&quot;??_);_(@_)">
                  <c:v>140908.72234834931</c:v>
                </c:pt>
                <c:pt idx="26" formatCode="_(* #,##0_);_(* \(#,##0\);_(* &quot;-&quot;??_);_(@_)">
                  <c:v>115011.22208122304</c:v>
                </c:pt>
                <c:pt idx="27" formatCode="_(* #,##0_);_(* \(#,##0\);_(* &quot;-&quot;??_);_(@_)">
                  <c:v>123138.726381072</c:v>
                </c:pt>
                <c:pt idx="28" formatCode="_(* #,##0_);_(* \(#,##0\);_(* &quot;-&quot;??_);_(@_)">
                  <c:v>123664.16606440449</c:v>
                </c:pt>
                <c:pt idx="29" formatCode="_(* #,##0_);_(* \(#,##0\);_(* &quot;-&quot;??_);_(@_)">
                  <c:v>158666.14549203994</c:v>
                </c:pt>
                <c:pt idx="30" formatCode="_(* #,##0_);_(* \(#,##0\);_(* &quot;-&quot;??_);_(@_)">
                  <c:v>126412.44627458694</c:v>
                </c:pt>
                <c:pt idx="31" formatCode="_(* #,##0_);_(* \(#,##0\);_(* &quot;-&quot;??_);_(@_)">
                  <c:v>132718.96621804425</c:v>
                </c:pt>
                <c:pt idx="32" formatCode="_(* #,##0_);_(* \(#,##0\);_(* &quot;-&quot;??_);_(@_)">
                  <c:v>136998.61606490775</c:v>
                </c:pt>
                <c:pt idx="33" formatCode="_(* #,##0_);_(* \(#,##0\);_(* &quot;-&quot;??_);_(@_)">
                  <c:v>173145.56951720206</c:v>
                </c:pt>
                <c:pt idx="34" formatCode="_(* #,##0_);_(* \(#,##0\);_(* &quot;-&quot;??_);_(@_)">
                  <c:v>145444.41781923966</c:v>
                </c:pt>
                <c:pt idx="35" formatCode="_(* #,##0_);_(* \(#,##0\);_(* &quot;-&quot;??_);_(@_)">
                  <c:v>150463.39508591534</c:v>
                </c:pt>
                <c:pt idx="36" formatCode="_(* #,##0_);_(* \(#,##0\);_(* &quot;-&quot;??_);_(@_)">
                  <c:v>152782.24297826985</c:v>
                </c:pt>
                <c:pt idx="37" formatCode="_(* #,##0_);_(* \(#,##0\);_(* &quot;-&quot;??_);_(@_)">
                  <c:v>188567.48532022821</c:v>
                </c:pt>
                <c:pt idx="38" formatCode="_(* #,##0_);_(* \(#,##0\);_(* &quot;-&quot;??_);_(@_)">
                  <c:v>159933.9960173619</c:v>
                </c:pt>
                <c:pt idx="39" formatCode="_(* #,##0_);_(* \(#,##0\);_(* &quot;-&quot;??_);_(@_)">
                  <c:v>163359.79639186573</c:v>
                </c:pt>
                <c:pt idx="40" formatCode="_(* #,##0_);_(* \(#,##0\);_(* &quot;-&quot;??_);_(@_)">
                  <c:v>174112.53096141308</c:v>
                </c:pt>
                <c:pt idx="41" formatCode="_(* #,##0_);_(* \(#,##0\);_(* &quot;-&quot;??_);_(@_)">
                  <c:v>183450.03986865201</c:v>
                </c:pt>
                <c:pt idx="42" formatCode="_(* #,##0_);_(* \(#,##0\);_(* &quot;-&quot;??_);_(@_)">
                  <c:v>217630.41856508944</c:v>
                </c:pt>
                <c:pt idx="43" formatCode="_(* #,##0_);_(* \(#,##0\);_(* &quot;-&quot;??_);_(@_)">
                  <c:v>184178.59739843613</c:v>
                </c:pt>
                <c:pt idx="44" formatCode="_(* #,##0_);_(* \(#,##0\);_(* &quot;-&quot;??_);_(@_)">
                  <c:v>200075.30329929586</c:v>
                </c:pt>
              </c:numCache>
            </c:numRef>
          </c:yVal>
          <c:smooth val="0"/>
          <c:extLst>
            <c:ext xmlns:c16="http://schemas.microsoft.com/office/drawing/2014/chart" uri="{C3380CC4-5D6E-409C-BE32-E72D297353CC}">
              <c16:uniqueId val="{00000001-5D5D-47A9-B097-64A940B805C4}"/>
            </c:ext>
          </c:extLst>
        </c:ser>
        <c:dLbls>
          <c:showLegendKey val="0"/>
          <c:showVal val="0"/>
          <c:showCatName val="0"/>
          <c:showSerName val="0"/>
          <c:showPercent val="0"/>
          <c:showBubbleSize val="0"/>
        </c:dLbls>
        <c:axId val="1408853728"/>
        <c:axId val="1373846048"/>
      </c:scatterChart>
      <c:valAx>
        <c:axId val="1408853728"/>
        <c:scaling>
          <c:orientation val="minMax"/>
        </c:scaling>
        <c:delete val="0"/>
        <c:axPos val="b"/>
        <c:majorGridlines>
          <c:spPr>
            <a:ln w="9525" cap="flat" cmpd="sng" algn="ctr">
              <a:solidFill>
                <a:schemeClr val="tx1">
                  <a:lumMod val="15000"/>
                  <a:lumOff val="85000"/>
                </a:schemeClr>
              </a:solidFill>
              <a:round/>
            </a:ln>
            <a:effectLst/>
          </c:spPr>
        </c:majorGridlines>
        <c:numFmt formatCode="m/d/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73846048"/>
        <c:crosses val="autoZero"/>
        <c:crossBetween val="midCat"/>
      </c:valAx>
      <c:valAx>
        <c:axId val="13738460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8853728"/>
        <c:crosses val="autoZero"/>
        <c:crossBetween val="midCat"/>
      </c:valAx>
      <c:spPr>
        <a:noFill/>
        <a:ln>
          <a:solidFill>
            <a:srgbClr val="AFDEFF"/>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t>3 Stage</a:t>
            </a:r>
            <a:r>
              <a:rPr lang="en-US" sz="1200" b="1" baseline="0"/>
              <a:t> Sales Forecast</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spPr>
            <a:solidFill>
              <a:srgbClr val="AFDEFF"/>
            </a:solidFill>
            <a:ln>
              <a:solidFill>
                <a:srgbClr val="AFDEFF"/>
              </a:solidFill>
            </a:ln>
            <a:effectLst/>
          </c:spPr>
          <c:invertIfNegative val="0"/>
          <c:dPt>
            <c:idx val="0"/>
            <c:invertIfNegative val="0"/>
            <c:bubble3D val="0"/>
            <c:spPr>
              <a:solidFill>
                <a:srgbClr val="AFDEFF"/>
              </a:solidFill>
              <a:ln>
                <a:solidFill>
                  <a:srgbClr val="AFDEFF"/>
                </a:solidFill>
              </a:ln>
              <a:effectLst/>
            </c:spPr>
            <c:extLst>
              <c:ext xmlns:c16="http://schemas.microsoft.com/office/drawing/2014/chart" uri="{C3380CC4-5D6E-409C-BE32-E72D297353CC}">
                <c16:uniqueId val="{00000005-4AE3-44E8-BB62-1D62E3422C79}"/>
              </c:ext>
            </c:extLst>
          </c:dPt>
          <c:dPt>
            <c:idx val="4"/>
            <c:invertIfNegative val="0"/>
            <c:bubble3D val="0"/>
            <c:spPr>
              <a:solidFill>
                <a:schemeClr val="tx1"/>
              </a:solidFill>
              <a:ln>
                <a:solidFill>
                  <a:srgbClr val="AFDEFF"/>
                </a:solidFill>
              </a:ln>
              <a:effectLst/>
            </c:spPr>
            <c:extLst>
              <c:ext xmlns:c16="http://schemas.microsoft.com/office/drawing/2014/chart" uri="{C3380CC4-5D6E-409C-BE32-E72D297353CC}">
                <c16:uniqueId val="{00000004-4AE3-44E8-BB62-1D62E3422C79}"/>
              </c:ext>
            </c:extLst>
          </c:dPt>
          <c:dPt>
            <c:idx val="5"/>
            <c:invertIfNegative val="0"/>
            <c:bubble3D val="0"/>
            <c:spPr>
              <a:solidFill>
                <a:schemeClr val="tx1"/>
              </a:solidFill>
              <a:ln>
                <a:solidFill>
                  <a:srgbClr val="AFDEFF"/>
                </a:solidFill>
              </a:ln>
              <a:effectLst/>
            </c:spPr>
            <c:extLst>
              <c:ext xmlns:c16="http://schemas.microsoft.com/office/drawing/2014/chart" uri="{C3380CC4-5D6E-409C-BE32-E72D297353CC}">
                <c16:uniqueId val="{00000003-4AE3-44E8-BB62-1D62E3422C79}"/>
              </c:ext>
            </c:extLst>
          </c:dPt>
          <c:dPt>
            <c:idx val="6"/>
            <c:invertIfNegative val="0"/>
            <c:bubble3D val="0"/>
            <c:spPr>
              <a:solidFill>
                <a:schemeClr val="tx1"/>
              </a:solidFill>
              <a:ln>
                <a:solidFill>
                  <a:srgbClr val="AFDEFF"/>
                </a:solidFill>
              </a:ln>
              <a:effectLst/>
            </c:spPr>
            <c:extLst>
              <c:ext xmlns:c16="http://schemas.microsoft.com/office/drawing/2014/chart" uri="{C3380CC4-5D6E-409C-BE32-E72D297353CC}">
                <c16:uniqueId val="{00000002-4AE3-44E8-BB62-1D62E3422C79}"/>
              </c:ext>
            </c:extLst>
          </c:dPt>
          <c:dPt>
            <c:idx val="7"/>
            <c:invertIfNegative val="0"/>
            <c:bubble3D val="0"/>
            <c:spPr>
              <a:solidFill>
                <a:schemeClr val="tx1"/>
              </a:solidFill>
              <a:ln>
                <a:solidFill>
                  <a:srgbClr val="AFDEFF"/>
                </a:solidFill>
              </a:ln>
              <a:effectLst/>
            </c:spPr>
            <c:extLst>
              <c:ext xmlns:c16="http://schemas.microsoft.com/office/drawing/2014/chart" uri="{C3380CC4-5D6E-409C-BE32-E72D297353CC}">
                <c16:uniqueId val="{00000001-4AE3-44E8-BB62-1D62E3422C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'HWMS Model'!$D$63:$D$70</c:f>
              <c:strCache>
                <c:ptCount val="8"/>
                <c:pt idx="0">
                  <c:v>2023</c:v>
                </c:pt>
                <c:pt idx="1">
                  <c:v>2029</c:v>
                </c:pt>
                <c:pt idx="2">
                  <c:v>2028</c:v>
                </c:pt>
                <c:pt idx="3">
                  <c:v>2027</c:v>
                </c:pt>
                <c:pt idx="4">
                  <c:v>26 Q3</c:v>
                </c:pt>
                <c:pt idx="5">
                  <c:v>26 Q2</c:v>
                </c:pt>
                <c:pt idx="6">
                  <c:v>26 Q1</c:v>
                </c:pt>
                <c:pt idx="7">
                  <c:v>25 Q4</c:v>
                </c:pt>
              </c:strCache>
            </c:strRef>
          </c:cat>
          <c:val>
            <c:numRef>
              <c:f>'HWMS Model'!$E$63:$E$70</c:f>
              <c:numCache>
                <c:formatCode>_(* #,##0.0_);_(* \(#,##0.0\);_(* "-"??_);_(@_)</c:formatCode>
                <c:ptCount val="8"/>
                <c:pt idx="0">
                  <c:v>1128.9974600217658</c:v>
                </c:pt>
                <c:pt idx="1">
                  <c:v>1026.3613272925143</c:v>
                </c:pt>
                <c:pt idx="2">
                  <c:v>933.0557520841038</c:v>
                </c:pt>
                <c:pt idx="3">
                  <c:v>856.01445145330615</c:v>
                </c:pt>
                <c:pt idx="4">
                  <c:v>200.07530329929585</c:v>
                </c:pt>
                <c:pt idx="5">
                  <c:v>184.17859739843612</c:v>
                </c:pt>
                <c:pt idx="6">
                  <c:v>217.63041856508943</c:v>
                </c:pt>
                <c:pt idx="7">
                  <c:v>183.450039868652</c:v>
                </c:pt>
              </c:numCache>
            </c:numRef>
          </c:val>
          <c:extLst>
            <c:ext xmlns:c16="http://schemas.microsoft.com/office/drawing/2014/chart" uri="{C3380CC4-5D6E-409C-BE32-E72D297353CC}">
              <c16:uniqueId val="{00000000-4AE3-44E8-BB62-1D62E3422C79}"/>
            </c:ext>
          </c:extLst>
        </c:ser>
        <c:dLbls>
          <c:showLegendKey val="0"/>
          <c:showVal val="0"/>
          <c:showCatName val="0"/>
          <c:showSerName val="0"/>
          <c:showPercent val="0"/>
          <c:showBubbleSize val="0"/>
        </c:dLbls>
        <c:gapWidth val="182"/>
        <c:axId val="1400482800"/>
        <c:axId val="1398725696"/>
      </c:barChart>
      <c:catAx>
        <c:axId val="140048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98725696"/>
        <c:crosses val="autoZero"/>
        <c:auto val="1"/>
        <c:lblAlgn val="ctr"/>
        <c:lblOffset val="100"/>
        <c:noMultiLvlLbl val="0"/>
      </c:catAx>
      <c:valAx>
        <c:axId val="1398725696"/>
        <c:scaling>
          <c:orientation val="minMax"/>
        </c:scaling>
        <c:delete val="1"/>
        <c:axPos val="b"/>
        <c:numFmt formatCode="_(* #,##0.0_);_(* \(#,##0.0\);_(* &quot;-&quot;??_);_(@_)" sourceLinked="1"/>
        <c:majorTickMark val="none"/>
        <c:minorTickMark val="none"/>
        <c:tickLblPos val="nextTo"/>
        <c:crossAx val="140048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AWS Remaining Performance Obligations (RPO)</a:t>
            </a:r>
            <a:br>
              <a:rPr lang="en-US" b="1"/>
            </a:br>
            <a:r>
              <a:rPr lang="en-US" sz="1200" baseline="0"/>
              <a:t>Figures in US$ Billions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1.3898570895847158E-2"/>
          <c:y val="0.47466343998129207"/>
          <c:w val="0.88844730951998807"/>
          <c:h val="0.43280706609770592"/>
        </c:manualLayout>
      </c:layout>
      <c:barChart>
        <c:barDir val="col"/>
        <c:grouping val="clustered"/>
        <c:varyColors val="0"/>
        <c:ser>
          <c:idx val="0"/>
          <c:order val="0"/>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Revenue!$D$42:$H$42</c:f>
              <c:numCache>
                <c:formatCode>0\ "A"</c:formatCode>
                <c:ptCount val="5"/>
                <c:pt idx="0">
                  <c:v>2020</c:v>
                </c:pt>
                <c:pt idx="1">
                  <c:v>2021</c:v>
                </c:pt>
                <c:pt idx="2">
                  <c:v>2022</c:v>
                </c:pt>
                <c:pt idx="3">
                  <c:v>2023</c:v>
                </c:pt>
                <c:pt idx="4">
                  <c:v>2024</c:v>
                </c:pt>
              </c:numCache>
            </c:numRef>
          </c:cat>
          <c:val>
            <c:numRef>
              <c:f>Revenue!$D$43:$H$43</c:f>
              <c:numCache>
                <c:formatCode>#,##0_);[Red]\(#,##0\)</c:formatCode>
                <c:ptCount val="5"/>
                <c:pt idx="0">
                  <c:v>50000</c:v>
                </c:pt>
                <c:pt idx="1">
                  <c:v>80000</c:v>
                </c:pt>
                <c:pt idx="2">
                  <c:v>110400</c:v>
                </c:pt>
                <c:pt idx="3">
                  <c:v>155700</c:v>
                </c:pt>
                <c:pt idx="4">
                  <c:v>177000</c:v>
                </c:pt>
              </c:numCache>
            </c:numRef>
          </c:val>
          <c:extLst>
            <c:ext xmlns:c16="http://schemas.microsoft.com/office/drawing/2014/chart" uri="{C3380CC4-5D6E-409C-BE32-E72D297353CC}">
              <c16:uniqueId val="{00000000-9793-4C90-8D30-DD13F81BD5CA}"/>
            </c:ext>
          </c:extLst>
        </c:ser>
        <c:dLbls>
          <c:showLegendKey val="0"/>
          <c:showVal val="0"/>
          <c:showCatName val="0"/>
          <c:showSerName val="0"/>
          <c:showPercent val="0"/>
          <c:showBubbleSize val="0"/>
        </c:dLbls>
        <c:gapWidth val="219"/>
        <c:overlap val="-27"/>
        <c:axId val="1929868304"/>
        <c:axId val="15241008"/>
      </c:barChart>
      <c:catAx>
        <c:axId val="1929868304"/>
        <c:scaling>
          <c:orientation val="minMax"/>
        </c:scaling>
        <c:delete val="0"/>
        <c:axPos val="b"/>
        <c:numFmt formatCode="0\ &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241008"/>
        <c:crosses val="autoZero"/>
        <c:auto val="1"/>
        <c:lblAlgn val="ctr"/>
        <c:lblOffset val="100"/>
        <c:noMultiLvlLbl val="0"/>
      </c:catAx>
      <c:valAx>
        <c:axId val="15241008"/>
        <c:scaling>
          <c:orientation val="minMax"/>
        </c:scaling>
        <c:delete val="1"/>
        <c:axPos val="l"/>
        <c:numFmt formatCode="#,##0_);[Red]\(#,##0\)" sourceLinked="1"/>
        <c:majorTickMark val="none"/>
        <c:minorTickMark val="none"/>
        <c:tickLblPos val="nextTo"/>
        <c:crossAx val="192986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Revenue Evolution</a:t>
            </a:r>
          </a:p>
          <a:p>
            <a:pPr>
              <a:defRPr/>
            </a:pPr>
            <a:r>
              <a:rPr lang="en-US" sz="1200"/>
              <a:t>Figures in US$ Billions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4.807692307692308E-2"/>
          <c:y val="0.31504990865037252"/>
          <c:w val="0.95192307692307687"/>
          <c:h val="0.5798653455869156"/>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5-F94D-489B-B748-0886DAC8D493}"/>
              </c:ext>
            </c:extLst>
          </c:dPt>
          <c:dPt>
            <c:idx val="1"/>
            <c:invertIfNegative val="0"/>
            <c:bubble3D val="0"/>
            <c:spPr>
              <a:solidFill>
                <a:schemeClr val="tx1"/>
              </a:solidFill>
              <a:ln>
                <a:noFill/>
              </a:ln>
              <a:effectLst/>
            </c:spPr>
            <c:extLst>
              <c:ext xmlns:c16="http://schemas.microsoft.com/office/drawing/2014/chart" uri="{C3380CC4-5D6E-409C-BE32-E72D297353CC}">
                <c16:uniqueId val="{00000004-F94D-489B-B748-0886DAC8D493}"/>
              </c:ext>
            </c:extLst>
          </c:dPt>
          <c:dPt>
            <c:idx val="2"/>
            <c:invertIfNegative val="0"/>
            <c:bubble3D val="0"/>
            <c:spPr>
              <a:solidFill>
                <a:schemeClr val="tx1"/>
              </a:solidFill>
              <a:ln>
                <a:noFill/>
              </a:ln>
              <a:effectLst/>
            </c:spPr>
            <c:extLst>
              <c:ext xmlns:c16="http://schemas.microsoft.com/office/drawing/2014/chart" uri="{C3380CC4-5D6E-409C-BE32-E72D297353CC}">
                <c16:uniqueId val="{00000003-F94D-489B-B748-0886DAC8D493}"/>
              </c:ext>
            </c:extLst>
          </c:dPt>
          <c:dPt>
            <c:idx val="3"/>
            <c:invertIfNegative val="0"/>
            <c:bubble3D val="0"/>
            <c:spPr>
              <a:solidFill>
                <a:schemeClr val="tx1"/>
              </a:solidFill>
              <a:ln>
                <a:noFill/>
              </a:ln>
              <a:effectLst/>
            </c:spPr>
            <c:extLst>
              <c:ext xmlns:c16="http://schemas.microsoft.com/office/drawing/2014/chart" uri="{C3380CC4-5D6E-409C-BE32-E72D297353CC}">
                <c16:uniqueId val="{00000002-F94D-489B-B748-0886DAC8D493}"/>
              </c:ext>
            </c:extLst>
          </c:dPt>
          <c:dPt>
            <c:idx val="4"/>
            <c:invertIfNegative val="0"/>
            <c:bubble3D val="0"/>
            <c:spPr>
              <a:solidFill>
                <a:schemeClr val="tx1"/>
              </a:solidFill>
              <a:ln>
                <a:noFill/>
              </a:ln>
              <a:effectLst/>
            </c:spPr>
            <c:extLst>
              <c:ext xmlns:c16="http://schemas.microsoft.com/office/drawing/2014/chart" uri="{C3380CC4-5D6E-409C-BE32-E72D297353CC}">
                <c16:uniqueId val="{00000001-F94D-489B-B748-0886DAC8D493}"/>
              </c:ext>
            </c:extLst>
          </c:dPt>
          <c:dPt>
            <c:idx val="5"/>
            <c:invertIfNegative val="0"/>
            <c:bubble3D val="0"/>
            <c:spPr>
              <a:solidFill>
                <a:srgbClr val="0000FF"/>
              </a:solidFill>
              <a:ln>
                <a:noFill/>
              </a:ln>
              <a:effectLst/>
            </c:spPr>
            <c:extLst>
              <c:ext xmlns:c16="http://schemas.microsoft.com/office/drawing/2014/chart" uri="{C3380CC4-5D6E-409C-BE32-E72D297353CC}">
                <c16:uniqueId val="{0000000A-116C-364F-825F-DDB79A0C44AA}"/>
              </c:ext>
            </c:extLst>
          </c:dPt>
          <c:dPt>
            <c:idx val="6"/>
            <c:invertIfNegative val="0"/>
            <c:bubble3D val="0"/>
            <c:spPr>
              <a:solidFill>
                <a:srgbClr val="0000FF"/>
              </a:solidFill>
              <a:ln>
                <a:noFill/>
              </a:ln>
              <a:effectLst/>
            </c:spPr>
            <c:extLst>
              <c:ext xmlns:c16="http://schemas.microsoft.com/office/drawing/2014/chart" uri="{C3380CC4-5D6E-409C-BE32-E72D297353CC}">
                <c16:uniqueId val="{0000000B-116C-364F-825F-DDB79A0C44AA}"/>
              </c:ext>
            </c:extLst>
          </c:dPt>
          <c:dPt>
            <c:idx val="7"/>
            <c:invertIfNegative val="0"/>
            <c:bubble3D val="0"/>
            <c:spPr>
              <a:solidFill>
                <a:srgbClr val="0000FF"/>
              </a:solidFill>
              <a:ln>
                <a:noFill/>
              </a:ln>
              <a:effectLst/>
            </c:spPr>
            <c:extLst>
              <c:ext xmlns:c16="http://schemas.microsoft.com/office/drawing/2014/chart" uri="{C3380CC4-5D6E-409C-BE32-E72D297353CC}">
                <c16:uniqueId val="{0000000C-116C-364F-825F-DDB79A0C44AA}"/>
              </c:ext>
            </c:extLst>
          </c:dPt>
          <c:dPt>
            <c:idx val="8"/>
            <c:invertIfNegative val="0"/>
            <c:bubble3D val="0"/>
            <c:spPr>
              <a:solidFill>
                <a:srgbClr val="0000FF"/>
              </a:solidFill>
              <a:ln>
                <a:noFill/>
              </a:ln>
              <a:effectLst/>
            </c:spPr>
            <c:extLst>
              <c:ext xmlns:c16="http://schemas.microsoft.com/office/drawing/2014/chart" uri="{C3380CC4-5D6E-409C-BE32-E72D297353CC}">
                <c16:uniqueId val="{0000000D-116C-364F-825F-DDB79A0C44AA}"/>
              </c:ext>
            </c:extLst>
          </c:dPt>
          <c:dPt>
            <c:idx val="9"/>
            <c:invertIfNegative val="0"/>
            <c:bubble3D val="0"/>
            <c:spPr>
              <a:solidFill>
                <a:srgbClr val="0000FF"/>
              </a:solidFill>
              <a:ln>
                <a:noFill/>
              </a:ln>
              <a:effectLst/>
            </c:spPr>
            <c:extLst>
              <c:ext xmlns:c16="http://schemas.microsoft.com/office/drawing/2014/chart" uri="{C3380CC4-5D6E-409C-BE32-E72D297353CC}">
                <c16:uniqueId val="{0000000E-116C-364F-825F-DDB79A0C44A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Revenue!$D$32:$M$32</c:f>
              <c:numCache>
                <c:formatCode>0\ "A"</c:formatCode>
                <c:ptCount val="10"/>
                <c:pt idx="0">
                  <c:v>2020</c:v>
                </c:pt>
                <c:pt idx="1">
                  <c:v>2021</c:v>
                </c:pt>
                <c:pt idx="2">
                  <c:v>2022</c:v>
                </c:pt>
                <c:pt idx="3">
                  <c:v>2023</c:v>
                </c:pt>
                <c:pt idx="4">
                  <c:v>2024</c:v>
                </c:pt>
                <c:pt idx="5" formatCode="0\ &quot;F&quot;">
                  <c:v>2025</c:v>
                </c:pt>
                <c:pt idx="6" formatCode="0\ &quot;F&quot;">
                  <c:v>2026</c:v>
                </c:pt>
                <c:pt idx="7" formatCode="0\ &quot;F&quot;">
                  <c:v>2027</c:v>
                </c:pt>
                <c:pt idx="8" formatCode="0\ &quot;F&quot;">
                  <c:v>2028</c:v>
                </c:pt>
                <c:pt idx="9" formatCode="0\ &quot;F&quot;">
                  <c:v>2029</c:v>
                </c:pt>
              </c:numCache>
            </c:numRef>
          </c:cat>
          <c:val>
            <c:numRef>
              <c:f>Revenue!$D$33:$M$33</c:f>
              <c:numCache>
                <c:formatCode>#,##0</c:formatCode>
                <c:ptCount val="10"/>
                <c:pt idx="0">
                  <c:v>386.06400000000002</c:v>
                </c:pt>
                <c:pt idx="1">
                  <c:v>469.822</c:v>
                </c:pt>
                <c:pt idx="2">
                  <c:v>513.98299999999995</c:v>
                </c:pt>
                <c:pt idx="3">
                  <c:v>574.78499999999997</c:v>
                </c:pt>
                <c:pt idx="4">
                  <c:v>637.95899999999995</c:v>
                </c:pt>
                <c:pt idx="5" formatCode="#,##0_);[Red]\(#,##0\)">
                  <c:v>785.33435913147343</c:v>
                </c:pt>
                <c:pt idx="6" formatCode="#,##0_);[Red]\(#,##0\)">
                  <c:v>856.01445145330615</c:v>
                </c:pt>
                <c:pt idx="7" formatCode="#,##0_);[Red]\(#,##0\)">
                  <c:v>933.0557520841038</c:v>
                </c:pt>
                <c:pt idx="8" formatCode="#,##0_);[Red]\(#,##0\)">
                  <c:v>1026.3613272925143</c:v>
                </c:pt>
                <c:pt idx="9" formatCode="#,##0_);[Red]\(#,##0\)">
                  <c:v>1128.9974600217658</c:v>
                </c:pt>
              </c:numCache>
            </c:numRef>
          </c:val>
          <c:extLst>
            <c:ext xmlns:c16="http://schemas.microsoft.com/office/drawing/2014/chart" uri="{C3380CC4-5D6E-409C-BE32-E72D297353CC}">
              <c16:uniqueId val="{00000000-F94D-489B-B748-0886DAC8D493}"/>
            </c:ext>
          </c:extLst>
        </c:ser>
        <c:dLbls>
          <c:showLegendKey val="0"/>
          <c:showVal val="0"/>
          <c:showCatName val="0"/>
          <c:showSerName val="0"/>
          <c:showPercent val="0"/>
          <c:showBubbleSize val="0"/>
        </c:dLbls>
        <c:gapWidth val="219"/>
        <c:overlap val="-27"/>
        <c:axId val="2108205903"/>
        <c:axId val="1190356895"/>
      </c:barChart>
      <c:catAx>
        <c:axId val="2108205903"/>
        <c:scaling>
          <c:orientation val="minMax"/>
        </c:scaling>
        <c:delete val="0"/>
        <c:axPos val="b"/>
        <c:numFmt formatCode="0\ &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90356895"/>
        <c:crosses val="autoZero"/>
        <c:auto val="1"/>
        <c:lblAlgn val="ctr"/>
        <c:lblOffset val="100"/>
        <c:noMultiLvlLbl val="0"/>
      </c:catAx>
      <c:valAx>
        <c:axId val="1190356895"/>
        <c:scaling>
          <c:orientation val="minMax"/>
        </c:scaling>
        <c:delete val="1"/>
        <c:axPos val="l"/>
        <c:numFmt formatCode="#,##0" sourceLinked="1"/>
        <c:majorTickMark val="none"/>
        <c:minorTickMark val="none"/>
        <c:tickLblPos val="nextTo"/>
        <c:crossAx val="210820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Revenues by Geography</a:t>
            </a:r>
          </a:p>
        </c:rich>
      </c:tx>
      <c:layout>
        <c:manualLayout>
          <c:xMode val="edge"/>
          <c:yMode val="edge"/>
          <c:x val="0.25086879924704059"/>
          <c:y val="5.28011717319663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395587977990419"/>
          <c:y val="0.21289405148973778"/>
          <c:w val="0.68304891219094277"/>
          <c:h val="0.53275040844446997"/>
        </c:manualLayout>
      </c:layout>
      <c:doughnutChart>
        <c:varyColors val="1"/>
        <c:ser>
          <c:idx val="0"/>
          <c:order val="0"/>
          <c:spPr>
            <a:solidFill>
              <a:srgbClr val="0000FF"/>
            </a:solidFill>
          </c:spPr>
          <c:dPt>
            <c:idx val="0"/>
            <c:bubble3D val="0"/>
            <c:spPr>
              <a:solidFill>
                <a:srgbClr val="0000FF"/>
              </a:solidFill>
              <a:ln w="19050">
                <a:solidFill>
                  <a:schemeClr val="lt1"/>
                </a:solidFill>
              </a:ln>
              <a:effectLst/>
            </c:spPr>
            <c:extLst>
              <c:ext xmlns:c16="http://schemas.microsoft.com/office/drawing/2014/chart" uri="{C3380CC4-5D6E-409C-BE32-E72D297353CC}">
                <c16:uniqueId val="{00000001-7641-4930-89AB-FDC4232B2342}"/>
              </c:ext>
            </c:extLst>
          </c:dPt>
          <c:dPt>
            <c:idx val="1"/>
            <c:bubble3D val="0"/>
            <c:spPr>
              <a:solidFill>
                <a:srgbClr val="6B83FD"/>
              </a:solidFill>
              <a:ln w="19050">
                <a:solidFill>
                  <a:schemeClr val="lt1"/>
                </a:solidFill>
              </a:ln>
              <a:effectLst/>
            </c:spPr>
            <c:extLst>
              <c:ext xmlns:c16="http://schemas.microsoft.com/office/drawing/2014/chart" uri="{C3380CC4-5D6E-409C-BE32-E72D297353CC}">
                <c16:uniqueId val="{00000003-7641-4930-89AB-FDC4232B2342}"/>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7641-4930-89AB-FDC4232B2342}"/>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7-7641-4930-89AB-FDC4232B2342}"/>
              </c:ext>
            </c:extLst>
          </c:dPt>
          <c:dPt>
            <c:idx val="4"/>
            <c:bubble3D val="0"/>
            <c:spPr>
              <a:solidFill>
                <a:srgbClr val="AFDEFF"/>
              </a:solidFill>
              <a:ln w="19050">
                <a:solidFill>
                  <a:schemeClr val="lt1"/>
                </a:solidFill>
              </a:ln>
              <a:effectLst/>
            </c:spPr>
            <c:extLst>
              <c:ext xmlns:c16="http://schemas.microsoft.com/office/drawing/2014/chart" uri="{C3380CC4-5D6E-409C-BE32-E72D297353CC}">
                <c16:uniqueId val="{00000009-B26D-4F4E-B158-7FADBE2830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Revenue!$C$83:$C$87</c:f>
              <c:strCache>
                <c:ptCount val="5"/>
                <c:pt idx="0">
                  <c:v>United States</c:v>
                </c:pt>
                <c:pt idx="1">
                  <c:v>Germany</c:v>
                </c:pt>
                <c:pt idx="2">
                  <c:v>United Kingdom</c:v>
                </c:pt>
                <c:pt idx="3">
                  <c:v>Japan</c:v>
                </c:pt>
                <c:pt idx="4">
                  <c:v>Rest Of World</c:v>
                </c:pt>
              </c:strCache>
            </c:strRef>
          </c:cat>
          <c:val>
            <c:numRef>
              <c:f>Revenue!$H$83:$H$87</c:f>
              <c:numCache>
                <c:formatCode>#,##0%_);[Red]\(#,##0%\)</c:formatCode>
                <c:ptCount val="5"/>
                <c:pt idx="0">
                  <c:v>0.68658800957428301</c:v>
                </c:pt>
                <c:pt idx="1">
                  <c:v>6.4041733089430508E-2</c:v>
                </c:pt>
                <c:pt idx="2">
                  <c:v>5.9337669035157435E-2</c:v>
                </c:pt>
                <c:pt idx="3">
                  <c:v>4.29510360383661E-2</c:v>
                </c:pt>
                <c:pt idx="4">
                  <c:v>0.14708155226276295</c:v>
                </c:pt>
              </c:numCache>
            </c:numRef>
          </c:val>
          <c:extLst>
            <c:ext xmlns:c16="http://schemas.microsoft.com/office/drawing/2014/chart" uri="{C3380CC4-5D6E-409C-BE32-E72D297353CC}">
              <c16:uniqueId val="{00000008-7641-4930-89AB-FDC4232B2342}"/>
            </c:ext>
          </c:extLst>
        </c:ser>
        <c:dLbls>
          <c:showLegendKey val="0"/>
          <c:showVal val="0"/>
          <c:showCatName val="0"/>
          <c:showSerName val="0"/>
          <c:showPercent val="0"/>
          <c:showBubbleSize val="0"/>
          <c:showLeaderLines val="1"/>
        </c:dLbls>
        <c:firstSliceAng val="0"/>
        <c:holeSize val="63"/>
      </c:doughnutChart>
      <c:spPr>
        <a:noFill/>
        <a:ln>
          <a:noFill/>
        </a:ln>
        <a:effectLst/>
      </c:spPr>
    </c:plotArea>
    <c:legend>
      <c:legendPos val="b"/>
      <c:layout>
        <c:manualLayout>
          <c:xMode val="edge"/>
          <c:yMode val="edge"/>
          <c:x val="3.2255680378410331E-3"/>
          <c:y val="0.77234753734822115"/>
          <c:w val="0.9967746053019968"/>
          <c:h val="0.186565325167687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Revenues by Segment</a:t>
            </a:r>
          </a:p>
        </c:rich>
      </c:tx>
      <c:layout>
        <c:manualLayout>
          <c:xMode val="edge"/>
          <c:yMode val="edge"/>
          <c:x val="0.14462470553486395"/>
          <c:y val="4.9751243781094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19013282677751"/>
          <c:y val="0.14372157410700345"/>
          <c:w val="0.72061301229685415"/>
          <c:h val="0.64777480441560487"/>
        </c:manualLayout>
      </c:layout>
      <c:doughnutChart>
        <c:varyColors val="1"/>
        <c:ser>
          <c:idx val="0"/>
          <c:order val="0"/>
          <c:dPt>
            <c:idx val="0"/>
            <c:bubble3D val="0"/>
            <c:spPr>
              <a:solidFill>
                <a:srgbClr val="0000FF"/>
              </a:solidFill>
              <a:ln w="19050">
                <a:solidFill>
                  <a:schemeClr val="lt1"/>
                </a:solidFill>
              </a:ln>
              <a:effectLst/>
            </c:spPr>
            <c:extLst>
              <c:ext xmlns:c16="http://schemas.microsoft.com/office/drawing/2014/chart" uri="{C3380CC4-5D6E-409C-BE32-E72D297353CC}">
                <c16:uniqueId val="{00000001-543C-4E26-A683-3D8A5C8F960A}"/>
              </c:ext>
            </c:extLst>
          </c:dPt>
          <c:dPt>
            <c:idx val="1"/>
            <c:bubble3D val="0"/>
            <c:spPr>
              <a:solidFill>
                <a:srgbClr val="AFDEFF"/>
              </a:solidFill>
              <a:ln w="19050">
                <a:solidFill>
                  <a:schemeClr val="lt1"/>
                </a:solidFill>
              </a:ln>
              <a:effectLst/>
            </c:spPr>
            <c:extLst>
              <c:ext xmlns:c16="http://schemas.microsoft.com/office/drawing/2014/chart" uri="{C3380CC4-5D6E-409C-BE32-E72D297353CC}">
                <c16:uniqueId val="{00000003-543C-4E26-A683-3D8A5C8F960A}"/>
              </c:ext>
            </c:extLst>
          </c:dPt>
          <c:dPt>
            <c:idx val="2"/>
            <c:bubble3D val="0"/>
            <c:spPr>
              <a:solidFill>
                <a:srgbClr val="6B83FD"/>
              </a:solidFill>
              <a:ln w="19050">
                <a:solidFill>
                  <a:schemeClr val="lt1"/>
                </a:solidFill>
              </a:ln>
              <a:effectLst/>
            </c:spPr>
            <c:extLst>
              <c:ext xmlns:c16="http://schemas.microsoft.com/office/drawing/2014/chart" uri="{C3380CC4-5D6E-409C-BE32-E72D297353CC}">
                <c16:uniqueId val="{00000005-543C-4E26-A683-3D8A5C8F960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Revenue!$C$56:$C$58</c:f>
              <c:strCache>
                <c:ptCount val="3"/>
                <c:pt idx="0">
                  <c:v>North America</c:v>
                </c:pt>
                <c:pt idx="1">
                  <c:v>International</c:v>
                </c:pt>
                <c:pt idx="2">
                  <c:v>AWS</c:v>
                </c:pt>
              </c:strCache>
            </c:strRef>
          </c:cat>
          <c:val>
            <c:numRef>
              <c:f>Revenue!$H$56:$H$58</c:f>
              <c:numCache>
                <c:formatCode>#,##0%_);[Red]\(#,##0%\)</c:formatCode>
                <c:ptCount val="3"/>
                <c:pt idx="0">
                  <c:v>0.6074011025786924</c:v>
                </c:pt>
                <c:pt idx="1">
                  <c:v>0.22400499091634415</c:v>
                </c:pt>
                <c:pt idx="2">
                  <c:v>0.16859390650496348</c:v>
                </c:pt>
              </c:numCache>
            </c:numRef>
          </c:val>
          <c:extLst>
            <c:ext xmlns:c16="http://schemas.microsoft.com/office/drawing/2014/chart" uri="{C3380CC4-5D6E-409C-BE32-E72D297353CC}">
              <c16:uniqueId val="{00000008-543C-4E26-A683-3D8A5C8F960A}"/>
            </c:ext>
          </c:extLst>
        </c:ser>
        <c:dLbls>
          <c:showLegendKey val="0"/>
          <c:showVal val="0"/>
          <c:showCatName val="0"/>
          <c:showSerName val="0"/>
          <c:showPercent val="0"/>
          <c:showBubbleSize val="0"/>
          <c:showLeaderLines val="1"/>
        </c:dLbls>
        <c:firstSliceAng val="0"/>
        <c:holeSize val="63"/>
      </c:doughnutChart>
      <c:spPr>
        <a:noFill/>
        <a:ln>
          <a:noFill/>
        </a:ln>
        <a:effectLst/>
      </c:spPr>
    </c:plotArea>
    <c:legend>
      <c:legendPos val="b"/>
      <c:layout>
        <c:manualLayout>
          <c:xMode val="edge"/>
          <c:yMode val="edge"/>
          <c:x val="3.2253946980031738E-3"/>
          <c:y val="0.81343467483231247"/>
          <c:w val="0.9967746053019968"/>
          <c:h val="0.186565325167687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Global IT Spending (AWS Driver)</a:t>
            </a:r>
            <a:br>
              <a:rPr lang="en-US"/>
            </a:br>
            <a:r>
              <a:rPr lang="en-US" b="0"/>
              <a:t>Figures in US$ Billions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4.2368450475828122E-2"/>
          <c:y val="0.47466354465759281"/>
          <c:w val="0.88844730951998807"/>
          <c:h val="0.43280706609770592"/>
        </c:manualLayout>
      </c:layout>
      <c:barChart>
        <c:barDir val="col"/>
        <c:grouping val="clustered"/>
        <c:varyColors val="0"/>
        <c:ser>
          <c:idx val="0"/>
          <c:order val="0"/>
          <c:spPr>
            <a:solidFill>
              <a:srgbClr val="0000FF"/>
            </a:solidFill>
            <a:ln>
              <a:noFill/>
            </a:ln>
            <a:effectLst/>
          </c:spPr>
          <c:invertIfNegative val="0"/>
          <c:dPt>
            <c:idx val="0"/>
            <c:invertIfNegative val="0"/>
            <c:bubble3D val="0"/>
            <c:spPr>
              <a:solidFill>
                <a:srgbClr val="0000FF"/>
              </a:solidFill>
              <a:ln>
                <a:noFill/>
              </a:ln>
              <a:effectLst/>
            </c:spPr>
            <c:extLst>
              <c:ext xmlns:c16="http://schemas.microsoft.com/office/drawing/2014/chart" uri="{C3380CC4-5D6E-409C-BE32-E72D297353CC}">
                <c16:uniqueId val="{00000001-A6C6-714F-805C-B0651E7A29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Revenue!$D$63:$H$63</c:f>
              <c:numCache>
                <c:formatCode>0\ "A"</c:formatCode>
                <c:ptCount val="5"/>
                <c:pt idx="0">
                  <c:v>2020</c:v>
                </c:pt>
                <c:pt idx="1">
                  <c:v>2021</c:v>
                </c:pt>
                <c:pt idx="2">
                  <c:v>2022</c:v>
                </c:pt>
                <c:pt idx="3">
                  <c:v>2023</c:v>
                </c:pt>
                <c:pt idx="4">
                  <c:v>2024</c:v>
                </c:pt>
              </c:numCache>
            </c:numRef>
          </c:cat>
          <c:val>
            <c:numRef>
              <c:f>Revenue!$D$68:$H$68</c:f>
              <c:numCache>
                <c:formatCode>#,##0_);[Red]\(#,##0\)</c:formatCode>
                <c:ptCount val="5"/>
                <c:pt idx="0">
                  <c:v>3695</c:v>
                </c:pt>
                <c:pt idx="1">
                  <c:v>4241</c:v>
                </c:pt>
                <c:pt idx="2">
                  <c:v>4533</c:v>
                </c:pt>
                <c:pt idx="3">
                  <c:v>4693</c:v>
                </c:pt>
                <c:pt idx="4">
                  <c:v>5069</c:v>
                </c:pt>
              </c:numCache>
            </c:numRef>
          </c:val>
          <c:extLst>
            <c:ext xmlns:c16="http://schemas.microsoft.com/office/drawing/2014/chart" uri="{C3380CC4-5D6E-409C-BE32-E72D297353CC}">
              <c16:uniqueId val="{00000000-A6C6-714F-805C-B0651E7A291B}"/>
            </c:ext>
          </c:extLst>
        </c:ser>
        <c:dLbls>
          <c:dLblPos val="outEnd"/>
          <c:showLegendKey val="0"/>
          <c:showVal val="1"/>
          <c:showCatName val="0"/>
          <c:showSerName val="0"/>
          <c:showPercent val="0"/>
          <c:showBubbleSize val="0"/>
        </c:dLbls>
        <c:gapWidth val="100"/>
        <c:overlap val="-24"/>
        <c:axId val="1929868304"/>
        <c:axId val="15241008"/>
      </c:barChart>
      <c:catAx>
        <c:axId val="1929868304"/>
        <c:scaling>
          <c:orientation val="minMax"/>
        </c:scaling>
        <c:delete val="0"/>
        <c:axPos val="b"/>
        <c:numFmt formatCode="0\ &quot;A&quot;"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41008"/>
        <c:crosses val="autoZero"/>
        <c:auto val="1"/>
        <c:lblAlgn val="ctr"/>
        <c:lblOffset val="100"/>
        <c:noMultiLvlLbl val="0"/>
      </c:catAx>
      <c:valAx>
        <c:axId val="15241008"/>
        <c:scaling>
          <c:orientation val="minMax"/>
        </c:scaling>
        <c:delete val="0"/>
        <c:axPos val="l"/>
        <c:majorGridlines>
          <c:spPr>
            <a:ln w="9525" cap="flat" cmpd="sng" algn="ctr">
              <a:solidFill>
                <a:schemeClr val="tx2">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986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Global GDP </a:t>
            </a:r>
          </a:p>
          <a:p>
            <a:pPr>
              <a:defRPr/>
            </a:pPr>
            <a:r>
              <a:rPr lang="en-US" b="1"/>
              <a:t>(Int Driver)</a:t>
            </a:r>
          </a:p>
          <a:p>
            <a:pPr>
              <a:defRPr/>
            </a:pPr>
            <a:r>
              <a:rPr lang="en-US"/>
              <a:t>Figures in US$ Billions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2368450475828122E-2"/>
          <c:y val="0.47466354465759281"/>
          <c:w val="0.88844730951998807"/>
          <c:h val="0.43280706609770592"/>
        </c:manualLayout>
      </c:layout>
      <c:barChart>
        <c:barDir val="col"/>
        <c:grouping val="clustered"/>
        <c:varyColors val="0"/>
        <c:ser>
          <c:idx val="0"/>
          <c:order val="0"/>
          <c:spPr>
            <a:solidFill>
              <a:srgbClr val="0000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Revenue!$D$63:$H$63</c:f>
              <c:numCache>
                <c:formatCode>0\ "A"</c:formatCode>
                <c:ptCount val="5"/>
                <c:pt idx="0">
                  <c:v>2020</c:v>
                </c:pt>
                <c:pt idx="1">
                  <c:v>2021</c:v>
                </c:pt>
                <c:pt idx="2">
                  <c:v>2022</c:v>
                </c:pt>
                <c:pt idx="3">
                  <c:v>2023</c:v>
                </c:pt>
                <c:pt idx="4">
                  <c:v>2024</c:v>
                </c:pt>
              </c:numCache>
            </c:numRef>
          </c:cat>
          <c:val>
            <c:numRef>
              <c:f>Revenue!$D$66:$H$66</c:f>
              <c:numCache>
                <c:formatCode>#,##0_);[Red]\(#,##0\)</c:formatCode>
                <c:ptCount val="5"/>
                <c:pt idx="0">
                  <c:v>85200</c:v>
                </c:pt>
                <c:pt idx="1">
                  <c:v>96500</c:v>
                </c:pt>
                <c:pt idx="2">
                  <c:v>100500</c:v>
                </c:pt>
                <c:pt idx="3">
                  <c:v>104800</c:v>
                </c:pt>
                <c:pt idx="4">
                  <c:v>111300</c:v>
                </c:pt>
              </c:numCache>
            </c:numRef>
          </c:val>
          <c:extLst>
            <c:ext xmlns:c16="http://schemas.microsoft.com/office/drawing/2014/chart" uri="{C3380CC4-5D6E-409C-BE32-E72D297353CC}">
              <c16:uniqueId val="{00000002-0EDC-CB4F-AB04-0F7E7531F80A}"/>
            </c:ext>
          </c:extLst>
        </c:ser>
        <c:dLbls>
          <c:dLblPos val="outEnd"/>
          <c:showLegendKey val="0"/>
          <c:showVal val="1"/>
          <c:showCatName val="0"/>
          <c:showSerName val="0"/>
          <c:showPercent val="0"/>
          <c:showBubbleSize val="0"/>
        </c:dLbls>
        <c:gapWidth val="219"/>
        <c:overlap val="-27"/>
        <c:axId val="1929868304"/>
        <c:axId val="15241008"/>
      </c:barChart>
      <c:catAx>
        <c:axId val="1929868304"/>
        <c:scaling>
          <c:orientation val="minMax"/>
        </c:scaling>
        <c:delete val="0"/>
        <c:axPos val="b"/>
        <c:numFmt formatCode="0\ &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1008"/>
        <c:crosses val="autoZero"/>
        <c:auto val="1"/>
        <c:lblAlgn val="ctr"/>
        <c:lblOffset val="100"/>
        <c:noMultiLvlLbl val="0"/>
      </c:catAx>
      <c:valAx>
        <c:axId val="1524100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86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Real PCE </a:t>
            </a:r>
          </a:p>
          <a:p>
            <a:pPr>
              <a:defRPr/>
            </a:pPr>
            <a:r>
              <a:rPr lang="en-US" b="1"/>
              <a:t>(NA Driver) </a:t>
            </a:r>
          </a:p>
          <a:p>
            <a:pPr>
              <a:defRPr/>
            </a:pPr>
            <a:r>
              <a:rPr lang="en-US"/>
              <a:t>Figures in US$ Billions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2368450475828122E-2"/>
          <c:y val="0.47466354465759281"/>
          <c:w val="0.88844730951998807"/>
          <c:h val="0.43280706609770592"/>
        </c:manualLayout>
      </c:layout>
      <c:barChart>
        <c:barDir val="col"/>
        <c:grouping val="clustered"/>
        <c:varyColors val="0"/>
        <c:ser>
          <c:idx val="0"/>
          <c:order val="0"/>
          <c:spPr>
            <a:solidFill>
              <a:srgbClr val="0000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Revenue!$D$63:$H$63</c:f>
              <c:numCache>
                <c:formatCode>0\ "A"</c:formatCode>
                <c:ptCount val="5"/>
                <c:pt idx="0">
                  <c:v>2020</c:v>
                </c:pt>
                <c:pt idx="1">
                  <c:v>2021</c:v>
                </c:pt>
                <c:pt idx="2">
                  <c:v>2022</c:v>
                </c:pt>
                <c:pt idx="3">
                  <c:v>2023</c:v>
                </c:pt>
                <c:pt idx="4">
                  <c:v>2024</c:v>
                </c:pt>
              </c:numCache>
            </c:numRef>
          </c:cat>
          <c:val>
            <c:numRef>
              <c:f>Revenue!$D$64:$H$64</c:f>
              <c:numCache>
                <c:formatCode>#,##0_);[Red]\(#,##0\)</c:formatCode>
                <c:ptCount val="5"/>
                <c:pt idx="0">
                  <c:v>13597</c:v>
                </c:pt>
                <c:pt idx="1">
                  <c:v>14792</c:v>
                </c:pt>
                <c:pt idx="2">
                  <c:v>15237</c:v>
                </c:pt>
                <c:pt idx="3">
                  <c:v>15628</c:v>
                </c:pt>
                <c:pt idx="4">
                  <c:v>16089</c:v>
                </c:pt>
              </c:numCache>
            </c:numRef>
          </c:val>
          <c:extLst>
            <c:ext xmlns:c16="http://schemas.microsoft.com/office/drawing/2014/chart" uri="{C3380CC4-5D6E-409C-BE32-E72D297353CC}">
              <c16:uniqueId val="{00000000-A784-174E-A0AC-74982737C42A}"/>
            </c:ext>
          </c:extLst>
        </c:ser>
        <c:dLbls>
          <c:dLblPos val="outEnd"/>
          <c:showLegendKey val="0"/>
          <c:showVal val="1"/>
          <c:showCatName val="0"/>
          <c:showSerName val="0"/>
          <c:showPercent val="0"/>
          <c:showBubbleSize val="0"/>
        </c:dLbls>
        <c:gapWidth val="219"/>
        <c:overlap val="-27"/>
        <c:axId val="1929868304"/>
        <c:axId val="15241008"/>
      </c:barChart>
      <c:catAx>
        <c:axId val="1929868304"/>
        <c:scaling>
          <c:orientation val="minMax"/>
        </c:scaling>
        <c:delete val="0"/>
        <c:axPos val="b"/>
        <c:numFmt formatCode="0\ &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1008"/>
        <c:crosses val="autoZero"/>
        <c:auto val="1"/>
        <c:lblAlgn val="ctr"/>
        <c:lblOffset val="100"/>
        <c:noMultiLvlLbl val="0"/>
      </c:catAx>
      <c:valAx>
        <c:axId val="1524100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86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a:t>Relative</a:t>
            </a:r>
            <a:r>
              <a:rPr lang="en-US" sz="1000" b="1" baseline="0"/>
              <a:t> Valuation Summary</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stacked"/>
        <c:varyColors val="0"/>
        <c:ser>
          <c:idx val="0"/>
          <c:order val="0"/>
          <c:spPr>
            <a:noFill/>
            <a:ln>
              <a:noFill/>
            </a:ln>
            <a:effectLst/>
          </c:spPr>
          <c:invertIfNegative val="0"/>
          <c:cat>
            <c:strRef>
              <c:f>Multiples!$P$63:$P$66</c:f>
              <c:strCache>
                <c:ptCount val="4"/>
                <c:pt idx="0">
                  <c:v>EV/Sales</c:v>
                </c:pt>
                <c:pt idx="1">
                  <c:v>EV/EBIT</c:v>
                </c:pt>
                <c:pt idx="2">
                  <c:v>EV/EBITDA</c:v>
                </c:pt>
                <c:pt idx="3">
                  <c:v>P/E</c:v>
                </c:pt>
              </c:strCache>
            </c:strRef>
          </c:cat>
          <c:val>
            <c:numRef>
              <c:f>Multiples!$R$63:$R$66</c:f>
              <c:numCache>
                <c:formatCode>#,##0.00</c:formatCode>
                <c:ptCount val="4"/>
                <c:pt idx="0">
                  <c:v>-44.417949732383171</c:v>
                </c:pt>
                <c:pt idx="1">
                  <c:v>-47.928597212054676</c:v>
                </c:pt>
                <c:pt idx="2">
                  <c:v>-48.150494559078986</c:v>
                </c:pt>
                <c:pt idx="3">
                  <c:v>16.772007237436316</c:v>
                </c:pt>
              </c:numCache>
            </c:numRef>
          </c:val>
          <c:extLst>
            <c:ext xmlns:c16="http://schemas.microsoft.com/office/drawing/2014/chart" uri="{C3380CC4-5D6E-409C-BE32-E72D297353CC}">
              <c16:uniqueId val="{00000000-70A7-46E8-8424-EBF0B108697E}"/>
            </c:ext>
          </c:extLst>
        </c:ser>
        <c:ser>
          <c:idx val="1"/>
          <c:order val="1"/>
          <c:spPr>
            <a:solidFill>
              <a:schemeClr val="tx1"/>
            </a:solidFill>
            <a:ln>
              <a:noFill/>
            </a:ln>
            <a:effectLst/>
          </c:spPr>
          <c:invertIfNegative val="0"/>
          <c:cat>
            <c:strRef>
              <c:f>Multiples!$P$63:$P$66</c:f>
              <c:strCache>
                <c:ptCount val="4"/>
                <c:pt idx="0">
                  <c:v>EV/Sales</c:v>
                </c:pt>
                <c:pt idx="1">
                  <c:v>EV/EBIT</c:v>
                </c:pt>
                <c:pt idx="2">
                  <c:v>EV/EBITDA</c:v>
                </c:pt>
                <c:pt idx="3">
                  <c:v>P/E</c:v>
                </c:pt>
              </c:strCache>
            </c:strRef>
          </c:cat>
          <c:val>
            <c:numRef>
              <c:f>Multiples!$S$63:$S$66</c:f>
              <c:numCache>
                <c:formatCode>#,##0.00</c:formatCode>
                <c:ptCount val="4"/>
                <c:pt idx="0">
                  <c:v>527.6809048947888</c:v>
                </c:pt>
                <c:pt idx="1">
                  <c:v>176.61254649036016</c:v>
                </c:pt>
                <c:pt idx="2">
                  <c:v>127.28088381850517</c:v>
                </c:pt>
                <c:pt idx="3">
                  <c:v>173.91610838627679</c:v>
                </c:pt>
              </c:numCache>
            </c:numRef>
          </c:val>
          <c:extLst>
            <c:ext xmlns:c16="http://schemas.microsoft.com/office/drawing/2014/chart" uri="{C3380CC4-5D6E-409C-BE32-E72D297353CC}">
              <c16:uniqueId val="{00000001-70A7-46E8-8424-EBF0B108697E}"/>
            </c:ext>
          </c:extLst>
        </c:ser>
        <c:ser>
          <c:idx val="2"/>
          <c:order val="2"/>
          <c:spPr>
            <a:noFill/>
            <a:ln>
              <a:noFill/>
            </a:ln>
            <a:effectLst/>
          </c:spPr>
          <c:invertIfNegative val="0"/>
          <c:cat>
            <c:strRef>
              <c:f>Multiples!$P$63:$P$66</c:f>
              <c:strCache>
                <c:ptCount val="4"/>
                <c:pt idx="0">
                  <c:v>EV/Sales</c:v>
                </c:pt>
                <c:pt idx="1">
                  <c:v>EV/EBIT</c:v>
                </c:pt>
                <c:pt idx="2">
                  <c:v>EV/EBITDA</c:v>
                </c:pt>
                <c:pt idx="3">
                  <c:v>P/E</c:v>
                </c:pt>
              </c:strCache>
            </c:strRef>
          </c:cat>
          <c:val>
            <c:numRef>
              <c:f>Multiples!$T$63:$T$66</c:f>
              <c:numCache>
                <c:formatCode>#,##0.00</c:formatCode>
                <c:ptCount val="4"/>
                <c:pt idx="0">
                  <c:v>172.81427454989287</c:v>
                </c:pt>
                <c:pt idx="1">
                  <c:v>46.203920416327939</c:v>
                </c:pt>
                <c:pt idx="2">
                  <c:v>52.382929587372068</c:v>
                </c:pt>
                <c:pt idx="3">
                  <c:v>70.696530953358248</c:v>
                </c:pt>
              </c:numCache>
            </c:numRef>
          </c:val>
          <c:extLst>
            <c:ext xmlns:c16="http://schemas.microsoft.com/office/drawing/2014/chart" uri="{C3380CC4-5D6E-409C-BE32-E72D297353CC}">
              <c16:uniqueId val="{00000002-70A7-46E8-8424-EBF0B108697E}"/>
            </c:ext>
          </c:extLst>
        </c:ser>
        <c:dLbls>
          <c:showLegendKey val="0"/>
          <c:showVal val="0"/>
          <c:showCatName val="0"/>
          <c:showSerName val="0"/>
          <c:showPercent val="0"/>
          <c:showBubbleSize val="0"/>
        </c:dLbls>
        <c:gapWidth val="150"/>
        <c:overlap val="100"/>
        <c:axId val="1610841872"/>
        <c:axId val="195510239"/>
      </c:barChart>
      <c:catAx>
        <c:axId val="1610841872"/>
        <c:scaling>
          <c:orientation val="minMax"/>
        </c:scaling>
        <c:delete val="0"/>
        <c:axPos val="l"/>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510239"/>
        <c:crosses val="autoZero"/>
        <c:auto val="1"/>
        <c:lblAlgn val="ctr"/>
        <c:lblOffset val="100"/>
        <c:noMultiLvlLbl val="0"/>
      </c:catAx>
      <c:valAx>
        <c:axId val="195510239"/>
        <c:scaling>
          <c:orientation val="minMax"/>
          <c:max val="230"/>
          <c:min val="50"/>
        </c:scaling>
        <c:delete val="0"/>
        <c:axPos val="b"/>
        <c:numFmt formatCode="#,##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10841872"/>
        <c:crosses val="autoZero"/>
        <c:crossBetween val="between"/>
        <c:majorUnit val="25"/>
        <c:min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t>DuPont Profitability Analysis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1"/>
          <c:order val="1"/>
          <c:tx>
            <c:v>Asset Turnover</c:v>
          </c:tx>
          <c:spPr>
            <a:solidFill>
              <a:schemeClr val="tx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'Forecasted FS'!$E$135:$J$135</c:f>
              <c:strCache>
                <c:ptCount val="6"/>
                <c:pt idx="0">
                  <c:v> 2024 Actual </c:v>
                </c:pt>
                <c:pt idx="1">
                  <c:v>2025 F</c:v>
                </c:pt>
                <c:pt idx="2">
                  <c:v>2026 F</c:v>
                </c:pt>
                <c:pt idx="3">
                  <c:v>2027 F</c:v>
                </c:pt>
                <c:pt idx="4">
                  <c:v>2028 F</c:v>
                </c:pt>
                <c:pt idx="5">
                  <c:v>2029 F</c:v>
                </c:pt>
              </c:strCache>
            </c:strRef>
          </c:cat>
          <c:val>
            <c:numRef>
              <c:f>'Forecasted FS'!$E$165:$J$165</c:f>
              <c:numCache>
                <c:formatCode>0.00\x</c:formatCode>
                <c:ptCount val="6"/>
                <c:pt idx="0" formatCode="_(* #,##0.00_);_(* \(#,##0.00\);_(* &quot;-&quot;??_);_(@_)">
                  <c:v>1.0209075459197881</c:v>
                </c:pt>
                <c:pt idx="1">
                  <c:v>1.0024304000458162</c:v>
                </c:pt>
                <c:pt idx="2">
                  <c:v>0.92382937476714833</c:v>
                </c:pt>
                <c:pt idx="3">
                  <c:v>0.8531867065124572</c:v>
                </c:pt>
                <c:pt idx="4">
                  <c:v>0.79915803390854956</c:v>
                </c:pt>
                <c:pt idx="5">
                  <c:v>0.75174379929509572</c:v>
                </c:pt>
              </c:numCache>
            </c:numRef>
          </c:val>
          <c:extLst>
            <c:ext xmlns:c16="http://schemas.microsoft.com/office/drawing/2014/chart" uri="{C3380CC4-5D6E-409C-BE32-E72D297353CC}">
              <c16:uniqueId val="{00000001-65E3-47F2-8BBA-8E3D0965C522}"/>
            </c:ext>
          </c:extLst>
        </c:ser>
        <c:ser>
          <c:idx val="2"/>
          <c:order val="2"/>
          <c:tx>
            <c:v>Asset to Equity</c:v>
          </c:tx>
          <c:spPr>
            <a:solidFill>
              <a:srgbClr val="0000FF"/>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'Forecasted FS'!$E$135:$J$135</c:f>
              <c:strCache>
                <c:ptCount val="6"/>
                <c:pt idx="0">
                  <c:v> 2024 Actual </c:v>
                </c:pt>
                <c:pt idx="1">
                  <c:v>2025 F</c:v>
                </c:pt>
                <c:pt idx="2">
                  <c:v>2026 F</c:v>
                </c:pt>
                <c:pt idx="3">
                  <c:v>2027 F</c:v>
                </c:pt>
                <c:pt idx="4">
                  <c:v>2028 F</c:v>
                </c:pt>
                <c:pt idx="5">
                  <c:v>2029 F</c:v>
                </c:pt>
              </c:strCache>
            </c:strRef>
          </c:cat>
          <c:val>
            <c:numRef>
              <c:f>'Forecasted FS'!$E$166:$J$166</c:f>
              <c:numCache>
                <c:formatCode>0.00\x</c:formatCode>
                <c:ptCount val="6"/>
                <c:pt idx="0" formatCode="_(* #,##0.00_);_(* \(#,##0.00\);_(* &quot;-&quot;??_);_(@_)">
                  <c:v>2.1851732699234185</c:v>
                </c:pt>
                <c:pt idx="1">
                  <c:v>1.9692788031326141</c:v>
                </c:pt>
                <c:pt idx="2">
                  <c:v>1.8183633574788201</c:v>
                </c:pt>
                <c:pt idx="3">
                  <c:v>1.7016647821618693</c:v>
                </c:pt>
                <c:pt idx="4">
                  <c:v>1.6146896885248792</c:v>
                </c:pt>
                <c:pt idx="5">
                  <c:v>1.5465014369264818</c:v>
                </c:pt>
              </c:numCache>
            </c:numRef>
          </c:val>
          <c:extLst>
            <c:ext xmlns:c16="http://schemas.microsoft.com/office/drawing/2014/chart" uri="{C3380CC4-5D6E-409C-BE32-E72D297353CC}">
              <c16:uniqueId val="{00000002-65E3-47F2-8BBA-8E3D0965C522}"/>
            </c:ext>
          </c:extLst>
        </c:ser>
        <c:dLbls>
          <c:showLegendKey val="0"/>
          <c:showVal val="0"/>
          <c:showCatName val="0"/>
          <c:showSerName val="0"/>
          <c:showPercent val="0"/>
          <c:showBubbleSize val="0"/>
        </c:dLbls>
        <c:gapWidth val="118"/>
        <c:overlap val="-32"/>
        <c:axId val="1561329408"/>
        <c:axId val="1434487488"/>
      </c:barChart>
      <c:lineChart>
        <c:grouping val="standard"/>
        <c:varyColors val="0"/>
        <c:ser>
          <c:idx val="0"/>
          <c:order val="0"/>
          <c:tx>
            <c:v>Net Margin (%)</c:v>
          </c:tx>
          <c:spPr>
            <a:ln w="28575" cap="rnd">
              <a:solidFill>
                <a:schemeClr val="tx1">
                  <a:lumMod val="50000"/>
                  <a:lumOff val="50000"/>
                </a:schemeClr>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'Forecasted FS'!$E$135:$J$135</c:f>
              <c:strCache>
                <c:ptCount val="6"/>
                <c:pt idx="0">
                  <c:v> 2024 Actual </c:v>
                </c:pt>
                <c:pt idx="1">
                  <c:v>2025 F</c:v>
                </c:pt>
                <c:pt idx="2">
                  <c:v>2026 F</c:v>
                </c:pt>
                <c:pt idx="3">
                  <c:v>2027 F</c:v>
                </c:pt>
                <c:pt idx="4">
                  <c:v>2028 F</c:v>
                </c:pt>
                <c:pt idx="5">
                  <c:v>2029 F</c:v>
                </c:pt>
              </c:strCache>
            </c:strRef>
          </c:cat>
          <c:val>
            <c:numRef>
              <c:f>'Forecasted FS'!$E$164:$J$164</c:f>
              <c:numCache>
                <c:formatCode>0%</c:formatCode>
                <c:ptCount val="6"/>
                <c:pt idx="0">
                  <c:v>9.2871171971866534E-2</c:v>
                </c:pt>
                <c:pt idx="1">
                  <c:v>9.7783913487124952E-2</c:v>
                </c:pt>
                <c:pt idx="2">
                  <c:v>0.11338584195255</c:v>
                </c:pt>
                <c:pt idx="3">
                  <c:v>0.12449094396512481</c:v>
                </c:pt>
                <c:pt idx="4">
                  <c:v>0.13458979125912887</c:v>
                </c:pt>
                <c:pt idx="5">
                  <c:v>0.14206970961904047</c:v>
                </c:pt>
              </c:numCache>
            </c:numRef>
          </c:val>
          <c:smooth val="0"/>
          <c:extLst>
            <c:ext xmlns:c16="http://schemas.microsoft.com/office/drawing/2014/chart" uri="{C3380CC4-5D6E-409C-BE32-E72D297353CC}">
              <c16:uniqueId val="{00000000-65E3-47F2-8BBA-8E3D0965C522}"/>
            </c:ext>
          </c:extLst>
        </c:ser>
        <c:ser>
          <c:idx val="3"/>
          <c:order val="3"/>
          <c:tx>
            <c:v>ROE (%)</c:v>
          </c:tx>
          <c:spPr>
            <a:ln w="28575" cap="rnd">
              <a:solidFill>
                <a:srgbClr val="6B83FD"/>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'Forecasted FS'!$E$135:$J$135</c:f>
              <c:strCache>
                <c:ptCount val="6"/>
                <c:pt idx="0">
                  <c:v> 2024 Actual </c:v>
                </c:pt>
                <c:pt idx="1">
                  <c:v>2025 F</c:v>
                </c:pt>
                <c:pt idx="2">
                  <c:v>2026 F</c:v>
                </c:pt>
                <c:pt idx="3">
                  <c:v>2027 F</c:v>
                </c:pt>
                <c:pt idx="4">
                  <c:v>2028 F</c:v>
                </c:pt>
                <c:pt idx="5">
                  <c:v>2029 F</c:v>
                </c:pt>
              </c:strCache>
            </c:strRef>
          </c:cat>
          <c:val>
            <c:numRef>
              <c:f>'Forecasted FS'!$E$167:$J$167</c:f>
              <c:numCache>
                <c:formatCode>0%</c:formatCode>
                <c:ptCount val="6"/>
                <c:pt idx="0">
                  <c:v>0.20718257159841941</c:v>
                </c:pt>
                <c:pt idx="1">
                  <c:v>0.19303179515701194</c:v>
                </c:pt>
                <c:pt idx="2">
                  <c:v>0.19047205514271712</c:v>
                </c:pt>
                <c:pt idx="3">
                  <c:v>0.1807406546060869</c:v>
                </c:pt>
                <c:pt idx="4">
                  <c:v>0.17367362180057361</c:v>
                </c:pt>
                <c:pt idx="5">
                  <c:v>0.16516638945666468</c:v>
                </c:pt>
              </c:numCache>
            </c:numRef>
          </c:val>
          <c:smooth val="0"/>
          <c:extLst>
            <c:ext xmlns:c16="http://schemas.microsoft.com/office/drawing/2014/chart" uri="{C3380CC4-5D6E-409C-BE32-E72D297353CC}">
              <c16:uniqueId val="{00000003-65E3-47F2-8BBA-8E3D0965C522}"/>
            </c:ext>
          </c:extLst>
        </c:ser>
        <c:dLbls>
          <c:showLegendKey val="0"/>
          <c:showVal val="0"/>
          <c:showCatName val="0"/>
          <c:showSerName val="0"/>
          <c:showPercent val="0"/>
          <c:showBubbleSize val="0"/>
        </c:dLbls>
        <c:marker val="1"/>
        <c:smooth val="0"/>
        <c:axId val="1270947728"/>
        <c:axId val="1398702656"/>
      </c:lineChart>
      <c:catAx>
        <c:axId val="15613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4487488"/>
        <c:crosses val="autoZero"/>
        <c:auto val="1"/>
        <c:lblAlgn val="ctr"/>
        <c:lblOffset val="100"/>
        <c:noMultiLvlLbl val="0"/>
      </c:catAx>
      <c:valAx>
        <c:axId val="1434487488"/>
        <c:scaling>
          <c:orientation val="minMax"/>
          <c:max val="15"/>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561329408"/>
        <c:crosses val="autoZero"/>
        <c:crossBetween val="between"/>
      </c:valAx>
      <c:valAx>
        <c:axId val="1398702656"/>
        <c:scaling>
          <c:orientation val="minMax"/>
          <c:min val="-0.30000000000000004"/>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270947728"/>
        <c:crosses val="max"/>
        <c:crossBetween val="between"/>
      </c:valAx>
      <c:catAx>
        <c:axId val="1270947728"/>
        <c:scaling>
          <c:orientation val="minMax"/>
        </c:scaling>
        <c:delete val="1"/>
        <c:axPos val="b"/>
        <c:numFmt formatCode="General" sourceLinked="1"/>
        <c:majorTickMark val="out"/>
        <c:minorTickMark val="none"/>
        <c:tickLblPos val="nextTo"/>
        <c:crossAx val="13987026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a:t> Unlevered Free Cash Flows </a:t>
            </a:r>
          </a:p>
          <a:p>
            <a:pPr>
              <a:defRPr sz="1000" b="1"/>
            </a:pPr>
            <a:r>
              <a:rPr lang="en-US" sz="1000" b="0"/>
              <a:t>Figures</a:t>
            </a:r>
            <a:r>
              <a:rPr lang="en-US" sz="1000" b="0" baseline="0"/>
              <a:t> in US$ million</a:t>
            </a:r>
            <a:endParaRPr lang="en-US" sz="1000" b="0"/>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DCF!$F$24:$J$24</c:f>
              <c:strCache>
                <c:ptCount val="5"/>
                <c:pt idx="0">
                  <c:v>2025 F</c:v>
                </c:pt>
                <c:pt idx="1">
                  <c:v>2026 F</c:v>
                </c:pt>
                <c:pt idx="2">
                  <c:v>2027 F</c:v>
                </c:pt>
                <c:pt idx="3">
                  <c:v>2028 F</c:v>
                </c:pt>
                <c:pt idx="4">
                  <c:v>2029 F</c:v>
                </c:pt>
              </c:strCache>
            </c:strRef>
          </c:cat>
          <c:val>
            <c:numRef>
              <c:f>DCF!$F$40:$J$40</c:f>
              <c:numCache>
                <c:formatCode>#,##0_);[Red]\(#,##0\)</c:formatCode>
                <c:ptCount val="5"/>
                <c:pt idx="0">
                  <c:v>215140.83332465123</c:v>
                </c:pt>
                <c:pt idx="1">
                  <c:v>245237.55884396547</c:v>
                </c:pt>
                <c:pt idx="2">
                  <c:v>274556.57080527826</c:v>
                </c:pt>
                <c:pt idx="3">
                  <c:v>309140.62254356564</c:v>
                </c:pt>
                <c:pt idx="4">
                  <c:v>344606.7546550741</c:v>
                </c:pt>
              </c:numCache>
            </c:numRef>
          </c:val>
          <c:extLst>
            <c:ext xmlns:c16="http://schemas.microsoft.com/office/drawing/2014/chart" uri="{C3380CC4-5D6E-409C-BE32-E72D297353CC}">
              <c16:uniqueId val="{00000000-87A6-4193-AE55-1760B4C065F4}"/>
            </c:ext>
          </c:extLst>
        </c:ser>
        <c:dLbls>
          <c:showLegendKey val="0"/>
          <c:showVal val="0"/>
          <c:showCatName val="0"/>
          <c:showSerName val="0"/>
          <c:showPercent val="0"/>
          <c:showBubbleSize val="0"/>
        </c:dLbls>
        <c:gapWidth val="219"/>
        <c:overlap val="-27"/>
        <c:axId val="1910046640"/>
        <c:axId val="1912933168"/>
      </c:barChart>
      <c:catAx>
        <c:axId val="191004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12933168"/>
        <c:crosses val="autoZero"/>
        <c:auto val="1"/>
        <c:lblAlgn val="ctr"/>
        <c:lblOffset val="100"/>
        <c:noMultiLvlLbl val="0"/>
      </c:catAx>
      <c:valAx>
        <c:axId val="1912933168"/>
        <c:scaling>
          <c:orientation val="minMax"/>
        </c:scaling>
        <c:delete val="1"/>
        <c:axPos val="l"/>
        <c:numFmt formatCode="#,##0_);[Red]\(#,##0\)" sourceLinked="1"/>
        <c:majorTickMark val="none"/>
        <c:minorTickMark val="none"/>
        <c:tickLblPos val="nextTo"/>
        <c:crossAx val="191004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a:t>Expected Rate of </a:t>
            </a:r>
            <a:r>
              <a:rPr lang="en-US" sz="1000" b="1" baseline="0"/>
              <a:t> Returns</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6610-4899-ABB8-D14F6535C21D}"/>
              </c:ext>
            </c:extLst>
          </c:dPt>
          <c:dPt>
            <c:idx val="1"/>
            <c:invertIfNegative val="0"/>
            <c:bubble3D val="0"/>
            <c:spPr>
              <a:solidFill>
                <a:srgbClr val="AFDEFF"/>
              </a:solidFill>
              <a:ln>
                <a:noFill/>
              </a:ln>
              <a:effectLst/>
            </c:spPr>
            <c:extLst>
              <c:ext xmlns:c16="http://schemas.microsoft.com/office/drawing/2014/chart" uri="{C3380CC4-5D6E-409C-BE32-E72D297353CC}">
                <c16:uniqueId val="{00000002-6946-4642-9BBC-9318CC0B4832}"/>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DCF!$M$30:$M$31</c:f>
              <c:strCache>
                <c:ptCount val="2"/>
                <c:pt idx="0">
                  <c:v> Target Upside Return (%) </c:v>
                </c:pt>
                <c:pt idx="1">
                  <c:v> Cost of Equity (%) </c:v>
                </c:pt>
              </c:strCache>
            </c:strRef>
          </c:cat>
          <c:val>
            <c:numRef>
              <c:f>DCF!$O$30:$O$31</c:f>
              <c:numCache>
                <c:formatCode>#,##0.0%_);[Red]\(#,##0.0%\)</c:formatCode>
                <c:ptCount val="2"/>
                <c:pt idx="0">
                  <c:v>0.29534647011646564</c:v>
                </c:pt>
                <c:pt idx="1">
                  <c:v>0.1082348019217815</c:v>
                </c:pt>
              </c:numCache>
            </c:numRef>
          </c:val>
          <c:extLst>
            <c:ext xmlns:c16="http://schemas.microsoft.com/office/drawing/2014/chart" uri="{C3380CC4-5D6E-409C-BE32-E72D297353CC}">
              <c16:uniqueId val="{00000000-6610-4899-ABB8-D14F6535C21D}"/>
            </c:ext>
          </c:extLst>
        </c:ser>
        <c:dLbls>
          <c:showLegendKey val="0"/>
          <c:showVal val="0"/>
          <c:showCatName val="0"/>
          <c:showSerName val="0"/>
          <c:showPercent val="0"/>
          <c:showBubbleSize val="0"/>
        </c:dLbls>
        <c:gapWidth val="182"/>
        <c:axId val="1251985952"/>
        <c:axId val="1434523968"/>
      </c:barChart>
      <c:catAx>
        <c:axId val="125198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4523968"/>
        <c:crosses val="autoZero"/>
        <c:auto val="1"/>
        <c:lblAlgn val="ctr"/>
        <c:lblOffset val="100"/>
        <c:noMultiLvlLbl val="0"/>
      </c:catAx>
      <c:valAx>
        <c:axId val="1434523968"/>
        <c:scaling>
          <c:orientation val="minMax"/>
        </c:scaling>
        <c:delete val="1"/>
        <c:axPos val="b"/>
        <c:numFmt formatCode="#,##0.0%_);[Red]\(#,##0.0%\)" sourceLinked="1"/>
        <c:majorTickMark val="none"/>
        <c:minorTickMark val="none"/>
        <c:tickLblPos val="nextTo"/>
        <c:crossAx val="125198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a:t>WACC</a:t>
            </a:r>
            <a:r>
              <a:rPr lang="en-US" sz="1000" b="1" baseline="0"/>
              <a:t> vs ROIC</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D312-4F9E-AC36-4E7CC556D2AA}"/>
              </c:ext>
            </c:extLst>
          </c:dPt>
          <c:dPt>
            <c:idx val="1"/>
            <c:invertIfNegative val="0"/>
            <c:bubble3D val="0"/>
            <c:spPr>
              <a:solidFill>
                <a:srgbClr val="6B83FD"/>
              </a:solidFill>
              <a:ln>
                <a:noFill/>
              </a:ln>
              <a:effectLst/>
            </c:spPr>
            <c:extLst>
              <c:ext xmlns:c16="http://schemas.microsoft.com/office/drawing/2014/chart" uri="{C3380CC4-5D6E-409C-BE32-E72D297353CC}">
                <c16:uniqueId val="{00000002-F6F4-BE49-8364-81108C8DD6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DCF!$M$33:$M$34</c:f>
              <c:strCache>
                <c:ptCount val="2"/>
                <c:pt idx="0">
                  <c:v> ROIC (%) </c:v>
                </c:pt>
                <c:pt idx="1">
                  <c:v> WACC (%) </c:v>
                </c:pt>
              </c:strCache>
            </c:strRef>
          </c:cat>
          <c:val>
            <c:numRef>
              <c:f>DCF!$O$33:$O$34</c:f>
              <c:numCache>
                <c:formatCode>#,##0.0%_);[Red]\(#,##0.0%\)</c:formatCode>
                <c:ptCount val="2"/>
                <c:pt idx="0">
                  <c:v>0.15583335121325628</c:v>
                </c:pt>
                <c:pt idx="1">
                  <c:v>0.10784671795216767</c:v>
                </c:pt>
              </c:numCache>
            </c:numRef>
          </c:val>
          <c:extLst>
            <c:ext xmlns:c16="http://schemas.microsoft.com/office/drawing/2014/chart" uri="{C3380CC4-5D6E-409C-BE32-E72D297353CC}">
              <c16:uniqueId val="{00000002-D312-4F9E-AC36-4E7CC556D2AA}"/>
            </c:ext>
          </c:extLst>
        </c:ser>
        <c:dLbls>
          <c:showLegendKey val="0"/>
          <c:showVal val="0"/>
          <c:showCatName val="0"/>
          <c:showSerName val="0"/>
          <c:showPercent val="0"/>
          <c:showBubbleSize val="0"/>
        </c:dLbls>
        <c:gapWidth val="182"/>
        <c:axId val="1251985952"/>
        <c:axId val="1434523968"/>
      </c:barChart>
      <c:catAx>
        <c:axId val="125198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4523968"/>
        <c:crosses val="autoZero"/>
        <c:auto val="1"/>
        <c:lblAlgn val="ctr"/>
        <c:lblOffset val="100"/>
        <c:noMultiLvlLbl val="0"/>
      </c:catAx>
      <c:valAx>
        <c:axId val="1434523968"/>
        <c:scaling>
          <c:orientation val="minMax"/>
        </c:scaling>
        <c:delete val="1"/>
        <c:axPos val="b"/>
        <c:numFmt formatCode="#,##0.0%_);[Red]\(#,##0.0%\)" sourceLinked="1"/>
        <c:majorTickMark val="none"/>
        <c:minorTickMark val="none"/>
        <c:tickLblPos val="nextTo"/>
        <c:crossAx val="125198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t>Operating Margin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spPr>
            <a:ln w="28575" cap="rnd">
              <a:solidFill>
                <a:srgbClr val="0000FF"/>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DCF!$E$69:$J$69</c:f>
              <c:strCache>
                <c:ptCount val="6"/>
                <c:pt idx="0">
                  <c:v>  2024 Actual  </c:v>
                </c:pt>
                <c:pt idx="1">
                  <c:v>2025 F</c:v>
                </c:pt>
                <c:pt idx="2">
                  <c:v>2026 F</c:v>
                </c:pt>
                <c:pt idx="3">
                  <c:v>2027 F</c:v>
                </c:pt>
                <c:pt idx="4">
                  <c:v>2028 F</c:v>
                </c:pt>
                <c:pt idx="5">
                  <c:v>2029 F</c:v>
                </c:pt>
              </c:strCache>
            </c:strRef>
          </c:cat>
          <c:val>
            <c:numRef>
              <c:f>DCF!$E$32:$J$32</c:f>
              <c:numCache>
                <c:formatCode>0%</c:formatCode>
                <c:ptCount val="6"/>
                <c:pt idx="0">
                  <c:v>0.1075194487420038</c:v>
                </c:pt>
                <c:pt idx="1">
                  <c:v>0.12336576591004382</c:v>
                </c:pt>
                <c:pt idx="2">
                  <c:v>0.14312705974790621</c:v>
                </c:pt>
                <c:pt idx="3">
                  <c:v>0.15719767278681299</c:v>
                </c:pt>
                <c:pt idx="4">
                  <c:v>0.17002786628943656</c:v>
                </c:pt>
                <c:pt idx="5">
                  <c:v>0.17953858111108467</c:v>
                </c:pt>
              </c:numCache>
            </c:numRef>
          </c:val>
          <c:smooth val="0"/>
          <c:extLst>
            <c:ext xmlns:c16="http://schemas.microsoft.com/office/drawing/2014/chart" uri="{C3380CC4-5D6E-409C-BE32-E72D297353CC}">
              <c16:uniqueId val="{00000000-BFDE-4DC7-9765-5F9C9DA10A58}"/>
            </c:ext>
          </c:extLst>
        </c:ser>
        <c:dLbls>
          <c:showLegendKey val="0"/>
          <c:showVal val="0"/>
          <c:showCatName val="0"/>
          <c:showSerName val="0"/>
          <c:showPercent val="0"/>
          <c:showBubbleSize val="0"/>
        </c:dLbls>
        <c:marker val="1"/>
        <c:smooth val="0"/>
        <c:axId val="583915632"/>
        <c:axId val="605511440"/>
      </c:lineChart>
      <c:catAx>
        <c:axId val="583915632"/>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05511440"/>
        <c:crosses val="autoZero"/>
        <c:auto val="1"/>
        <c:lblAlgn val="ctr"/>
        <c:lblOffset val="100"/>
        <c:noMultiLvlLbl val="0"/>
      </c:catAx>
      <c:valAx>
        <c:axId val="605511440"/>
        <c:scaling>
          <c:orientation val="minMax"/>
          <c:min val="0.12000000000000001"/>
        </c:scaling>
        <c:delete val="0"/>
        <c:axPos val="l"/>
        <c:numFmt formatCode="0%"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8391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t>Sensitivity</a:t>
            </a:r>
            <a:r>
              <a:rPr lang="en-US" sz="1200" b="1" baseline="0"/>
              <a:t> Matrix</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noFill/>
              <a:ln w="9525">
                <a:noFill/>
              </a:ln>
              <a:effectLst/>
            </c:spPr>
          </c:marker>
          <c:dPt>
            <c:idx val="2"/>
            <c:marker>
              <c:symbol val="circle"/>
              <c:size val="11"/>
              <c:spPr>
                <a:solidFill>
                  <a:schemeClr val="tx1"/>
                </a:solidFill>
                <a:ln w="9525">
                  <a:noFill/>
                </a:ln>
                <a:effectLst/>
              </c:spPr>
            </c:marker>
            <c:bubble3D val="0"/>
            <c:extLst>
              <c:ext xmlns:c16="http://schemas.microsoft.com/office/drawing/2014/chart" uri="{C3380CC4-5D6E-409C-BE32-E72D297353CC}">
                <c16:uniqueId val="{00000009-6445-45D3-B08C-6C9E4364957A}"/>
              </c:ext>
            </c:extLst>
          </c:dPt>
          <c:xVal>
            <c:numRef>
              <c:f>DCF!$E$56:$I$56</c:f>
              <c:numCache>
                <c:formatCode>0.00%</c:formatCode>
                <c:ptCount val="5"/>
                <c:pt idx="0">
                  <c:v>8.7846717952167683E-2</c:v>
                </c:pt>
                <c:pt idx="1">
                  <c:v>9.7846717952167678E-2</c:v>
                </c:pt>
                <c:pt idx="2">
                  <c:v>0.10784671795216767</c:v>
                </c:pt>
                <c:pt idx="3">
                  <c:v>0.11784671795216767</c:v>
                </c:pt>
                <c:pt idx="4">
                  <c:v>0.12784671795216768</c:v>
                </c:pt>
              </c:numCache>
            </c:numRef>
          </c:xVal>
          <c:yVal>
            <c:numRef>
              <c:f>DCF!$D$57:$D$61</c:f>
              <c:numCache>
                <c:formatCode>0.0%</c:formatCode>
                <c:ptCount val="5"/>
                <c:pt idx="0">
                  <c:v>9.9999999999999967E-3</c:v>
                </c:pt>
                <c:pt idx="1">
                  <c:v>1.9999999999999997E-2</c:v>
                </c:pt>
                <c:pt idx="2">
                  <c:v>0.03</c:v>
                </c:pt>
                <c:pt idx="3">
                  <c:v>0.04</c:v>
                </c:pt>
                <c:pt idx="4">
                  <c:v>0.05</c:v>
                </c:pt>
              </c:numCache>
            </c:numRef>
          </c:yVal>
          <c:smooth val="0"/>
          <c:extLst>
            <c:ext xmlns:c16="http://schemas.microsoft.com/office/drawing/2014/chart" uri="{C3380CC4-5D6E-409C-BE32-E72D297353CC}">
              <c16:uniqueId val="{00000000-6445-45D3-B08C-6C9E4364957A}"/>
            </c:ext>
          </c:extLst>
        </c:ser>
        <c:ser>
          <c:idx val="1"/>
          <c:order val="1"/>
          <c:tx>
            <c:v>Median</c:v>
          </c:tx>
          <c:spPr>
            <a:ln w="25400" cap="rnd">
              <a:solidFill>
                <a:schemeClr val="tx1"/>
              </a:solidFill>
              <a:round/>
            </a:ln>
            <a:effectLst/>
          </c:spPr>
          <c:marker>
            <c:symbol val="circle"/>
            <c:size val="5"/>
            <c:spPr>
              <a:solidFill>
                <a:schemeClr val="tx1"/>
              </a:solidFill>
              <a:ln w="9525">
                <a:solidFill>
                  <a:schemeClr val="tx1"/>
                </a:solidFill>
              </a:ln>
              <a:effectLst/>
            </c:spPr>
          </c:marker>
          <c:dLbls>
            <c:dLbl>
              <c:idx val="0"/>
              <c:layout>
                <c:manualLayout>
                  <c:x val="2.777777777777676E-3"/>
                  <c:y val="-1.8518518518518604E-2"/>
                </c:manualLayout>
              </c:layout>
              <c:tx>
                <c:rich>
                  <a:bodyPr/>
                  <a:lstStyle/>
                  <a:p>
                    <a:r>
                      <a:rPr lang="en-US"/>
                      <a:t>$274.75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445-45D3-B08C-6C9E4364957A}"/>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Lit>
              <c:formatCode>General</c:formatCode>
              <c:ptCount val="1"/>
              <c:pt idx="0">
                <c:v>0.10539999999999999</c:v>
              </c:pt>
            </c:numLit>
          </c:xVal>
          <c:yVal>
            <c:numLit>
              <c:formatCode>General</c:formatCode>
              <c:ptCount val="1"/>
              <c:pt idx="0">
                <c:v>0.04</c:v>
              </c:pt>
            </c:numLit>
          </c:yVal>
          <c:smooth val="0"/>
          <c:extLst>
            <c:ext xmlns:c16="http://schemas.microsoft.com/office/drawing/2014/chart" uri="{C3380CC4-5D6E-409C-BE32-E72D297353CC}">
              <c16:uniqueId val="{00000002-6445-45D3-B08C-6C9E4364957A}"/>
            </c:ext>
          </c:extLst>
        </c:ser>
        <c:ser>
          <c:idx val="2"/>
          <c:order val="2"/>
          <c:tx>
            <c:v>Low</c:v>
          </c:tx>
          <c:spPr>
            <a:ln w="25400"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dLbl>
              <c:idx val="0"/>
              <c:tx>
                <c:rich>
                  <a:bodyPr/>
                  <a:lstStyle/>
                  <a:p>
                    <a:r>
                      <a:rPr lang="en-US"/>
                      <a:t>$155.09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445-45D3-B08C-6C9E4364957A}"/>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1"/>
              <c:pt idx="0">
                <c:v>0.12540000000000001</c:v>
              </c:pt>
            </c:numLit>
          </c:xVal>
          <c:yVal>
            <c:numLit>
              <c:formatCode>General</c:formatCode>
              <c:ptCount val="1"/>
              <c:pt idx="0">
                <c:v>0.02</c:v>
              </c:pt>
            </c:numLit>
          </c:yVal>
          <c:smooth val="0"/>
          <c:extLst>
            <c:ext xmlns:c16="http://schemas.microsoft.com/office/drawing/2014/chart" uri="{C3380CC4-5D6E-409C-BE32-E72D297353CC}">
              <c16:uniqueId val="{00000003-6445-45D3-B08C-6C9E4364957A}"/>
            </c:ext>
          </c:extLst>
        </c:ser>
        <c:ser>
          <c:idx val="3"/>
          <c:order val="3"/>
          <c:tx>
            <c:v>High</c:v>
          </c:tx>
          <c:spPr>
            <a:ln w="25400" cap="rnd">
              <a:solidFill>
                <a:schemeClr val="accent1"/>
              </a:solidFill>
              <a:round/>
            </a:ln>
            <a:effectLst/>
          </c:spPr>
          <c:marker>
            <c:symbol val="circle"/>
            <c:size val="5"/>
            <c:spPr>
              <a:solidFill>
                <a:schemeClr val="accent1"/>
              </a:solidFill>
              <a:ln w="9525">
                <a:solidFill>
                  <a:schemeClr val="accent1"/>
                </a:solidFill>
              </a:ln>
              <a:effectLst/>
            </c:spPr>
          </c:marker>
          <c:dLbls>
            <c:dLbl>
              <c:idx val="0"/>
              <c:tx>
                <c:rich>
                  <a:bodyPr/>
                  <a:lstStyle/>
                  <a:p>
                    <a:r>
                      <a:rPr lang="en-US"/>
                      <a:t>$769.48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445-45D3-B08C-6C9E4364957A}"/>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1"/>
              <c:pt idx="0">
                <c:v>8.5400000000000004E-2</c:v>
              </c:pt>
            </c:numLit>
          </c:xVal>
          <c:yVal>
            <c:numLit>
              <c:formatCode>General</c:formatCode>
              <c:ptCount val="1"/>
              <c:pt idx="0">
                <c:v>0.06</c:v>
              </c:pt>
            </c:numLit>
          </c:yVal>
          <c:smooth val="0"/>
          <c:extLst>
            <c:ext xmlns:c16="http://schemas.microsoft.com/office/drawing/2014/chart" uri="{C3380CC4-5D6E-409C-BE32-E72D297353CC}">
              <c16:uniqueId val="{00000004-6445-45D3-B08C-6C9E4364957A}"/>
            </c:ext>
          </c:extLst>
        </c:ser>
        <c:dLbls>
          <c:showLegendKey val="0"/>
          <c:showVal val="0"/>
          <c:showCatName val="0"/>
          <c:showSerName val="0"/>
          <c:showPercent val="0"/>
          <c:showBubbleSize val="0"/>
        </c:dLbls>
        <c:axId val="258039551"/>
        <c:axId val="258036671"/>
      </c:scatterChart>
      <c:valAx>
        <c:axId val="258039551"/>
        <c:scaling>
          <c:orientation val="minMax"/>
          <c:min val="8.0000000000000016E-2"/>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58036671"/>
        <c:crosses val="autoZero"/>
        <c:crossBetween val="midCat"/>
      </c:valAx>
      <c:valAx>
        <c:axId val="258036671"/>
        <c:scaling>
          <c:orientation val="minMax"/>
        </c:scaling>
        <c:delete val="0"/>
        <c:axPos val="l"/>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580395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t>EPS</a:t>
            </a:r>
            <a:r>
              <a:rPr lang="en-US" sz="1200" b="1" baseline="0"/>
              <a:t> &amp; Dividends Per Share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Ratios!$C$48</c:f>
              <c:strCache>
                <c:ptCount val="1"/>
                <c:pt idx="0">
                  <c:v>Price per Share at year end</c:v>
                </c:pt>
              </c:strCache>
            </c:strRef>
          </c:tx>
          <c:spPr>
            <a:ln w="28575" cap="rnd">
              <a:solidFill>
                <a:srgbClr val="AFDEFF"/>
              </a:solidFill>
              <a:round/>
            </a:ln>
            <a:effectLst/>
          </c:spPr>
          <c:marker>
            <c:symbol val="circle"/>
            <c:size val="5"/>
            <c:spPr>
              <a:solidFill>
                <a:schemeClr val="accent1"/>
              </a:solidFill>
              <a:ln w="9525">
                <a:solidFill>
                  <a:schemeClr val="accent1"/>
                </a:solid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Ratios!$D$8:$M$8</c:f>
              <c:strCache>
                <c:ptCount val="10"/>
                <c:pt idx="0">
                  <c:v>2020 A</c:v>
                </c:pt>
                <c:pt idx="1">
                  <c:v>2021 A</c:v>
                </c:pt>
                <c:pt idx="2">
                  <c:v>2022 A</c:v>
                </c:pt>
                <c:pt idx="3">
                  <c:v>2023 A</c:v>
                </c:pt>
                <c:pt idx="4">
                  <c:v>2024 A</c:v>
                </c:pt>
                <c:pt idx="5">
                  <c:v>2025 F</c:v>
                </c:pt>
                <c:pt idx="6">
                  <c:v>2026 F</c:v>
                </c:pt>
                <c:pt idx="7">
                  <c:v>2027 F</c:v>
                </c:pt>
                <c:pt idx="8">
                  <c:v>2028 F</c:v>
                </c:pt>
                <c:pt idx="9">
                  <c:v>2029 F</c:v>
                </c:pt>
              </c:strCache>
            </c:strRef>
          </c:cat>
          <c:val>
            <c:numRef>
              <c:f>Ratios!$D$48:$M$48</c:f>
              <c:numCache>
                <c:formatCode>0.00</c:formatCode>
                <c:ptCount val="10"/>
                <c:pt idx="0">
                  <c:v>201.16000399999999</c:v>
                </c:pt>
                <c:pt idx="1">
                  <c:v>42.67</c:v>
                </c:pt>
                <c:pt idx="2">
                  <c:v>100.55</c:v>
                </c:pt>
                <c:pt idx="3">
                  <c:v>228.97</c:v>
                </c:pt>
                <c:pt idx="4" formatCode="_(* #,##0.00_);_(* \(#,##0.00\);_(* &quot;-&quot;??_);_(@_)">
                  <c:v>228.97</c:v>
                </c:pt>
                <c:pt idx="5" formatCode="_(* #,##0.00_);_(* \(#,##0.00\);_(* &quot;-&quot;??_);_(@_)">
                  <c:v>241.10198452875937</c:v>
                </c:pt>
                <c:pt idx="6" formatCode="_(* #,##0.00_);_(* \(#,##0.00\);_(* &quot;-&quot;??_);_(@_)">
                  <c:v>284.82009873947243</c:v>
                </c:pt>
                <c:pt idx="7" formatCode="_(* #,##0.00_);_(* \(#,##0.00\);_(* &quot;-&quot;??_);_(@_)">
                  <c:v>318.58696026646982</c:v>
                </c:pt>
                <c:pt idx="8" formatCode="_(* #,##0.00_);_(* \(#,##0.00\);_(* &quot;-&quot;??_);_(@_)">
                  <c:v>354.11716259930097</c:v>
                </c:pt>
                <c:pt idx="9" formatCode="_(* #,##0.00_);_(* \(#,##0.00\);_(* &quot;-&quot;??_);_(@_)">
                  <c:v>384.30936616834674</c:v>
                </c:pt>
              </c:numCache>
            </c:numRef>
          </c:val>
          <c:smooth val="0"/>
          <c:extLst>
            <c:ext xmlns:c16="http://schemas.microsoft.com/office/drawing/2014/chart" uri="{C3380CC4-5D6E-409C-BE32-E72D297353CC}">
              <c16:uniqueId val="{00000000-D437-45FE-A372-5787314CA33A}"/>
            </c:ext>
          </c:extLst>
        </c:ser>
        <c:ser>
          <c:idx val="1"/>
          <c:order val="1"/>
          <c:tx>
            <c:strRef>
              <c:f>Ratios!$C$52</c:f>
              <c:strCache>
                <c:ptCount val="1"/>
                <c:pt idx="0">
                  <c:v>Dividend Payout Ratio (%)</c:v>
                </c:pt>
              </c:strCache>
            </c:strRef>
          </c:tx>
          <c:spPr>
            <a:ln w="28575" cap="rnd">
              <a:solidFill>
                <a:sysClr val="windowText" lastClr="000000"/>
              </a:solidFill>
              <a:round/>
            </a:ln>
            <a:effectLst/>
          </c:spPr>
          <c:marker>
            <c:symbol val="circle"/>
            <c:size val="5"/>
            <c:spPr>
              <a:solidFill>
                <a:schemeClr val="tx1"/>
              </a:solidFill>
              <a:ln w="9525">
                <a:solidFill>
                  <a:sysClr val="windowText" lastClr="000000"/>
                </a:solidFill>
              </a:ln>
              <a:effectLst/>
            </c:spPr>
          </c:marker>
          <c:dLbls>
            <c:dLbl>
              <c:idx val="2"/>
              <c:layout>
                <c:manualLayout>
                  <c:x val="-4.0986220472440944E-2"/>
                  <c:y val="3.16087051618546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37-45FE-A372-5787314CA33A}"/>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Ratios!$D$8:$M$8</c:f>
              <c:strCache>
                <c:ptCount val="10"/>
                <c:pt idx="0">
                  <c:v>2020 A</c:v>
                </c:pt>
                <c:pt idx="1">
                  <c:v>2021 A</c:v>
                </c:pt>
                <c:pt idx="2">
                  <c:v>2022 A</c:v>
                </c:pt>
                <c:pt idx="3">
                  <c:v>2023 A</c:v>
                </c:pt>
                <c:pt idx="4">
                  <c:v>2024 A</c:v>
                </c:pt>
                <c:pt idx="5">
                  <c:v>2025 F</c:v>
                </c:pt>
                <c:pt idx="6">
                  <c:v>2026 F</c:v>
                </c:pt>
                <c:pt idx="7">
                  <c:v>2027 F</c:v>
                </c:pt>
                <c:pt idx="8">
                  <c:v>2028 F</c:v>
                </c:pt>
                <c:pt idx="9">
                  <c:v>2029 F</c:v>
                </c:pt>
              </c:strCache>
            </c:strRef>
          </c:cat>
          <c:val>
            <c:numRef>
              <c:f>Ratios!$D$52:$M$52</c:f>
              <c:numCache>
                <c:formatCode>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D437-45FE-A372-5787314CA33A}"/>
            </c:ext>
          </c:extLst>
        </c:ser>
        <c:dLbls>
          <c:showLegendKey val="0"/>
          <c:showVal val="0"/>
          <c:showCatName val="0"/>
          <c:showSerName val="0"/>
          <c:showPercent val="0"/>
          <c:showBubbleSize val="0"/>
        </c:dLbls>
        <c:marker val="1"/>
        <c:smooth val="0"/>
        <c:axId val="274198687"/>
        <c:axId val="274195327"/>
      </c:lineChart>
      <c:catAx>
        <c:axId val="27419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74195327"/>
        <c:crosses val="autoZero"/>
        <c:auto val="1"/>
        <c:lblAlgn val="ctr"/>
        <c:lblOffset val="100"/>
        <c:noMultiLvlLbl val="0"/>
      </c:catAx>
      <c:valAx>
        <c:axId val="2741953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74198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Low Operating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rgbClr val="AFDEFF"/>
                </a:solidFill>
                <a:prstDash val="sysDot"/>
              </a:ln>
              <a:effectLst/>
            </c:spPr>
            <c:trendlineType val="linear"/>
            <c:dispRSqr val="0"/>
            <c:dispEq val="1"/>
            <c:trendlineLbl>
              <c:layout>
                <c:manualLayout>
                  <c:x val="-0.12747965879265091"/>
                  <c:y val="6.1636045494313212E-3"/>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trendlineLbl>
          </c:trendline>
          <c:xVal>
            <c:numRef>
              <c:f>'Operating Margin'!$C$12:$C$13</c:f>
              <c:numCache>
                <c:formatCode>#,##0.0</c:formatCode>
                <c:ptCount val="2"/>
                <c:pt idx="0">
                  <c:v>386.06400000000002</c:v>
                </c:pt>
                <c:pt idx="1">
                  <c:v>469.822</c:v>
                </c:pt>
              </c:numCache>
            </c:numRef>
          </c:xVal>
          <c:yVal>
            <c:numRef>
              <c:f>'Operating Margin'!$D$12:$D$13</c:f>
              <c:numCache>
                <c:formatCode>0.000</c:formatCode>
                <c:ptCount val="2"/>
                <c:pt idx="0">
                  <c:v>0.11</c:v>
                </c:pt>
                <c:pt idx="1">
                  <c:v>0.1125</c:v>
                </c:pt>
              </c:numCache>
            </c:numRef>
          </c:yVal>
          <c:smooth val="0"/>
          <c:extLst>
            <c:ext xmlns:c16="http://schemas.microsoft.com/office/drawing/2014/chart" uri="{C3380CC4-5D6E-409C-BE32-E72D297353CC}">
              <c16:uniqueId val="{00000001-25C9-47BB-9FC4-44977110BF80}"/>
            </c:ext>
          </c:extLst>
        </c:ser>
        <c:dLbls>
          <c:showLegendKey val="0"/>
          <c:showVal val="0"/>
          <c:showCatName val="0"/>
          <c:showSerName val="0"/>
          <c:showPercent val="0"/>
          <c:showBubbleSize val="0"/>
        </c:dLbls>
        <c:axId val="218076367"/>
        <c:axId val="520802127"/>
      </c:scatterChart>
      <c:valAx>
        <c:axId val="21807636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20802127"/>
        <c:crosses val="autoZero"/>
        <c:crossBetween val="midCat"/>
      </c:valAx>
      <c:valAx>
        <c:axId val="52080212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80763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High Operating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rgbClr val="AFDEFF"/>
                </a:solidFill>
                <a:prstDash val="sysDot"/>
              </a:ln>
              <a:effectLst/>
            </c:spPr>
            <c:trendlineType val="linear"/>
            <c:dispRSqr val="0"/>
            <c:dispEq val="1"/>
            <c:trendlineLbl>
              <c:layout>
                <c:manualLayout>
                  <c:x val="-0.12747965879265091"/>
                  <c:y val="6.1636045494313212E-3"/>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trendlineLbl>
          </c:trendline>
          <c:xVal>
            <c:numRef>
              <c:f>'Operating Margin'!$C$12:$C$13</c:f>
              <c:numCache>
                <c:formatCode>#,##0.0</c:formatCode>
                <c:ptCount val="2"/>
                <c:pt idx="0">
                  <c:v>386.06400000000002</c:v>
                </c:pt>
                <c:pt idx="1">
                  <c:v>469.822</c:v>
                </c:pt>
              </c:numCache>
            </c:numRef>
          </c:xVal>
          <c:yVal>
            <c:numRef>
              <c:f>'Operating Margin'!$E$12:$E$13</c:f>
              <c:numCache>
                <c:formatCode>0.000</c:formatCode>
                <c:ptCount val="2"/>
                <c:pt idx="0">
                  <c:v>0.11</c:v>
                </c:pt>
                <c:pt idx="1">
                  <c:v>0.11749999999999999</c:v>
                </c:pt>
              </c:numCache>
            </c:numRef>
          </c:yVal>
          <c:smooth val="0"/>
          <c:extLst>
            <c:ext xmlns:c16="http://schemas.microsoft.com/office/drawing/2014/chart" uri="{C3380CC4-5D6E-409C-BE32-E72D297353CC}">
              <c16:uniqueId val="{00000001-B91F-489C-A6CE-E6BEFFE4DAF2}"/>
            </c:ext>
          </c:extLst>
        </c:ser>
        <c:dLbls>
          <c:showLegendKey val="0"/>
          <c:showVal val="0"/>
          <c:showCatName val="0"/>
          <c:showSerName val="0"/>
          <c:showPercent val="0"/>
          <c:showBubbleSize val="0"/>
        </c:dLbls>
        <c:axId val="218076367"/>
        <c:axId val="520802127"/>
      </c:scatterChart>
      <c:valAx>
        <c:axId val="21807636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20802127"/>
        <c:crosses val="autoZero"/>
        <c:crossBetween val="midCat"/>
      </c:valAx>
      <c:valAx>
        <c:axId val="52080212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80763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Operaring Margin By Revenues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Low</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'Operating Margin'!$C$17:$C$26</c:f>
              <c:numCache>
                <c:formatCode>#,##0.0</c:formatCode>
                <c:ptCount val="10"/>
                <c:pt idx="0">
                  <c:v>386.06400000000002</c:v>
                </c:pt>
                <c:pt idx="1">
                  <c:v>469.822</c:v>
                </c:pt>
                <c:pt idx="2">
                  <c:v>513.98299999999995</c:v>
                </c:pt>
                <c:pt idx="3">
                  <c:v>574.78499999999997</c:v>
                </c:pt>
                <c:pt idx="4">
                  <c:v>637.95899999999995</c:v>
                </c:pt>
                <c:pt idx="5">
                  <c:v>682.61613</c:v>
                </c:pt>
                <c:pt idx="6">
                  <c:v>744.05158170000004</c:v>
                </c:pt>
                <c:pt idx="7">
                  <c:v>811.0162240530002</c:v>
                </c:pt>
                <c:pt idx="8">
                  <c:v>892.11784645830039</c:v>
                </c:pt>
                <c:pt idx="9">
                  <c:v>981.3296311041305</c:v>
                </c:pt>
              </c:numCache>
            </c:numRef>
          </c:cat>
          <c:val>
            <c:numRef>
              <c:f>'Operating Margin'!$D$17:$D$26</c:f>
              <c:numCache>
                <c:formatCode>0.00%</c:formatCode>
                <c:ptCount val="10"/>
                <c:pt idx="0">
                  <c:v>0.11</c:v>
                </c:pt>
                <c:pt idx="1">
                  <c:v>0.1125</c:v>
                </c:pt>
                <c:pt idx="2">
                  <c:v>0.115</c:v>
                </c:pt>
                <c:pt idx="3">
                  <c:v>0.11750000000000001</c:v>
                </c:pt>
                <c:pt idx="4">
                  <c:v>0.12000000000000001</c:v>
                </c:pt>
                <c:pt idx="5">
                  <c:v>0.12250000000000001</c:v>
                </c:pt>
                <c:pt idx="6">
                  <c:v>0.125</c:v>
                </c:pt>
                <c:pt idx="7">
                  <c:v>0.1275</c:v>
                </c:pt>
                <c:pt idx="8">
                  <c:v>0.13</c:v>
                </c:pt>
                <c:pt idx="9">
                  <c:v>0.13250000000000001</c:v>
                </c:pt>
              </c:numCache>
            </c:numRef>
          </c:val>
          <c:smooth val="0"/>
          <c:extLst>
            <c:ext xmlns:c16="http://schemas.microsoft.com/office/drawing/2014/chart" uri="{C3380CC4-5D6E-409C-BE32-E72D297353CC}">
              <c16:uniqueId val="{00000000-7604-1940-9EFB-4DAFDC3DC9C1}"/>
            </c:ext>
          </c:extLst>
        </c:ser>
        <c:ser>
          <c:idx val="1"/>
          <c:order val="1"/>
          <c:tx>
            <c:v>High</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'Operating Margin'!$C$17:$C$26</c:f>
              <c:numCache>
                <c:formatCode>#,##0.0</c:formatCode>
                <c:ptCount val="10"/>
                <c:pt idx="0">
                  <c:v>386.06400000000002</c:v>
                </c:pt>
                <c:pt idx="1">
                  <c:v>469.822</c:v>
                </c:pt>
                <c:pt idx="2">
                  <c:v>513.98299999999995</c:v>
                </c:pt>
                <c:pt idx="3">
                  <c:v>574.78499999999997</c:v>
                </c:pt>
                <c:pt idx="4">
                  <c:v>637.95899999999995</c:v>
                </c:pt>
                <c:pt idx="5">
                  <c:v>682.61613</c:v>
                </c:pt>
                <c:pt idx="6">
                  <c:v>744.05158170000004</c:v>
                </c:pt>
                <c:pt idx="7">
                  <c:v>811.0162240530002</c:v>
                </c:pt>
                <c:pt idx="8">
                  <c:v>892.11784645830039</c:v>
                </c:pt>
                <c:pt idx="9">
                  <c:v>981.3296311041305</c:v>
                </c:pt>
              </c:numCache>
            </c:numRef>
          </c:cat>
          <c:val>
            <c:numRef>
              <c:f>'Operating Margin'!$E$17:$E$26</c:f>
              <c:numCache>
                <c:formatCode>0.00%</c:formatCode>
                <c:ptCount val="10"/>
                <c:pt idx="0">
                  <c:v>0.11</c:v>
                </c:pt>
                <c:pt idx="1">
                  <c:v>0.11749999999999999</c:v>
                </c:pt>
                <c:pt idx="2">
                  <c:v>0.125</c:v>
                </c:pt>
                <c:pt idx="3">
                  <c:v>0.13250000000000001</c:v>
                </c:pt>
                <c:pt idx="4">
                  <c:v>0.14000000000000001</c:v>
                </c:pt>
                <c:pt idx="5">
                  <c:v>0.14750000000000002</c:v>
                </c:pt>
                <c:pt idx="6">
                  <c:v>0.15500000000000003</c:v>
                </c:pt>
                <c:pt idx="7">
                  <c:v>0.16250000000000003</c:v>
                </c:pt>
                <c:pt idx="8">
                  <c:v>0.17000000000000004</c:v>
                </c:pt>
                <c:pt idx="9">
                  <c:v>0.17750000000000005</c:v>
                </c:pt>
              </c:numCache>
            </c:numRef>
          </c:val>
          <c:smooth val="0"/>
          <c:extLst>
            <c:ext xmlns:c16="http://schemas.microsoft.com/office/drawing/2014/chart" uri="{C3380CC4-5D6E-409C-BE32-E72D297353CC}">
              <c16:uniqueId val="{00000001-7604-1940-9EFB-4DAFDC3DC9C1}"/>
            </c:ext>
          </c:extLst>
        </c:ser>
        <c:dLbls>
          <c:showLegendKey val="0"/>
          <c:showVal val="0"/>
          <c:showCatName val="0"/>
          <c:showSerName val="0"/>
          <c:showPercent val="0"/>
          <c:showBubbleSize val="0"/>
        </c:dLbls>
        <c:marker val="1"/>
        <c:smooth val="0"/>
        <c:axId val="2120070271"/>
        <c:axId val="1994047487"/>
      </c:lineChart>
      <c:catAx>
        <c:axId val="2120070271"/>
        <c:scaling>
          <c:orientation val="minMax"/>
        </c:scaling>
        <c:delete val="0"/>
        <c:axPos val="b"/>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047487"/>
        <c:crosses val="autoZero"/>
        <c:auto val="1"/>
        <c:lblAlgn val="ctr"/>
        <c:lblOffset val="100"/>
        <c:noMultiLvlLbl val="0"/>
      </c:catAx>
      <c:valAx>
        <c:axId val="1994047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070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 Revenue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1"/>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'Operating Margin'!$G$17:$G$26</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'Operating Margin'!$H$17:$H$26</c:f>
              <c:numCache>
                <c:formatCode>#,##0.0</c:formatCode>
                <c:ptCount val="10"/>
                <c:pt idx="0">
                  <c:v>386.06400000000002</c:v>
                </c:pt>
                <c:pt idx="1">
                  <c:v>469.822</c:v>
                </c:pt>
                <c:pt idx="2">
                  <c:v>513.98299999999995</c:v>
                </c:pt>
                <c:pt idx="3">
                  <c:v>574.78499999999997</c:v>
                </c:pt>
                <c:pt idx="4">
                  <c:v>637.95899999999995</c:v>
                </c:pt>
                <c:pt idx="5">
                  <c:v>682.61613</c:v>
                </c:pt>
                <c:pt idx="6">
                  <c:v>744.05158170000004</c:v>
                </c:pt>
                <c:pt idx="7">
                  <c:v>811.0162240530002</c:v>
                </c:pt>
                <c:pt idx="8">
                  <c:v>892.11784645830039</c:v>
                </c:pt>
                <c:pt idx="9">
                  <c:v>981.3296311041305</c:v>
                </c:pt>
              </c:numCache>
            </c:numRef>
          </c:val>
          <c:smooth val="0"/>
          <c:extLst>
            <c:ext xmlns:c16="http://schemas.microsoft.com/office/drawing/2014/chart" uri="{C3380CC4-5D6E-409C-BE32-E72D297353CC}">
              <c16:uniqueId val="{00000002-E282-9B40-92FD-3B166A90326A}"/>
            </c:ext>
          </c:extLst>
        </c:ser>
        <c:dLbls>
          <c:showLegendKey val="0"/>
          <c:showVal val="0"/>
          <c:showCatName val="0"/>
          <c:showSerName val="0"/>
          <c:showPercent val="0"/>
          <c:showBubbleSize val="0"/>
        </c:dLbls>
        <c:marker val="1"/>
        <c:smooth val="0"/>
        <c:axId val="2119878399"/>
        <c:axId val="1993884991"/>
      </c:lineChart>
      <c:catAx>
        <c:axId val="211987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884991"/>
        <c:crosses val="autoZero"/>
        <c:auto val="1"/>
        <c:lblAlgn val="ctr"/>
        <c:lblOffset val="100"/>
        <c:noMultiLvlLbl val="0"/>
      </c:catAx>
      <c:valAx>
        <c:axId val="19938849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878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Peer Revenues </a:t>
            </a:r>
          </a:p>
          <a:p>
            <a:pPr>
              <a:defRPr/>
            </a:pPr>
            <a:r>
              <a:rPr lang="en-US" sz="1200" b="0"/>
              <a:t>(In</a:t>
            </a:r>
            <a:r>
              <a:rPr lang="en-US" sz="1200" b="0" baseline="0"/>
              <a:t> $ B)</a:t>
            </a:r>
            <a:endParaRPr lang="en-US" sz="1200" b="0"/>
          </a:p>
        </c:rich>
      </c:tx>
      <c:layout>
        <c:manualLayout>
          <c:xMode val="edge"/>
          <c:yMode val="edge"/>
          <c:x val="0.2657731079793369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35304428506946184"/>
          <c:y val="0.23104184893554972"/>
          <c:w val="0.40279435611949782"/>
          <c:h val="0.71803222513852438"/>
        </c:manualLayout>
      </c:layout>
      <c:barChart>
        <c:barDir val="bar"/>
        <c:grouping val="clustered"/>
        <c:varyColors val="0"/>
        <c:ser>
          <c:idx val="0"/>
          <c:order val="0"/>
          <c:spPr>
            <a:solidFill>
              <a:schemeClr val="accent1"/>
            </a:solidFill>
            <a:ln>
              <a:noFill/>
            </a:ln>
            <a:effectLst/>
          </c:spPr>
          <c:invertIfNegative val="0"/>
          <c:cat>
            <c:strRef>
              <c:f>'Peer Fin Info'!$D$11:$D$20</c:f>
              <c:strCache>
                <c:ptCount val="10"/>
                <c:pt idx="0">
                  <c:v>Microsoft Corporation</c:v>
                </c:pt>
                <c:pt idx="1">
                  <c:v>Alphabet Inc.</c:v>
                </c:pt>
                <c:pt idx="2">
                  <c:v>Meta Platforms, Inc.</c:v>
                </c:pt>
                <c:pt idx="3">
                  <c:v>Oracle Corporation</c:v>
                </c:pt>
                <c:pt idx="4">
                  <c:v>Walmart Inc.</c:v>
                </c:pt>
                <c:pt idx="5">
                  <c:v>Costco Wholesale</c:v>
                </c:pt>
                <c:pt idx="6">
                  <c:v>Target Corporation</c:v>
                </c:pt>
                <c:pt idx="7">
                  <c:v>Alibaba Group</c:v>
                </c:pt>
                <c:pt idx="8">
                  <c:v>Apple Inc.</c:v>
                </c:pt>
                <c:pt idx="9">
                  <c:v>Netflix, Inc.</c:v>
                </c:pt>
              </c:strCache>
            </c:strRef>
          </c:cat>
          <c:val>
            <c:numRef>
              <c:f>'Peer Fin Info'!$H$11:$H$20</c:f>
              <c:numCache>
                <c:formatCode>#,##0_);[Red]\(#,##0\)</c:formatCode>
                <c:ptCount val="10"/>
                <c:pt idx="0">
                  <c:v>293812</c:v>
                </c:pt>
                <c:pt idx="1">
                  <c:v>385476</c:v>
                </c:pt>
                <c:pt idx="2">
                  <c:v>189458</c:v>
                </c:pt>
                <c:pt idx="3">
                  <c:v>61016</c:v>
                </c:pt>
                <c:pt idx="4">
                  <c:v>703061</c:v>
                </c:pt>
                <c:pt idx="5">
                  <c:v>208391</c:v>
                </c:pt>
                <c:pt idx="6">
                  <c:v>105242</c:v>
                </c:pt>
                <c:pt idx="7">
                  <c:v>1012055</c:v>
                </c:pt>
                <c:pt idx="8">
                  <c:v>416161</c:v>
                </c:pt>
                <c:pt idx="9">
                  <c:v>39000.966</c:v>
                </c:pt>
              </c:numCache>
            </c:numRef>
          </c:val>
          <c:extLst>
            <c:ext xmlns:c16="http://schemas.microsoft.com/office/drawing/2014/chart" uri="{C3380CC4-5D6E-409C-BE32-E72D297353CC}">
              <c16:uniqueId val="{00000000-89FE-4C8A-A30B-E8CEA3A44618}"/>
            </c:ext>
          </c:extLst>
        </c:ser>
        <c:dLbls>
          <c:showLegendKey val="0"/>
          <c:showVal val="0"/>
          <c:showCatName val="0"/>
          <c:showSerName val="0"/>
          <c:showPercent val="0"/>
          <c:showBubbleSize val="0"/>
        </c:dLbls>
        <c:gapWidth val="182"/>
        <c:axId val="339038879"/>
        <c:axId val="339035999"/>
      </c:barChart>
      <c:catAx>
        <c:axId val="33903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39035999"/>
        <c:crosses val="autoZero"/>
        <c:auto val="1"/>
        <c:lblAlgn val="ctr"/>
        <c:lblOffset val="100"/>
        <c:noMultiLvlLbl val="0"/>
      </c:catAx>
      <c:valAx>
        <c:axId val="339035999"/>
        <c:scaling>
          <c:orientation val="minMax"/>
        </c:scaling>
        <c:delete val="1"/>
        <c:axPos val="b"/>
        <c:numFmt formatCode="#,##0_);[Red]\(#,##0\)" sourceLinked="1"/>
        <c:majorTickMark val="none"/>
        <c:minorTickMark val="none"/>
        <c:tickLblPos val="nextTo"/>
        <c:crossAx val="33903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Peer EV </a:t>
            </a:r>
          </a:p>
          <a:p>
            <a:pPr>
              <a:defRPr/>
            </a:pPr>
            <a:r>
              <a:rPr lang="en-US" sz="1200" b="0"/>
              <a:t>(In</a:t>
            </a:r>
            <a:r>
              <a:rPr lang="en-US" sz="1200" b="0" baseline="0"/>
              <a:t> $ B)</a:t>
            </a:r>
            <a:endParaRPr lang="en-US" sz="1200" b="0"/>
          </a:p>
        </c:rich>
      </c:tx>
      <c:layout>
        <c:manualLayout>
          <c:xMode val="edge"/>
          <c:yMode val="edge"/>
          <c:x val="0.2657731079793369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35304428506946184"/>
          <c:y val="0.23104184893554972"/>
          <c:w val="0.40279435611949782"/>
          <c:h val="0.71803222513852438"/>
        </c:manualLayout>
      </c:layout>
      <c:barChart>
        <c:barDir val="bar"/>
        <c:grouping val="clustered"/>
        <c:varyColors val="0"/>
        <c:ser>
          <c:idx val="0"/>
          <c:order val="0"/>
          <c:spPr>
            <a:solidFill>
              <a:schemeClr val="accent1"/>
            </a:solidFill>
            <a:ln>
              <a:noFill/>
            </a:ln>
            <a:effectLst/>
          </c:spPr>
          <c:invertIfNegative val="0"/>
          <c:cat>
            <c:strRef>
              <c:f>'Peer Fin Info'!$D$11:$D$20</c:f>
              <c:strCache>
                <c:ptCount val="10"/>
                <c:pt idx="0">
                  <c:v>Microsoft Corporation</c:v>
                </c:pt>
                <c:pt idx="1">
                  <c:v>Alphabet Inc.</c:v>
                </c:pt>
                <c:pt idx="2">
                  <c:v>Meta Platforms, Inc.</c:v>
                </c:pt>
                <c:pt idx="3">
                  <c:v>Oracle Corporation</c:v>
                </c:pt>
                <c:pt idx="4">
                  <c:v>Walmart Inc.</c:v>
                </c:pt>
                <c:pt idx="5">
                  <c:v>Costco Wholesale</c:v>
                </c:pt>
                <c:pt idx="6">
                  <c:v>Target Corporation</c:v>
                </c:pt>
                <c:pt idx="7">
                  <c:v>Alibaba Group</c:v>
                </c:pt>
                <c:pt idx="8">
                  <c:v>Apple Inc.</c:v>
                </c:pt>
                <c:pt idx="9">
                  <c:v>Netflix, Inc.</c:v>
                </c:pt>
              </c:strCache>
            </c:strRef>
          </c:cat>
          <c:val>
            <c:numRef>
              <c:f>'Peer Fin Info'!$R$11:$R$20</c:f>
              <c:numCache>
                <c:formatCode>#,##0_);[Red]\(#,##0\)</c:formatCode>
                <c:ptCount val="10"/>
                <c:pt idx="0">
                  <c:v>3515167</c:v>
                </c:pt>
                <c:pt idx="1">
                  <c:v>3667419</c:v>
                </c:pt>
                <c:pt idx="2">
                  <c:v>1630411</c:v>
                </c:pt>
                <c:pt idx="3">
                  <c:v>646185</c:v>
                </c:pt>
                <c:pt idx="4">
                  <c:v>987960</c:v>
                </c:pt>
                <c:pt idx="5">
                  <c:v>385556</c:v>
                </c:pt>
                <c:pt idx="6">
                  <c:v>60128</c:v>
                </c:pt>
                <c:pt idx="7">
                  <c:v>194386</c:v>
                </c:pt>
                <c:pt idx="8">
                  <c:v>4152229</c:v>
                </c:pt>
                <c:pt idx="9">
                  <c:v>404294.73300000001</c:v>
                </c:pt>
              </c:numCache>
            </c:numRef>
          </c:val>
          <c:extLst>
            <c:ext xmlns:c16="http://schemas.microsoft.com/office/drawing/2014/chart" uri="{C3380CC4-5D6E-409C-BE32-E72D297353CC}">
              <c16:uniqueId val="{00000000-DA66-4003-A66E-96BACB5FDD0D}"/>
            </c:ext>
          </c:extLst>
        </c:ser>
        <c:dLbls>
          <c:showLegendKey val="0"/>
          <c:showVal val="0"/>
          <c:showCatName val="0"/>
          <c:showSerName val="0"/>
          <c:showPercent val="0"/>
          <c:showBubbleSize val="0"/>
        </c:dLbls>
        <c:gapWidth val="182"/>
        <c:axId val="339038879"/>
        <c:axId val="339035999"/>
      </c:barChart>
      <c:catAx>
        <c:axId val="33903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39035999"/>
        <c:crosses val="autoZero"/>
        <c:auto val="1"/>
        <c:lblAlgn val="ctr"/>
        <c:lblOffset val="100"/>
        <c:noMultiLvlLbl val="0"/>
      </c:catAx>
      <c:valAx>
        <c:axId val="339035999"/>
        <c:scaling>
          <c:orientation val="minMax"/>
        </c:scaling>
        <c:delete val="1"/>
        <c:axPos val="b"/>
        <c:numFmt formatCode="#,##0_);[Red]\(#,##0\)" sourceLinked="1"/>
        <c:majorTickMark val="none"/>
        <c:minorTickMark val="none"/>
        <c:tickLblPos val="nextTo"/>
        <c:crossAx val="33903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Market Value vs Intrinsic Value</cx:v>
        </cx:txData>
      </cx:tx>
      <cx:txPr>
        <a:bodyPr vertOverflow="overflow" horzOverflow="overflow" wrap="square" lIns="0" tIns="0" rIns="0" bIns="0"/>
        <a:lstStyle/>
        <a:p>
          <a:pPr algn="ctr" rtl="0">
            <a:defRPr sz="1000" b="1" i="0">
              <a:solidFill>
                <a:srgbClr val="595959"/>
              </a:solidFill>
              <a:latin typeface="Arial" panose="020B0604020202020204" pitchFamily="34" charset="0"/>
              <a:ea typeface="Arial" panose="020B0604020202020204" pitchFamily="34" charset="0"/>
              <a:cs typeface="Arial" panose="020B0604020202020204" pitchFamily="34" charset="0"/>
            </a:defRPr>
          </a:pPr>
          <a:r>
            <a:rPr lang="en-US" sz="1000" b="1">
              <a:latin typeface="Arial" panose="020B0604020202020204" pitchFamily="34" charset="0"/>
              <a:cs typeface="Arial" panose="020B0604020202020204" pitchFamily="34" charset="0"/>
            </a:rPr>
            <a:t>Market Value vs Intrinsic Value</a:t>
          </a:r>
        </a:p>
      </cx:txPr>
    </cx:title>
    <cx:plotArea>
      <cx:plotAreaRegion>
        <cx:series layoutId="waterfall" uniqueId="{8252DCE4-946D-433A-B03F-7A7C1EDC8F28}">
          <cx:dataPt idx="0">
            <cx:spPr>
              <a:solidFill>
                <a:sysClr val="windowText" lastClr="000000"/>
              </a:solidFill>
            </cx:spPr>
          </cx:dataPt>
          <cx:dataPt idx="1">
            <cx:spPr>
              <a:solidFill>
                <a:srgbClr val="AFDEFF"/>
              </a:solidFill>
            </cx:spPr>
          </cx:dataPt>
          <cx:dataPt idx="2">
            <cx:spPr>
              <a:solidFill>
                <a:srgbClr val="0000FF"/>
              </a:solidFill>
            </cx:spPr>
          </cx:dataPt>
          <cx:dataLabels pos="outEnd">
            <cx:txPr>
              <a:bodyPr vertOverflow="overflow" horzOverflow="overflow" wrap="square" lIns="0" tIns="0" rIns="0" bIns="0"/>
              <a:lstStyle/>
              <a:p>
                <a:pPr algn="ctr" rtl="0">
                  <a:defRPr sz="9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a:latin typeface="Arial" panose="020B0604020202020204" pitchFamily="34" charset="0"/>
                  <a:cs typeface="Arial" panose="020B0604020202020204" pitchFamily="34" charset="0"/>
                </a:endParaRPr>
              </a:p>
            </cx:txPr>
            <cx:visibility seriesName="0" categoryName="0" value="1"/>
          </cx:dataLabels>
          <cx:dataId val="0"/>
          <cx:layoutPr>
            <cx:visibility connectorLines="1"/>
            <cx:subtotals>
              <cx:idx val="2"/>
            </cx:subtotals>
          </cx:layoutPr>
        </cx:series>
      </cx:plotAreaRegion>
      <cx:axis id="0">
        <cx:catScaling gapWidth="0.769999981"/>
        <cx:tickLabels/>
        <cx:txPr>
          <a:bodyPr vertOverflow="overflow" horzOverflow="overflow" wrap="square" lIns="0" tIns="0" rIns="0" bIns="0"/>
          <a:lstStyle/>
          <a:p>
            <a:pPr algn="ctr" rtl="0">
              <a:defRPr sz="9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a:latin typeface="Arial" panose="020B0604020202020204" pitchFamily="34" charset="0"/>
              <a:cs typeface="Arial" panose="020B0604020202020204" pitchFamily="34" charset="0"/>
            </a:endParaRPr>
          </a:p>
        </cx:txPr>
      </cx:axis>
      <cx:axis id="1" hidden="1">
        <cx:valScaling/>
        <cx:tickLabels/>
        <cx:txPr>
          <a:bodyPr vertOverflow="overflow" horzOverflow="overflow" wrap="square" lIns="0" tIns="0" rIns="0" bIns="0"/>
          <a:lstStyle/>
          <a:p>
            <a:pPr algn="ctr" rtl="0">
              <a:defRPr sz="9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a:latin typeface="Arial" panose="020B0604020202020204" pitchFamily="34" charset="0"/>
              <a:cs typeface="Arial" panose="020B0604020202020204" pitchFamily="34" charset="0"/>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Equity Value</cx:v>
        </cx:txData>
      </cx:tx>
      <cx:txPr>
        <a:bodyPr vertOverflow="overflow" horzOverflow="overflow" wrap="square" lIns="0" tIns="0" rIns="0" bIns="0"/>
        <a:lstStyle/>
        <a:p>
          <a:pPr algn="ctr" rtl="0">
            <a:defRPr sz="1400" b="0" i="0">
              <a:solidFill>
                <a:srgbClr val="595959"/>
              </a:solidFill>
              <a:latin typeface="Arial" panose="020B0604020202020204" pitchFamily="34" charset="0"/>
              <a:ea typeface="Arial" panose="020B0604020202020204" pitchFamily="34" charset="0"/>
              <a:cs typeface="Arial" panose="020B0604020202020204" pitchFamily="34" charset="0"/>
            </a:defRPr>
          </a:pPr>
          <a:r>
            <a:rPr lang="en-US" sz="1200" b="1">
              <a:latin typeface="Arial" panose="020B0604020202020204" pitchFamily="34" charset="0"/>
              <a:cs typeface="Arial" panose="020B0604020202020204" pitchFamily="34" charset="0"/>
            </a:rPr>
            <a:t>Equity Value</a:t>
          </a:r>
        </a:p>
      </cx:txPr>
    </cx:title>
    <cx:plotArea>
      <cx:plotAreaRegion>
        <cx:series layoutId="waterfall" uniqueId="{2C4126F7-5E3D-4E2F-B56E-84F27D15DA86}">
          <cx:spPr>
            <a:solidFill>
              <a:srgbClr val="0070C0"/>
            </a:solidFill>
          </cx:spPr>
          <cx:dataPt idx="0">
            <cx:spPr>
              <a:solidFill>
                <a:srgbClr val="6B83FD"/>
              </a:solidFill>
            </cx:spPr>
          </cx:dataPt>
          <cx:dataPt idx="3">
            <cx:spPr>
              <a:solidFill>
                <a:srgbClr val="AFDEFF"/>
              </a:solidFill>
            </cx:spPr>
          </cx:dataPt>
          <cx:dataPt idx="4">
            <cx:spPr>
              <a:solidFill>
                <a:srgbClr val="00B0F0"/>
              </a:solidFill>
            </cx:spPr>
          </cx:dataPt>
          <cx:dataLabels>
            <cx:txPr>
              <a:bodyPr vertOverflow="overflow" horzOverflow="overflow" wrap="square" lIns="0" tIns="0" rIns="0" bIns="0"/>
              <a:lstStyle/>
              <a:p>
                <a:pPr algn="ctr" rtl="0">
                  <a:defRPr sz="9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a:latin typeface="Arial" panose="020B0604020202020204" pitchFamily="34" charset="0"/>
                  <a:cs typeface="Arial" panose="020B0604020202020204" pitchFamily="34" charset="0"/>
                </a:endParaRPr>
              </a:p>
            </cx:txPr>
          </cx:dataLabels>
          <cx:dataId val="0"/>
          <cx:layoutPr>
            <cx:subtotals>
              <cx:idx val="4"/>
            </cx:subtotals>
          </cx:layoutPr>
        </cx:series>
      </cx:plotAreaRegion>
      <cx:axis id="0">
        <cx:catScaling gapWidth="0.5"/>
        <cx:tickLabels/>
        <cx:txPr>
          <a:bodyPr vertOverflow="overflow" horzOverflow="overflow" wrap="square" lIns="0" tIns="0" rIns="0" bIns="0"/>
          <a:lstStyle/>
          <a:p>
            <a:pPr algn="ctr" rtl="0">
              <a:defRPr sz="9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a:latin typeface="Arial" panose="020B0604020202020204" pitchFamily="34" charset="0"/>
              <a:cs typeface="Arial" panose="020B0604020202020204" pitchFamily="34" charset="0"/>
            </a:endParaRPr>
          </a:p>
        </cx:txPr>
      </cx:axis>
      <cx:axis id="1" hidden="1">
        <cx:valScaling/>
        <cx:tickLabels/>
        <cx:txPr>
          <a:bodyPr vertOverflow="overflow" horzOverflow="overflow" wrap="square" lIns="0" tIns="0" rIns="0" bIns="0"/>
          <a:lstStyle/>
          <a:p>
            <a:pPr algn="ctr" rtl="0">
              <a:defRPr sz="9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a:latin typeface="Arial" panose="020B0604020202020204" pitchFamily="34" charset="0"/>
              <a:cs typeface="Arial" panose="020B06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2.wmf"/><Relationship Id="rId4"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image" Target="../media/image1.png"/><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6.xml"/><Relationship Id="rId7" Type="http://schemas.microsoft.com/office/2014/relationships/chartEx" Target="../charts/chartEx2.xml"/><Relationship Id="rId2" Type="http://schemas.openxmlformats.org/officeDocument/2006/relationships/chart" Target="../charts/chart15.xml"/><Relationship Id="rId1" Type="http://schemas.microsoft.com/office/2014/relationships/chartEx" Target="../charts/chartEx1.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4.xml"/><Relationship Id="rId4"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6.xml"/><Relationship Id="rId1" Type="http://schemas.openxmlformats.org/officeDocument/2006/relationships/chart" Target="../charts/chart25.xml"/></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0</xdr:row>
      <xdr:rowOff>127000</xdr:rowOff>
    </xdr:from>
    <xdr:to>
      <xdr:col>4</xdr:col>
      <xdr:colOff>620658</xdr:colOff>
      <xdr:row>4</xdr:row>
      <xdr:rowOff>139700</xdr:rowOff>
    </xdr:to>
    <xdr:pic>
      <xdr:nvPicPr>
        <xdr:cNvPr id="2" name="Picture 1">
          <a:extLst>
            <a:ext uri="{FF2B5EF4-FFF2-40B4-BE49-F238E27FC236}">
              <a16:creationId xmlns:a16="http://schemas.microsoft.com/office/drawing/2014/main" id="{3901B4E6-F2D1-D449-B0A7-61D1A429FF6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736600" y="127000"/>
          <a:ext cx="1776358" cy="63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23</xdr:row>
      <xdr:rowOff>152399</xdr:rowOff>
    </xdr:from>
    <xdr:to>
      <xdr:col>10</xdr:col>
      <xdr:colOff>632460</xdr:colOff>
      <xdr:row>38</xdr:row>
      <xdr:rowOff>147734</xdr:rowOff>
    </xdr:to>
    <xdr:graphicFrame macro="">
      <xdr:nvGraphicFramePr>
        <xdr:cNvPr id="3" name="Chart 2">
          <a:extLst>
            <a:ext uri="{FF2B5EF4-FFF2-40B4-BE49-F238E27FC236}">
              <a16:creationId xmlns:a16="http://schemas.microsoft.com/office/drawing/2014/main" id="{38EAB5D1-BEDA-498D-B0FC-8C3EE301B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257836</xdr:colOff>
      <xdr:row>31</xdr:row>
      <xdr:rowOff>44163</xdr:rowOff>
    </xdr:from>
    <xdr:to>
      <xdr:col>10</xdr:col>
      <xdr:colOff>587673</xdr:colOff>
      <xdr:row>36</xdr:row>
      <xdr:rowOff>171060</xdr:rowOff>
    </xdr:to>
    <xdr:graphicFrame macro="">
      <xdr:nvGraphicFramePr>
        <xdr:cNvPr id="4" name="Chart 3">
          <a:extLst>
            <a:ext uri="{FF2B5EF4-FFF2-40B4-BE49-F238E27FC236}">
              <a16:creationId xmlns:a16="http://schemas.microsoft.com/office/drawing/2014/main" id="{9BD3EB0E-0EF7-4F70-83E5-C5BDC71B2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262284</xdr:colOff>
      <xdr:row>1</xdr:row>
      <xdr:rowOff>55217</xdr:rowOff>
    </xdr:from>
    <xdr:to>
      <xdr:col>5</xdr:col>
      <xdr:colOff>505396</xdr:colOff>
      <xdr:row>5</xdr:row>
      <xdr:rowOff>2247</xdr:rowOff>
    </xdr:to>
    <xdr:pic>
      <xdr:nvPicPr>
        <xdr:cNvPr id="5" name="Picture 4">
          <a:extLst>
            <a:ext uri="{FF2B5EF4-FFF2-40B4-BE49-F238E27FC236}">
              <a16:creationId xmlns:a16="http://schemas.microsoft.com/office/drawing/2014/main" id="{0E0D4FBB-9030-AE41-989C-68C795B1212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9166" b="17282"/>
        <a:stretch>
          <a:fillRect/>
        </a:stretch>
      </xdr:blipFill>
      <xdr:spPr>
        <a:xfrm>
          <a:off x="3092175" y="220869"/>
          <a:ext cx="1776358" cy="635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190500</xdr:colOff>
      <xdr:row>6</xdr:row>
      <xdr:rowOff>102870</xdr:rowOff>
    </xdr:from>
    <xdr:to>
      <xdr:col>13</xdr:col>
      <xdr:colOff>312420</xdr:colOff>
      <xdr:row>20</xdr:row>
      <xdr:rowOff>45720</xdr:rowOff>
    </xdr:to>
    <xdr:graphicFrame macro="">
      <xdr:nvGraphicFramePr>
        <xdr:cNvPr id="3" name="Chart 2">
          <a:extLst>
            <a:ext uri="{FF2B5EF4-FFF2-40B4-BE49-F238E27FC236}">
              <a16:creationId xmlns:a16="http://schemas.microsoft.com/office/drawing/2014/main" id="{503DEF99-BE62-00E0-C8AA-98FC8B3AF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213282</xdr:colOff>
      <xdr:row>0</xdr:row>
      <xdr:rowOff>126031</xdr:rowOff>
    </xdr:from>
    <xdr:to>
      <xdr:col>4</xdr:col>
      <xdr:colOff>574220</xdr:colOff>
      <xdr:row>4</xdr:row>
      <xdr:rowOff>53321</xdr:rowOff>
    </xdr:to>
    <xdr:pic>
      <xdr:nvPicPr>
        <xdr:cNvPr id="2" name="Picture 1">
          <a:extLst>
            <a:ext uri="{FF2B5EF4-FFF2-40B4-BE49-F238E27FC236}">
              <a16:creationId xmlns:a16="http://schemas.microsoft.com/office/drawing/2014/main" id="{8AA822A3-24F3-4745-9723-751300FE3DD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9166" b="17282"/>
        <a:stretch>
          <a:fillRect/>
        </a:stretch>
      </xdr:blipFill>
      <xdr:spPr>
        <a:xfrm>
          <a:off x="698015" y="126031"/>
          <a:ext cx="1776358" cy="635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1290320</xdr:colOff>
      <xdr:row>0</xdr:row>
      <xdr:rowOff>132080</xdr:rowOff>
    </xdr:from>
    <xdr:to>
      <xdr:col>2</xdr:col>
      <xdr:colOff>3066678</xdr:colOff>
      <xdr:row>4</xdr:row>
      <xdr:rowOff>66040</xdr:rowOff>
    </xdr:to>
    <xdr:pic>
      <xdr:nvPicPr>
        <xdr:cNvPr id="4" name="Picture 3">
          <a:extLst>
            <a:ext uri="{FF2B5EF4-FFF2-40B4-BE49-F238E27FC236}">
              <a16:creationId xmlns:a16="http://schemas.microsoft.com/office/drawing/2014/main" id="{872CAAD9-0B04-7047-A0D8-86108C11215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1778000" y="132080"/>
          <a:ext cx="1776358" cy="635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914400</xdr:colOff>
      <xdr:row>6</xdr:row>
      <xdr:rowOff>53340</xdr:rowOff>
    </xdr:from>
    <xdr:to>
      <xdr:col>12</xdr:col>
      <xdr:colOff>957358</xdr:colOff>
      <xdr:row>17</xdr:row>
      <xdr:rowOff>37283</xdr:rowOff>
    </xdr:to>
    <xdr:pic>
      <xdr:nvPicPr>
        <xdr:cNvPr id="2" name="Content Placeholder 9" descr="(L_t) = alpha((Y_t)/(S_t minus p)) + (1 minus alpha)((L_t minus 1) + (T_t minus 1)). (T_t) = beta((L_t) minus (L_t minus 1)) + (1 minus beta)(T_t minus 1). S_t = gamma((Y_t)/(L_t)) + (1 minus gamma)(S_t minus p). (Y-hat_t+n) = ((L_t) + n(T_t))(S_t + n minus p)">
          <a:extLst>
            <a:ext uri="{FF2B5EF4-FFF2-40B4-BE49-F238E27FC236}">
              <a16:creationId xmlns:a16="http://schemas.microsoft.com/office/drawing/2014/main" id="{07F2BBCC-2C85-49B1-A9DB-5FE6CDB20AAA}"/>
            </a:ext>
          </a:extLst>
        </xdr:cNvPr>
        <xdr:cNvPicPr>
          <a:picLocks/>
        </xdr:cNvPicPr>
      </xdr:nvPicPr>
      <xdr:blipFill>
        <a:blip xmlns:r="http://schemas.openxmlformats.org/officeDocument/2006/relationships" r:embed="rId1"/>
        <a:stretch>
          <a:fillRect/>
        </a:stretch>
      </xdr:blipFill>
      <xdr:spPr>
        <a:xfrm>
          <a:off x="9380220" y="975360"/>
          <a:ext cx="2054638" cy="1652723"/>
        </a:xfrm>
        <a:prstGeom prst="rect">
          <a:avLst/>
        </a:prstGeom>
      </xdr:spPr>
    </xdr:pic>
    <xdr:clientData/>
  </xdr:twoCellAnchor>
  <xdr:twoCellAnchor>
    <xdr:from>
      <xdr:col>9</xdr:col>
      <xdr:colOff>294408</xdr:colOff>
      <xdr:row>21</xdr:row>
      <xdr:rowOff>96982</xdr:rowOff>
    </xdr:from>
    <xdr:to>
      <xdr:col>12</xdr:col>
      <xdr:colOff>644235</xdr:colOff>
      <xdr:row>42</xdr:row>
      <xdr:rowOff>41563</xdr:rowOff>
    </xdr:to>
    <xdr:graphicFrame macro="">
      <xdr:nvGraphicFramePr>
        <xdr:cNvPr id="3" name="Chart 2">
          <a:extLst>
            <a:ext uri="{FF2B5EF4-FFF2-40B4-BE49-F238E27FC236}">
              <a16:creationId xmlns:a16="http://schemas.microsoft.com/office/drawing/2014/main" id="{CA05593C-AE5C-4F82-8C81-55A3373E9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617220</xdr:colOff>
      <xdr:row>42</xdr:row>
      <xdr:rowOff>29210</xdr:rowOff>
    </xdr:from>
    <xdr:to>
      <xdr:col>11</xdr:col>
      <xdr:colOff>2184400</xdr:colOff>
      <xdr:row>61</xdr:row>
      <xdr:rowOff>21590</xdr:rowOff>
    </xdr:to>
    <xdr:graphicFrame macro="">
      <xdr:nvGraphicFramePr>
        <xdr:cNvPr id="5" name="Chart 4">
          <a:extLst>
            <a:ext uri="{FF2B5EF4-FFF2-40B4-BE49-F238E27FC236}">
              <a16:creationId xmlns:a16="http://schemas.microsoft.com/office/drawing/2014/main" id="{FD997C2F-2158-C925-9FAF-8C1E4E66A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2146300</xdr:colOff>
      <xdr:row>53</xdr:row>
      <xdr:rowOff>127000</xdr:rowOff>
    </xdr:from>
    <xdr:to>
      <xdr:col>12</xdr:col>
      <xdr:colOff>162560</xdr:colOff>
      <xdr:row>59</xdr:row>
      <xdr:rowOff>20320</xdr:rowOff>
    </xdr:to>
    <xdr:sp macro="" textlink="">
      <xdr:nvSpPr>
        <xdr:cNvPr id="7" name="Right Brace 6">
          <a:extLst>
            <a:ext uri="{FF2B5EF4-FFF2-40B4-BE49-F238E27FC236}">
              <a16:creationId xmlns:a16="http://schemas.microsoft.com/office/drawing/2014/main" id="{640D3392-E0F2-08CB-69D6-21A36776249E}"/>
            </a:ext>
          </a:extLst>
        </xdr:cNvPr>
        <xdr:cNvSpPr/>
      </xdr:nvSpPr>
      <xdr:spPr>
        <a:xfrm>
          <a:off x="11595100" y="8234680"/>
          <a:ext cx="251460" cy="807720"/>
        </a:xfrm>
        <a:prstGeom prst="rightBrace">
          <a:avLst/>
        </a:prstGeom>
        <a:ln>
          <a:solidFill>
            <a:schemeClr val="accent5"/>
          </a:solidFill>
        </a:ln>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a:p>
      </xdr:txBody>
    </xdr:sp>
    <xdr:clientData/>
  </xdr:twoCellAnchor>
  <xdr:twoCellAnchor>
    <xdr:from>
      <xdr:col>10</xdr:col>
      <xdr:colOff>1826260</xdr:colOff>
      <xdr:row>48</xdr:row>
      <xdr:rowOff>17780</xdr:rowOff>
    </xdr:from>
    <xdr:to>
      <xdr:col>10</xdr:col>
      <xdr:colOff>2047240</xdr:colOff>
      <xdr:row>49</xdr:row>
      <xdr:rowOff>100076</xdr:rowOff>
    </xdr:to>
    <xdr:sp macro="" textlink="">
      <xdr:nvSpPr>
        <xdr:cNvPr id="8" name="Oval 7">
          <a:extLst>
            <a:ext uri="{FF2B5EF4-FFF2-40B4-BE49-F238E27FC236}">
              <a16:creationId xmlns:a16="http://schemas.microsoft.com/office/drawing/2014/main" id="{0F62537E-F8FC-8DE9-84BC-C2CEBD6BBA3C}"/>
            </a:ext>
          </a:extLst>
        </xdr:cNvPr>
        <xdr:cNvSpPr/>
      </xdr:nvSpPr>
      <xdr:spPr>
        <a:xfrm>
          <a:off x="8674100" y="7363460"/>
          <a:ext cx="220980" cy="234696"/>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panose="020B0604020202020204" pitchFamily="34" charset="0"/>
              <a:cs typeface="Arial" panose="020B0604020202020204" pitchFamily="34" charset="0"/>
            </a:rPr>
            <a:t>1</a:t>
          </a:r>
        </a:p>
      </xdr:txBody>
    </xdr:sp>
    <xdr:clientData/>
  </xdr:twoCellAnchor>
  <xdr:twoCellAnchor>
    <xdr:from>
      <xdr:col>12</xdr:col>
      <xdr:colOff>226060</xdr:colOff>
      <xdr:row>55</xdr:row>
      <xdr:rowOff>106680</xdr:rowOff>
    </xdr:from>
    <xdr:to>
      <xdr:col>12</xdr:col>
      <xdr:colOff>447040</xdr:colOff>
      <xdr:row>57</xdr:row>
      <xdr:rowOff>36576</xdr:rowOff>
    </xdr:to>
    <xdr:sp macro="" textlink="">
      <xdr:nvSpPr>
        <xdr:cNvPr id="9" name="Oval 8">
          <a:extLst>
            <a:ext uri="{FF2B5EF4-FFF2-40B4-BE49-F238E27FC236}">
              <a16:creationId xmlns:a16="http://schemas.microsoft.com/office/drawing/2014/main" id="{0E3CA03C-A3B1-496E-82ED-E099479BC38B}"/>
            </a:ext>
          </a:extLst>
        </xdr:cNvPr>
        <xdr:cNvSpPr/>
      </xdr:nvSpPr>
      <xdr:spPr>
        <a:xfrm>
          <a:off x="11910060" y="8519160"/>
          <a:ext cx="220980" cy="234696"/>
        </a:xfrm>
        <a:prstGeom prst="ellipse">
          <a:avLst/>
        </a:prstGeom>
        <a:solidFill>
          <a:srgbClr val="AFDEFF"/>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panose="020B0604020202020204" pitchFamily="34" charset="0"/>
              <a:cs typeface="Arial" panose="020B0604020202020204" pitchFamily="34" charset="0"/>
            </a:rPr>
            <a:t>2</a:t>
          </a:r>
        </a:p>
      </xdr:txBody>
    </xdr:sp>
    <xdr:clientData/>
  </xdr:twoCellAnchor>
  <xdr:twoCellAnchor>
    <xdr:from>
      <xdr:col>12</xdr:col>
      <xdr:colOff>220980</xdr:colOff>
      <xdr:row>57</xdr:row>
      <xdr:rowOff>124460</xdr:rowOff>
    </xdr:from>
    <xdr:to>
      <xdr:col>12</xdr:col>
      <xdr:colOff>441960</xdr:colOff>
      <xdr:row>59</xdr:row>
      <xdr:rowOff>46736</xdr:rowOff>
    </xdr:to>
    <xdr:sp macro="" textlink="">
      <xdr:nvSpPr>
        <xdr:cNvPr id="10" name="Oval 9">
          <a:extLst>
            <a:ext uri="{FF2B5EF4-FFF2-40B4-BE49-F238E27FC236}">
              <a16:creationId xmlns:a16="http://schemas.microsoft.com/office/drawing/2014/main" id="{84EAFAE3-179C-4505-BCFD-8B710CBBFFE5}"/>
            </a:ext>
          </a:extLst>
        </xdr:cNvPr>
        <xdr:cNvSpPr/>
      </xdr:nvSpPr>
      <xdr:spPr>
        <a:xfrm>
          <a:off x="11904980" y="8841740"/>
          <a:ext cx="220980" cy="227076"/>
        </a:xfrm>
        <a:prstGeom prst="ellipse">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panose="020B0604020202020204" pitchFamily="34" charset="0"/>
              <a:cs typeface="Arial" panose="020B0604020202020204" pitchFamily="34" charset="0"/>
            </a:rPr>
            <a:t>3</a:t>
          </a:r>
        </a:p>
      </xdr:txBody>
    </xdr:sp>
    <xdr:clientData/>
  </xdr:twoCellAnchor>
  <xdr:twoCellAnchor editAs="oneCell">
    <xdr:from>
      <xdr:col>2</xdr:col>
      <xdr:colOff>71120</xdr:colOff>
      <xdr:row>0</xdr:row>
      <xdr:rowOff>142240</xdr:rowOff>
    </xdr:from>
    <xdr:to>
      <xdr:col>4</xdr:col>
      <xdr:colOff>425078</xdr:colOff>
      <xdr:row>5</xdr:row>
      <xdr:rowOff>1693</xdr:rowOff>
    </xdr:to>
    <xdr:pic>
      <xdr:nvPicPr>
        <xdr:cNvPr id="6" name="Picture 5">
          <a:extLst>
            <a:ext uri="{FF2B5EF4-FFF2-40B4-BE49-F238E27FC236}">
              <a16:creationId xmlns:a16="http://schemas.microsoft.com/office/drawing/2014/main" id="{A2146843-8A68-184A-971D-F9CDCC42D49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19166" b="17282"/>
        <a:stretch>
          <a:fillRect/>
        </a:stretch>
      </xdr:blipFill>
      <xdr:spPr>
        <a:xfrm>
          <a:off x="558800" y="142240"/>
          <a:ext cx="1776358" cy="635000"/>
        </a:xfrm>
        <a:prstGeom prst="rect">
          <a:avLst/>
        </a:prstGeom>
      </xdr:spPr>
    </xdr:pic>
    <xdr:clientData/>
  </xdr:twoCellAnchor>
</xdr:wsDr>
</file>

<file path=xl/drawings/drawing6.xml><?xml version="1.0" encoding="utf-8"?>
<c:userShapes xmlns:c="http://schemas.openxmlformats.org/drawingml/2006/chart">
  <cdr:relSizeAnchor xmlns:cdr="http://schemas.openxmlformats.org/drawingml/2006/chartDrawing">
    <cdr:from>
      <cdr:x>0.34667</cdr:x>
      <cdr:y>0.17917</cdr:y>
    </cdr:from>
    <cdr:to>
      <cdr:x>0.4</cdr:x>
      <cdr:y>0.53194</cdr:y>
    </cdr:to>
    <cdr:sp macro="" textlink="">
      <cdr:nvSpPr>
        <cdr:cNvPr id="2" name="Right Brace 1">
          <a:extLst xmlns:a="http://schemas.openxmlformats.org/drawingml/2006/main">
            <a:ext uri="{FF2B5EF4-FFF2-40B4-BE49-F238E27FC236}">
              <a16:creationId xmlns:a16="http://schemas.microsoft.com/office/drawing/2014/main" id="{8BC01A56-463B-CD10-A076-0C09CFF3DD9E}"/>
            </a:ext>
          </a:extLst>
        </cdr:cNvPr>
        <cdr:cNvSpPr/>
      </cdr:nvSpPr>
      <cdr:spPr>
        <a:xfrm xmlns:a="http://schemas.openxmlformats.org/drawingml/2006/main">
          <a:off x="1584960" y="491490"/>
          <a:ext cx="243840" cy="967740"/>
        </a:xfrm>
        <a:prstGeom xmlns:a="http://schemas.openxmlformats.org/drawingml/2006/main" prst="rightBrace">
          <a:avLst/>
        </a:prstGeom>
        <a:ln xmlns:a="http://schemas.openxmlformats.org/drawingml/2006/main">
          <a:solidFill>
            <a:schemeClr val="accent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11</xdr:col>
      <xdr:colOff>686910</xdr:colOff>
      <xdr:row>6</xdr:row>
      <xdr:rowOff>118909</xdr:rowOff>
    </xdr:from>
    <xdr:to>
      <xdr:col>15</xdr:col>
      <xdr:colOff>277712</xdr:colOff>
      <xdr:row>21</xdr:row>
      <xdr:rowOff>126304</xdr:rowOff>
    </xdr:to>
    <xdr:graphicFrame macro="">
      <xdr:nvGraphicFramePr>
        <xdr:cNvPr id="20" name="Chart 19">
          <a:extLst>
            <a:ext uri="{FF2B5EF4-FFF2-40B4-BE49-F238E27FC236}">
              <a16:creationId xmlns:a16="http://schemas.microsoft.com/office/drawing/2014/main" id="{69396683-BCFE-A1A2-5F44-2B71DE750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438456</xdr:colOff>
      <xdr:row>7</xdr:row>
      <xdr:rowOff>482</xdr:rowOff>
    </xdr:from>
    <xdr:to>
      <xdr:col>11</xdr:col>
      <xdr:colOff>426983</xdr:colOff>
      <xdr:row>21</xdr:row>
      <xdr:rowOff>37663</xdr:rowOff>
    </xdr:to>
    <xdr:graphicFrame macro="">
      <xdr:nvGraphicFramePr>
        <xdr:cNvPr id="3" name="Chart 2">
          <a:extLst>
            <a:ext uri="{FF2B5EF4-FFF2-40B4-BE49-F238E27FC236}">
              <a16:creationId xmlns:a16="http://schemas.microsoft.com/office/drawing/2014/main" id="{5BF26625-E2CA-AD6C-FC2A-5E467B9F1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2449962</xdr:colOff>
      <xdr:row>3</xdr:row>
      <xdr:rowOff>114301</xdr:rowOff>
    </xdr:from>
    <xdr:to>
      <xdr:col>5</xdr:col>
      <xdr:colOff>448879</xdr:colOff>
      <xdr:row>26</xdr:row>
      <xdr:rowOff>54741</xdr:rowOff>
    </xdr:to>
    <xdr:graphicFrame macro="">
      <xdr:nvGraphicFramePr>
        <xdr:cNvPr id="6" name="Chart 5">
          <a:extLst>
            <a:ext uri="{FF2B5EF4-FFF2-40B4-BE49-F238E27FC236}">
              <a16:creationId xmlns:a16="http://schemas.microsoft.com/office/drawing/2014/main" id="{BB8C400D-1651-40CF-925A-E0F44F366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xdr:row>
      <xdr:rowOff>10948</xdr:rowOff>
    </xdr:from>
    <xdr:to>
      <xdr:col>2</xdr:col>
      <xdr:colOff>2293620</xdr:colOff>
      <xdr:row>25</xdr:row>
      <xdr:rowOff>32845</xdr:rowOff>
    </xdr:to>
    <xdr:graphicFrame macro="">
      <xdr:nvGraphicFramePr>
        <xdr:cNvPr id="7" name="Chart 6">
          <a:extLst>
            <a:ext uri="{FF2B5EF4-FFF2-40B4-BE49-F238E27FC236}">
              <a16:creationId xmlns:a16="http://schemas.microsoft.com/office/drawing/2014/main" id="{5BC9719A-AD5B-4DCB-B65E-0968210D3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486834</xdr:colOff>
      <xdr:row>0</xdr:row>
      <xdr:rowOff>101600</xdr:rowOff>
    </xdr:from>
    <xdr:to>
      <xdr:col>2</xdr:col>
      <xdr:colOff>2263192</xdr:colOff>
      <xdr:row>4</xdr:row>
      <xdr:rowOff>875</xdr:rowOff>
    </xdr:to>
    <xdr:pic>
      <xdr:nvPicPr>
        <xdr:cNvPr id="4" name="Picture 3">
          <a:extLst>
            <a:ext uri="{FF2B5EF4-FFF2-40B4-BE49-F238E27FC236}">
              <a16:creationId xmlns:a16="http://schemas.microsoft.com/office/drawing/2014/main" id="{64F3FE4A-887E-F940-AEC4-DE69BD58B7D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9166" b="17282"/>
        <a:stretch>
          <a:fillRect/>
        </a:stretch>
      </xdr:blipFill>
      <xdr:spPr>
        <a:xfrm>
          <a:off x="969434" y="101600"/>
          <a:ext cx="1776358" cy="635000"/>
        </a:xfrm>
        <a:prstGeom prst="rect">
          <a:avLst/>
        </a:prstGeom>
      </xdr:spPr>
    </xdr:pic>
    <xdr:clientData/>
  </xdr:twoCellAnchor>
  <xdr:twoCellAnchor>
    <xdr:from>
      <xdr:col>16</xdr:col>
      <xdr:colOff>177800</xdr:colOff>
      <xdr:row>21</xdr:row>
      <xdr:rowOff>0</xdr:rowOff>
    </xdr:from>
    <xdr:to>
      <xdr:col>19</xdr:col>
      <xdr:colOff>644902</xdr:colOff>
      <xdr:row>36</xdr:row>
      <xdr:rowOff>96295</xdr:rowOff>
    </xdr:to>
    <xdr:graphicFrame macro="">
      <xdr:nvGraphicFramePr>
        <xdr:cNvPr id="2" name="Chart 1">
          <a:extLst>
            <a:ext uri="{FF2B5EF4-FFF2-40B4-BE49-F238E27FC236}">
              <a16:creationId xmlns:a16="http://schemas.microsoft.com/office/drawing/2014/main" id="{30D3979E-7D3D-604F-8B41-98C852179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177800</xdr:colOff>
      <xdr:row>5</xdr:row>
      <xdr:rowOff>139700</xdr:rowOff>
    </xdr:from>
    <xdr:to>
      <xdr:col>19</xdr:col>
      <xdr:colOff>644902</xdr:colOff>
      <xdr:row>20</xdr:row>
      <xdr:rowOff>147095</xdr:rowOff>
    </xdr:to>
    <xdr:graphicFrame macro="">
      <xdr:nvGraphicFramePr>
        <xdr:cNvPr id="5" name="Chart 4">
          <a:extLst>
            <a:ext uri="{FF2B5EF4-FFF2-40B4-BE49-F238E27FC236}">
              <a16:creationId xmlns:a16="http://schemas.microsoft.com/office/drawing/2014/main" id="{612AFF58-C152-9842-8F45-629BB62D2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660400</xdr:colOff>
      <xdr:row>13</xdr:row>
      <xdr:rowOff>114300</xdr:rowOff>
    </xdr:from>
    <xdr:to>
      <xdr:col>23</xdr:col>
      <xdr:colOff>454402</xdr:colOff>
      <xdr:row>28</xdr:row>
      <xdr:rowOff>121695</xdr:rowOff>
    </xdr:to>
    <xdr:graphicFrame macro="">
      <xdr:nvGraphicFramePr>
        <xdr:cNvPr id="8" name="Chart 7">
          <a:extLst>
            <a:ext uri="{FF2B5EF4-FFF2-40B4-BE49-F238E27FC236}">
              <a16:creationId xmlns:a16="http://schemas.microsoft.com/office/drawing/2014/main" id="{70E3FE61-62DE-6040-A7F9-8B9D298E2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9549</xdr:colOff>
      <xdr:row>0</xdr:row>
      <xdr:rowOff>47744</xdr:rowOff>
    </xdr:from>
    <xdr:to>
      <xdr:col>2</xdr:col>
      <xdr:colOff>1007406</xdr:colOff>
      <xdr:row>2</xdr:row>
      <xdr:rowOff>22496</xdr:rowOff>
    </xdr:to>
    <xdr:pic>
      <xdr:nvPicPr>
        <xdr:cNvPr id="3" name="Picture 2">
          <a:extLst>
            <a:ext uri="{FF2B5EF4-FFF2-40B4-BE49-F238E27FC236}">
              <a16:creationId xmlns:a16="http://schemas.microsoft.com/office/drawing/2014/main" id="{81DB0E4D-046C-2247-9331-A0AA9D97DF5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486993" y="47744"/>
          <a:ext cx="997857" cy="35670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304800</xdr:colOff>
      <xdr:row>5</xdr:row>
      <xdr:rowOff>68580</xdr:rowOff>
    </xdr:from>
    <xdr:to>
      <xdr:col>17</xdr:col>
      <xdr:colOff>99060</xdr:colOff>
      <xdr:row>22</xdr:row>
      <xdr:rowOff>45720</xdr:rowOff>
    </xdr:to>
    <xdr:graphicFrame macro="">
      <xdr:nvGraphicFramePr>
        <xdr:cNvPr id="3" name="Chart 2">
          <a:extLst>
            <a:ext uri="{FF2B5EF4-FFF2-40B4-BE49-F238E27FC236}">
              <a16:creationId xmlns:a16="http://schemas.microsoft.com/office/drawing/2014/main" id="{7D3955C9-CB44-19E4-B6F8-60C8ADC00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396240</xdr:colOff>
      <xdr:row>8</xdr:row>
      <xdr:rowOff>53340</xdr:rowOff>
    </xdr:from>
    <xdr:to>
      <xdr:col>15</xdr:col>
      <xdr:colOff>396240</xdr:colOff>
      <xdr:row>19</xdr:row>
      <xdr:rowOff>137160</xdr:rowOff>
    </xdr:to>
    <xdr:cxnSp macro="">
      <xdr:nvCxnSpPr>
        <xdr:cNvPr id="5" name="Straight Connector 4">
          <a:extLst>
            <a:ext uri="{FF2B5EF4-FFF2-40B4-BE49-F238E27FC236}">
              <a16:creationId xmlns:a16="http://schemas.microsoft.com/office/drawing/2014/main" id="{5577C69D-18A8-97AB-9F14-08D5C6D897E5}"/>
            </a:ext>
          </a:extLst>
        </xdr:cNvPr>
        <xdr:cNvCxnSpPr/>
      </xdr:nvCxnSpPr>
      <xdr:spPr>
        <a:xfrm flipV="1">
          <a:off x="9060180" y="1264920"/>
          <a:ext cx="0" cy="1554480"/>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548640</xdr:colOff>
      <xdr:row>6</xdr:row>
      <xdr:rowOff>68580</xdr:rowOff>
    </xdr:from>
    <xdr:to>
      <xdr:col>17</xdr:col>
      <xdr:colOff>76200</xdr:colOff>
      <xdr:row>9</xdr:row>
      <xdr:rowOff>106680</xdr:rowOff>
    </xdr:to>
    <xdr:sp macro="" textlink="">
      <xdr:nvSpPr>
        <xdr:cNvPr id="6" name="TextBox 5">
          <a:extLst>
            <a:ext uri="{FF2B5EF4-FFF2-40B4-BE49-F238E27FC236}">
              <a16:creationId xmlns:a16="http://schemas.microsoft.com/office/drawing/2014/main" id="{470E91E7-EB47-15B6-FB6F-40AF641AD645}"/>
            </a:ext>
          </a:extLst>
        </xdr:cNvPr>
        <xdr:cNvSpPr txBox="1"/>
      </xdr:nvSpPr>
      <xdr:spPr>
        <a:xfrm>
          <a:off x="8602980" y="990600"/>
          <a:ext cx="9296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FF0000"/>
              </a:solidFill>
              <a:latin typeface="Arial" panose="020B0604020202020204" pitchFamily="34" charset="0"/>
              <a:cs typeface="Arial" panose="020B0604020202020204" pitchFamily="34" charset="0"/>
            </a:rPr>
            <a:t>Current Price</a:t>
          </a:r>
          <a:r>
            <a:rPr lang="en-US" sz="900" b="1" baseline="0">
              <a:solidFill>
                <a:srgbClr val="FF0000"/>
              </a:solidFill>
              <a:latin typeface="Arial" panose="020B0604020202020204" pitchFamily="34" charset="0"/>
              <a:cs typeface="Arial" panose="020B0604020202020204" pitchFamily="34" charset="0"/>
            </a:rPr>
            <a:t> </a:t>
          </a:r>
          <a:r>
            <a:rPr lang="en-US" sz="900" b="1">
              <a:solidFill>
                <a:srgbClr val="FF0000"/>
              </a:solidFill>
              <a:latin typeface="Arial" panose="020B0604020202020204" pitchFamily="34" charset="0"/>
              <a:cs typeface="Arial" panose="020B0604020202020204" pitchFamily="34" charset="0"/>
            </a:rPr>
            <a:t>226.19</a:t>
          </a:r>
        </a:p>
      </xdr:txBody>
    </xdr:sp>
    <xdr:clientData/>
  </xdr:twoCellAnchor>
  <xdr:twoCellAnchor editAs="oneCell">
    <xdr:from>
      <xdr:col>2</xdr:col>
      <xdr:colOff>114300</xdr:colOff>
      <xdr:row>0</xdr:row>
      <xdr:rowOff>38100</xdr:rowOff>
    </xdr:from>
    <xdr:to>
      <xdr:col>3</xdr:col>
      <xdr:colOff>883557</xdr:colOff>
      <xdr:row>2</xdr:row>
      <xdr:rowOff>13807</xdr:rowOff>
    </xdr:to>
    <xdr:pic>
      <xdr:nvPicPr>
        <xdr:cNvPr id="4" name="Picture 3">
          <a:extLst>
            <a:ext uri="{FF2B5EF4-FFF2-40B4-BE49-F238E27FC236}">
              <a16:creationId xmlns:a16="http://schemas.microsoft.com/office/drawing/2014/main" id="{324515E1-0BCA-964D-89BD-AE6F4D52F2D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9166" b="17282"/>
        <a:stretch>
          <a:fillRect/>
        </a:stretch>
      </xdr:blipFill>
      <xdr:spPr>
        <a:xfrm>
          <a:off x="596900" y="38100"/>
          <a:ext cx="997857" cy="35670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181428</xdr:colOff>
      <xdr:row>0</xdr:row>
      <xdr:rowOff>27214</xdr:rowOff>
    </xdr:from>
    <xdr:to>
      <xdr:col>3</xdr:col>
      <xdr:colOff>263071</xdr:colOff>
      <xdr:row>2</xdr:row>
      <xdr:rowOff>2921</xdr:rowOff>
    </xdr:to>
    <xdr:pic>
      <xdr:nvPicPr>
        <xdr:cNvPr id="3" name="Picture 2">
          <a:extLst>
            <a:ext uri="{FF2B5EF4-FFF2-40B4-BE49-F238E27FC236}">
              <a16:creationId xmlns:a16="http://schemas.microsoft.com/office/drawing/2014/main" id="{DF76662F-E9E7-3F45-BF92-705024956E4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671285" y="27214"/>
          <a:ext cx="997857" cy="35670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419100</xdr:colOff>
      <xdr:row>151</xdr:row>
      <xdr:rowOff>64770</xdr:rowOff>
    </xdr:from>
    <xdr:to>
      <xdr:col>14</xdr:col>
      <xdr:colOff>419100</xdr:colOff>
      <xdr:row>172</xdr:row>
      <xdr:rowOff>137160</xdr:rowOff>
    </xdr:to>
    <xdr:graphicFrame macro="">
      <xdr:nvGraphicFramePr>
        <xdr:cNvPr id="3" name="Chart 2">
          <a:extLst>
            <a:ext uri="{FF2B5EF4-FFF2-40B4-BE49-F238E27FC236}">
              <a16:creationId xmlns:a16="http://schemas.microsoft.com/office/drawing/2014/main" id="{6D3574EF-E60C-C527-5104-D7825458F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0</xdr:row>
      <xdr:rowOff>84666</xdr:rowOff>
    </xdr:from>
    <xdr:to>
      <xdr:col>2</xdr:col>
      <xdr:colOff>997857</xdr:colOff>
      <xdr:row>1</xdr:row>
      <xdr:rowOff>212773</xdr:rowOff>
    </xdr:to>
    <xdr:pic>
      <xdr:nvPicPr>
        <xdr:cNvPr id="4" name="Picture 3">
          <a:extLst>
            <a:ext uri="{FF2B5EF4-FFF2-40B4-BE49-F238E27FC236}">
              <a16:creationId xmlns:a16="http://schemas.microsoft.com/office/drawing/2014/main" id="{F3FCE655-C9E8-BB41-9F2F-5EB06D79308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9166" b="17282"/>
        <a:stretch>
          <a:fillRect/>
        </a:stretch>
      </xdr:blipFill>
      <xdr:spPr>
        <a:xfrm>
          <a:off x="491067" y="84666"/>
          <a:ext cx="997857" cy="35670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0</xdr:row>
      <xdr:rowOff>33130</xdr:rowOff>
    </xdr:from>
    <xdr:to>
      <xdr:col>2</xdr:col>
      <xdr:colOff>997857</xdr:colOff>
      <xdr:row>2</xdr:row>
      <xdr:rowOff>3315</xdr:rowOff>
    </xdr:to>
    <xdr:pic>
      <xdr:nvPicPr>
        <xdr:cNvPr id="3" name="Picture 2">
          <a:extLst>
            <a:ext uri="{FF2B5EF4-FFF2-40B4-BE49-F238E27FC236}">
              <a16:creationId xmlns:a16="http://schemas.microsoft.com/office/drawing/2014/main" id="{714F494F-C3AA-D84D-8E52-77A3A3AE096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485913" y="33130"/>
          <a:ext cx="997857" cy="35670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60961</xdr:colOff>
      <xdr:row>6</xdr:row>
      <xdr:rowOff>75392</xdr:rowOff>
    </xdr:from>
    <xdr:to>
      <xdr:col>14</xdr:col>
      <xdr:colOff>158751</xdr:colOff>
      <xdr:row>19</xdr:row>
      <xdr:rowOff>101023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E8A10E6-C57C-894B-86E7-EC11722FFE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63461" y="1027892"/>
              <a:ext cx="2450176" cy="19883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83821</xdr:colOff>
      <xdr:row>5</xdr:row>
      <xdr:rowOff>38100</xdr:rowOff>
    </xdr:from>
    <xdr:to>
      <xdr:col>9</xdr:col>
      <xdr:colOff>176389</xdr:colOff>
      <xdr:row>20</xdr:row>
      <xdr:rowOff>99060</xdr:rowOff>
    </xdr:to>
    <xdr:graphicFrame macro="">
      <xdr:nvGraphicFramePr>
        <xdr:cNvPr id="4" name="Chart 3">
          <a:extLst>
            <a:ext uri="{FF2B5EF4-FFF2-40B4-BE49-F238E27FC236}">
              <a16:creationId xmlns:a16="http://schemas.microsoft.com/office/drawing/2014/main" id="{4F0B540E-A7A3-3A3F-81E9-25A48E919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327660</xdr:colOff>
      <xdr:row>5</xdr:row>
      <xdr:rowOff>57150</xdr:rowOff>
    </xdr:from>
    <xdr:to>
      <xdr:col>21</xdr:col>
      <xdr:colOff>30480</xdr:colOff>
      <xdr:row>16</xdr:row>
      <xdr:rowOff>38100</xdr:rowOff>
    </xdr:to>
    <xdr:graphicFrame macro="">
      <xdr:nvGraphicFramePr>
        <xdr:cNvPr id="6" name="Chart 5">
          <a:extLst>
            <a:ext uri="{FF2B5EF4-FFF2-40B4-BE49-F238E27FC236}">
              <a16:creationId xmlns:a16="http://schemas.microsoft.com/office/drawing/2014/main" id="{65B64667-526E-4503-E2BF-4EE254521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327660</xdr:colOff>
      <xdr:row>16</xdr:row>
      <xdr:rowOff>30480</xdr:rowOff>
    </xdr:from>
    <xdr:to>
      <xdr:col>21</xdr:col>
      <xdr:colOff>30480</xdr:colOff>
      <xdr:row>25</xdr:row>
      <xdr:rowOff>80010</xdr:rowOff>
    </xdr:to>
    <xdr:graphicFrame macro="">
      <xdr:nvGraphicFramePr>
        <xdr:cNvPr id="7" name="Chart 6">
          <a:extLst>
            <a:ext uri="{FF2B5EF4-FFF2-40B4-BE49-F238E27FC236}">
              <a16:creationId xmlns:a16="http://schemas.microsoft.com/office/drawing/2014/main" id="{1D867A49-3B03-4979-AC82-B53A769EB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518160</xdr:colOff>
      <xdr:row>25</xdr:row>
      <xdr:rowOff>80010</xdr:rowOff>
    </xdr:from>
    <xdr:to>
      <xdr:col>21</xdr:col>
      <xdr:colOff>114300</xdr:colOff>
      <xdr:row>39</xdr:row>
      <xdr:rowOff>15240</xdr:rowOff>
    </xdr:to>
    <xdr:graphicFrame macro="">
      <xdr:nvGraphicFramePr>
        <xdr:cNvPr id="10" name="Chart 9">
          <a:extLst>
            <a:ext uri="{FF2B5EF4-FFF2-40B4-BE49-F238E27FC236}">
              <a16:creationId xmlns:a16="http://schemas.microsoft.com/office/drawing/2014/main" id="{EDE833D1-E8B3-C4AD-8DCB-A4D37294F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152400</xdr:colOff>
      <xdr:row>65</xdr:row>
      <xdr:rowOff>38100</xdr:rowOff>
    </xdr:from>
    <xdr:to>
      <xdr:col>15</xdr:col>
      <xdr:colOff>137160</xdr:colOff>
      <xdr:row>83</xdr:row>
      <xdr:rowOff>133350</xdr:rowOff>
    </xdr:to>
    <xdr:graphicFrame macro="">
      <xdr:nvGraphicFramePr>
        <xdr:cNvPr id="9" name="Chart 8">
          <a:extLst>
            <a:ext uri="{FF2B5EF4-FFF2-40B4-BE49-F238E27FC236}">
              <a16:creationId xmlns:a16="http://schemas.microsoft.com/office/drawing/2014/main" id="{625EBFA3-9484-4B97-0061-118F1C18F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160020</xdr:colOff>
      <xdr:row>20</xdr:row>
      <xdr:rowOff>101600</xdr:rowOff>
    </xdr:from>
    <xdr:to>
      <xdr:col>30</xdr:col>
      <xdr:colOff>177800</xdr:colOff>
      <xdr:row>37</xdr:row>
      <xdr:rowOff>76200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A85674BC-AEB4-77B2-0382-A5E63C8EAA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5463520" y="3086100"/>
              <a:ext cx="5415280" cy="2476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91440</xdr:colOff>
      <xdr:row>0</xdr:row>
      <xdr:rowOff>40640</xdr:rowOff>
    </xdr:from>
    <xdr:to>
      <xdr:col>2</xdr:col>
      <xdr:colOff>1089297</xdr:colOff>
      <xdr:row>2</xdr:row>
      <xdr:rowOff>14212</xdr:rowOff>
    </xdr:to>
    <xdr:pic>
      <xdr:nvPicPr>
        <xdr:cNvPr id="5" name="Picture 4">
          <a:extLst>
            <a:ext uri="{FF2B5EF4-FFF2-40B4-BE49-F238E27FC236}">
              <a16:creationId xmlns:a16="http://schemas.microsoft.com/office/drawing/2014/main" id="{8126DF92-8820-A742-B0EA-F33761D0C5C9}"/>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19166" b="17282"/>
        <a:stretch>
          <a:fillRect/>
        </a:stretch>
      </xdr:blipFill>
      <xdr:spPr>
        <a:xfrm>
          <a:off x="579120" y="40640"/>
          <a:ext cx="997857" cy="35670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169333</xdr:colOff>
      <xdr:row>0</xdr:row>
      <xdr:rowOff>112889</xdr:rowOff>
    </xdr:from>
    <xdr:to>
      <xdr:col>4</xdr:col>
      <xdr:colOff>254324</xdr:colOff>
      <xdr:row>4</xdr:row>
      <xdr:rowOff>84667</xdr:rowOff>
    </xdr:to>
    <xdr:pic>
      <xdr:nvPicPr>
        <xdr:cNvPr id="3" name="Picture 2">
          <a:extLst>
            <a:ext uri="{FF2B5EF4-FFF2-40B4-BE49-F238E27FC236}">
              <a16:creationId xmlns:a16="http://schemas.microsoft.com/office/drawing/2014/main" id="{7E496EDF-3B10-C64F-B74F-F5F0C6FE43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413926" y="112889"/>
          <a:ext cx="1684250" cy="60207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63500</xdr:colOff>
      <xdr:row>1</xdr:row>
      <xdr:rowOff>12700</xdr:rowOff>
    </xdr:from>
    <xdr:to>
      <xdr:col>7</xdr:col>
      <xdr:colOff>209440</xdr:colOff>
      <xdr:row>4</xdr:row>
      <xdr:rowOff>0</xdr:rowOff>
    </xdr:to>
    <xdr:pic>
      <xdr:nvPicPr>
        <xdr:cNvPr id="4" name="Picture 3">
          <a:extLst>
            <a:ext uri="{FF2B5EF4-FFF2-40B4-BE49-F238E27FC236}">
              <a16:creationId xmlns:a16="http://schemas.microsoft.com/office/drawing/2014/main" id="{268088AE-546E-0A49-BCF7-26870FBB146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2628900" y="165100"/>
          <a:ext cx="1492140" cy="5334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1701800</xdr:colOff>
      <xdr:row>0</xdr:row>
      <xdr:rowOff>127000</xdr:rowOff>
    </xdr:from>
    <xdr:to>
      <xdr:col>2</xdr:col>
      <xdr:colOff>2699657</xdr:colOff>
      <xdr:row>2</xdr:row>
      <xdr:rowOff>102707</xdr:rowOff>
    </xdr:to>
    <xdr:pic>
      <xdr:nvPicPr>
        <xdr:cNvPr id="3" name="Picture 2">
          <a:extLst>
            <a:ext uri="{FF2B5EF4-FFF2-40B4-BE49-F238E27FC236}">
              <a16:creationId xmlns:a16="http://schemas.microsoft.com/office/drawing/2014/main" id="{D469F6D8-7BF4-464E-BAC3-E0CB6E6F72B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2184400" y="127000"/>
          <a:ext cx="997857" cy="3567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335280</xdr:colOff>
      <xdr:row>41</xdr:row>
      <xdr:rowOff>19051</xdr:rowOff>
    </xdr:from>
    <xdr:to>
      <xdr:col>20</xdr:col>
      <xdr:colOff>432152</xdr:colOff>
      <xdr:row>61</xdr:row>
      <xdr:rowOff>88195</xdr:rowOff>
    </xdr:to>
    <xdr:graphicFrame macro="">
      <xdr:nvGraphicFramePr>
        <xdr:cNvPr id="3" name="Chart 2">
          <a:extLst>
            <a:ext uri="{FF2B5EF4-FFF2-40B4-BE49-F238E27FC236}">
              <a16:creationId xmlns:a16="http://schemas.microsoft.com/office/drawing/2014/main" id="{15571462-0A3A-7481-4643-9C06FC918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228600</xdr:colOff>
      <xdr:row>0</xdr:row>
      <xdr:rowOff>50800</xdr:rowOff>
    </xdr:from>
    <xdr:to>
      <xdr:col>2</xdr:col>
      <xdr:colOff>985157</xdr:colOff>
      <xdr:row>2</xdr:row>
      <xdr:rowOff>26507</xdr:rowOff>
    </xdr:to>
    <xdr:pic>
      <xdr:nvPicPr>
        <xdr:cNvPr id="4" name="Picture 3">
          <a:extLst>
            <a:ext uri="{FF2B5EF4-FFF2-40B4-BE49-F238E27FC236}">
              <a16:creationId xmlns:a16="http://schemas.microsoft.com/office/drawing/2014/main" id="{B5D267BB-F492-2F40-83A9-91E27DB0C32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9166" b="17282"/>
        <a:stretch>
          <a:fillRect/>
        </a:stretch>
      </xdr:blipFill>
      <xdr:spPr>
        <a:xfrm>
          <a:off x="469900" y="50800"/>
          <a:ext cx="997857" cy="35670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11</xdr:col>
      <xdr:colOff>365760</xdr:colOff>
      <xdr:row>9</xdr:row>
      <xdr:rowOff>57150</xdr:rowOff>
    </xdr:from>
    <xdr:to>
      <xdr:col>19</xdr:col>
      <xdr:colOff>60960</xdr:colOff>
      <xdr:row>30</xdr:row>
      <xdr:rowOff>41910</xdr:rowOff>
    </xdr:to>
    <xdr:graphicFrame macro="">
      <xdr:nvGraphicFramePr>
        <xdr:cNvPr id="12" name="Chart 11">
          <a:extLst>
            <a:ext uri="{FF2B5EF4-FFF2-40B4-BE49-F238E27FC236}">
              <a16:creationId xmlns:a16="http://schemas.microsoft.com/office/drawing/2014/main" id="{431CFE3E-06ED-4DB0-A4ED-100D0304A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274320</xdr:colOff>
      <xdr:row>9</xdr:row>
      <xdr:rowOff>68580</xdr:rowOff>
    </xdr:from>
    <xdr:to>
      <xdr:col>26</xdr:col>
      <xdr:colOff>579120</xdr:colOff>
      <xdr:row>30</xdr:row>
      <xdr:rowOff>53340</xdr:rowOff>
    </xdr:to>
    <xdr:graphicFrame macro="">
      <xdr:nvGraphicFramePr>
        <xdr:cNvPr id="14" name="Chart 13">
          <a:extLst>
            <a:ext uri="{FF2B5EF4-FFF2-40B4-BE49-F238E27FC236}">
              <a16:creationId xmlns:a16="http://schemas.microsoft.com/office/drawing/2014/main" id="{7A3BBE45-FB08-4964-85EB-29FDD2C2E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539152</xdr:colOff>
      <xdr:row>0</xdr:row>
      <xdr:rowOff>59905</xdr:rowOff>
    </xdr:from>
    <xdr:to>
      <xdr:col>4</xdr:col>
      <xdr:colOff>87292</xdr:colOff>
      <xdr:row>2</xdr:row>
      <xdr:rowOff>33216</xdr:rowOff>
    </xdr:to>
    <xdr:pic>
      <xdr:nvPicPr>
        <xdr:cNvPr id="3" name="Picture 2">
          <a:extLst>
            <a:ext uri="{FF2B5EF4-FFF2-40B4-BE49-F238E27FC236}">
              <a16:creationId xmlns:a16="http://schemas.microsoft.com/office/drawing/2014/main" id="{70559A40-E833-4D45-92DF-751720B0C4F3}"/>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9166" b="17282"/>
        <a:stretch>
          <a:fillRect/>
        </a:stretch>
      </xdr:blipFill>
      <xdr:spPr>
        <a:xfrm>
          <a:off x="1018397" y="59905"/>
          <a:ext cx="997857" cy="356707"/>
        </a:xfrm>
        <a:prstGeom prst="rect">
          <a:avLst/>
        </a:prstGeom>
      </xdr:spPr>
    </xdr:pic>
    <xdr:clientData/>
  </xdr:twoCellAnchor>
  <xdr:twoCellAnchor>
    <xdr:from>
      <xdr:col>11</xdr:col>
      <xdr:colOff>373809</xdr:colOff>
      <xdr:row>31</xdr:row>
      <xdr:rowOff>42174</xdr:rowOff>
    </xdr:from>
    <xdr:to>
      <xdr:col>19</xdr:col>
      <xdr:colOff>83867</xdr:colOff>
      <xdr:row>49</xdr:row>
      <xdr:rowOff>83867</xdr:rowOff>
    </xdr:to>
    <xdr:graphicFrame macro="">
      <xdr:nvGraphicFramePr>
        <xdr:cNvPr id="2" name="Chart 1">
          <a:extLst>
            <a:ext uri="{FF2B5EF4-FFF2-40B4-BE49-F238E27FC236}">
              <a16:creationId xmlns:a16="http://schemas.microsoft.com/office/drawing/2014/main" id="{5941EC44-E9A1-51F0-41AF-9DAEAF4ED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601454</xdr:colOff>
      <xdr:row>31</xdr:row>
      <xdr:rowOff>42173</xdr:rowOff>
    </xdr:from>
    <xdr:to>
      <xdr:col>26</xdr:col>
      <xdr:colOff>476850</xdr:colOff>
      <xdr:row>48</xdr:row>
      <xdr:rowOff>137543</xdr:rowOff>
    </xdr:to>
    <xdr:graphicFrame macro="">
      <xdr:nvGraphicFramePr>
        <xdr:cNvPr id="6" name="Chart 5">
          <a:extLst>
            <a:ext uri="{FF2B5EF4-FFF2-40B4-BE49-F238E27FC236}">
              <a16:creationId xmlns:a16="http://schemas.microsoft.com/office/drawing/2014/main" id="{FDDE7F6F-C521-97AC-7BEB-9D14E80CA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56030</xdr:colOff>
      <xdr:row>0</xdr:row>
      <xdr:rowOff>37353</xdr:rowOff>
    </xdr:from>
    <xdr:to>
      <xdr:col>2</xdr:col>
      <xdr:colOff>1053887</xdr:colOff>
      <xdr:row>2</xdr:row>
      <xdr:rowOff>20531</xdr:rowOff>
    </xdr:to>
    <xdr:pic>
      <xdr:nvPicPr>
        <xdr:cNvPr id="3" name="Picture 2">
          <a:extLst>
            <a:ext uri="{FF2B5EF4-FFF2-40B4-BE49-F238E27FC236}">
              <a16:creationId xmlns:a16="http://schemas.microsoft.com/office/drawing/2014/main" id="{7933B211-7114-E14B-B710-75FC02B9439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541618" y="37353"/>
          <a:ext cx="997857" cy="35670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997857</xdr:colOff>
      <xdr:row>1</xdr:row>
      <xdr:rowOff>204307</xdr:rowOff>
    </xdr:to>
    <xdr:pic>
      <xdr:nvPicPr>
        <xdr:cNvPr id="3" name="Picture 2">
          <a:extLst>
            <a:ext uri="{FF2B5EF4-FFF2-40B4-BE49-F238E27FC236}">
              <a16:creationId xmlns:a16="http://schemas.microsoft.com/office/drawing/2014/main" id="{B0DE26AC-8552-AD43-AA77-D0E6C2CFF25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482600" y="0"/>
          <a:ext cx="997857" cy="35670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139700</xdr:colOff>
      <xdr:row>0</xdr:row>
      <xdr:rowOff>127000</xdr:rowOff>
    </xdr:from>
    <xdr:to>
      <xdr:col>8</xdr:col>
      <xdr:colOff>206703</xdr:colOff>
      <xdr:row>4</xdr:row>
      <xdr:rowOff>38100</xdr:rowOff>
    </xdr:to>
    <xdr:pic>
      <xdr:nvPicPr>
        <xdr:cNvPr id="3" name="Picture 2">
          <a:extLst>
            <a:ext uri="{FF2B5EF4-FFF2-40B4-BE49-F238E27FC236}">
              <a16:creationId xmlns:a16="http://schemas.microsoft.com/office/drawing/2014/main" id="{2D5706AD-3C88-BE4C-932A-74DAB9129BE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3035300" y="127000"/>
          <a:ext cx="1705303" cy="6096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50800</xdr:colOff>
      <xdr:row>0</xdr:row>
      <xdr:rowOff>25400</xdr:rowOff>
    </xdr:from>
    <xdr:to>
      <xdr:col>2</xdr:col>
      <xdr:colOff>1048657</xdr:colOff>
      <xdr:row>2</xdr:row>
      <xdr:rowOff>1107</xdr:rowOff>
    </xdr:to>
    <xdr:pic>
      <xdr:nvPicPr>
        <xdr:cNvPr id="3" name="Picture 2">
          <a:extLst>
            <a:ext uri="{FF2B5EF4-FFF2-40B4-BE49-F238E27FC236}">
              <a16:creationId xmlns:a16="http://schemas.microsoft.com/office/drawing/2014/main" id="{BAAC644F-2D07-A442-BB94-0BC40BDD9C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533400" y="25400"/>
          <a:ext cx="997857" cy="35670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579120</xdr:colOff>
      <xdr:row>20</xdr:row>
      <xdr:rowOff>105410</xdr:rowOff>
    </xdr:from>
    <xdr:to>
      <xdr:col>12</xdr:col>
      <xdr:colOff>454660</xdr:colOff>
      <xdr:row>39</xdr:row>
      <xdr:rowOff>82550</xdr:rowOff>
    </xdr:to>
    <xdr:graphicFrame macro="">
      <xdr:nvGraphicFramePr>
        <xdr:cNvPr id="3" name="Chart 2">
          <a:extLst>
            <a:ext uri="{FF2B5EF4-FFF2-40B4-BE49-F238E27FC236}">
              <a16:creationId xmlns:a16="http://schemas.microsoft.com/office/drawing/2014/main" id="{FB417AB8-722F-3D92-87EC-71F245ECD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548640</xdr:colOff>
      <xdr:row>20</xdr:row>
      <xdr:rowOff>73660</xdr:rowOff>
    </xdr:from>
    <xdr:to>
      <xdr:col>17</xdr:col>
      <xdr:colOff>165100</xdr:colOff>
      <xdr:row>39</xdr:row>
      <xdr:rowOff>50800</xdr:rowOff>
    </xdr:to>
    <xdr:graphicFrame macro="">
      <xdr:nvGraphicFramePr>
        <xdr:cNvPr id="4" name="Chart 3">
          <a:extLst>
            <a:ext uri="{FF2B5EF4-FFF2-40B4-BE49-F238E27FC236}">
              <a16:creationId xmlns:a16="http://schemas.microsoft.com/office/drawing/2014/main" id="{9BBF193F-790D-487A-A1E9-6A5CD4294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101600</xdr:colOff>
      <xdr:row>0</xdr:row>
      <xdr:rowOff>25400</xdr:rowOff>
    </xdr:from>
    <xdr:to>
      <xdr:col>3</xdr:col>
      <xdr:colOff>870857</xdr:colOff>
      <xdr:row>2</xdr:row>
      <xdr:rowOff>1107</xdr:rowOff>
    </xdr:to>
    <xdr:pic>
      <xdr:nvPicPr>
        <xdr:cNvPr id="5" name="Picture 4">
          <a:extLst>
            <a:ext uri="{FF2B5EF4-FFF2-40B4-BE49-F238E27FC236}">
              <a16:creationId xmlns:a16="http://schemas.microsoft.com/office/drawing/2014/main" id="{E36F6F56-E1CC-1A4B-ACFF-D0D400904234}"/>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9166" b="17282"/>
        <a:stretch>
          <a:fillRect/>
        </a:stretch>
      </xdr:blipFill>
      <xdr:spPr>
        <a:xfrm>
          <a:off x="584200" y="25400"/>
          <a:ext cx="997857" cy="356707"/>
        </a:xfrm>
        <a:prstGeom prst="rect">
          <a:avLst/>
        </a:prstGeom>
      </xdr:spPr>
    </xdr:pic>
    <xdr:clientData/>
  </xdr:twoCellAnchor>
</xdr:wsDr>
</file>

<file path=xl/drawings/drawing24.xml><?xml version="1.0" encoding="utf-8"?>
<c:userShapes xmlns:c="http://schemas.openxmlformats.org/drawingml/2006/chart">
  <cdr:relSizeAnchor xmlns:cdr="http://schemas.openxmlformats.org/drawingml/2006/chartDrawing">
    <cdr:from>
      <cdr:x>0.46089</cdr:x>
      <cdr:y>0.15476</cdr:y>
    </cdr:from>
    <cdr:to>
      <cdr:x>0.46302</cdr:x>
      <cdr:y>0.94365</cdr:y>
    </cdr:to>
    <cdr:cxnSp macro="">
      <cdr:nvCxnSpPr>
        <cdr:cNvPr id="3" name="Straight Connector 2">
          <a:extLst xmlns:a="http://schemas.openxmlformats.org/drawingml/2006/main">
            <a:ext uri="{FF2B5EF4-FFF2-40B4-BE49-F238E27FC236}">
              <a16:creationId xmlns:a16="http://schemas.microsoft.com/office/drawing/2014/main" id="{210663B6-BC30-FE02-0011-B3BDAEABBCDC}"/>
            </a:ext>
          </a:extLst>
        </cdr:cNvPr>
        <cdr:cNvCxnSpPr/>
      </cdr:nvCxnSpPr>
      <cdr:spPr>
        <a:xfrm xmlns:a="http://schemas.openxmlformats.org/drawingml/2006/main" flipV="1">
          <a:off x="1787618" y="444583"/>
          <a:ext cx="8223" cy="2266276"/>
        </a:xfrm>
        <a:prstGeom xmlns:a="http://schemas.openxmlformats.org/drawingml/2006/main" prst="line">
          <a:avLst/>
        </a:prstGeom>
        <a:ln xmlns:a="http://schemas.openxmlformats.org/drawingml/2006/main" w="19050">
          <a:solidFill>
            <a:schemeClr val="tx2"/>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5.xml><?xml version="1.0" encoding="utf-8"?>
<c:userShapes xmlns:c="http://schemas.openxmlformats.org/drawingml/2006/chart">
  <cdr:relSizeAnchor xmlns:cdr="http://schemas.openxmlformats.org/drawingml/2006/chartDrawing">
    <cdr:from>
      <cdr:x>0.55381</cdr:x>
      <cdr:y>0.19483</cdr:y>
    </cdr:from>
    <cdr:to>
      <cdr:x>0.55593</cdr:x>
      <cdr:y>0.98372</cdr:y>
    </cdr:to>
    <cdr:cxnSp macro="">
      <cdr:nvCxnSpPr>
        <cdr:cNvPr id="3" name="Straight Connector 2">
          <a:extLst xmlns:a="http://schemas.openxmlformats.org/drawingml/2006/main">
            <a:ext uri="{FF2B5EF4-FFF2-40B4-BE49-F238E27FC236}">
              <a16:creationId xmlns:a16="http://schemas.microsoft.com/office/drawing/2014/main" id="{210663B6-BC30-FE02-0011-B3BDAEABBCDC}"/>
            </a:ext>
          </a:extLst>
        </cdr:cNvPr>
        <cdr:cNvCxnSpPr/>
      </cdr:nvCxnSpPr>
      <cdr:spPr>
        <a:xfrm xmlns:a="http://schemas.openxmlformats.org/drawingml/2006/main" flipV="1">
          <a:off x="1925742" y="559696"/>
          <a:ext cx="7372" cy="2266276"/>
        </a:xfrm>
        <a:prstGeom xmlns:a="http://schemas.openxmlformats.org/drawingml/2006/main" prst="line">
          <a:avLst/>
        </a:prstGeom>
        <a:ln xmlns:a="http://schemas.openxmlformats.org/drawingml/2006/main" w="19050">
          <a:solidFill>
            <a:schemeClr val="tx2"/>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6.xml><?xml version="1.0" encoding="utf-8"?>
<xdr:wsDr xmlns:xdr="http://schemas.openxmlformats.org/drawingml/2006/spreadsheetDrawing" xmlns:a="http://schemas.openxmlformats.org/drawingml/2006/main">
  <xdr:twoCellAnchor editAs="oneCell">
    <xdr:from>
      <xdr:col>2</xdr:col>
      <xdr:colOff>38100</xdr:colOff>
      <xdr:row>0</xdr:row>
      <xdr:rowOff>25400</xdr:rowOff>
    </xdr:from>
    <xdr:to>
      <xdr:col>3</xdr:col>
      <xdr:colOff>58057</xdr:colOff>
      <xdr:row>2</xdr:row>
      <xdr:rowOff>1107</xdr:rowOff>
    </xdr:to>
    <xdr:pic>
      <xdr:nvPicPr>
        <xdr:cNvPr id="2" name="Picture 1">
          <a:extLst>
            <a:ext uri="{FF2B5EF4-FFF2-40B4-BE49-F238E27FC236}">
              <a16:creationId xmlns:a16="http://schemas.microsoft.com/office/drawing/2014/main" id="{752BF9B8-E222-0048-BFFF-BC81A17E554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520700" y="25400"/>
          <a:ext cx="997857" cy="35670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241300</xdr:colOff>
      <xdr:row>0</xdr:row>
      <xdr:rowOff>50800</xdr:rowOff>
    </xdr:from>
    <xdr:to>
      <xdr:col>3</xdr:col>
      <xdr:colOff>578757</xdr:colOff>
      <xdr:row>2</xdr:row>
      <xdr:rowOff>26507</xdr:rowOff>
    </xdr:to>
    <xdr:pic>
      <xdr:nvPicPr>
        <xdr:cNvPr id="3" name="Picture 2">
          <a:extLst>
            <a:ext uri="{FF2B5EF4-FFF2-40B4-BE49-F238E27FC236}">
              <a16:creationId xmlns:a16="http://schemas.microsoft.com/office/drawing/2014/main" id="{16937352-58D4-0A46-B8D0-18E3F3A2142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723900" y="50800"/>
          <a:ext cx="997857" cy="35670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177800</xdr:colOff>
      <xdr:row>0</xdr:row>
      <xdr:rowOff>50800</xdr:rowOff>
    </xdr:from>
    <xdr:to>
      <xdr:col>3</xdr:col>
      <xdr:colOff>502557</xdr:colOff>
      <xdr:row>2</xdr:row>
      <xdr:rowOff>26507</xdr:rowOff>
    </xdr:to>
    <xdr:pic>
      <xdr:nvPicPr>
        <xdr:cNvPr id="3" name="Picture 2">
          <a:extLst>
            <a:ext uri="{FF2B5EF4-FFF2-40B4-BE49-F238E27FC236}">
              <a16:creationId xmlns:a16="http://schemas.microsoft.com/office/drawing/2014/main" id="{0B9512E8-8C2A-3745-8CC2-EE5A6FA327A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660400" y="50800"/>
          <a:ext cx="997857" cy="35670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5</xdr:col>
      <xdr:colOff>114300</xdr:colOff>
      <xdr:row>0</xdr:row>
      <xdr:rowOff>114300</xdr:rowOff>
    </xdr:from>
    <xdr:to>
      <xdr:col>7</xdr:col>
      <xdr:colOff>153659</xdr:colOff>
      <xdr:row>3</xdr:row>
      <xdr:rowOff>63500</xdr:rowOff>
    </xdr:to>
    <xdr:pic>
      <xdr:nvPicPr>
        <xdr:cNvPr id="3" name="Picture 2">
          <a:extLst>
            <a:ext uri="{FF2B5EF4-FFF2-40B4-BE49-F238E27FC236}">
              <a16:creationId xmlns:a16="http://schemas.microsoft.com/office/drawing/2014/main" id="{159C0642-9AF6-C74D-921D-E8EC62E82EF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2832100" y="114300"/>
          <a:ext cx="1385559" cy="4953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152400</xdr:colOff>
      <xdr:row>0</xdr:row>
      <xdr:rowOff>25400</xdr:rowOff>
    </xdr:from>
    <xdr:to>
      <xdr:col>2</xdr:col>
      <xdr:colOff>1150257</xdr:colOff>
      <xdr:row>2</xdr:row>
      <xdr:rowOff>1107</xdr:rowOff>
    </xdr:to>
    <xdr:pic>
      <xdr:nvPicPr>
        <xdr:cNvPr id="3" name="Picture 2">
          <a:extLst>
            <a:ext uri="{FF2B5EF4-FFF2-40B4-BE49-F238E27FC236}">
              <a16:creationId xmlns:a16="http://schemas.microsoft.com/office/drawing/2014/main" id="{9EE8457F-221A-334D-8722-7B57479CDAC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635000" y="25400"/>
          <a:ext cx="997857" cy="3567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12700</xdr:colOff>
      <xdr:row>0</xdr:row>
      <xdr:rowOff>114300</xdr:rowOff>
    </xdr:from>
    <xdr:to>
      <xdr:col>4</xdr:col>
      <xdr:colOff>976258</xdr:colOff>
      <xdr:row>4</xdr:row>
      <xdr:rowOff>50800</xdr:rowOff>
    </xdr:to>
    <xdr:pic>
      <xdr:nvPicPr>
        <xdr:cNvPr id="3" name="Picture 2">
          <a:extLst>
            <a:ext uri="{FF2B5EF4-FFF2-40B4-BE49-F238E27FC236}">
              <a16:creationId xmlns:a16="http://schemas.microsoft.com/office/drawing/2014/main" id="{FBD18E8B-A18A-5043-BC5F-B1972DF223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2057400" y="114300"/>
          <a:ext cx="1776358" cy="6350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508000</xdr:colOff>
      <xdr:row>1</xdr:row>
      <xdr:rowOff>25400</xdr:rowOff>
    </xdr:from>
    <xdr:to>
      <xdr:col>5</xdr:col>
      <xdr:colOff>410068</xdr:colOff>
      <xdr:row>5</xdr:row>
      <xdr:rowOff>12700</xdr:rowOff>
    </xdr:to>
    <xdr:pic>
      <xdr:nvPicPr>
        <xdr:cNvPr id="3" name="Picture 2">
          <a:extLst>
            <a:ext uri="{FF2B5EF4-FFF2-40B4-BE49-F238E27FC236}">
              <a16:creationId xmlns:a16="http://schemas.microsoft.com/office/drawing/2014/main" id="{14ABB697-CBCF-7F41-9D7A-CE844F1B636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2552700" y="177800"/>
          <a:ext cx="1527668" cy="5461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2</xdr:col>
      <xdr:colOff>165100</xdr:colOff>
      <xdr:row>0</xdr:row>
      <xdr:rowOff>63500</xdr:rowOff>
    </xdr:from>
    <xdr:to>
      <xdr:col>2</xdr:col>
      <xdr:colOff>1162957</xdr:colOff>
      <xdr:row>2</xdr:row>
      <xdr:rowOff>39207</xdr:rowOff>
    </xdr:to>
    <xdr:pic>
      <xdr:nvPicPr>
        <xdr:cNvPr id="3" name="Picture 2">
          <a:extLst>
            <a:ext uri="{FF2B5EF4-FFF2-40B4-BE49-F238E27FC236}">
              <a16:creationId xmlns:a16="http://schemas.microsoft.com/office/drawing/2014/main" id="{7CC76C53-9537-A446-B020-3EDD4D41ED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647700" y="63500"/>
          <a:ext cx="997857" cy="356707"/>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266700</xdr:colOff>
      <xdr:row>1</xdr:row>
      <xdr:rowOff>12700</xdr:rowOff>
    </xdr:from>
    <xdr:to>
      <xdr:col>3</xdr:col>
      <xdr:colOff>1264557</xdr:colOff>
      <xdr:row>2</xdr:row>
      <xdr:rowOff>178907</xdr:rowOff>
    </xdr:to>
    <xdr:pic>
      <xdr:nvPicPr>
        <xdr:cNvPr id="3" name="Picture 2">
          <a:extLst>
            <a:ext uri="{FF2B5EF4-FFF2-40B4-BE49-F238E27FC236}">
              <a16:creationId xmlns:a16="http://schemas.microsoft.com/office/drawing/2014/main" id="{B801A3F2-E8D7-2349-A6E5-498364C4466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66" b="17282"/>
        <a:stretch>
          <a:fillRect/>
        </a:stretch>
      </xdr:blipFill>
      <xdr:spPr>
        <a:xfrm>
          <a:off x="1638300" y="165100"/>
          <a:ext cx="997857" cy="3567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adikouchie/Local%20Settings/Temporary%20Internet%20Files/OLK6C/Old%20Reference%20Materials/Enrique%20LBO%20Cutou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IndexServices/Melinda/Global%20Index%20Review/US%20Indic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ndexServices/Melinda/Global%20Index%20Review/Index%20Review%204%20(US%20Indice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Paulahn/Desktop/Accounting%20TA/Performance%20Management/C:/Users/John/Accounting%20HULT%20My%20Files/accounting%20hult%20team%20files/Managerial%20Accounting/Chapter%202/C-V-P%20Graph%20for%20Clas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Summary 30.04.02"/>
      <sheetName val="Summary 14.05.02"/>
      <sheetName val="Comparison"/>
      <sheetName val="Assump"/>
      <sheetName val="Conso Adj"/>
      <sheetName val="Adjust"/>
      <sheetName val="Conso"/>
      <sheetName val="Enrique Holding"/>
      <sheetName val="ENV"/>
      <sheetName val="India"/>
      <sheetName val="Depr"/>
      <sheetName val="Amort"/>
      <sheetName val="WACC"/>
      <sheetName val="LBO (Apr 30 Bid) 18 Month"/>
      <sheetName val="PrintMacro"/>
      <sheetName val="DebtMacro"/>
      <sheetName val="Module1"/>
    </sheetNames>
    <sheetDataSet>
      <sheetData sheetId="0" refreshError="1">
        <row r="20">
          <cell r="E20" t="str">
            <v>(GBP in millions, Except per Share Data)</v>
          </cell>
        </row>
        <row r="23">
          <cell r="C23">
            <v>2002</v>
          </cell>
        </row>
        <row r="27">
          <cell r="E27" t="str">
            <v>Projected Quarter / Fiscal Year Ending March 31,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hly Data"/>
      <sheetName val="Annual Data"/>
      <sheetName val="sectors"/>
      <sheetName val="sectors _ annual"/>
      <sheetName val="Stats"/>
      <sheetName val="size"/>
      <sheetName val="Excess Returns"/>
      <sheetName val="risk vs return"/>
      <sheetName val="S&amp;P 500"/>
      <sheetName val="cons disc"/>
      <sheetName val="cons staple"/>
      <sheetName val="energy"/>
      <sheetName val="Financial"/>
      <sheetName val="Healthcare"/>
      <sheetName val="Industrials"/>
      <sheetName val="Info Tech"/>
      <sheetName val="Materials"/>
      <sheetName val="Telecom"/>
      <sheetName val="Utilities"/>
      <sheetName val="mid cap"/>
      <sheetName val="sml cap"/>
      <sheetName val="total mkt"/>
      <sheetName val="largecap"/>
    </sheetNames>
    <sheetDataSet>
      <sheetData sheetId="0">
        <row r="3">
          <cell r="A3">
            <v>32142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thly Data"/>
      <sheetName val="Mthly Data (TR)"/>
      <sheetName val="sectors"/>
      <sheetName val="Qtrly Data"/>
      <sheetName val="Stats"/>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500 portfolio"/>
      <sheetName val="500 pivot"/>
      <sheetName val="400 portfolio"/>
      <sheetName val="600 portfolio"/>
      <sheetName val="super portfolio"/>
      <sheetName val="900 portfolio"/>
      <sheetName val="1000 portfolio"/>
      <sheetName val="100 portfolio"/>
      <sheetName val="500 G portfolio"/>
      <sheetName val="500 V portfolio"/>
      <sheetName val="500 EWI portfolio"/>
      <sheetName val="1000 pivot"/>
      <sheetName val="400 G portfolio"/>
      <sheetName val="400 V portfolio"/>
      <sheetName val="600 G portfolio"/>
      <sheetName val="600 V portfolio"/>
      <sheetName val="sml mid pivot"/>
      <sheetName val="G&amp;V Comp"/>
      <sheetName val="Annual Data"/>
      <sheetName val="sectors annual"/>
      <sheetName val="34"/>
      <sheetName val="35"/>
      <sheetName val="36"/>
      <sheetName val="37"/>
      <sheetName val="38"/>
      <sheetName val="39"/>
      <sheetName val="Index Comp (TR)"/>
      <sheetName val="REIT"/>
      <sheetName val="REIT portfolio"/>
      <sheetName val="1000 porfolio"/>
      <sheetName val="42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Case"/>
      <sheetName val="FCFF vs. FCFE"/>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319C6D-DA72-FD47-9E1C-39235CD73088}">
  <we:reference id="wa200002663" version="1.8.0.0" store="en-GB" storeType="OMEX"/>
  <we:alternateReferences>
    <we:reference id="WA200002663" version="1.8.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PBF</we:customFunctionIds>
        <we:customFunctionIds>PBM</we:customFunctionIds>
        <we:customFunctionIds>PBD</we:customFunctionIds>
        <we:customFunctionIds>PBA</we:customFunctionIds>
        <we:customFunctionIds>PBS</we:customFunctionIds>
        <we:customFunctionIds>PBEQR</we:customFunctionIds>
        <we:customFunctionIds>PBIMAGE</we:customFunctionIds>
        <we:customFunctionIds>PBFS</we:customFunctionIds>
        <we:customFunctionIds>PBMATCHPBID</we:customFunctionIds>
        <we:customFunctionIds>PBMATCHSYMBOL</we:customFunctionIds>
        <we:customFunctionIds>PBR</we:customFunctionIds>
        <we:customFunctionIds>PBCHARTMARKET</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finance.yahoo.com/?guccounter=1" TargetMode="External"/><Relationship Id="rId1" Type="http://schemas.openxmlformats.org/officeDocument/2006/relationships/hyperlink" Target="https://my.pitchbook.com/dashboard"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finance.yahoo.com/quote/AMZN/history/?filter=history&amp;frequency=1mo&amp;period1=1607455486&amp;period2=1765221833"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3.bin"/><Relationship Id="rId1" Type="http://schemas.openxmlformats.org/officeDocument/2006/relationships/hyperlink" Target="https://taxsummaries.pwc.com/peoples-republic-of-china/corporate/taxes-on-corporate-income"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9.xml.rels><?xml version="1.0" encoding="UTF-8" standalone="yes"?>
<Relationships xmlns="http://schemas.openxmlformats.org/package/2006/relationships"><Relationship Id="rId8" Type="http://schemas.openxmlformats.org/officeDocument/2006/relationships/hyperlink" Target="https://markets.businessinsider.com/bonds/amazoncom_incdl-notes_202121-26-Bond-2026-us023135bx34" TargetMode="External"/><Relationship Id="rId13" Type="http://schemas.openxmlformats.org/officeDocument/2006/relationships/hyperlink" Target="https://markets.businessinsider.com/bonds/amazoncom_incdl-notes_201717-37-Bond-2037-us023135bf28" TargetMode="External"/><Relationship Id="rId18" Type="http://schemas.openxmlformats.org/officeDocument/2006/relationships/hyperlink" Target="https://markets.businessinsider.com/bonds/amazoncom_incdl-notes_202525-30-Bond-2030-us023135ct13" TargetMode="External"/><Relationship Id="rId26" Type="http://schemas.openxmlformats.org/officeDocument/2006/relationships/hyperlink" Target="https://markets.businessinsider.com/bonds/amazoncom_incdl-notes_202525-33-Bond-2033-us023135cu85" TargetMode="External"/><Relationship Id="rId3" Type="http://schemas.openxmlformats.org/officeDocument/2006/relationships/hyperlink" Target="https://markets.businessinsider.com/bonds/amazoncom_incdl-notes_202222-27-Bond-2027-us023135cf19" TargetMode="External"/><Relationship Id="rId21" Type="http://schemas.openxmlformats.org/officeDocument/2006/relationships/hyperlink" Target="https://markets.businessinsider.com/bonds/amazoncom_incdl-notes_202222-52-Bond-2052-us023135cj31" TargetMode="External"/><Relationship Id="rId7" Type="http://schemas.openxmlformats.org/officeDocument/2006/relationships/hyperlink" Target="https://markets.businessinsider.com/bonds/amazoncom_incdl-notes_202121-28-Bond-2028-us023135by17" TargetMode="External"/><Relationship Id="rId12" Type="http://schemas.openxmlformats.org/officeDocument/2006/relationships/hyperlink" Target="https://markets.businessinsider.com/bonds/amazoncom_incdl-notes_201717-27-Bond-2027-us023135bc96" TargetMode="External"/><Relationship Id="rId17" Type="http://schemas.openxmlformats.org/officeDocument/2006/relationships/hyperlink" Target="https://markets.businessinsider.com/bonds/amazoncom_incdl-notes_202222-29-Bond-2029-us023135cg91" TargetMode="External"/><Relationship Id="rId25" Type="http://schemas.openxmlformats.org/officeDocument/2006/relationships/hyperlink" Target="https://markets.businessinsider.com/bonds/amazoncom_incdl-notes_202525-55-Bond-2055-us023135cw42" TargetMode="External"/><Relationship Id="rId2" Type="http://schemas.openxmlformats.org/officeDocument/2006/relationships/hyperlink" Target="https://markets.businessinsider.com/bonds/amazoncom_incdl-notes_201717-47-Bond-2047-us023135bj40" TargetMode="External"/><Relationship Id="rId16" Type="http://schemas.openxmlformats.org/officeDocument/2006/relationships/hyperlink" Target="https://markets.businessinsider.com/bonds/amazoncom_incdl-notes_202222-32-Bond-2032-us023135cr56" TargetMode="External"/><Relationship Id="rId20" Type="http://schemas.openxmlformats.org/officeDocument/2006/relationships/hyperlink" Target="https://markets.businessinsider.com/bonds/amazoncom_incdl-notes_202020-60-Bond-2060-us023135bu94" TargetMode="External"/><Relationship Id="rId29" Type="http://schemas.openxmlformats.org/officeDocument/2006/relationships/hyperlink" Target="https://markets.businessinsider.com/bonds/amazoncom_incdl-notes_202121-31-Bond-2031-us023135bz81" TargetMode="External"/><Relationship Id="rId1" Type="http://schemas.openxmlformats.org/officeDocument/2006/relationships/hyperlink" Target="https://markets.businessinsider.com/bonds/amazon_conservation_dacdl-notes_202433-42_regs-Bond-2042-usg0248jaa19" TargetMode="External"/><Relationship Id="rId6" Type="http://schemas.openxmlformats.org/officeDocument/2006/relationships/hyperlink" Target="https://markets.businessinsider.com/bonds/amazoncom_incdl-notes_202020-30-Bond-2030-us023135bs49" TargetMode="External"/><Relationship Id="rId11" Type="http://schemas.openxmlformats.org/officeDocument/2006/relationships/hyperlink" Target="https://markets.businessinsider.com/bonds/amazoncom_incdl-notes_202222-32-Bond-2032-us023135ch74" TargetMode="External"/><Relationship Id="rId24" Type="http://schemas.openxmlformats.org/officeDocument/2006/relationships/hyperlink" Target="https://markets.businessinsider.com/bonds/amazoncom_incdl-notes_202222-27-Bond-2027-us023135cp90" TargetMode="External"/><Relationship Id="rId32" Type="http://schemas.openxmlformats.org/officeDocument/2006/relationships/drawing" Target="../drawings/drawing20.xml"/><Relationship Id="rId5" Type="http://schemas.openxmlformats.org/officeDocument/2006/relationships/hyperlink" Target="https://markets.businessinsider.com/bonds/amazoncom_incdl-notes_201717-57-Bond-2057-us023135bm78" TargetMode="External"/><Relationship Id="rId15" Type="http://schemas.openxmlformats.org/officeDocument/2006/relationships/hyperlink" Target="https://markets.businessinsider.com/bonds/amazoncom_incdl-notes_202121-51-Bond-2051-us023135cb05" TargetMode="External"/><Relationship Id="rId23" Type="http://schemas.openxmlformats.org/officeDocument/2006/relationships/hyperlink" Target="https://markets.businessinsider.com/bonds/amazoncom_incdl-notes_202121-61-Bond-2061-us023135cc87" TargetMode="External"/><Relationship Id="rId28" Type="http://schemas.openxmlformats.org/officeDocument/2006/relationships/hyperlink" Target="https://markets.businessinsider.com/bonds/amazoncom_incdl-notes_201414-34-Bond-2034-us023135ap19" TargetMode="External"/><Relationship Id="rId10" Type="http://schemas.openxmlformats.org/officeDocument/2006/relationships/hyperlink" Target="https://markets.businessinsider.com/bonds/amazoncom_incdl-notes_202222-62-Bond-2062-us023135ck04" TargetMode="External"/><Relationship Id="rId19" Type="http://schemas.openxmlformats.org/officeDocument/2006/relationships/hyperlink" Target="https://markets.businessinsider.com/bonds/amazoncom_incdl-notes_202525-28-Bond-2028-us023135cs30" TargetMode="External"/><Relationship Id="rId31" Type="http://schemas.openxmlformats.org/officeDocument/2006/relationships/hyperlink" Target="https://markets.businessinsider.com/bonds/amazoncom_incdl-notes_202525-65-Bond-2065-us023135cy08" TargetMode="External"/><Relationship Id="rId4" Type="http://schemas.openxmlformats.org/officeDocument/2006/relationships/hyperlink" Target="https://markets.businessinsider.com/bonds/amazoncom_incdl-notes_202222-29-Bond-2029-us023135cq73" TargetMode="External"/><Relationship Id="rId9" Type="http://schemas.openxmlformats.org/officeDocument/2006/relationships/hyperlink" Target="https://markets.businessinsider.com/bonds/amazoncom_incdl-notes_202020-50-Bond-2050-us023135bt22" TargetMode="External"/><Relationship Id="rId14" Type="http://schemas.openxmlformats.org/officeDocument/2006/relationships/hyperlink" Target="https://markets.businessinsider.com/bonds/amazoncom_incdl-notes_201414-44-Bond-2044-us023135aq91" TargetMode="External"/><Relationship Id="rId22" Type="http://schemas.openxmlformats.org/officeDocument/2006/relationships/hyperlink" Target="https://markets.businessinsider.com/bonds/amazoncom_incdl-notes_202525-35-Bond-2035-us023135cv68" TargetMode="External"/><Relationship Id="rId27" Type="http://schemas.openxmlformats.org/officeDocument/2006/relationships/hyperlink" Target="https://markets.businessinsider.com/bonds/amazoncom_incdl-notes_202020-27-Bond-2027-us023135br65" TargetMode="External"/><Relationship Id="rId30" Type="http://schemas.openxmlformats.org/officeDocument/2006/relationships/hyperlink" Target="https://markets.businessinsider.com/bonds/amazoncom_incdl-notes_202121-41-Bond-2041-us023135ca22"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7.bin"/><Relationship Id="rId1" Type="http://schemas.openxmlformats.org/officeDocument/2006/relationships/hyperlink" Target="https://www.spglobal.com/spdji/en/indices/strategy/sp-us-equity-risk-premium-index/"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https://finance.yahoo.com/quote/AMZN/history/?period1=1449964800&amp;period2=1765587787"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hyperlink" Target="https://www.imf.org/external/np/fin/data/rms_mth.aspx?SelectDate=2025-12-31&amp;reportType=CVSDR"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0B80F-CE59-4AD2-BC80-E89FE0B581D7}">
  <sheetPr>
    <tabColor rgb="FFAFDEFF"/>
  </sheetPr>
  <dimension ref="B1:G45"/>
  <sheetViews>
    <sheetView showGridLines="0" topLeftCell="A2" workbookViewId="0">
      <selection activeCell="N47" sqref="N47"/>
    </sheetView>
  </sheetViews>
  <sheetFormatPr baseColWidth="10" defaultColWidth="8.83203125" defaultRowHeight="12"/>
  <cols>
    <col min="1" max="1" width="3.1640625" style="1" customWidth="1"/>
    <col min="2" max="2" width="4" style="1" customWidth="1"/>
    <col min="3" max="16384" width="8.83203125" style="1"/>
  </cols>
  <sheetData>
    <row r="1" spans="2:7" s="457" customFormat="1"/>
    <row r="2" spans="2:7" s="457" customFormat="1"/>
    <row r="3" spans="2:7" s="457" customFormat="1" ht="13">
      <c r="G3" s="461" t="s">
        <v>24</v>
      </c>
    </row>
    <row r="4" spans="2:7" s="457" customFormat="1"/>
    <row r="5" spans="2:7" s="457" customFormat="1">
      <c r="B5" s="459"/>
      <c r="C5" s="460"/>
    </row>
    <row r="6" spans="2:7" s="457" customFormat="1" ht="7.75" customHeight="1">
      <c r="B6" s="459"/>
    </row>
    <row r="7" spans="2:7">
      <c r="B7" s="4"/>
    </row>
    <row r="8" spans="2:7">
      <c r="B8" s="2" t="s">
        <v>0</v>
      </c>
      <c r="C8" s="3"/>
    </row>
    <row r="9" spans="2:7">
      <c r="B9" s="4">
        <v>1</v>
      </c>
      <c r="C9" s="1" t="s">
        <v>1</v>
      </c>
    </row>
    <row r="10" spans="2:7">
      <c r="B10" s="4">
        <f>+B9+1</f>
        <v>2</v>
      </c>
      <c r="C10" s="1" t="str">
        <f>Summary!F3</f>
        <v>Valuation Summary</v>
      </c>
    </row>
    <row r="11" spans="2:7">
      <c r="B11" s="4">
        <f t="shared" ref="B11:B19" si="0">+B10+1</f>
        <v>3</v>
      </c>
      <c r="C11" s="1" t="str">
        <f>'Actuals FS'!D3</f>
        <v>Historic Financial Statements</v>
      </c>
    </row>
    <row r="12" spans="2:7">
      <c r="B12" s="4">
        <f t="shared" si="0"/>
        <v>4</v>
      </c>
      <c r="C12" s="1" t="str">
        <f>'HWMS Model'!F2</f>
        <v>AMZN Quarterly Sales Forecasting: Holt-Winters Multiplicative Seasonal (HWMS) Model</v>
      </c>
    </row>
    <row r="13" spans="2:7">
      <c r="B13" s="4">
        <f t="shared" si="0"/>
        <v>5</v>
      </c>
      <c r="C13" s="1" t="str">
        <f>Revenue!D2</f>
        <v>Revenue Breakdown &amp; Projections</v>
      </c>
    </row>
    <row r="14" spans="2:7">
      <c r="B14" s="4">
        <f t="shared" si="0"/>
        <v>6</v>
      </c>
      <c r="C14" s="1" t="str">
        <f>Scenarios!C3</f>
        <v xml:space="preserve">Scenario Assumptions </v>
      </c>
    </row>
    <row r="15" spans="2:7">
      <c r="B15" s="4">
        <f t="shared" si="0"/>
        <v>7</v>
      </c>
      <c r="C15" s="1" t="str">
        <f>Multiples!C3</f>
        <v>Relative Multiples Valuation Model Based on Selected Industry Peers</v>
      </c>
    </row>
    <row r="16" spans="2:7">
      <c r="B16" s="4">
        <f t="shared" si="0"/>
        <v>8</v>
      </c>
      <c r="C16" s="1" t="str">
        <f>'Forecasted FS'!C3</f>
        <v>Forecasted Financial Statements</v>
      </c>
    </row>
    <row r="17" spans="2:3">
      <c r="B17" s="4">
        <f t="shared" si="0"/>
        <v>9</v>
      </c>
      <c r="C17" s="1" t="str">
        <f>WACC!B3</f>
        <v>Weighted Average Cost of Capital</v>
      </c>
    </row>
    <row r="18" spans="2:3">
      <c r="B18" s="4">
        <f t="shared" si="0"/>
        <v>10</v>
      </c>
      <c r="C18" s="1" t="str">
        <f>DCF!C3</f>
        <v>Discounted Cash Flows Model</v>
      </c>
    </row>
    <row r="19" spans="2:3">
      <c r="B19" s="4">
        <f t="shared" si="0"/>
        <v>11</v>
      </c>
      <c r="C19" s="1" t="str">
        <f>References!B7</f>
        <v>References</v>
      </c>
    </row>
    <row r="20" spans="2:3">
      <c r="B20" s="4"/>
    </row>
    <row r="21" spans="2:3">
      <c r="B21" s="2" t="s">
        <v>5</v>
      </c>
    </row>
    <row r="22" spans="2:3">
      <c r="B22" s="5">
        <f>Appendix!B8</f>
        <v>1</v>
      </c>
      <c r="C22" s="5" t="str">
        <f>Appendix!C8</f>
        <v>Financial Statements</v>
      </c>
    </row>
    <row r="23" spans="2:3">
      <c r="B23" s="5">
        <f>Appendix!B9</f>
        <v>2</v>
      </c>
      <c r="C23" s="5" t="str">
        <f>Appendix!C9</f>
        <v>Financial Ratios Analysis</v>
      </c>
    </row>
    <row r="24" spans="2:3">
      <c r="B24" s="5">
        <f>Appendix!B10</f>
        <v>3</v>
      </c>
      <c r="C24" s="5" t="str">
        <f>Appendix!C10</f>
        <v>Operating Margin Target Based on Management Expectations</v>
      </c>
    </row>
    <row r="25" spans="2:3">
      <c r="B25" s="5">
        <f>Appendix!B11</f>
        <v>4</v>
      </c>
      <c r="C25" s="5" t="str">
        <f>Appendix!C11</f>
        <v>Depreciation &amp; Amortization Schedule</v>
      </c>
    </row>
    <row r="26" spans="2:3">
      <c r="B26" s="5">
        <f>Appendix!B12</f>
        <v>5</v>
      </c>
      <c r="C26" s="5" t="str">
        <f>Appendix!C12</f>
        <v>Summary of Corporate Bonds</v>
      </c>
    </row>
    <row r="27" spans="2:3">
      <c r="B27" s="5">
        <f>Appendix!B13</f>
        <v>6</v>
      </c>
      <c r="C27" s="5" t="str">
        <f>Appendix!C13</f>
        <v>Scenario Summary</v>
      </c>
    </row>
    <row r="28" spans="2:3">
      <c r="B28" s="5">
        <f>Appendix!B14</f>
        <v>7</v>
      </c>
      <c r="C28" s="5" t="str">
        <f>Appendix!C14</f>
        <v>Industry Peers Market Information</v>
      </c>
    </row>
    <row r="29" spans="2:3">
      <c r="B29" s="5">
        <f>Appendix!B15</f>
        <v>8</v>
      </c>
      <c r="C29" s="5" t="str">
        <f>Appendix!C15</f>
        <v>Industry Peers Financial Information</v>
      </c>
    </row>
    <row r="30" spans="2:3">
      <c r="B30" s="5">
        <f>Appendix!B16</f>
        <v>9</v>
      </c>
      <c r="C30" s="5" t="str">
        <f>Appendix!C16</f>
        <v>10 year Historic S&amp;P Returns</v>
      </c>
    </row>
    <row r="31" spans="2:3">
      <c r="B31" s="5">
        <f>Appendix!B17</f>
        <v>10</v>
      </c>
      <c r="C31" s="5" t="str">
        <f>Appendix!C17</f>
        <v>AMZN Historic Daily Stock Prices from 12/12/205 to date (12/12/2025)</v>
      </c>
    </row>
    <row r="32" spans="2:3">
      <c r="B32" s="5">
        <f>Appendix!B18</f>
        <v>11</v>
      </c>
      <c r="C32" s="5" t="str">
        <f>Appendix!C18</f>
        <v>10 year Historic Yield to Maturity of US 10 year Treasury Bill</v>
      </c>
    </row>
    <row r="33" spans="2:3">
      <c r="B33" s="5">
        <f>Appendix!B19</f>
        <v>12</v>
      </c>
      <c r="C33" s="5" t="str">
        <f>Appendix!C19</f>
        <v>Country Corporate Income Tax Rate</v>
      </c>
    </row>
    <row r="34" spans="2:3">
      <c r="B34" s="5">
        <f>Appendix!B20</f>
        <v>13</v>
      </c>
      <c r="C34" s="5" t="str">
        <f>Appendix!C20</f>
        <v>Local Currency Exchange Rate to US Dollar</v>
      </c>
    </row>
    <row r="35" spans="2:3">
      <c r="B35" s="5">
        <f>Appendix!B21</f>
        <v>14</v>
      </c>
      <c r="C35" s="5" t="str">
        <f>Appendix!C21</f>
        <v>Board of Directors</v>
      </c>
    </row>
    <row r="36" spans="2:3">
      <c r="B36" s="5">
        <f>Appendix!B22</f>
        <v>15</v>
      </c>
      <c r="C36" s="5" t="str">
        <f>Appendix!C22</f>
        <v>Senior Executive Team</v>
      </c>
    </row>
    <row r="37" spans="2:3">
      <c r="B37" s="5">
        <f>Appendix!B23</f>
        <v>16</v>
      </c>
      <c r="C37" s="5" t="str">
        <f>Appendix!C23</f>
        <v>Top 5 Institutional Investors &amp; Insider Holders</v>
      </c>
    </row>
    <row r="38" spans="2:3">
      <c r="B38" s="5">
        <f>Appendix!B24</f>
        <v>17</v>
      </c>
      <c r="C38" s="5" t="str">
        <f>Appendix!C24</f>
        <v>Abbreviations</v>
      </c>
    </row>
    <row r="39" spans="2:3">
      <c r="B39" s="5"/>
      <c r="C39" s="5"/>
    </row>
    <row r="40" spans="2:3">
      <c r="B40" s="2" t="s">
        <v>6</v>
      </c>
      <c r="C40" s="3"/>
    </row>
    <row r="41" spans="2:3">
      <c r="B41" s="10" t="s">
        <v>7</v>
      </c>
      <c r="C41" s="3"/>
    </row>
    <row r="42" spans="2:3">
      <c r="B42" s="10" t="s">
        <v>8</v>
      </c>
      <c r="C42" s="3"/>
    </row>
    <row r="43" spans="2:3">
      <c r="B43" s="10" t="s">
        <v>19</v>
      </c>
      <c r="C43" s="3"/>
    </row>
    <row r="44" spans="2:3">
      <c r="B44" s="3"/>
      <c r="C44" s="3"/>
    </row>
    <row r="45" spans="2:3">
      <c r="B45" s="10"/>
      <c r="C45"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E9939-BBDA-4CA8-AEF6-FFB0488498E0}">
  <sheetPr>
    <tabColor rgb="FFAFDEFF"/>
  </sheetPr>
  <dimension ref="B1:L59"/>
  <sheetViews>
    <sheetView showGridLines="0" zoomScale="94" zoomScaleNormal="100" zoomScalePageLayoutView="98" workbookViewId="0">
      <selection activeCell="C19" sqref="C19"/>
    </sheetView>
  </sheetViews>
  <sheetFormatPr baseColWidth="10" defaultColWidth="8.83203125" defaultRowHeight="14"/>
  <cols>
    <col min="1" max="1" width="5.83203125" style="12" customWidth="1"/>
    <col min="2" max="2" width="21.83203125" style="12" customWidth="1"/>
    <col min="3" max="3" width="9.6640625" style="12" bestFit="1" customWidth="1"/>
    <col min="4" max="4" width="9.83203125" style="12" customWidth="1"/>
    <col min="5" max="5" width="10.33203125" style="12" bestFit="1" customWidth="1"/>
    <col min="6" max="6" width="8.33203125" style="12" bestFit="1" customWidth="1"/>
    <col min="7" max="7" width="8.83203125" style="12" bestFit="1" customWidth="1"/>
    <col min="8" max="8" width="8.33203125" style="12" bestFit="1" customWidth="1"/>
    <col min="9" max="10" width="10.33203125" style="12" customWidth="1"/>
    <col min="11" max="12" width="9.6640625" style="12" bestFit="1" customWidth="1"/>
    <col min="13" max="16384" width="8.83203125" style="12"/>
  </cols>
  <sheetData>
    <row r="1" spans="2:11" s="455" customFormat="1" ht="13.75" customHeight="1">
      <c r="B1" s="453"/>
      <c r="C1" s="454"/>
      <c r="D1" s="454"/>
      <c r="I1" s="456"/>
    </row>
    <row r="2" spans="2:11" s="455" customFormat="1" ht="13.75" customHeight="1">
      <c r="B2" s="453"/>
      <c r="C2" s="454"/>
      <c r="D2" s="454"/>
      <c r="I2" s="456"/>
    </row>
    <row r="3" spans="2:11" s="455" customFormat="1" ht="13.75" customHeight="1">
      <c r="B3" s="453"/>
      <c r="C3" s="454"/>
      <c r="D3" s="454"/>
      <c r="I3" s="456"/>
    </row>
    <row r="4" spans="2:11" s="455" customFormat="1" ht="14.5" customHeight="1">
      <c r="B4" s="454"/>
      <c r="C4" s="454"/>
      <c r="D4" s="454"/>
    </row>
    <row r="5" spans="2:11" s="455" customFormat="1" ht="14.5" customHeight="1">
      <c r="B5" s="454"/>
      <c r="C5" s="454"/>
      <c r="D5" s="454"/>
    </row>
    <row r="6" spans="2:11" s="455" customFormat="1" ht="14.5" customHeight="1" thickBot="1">
      <c r="B6" s="454"/>
      <c r="C6" s="454"/>
      <c r="D6" s="454"/>
    </row>
    <row r="7" spans="2:11" ht="3" customHeight="1" thickTop="1">
      <c r="B7" s="372"/>
      <c r="C7" s="372"/>
      <c r="D7" s="372"/>
      <c r="E7" s="372"/>
      <c r="F7" s="372"/>
      <c r="G7" s="372"/>
      <c r="H7" s="372"/>
      <c r="I7" s="372"/>
      <c r="J7" s="372"/>
      <c r="K7" s="372"/>
    </row>
    <row r="8" spans="2:11">
      <c r="B8" s="11" t="s">
        <v>20</v>
      </c>
      <c r="C8" s="412" t="s">
        <v>525</v>
      </c>
      <c r="D8" s="280" t="s">
        <v>9</v>
      </c>
      <c r="E8" s="281">
        <f>'AMZN daily'!G8</f>
        <v>226.19</v>
      </c>
      <c r="F8" s="282"/>
      <c r="G8" s="737" t="s">
        <v>867</v>
      </c>
      <c r="H8" s="737"/>
      <c r="I8" s="11"/>
      <c r="J8" s="283" t="s">
        <v>10</v>
      </c>
      <c r="K8" s="26">
        <f>DCF!I49</f>
        <v>292.99441807564335</v>
      </c>
    </row>
    <row r="9" spans="2:11" ht="3.5" customHeight="1" thickBot="1">
      <c r="B9" s="373"/>
      <c r="C9" s="373"/>
      <c r="D9" s="373"/>
      <c r="E9" s="373"/>
      <c r="F9" s="373"/>
      <c r="G9" s="373"/>
      <c r="H9" s="373"/>
      <c r="I9" s="373"/>
      <c r="J9" s="373"/>
      <c r="K9" s="373"/>
    </row>
    <row r="10" spans="2:11" ht="3.5" customHeight="1" thickTop="1"/>
    <row r="11" spans="2:11" ht="13.75" customHeight="1">
      <c r="B11" s="13" t="s">
        <v>868</v>
      </c>
      <c r="D11" s="738" t="s">
        <v>870</v>
      </c>
      <c r="E11" s="738"/>
      <c r="F11" s="738"/>
      <c r="G11" s="738"/>
      <c r="H11" s="738"/>
      <c r="I11" s="738"/>
      <c r="J11" s="738"/>
      <c r="K11" s="738"/>
    </row>
    <row r="12" spans="2:11">
      <c r="B12" s="129" t="s">
        <v>869</v>
      </c>
      <c r="D12" s="738"/>
      <c r="E12" s="738"/>
      <c r="F12" s="738"/>
      <c r="G12" s="738"/>
      <c r="H12" s="738"/>
      <c r="I12" s="738"/>
      <c r="J12" s="738"/>
      <c r="K12" s="738"/>
    </row>
    <row r="13" spans="2:11">
      <c r="B13" s="13" t="s">
        <v>871</v>
      </c>
      <c r="D13" s="738"/>
      <c r="E13" s="738"/>
      <c r="F13" s="738"/>
      <c r="G13" s="738"/>
      <c r="H13" s="738"/>
      <c r="I13" s="738"/>
      <c r="J13" s="738"/>
      <c r="K13" s="738"/>
    </row>
    <row r="14" spans="2:11">
      <c r="B14" s="15"/>
      <c r="C14" s="139" t="s">
        <v>872</v>
      </c>
      <c r="D14" s="738"/>
      <c r="E14" s="738"/>
      <c r="F14" s="738"/>
      <c r="G14" s="738"/>
      <c r="H14" s="738"/>
      <c r="I14" s="738"/>
      <c r="J14" s="738"/>
      <c r="K14" s="738"/>
    </row>
    <row r="15" spans="2:11" ht="3.5" customHeight="1"/>
    <row r="16" spans="2:11">
      <c r="B16" s="739" t="s">
        <v>11</v>
      </c>
      <c r="C16" s="739"/>
      <c r="D16" s="739"/>
      <c r="E16" s="739"/>
      <c r="F16" s="739"/>
      <c r="G16" s="739"/>
      <c r="H16" s="739"/>
      <c r="I16" s="739"/>
      <c r="J16" s="739"/>
      <c r="K16" s="739"/>
    </row>
    <row r="17" spans="2:11" ht="3.5" customHeight="1">
      <c r="B17" s="14"/>
      <c r="C17" s="14"/>
      <c r="D17" s="14"/>
      <c r="E17" s="14"/>
      <c r="F17" s="14"/>
      <c r="G17" s="14"/>
      <c r="H17" s="14"/>
      <c r="I17" s="14"/>
      <c r="J17" s="14"/>
      <c r="K17" s="14"/>
    </row>
    <row r="18" spans="2:11">
      <c r="B18" s="16" t="s">
        <v>307</v>
      </c>
      <c r="C18" s="17">
        <v>2418.02</v>
      </c>
      <c r="D18" s="18" t="s">
        <v>12</v>
      </c>
      <c r="E18" s="14"/>
      <c r="F18" s="14"/>
      <c r="G18" s="19">
        <f>MIN('AMZN daily'!G8:G245)</f>
        <v>167.32</v>
      </c>
      <c r="H18" s="17">
        <f>MAX('AMZN daily'!G8:G245)</f>
        <v>254</v>
      </c>
      <c r="I18" s="14" t="s">
        <v>413</v>
      </c>
      <c r="J18" s="14"/>
      <c r="K18" s="434">
        <v>1994</v>
      </c>
    </row>
    <row r="19" spans="2:11">
      <c r="B19" s="16" t="s">
        <v>306</v>
      </c>
      <c r="C19" s="20">
        <v>2511.5</v>
      </c>
      <c r="D19" s="18" t="s">
        <v>14</v>
      </c>
      <c r="E19" s="14"/>
      <c r="F19" s="14"/>
      <c r="G19" s="14"/>
      <c r="H19" s="735">
        <f>'Actuals FS'!D68</f>
        <v>10721</v>
      </c>
      <c r="I19" s="16" t="s">
        <v>13</v>
      </c>
      <c r="J19" s="14"/>
      <c r="K19" s="435">
        <f>Shareholders!D16</f>
        <v>0.75219999999999998</v>
      </c>
    </row>
    <row r="20" spans="2:11">
      <c r="B20" s="16" t="s">
        <v>873</v>
      </c>
      <c r="C20" s="22">
        <f>7.08</f>
        <v>7.08</v>
      </c>
      <c r="D20" s="18" t="s">
        <v>308</v>
      </c>
      <c r="E20" s="14"/>
      <c r="F20" s="14"/>
      <c r="G20" s="14"/>
      <c r="H20" s="138">
        <f>AVERAGE('AMZN daily'!I8:I1086)/1000</f>
        <v>43002.979218721041</v>
      </c>
      <c r="I20" s="16" t="s">
        <v>291</v>
      </c>
      <c r="J20" s="14"/>
      <c r="K20" s="21" t="s">
        <v>876</v>
      </c>
    </row>
    <row r="21" spans="2:11">
      <c r="B21" s="16" t="s">
        <v>874</v>
      </c>
      <c r="C21" s="22">
        <f>E8/C20</f>
        <v>31.947740112994349</v>
      </c>
      <c r="D21" s="18" t="s">
        <v>292</v>
      </c>
      <c r="E21" s="14"/>
      <c r="F21" s="14"/>
      <c r="G21" s="14"/>
      <c r="H21" s="23">
        <f>'Actuals FS'!D145</f>
        <v>0</v>
      </c>
      <c r="I21" s="16" t="s">
        <v>15</v>
      </c>
      <c r="J21" s="14"/>
      <c r="K21" s="23">
        <f>WACC!E21</f>
        <v>1.3546960384356301</v>
      </c>
    </row>
    <row r="22" spans="2:11">
      <c r="B22" s="16" t="s">
        <v>875</v>
      </c>
      <c r="C22" s="22">
        <f>C18/('Actuals FS'!D47/1000)</f>
        <v>3.7902435736465825</v>
      </c>
      <c r="D22" s="18" t="s">
        <v>16</v>
      </c>
      <c r="E22" s="14"/>
      <c r="F22" s="14"/>
      <c r="G22" s="14"/>
      <c r="H22" s="128">
        <f>H21/E8</f>
        <v>0</v>
      </c>
      <c r="I22" s="14" t="s">
        <v>17</v>
      </c>
      <c r="J22" s="14"/>
      <c r="K22" s="23">
        <f>WACC!E22</f>
        <v>1.3772791620499489</v>
      </c>
    </row>
    <row r="23" spans="2:11" ht="3.5" customHeight="1">
      <c r="B23" s="14"/>
      <c r="C23" s="14"/>
      <c r="D23" s="14"/>
      <c r="E23" s="14"/>
      <c r="F23" s="14"/>
      <c r="G23" s="14"/>
      <c r="H23" s="14"/>
      <c r="I23" s="14"/>
      <c r="J23" s="14"/>
      <c r="K23" s="14"/>
    </row>
    <row r="24" spans="2:11">
      <c r="B24" s="371" t="s">
        <v>905</v>
      </c>
      <c r="C24" s="371"/>
      <c r="D24" s="371"/>
      <c r="E24" s="371"/>
      <c r="F24" s="371"/>
      <c r="G24" s="371"/>
      <c r="H24" s="371"/>
      <c r="I24" s="371"/>
      <c r="J24" s="371"/>
      <c r="K24" s="371"/>
    </row>
    <row r="25" spans="2:11" ht="3.5" customHeight="1">
      <c r="B25" s="14"/>
      <c r="C25" s="14"/>
      <c r="D25" s="14"/>
      <c r="E25" s="14"/>
      <c r="F25" s="14"/>
      <c r="G25" s="14"/>
      <c r="H25" s="14"/>
      <c r="I25" s="14"/>
      <c r="J25" s="14"/>
      <c r="K25" s="14"/>
    </row>
    <row r="26" spans="2:11">
      <c r="I26" s="24"/>
      <c r="J26" s="24"/>
      <c r="K26" s="24"/>
    </row>
    <row r="27" spans="2:11">
      <c r="I27" s="24"/>
      <c r="J27" s="24"/>
      <c r="K27" s="24"/>
    </row>
    <row r="28" spans="2:11">
      <c r="I28" s="24"/>
      <c r="J28" s="24"/>
      <c r="K28" s="24"/>
    </row>
    <row r="29" spans="2:11">
      <c r="I29" s="24"/>
      <c r="J29" s="24"/>
      <c r="K29" s="24"/>
    </row>
    <row r="30" spans="2:11">
      <c r="I30" s="24"/>
      <c r="J30" s="24"/>
      <c r="K30" s="24"/>
    </row>
    <row r="31" spans="2:11">
      <c r="I31" s="24"/>
      <c r="J31" s="24"/>
      <c r="K31" s="24"/>
    </row>
    <row r="32" spans="2:11">
      <c r="I32" s="24"/>
      <c r="J32" s="24"/>
      <c r="K32" s="24"/>
    </row>
    <row r="33" spans="2:12">
      <c r="I33" s="24"/>
      <c r="J33" s="24"/>
      <c r="K33" s="24"/>
    </row>
    <row r="34" spans="2:12">
      <c r="I34" s="24"/>
      <c r="J34" s="24"/>
      <c r="K34" s="24"/>
    </row>
    <row r="35" spans="2:12">
      <c r="I35" s="24"/>
      <c r="J35" s="24"/>
      <c r="K35" s="24"/>
    </row>
    <row r="36" spans="2:12">
      <c r="I36" s="24"/>
      <c r="J36" s="24"/>
      <c r="K36" s="24"/>
    </row>
    <row r="37" spans="2:12">
      <c r="I37" s="24"/>
      <c r="J37" s="24"/>
      <c r="K37" s="24"/>
    </row>
    <row r="38" spans="2:12" ht="3.5" customHeight="1"/>
    <row r="39" spans="2:12">
      <c r="B39" s="14"/>
      <c r="C39" s="14"/>
      <c r="D39" s="14"/>
      <c r="E39" s="14"/>
      <c r="F39" s="14"/>
      <c r="G39" s="14"/>
      <c r="H39" s="14"/>
    </row>
    <row r="40" spans="2:12">
      <c r="B40" s="371" t="s">
        <v>536</v>
      </c>
      <c r="C40" s="371"/>
      <c r="D40" s="371"/>
      <c r="E40" s="371"/>
      <c r="F40" s="371"/>
      <c r="G40" s="371"/>
      <c r="H40" s="371"/>
      <c r="I40" s="371"/>
      <c r="J40" s="371"/>
      <c r="K40" s="371"/>
      <c r="L40" s="371"/>
    </row>
    <row r="41" spans="2:12" ht="3.5" customHeight="1">
      <c r="B41" s="14"/>
      <c r="C41" s="14"/>
      <c r="D41" s="14"/>
      <c r="E41" s="14"/>
      <c r="F41" s="14"/>
      <c r="G41" s="14"/>
      <c r="H41" s="14"/>
      <c r="I41" s="14"/>
      <c r="J41" s="14"/>
      <c r="K41" s="14"/>
    </row>
    <row r="42" spans="2:12">
      <c r="B42" s="464" t="s">
        <v>533</v>
      </c>
      <c r="C42" s="736" t="str">
        <f>'FS all'!D10</f>
        <v>2020 A</v>
      </c>
      <c r="D42" s="736" t="str">
        <f>'FS all'!E10</f>
        <v>2021 A</v>
      </c>
      <c r="E42" s="736" t="str">
        <f>'FS all'!F10</f>
        <v>2022 A</v>
      </c>
      <c r="F42" s="736" t="str">
        <f>'FS all'!G10</f>
        <v>2023 A</v>
      </c>
      <c r="G42" s="736" t="str">
        <f>'FS all'!H10</f>
        <v>2024 A</v>
      </c>
      <c r="H42" s="736" t="str">
        <f>'FS all'!I10</f>
        <v>2025 F</v>
      </c>
      <c r="I42" s="736" t="str">
        <f>'FS all'!J10</f>
        <v>2026 F</v>
      </c>
      <c r="J42" s="736" t="str">
        <f>'FS all'!K10</f>
        <v>2027 F</v>
      </c>
      <c r="K42" s="736" t="str">
        <f>'FS all'!L10</f>
        <v>2028 F</v>
      </c>
      <c r="L42" s="736" t="str">
        <f>'FS all'!M10</f>
        <v>2029 F</v>
      </c>
    </row>
    <row r="43" spans="2:12">
      <c r="B43" s="14" t="s">
        <v>91</v>
      </c>
      <c r="C43" s="413">
        <f>'FS all'!D11</f>
        <v>386064</v>
      </c>
      <c r="D43" s="413">
        <f>'FS all'!E11</f>
        <v>469822</v>
      </c>
      <c r="E43" s="413">
        <f>'FS all'!F11</f>
        <v>513983</v>
      </c>
      <c r="F43" s="413">
        <f>'FS all'!G11</f>
        <v>574785</v>
      </c>
      <c r="G43" s="413">
        <f>'FS all'!H11</f>
        <v>637959</v>
      </c>
      <c r="H43" s="413">
        <f>'FS all'!I11</f>
        <v>682616.13</v>
      </c>
      <c r="I43" s="413">
        <f>'FS all'!J11</f>
        <v>744051.5817000001</v>
      </c>
      <c r="J43" s="413">
        <f>'FS all'!K11</f>
        <v>811016.22405300022</v>
      </c>
      <c r="K43" s="413">
        <f>'FS all'!L11</f>
        <v>892117.84645830037</v>
      </c>
      <c r="L43" s="413">
        <f>'FS all'!M11</f>
        <v>981329.63110413053</v>
      </c>
    </row>
    <row r="44" spans="2:12">
      <c r="B44" s="14" t="s">
        <v>95</v>
      </c>
      <c r="C44" s="413">
        <f>'FS all'!D153</f>
        <v>42001</v>
      </c>
      <c r="D44" s="413">
        <f>'FS all'!E153</f>
        <v>61197</v>
      </c>
      <c r="E44" s="413">
        <f>'FS all'!F153</f>
        <v>40049</v>
      </c>
      <c r="F44" s="413">
        <f>'FS all'!G153</f>
        <v>68786</v>
      </c>
      <c r="G44" s="413">
        <f>'FS all'!H153</f>
        <v>100372</v>
      </c>
      <c r="H44" s="413">
        <f>'FS all'!I153</f>
        <v>103809.95574889764</v>
      </c>
      <c r="I44" s="413">
        <f>'FS all'!J153</f>
        <v>120800.58528935187</v>
      </c>
      <c r="J44" s="413">
        <f>'FS all'!K153</f>
        <v>136973.97434976354</v>
      </c>
      <c r="K44" s="413">
        <f>'FS all'!L153</f>
        <v>154837.11845206271</v>
      </c>
      <c r="L44" s="413">
        <f>'FS all'!M153</f>
        <v>172734.72797765583</v>
      </c>
    </row>
    <row r="45" spans="2:12">
      <c r="B45" s="14" t="s">
        <v>162</v>
      </c>
      <c r="C45" s="413">
        <f>'FS all'!D30</f>
        <v>21331</v>
      </c>
      <c r="D45" s="413">
        <f>'FS all'!E30</f>
        <v>33364</v>
      </c>
      <c r="E45" s="413">
        <f>'FS all'!F30</f>
        <v>-2722</v>
      </c>
      <c r="F45" s="413">
        <f>'FS all'!G30</f>
        <v>30425</v>
      </c>
      <c r="G45" s="413">
        <f>'FS all'!H30</f>
        <v>59248</v>
      </c>
      <c r="H45" s="413">
        <f>'FS all'!I30</f>
        <v>66748.87660083604</v>
      </c>
      <c r="I45" s="413">
        <f>'FS all'!J30</f>
        <v>84364.915047181057</v>
      </c>
      <c r="J45" s="413">
        <f>'FS all'!K30</f>
        <v>100964.17530338916</v>
      </c>
      <c r="K45" s="413">
        <f>'FS all'!L30</f>
        <v>120069.95473336622</v>
      </c>
      <c r="L45" s="413">
        <f>'FS all'!M30</f>
        <v>139417.21573152393</v>
      </c>
    </row>
    <row r="46" spans="2:12">
      <c r="B46" s="14" t="s">
        <v>535</v>
      </c>
      <c r="C46" s="413">
        <f>'FS all'!D47</f>
        <v>321195</v>
      </c>
      <c r="D46" s="413">
        <f>'FS all'!E47</f>
        <v>420549</v>
      </c>
      <c r="E46" s="413">
        <f>'FS all'!F47</f>
        <v>462675</v>
      </c>
      <c r="F46" s="413">
        <f>'FS all'!G47</f>
        <v>527854</v>
      </c>
      <c r="G46" s="413">
        <f>'FS all'!H47</f>
        <v>624894</v>
      </c>
      <c r="H46" s="413">
        <f>'FS all'!I47</f>
        <v>737028.24411550374</v>
      </c>
      <c r="I46" s="413">
        <f>'FS all'!J47</f>
        <v>873770.46400641254</v>
      </c>
      <c r="J46" s="413">
        <f>'FS all'!K47</f>
        <v>1027375.4818045909</v>
      </c>
      <c r="K46" s="413">
        <f>'FS all'!L47</f>
        <v>1205268.897918653</v>
      </c>
      <c r="L46" s="413">
        <f>'FS all'!M47</f>
        <v>1405539.8164979229</v>
      </c>
    </row>
    <row r="47" spans="2:12">
      <c r="B47" s="14" t="s">
        <v>163</v>
      </c>
      <c r="C47" s="413">
        <f>'FS all'!D55</f>
        <v>31816</v>
      </c>
      <c r="D47" s="413">
        <f>'FS all'!E55</f>
        <v>48744</v>
      </c>
      <c r="E47" s="413">
        <f>'FS all'!F55</f>
        <v>67150</v>
      </c>
      <c r="F47" s="413">
        <f>'FS all'!G55</f>
        <v>58314</v>
      </c>
      <c r="G47" s="413">
        <f>'FS all'!H55</f>
        <v>52623</v>
      </c>
      <c r="H47" s="413">
        <f>'FS all'!I55</f>
        <v>57214</v>
      </c>
      <c r="I47" s="413">
        <f>'FS all'!J55</f>
        <v>61805</v>
      </c>
      <c r="J47" s="413">
        <f>'FS all'!K55</f>
        <v>64100.5</v>
      </c>
      <c r="K47" s="413">
        <f>'FS all'!L55</f>
        <v>65248.25</v>
      </c>
      <c r="L47" s="413">
        <f>'FS all'!M55</f>
        <v>65822.125</v>
      </c>
    </row>
    <row r="48" spans="2:12">
      <c r="B48" s="14" t="s">
        <v>165</v>
      </c>
      <c r="C48" s="413">
        <f>'FS all'!D67</f>
        <v>93404</v>
      </c>
      <c r="D48" s="413">
        <f>'FS all'!E67</f>
        <v>138245</v>
      </c>
      <c r="E48" s="413">
        <f>'FS all'!F67</f>
        <v>146043</v>
      </c>
      <c r="F48" s="413">
        <f>'FS all'!G67</f>
        <v>201875</v>
      </c>
      <c r="G48" s="413">
        <f>'FS all'!H67</f>
        <v>285970</v>
      </c>
      <c r="H48" s="413">
        <f>'FS all'!I67</f>
        <v>374263.02611041267</v>
      </c>
      <c r="I48" s="413">
        <f>'FS all'!J67</f>
        <v>480525.77633213229</v>
      </c>
      <c r="J48" s="413">
        <f>'FS all'!K67</f>
        <v>603747.2788849565</v>
      </c>
      <c r="K48" s="413">
        <f>'FS all'!L67</f>
        <v>746439.95467620913</v>
      </c>
      <c r="L48" s="413">
        <f>'FS all'!M67</f>
        <v>908851.28389618173</v>
      </c>
    </row>
    <row r="49" spans="2:12" ht="3.5" customHeight="1">
      <c r="B49" s="14"/>
      <c r="C49" s="14"/>
      <c r="D49" s="14"/>
      <c r="E49" s="14"/>
      <c r="F49" s="14"/>
      <c r="G49" s="14"/>
      <c r="H49" s="14"/>
      <c r="I49" s="14"/>
      <c r="J49" s="14"/>
      <c r="K49" s="14"/>
      <c r="L49" s="14"/>
    </row>
    <row r="50" spans="2:12">
      <c r="B50" s="371" t="s">
        <v>534</v>
      </c>
      <c r="C50" s="371"/>
      <c r="D50" s="371"/>
      <c r="E50" s="371"/>
      <c r="F50" s="371"/>
      <c r="G50" s="371"/>
      <c r="H50" s="371"/>
      <c r="I50" s="371"/>
      <c r="J50" s="371"/>
      <c r="K50" s="371"/>
      <c r="L50" s="371"/>
    </row>
    <row r="51" spans="2:12" ht="3.5" customHeight="1">
      <c r="B51" s="14"/>
      <c r="C51" s="14"/>
      <c r="D51" s="14"/>
      <c r="E51" s="14"/>
      <c r="F51" s="14"/>
      <c r="G51" s="14"/>
      <c r="H51" s="14"/>
      <c r="I51" s="14"/>
      <c r="J51" s="14"/>
      <c r="K51" s="14"/>
      <c r="L51" s="14"/>
    </row>
    <row r="52" spans="2:12">
      <c r="B52" s="14" t="s">
        <v>537</v>
      </c>
      <c r="C52" s="414">
        <f>'FS all'!D154</f>
        <v>0.10879284263749016</v>
      </c>
      <c r="D52" s="414">
        <f>'FS all'!E154</f>
        <v>0.13025571386610249</v>
      </c>
      <c r="E52" s="414">
        <f>'FS all'!F154</f>
        <v>7.7918919497337466E-2</v>
      </c>
      <c r="F52" s="414">
        <f>'FS all'!G154</f>
        <v>0.11967257322303122</v>
      </c>
      <c r="G52" s="414">
        <f>'FS all'!H154</f>
        <v>0.15733299475358134</v>
      </c>
      <c r="H52" s="414">
        <f>'FS all'!I154</f>
        <v>0.15207662284349718</v>
      </c>
      <c r="I52" s="414">
        <f>'FS all'!J154</f>
        <v>0.16235512195720109</v>
      </c>
      <c r="J52" s="414">
        <f>'FS all'!K154</f>
        <v>0.16889178081450099</v>
      </c>
      <c r="K52" s="414">
        <f>'FS all'!L154</f>
        <v>0.17356128348599309</v>
      </c>
      <c r="L52" s="414">
        <f>'FS all'!M154</f>
        <v>0.1760211069784019</v>
      </c>
    </row>
    <row r="53" spans="2:12">
      <c r="B53" s="14" t="s">
        <v>552</v>
      </c>
      <c r="C53" s="414">
        <f>'FS all'!D119</f>
        <v>5.9313999751336569E-2</v>
      </c>
      <c r="D53" s="414">
        <f>'FS all'!E119</f>
        <v>5.2954097509269465E-2</v>
      </c>
      <c r="E53" s="414">
        <f>'FS all'!F119</f>
        <v>2.3829581912242232E-2</v>
      </c>
      <c r="F53" s="414">
        <f>'FS all'!G119</f>
        <v>6.4114407996033296E-2</v>
      </c>
      <c r="G53" s="414">
        <f>'FS all'!H119</f>
        <v>0.1075194487420038</v>
      </c>
      <c r="H53" s="414">
        <f>'FS all'!I119</f>
        <v>0.12336576591004382</v>
      </c>
      <c r="I53" s="414">
        <f>'FS all'!J119</f>
        <v>0.14312705974790621</v>
      </c>
      <c r="J53" s="414">
        <f>'FS all'!K119</f>
        <v>0.15719767278681299</v>
      </c>
      <c r="K53" s="414">
        <f>'FS all'!L119</f>
        <v>0.17002786628943656</v>
      </c>
      <c r="L53" s="414">
        <f>'FS all'!M119</f>
        <v>0.17953858111108467</v>
      </c>
    </row>
    <row r="54" spans="2:12">
      <c r="B54" s="14" t="s">
        <v>542</v>
      </c>
      <c r="C54" s="415">
        <f>('FS all'!D55/'FS all'!D67)</f>
        <v>0.34062781037214679</v>
      </c>
      <c r="D54" s="415">
        <f>('FS all'!E55/'FS all'!E67)</f>
        <v>0.35259141379435061</v>
      </c>
      <c r="E54" s="415">
        <f>('FS all'!F55/'FS all'!F67)</f>
        <v>0.45979608745369516</v>
      </c>
      <c r="F54" s="415">
        <f>('FS all'!G55/'FS all'!G67)</f>
        <v>0.28886191950464396</v>
      </c>
      <c r="G54" s="415">
        <f>('FS all'!H55/'FS all'!H67)</f>
        <v>0.18401580585376087</v>
      </c>
      <c r="H54" s="415">
        <f>('FS all'!I55/'FS all'!I67)</f>
        <v>0.15287109868854931</v>
      </c>
      <c r="I54" s="415">
        <f>('FS all'!J55/'FS all'!J67)</f>
        <v>0.12861953103069607</v>
      </c>
      <c r="J54" s="415">
        <f>('FS all'!K55/'FS all'!K67)</f>
        <v>0.10617107892955703</v>
      </c>
      <c r="K54" s="415">
        <f>('FS all'!L55/'FS all'!L67)</f>
        <v>8.7412590378154922E-2</v>
      </c>
      <c r="L54" s="415">
        <f>('FS all'!M55/'FS all'!M67)</f>
        <v>7.2423427425689677E-2</v>
      </c>
    </row>
    <row r="55" spans="2:12">
      <c r="B55" s="14" t="s">
        <v>538</v>
      </c>
      <c r="C55" s="416">
        <f>'FS all'!D137</f>
        <v>0.22837351719412446</v>
      </c>
      <c r="D55" s="416">
        <f>'FS all'!E137</f>
        <v>0.2413396506202756</v>
      </c>
      <c r="E55" s="416">
        <f>'FS all'!F137</f>
        <v>-1.8638346240490815E-2</v>
      </c>
      <c r="F55" s="416">
        <f>'FS all'!G137</f>
        <v>0.15071207430340555</v>
      </c>
      <c r="G55" s="416">
        <f>'FS all'!H137</f>
        <v>0.20718257159841941</v>
      </c>
      <c r="H55" s="416">
        <f>'FS all'!I137</f>
        <v>0.19303179515701194</v>
      </c>
      <c r="I55" s="416">
        <f>'FS all'!J137</f>
        <v>0.19047205514271712</v>
      </c>
      <c r="J55" s="416">
        <f>'FS all'!K137</f>
        <v>0.1807406546060869</v>
      </c>
      <c r="K55" s="416">
        <f>'FS all'!L137</f>
        <v>0.17367362180057361</v>
      </c>
      <c r="L55" s="416">
        <f>'FS all'!M137</f>
        <v>0.16516638945666468</v>
      </c>
    </row>
    <row r="56" spans="2:12">
      <c r="B56" s="14" t="s">
        <v>539</v>
      </c>
      <c r="C56" s="416">
        <f>'FS all'!D120</f>
        <v>6.6411370040006856E-2</v>
      </c>
      <c r="D56" s="416">
        <f>'FS all'!E120</f>
        <v>7.9334393851846041E-2</v>
      </c>
      <c r="E56" s="416">
        <f>'FS all'!F120</f>
        <v>-5.8831793375479545E-3</v>
      </c>
      <c r="F56" s="416">
        <f>'FS all'!G120</f>
        <v>5.7639044129626754E-2</v>
      </c>
      <c r="G56" s="416">
        <f>'FS all'!H120</f>
        <v>9.481288026449286E-2</v>
      </c>
      <c r="H56" s="416">
        <f>'FS all'!I120</f>
        <v>9.8021567514944133E-2</v>
      </c>
      <c r="I56" s="416">
        <f>'FS all'!J120</f>
        <v>0.10474917147847097</v>
      </c>
      <c r="J56" s="416">
        <f>'FS all'!K120</f>
        <v>0.10621401847223169</v>
      </c>
      <c r="K56" s="416">
        <f>'FS all'!L120</f>
        <v>0.1075585129668075</v>
      </c>
      <c r="L56" s="416">
        <f>'FS all'!M120</f>
        <v>0.10680002327376849</v>
      </c>
    </row>
    <row r="57" spans="2:12">
      <c r="B57" s="14" t="s">
        <v>415</v>
      </c>
      <c r="C57" s="416">
        <f>'FS all'!D123</f>
        <v>0.10810322572934469</v>
      </c>
      <c r="D57" s="416">
        <f>'FS all'!E123</f>
        <v>8.8053841914976547E-2</v>
      </c>
      <c r="E57" s="416">
        <f>'FS all'!F123</f>
        <v>3.6228410107795012E-2</v>
      </c>
      <c r="F57" s="416">
        <f>'FS all'!G123</f>
        <v>8.7275703288006337E-2</v>
      </c>
      <c r="G57" s="416">
        <f>'FS all'!H123</f>
        <v>0.12983254746365352</v>
      </c>
      <c r="H57" s="416">
        <f>'FS all'!I123</f>
        <v>0.17278183148881943</v>
      </c>
      <c r="I57" s="416">
        <f>'FS all'!J123</f>
        <v>0.17278603188162223</v>
      </c>
      <c r="J57" s="416">
        <f>'FS all'!K123</f>
        <v>0.16644980419865751</v>
      </c>
      <c r="K57" s="416">
        <f>'FS all'!L123</f>
        <v>0.16198465940933476</v>
      </c>
      <c r="L57" s="416">
        <f>'FS all'!M123</f>
        <v>0.15583335121325628</v>
      </c>
    </row>
    <row r="58" spans="2:12">
      <c r="B58" s="14" t="s">
        <v>540</v>
      </c>
      <c r="C58" s="415">
        <f>'FS all'!D140</f>
        <v>41.825490196078434</v>
      </c>
      <c r="D58" s="415">
        <f>'FS all'!E140</f>
        <v>64.784466019417479</v>
      </c>
      <c r="E58" s="415">
        <f>'FS all'!F140</f>
        <v>-0.2671508489547551</v>
      </c>
      <c r="F58" s="415">
        <f>'FS all'!G140</f>
        <v>2.8998284407167367</v>
      </c>
      <c r="G58" s="415">
        <f>'FS all'!H140</f>
        <v>5.5263501539035538</v>
      </c>
      <c r="H58" s="415">
        <f>'FS all'!I140</f>
        <v>6.1254358272950569</v>
      </c>
      <c r="I58" s="415">
        <f>'FS all'!J140</f>
        <v>7.6169873903751268</v>
      </c>
      <c r="J58" s="415">
        <f>'FS all'!K140</f>
        <v>8.9684418148688163</v>
      </c>
      <c r="K58" s="415">
        <f>'FS all'!L140</f>
        <v>10.493306759328849</v>
      </c>
      <c r="L58" s="415">
        <f>'FS all'!M140</f>
        <v>11.987338166441667</v>
      </c>
    </row>
    <row r="59" spans="2:12">
      <c r="B59" s="14" t="s">
        <v>541</v>
      </c>
      <c r="C59" s="415">
        <f>'FS all'!D142</f>
        <v>0</v>
      </c>
      <c r="D59" s="415">
        <f>'FS all'!E142</f>
        <v>0</v>
      </c>
      <c r="E59" s="415">
        <f>'FS all'!F142</f>
        <v>0</v>
      </c>
      <c r="F59" s="415">
        <f>'FS all'!G142</f>
        <v>0</v>
      </c>
      <c r="G59" s="415">
        <f>'FS all'!H142</f>
        <v>0</v>
      </c>
      <c r="H59" s="415">
        <f>'FS all'!I142</f>
        <v>0</v>
      </c>
      <c r="I59" s="415">
        <f>'FS all'!J142</f>
        <v>0</v>
      </c>
      <c r="J59" s="415">
        <f>'FS all'!K142</f>
        <v>0</v>
      </c>
      <c r="K59" s="415">
        <f>'FS all'!L142</f>
        <v>0</v>
      </c>
      <c r="L59" s="415">
        <f>'FS all'!M142</f>
        <v>0</v>
      </c>
    </row>
  </sheetData>
  <mergeCells count="3">
    <mergeCell ref="G8:H8"/>
    <mergeCell ref="D11:K14"/>
    <mergeCell ref="B16:K16"/>
  </mergeCells>
  <pageMargins left="0.25" right="0.25" top="0.75" bottom="0.75" header="0.3" footer="0.3"/>
  <pageSetup orientation="portrait" r:id="rId1"/>
  <headerFooter>
    <oddHeader>&amp;L&amp;"Arial,Regular"&amp;10Stock Report | April 02, 2023 | NYS Symbol: CAT | Caterpillar, Inc.</oddHeader>
  </headerFooter>
  <ignoredErrors>
    <ignoredError sqref="G18:H18"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7B6A0-2537-4995-B5AE-687F65EE2536}">
  <sheetPr>
    <tabColor rgb="FFAFDEFF"/>
  </sheetPr>
  <dimension ref="B1:T43"/>
  <sheetViews>
    <sheetView showGridLines="0" zoomScale="125" workbookViewId="0">
      <selection activeCell="O14" sqref="O14"/>
    </sheetView>
  </sheetViews>
  <sheetFormatPr baseColWidth="10" defaultColWidth="8.83203125" defaultRowHeight="12"/>
  <cols>
    <col min="1" max="2" width="3.1640625" style="1" customWidth="1"/>
    <col min="3" max="3" width="3" style="1" customWidth="1"/>
    <col min="4" max="4" width="15.5" style="1" customWidth="1"/>
    <col min="5" max="5" width="9.6640625" style="1" customWidth="1"/>
    <col min="6" max="9" width="8.83203125" style="1" customWidth="1"/>
    <col min="10" max="10" width="2.6640625" style="1" customWidth="1"/>
    <col min="11" max="14" width="8.83203125" style="1" customWidth="1"/>
    <col min="15" max="15" width="2.6640625" style="1" customWidth="1"/>
    <col min="16" max="16" width="8.83203125" style="1" customWidth="1"/>
    <col min="17" max="18" width="10.5" style="1" bestFit="1" customWidth="1"/>
    <col min="19" max="19" width="9.33203125" style="1" bestFit="1" customWidth="1"/>
    <col min="20" max="20" width="2.6640625" style="1" customWidth="1"/>
    <col min="21" max="16384" width="8.83203125" style="1"/>
  </cols>
  <sheetData>
    <row r="1" spans="2:11" s="457" customFormat="1"/>
    <row r="2" spans="2:11" s="457" customFormat="1" ht="18">
      <c r="B2" s="462"/>
    </row>
    <row r="3" spans="2:11" s="457" customFormat="1" ht="13">
      <c r="B3" s="459"/>
      <c r="C3" s="461"/>
      <c r="D3" s="461"/>
      <c r="F3" s="461" t="s">
        <v>448</v>
      </c>
    </row>
    <row r="4" spans="2:11" s="457" customFormat="1">
      <c r="B4" s="459"/>
      <c r="C4" s="460"/>
      <c r="D4" s="460"/>
      <c r="F4" s="460" t="s">
        <v>23</v>
      </c>
    </row>
    <row r="5" spans="2:11" s="457" customFormat="1" ht="7.75" customHeight="1">
      <c r="B5" s="459"/>
    </row>
    <row r="6" spans="2:11">
      <c r="B6" s="4"/>
    </row>
    <row r="7" spans="2:11">
      <c r="B7" s="4"/>
    </row>
    <row r="8" spans="2:11">
      <c r="B8" s="4"/>
      <c r="C8" s="47" t="s">
        <v>488</v>
      </c>
      <c r="E8" s="409" t="s">
        <v>525</v>
      </c>
    </row>
    <row r="9" spans="2:11" ht="4.75" customHeight="1">
      <c r="B9" s="4"/>
      <c r="C9" s="284"/>
      <c r="D9" s="285"/>
      <c r="E9" s="285"/>
      <c r="F9" s="214"/>
      <c r="G9" s="214"/>
      <c r="H9" s="214"/>
      <c r="I9" s="214"/>
      <c r="K9" s="214"/>
    </row>
    <row r="10" spans="2:11">
      <c r="B10" s="4"/>
      <c r="C10" s="457" t="s">
        <v>109</v>
      </c>
      <c r="D10" s="457"/>
      <c r="E10" s="469">
        <f>DCF!E14</f>
        <v>226.19</v>
      </c>
    </row>
    <row r="11" spans="2:11">
      <c r="B11" s="4"/>
      <c r="C11" s="1" t="s">
        <v>489</v>
      </c>
      <c r="E11" s="109">
        <f>DCF!I49</f>
        <v>292.99441807564335</v>
      </c>
    </row>
    <row r="12" spans="2:11">
      <c r="B12" s="4"/>
      <c r="C12" s="457" t="s">
        <v>493</v>
      </c>
      <c r="D12" s="457"/>
      <c r="E12" s="470">
        <f>E11/E10-1</f>
        <v>0.29534647011646564</v>
      </c>
    </row>
    <row r="13" spans="2:11" ht="4.75" customHeight="1">
      <c r="B13" s="4"/>
      <c r="C13" s="286"/>
      <c r="D13" s="287"/>
      <c r="E13" s="287"/>
      <c r="F13" s="214"/>
      <c r="G13" s="214"/>
      <c r="H13" s="214"/>
      <c r="I13" s="214"/>
      <c r="K13" s="214"/>
    </row>
    <row r="14" spans="2:11">
      <c r="B14" s="4"/>
      <c r="C14" s="1" t="s">
        <v>14</v>
      </c>
      <c r="E14" s="109">
        <f>DCF!E15</f>
        <v>10721</v>
      </c>
    </row>
    <row r="15" spans="2:11">
      <c r="B15" s="4"/>
      <c r="C15" s="457" t="s">
        <v>492</v>
      </c>
      <c r="D15" s="457"/>
      <c r="E15" s="469">
        <f>(E10*E14)/1000</f>
        <v>2424.98299</v>
      </c>
    </row>
    <row r="16" spans="2:11">
      <c r="B16" s="4"/>
      <c r="C16" s="1" t="s">
        <v>490</v>
      </c>
      <c r="E16" s="109">
        <f>'Tear Sheet'!H18</f>
        <v>254</v>
      </c>
    </row>
    <row r="17" spans="2:20">
      <c r="B17" s="4"/>
      <c r="C17" s="457" t="s">
        <v>491</v>
      </c>
      <c r="D17" s="457"/>
      <c r="E17" s="469">
        <f>'Tear Sheet'!G18</f>
        <v>167.32</v>
      </c>
    </row>
    <row r="18" spans="2:20">
      <c r="B18" s="4"/>
      <c r="C18" s="1" t="s">
        <v>241</v>
      </c>
      <c r="E18" s="109">
        <f>'Tear Sheet'!C20</f>
        <v>7.08</v>
      </c>
    </row>
    <row r="19" spans="2:20">
      <c r="B19" s="4"/>
      <c r="C19" s="457" t="s">
        <v>494</v>
      </c>
      <c r="D19" s="457"/>
      <c r="E19" s="469">
        <f>'Tear Sheet'!C21</f>
        <v>31.947740112994349</v>
      </c>
    </row>
    <row r="20" spans="2:20">
      <c r="B20" s="4"/>
    </row>
    <row r="21" spans="2:20">
      <c r="B21" s="4"/>
    </row>
    <row r="22" spans="2:20">
      <c r="B22" s="4"/>
      <c r="C22" s="288" t="s">
        <v>467</v>
      </c>
      <c r="D22" s="289"/>
      <c r="E22" s="289"/>
      <c r="F22" s="290"/>
      <c r="G22" s="290"/>
      <c r="H22" s="290"/>
      <c r="I22" s="290"/>
      <c r="J22" s="290"/>
      <c r="K22" s="290"/>
      <c r="L22" s="290"/>
      <c r="M22" s="290"/>
      <c r="N22" s="290"/>
      <c r="O22" s="290"/>
      <c r="P22" s="290"/>
      <c r="Q22" s="290"/>
      <c r="R22" s="290"/>
      <c r="S22" s="290"/>
      <c r="T22" s="290"/>
    </row>
    <row r="23" spans="2:20" ht="4.75" customHeight="1">
      <c r="B23" s="4"/>
      <c r="C23" s="204"/>
      <c r="D23" s="213"/>
      <c r="E23" s="213"/>
      <c r="F23" s="214"/>
      <c r="G23" s="214"/>
      <c r="H23" s="214"/>
      <c r="I23" s="214"/>
      <c r="K23" s="214"/>
    </row>
    <row r="24" spans="2:20" ht="14">
      <c r="B24" s="4"/>
      <c r="C24" s="471"/>
      <c r="D24" s="471"/>
      <c r="E24" s="471"/>
      <c r="F24" s="472" t="s">
        <v>451</v>
      </c>
      <c r="G24" s="473"/>
      <c r="H24" s="473"/>
      <c r="I24" s="473"/>
      <c r="J24" s="472"/>
      <c r="K24" s="472" t="s">
        <v>118</v>
      </c>
      <c r="L24" s="473"/>
      <c r="M24" s="473"/>
      <c r="N24" s="472"/>
      <c r="O24" s="472"/>
      <c r="P24" s="472" t="s">
        <v>113</v>
      </c>
      <c r="Q24" s="473"/>
      <c r="R24" s="473"/>
      <c r="S24" s="472"/>
      <c r="T24" s="472"/>
    </row>
    <row r="25" spans="2:20" ht="14">
      <c r="B25" s="4"/>
      <c r="C25" s="471"/>
      <c r="D25" s="471" t="s">
        <v>449</v>
      </c>
      <c r="E25" s="471"/>
      <c r="F25" s="474" t="s">
        <v>212</v>
      </c>
      <c r="G25" s="474" t="s">
        <v>171</v>
      </c>
      <c r="H25" s="474" t="s">
        <v>172</v>
      </c>
      <c r="I25" s="474" t="s">
        <v>211</v>
      </c>
      <c r="J25" s="475"/>
      <c r="K25" s="474" t="s">
        <v>212</v>
      </c>
      <c r="L25" s="474" t="s">
        <v>171</v>
      </c>
      <c r="M25" s="474" t="s">
        <v>172</v>
      </c>
      <c r="N25" s="474" t="s">
        <v>211</v>
      </c>
      <c r="O25" s="475"/>
      <c r="P25" s="474" t="s">
        <v>212</v>
      </c>
      <c r="Q25" s="474" t="s">
        <v>171</v>
      </c>
      <c r="R25" s="474" t="s">
        <v>172</v>
      </c>
      <c r="S25" s="474" t="s">
        <v>211</v>
      </c>
      <c r="T25" s="475"/>
    </row>
    <row r="26" spans="2:20">
      <c r="C26" s="4">
        <v>1</v>
      </c>
      <c r="D26" s="1" t="s">
        <v>450</v>
      </c>
      <c r="F26" s="113">
        <f>MIN('AMZN daily'!H3079:H3330)</f>
        <v>24.1</v>
      </c>
      <c r="G26" s="229">
        <f>MEDIAN('AMZN daily'!H3079:H3330)</f>
        <v>35.89</v>
      </c>
      <c r="H26" s="229">
        <f>AVERAGE('AMZN daily'!H3079:H3330)</f>
        <v>34.730119047619063</v>
      </c>
      <c r="I26" s="229">
        <f>MAX('AMZN daily'!H3079:H3330)</f>
        <v>42.22</v>
      </c>
      <c r="J26" s="29"/>
      <c r="K26" s="35">
        <f>F26*DCF!$E$15</f>
        <v>258376.1</v>
      </c>
      <c r="L26" s="35">
        <f>G26*DCF!$E$15</f>
        <v>384776.69</v>
      </c>
      <c r="M26" s="35">
        <f>H26*DCF!$E$15</f>
        <v>372341.60630952398</v>
      </c>
      <c r="N26" s="35">
        <f>I26*DCF!$E$15</f>
        <v>452640.62</v>
      </c>
      <c r="O26" s="29"/>
      <c r="P26" s="27">
        <f>K26+SUM(DCF!$E$44:$E$46)</f>
        <v>857114.1</v>
      </c>
      <c r="Q26" s="27">
        <f>L26+SUM(DCF!$E$44:$E$46)</f>
        <v>983514.69</v>
      </c>
      <c r="R26" s="27">
        <f>M26+SUM(DCF!$E$44:$E$46)</f>
        <v>971079.60630952404</v>
      </c>
      <c r="S26" s="27">
        <f>N26+SUM(DCF!$E$44:$E$46)</f>
        <v>1051378.6200000001</v>
      </c>
      <c r="T26" s="29"/>
    </row>
    <row r="27" spans="2:20">
      <c r="C27" s="4">
        <f t="shared" ref="C27:C33" si="0">C26+1</f>
        <v>2</v>
      </c>
      <c r="D27" s="1" t="s">
        <v>479</v>
      </c>
      <c r="F27" s="113">
        <f>DCF!$E$64</f>
        <v>184.16499119502848</v>
      </c>
      <c r="G27" s="229">
        <f>DCF!$I$63</f>
        <v>292.99441807564335</v>
      </c>
      <c r="H27" s="229">
        <f>DCF!$I$64</f>
        <v>318.23482007191046</v>
      </c>
      <c r="I27" s="229">
        <f>DCF!$E$63</f>
        <v>628.85346293575435</v>
      </c>
      <c r="J27" s="29"/>
      <c r="K27" s="35">
        <f>F27*DCF!$E$15</f>
        <v>1974432.8706019004</v>
      </c>
      <c r="L27" s="35">
        <f>G27*DCF!$E$15</f>
        <v>3141193.1561889723</v>
      </c>
      <c r="M27" s="35">
        <f>H27*DCF!$E$15</f>
        <v>3411795.5059909523</v>
      </c>
      <c r="N27" s="35">
        <f>I27*DCF!$E$15</f>
        <v>6741937.976134222</v>
      </c>
      <c r="O27" s="29"/>
      <c r="P27" s="27">
        <f>K27+SUM(DCF!$E$44:$E$46)</f>
        <v>2573170.8706019004</v>
      </c>
      <c r="Q27" s="27">
        <f>L27+SUM(DCF!$E$44:$E$46)</f>
        <v>3739931.1561889723</v>
      </c>
      <c r="R27" s="27">
        <f>M27+SUM(DCF!$E$44:$E$46)</f>
        <v>4010533.5059909523</v>
      </c>
      <c r="S27" s="35">
        <f>N27+SUM(DCF!$E$44:$E$46)</f>
        <v>7340675.976134222</v>
      </c>
      <c r="T27" s="29"/>
    </row>
    <row r="28" spans="2:20">
      <c r="C28" s="4">
        <f t="shared" si="0"/>
        <v>3</v>
      </c>
      <c r="D28" s="1" t="s">
        <v>480</v>
      </c>
      <c r="F28" s="113">
        <v>163.15538832554887</v>
      </c>
      <c r="G28" s="229">
        <v>291.61808764265766</v>
      </c>
      <c r="H28" s="229">
        <v>333.3773248114706</v>
      </c>
      <c r="I28" s="229">
        <v>823.8470828720466</v>
      </c>
      <c r="J28" s="29"/>
      <c r="K28" s="35">
        <f>F28*DCF!$E$15</f>
        <v>1749188.9182382093</v>
      </c>
      <c r="L28" s="35">
        <f>G28*DCF!$E$15</f>
        <v>3126437.5176169327</v>
      </c>
      <c r="M28" s="35">
        <f>H28*DCF!$E$15</f>
        <v>3574138.2993037761</v>
      </c>
      <c r="N28" s="35">
        <f>I28*DCF!$E$15</f>
        <v>8832464.5754712112</v>
      </c>
      <c r="O28" s="29"/>
      <c r="P28" s="27">
        <f>K28+SUM(DCF!$E$44:$E$46)</f>
        <v>2347926.9182382096</v>
      </c>
      <c r="Q28" s="27">
        <f>L28+SUM(DCF!$E$44:$E$46)</f>
        <v>3725175.5176169327</v>
      </c>
      <c r="R28" s="27">
        <f>M28+SUM(DCF!$E$44:$E$46)</f>
        <v>4172876.2993037761</v>
      </c>
      <c r="S28" s="35">
        <f>N28+SUM(DCF!$E$44:$E$46)</f>
        <v>9431202.5754712112</v>
      </c>
      <c r="T28" s="29"/>
    </row>
    <row r="29" spans="2:20">
      <c r="C29" s="4">
        <f t="shared" si="0"/>
        <v>4</v>
      </c>
      <c r="D29" s="1" t="s">
        <v>481</v>
      </c>
      <c r="F29" s="113">
        <v>116.74016433301708</v>
      </c>
      <c r="G29" s="229">
        <v>212.05018855225799</v>
      </c>
      <c r="H29" s="229">
        <v>242.89203809174117</v>
      </c>
      <c r="I29" s="229">
        <v>605.52322120851431</v>
      </c>
      <c r="J29" s="29"/>
      <c r="K29" s="35">
        <f>F29*DCF!$E$15</f>
        <v>1251571.301814276</v>
      </c>
      <c r="L29" s="35">
        <f>G29*DCF!$E$15</f>
        <v>2273390.0714687579</v>
      </c>
      <c r="M29" s="35">
        <f>H29*DCF!$E$15</f>
        <v>2604045.5403815573</v>
      </c>
      <c r="N29" s="35">
        <f>I29*DCF!$E$15</f>
        <v>6491814.4545764821</v>
      </c>
      <c r="O29" s="29"/>
      <c r="P29" s="27">
        <f>K29+SUM(DCF!$E$44:$E$46)</f>
        <v>1850309.301814276</v>
      </c>
      <c r="Q29" s="27">
        <f>L29+SUM(DCF!$E$44:$E$46)</f>
        <v>2872128.0714687579</v>
      </c>
      <c r="R29" s="27">
        <f>M29+SUM(DCF!$E$44:$E$46)</f>
        <v>3202783.5403815573</v>
      </c>
      <c r="S29" s="35">
        <f>N29+SUM(DCF!$E$44:$E$46)</f>
        <v>7090552.4545764821</v>
      </c>
      <c r="T29" s="29"/>
    </row>
    <row r="30" spans="2:20">
      <c r="C30" s="4">
        <f t="shared" si="0"/>
        <v>5</v>
      </c>
      <c r="D30" s="1" t="s">
        <v>426</v>
      </c>
      <c r="F30" s="113" cm="1">
        <f t="array" ref="F30:I30">TRANSPOSE(Multiples!R49:R52)</f>
        <v>-44.417949732383171</v>
      </c>
      <c r="G30" s="229">
        <v>483.26295516240566</v>
      </c>
      <c r="H30" s="229">
        <v>331.15663458658247</v>
      </c>
      <c r="I30" s="229">
        <v>656.0772297122985</v>
      </c>
      <c r="J30" s="29"/>
      <c r="K30" s="35">
        <f>F30*DCF!$E$15</f>
        <v>-476204.83908087999</v>
      </c>
      <c r="L30" s="35">
        <f>G30*DCF!$E$15</f>
        <v>5181062.1422961513</v>
      </c>
      <c r="M30" s="35">
        <f>H30*DCF!$E$15</f>
        <v>3550330.2794027505</v>
      </c>
      <c r="N30" s="35">
        <f>I30*DCF!$E$15</f>
        <v>7033803.9797455519</v>
      </c>
      <c r="O30" s="29"/>
      <c r="P30" s="27">
        <f>K30+SUM(DCF!$E$44:$E$46)</f>
        <v>122533.16091912001</v>
      </c>
      <c r="Q30" s="27">
        <f>L30+SUM(DCF!$E$44:$E$46)</f>
        <v>5779800.1422961513</v>
      </c>
      <c r="R30" s="27">
        <f>M30+SUM(DCF!$E$44:$E$46)</f>
        <v>4149068.2794027505</v>
      </c>
      <c r="S30" s="35">
        <f>N30+SUM(DCF!$E$44:$E$46)</f>
        <v>7632541.9797455519</v>
      </c>
      <c r="T30" s="29"/>
    </row>
    <row r="31" spans="2:20">
      <c r="C31" s="4">
        <f>C30+1</f>
        <v>6</v>
      </c>
      <c r="D31" s="1" t="s">
        <v>427</v>
      </c>
      <c r="F31" s="113" cm="1">
        <f t="array" ref="F31:I31">TRANSPOSE(Multiples!S49:S52)</f>
        <v>-47.928597212054676</v>
      </c>
      <c r="G31" s="229">
        <v>128.68394927830548</v>
      </c>
      <c r="H31" s="229">
        <v>101.11661497554987</v>
      </c>
      <c r="I31" s="229">
        <v>174.88786969463342</v>
      </c>
      <c r="J31" s="29"/>
      <c r="K31" s="35">
        <f>F31*DCF!$E$15</f>
        <v>-513842.49071043817</v>
      </c>
      <c r="L31" s="35">
        <f>G31*DCF!$E$15</f>
        <v>1379620.620212713</v>
      </c>
      <c r="M31" s="35">
        <f>H31*DCF!$E$15</f>
        <v>1084071.2291528701</v>
      </c>
      <c r="N31" s="35">
        <f>I31*DCF!$E$15</f>
        <v>1874972.8509961648</v>
      </c>
      <c r="O31" s="29"/>
      <c r="P31" s="27">
        <f>K31+SUM(DCF!$E$44:$E$46)</f>
        <v>84895.509289561829</v>
      </c>
      <c r="Q31" s="27">
        <f>L31+SUM(DCF!$E$44:$E$46)</f>
        <v>1978358.620212713</v>
      </c>
      <c r="R31" s="27">
        <f>M31+SUM(DCF!$E$44:$E$46)</f>
        <v>1682809.2291528701</v>
      </c>
      <c r="S31" s="35">
        <f>N31+SUM(DCF!$E$44:$E$46)</f>
        <v>2473710.8509961646</v>
      </c>
      <c r="T31" s="29"/>
    </row>
    <row r="32" spans="2:20">
      <c r="C32" s="4">
        <f t="shared" si="0"/>
        <v>7</v>
      </c>
      <c r="D32" s="1" t="s">
        <v>166</v>
      </c>
      <c r="F32" s="113" cm="1">
        <f t="array" ref="F32:I32">TRANSPOSE(Multiples!T49:T52)</f>
        <v>-48.150494559078986</v>
      </c>
      <c r="G32" s="229">
        <v>79.130389259426195</v>
      </c>
      <c r="H32" s="229">
        <v>66.155932715755455</v>
      </c>
      <c r="I32" s="229">
        <v>131.51331884679826</v>
      </c>
      <c r="J32" s="29"/>
      <c r="K32" s="35">
        <f>F32*DCF!$E$15</f>
        <v>-516221.45216788579</v>
      </c>
      <c r="L32" s="35">
        <f>G32*DCF!$E$15</f>
        <v>848356.90325030824</v>
      </c>
      <c r="M32" s="35">
        <f>H32*DCF!$E$15</f>
        <v>709257.75464561419</v>
      </c>
      <c r="N32" s="35">
        <f>I32*DCF!$E$15</f>
        <v>1409954.2913565242</v>
      </c>
      <c r="O32" s="29"/>
      <c r="P32" s="27">
        <f>K32+SUM(DCF!$E$44:$E$46)</f>
        <v>82516.547832114215</v>
      </c>
      <c r="Q32" s="27">
        <f>L32+SUM(DCF!$E$44:$E$46)</f>
        <v>1447094.9032503082</v>
      </c>
      <c r="R32" s="27">
        <f>M32+SUM(DCF!$E$44:$E$46)</f>
        <v>1307995.7546456142</v>
      </c>
      <c r="S32" s="35">
        <f>N32+SUM(DCF!$E$44:$E$46)</f>
        <v>2008692.2913565242</v>
      </c>
      <c r="T32" s="29"/>
    </row>
    <row r="33" spans="3:20">
      <c r="C33" s="4">
        <f t="shared" si="0"/>
        <v>8</v>
      </c>
      <c r="D33" s="1" t="s">
        <v>167</v>
      </c>
      <c r="F33" s="113" cm="1">
        <f t="array" ref="F33:I33">TRANSPOSE(Multiples!U49:U52)</f>
        <v>16.772007237436316</v>
      </c>
      <c r="G33" s="229">
        <v>190.68811562371312</v>
      </c>
      <c r="H33" s="229">
        <v>116.41483814655709</v>
      </c>
      <c r="I33" s="229">
        <v>261.38464657707135</v>
      </c>
      <c r="J33" s="29"/>
      <c r="K33" s="35">
        <f>F33*DCF!$E$15</f>
        <v>179812.68959255476</v>
      </c>
      <c r="L33" s="35">
        <f>G33*DCF!$E$15</f>
        <v>2044367.2876018283</v>
      </c>
      <c r="M33" s="35">
        <f>H33*DCF!$E$15</f>
        <v>1248083.4797692385</v>
      </c>
      <c r="N33" s="35">
        <f>I33*DCF!$E$15</f>
        <v>2802304.795952782</v>
      </c>
      <c r="O33" s="29"/>
      <c r="P33" s="27">
        <f>K33+SUM(DCF!$E$44:$E$46)</f>
        <v>778550.6895925547</v>
      </c>
      <c r="Q33" s="27">
        <f>L33+SUM(DCF!$E$44:$E$46)</f>
        <v>2643105.2876018286</v>
      </c>
      <c r="R33" s="27">
        <f>M33+SUM(DCF!$E$44:$E$46)</f>
        <v>1846821.4797692385</v>
      </c>
      <c r="S33" s="35">
        <f>N33+SUM(DCF!$E$44:$E$46)</f>
        <v>3401042.795952782</v>
      </c>
      <c r="T33" s="29"/>
    </row>
    <row r="34" spans="3:20">
      <c r="C34" s="476" t="s">
        <v>212</v>
      </c>
      <c r="D34" s="477"/>
      <c r="E34" s="477"/>
      <c r="F34" s="478">
        <f>MIN(F26:F33)</f>
        <v>-48.150494559078986</v>
      </c>
      <c r="G34" s="478">
        <f>MIN(G26:G33)</f>
        <v>35.89</v>
      </c>
      <c r="H34" s="478">
        <f>MIN(H26:H33)</f>
        <v>34.730119047619063</v>
      </c>
      <c r="I34" s="478">
        <f>MIN(I26:I33)</f>
        <v>42.22</v>
      </c>
      <c r="J34" s="479"/>
      <c r="K34" s="479">
        <f>MIN(K26:K33)</f>
        <v>-516221.45216788579</v>
      </c>
      <c r="L34" s="479">
        <f>MIN(L26:L33)</f>
        <v>384776.69</v>
      </c>
      <c r="M34" s="479">
        <f>MIN(M26:M33)</f>
        <v>372341.60630952398</v>
      </c>
      <c r="N34" s="479">
        <f>MIN(N26:N33)</f>
        <v>452640.62</v>
      </c>
      <c r="O34" s="479"/>
      <c r="P34" s="479">
        <f>MIN(P26:P33)</f>
        <v>82516.547832114215</v>
      </c>
      <c r="Q34" s="479">
        <f>MIN(Q26:Q33)</f>
        <v>983514.69</v>
      </c>
      <c r="R34" s="479">
        <f>MIN(R26:R33)</f>
        <v>971079.60630952404</v>
      </c>
      <c r="S34" s="479">
        <f>MIN(S26:S33)</f>
        <v>1051378.6200000001</v>
      </c>
      <c r="T34" s="479"/>
    </row>
    <row r="35" spans="3:20">
      <c r="C35" s="480" t="s">
        <v>171</v>
      </c>
      <c r="D35" s="480"/>
      <c r="E35" s="480"/>
      <c r="F35" s="481">
        <f>MEDIAN(F26:F33)</f>
        <v>20.436003618718161</v>
      </c>
      <c r="G35" s="481">
        <f>MEDIAN(G26:G33)</f>
        <v>201.36915208798555</v>
      </c>
      <c r="H35" s="481">
        <f>MEDIAN(H26:H33)</f>
        <v>179.65343811914914</v>
      </c>
      <c r="I35" s="481">
        <f>MEDIAN(I26:I33)</f>
        <v>433.45393389279286</v>
      </c>
      <c r="J35" s="482"/>
      <c r="K35" s="482">
        <f>MEDIAN(K26:K33)</f>
        <v>219094.3947962774</v>
      </c>
      <c r="L35" s="482">
        <f>MEDIAN(L26:L33)</f>
        <v>2158878.679535293</v>
      </c>
      <c r="M35" s="482">
        <f>MEDIAN(M26:M33)</f>
        <v>1926064.5100753978</v>
      </c>
      <c r="N35" s="482">
        <f>MEDIAN(N26:N33)</f>
        <v>4647059.6252646316</v>
      </c>
      <c r="O35" s="482"/>
      <c r="P35" s="482">
        <f>MEDIAN(P26:P33)</f>
        <v>817832.3947962774</v>
      </c>
      <c r="Q35" s="482">
        <f>MEDIAN(Q26:Q33)</f>
        <v>2757616.679535293</v>
      </c>
      <c r="R35" s="482">
        <f>MEDIAN(R26:R33)</f>
        <v>2524802.5100753978</v>
      </c>
      <c r="S35" s="482">
        <f>MEDIAN(S26:S33)</f>
        <v>5245797.6252646316</v>
      </c>
      <c r="T35" s="482"/>
    </row>
    <row r="36" spans="3:20">
      <c r="C36" s="480" t="s">
        <v>172</v>
      </c>
      <c r="D36" s="480"/>
      <c r="E36" s="480"/>
      <c r="F36" s="481">
        <f>AVERAGE(F26:F33)</f>
        <v>45.554438698439228</v>
      </c>
      <c r="G36" s="481">
        <f>AVERAGE(G26:G33)</f>
        <v>214.28976294930121</v>
      </c>
      <c r="H36" s="481">
        <f>AVERAGE(H26:H33)</f>
        <v>193.00979030589826</v>
      </c>
      <c r="I36" s="481">
        <f>AVERAGE(I26:I33)</f>
        <v>415.53835398088961</v>
      </c>
      <c r="J36" s="482"/>
      <c r="K36" s="482">
        <f>AVERAGE(K26:K33)</f>
        <v>488389.13728596701</v>
      </c>
      <c r="L36" s="482">
        <f>AVERAGE(L26:L33)</f>
        <v>2297400.5485794581</v>
      </c>
      <c r="M36" s="482">
        <f>AVERAGE(M26:M33)</f>
        <v>2069257.9618695355</v>
      </c>
      <c r="N36" s="482">
        <f>AVERAGE(N26:N33)</f>
        <v>4454986.6930291168</v>
      </c>
      <c r="O36" s="482"/>
      <c r="P36" s="482">
        <f>AVERAGE(P26:P33)</f>
        <v>1087127.1372859671</v>
      </c>
      <c r="Q36" s="482">
        <f>AVERAGE(Q26:Q33)</f>
        <v>2896138.5485794577</v>
      </c>
      <c r="R36" s="482">
        <f>AVERAGE(R26:R33)</f>
        <v>2667995.9618695355</v>
      </c>
      <c r="S36" s="482">
        <f>AVERAGE(S26:S33)</f>
        <v>5053724.6930291178</v>
      </c>
      <c r="T36" s="482"/>
    </row>
    <row r="37" spans="3:20">
      <c r="C37" s="452" t="s">
        <v>211</v>
      </c>
      <c r="D37" s="480"/>
      <c r="E37" s="480"/>
      <c r="F37" s="481">
        <f>MAX(F26:F33)</f>
        <v>184.16499119502848</v>
      </c>
      <c r="G37" s="481">
        <f>MAX(G26:G33)</f>
        <v>483.26295516240566</v>
      </c>
      <c r="H37" s="481">
        <f>MAX(H26:H33)</f>
        <v>333.3773248114706</v>
      </c>
      <c r="I37" s="481">
        <f>MAX(I26:I33)</f>
        <v>823.8470828720466</v>
      </c>
      <c r="J37" s="482"/>
      <c r="K37" s="482">
        <f>MAX(K26:K33)</f>
        <v>1974432.8706019004</v>
      </c>
      <c r="L37" s="482">
        <f>MAX(L26:L33)</f>
        <v>5181062.1422961513</v>
      </c>
      <c r="M37" s="482">
        <f>MAX(M26:M33)</f>
        <v>3574138.2993037761</v>
      </c>
      <c r="N37" s="482">
        <f>MAX(N26:N33)</f>
        <v>8832464.5754712112</v>
      </c>
      <c r="O37" s="482"/>
      <c r="P37" s="482">
        <f>MAX(P26:P33)</f>
        <v>2573170.8706019004</v>
      </c>
      <c r="Q37" s="482">
        <f>MAX(Q26:Q33)</f>
        <v>5779800.1422961513</v>
      </c>
      <c r="R37" s="482">
        <f>MAX(R26:R33)</f>
        <v>4172876.2993037761</v>
      </c>
      <c r="S37" s="482">
        <f>MAX(S26:S33)</f>
        <v>9431202.5754712112</v>
      </c>
      <c r="T37" s="482"/>
    </row>
    <row r="40" spans="3:20">
      <c r="E40" s="483" t="s">
        <v>561</v>
      </c>
      <c r="F40" s="483"/>
      <c r="G40" s="483"/>
      <c r="H40" s="483"/>
    </row>
    <row r="41" spans="3:20">
      <c r="E41" s="1" t="s">
        <v>558</v>
      </c>
      <c r="F41" s="109">
        <f>F29</f>
        <v>116.74016433301708</v>
      </c>
      <c r="G41" s="109">
        <f>G29-F29</f>
        <v>95.310024219240915</v>
      </c>
      <c r="H41" s="109">
        <f>G41+F41</f>
        <v>212.05018855225799</v>
      </c>
    </row>
    <row r="42" spans="3:20">
      <c r="E42" s="1" t="s">
        <v>559</v>
      </c>
      <c r="F42" s="109">
        <f t="shared" ref="F42" si="1">F28</f>
        <v>163.15538832554887</v>
      </c>
      <c r="G42" s="109">
        <f t="shared" ref="G42" si="2">G28-F28</f>
        <v>128.46269931710879</v>
      </c>
      <c r="H42" s="109">
        <f t="shared" ref="H42:H43" si="3">G42+F42</f>
        <v>291.61808764265766</v>
      </c>
    </row>
    <row r="43" spans="3:20">
      <c r="E43" s="1" t="s">
        <v>66</v>
      </c>
      <c r="F43" s="109">
        <f>F27</f>
        <v>184.16499119502848</v>
      </c>
      <c r="G43" s="109">
        <f>G27-F27</f>
        <v>108.82942688061488</v>
      </c>
      <c r="H43" s="109">
        <f t="shared" si="3"/>
        <v>292.99441807564335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B08C8-E08D-4D76-850E-9965E2673C13}">
  <sheetPr>
    <tabColor rgb="FFAFDEFF"/>
  </sheetPr>
  <dimension ref="B1:XFB169"/>
  <sheetViews>
    <sheetView showGridLines="0" zoomScale="97" workbookViewId="0">
      <selection activeCell="J41" sqref="J41"/>
    </sheetView>
  </sheetViews>
  <sheetFormatPr baseColWidth="10" defaultColWidth="8.83203125" defaultRowHeight="15"/>
  <cols>
    <col min="1" max="2" width="3.1640625" style="1" customWidth="1"/>
    <col min="3" max="3" width="55.6640625" style="1" customWidth="1"/>
    <col min="4" max="4" width="11.33203125" style="1" bestFit="1" customWidth="1"/>
    <col min="5" max="5" width="10.5" style="1" bestFit="1" customWidth="1"/>
    <col min="6" max="6" width="11.83203125" style="1" bestFit="1" customWidth="1"/>
    <col min="7" max="8" width="10.5" style="1" bestFit="1" customWidth="1"/>
    <col min="9" max="9" width="8.83203125" style="1"/>
    <col min="10" max="10" width="11.1640625" style="376" bestFit="1" customWidth="1"/>
    <col min="12" max="12" width="10.6640625" style="449" bestFit="1" customWidth="1"/>
    <col min="13" max="13" width="11.6640625" style="1" bestFit="1" customWidth="1"/>
    <col min="14" max="14" width="11.1640625" style="1" bestFit="1" customWidth="1"/>
    <col min="15" max="15" width="12.1640625" style="1" bestFit="1" customWidth="1"/>
    <col min="16" max="16384" width="8.83203125" style="1"/>
  </cols>
  <sheetData>
    <row r="1" spans="2:12" s="465" customFormat="1" ht="19" customHeight="1">
      <c r="L1" s="466"/>
    </row>
    <row r="2" spans="2:12" s="465" customFormat="1" ht="12">
      <c r="L2" s="466"/>
    </row>
    <row r="3" spans="2:12" s="465" customFormat="1" ht="12">
      <c r="D3" s="471" t="s">
        <v>29</v>
      </c>
      <c r="L3" s="466"/>
    </row>
    <row r="4" spans="2:12" s="465" customFormat="1" ht="12">
      <c r="D4" s="471" t="s">
        <v>23</v>
      </c>
      <c r="L4" s="466"/>
    </row>
    <row r="5" spans="2:12" s="465" customFormat="1" ht="7.75" customHeight="1">
      <c r="L5" s="466"/>
    </row>
    <row r="6" spans="2:12">
      <c r="B6" s="4"/>
    </row>
    <row r="7" spans="2:12">
      <c r="B7" s="4"/>
    </row>
    <row r="8" spans="2:12">
      <c r="C8" s="292" t="s">
        <v>406</v>
      </c>
      <c r="D8" s="295"/>
      <c r="E8" s="295"/>
      <c r="F8" s="295"/>
      <c r="G8" s="296"/>
      <c r="H8" s="296"/>
    </row>
    <row r="9" spans="2:12" ht="5.5" customHeight="1">
      <c r="C9" s="143"/>
      <c r="D9" s="143"/>
      <c r="E9" s="143"/>
      <c r="F9" s="143"/>
      <c r="G9" s="143"/>
      <c r="H9" s="143"/>
      <c r="I9" s="143"/>
      <c r="J9" s="381"/>
    </row>
    <row r="10" spans="2:12">
      <c r="C10" s="467" t="s">
        <v>431</v>
      </c>
      <c r="D10" s="468">
        <v>2024</v>
      </c>
      <c r="E10" s="468">
        <f>D10-1</f>
        <v>2023</v>
      </c>
      <c r="F10" s="468">
        <f>E10-1</f>
        <v>2022</v>
      </c>
      <c r="G10" s="468">
        <f>F10-1</f>
        <v>2021</v>
      </c>
      <c r="H10" s="468">
        <f>G10-1</f>
        <v>2020</v>
      </c>
      <c r="J10" s="376" t="s">
        <v>78</v>
      </c>
    </row>
    <row r="11" spans="2:12">
      <c r="C11" s="6" t="s">
        <v>42</v>
      </c>
      <c r="E11" s="6"/>
      <c r="F11" s="6"/>
      <c r="G11" s="6"/>
      <c r="H11" s="6"/>
    </row>
    <row r="12" spans="2:12">
      <c r="B12" s="4"/>
      <c r="C12" s="1" t="s">
        <v>358</v>
      </c>
      <c r="D12" s="29">
        <v>78779</v>
      </c>
      <c r="E12" s="29">
        <v>73387</v>
      </c>
      <c r="F12" s="29">
        <v>53888</v>
      </c>
      <c r="G12" s="29">
        <v>36220</v>
      </c>
      <c r="H12" s="29">
        <v>42122</v>
      </c>
    </row>
    <row r="13" spans="2:12">
      <c r="B13" s="4"/>
      <c r="C13" s="1" t="s">
        <v>578</v>
      </c>
      <c r="D13" s="29">
        <v>22423</v>
      </c>
      <c r="E13" s="29">
        <v>13393</v>
      </c>
      <c r="F13" s="29">
        <v>16138</v>
      </c>
      <c r="G13" s="29">
        <v>59829</v>
      </c>
      <c r="H13" s="29">
        <v>42274</v>
      </c>
      <c r="J13" s="387"/>
    </row>
    <row r="14" spans="2:12">
      <c r="B14" s="4"/>
      <c r="C14" s="1" t="s">
        <v>31</v>
      </c>
      <c r="D14" s="29">
        <v>34214</v>
      </c>
      <c r="E14" s="29">
        <v>33318</v>
      </c>
      <c r="F14" s="29">
        <v>34405</v>
      </c>
      <c r="G14" s="29">
        <v>32640</v>
      </c>
      <c r="H14" s="29">
        <v>23795</v>
      </c>
      <c r="J14" s="377" t="s">
        <v>726</v>
      </c>
    </row>
    <row r="15" spans="2:12">
      <c r="C15" s="1" t="s">
        <v>579</v>
      </c>
      <c r="D15" s="29">
        <v>55451</v>
      </c>
      <c r="E15" s="29">
        <v>52253</v>
      </c>
      <c r="F15" s="29">
        <v>42360</v>
      </c>
      <c r="G15" s="29">
        <v>32891</v>
      </c>
      <c r="H15" s="29">
        <v>24542</v>
      </c>
      <c r="J15" s="378"/>
    </row>
    <row r="16" spans="2:12">
      <c r="C16" s="31" t="s">
        <v>32</v>
      </c>
      <c r="D16" s="36">
        <f>SUM(D12:D15)</f>
        <v>190867</v>
      </c>
      <c r="E16" s="36">
        <f t="shared" ref="E16:H16" si="0">SUM(E12:E15)</f>
        <v>172351</v>
      </c>
      <c r="F16" s="36">
        <f t="shared" si="0"/>
        <v>146791</v>
      </c>
      <c r="G16" s="36">
        <f t="shared" si="0"/>
        <v>161580</v>
      </c>
      <c r="H16" s="36">
        <f t="shared" si="0"/>
        <v>132733</v>
      </c>
    </row>
    <row r="17" spans="3:13">
      <c r="C17" s="1" t="s">
        <v>580</v>
      </c>
      <c r="D17" s="29">
        <v>252665</v>
      </c>
      <c r="E17" s="29">
        <v>204177</v>
      </c>
      <c r="F17" s="29">
        <v>186715</v>
      </c>
      <c r="G17" s="29">
        <v>160281</v>
      </c>
      <c r="H17" s="29">
        <v>113114</v>
      </c>
    </row>
    <row r="18" spans="3:13">
      <c r="C18" s="1" t="s">
        <v>581</v>
      </c>
      <c r="D18" s="29">
        <v>76141</v>
      </c>
      <c r="E18" s="29">
        <v>72513</v>
      </c>
      <c r="F18" s="29">
        <v>66123</v>
      </c>
      <c r="G18" s="29">
        <v>56082</v>
      </c>
      <c r="H18" s="29">
        <v>37553</v>
      </c>
      <c r="J18" s="439"/>
    </row>
    <row r="19" spans="3:13">
      <c r="C19" s="1" t="s">
        <v>33</v>
      </c>
      <c r="D19" s="29">
        <v>23074</v>
      </c>
      <c r="E19" s="29">
        <v>22789</v>
      </c>
      <c r="F19" s="29">
        <v>20288</v>
      </c>
      <c r="G19" s="29">
        <v>15371</v>
      </c>
      <c r="H19" s="29">
        <v>15017</v>
      </c>
      <c r="J19" s="438"/>
    </row>
    <row r="20" spans="3:13">
      <c r="C20" s="1" t="s">
        <v>34</v>
      </c>
      <c r="D20" s="29">
        <v>82147</v>
      </c>
      <c r="E20" s="29">
        <v>56024</v>
      </c>
      <c r="F20" s="29">
        <v>42758</v>
      </c>
      <c r="G20" s="29">
        <v>27235</v>
      </c>
      <c r="H20" s="29">
        <v>22778</v>
      </c>
      <c r="J20" s="438"/>
      <c r="M20" s="437"/>
    </row>
    <row r="21" spans="3:13">
      <c r="C21" s="31" t="s">
        <v>35</v>
      </c>
      <c r="D21" s="36">
        <f>SUM(D16,D17:D20)</f>
        <v>624894</v>
      </c>
      <c r="E21" s="36">
        <f t="shared" ref="E21:G21" si="1">SUM(E16,E17:E20)</f>
        <v>527854</v>
      </c>
      <c r="F21" s="36">
        <f t="shared" si="1"/>
        <v>462675</v>
      </c>
      <c r="G21" s="36">
        <f t="shared" si="1"/>
        <v>420549</v>
      </c>
      <c r="H21" s="36">
        <f>SUM(H16,H17:H20)</f>
        <v>321195</v>
      </c>
      <c r="J21" s="438"/>
    </row>
    <row r="22" spans="3:13">
      <c r="C22" s="6"/>
      <c r="D22" s="30"/>
      <c r="E22" s="30"/>
      <c r="F22" s="30"/>
      <c r="G22" s="30"/>
      <c r="H22" s="30"/>
      <c r="J22" s="438"/>
    </row>
    <row r="23" spans="3:13">
      <c r="C23" s="6" t="s">
        <v>43</v>
      </c>
      <c r="D23" s="29"/>
      <c r="E23" s="29"/>
      <c r="F23" s="29"/>
      <c r="G23" s="29"/>
      <c r="H23" s="29"/>
      <c r="J23" s="438"/>
    </row>
    <row r="24" spans="3:13">
      <c r="C24" s="1" t="s">
        <v>36</v>
      </c>
      <c r="D24" s="29">
        <v>94363</v>
      </c>
      <c r="E24" s="29">
        <v>84981</v>
      </c>
      <c r="F24" s="29">
        <v>79600</v>
      </c>
      <c r="G24" s="29">
        <v>78664</v>
      </c>
      <c r="H24" s="29">
        <v>72539</v>
      </c>
      <c r="J24" s="438"/>
    </row>
    <row r="25" spans="3:13">
      <c r="C25" s="1" t="s">
        <v>582</v>
      </c>
      <c r="D25" s="29">
        <v>66965</v>
      </c>
      <c r="E25" s="29">
        <v>64709</v>
      </c>
      <c r="F25" s="29">
        <v>62566</v>
      </c>
      <c r="G25" s="29">
        <v>51775</v>
      </c>
      <c r="H25" s="29">
        <v>44138</v>
      </c>
      <c r="J25" s="438"/>
    </row>
    <row r="26" spans="3:13">
      <c r="C26" s="1" t="s">
        <v>583</v>
      </c>
      <c r="D26" s="29">
        <v>18103</v>
      </c>
      <c r="E26" s="29">
        <v>15227</v>
      </c>
      <c r="F26" s="29">
        <v>13227</v>
      </c>
      <c r="G26" s="29">
        <v>11827</v>
      </c>
      <c r="H26" s="29">
        <v>9708</v>
      </c>
      <c r="J26" s="439"/>
    </row>
    <row r="27" spans="3:13">
      <c r="C27" s="31" t="s">
        <v>37</v>
      </c>
      <c r="D27" s="36">
        <f>SUM(D24:D26)</f>
        <v>179431</v>
      </c>
      <c r="E27" s="36">
        <f t="shared" ref="E27:H27" si="2">SUM(E24:E26)</f>
        <v>164917</v>
      </c>
      <c r="F27" s="36">
        <f t="shared" si="2"/>
        <v>155393</v>
      </c>
      <c r="G27" s="36">
        <f t="shared" si="2"/>
        <v>142266</v>
      </c>
      <c r="H27" s="36">
        <f t="shared" si="2"/>
        <v>126385</v>
      </c>
      <c r="J27" s="439"/>
    </row>
    <row r="28" spans="3:13">
      <c r="C28" s="1" t="s">
        <v>584</v>
      </c>
      <c r="D28" s="29">
        <v>78277</v>
      </c>
      <c r="E28" s="29">
        <v>77297</v>
      </c>
      <c r="F28" s="29">
        <v>72968</v>
      </c>
      <c r="G28" s="29">
        <v>67651</v>
      </c>
      <c r="H28" s="29">
        <v>52573</v>
      </c>
      <c r="J28" s="439"/>
    </row>
    <row r="29" spans="3:13">
      <c r="C29" s="1" t="s">
        <v>64</v>
      </c>
      <c r="D29" s="29">
        <v>52623</v>
      </c>
      <c r="E29" s="29">
        <v>58314</v>
      </c>
      <c r="F29" s="29">
        <v>67150</v>
      </c>
      <c r="G29" s="29">
        <v>48744</v>
      </c>
      <c r="H29" s="29">
        <v>31816</v>
      </c>
      <c r="J29" s="439"/>
    </row>
    <row r="30" spans="3:13">
      <c r="C30" s="1" t="s">
        <v>585</v>
      </c>
      <c r="D30" s="29">
        <v>28593</v>
      </c>
      <c r="E30" s="29">
        <v>25451</v>
      </c>
      <c r="F30" s="29">
        <v>21121</v>
      </c>
      <c r="G30" s="29">
        <v>23643</v>
      </c>
      <c r="H30" s="29">
        <v>17017</v>
      </c>
      <c r="J30" s="438"/>
    </row>
    <row r="31" spans="3:13">
      <c r="C31" s="1" t="s">
        <v>586</v>
      </c>
      <c r="D31" s="29">
        <v>0</v>
      </c>
      <c r="E31" s="29">
        <v>0</v>
      </c>
      <c r="F31" s="29">
        <v>0</v>
      </c>
      <c r="G31" s="29">
        <v>0</v>
      </c>
      <c r="H31" s="29">
        <v>0</v>
      </c>
      <c r="J31" s="439"/>
    </row>
    <row r="32" spans="3:13">
      <c r="C32" s="31" t="s">
        <v>38</v>
      </c>
      <c r="D32" s="36">
        <f>SUM(D27,D28:D31)</f>
        <v>338924</v>
      </c>
      <c r="E32" s="36">
        <f t="shared" ref="E32:H32" si="3">SUM(E27,E28:E31)</f>
        <v>325979</v>
      </c>
      <c r="F32" s="36">
        <f t="shared" si="3"/>
        <v>316632</v>
      </c>
      <c r="G32" s="36">
        <f t="shared" si="3"/>
        <v>282304</v>
      </c>
      <c r="H32" s="36">
        <f t="shared" si="3"/>
        <v>227791</v>
      </c>
      <c r="J32" s="439"/>
    </row>
    <row r="33" spans="3:13">
      <c r="C33" s="6"/>
      <c r="D33" s="30"/>
      <c r="E33" s="30"/>
      <c r="F33" s="30"/>
      <c r="G33" s="30"/>
      <c r="H33" s="30"/>
      <c r="J33" s="439"/>
    </row>
    <row r="34" spans="3:13">
      <c r="C34" s="6" t="s">
        <v>44</v>
      </c>
      <c r="D34" s="29"/>
      <c r="E34" s="29"/>
      <c r="F34" s="29"/>
      <c r="G34" s="29"/>
      <c r="H34" s="29"/>
      <c r="J34" s="438"/>
      <c r="M34" s="437"/>
    </row>
    <row r="35" spans="3:13">
      <c r="C35" s="1" t="s">
        <v>590</v>
      </c>
      <c r="D35" s="29">
        <v>0</v>
      </c>
      <c r="E35" s="29">
        <v>0</v>
      </c>
      <c r="F35" s="29">
        <v>0</v>
      </c>
      <c r="G35" s="29">
        <v>0</v>
      </c>
      <c r="H35" s="29">
        <v>0</v>
      </c>
      <c r="J35" s="438"/>
      <c r="M35" s="437"/>
    </row>
    <row r="36" spans="3:13">
      <c r="C36" s="1" t="s">
        <v>589</v>
      </c>
      <c r="D36" s="29">
        <v>111</v>
      </c>
      <c r="E36" s="29">
        <v>109</v>
      </c>
      <c r="F36" s="29">
        <v>108</v>
      </c>
      <c r="G36" s="29">
        <v>106</v>
      </c>
      <c r="H36" s="29">
        <v>5</v>
      </c>
      <c r="J36" s="438"/>
      <c r="M36" s="437"/>
    </row>
    <row r="37" spans="3:13">
      <c r="C37" s="1" t="s">
        <v>39</v>
      </c>
      <c r="D37" s="29">
        <v>-7837</v>
      </c>
      <c r="E37" s="29">
        <v>-7837</v>
      </c>
      <c r="F37" s="29">
        <v>-7837</v>
      </c>
      <c r="G37" s="29">
        <v>-1837</v>
      </c>
      <c r="H37" s="29">
        <v>-1837</v>
      </c>
      <c r="J37" s="438"/>
      <c r="M37" s="437"/>
    </row>
    <row r="38" spans="3:13">
      <c r="C38" s="1" t="s">
        <v>587</v>
      </c>
      <c r="D38" s="29">
        <v>120864</v>
      </c>
      <c r="E38" s="29">
        <v>99025</v>
      </c>
      <c r="F38" s="29">
        <v>75066</v>
      </c>
      <c r="G38" s="29">
        <v>55437</v>
      </c>
      <c r="H38" s="29">
        <v>42865</v>
      </c>
      <c r="J38" s="438"/>
      <c r="M38" s="437"/>
    </row>
    <row r="39" spans="3:13">
      <c r="C39" s="440" t="s">
        <v>40</v>
      </c>
      <c r="D39" s="29">
        <v>-34</v>
      </c>
      <c r="E39" s="29">
        <v>-3040</v>
      </c>
      <c r="F39" s="29">
        <v>-4487</v>
      </c>
      <c r="G39" s="29">
        <v>-1376</v>
      </c>
      <c r="H39" s="29">
        <v>-180</v>
      </c>
      <c r="J39" s="438"/>
      <c r="M39" s="437"/>
    </row>
    <row r="40" spans="3:13">
      <c r="C40" s="440" t="s">
        <v>369</v>
      </c>
      <c r="D40" s="29">
        <v>172866</v>
      </c>
      <c r="E40" s="29">
        <v>113618</v>
      </c>
      <c r="F40" s="29">
        <v>83193</v>
      </c>
      <c r="G40" s="29">
        <v>85915</v>
      </c>
      <c r="H40" s="29">
        <v>52551</v>
      </c>
      <c r="J40" s="438"/>
      <c r="M40" s="437"/>
    </row>
    <row r="41" spans="3:13">
      <c r="C41" s="31" t="s">
        <v>41</v>
      </c>
      <c r="D41" s="36">
        <f>SUM(D35:D40)</f>
        <v>285970</v>
      </c>
      <c r="E41" s="36">
        <f t="shared" ref="E41:H41" si="4">SUM(E35:E40)</f>
        <v>201875</v>
      </c>
      <c r="F41" s="36">
        <f t="shared" si="4"/>
        <v>146043</v>
      </c>
      <c r="G41" s="36">
        <f t="shared" si="4"/>
        <v>138245</v>
      </c>
      <c r="H41" s="36">
        <f t="shared" si="4"/>
        <v>93404</v>
      </c>
      <c r="M41" s="437"/>
    </row>
    <row r="42" spans="3:13">
      <c r="C42" s="31" t="s">
        <v>588</v>
      </c>
      <c r="D42" s="36">
        <f>D41+D32</f>
        <v>624894</v>
      </c>
      <c r="E42" s="36">
        <f t="shared" ref="E42:H42" si="5">E41+E32</f>
        <v>527854</v>
      </c>
      <c r="F42" s="36">
        <f t="shared" si="5"/>
        <v>462675</v>
      </c>
      <c r="G42" s="36">
        <f t="shared" si="5"/>
        <v>420549</v>
      </c>
      <c r="H42" s="36">
        <f t="shared" si="5"/>
        <v>321195</v>
      </c>
      <c r="M42" s="437"/>
    </row>
    <row r="43" spans="3:13">
      <c r="M43" s="437"/>
    </row>
    <row r="44" spans="3:13">
      <c r="C44" s="467" t="s">
        <v>432</v>
      </c>
      <c r="D44" s="468">
        <f>D10</f>
        <v>2024</v>
      </c>
      <c r="E44" s="468">
        <f>E10</f>
        <v>2023</v>
      </c>
      <c r="F44" s="468">
        <f>F10</f>
        <v>2022</v>
      </c>
      <c r="G44" s="468">
        <f>G10</f>
        <v>2021</v>
      </c>
      <c r="H44" s="468">
        <f>H10</f>
        <v>2020</v>
      </c>
      <c r="L44" s="450"/>
      <c r="M44" s="437"/>
    </row>
    <row r="45" spans="3:13">
      <c r="C45" s="1" t="s">
        <v>591</v>
      </c>
      <c r="D45" s="29">
        <v>272311</v>
      </c>
      <c r="E45" s="29">
        <v>255887</v>
      </c>
      <c r="F45" s="29">
        <v>242901</v>
      </c>
      <c r="G45" s="29">
        <v>241787</v>
      </c>
      <c r="H45" s="29">
        <v>215915</v>
      </c>
      <c r="L45" s="438"/>
      <c r="M45" s="438"/>
    </row>
    <row r="46" spans="3:13">
      <c r="C46" s="1" t="s">
        <v>592</v>
      </c>
      <c r="D46" s="29">
        <v>365648</v>
      </c>
      <c r="E46" s="29">
        <v>318898</v>
      </c>
      <c r="F46" s="29">
        <v>271082</v>
      </c>
      <c r="G46" s="29">
        <v>228035</v>
      </c>
      <c r="H46" s="29">
        <v>170149</v>
      </c>
      <c r="L46" s="438"/>
      <c r="M46" s="438"/>
    </row>
    <row r="47" spans="3:13">
      <c r="C47" s="31" t="s">
        <v>352</v>
      </c>
      <c r="D47" s="36">
        <f>SUM(D45:D46)</f>
        <v>637959</v>
      </c>
      <c r="E47" s="36">
        <f>SUM(E45:E46)</f>
        <v>574785</v>
      </c>
      <c r="F47" s="36">
        <f>SUM(F45:F46)</f>
        <v>513983</v>
      </c>
      <c r="G47" s="36">
        <f>SUM(G45:G46)</f>
        <v>469822</v>
      </c>
      <c r="H47" s="36">
        <f>SUM(H45:H46)</f>
        <v>386064</v>
      </c>
      <c r="J47" s="387"/>
      <c r="L47" s="438"/>
      <c r="M47" s="438"/>
    </row>
    <row r="48" spans="3:13">
      <c r="C48" s="1" t="s">
        <v>593</v>
      </c>
      <c r="D48" s="29">
        <v>326288</v>
      </c>
      <c r="E48" s="29">
        <v>304739</v>
      </c>
      <c r="F48" s="29">
        <v>288831</v>
      </c>
      <c r="G48" s="29">
        <v>272344</v>
      </c>
      <c r="H48" s="29">
        <v>233307</v>
      </c>
      <c r="L48" s="439"/>
      <c r="M48" s="439"/>
    </row>
    <row r="49" spans="3:15">
      <c r="C49" s="1" t="s">
        <v>594</v>
      </c>
      <c r="D49" s="29">
        <v>98505</v>
      </c>
      <c r="E49" s="29">
        <v>90619</v>
      </c>
      <c r="F49" s="29">
        <v>84299</v>
      </c>
      <c r="G49" s="29">
        <v>75111</v>
      </c>
      <c r="H49" s="29">
        <v>58517</v>
      </c>
      <c r="L49" s="438"/>
      <c r="M49" s="438"/>
    </row>
    <row r="50" spans="3:15">
      <c r="C50" s="1" t="s">
        <v>595</v>
      </c>
      <c r="D50" s="29">
        <v>88544</v>
      </c>
      <c r="E50" s="29">
        <v>85622</v>
      </c>
      <c r="F50" s="29">
        <v>73213</v>
      </c>
      <c r="G50" s="29">
        <v>56052</v>
      </c>
      <c r="H50" s="29">
        <v>42740</v>
      </c>
      <c r="L50" s="438"/>
      <c r="M50" s="438"/>
    </row>
    <row r="51" spans="3:15">
      <c r="C51" s="1" t="s">
        <v>596</v>
      </c>
      <c r="D51" s="29">
        <v>43907</v>
      </c>
      <c r="E51" s="29">
        <v>44370</v>
      </c>
      <c r="F51" s="29">
        <v>42238</v>
      </c>
      <c r="G51" s="29">
        <v>32551</v>
      </c>
      <c r="H51" s="29">
        <v>22008</v>
      </c>
      <c r="L51" s="438"/>
      <c r="M51" s="438"/>
    </row>
    <row r="52" spans="3:15">
      <c r="C52" s="1" t="s">
        <v>597</v>
      </c>
      <c r="D52" s="29">
        <v>11359</v>
      </c>
      <c r="E52" s="29">
        <v>11816</v>
      </c>
      <c r="F52" s="29">
        <v>11891</v>
      </c>
      <c r="G52" s="29">
        <v>8823</v>
      </c>
      <c r="H52" s="29">
        <v>6668</v>
      </c>
      <c r="L52" s="438"/>
      <c r="M52" s="438"/>
    </row>
    <row r="53" spans="3:15">
      <c r="C53" s="1" t="s">
        <v>598</v>
      </c>
      <c r="D53" s="29">
        <v>763</v>
      </c>
      <c r="E53" s="29">
        <v>767</v>
      </c>
      <c r="F53" s="29">
        <v>1263</v>
      </c>
      <c r="G53" s="29">
        <v>62</v>
      </c>
      <c r="H53" s="29">
        <v>-75</v>
      </c>
      <c r="L53" s="626"/>
      <c r="M53" s="626"/>
      <c r="N53" s="626"/>
      <c r="O53" s="626"/>
    </row>
    <row r="54" spans="3:15">
      <c r="C54" s="31" t="s">
        <v>45</v>
      </c>
      <c r="D54" s="36">
        <f>SUM(D48:D53)</f>
        <v>569366</v>
      </c>
      <c r="E54" s="36">
        <f t="shared" ref="E54:H54" si="6">SUM(E48:E53)</f>
        <v>537933</v>
      </c>
      <c r="F54" s="36">
        <f t="shared" si="6"/>
        <v>501735</v>
      </c>
      <c r="G54" s="36">
        <f t="shared" si="6"/>
        <v>444943</v>
      </c>
      <c r="H54" s="36">
        <f t="shared" si="6"/>
        <v>363165</v>
      </c>
      <c r="L54" s="625"/>
      <c r="M54" s="438"/>
    </row>
    <row r="55" spans="3:15">
      <c r="C55" s="31" t="s">
        <v>46</v>
      </c>
      <c r="D55" s="36"/>
      <c r="E55" s="36"/>
      <c r="F55" s="36"/>
      <c r="G55" s="36"/>
      <c r="H55" s="36"/>
      <c r="L55" s="438"/>
      <c r="M55" s="438"/>
    </row>
    <row r="56" spans="3:15">
      <c r="C56" s="1" t="s">
        <v>599</v>
      </c>
      <c r="D56" s="29">
        <v>68593</v>
      </c>
      <c r="E56" s="29">
        <v>36852</v>
      </c>
      <c r="F56" s="29">
        <v>12248</v>
      </c>
      <c r="G56" s="29">
        <v>24879</v>
      </c>
      <c r="H56" s="29">
        <v>22899</v>
      </c>
      <c r="L56" s="438"/>
      <c r="M56" s="438"/>
    </row>
    <row r="57" spans="3:15">
      <c r="C57" s="1" t="s">
        <v>600</v>
      </c>
      <c r="D57" s="29">
        <v>4677</v>
      </c>
      <c r="E57" s="29">
        <v>2949</v>
      </c>
      <c r="F57" s="29">
        <v>989</v>
      </c>
      <c r="G57" s="29">
        <v>448</v>
      </c>
      <c r="H57" s="29">
        <v>555</v>
      </c>
      <c r="L57" s="438"/>
      <c r="M57" s="438"/>
    </row>
    <row r="58" spans="3:15">
      <c r="C58" s="1" t="s">
        <v>345</v>
      </c>
      <c r="D58" s="29">
        <v>-2406</v>
      </c>
      <c r="E58" s="29">
        <v>-3182</v>
      </c>
      <c r="F58" s="29">
        <v>-2367</v>
      </c>
      <c r="G58" s="29">
        <v>-1809</v>
      </c>
      <c r="H58" s="29">
        <v>-1647</v>
      </c>
      <c r="L58" s="438"/>
      <c r="M58" s="438"/>
      <c r="N58" s="415"/>
    </row>
    <row r="59" spans="3:15">
      <c r="C59" s="1" t="s">
        <v>601</v>
      </c>
      <c r="D59" s="29">
        <v>-2250</v>
      </c>
      <c r="E59" s="29">
        <v>938</v>
      </c>
      <c r="F59" s="29">
        <v>-16806</v>
      </c>
      <c r="G59" s="29">
        <v>14633</v>
      </c>
      <c r="H59" s="29">
        <v>2371</v>
      </c>
      <c r="L59" s="438"/>
      <c r="M59" s="438"/>
      <c r="N59" s="415"/>
    </row>
    <row r="60" spans="3:15">
      <c r="C60" s="1" t="s">
        <v>602</v>
      </c>
      <c r="D60" s="29">
        <v>21</v>
      </c>
      <c r="E60" s="29">
        <v>705</v>
      </c>
      <c r="F60" s="29">
        <v>-18184</v>
      </c>
      <c r="G60" s="29">
        <v>13272</v>
      </c>
      <c r="H60" s="29">
        <v>1279</v>
      </c>
      <c r="I60" s="27"/>
      <c r="L60" s="438"/>
      <c r="M60" s="438"/>
    </row>
    <row r="61" spans="3:15">
      <c r="C61" s="1" t="s">
        <v>603</v>
      </c>
      <c r="D61" s="29">
        <v>68614</v>
      </c>
      <c r="E61" s="29">
        <v>37557</v>
      </c>
      <c r="F61" s="29">
        <v>-5936</v>
      </c>
      <c r="G61" s="29">
        <v>38151</v>
      </c>
      <c r="H61" s="29">
        <v>24178</v>
      </c>
      <c r="L61" s="438"/>
      <c r="M61" s="438"/>
    </row>
    <row r="62" spans="3:15">
      <c r="C62" s="1" t="s">
        <v>604</v>
      </c>
      <c r="D62" s="29">
        <v>-9265</v>
      </c>
      <c r="E62" s="29">
        <v>-7120</v>
      </c>
      <c r="F62" s="29">
        <v>3217</v>
      </c>
      <c r="G62" s="29">
        <v>-4791</v>
      </c>
      <c r="H62" s="29">
        <v>-2863</v>
      </c>
      <c r="L62" s="438"/>
      <c r="M62" s="438"/>
    </row>
    <row r="63" spans="3:15" ht="12">
      <c r="C63" s="1" t="s">
        <v>605</v>
      </c>
      <c r="D63" s="29">
        <v>-101</v>
      </c>
      <c r="E63" s="29">
        <v>-12</v>
      </c>
      <c r="F63" s="29">
        <v>-3</v>
      </c>
      <c r="G63" s="29">
        <v>4</v>
      </c>
      <c r="H63" s="29">
        <v>16</v>
      </c>
      <c r="J63" s="635"/>
      <c r="K63" s="635"/>
      <c r="L63" s="635"/>
      <c r="M63" s="635"/>
    </row>
    <row r="64" spans="3:15" ht="12">
      <c r="C64" s="31" t="s">
        <v>606</v>
      </c>
      <c r="D64" s="442">
        <f>SUM(D61:D63)</f>
        <v>59248</v>
      </c>
      <c r="E64" s="442">
        <f t="shared" ref="E64:H64" si="7">SUM(E61:E63)</f>
        <v>30425</v>
      </c>
      <c r="F64" s="442">
        <f>SUM(F61:F63)</f>
        <v>-2722</v>
      </c>
      <c r="G64" s="442">
        <f>SUM(G61:G63)</f>
        <v>33364</v>
      </c>
      <c r="H64" s="442">
        <f t="shared" si="7"/>
        <v>21331</v>
      </c>
      <c r="K64" s="635"/>
      <c r="L64" s="635"/>
      <c r="M64" s="635"/>
    </row>
    <row r="65" spans="3:15">
      <c r="C65" s="31" t="s">
        <v>607</v>
      </c>
      <c r="D65" s="442">
        <v>5.66</v>
      </c>
      <c r="E65" s="442">
        <v>2.95</v>
      </c>
      <c r="F65" s="442">
        <v>-0.27</v>
      </c>
      <c r="G65" s="442">
        <v>65.959999999999994</v>
      </c>
      <c r="H65" s="442">
        <v>42.64</v>
      </c>
      <c r="L65" s="450"/>
      <c r="M65" s="441"/>
    </row>
    <row r="66" spans="3:15">
      <c r="C66" s="31" t="s">
        <v>608</v>
      </c>
      <c r="D66" s="442">
        <v>5.53</v>
      </c>
      <c r="E66" s="442">
        <v>2.9</v>
      </c>
      <c r="F66" s="442">
        <v>-0.27</v>
      </c>
      <c r="G66" s="442">
        <v>64.81</v>
      </c>
      <c r="H66" s="442">
        <v>41.83</v>
      </c>
      <c r="L66" s="450"/>
      <c r="M66" s="441"/>
    </row>
    <row r="67" spans="3:15">
      <c r="C67" s="25" t="s">
        <v>47</v>
      </c>
      <c r="D67" s="29">
        <v>10473</v>
      </c>
      <c r="E67" s="29">
        <v>10304</v>
      </c>
      <c r="F67" s="29">
        <v>10189</v>
      </c>
      <c r="G67" s="29">
        <v>506</v>
      </c>
      <c r="H67" s="29">
        <v>500</v>
      </c>
      <c r="L67" s="439"/>
      <c r="M67" s="439"/>
    </row>
    <row r="68" spans="3:15">
      <c r="C68" s="25" t="s">
        <v>48</v>
      </c>
      <c r="D68" s="29">
        <v>10721</v>
      </c>
      <c r="E68" s="29">
        <v>10492</v>
      </c>
      <c r="F68" s="29">
        <v>10189</v>
      </c>
      <c r="G68" s="29">
        <v>515</v>
      </c>
      <c r="H68" s="29">
        <v>510</v>
      </c>
      <c r="L68" s="439"/>
      <c r="M68" s="439"/>
    </row>
    <row r="69" spans="3:15">
      <c r="J69" s="437"/>
      <c r="L69" s="450"/>
      <c r="M69" s="437"/>
    </row>
    <row r="70" spans="3:15">
      <c r="C70" s="467" t="s">
        <v>378</v>
      </c>
      <c r="D70" s="467">
        <f>D44</f>
        <v>2024</v>
      </c>
      <c r="E70" s="467">
        <f>E44</f>
        <v>2023</v>
      </c>
      <c r="F70" s="467">
        <f>F44</f>
        <v>2022</v>
      </c>
      <c r="G70" s="467">
        <f>G44</f>
        <v>2021</v>
      </c>
      <c r="H70" s="467">
        <f>H44</f>
        <v>2020</v>
      </c>
      <c r="J70" s="437"/>
      <c r="L70" s="451"/>
      <c r="M70" s="443"/>
    </row>
    <row r="71" spans="3:15" ht="13">
      <c r="C71" s="1" t="s">
        <v>615</v>
      </c>
      <c r="D71" s="29">
        <v>73890</v>
      </c>
      <c r="E71" s="29">
        <v>54253</v>
      </c>
      <c r="F71" s="29">
        <v>36477</v>
      </c>
      <c r="G71" s="29">
        <v>42377</v>
      </c>
      <c r="H71" s="29">
        <v>36410</v>
      </c>
      <c r="J71" s="437"/>
      <c r="K71" s="1"/>
      <c r="L71" s="437"/>
      <c r="M71" s="437"/>
    </row>
    <row r="72" spans="3:15">
      <c r="C72" s="6" t="s">
        <v>609</v>
      </c>
      <c r="D72" s="29"/>
      <c r="E72" s="29"/>
      <c r="F72" s="29"/>
      <c r="G72" s="29"/>
      <c r="H72" s="29"/>
      <c r="J72" s="437"/>
      <c r="K72" s="1"/>
      <c r="L72" s="443"/>
      <c r="M72" s="443"/>
    </row>
    <row r="73" spans="3:15">
      <c r="C73" s="1" t="s">
        <v>606</v>
      </c>
      <c r="D73" s="29">
        <v>59248</v>
      </c>
      <c r="E73" s="29">
        <v>30425</v>
      </c>
      <c r="F73" s="29">
        <v>-2722</v>
      </c>
      <c r="G73" s="29">
        <v>33364</v>
      </c>
      <c r="H73" s="29">
        <v>21331</v>
      </c>
      <c r="J73" s="437"/>
      <c r="K73" s="1"/>
      <c r="L73" s="444"/>
      <c r="M73" s="444"/>
      <c r="N73" s="447"/>
      <c r="O73" s="108"/>
    </row>
    <row r="74" spans="3:15" s="437" customFormat="1">
      <c r="C74" s="6" t="s">
        <v>616</v>
      </c>
      <c r="K74" s="1"/>
      <c r="L74" s="443"/>
      <c r="M74" s="443"/>
      <c r="N74" s="446"/>
      <c r="O74" s="446"/>
    </row>
    <row r="75" spans="3:15">
      <c r="C75" s="1" t="s">
        <v>617</v>
      </c>
      <c r="D75" s="29">
        <v>52795</v>
      </c>
      <c r="E75" s="29">
        <v>48663</v>
      </c>
      <c r="F75" s="29">
        <v>41921</v>
      </c>
      <c r="G75" s="29">
        <v>34433</v>
      </c>
      <c r="H75" s="29">
        <v>25180</v>
      </c>
      <c r="J75" s="437"/>
      <c r="K75" s="1"/>
      <c r="L75" s="445"/>
      <c r="M75" s="445"/>
      <c r="N75" s="447"/>
      <c r="O75" s="108"/>
    </row>
    <row r="76" spans="3:15">
      <c r="C76" s="1" t="s">
        <v>610</v>
      </c>
      <c r="D76" s="29">
        <v>22011</v>
      </c>
      <c r="E76" s="29">
        <v>24023</v>
      </c>
      <c r="F76" s="29">
        <v>19621</v>
      </c>
      <c r="G76" s="29">
        <v>12757</v>
      </c>
      <c r="H76" s="29">
        <v>9208</v>
      </c>
      <c r="J76" s="437"/>
      <c r="K76" s="1"/>
      <c r="L76" s="443"/>
      <c r="M76" s="443"/>
      <c r="N76" s="446"/>
      <c r="O76" s="108"/>
    </row>
    <row r="77" spans="3:15">
      <c r="C77" s="1" t="s">
        <v>611</v>
      </c>
      <c r="D77" s="29">
        <v>2012</v>
      </c>
      <c r="E77" s="29">
        <v>-748</v>
      </c>
      <c r="F77" s="29">
        <v>16966</v>
      </c>
      <c r="G77" s="29">
        <v>-14306</v>
      </c>
      <c r="H77" s="29">
        <v>-2582</v>
      </c>
      <c r="J77" s="437"/>
      <c r="K77" s="1"/>
      <c r="L77" s="443"/>
      <c r="M77" s="443"/>
      <c r="N77" s="447"/>
      <c r="O77" s="108"/>
    </row>
    <row r="78" spans="3:15">
      <c r="C78" s="1" t="s">
        <v>612</v>
      </c>
      <c r="D78" s="29">
        <v>-4648</v>
      </c>
      <c r="E78" s="29">
        <v>-5876</v>
      </c>
      <c r="F78" s="29">
        <v>-8148</v>
      </c>
      <c r="G78" s="29">
        <v>-310</v>
      </c>
      <c r="H78" s="29">
        <v>-554</v>
      </c>
      <c r="J78" s="437"/>
      <c r="K78" s="1"/>
      <c r="L78" s="443"/>
      <c r="M78" s="443"/>
      <c r="N78" s="447"/>
      <c r="O78" s="108"/>
    </row>
    <row r="79" spans="3:15">
      <c r="C79" s="6" t="s">
        <v>613</v>
      </c>
      <c r="D79" s="29"/>
      <c r="E79" s="29"/>
      <c r="F79" s="29"/>
      <c r="G79" s="29"/>
      <c r="H79" s="29"/>
      <c r="J79" s="437"/>
      <c r="K79" s="1"/>
      <c r="L79" s="445"/>
      <c r="M79" s="445"/>
      <c r="N79" s="447"/>
      <c r="O79" s="108"/>
    </row>
    <row r="80" spans="3:15" ht="13">
      <c r="C80" s="1" t="s">
        <v>31</v>
      </c>
      <c r="D80" s="29">
        <v>-1884</v>
      </c>
      <c r="E80" s="29">
        <v>1449</v>
      </c>
      <c r="F80" s="29">
        <v>-2592</v>
      </c>
      <c r="G80" s="29">
        <v>-9487</v>
      </c>
      <c r="H80" s="29">
        <v>-2849</v>
      </c>
      <c r="J80" s="437"/>
      <c r="K80" s="1"/>
      <c r="L80" s="445"/>
      <c r="M80" s="445"/>
      <c r="N80" s="446"/>
      <c r="O80" s="108"/>
    </row>
    <row r="81" spans="3:15">
      <c r="C81" s="1" t="s">
        <v>579</v>
      </c>
      <c r="D81" s="29">
        <v>-3249</v>
      </c>
      <c r="E81" s="29">
        <v>-8348</v>
      </c>
      <c r="F81" s="29">
        <v>-8622</v>
      </c>
      <c r="G81" s="29">
        <v>-18163</v>
      </c>
      <c r="H81" s="29">
        <v>-8169</v>
      </c>
      <c r="J81" s="443"/>
      <c r="K81" s="1"/>
      <c r="L81" s="443"/>
      <c r="M81" s="443"/>
      <c r="N81" s="446"/>
      <c r="O81" s="108"/>
    </row>
    <row r="82" spans="3:15">
      <c r="C82" s="1" t="s">
        <v>34</v>
      </c>
      <c r="D82" s="29">
        <v>-14483</v>
      </c>
      <c r="E82" s="29">
        <v>-12265</v>
      </c>
      <c r="F82" s="29">
        <v>-13275</v>
      </c>
      <c r="G82" s="29">
        <v>0</v>
      </c>
      <c r="H82" s="29">
        <v>0</v>
      </c>
      <c r="J82" s="437"/>
      <c r="K82" s="1"/>
      <c r="L82" s="445"/>
      <c r="M82" s="445"/>
      <c r="N82" s="447"/>
      <c r="O82" s="108"/>
    </row>
    <row r="83" spans="3:15" ht="13">
      <c r="C83" s="1" t="s">
        <v>36</v>
      </c>
      <c r="D83" s="29">
        <v>2972</v>
      </c>
      <c r="E83" s="29">
        <v>5473</v>
      </c>
      <c r="F83" s="29">
        <v>2945</v>
      </c>
      <c r="G83" s="29">
        <v>3602</v>
      </c>
      <c r="H83" s="29">
        <v>17480</v>
      </c>
      <c r="J83" s="437"/>
      <c r="K83" s="1"/>
      <c r="L83" s="445"/>
      <c r="M83" s="445"/>
      <c r="N83" s="446"/>
      <c r="O83" s="108"/>
    </row>
    <row r="84" spans="3:15">
      <c r="C84" s="1" t="s">
        <v>582</v>
      </c>
      <c r="D84" s="29">
        <v>-2904</v>
      </c>
      <c r="E84" s="29">
        <v>-2428</v>
      </c>
      <c r="F84" s="29">
        <v>-1558</v>
      </c>
      <c r="G84" s="29">
        <v>2123</v>
      </c>
      <c r="H84" s="29">
        <v>5754</v>
      </c>
      <c r="J84" s="437"/>
      <c r="K84" s="1"/>
      <c r="L84" s="443"/>
      <c r="M84" s="443"/>
      <c r="N84" s="446"/>
      <c r="O84" s="108"/>
    </row>
    <row r="85" spans="3:15">
      <c r="C85" s="1" t="s">
        <v>583</v>
      </c>
      <c r="D85" s="29">
        <v>4007</v>
      </c>
      <c r="E85" s="29">
        <v>4578</v>
      </c>
      <c r="F85" s="29">
        <v>2216</v>
      </c>
      <c r="G85" s="29">
        <v>2314</v>
      </c>
      <c r="H85" s="29">
        <v>1265</v>
      </c>
      <c r="J85" s="437"/>
      <c r="K85" s="1"/>
      <c r="L85" s="445"/>
      <c r="M85" s="445"/>
      <c r="N85" s="447"/>
      <c r="O85" s="108"/>
    </row>
    <row r="86" spans="3:15" ht="13">
      <c r="C86" s="31" t="s">
        <v>614</v>
      </c>
      <c r="D86" s="36">
        <f>SUM(D73:D85)</f>
        <v>115877</v>
      </c>
      <c r="E86" s="36">
        <f t="shared" ref="E86:H86" si="8">SUM(E73:E85)</f>
        <v>84946</v>
      </c>
      <c r="F86" s="36">
        <f t="shared" si="8"/>
        <v>46752</v>
      </c>
      <c r="G86" s="36">
        <f t="shared" si="8"/>
        <v>46327</v>
      </c>
      <c r="H86" s="36">
        <f t="shared" si="8"/>
        <v>66064</v>
      </c>
      <c r="J86" s="1"/>
      <c r="K86" s="1"/>
      <c r="L86" s="445"/>
      <c r="M86" s="445"/>
      <c r="N86" s="446"/>
      <c r="O86" s="108"/>
    </row>
    <row r="87" spans="3:15" ht="13">
      <c r="C87" s="1" t="s">
        <v>618</v>
      </c>
      <c r="D87" s="29">
        <v>-82999</v>
      </c>
      <c r="E87" s="29">
        <v>-52729</v>
      </c>
      <c r="F87" s="29">
        <v>-63645</v>
      </c>
      <c r="G87" s="29">
        <v>-61053</v>
      </c>
      <c r="H87" s="29">
        <v>-40140</v>
      </c>
      <c r="J87" s="445"/>
      <c r="K87" s="445"/>
      <c r="L87" s="445"/>
      <c r="M87" s="445"/>
      <c r="N87" s="446"/>
      <c r="O87" s="108"/>
    </row>
    <row r="88" spans="3:15" ht="13">
      <c r="C88" s="1" t="s">
        <v>619</v>
      </c>
      <c r="D88" s="29">
        <v>5341</v>
      </c>
      <c r="E88" s="29">
        <v>4596</v>
      </c>
      <c r="F88" s="29">
        <v>5324</v>
      </c>
      <c r="G88" s="29">
        <v>5657</v>
      </c>
      <c r="H88" s="29">
        <v>5096</v>
      </c>
      <c r="J88" s="445"/>
      <c r="K88" s="445"/>
      <c r="L88" s="445"/>
      <c r="M88" s="445"/>
      <c r="N88" s="446"/>
      <c r="O88" s="108"/>
    </row>
    <row r="89" spans="3:15" ht="13">
      <c r="C89" s="1" t="s">
        <v>620</v>
      </c>
      <c r="D89" s="29">
        <v>-7082</v>
      </c>
      <c r="E89" s="29">
        <v>-5839</v>
      </c>
      <c r="F89" s="29">
        <v>-8316</v>
      </c>
      <c r="G89" s="29">
        <v>-1985</v>
      </c>
      <c r="H89" s="29">
        <v>-2325</v>
      </c>
      <c r="J89" s="445"/>
      <c r="K89" s="445"/>
      <c r="L89" s="1"/>
      <c r="N89" s="446"/>
      <c r="O89" s="108"/>
    </row>
    <row r="90" spans="3:15" ht="13">
      <c r="C90" s="1" t="s">
        <v>621</v>
      </c>
      <c r="D90" s="29">
        <v>16403</v>
      </c>
      <c r="E90" s="29">
        <v>5627</v>
      </c>
      <c r="F90" s="29">
        <v>31601</v>
      </c>
      <c r="G90" s="29">
        <v>59384</v>
      </c>
      <c r="H90" s="29">
        <v>50237</v>
      </c>
      <c r="J90" s="445"/>
      <c r="K90" s="445"/>
      <c r="M90" s="108"/>
      <c r="N90" s="108"/>
      <c r="O90" s="108"/>
    </row>
    <row r="91" spans="3:15" ht="13">
      <c r="C91" s="1" t="s">
        <v>622</v>
      </c>
      <c r="D91" s="29">
        <v>-26005</v>
      </c>
      <c r="E91" s="29">
        <v>-1488</v>
      </c>
      <c r="F91" s="29">
        <v>-2565</v>
      </c>
      <c r="G91" s="29">
        <v>-60157</v>
      </c>
      <c r="H91" s="29">
        <v>-72479</v>
      </c>
      <c r="J91" s="445"/>
      <c r="K91" s="445"/>
      <c r="M91" s="108"/>
      <c r="N91" s="108"/>
      <c r="O91" s="108"/>
    </row>
    <row r="92" spans="3:15" ht="13">
      <c r="C92" s="31" t="s">
        <v>49</v>
      </c>
      <c r="D92" s="32">
        <f>SUM(D87:D91)</f>
        <v>-94342</v>
      </c>
      <c r="E92" s="32">
        <f>SUM(E87:E91)</f>
        <v>-49833</v>
      </c>
      <c r="F92" s="32">
        <f>SUM(F87:F91)</f>
        <v>-37601</v>
      </c>
      <c r="G92" s="32">
        <f>SUM(G87:G91)</f>
        <v>-58154</v>
      </c>
      <c r="H92" s="32">
        <f>SUM(H87:H91)</f>
        <v>-59611</v>
      </c>
      <c r="J92" s="445"/>
      <c r="K92" s="445"/>
    </row>
    <row r="93" spans="3:15" ht="13">
      <c r="C93" s="1" t="s">
        <v>623</v>
      </c>
      <c r="D93" s="29">
        <v>0</v>
      </c>
      <c r="E93" s="29">
        <v>0</v>
      </c>
      <c r="F93" s="29">
        <v>-6000</v>
      </c>
      <c r="G93" s="29">
        <v>0</v>
      </c>
      <c r="H93" s="29">
        <v>0</v>
      </c>
      <c r="J93" s="448"/>
      <c r="K93" s="448"/>
    </row>
    <row r="94" spans="3:15" ht="13">
      <c r="C94" s="1" t="s">
        <v>624</v>
      </c>
      <c r="D94" s="29">
        <v>5142</v>
      </c>
      <c r="E94" s="29">
        <v>18129</v>
      </c>
      <c r="F94" s="29">
        <v>41553</v>
      </c>
      <c r="G94" s="29">
        <v>7956</v>
      </c>
      <c r="H94" s="29">
        <v>6796</v>
      </c>
      <c r="J94" s="445"/>
      <c r="K94" s="445"/>
      <c r="L94" s="448"/>
    </row>
    <row r="95" spans="3:15" ht="13">
      <c r="C95" s="1" t="s">
        <v>625</v>
      </c>
      <c r="D95" s="29">
        <v>-5060</v>
      </c>
      <c r="E95" s="29">
        <v>-25677</v>
      </c>
      <c r="F95" s="29">
        <v>-37554</v>
      </c>
      <c r="G95" s="29">
        <v>-7753</v>
      </c>
      <c r="H95" s="29">
        <v>-6177</v>
      </c>
      <c r="J95" s="445"/>
      <c r="K95" s="445"/>
      <c r="L95" s="445"/>
    </row>
    <row r="96" spans="3:15" ht="14" customHeight="1">
      <c r="C96" s="1" t="s">
        <v>626</v>
      </c>
      <c r="D96" s="29">
        <v>0</v>
      </c>
      <c r="E96" s="29">
        <v>0</v>
      </c>
      <c r="F96" s="29">
        <v>21166</v>
      </c>
      <c r="G96" s="29">
        <v>19003</v>
      </c>
      <c r="H96" s="29">
        <v>10525</v>
      </c>
      <c r="J96" s="445"/>
      <c r="K96" s="445"/>
      <c r="L96" s="445"/>
    </row>
    <row r="97" spans="3:12 16382:16382" ht="13">
      <c r="C97" s="1" t="s">
        <v>627</v>
      </c>
      <c r="D97" s="29">
        <v>-9182</v>
      </c>
      <c r="E97" s="29">
        <v>-3676</v>
      </c>
      <c r="F97" s="29">
        <v>-1258</v>
      </c>
      <c r="G97" s="29">
        <v>-1590</v>
      </c>
      <c r="H97" s="29">
        <v>-1553</v>
      </c>
      <c r="J97" s="445"/>
      <c r="K97" s="445"/>
      <c r="L97" s="448"/>
    </row>
    <row r="98" spans="3:12 16382:16382">
      <c r="C98" s="1" t="s">
        <v>628</v>
      </c>
      <c r="D98" s="29">
        <v>-2043</v>
      </c>
      <c r="E98" s="29">
        <v>-4384</v>
      </c>
      <c r="F98" s="29">
        <v>-7941</v>
      </c>
      <c r="G98" s="29">
        <v>-11163</v>
      </c>
      <c r="H98" s="29">
        <v>-10642</v>
      </c>
      <c r="I98"/>
      <c r="J98" s="445"/>
      <c r="K98" s="445"/>
      <c r="L98" s="445"/>
    </row>
    <row r="99" spans="3:12 16382:16382">
      <c r="C99" s="1" t="s">
        <v>629</v>
      </c>
      <c r="D99" s="29">
        <v>-669</v>
      </c>
      <c r="E99" s="29">
        <v>-271</v>
      </c>
      <c r="F99" s="29">
        <v>-248</v>
      </c>
      <c r="G99" s="29">
        <v>-162</v>
      </c>
      <c r="H99" s="29">
        <v>-53</v>
      </c>
      <c r="I99"/>
      <c r="J99" s="445"/>
      <c r="K99" s="445"/>
      <c r="L99" s="445"/>
      <c r="XFB99" s="29"/>
    </row>
    <row r="100" spans="3:12 16382:16382">
      <c r="C100" s="31" t="s">
        <v>50</v>
      </c>
      <c r="D100" s="36">
        <f>SUM(D93:D99)</f>
        <v>-11812</v>
      </c>
      <c r="E100" s="36">
        <f>SUM(E93:E99)</f>
        <v>-15879</v>
      </c>
      <c r="F100" s="36">
        <f>SUM(F93:F99)</f>
        <v>9718</v>
      </c>
      <c r="G100" s="36">
        <f>SUM(G93:G99)</f>
        <v>6291</v>
      </c>
      <c r="H100" s="36">
        <f>SUM(H93:H99)</f>
        <v>-1104</v>
      </c>
      <c r="I100"/>
      <c r="J100" s="445"/>
      <c r="K100" s="445"/>
      <c r="L100" s="445"/>
    </row>
    <row r="101" spans="3:12 16382:16382">
      <c r="C101" s="1" t="s">
        <v>630</v>
      </c>
      <c r="D101" s="29">
        <v>-1301</v>
      </c>
      <c r="E101" s="29">
        <v>403</v>
      </c>
      <c r="F101" s="29">
        <v>-1093</v>
      </c>
      <c r="G101" s="29">
        <v>-364</v>
      </c>
      <c r="H101" s="29">
        <v>618</v>
      </c>
      <c r="I101"/>
      <c r="J101" s="443"/>
      <c r="K101" s="443"/>
    </row>
    <row r="102" spans="3:12 16382:16382">
      <c r="C102" s="40" t="s">
        <v>51</v>
      </c>
      <c r="D102" s="41">
        <f>SUM(D86,D92,D100,D101)</f>
        <v>8422</v>
      </c>
      <c r="E102" s="41">
        <f>SUM(E86,E92,E100,E101)</f>
        <v>19637</v>
      </c>
      <c r="F102" s="41">
        <f>SUM(F86,F92,F100,F101)</f>
        <v>17776</v>
      </c>
      <c r="G102" s="41">
        <f>SUM(G86,G92,G100,G101)</f>
        <v>-5900</v>
      </c>
      <c r="H102" s="41">
        <f>SUM(H86,H92,H100,H101)</f>
        <v>5967</v>
      </c>
      <c r="I102"/>
      <c r="J102" s="445"/>
      <c r="K102" s="445"/>
    </row>
    <row r="103" spans="3:12 16382:16382">
      <c r="C103" s="1" t="s">
        <v>631</v>
      </c>
      <c r="D103" s="39">
        <f>D71+D86+D92+D100+D101</f>
        <v>82312</v>
      </c>
      <c r="E103" s="39">
        <f t="shared" ref="E103:H103" si="9">E71+E86+E92+E100+E101</f>
        <v>73890</v>
      </c>
      <c r="F103" s="39">
        <f t="shared" si="9"/>
        <v>54253</v>
      </c>
      <c r="G103" s="39">
        <f t="shared" si="9"/>
        <v>36477</v>
      </c>
      <c r="H103" s="39">
        <f t="shared" si="9"/>
        <v>42377</v>
      </c>
      <c r="I103"/>
      <c r="J103" s="443"/>
      <c r="K103" s="443"/>
    </row>
    <row r="104" spans="3:12 16382:16382" ht="13">
      <c r="D104" s="35"/>
      <c r="E104" s="35"/>
      <c r="F104" s="35"/>
      <c r="G104" s="35"/>
      <c r="H104" s="35"/>
      <c r="J104" s="445"/>
      <c r="K104" s="445"/>
    </row>
    <row r="105" spans="3:12 16382:16382" ht="13">
      <c r="J105" s="444"/>
      <c r="K105" s="444"/>
    </row>
    <row r="106" spans="3:12 16382:16382" ht="12">
      <c r="C106" s="297" t="s">
        <v>388</v>
      </c>
      <c r="D106" s="298"/>
      <c r="E106" s="299"/>
      <c r="F106" s="299"/>
      <c r="G106" s="299"/>
      <c r="H106" s="299"/>
      <c r="K106" s="1"/>
    </row>
    <row r="107" spans="3:12 16382:16382" ht="12">
      <c r="C107" s="143"/>
      <c r="D107" s="143"/>
      <c r="E107" s="143"/>
      <c r="F107" s="143"/>
      <c r="G107" s="143"/>
      <c r="H107" s="143"/>
      <c r="K107" s="1"/>
    </row>
    <row r="108" spans="3:12 16382:16382" ht="12">
      <c r="C108" s="467"/>
      <c r="D108" s="467">
        <f>D70</f>
        <v>2024</v>
      </c>
      <c r="E108" s="467">
        <f>E70</f>
        <v>2023</v>
      </c>
      <c r="F108" s="467">
        <f>F70</f>
        <v>2022</v>
      </c>
      <c r="G108" s="467">
        <f>G70</f>
        <v>2021</v>
      </c>
      <c r="H108" s="467">
        <f>H70</f>
        <v>2020</v>
      </c>
      <c r="K108" s="1"/>
    </row>
    <row r="109" spans="3:12 16382:16382" ht="12">
      <c r="C109" s="452" t="s">
        <v>135</v>
      </c>
      <c r="D109" s="452"/>
      <c r="E109" s="452"/>
      <c r="F109" s="452"/>
      <c r="G109" s="452"/>
      <c r="H109" s="452"/>
      <c r="K109" s="1"/>
    </row>
    <row r="110" spans="3:12 16382:16382" ht="12">
      <c r="C110" s="4" t="s">
        <v>257</v>
      </c>
      <c r="D110" s="112">
        <f>D16/D27</f>
        <v>1.0637348061371781</v>
      </c>
      <c r="E110" s="112">
        <f>E16/E27</f>
        <v>1.0450772206625152</v>
      </c>
      <c r="F110" s="112">
        <f>F16/F27</f>
        <v>0.9446435811136924</v>
      </c>
      <c r="G110" s="112">
        <f>G16/G27</f>
        <v>1.1357597739445826</v>
      </c>
      <c r="H110" s="112">
        <f>H16/H27</f>
        <v>1.0502274795268425</v>
      </c>
      <c r="K110" s="1"/>
    </row>
    <row r="111" spans="3:12 16382:16382" ht="12">
      <c r="C111" s="4" t="s">
        <v>256</v>
      </c>
      <c r="D111" s="112">
        <f>(D12+D13+D15)/D27</f>
        <v>0.87305426598525337</v>
      </c>
      <c r="E111" s="112">
        <f t="shared" ref="E111:H111" si="10">(E12+E13+E15)/E27</f>
        <v>0.84304832127676343</v>
      </c>
      <c r="F111" s="112">
        <f t="shared" si="10"/>
        <v>0.72323721145740161</v>
      </c>
      <c r="G111" s="112">
        <f t="shared" si="10"/>
        <v>0.90633039517523517</v>
      </c>
      <c r="H111" s="112">
        <f t="shared" si="10"/>
        <v>0.86195355461486722</v>
      </c>
      <c r="K111" s="1"/>
    </row>
    <row r="112" spans="3:12 16382:16382" ht="12">
      <c r="C112" s="4" t="s">
        <v>255</v>
      </c>
      <c r="D112" s="112">
        <f>D47/D15</f>
        <v>11.504914248615895</v>
      </c>
      <c r="E112" s="112">
        <f t="shared" ref="E112:H112" si="11">E47/E15</f>
        <v>11.000038275314337</v>
      </c>
      <c r="F112" s="112">
        <f t="shared" si="11"/>
        <v>12.133687440982058</v>
      </c>
      <c r="G112" s="112">
        <f t="shared" si="11"/>
        <v>14.284211486424859</v>
      </c>
      <c r="H112" s="112">
        <f t="shared" si="11"/>
        <v>15.730747290359384</v>
      </c>
      <c r="K112" s="1"/>
    </row>
    <row r="113" spans="3:11" ht="12">
      <c r="C113" s="4" t="s">
        <v>231</v>
      </c>
      <c r="D113" s="108">
        <f>365/D112</f>
        <v>31.725573273517576</v>
      </c>
      <c r="E113" s="108">
        <f>365/E112</f>
        <v>33.18170272362709</v>
      </c>
      <c r="F113" s="108">
        <f>365/F112</f>
        <v>30.081539661817612</v>
      </c>
      <c r="G113" s="108">
        <f>365/G112</f>
        <v>25.552688039299987</v>
      </c>
      <c r="H113" s="108">
        <f>365/H112</f>
        <v>23.202966347548593</v>
      </c>
      <c r="K113" s="1"/>
    </row>
    <row r="114" spans="3:11" ht="12">
      <c r="C114" s="452" t="s">
        <v>227</v>
      </c>
      <c r="D114" s="452"/>
      <c r="E114" s="452"/>
      <c r="F114" s="452"/>
      <c r="G114" s="452"/>
      <c r="H114" s="452"/>
      <c r="K114" s="1"/>
    </row>
    <row r="115" spans="3:11" ht="12">
      <c r="C115" s="4" t="s">
        <v>254</v>
      </c>
      <c r="D115" s="112">
        <f>D48/D14</f>
        <v>9.5366808908633889</v>
      </c>
      <c r="E115" s="112">
        <f t="shared" ref="E115:H115" si="12">E48/E14</f>
        <v>9.1463773335734437</v>
      </c>
      <c r="F115" s="112">
        <f t="shared" si="12"/>
        <v>8.3950297921813686</v>
      </c>
      <c r="G115" s="112">
        <f t="shared" si="12"/>
        <v>8.3438725490196077</v>
      </c>
      <c r="H115" s="112">
        <f t="shared" si="12"/>
        <v>9.8048749737339769</v>
      </c>
      <c r="K115" s="1"/>
    </row>
    <row r="116" spans="3:11" ht="12">
      <c r="C116" s="1" t="s">
        <v>236</v>
      </c>
      <c r="D116" s="108">
        <f>365/D115</f>
        <v>38.273273917520719</v>
      </c>
      <c r="E116" s="108">
        <f>365/E115</f>
        <v>39.906510161154301</v>
      </c>
      <c r="F116" s="108">
        <f>365/F115</f>
        <v>43.4781065744328</v>
      </c>
      <c r="G116" s="108">
        <f>365/G115</f>
        <v>43.744675851129458</v>
      </c>
      <c r="H116" s="108">
        <f>365/H115</f>
        <v>37.226379834295585</v>
      </c>
      <c r="K116" s="1"/>
    </row>
    <row r="117" spans="3:11" ht="12">
      <c r="C117" s="1" t="s">
        <v>253</v>
      </c>
      <c r="D117" s="112">
        <f>D47/D21</f>
        <v>1.0209075459197881</v>
      </c>
      <c r="E117" s="112">
        <f>E47/E21</f>
        <v>1.0889090543976174</v>
      </c>
      <c r="F117" s="112">
        <f>F47/F21</f>
        <v>1.1108942562273734</v>
      </c>
      <c r="G117" s="112">
        <f>G47/G21</f>
        <v>1.1171635172120253</v>
      </c>
      <c r="H117" s="112">
        <f>H47/H21</f>
        <v>1.2019614253023865</v>
      </c>
      <c r="K117" s="1"/>
    </row>
    <row r="118" spans="3:11" ht="12">
      <c r="C118" s="1" t="s">
        <v>252</v>
      </c>
      <c r="D118" s="112">
        <f>D47/D17</f>
        <v>2.5249203490788199</v>
      </c>
      <c r="E118" s="112">
        <f t="shared" ref="E118:H118" si="13">E47/E17</f>
        <v>2.8151309892887055</v>
      </c>
      <c r="F118" s="112">
        <f t="shared" si="13"/>
        <v>2.7527675869640897</v>
      </c>
      <c r="G118" s="112">
        <f t="shared" si="13"/>
        <v>2.9312395106094922</v>
      </c>
      <c r="H118" s="112">
        <f t="shared" si="13"/>
        <v>3.4130523188995174</v>
      </c>
      <c r="K118" s="1"/>
    </row>
    <row r="119" spans="3:11" ht="12">
      <c r="C119" s="1" t="s">
        <v>258</v>
      </c>
      <c r="D119" s="108">
        <f>(D24/D48)*365</f>
        <v>105.5585709557201</v>
      </c>
      <c r="E119" s="108">
        <f t="shared" ref="E119:H119" si="14">(E24/E48)*365</f>
        <v>101.78567561093263</v>
      </c>
      <c r="F119" s="108">
        <f t="shared" si="14"/>
        <v>100.59169548975007</v>
      </c>
      <c r="G119" s="108">
        <f t="shared" si="14"/>
        <v>105.42681314807743</v>
      </c>
      <c r="H119" s="108">
        <f t="shared" si="14"/>
        <v>113.48452896826929</v>
      </c>
      <c r="K119" s="1"/>
    </row>
    <row r="120" spans="3:11" ht="12">
      <c r="C120" s="1" t="s">
        <v>242</v>
      </c>
      <c r="D120" s="108">
        <f>D113+D116-D119</f>
        <v>-35.559723764681806</v>
      </c>
      <c r="E120" s="108">
        <f t="shared" ref="E120:G120" si="15">E113+E116-E119</f>
        <v>-28.69746272615123</v>
      </c>
      <c r="F120" s="108">
        <f t="shared" si="15"/>
        <v>-27.03204925349965</v>
      </c>
      <c r="G120" s="108">
        <f t="shared" si="15"/>
        <v>-36.129449257647991</v>
      </c>
      <c r="H120" s="108">
        <f>H113+H116-H119</f>
        <v>-53.055182786425107</v>
      </c>
      <c r="K120" s="1"/>
    </row>
    <row r="121" spans="3:11" ht="12">
      <c r="C121" s="452" t="s">
        <v>228</v>
      </c>
      <c r="D121" s="452"/>
      <c r="E121" s="452"/>
      <c r="F121" s="452"/>
      <c r="G121" s="452"/>
      <c r="H121" s="452"/>
      <c r="K121" s="1"/>
    </row>
    <row r="122" spans="3:11" ht="12">
      <c r="C122" s="1" t="s">
        <v>237</v>
      </c>
      <c r="D122" s="105">
        <f>(D56/D47)</f>
        <v>0.1075194487420038</v>
      </c>
      <c r="E122" s="105">
        <f t="shared" ref="E122:H122" si="16">(E56/E47)</f>
        <v>6.4114407996033296E-2</v>
      </c>
      <c r="F122" s="105">
        <f t="shared" si="16"/>
        <v>2.3829581912242232E-2</v>
      </c>
      <c r="G122" s="105">
        <f t="shared" si="16"/>
        <v>5.2954097509269465E-2</v>
      </c>
      <c r="H122" s="105">
        <f t="shared" si="16"/>
        <v>5.9313999751336569E-2</v>
      </c>
      <c r="K122" s="1"/>
    </row>
    <row r="123" spans="3:11" ht="12">
      <c r="C123" s="1" t="s">
        <v>238</v>
      </c>
      <c r="D123" s="105">
        <f>D64/D21</f>
        <v>9.481288026449286E-2</v>
      </c>
      <c r="E123" s="105">
        <f t="shared" ref="E123:H123" si="17">E64/E21</f>
        <v>5.7639044129626754E-2</v>
      </c>
      <c r="F123" s="105">
        <f t="shared" si="17"/>
        <v>-5.8831793375479545E-3</v>
      </c>
      <c r="G123" s="105">
        <f t="shared" si="17"/>
        <v>7.9334393851846041E-2</v>
      </c>
      <c r="H123" s="105">
        <f t="shared" si="17"/>
        <v>6.6411370040006856E-2</v>
      </c>
      <c r="K123" s="1"/>
    </row>
    <row r="124" spans="3:11" ht="12">
      <c r="C124" s="1" t="s">
        <v>239</v>
      </c>
      <c r="D124" s="105">
        <f>D64/D47</f>
        <v>9.2871171971866534E-2</v>
      </c>
      <c r="E124" s="105">
        <f t="shared" ref="E124:H124" si="18">E64/E47</f>
        <v>5.2932835755978319E-2</v>
      </c>
      <c r="F124" s="105">
        <f t="shared" si="18"/>
        <v>-5.2958950004183018E-3</v>
      </c>
      <c r="G124" s="105">
        <f t="shared" si="18"/>
        <v>7.1014128755145567E-2</v>
      </c>
      <c r="H124" s="105">
        <f t="shared" si="18"/>
        <v>5.5252496995316841E-2</v>
      </c>
      <c r="K124" s="1"/>
    </row>
    <row r="125" spans="3:11" ht="12">
      <c r="C125" s="1" t="s">
        <v>240</v>
      </c>
      <c r="D125" s="105">
        <f>D64/D41</f>
        <v>0.20718257159841941</v>
      </c>
      <c r="E125" s="105">
        <f t="shared" ref="E125:H125" si="19">E64/E41</f>
        <v>0.15071207430340558</v>
      </c>
      <c r="F125" s="105">
        <f t="shared" si="19"/>
        <v>-1.8638346240490815E-2</v>
      </c>
      <c r="G125" s="105">
        <f t="shared" si="19"/>
        <v>0.2413396506202756</v>
      </c>
      <c r="H125" s="105">
        <f t="shared" si="19"/>
        <v>0.22837351719412444</v>
      </c>
      <c r="K125" s="1"/>
    </row>
    <row r="126" spans="3:11" ht="12">
      <c r="C126" s="1" t="s">
        <v>280</v>
      </c>
      <c r="D126" s="105">
        <f>D158/(D29+D41+D12)</f>
        <v>0.12983254746365352</v>
      </c>
      <c r="E126" s="105">
        <f t="shared" ref="E126:H126" si="20">E158/(E29+E41+E12)</f>
        <v>8.7275703288006337E-2</v>
      </c>
      <c r="F126" s="105">
        <f t="shared" si="20"/>
        <v>3.6228410107795012E-2</v>
      </c>
      <c r="G126" s="105">
        <f t="shared" si="20"/>
        <v>8.8053841914976547E-2</v>
      </c>
      <c r="H126" s="105">
        <f t="shared" si="20"/>
        <v>0.10810322572934469</v>
      </c>
      <c r="K126" s="1"/>
    </row>
    <row r="127" spans="3:11" ht="12">
      <c r="C127" s="1" t="s">
        <v>269</v>
      </c>
      <c r="D127" s="105">
        <f>D125*(1-D146)</f>
        <v>0.20718257159841941</v>
      </c>
      <c r="E127" s="105">
        <f t="shared" ref="E127:G127" si="21">E125*(1-E146)</f>
        <v>0.15071207430340558</v>
      </c>
      <c r="F127" s="105">
        <f t="shared" si="21"/>
        <v>-1.8638346240490815E-2</v>
      </c>
      <c r="G127" s="105">
        <f t="shared" si="21"/>
        <v>0.2413396506202756</v>
      </c>
      <c r="H127" s="105">
        <f>H125*(1-H146)</f>
        <v>0.22837351719412444</v>
      </c>
      <c r="K127" s="1"/>
    </row>
    <row r="128" spans="3:11" ht="12">
      <c r="C128" s="452" t="s">
        <v>229</v>
      </c>
      <c r="D128" s="452"/>
      <c r="E128" s="452"/>
      <c r="F128" s="452"/>
      <c r="G128" s="452"/>
      <c r="H128" s="452"/>
      <c r="J128" s="381"/>
      <c r="K128" s="1"/>
    </row>
    <row r="129" spans="3:11" ht="12">
      <c r="C129" s="1" t="s">
        <v>251</v>
      </c>
      <c r="D129" s="105">
        <f>D29/D21</f>
        <v>8.4211082199541043E-2</v>
      </c>
      <c r="E129" s="105">
        <f t="shared" ref="E129:H129" si="22">E29/E21</f>
        <v>0.11047372947822694</v>
      </c>
      <c r="F129" s="105">
        <f t="shared" si="22"/>
        <v>0.14513427351812827</v>
      </c>
      <c r="G129" s="105">
        <f t="shared" si="22"/>
        <v>0.11590563763081116</v>
      </c>
      <c r="H129" s="105">
        <f t="shared" si="22"/>
        <v>9.9055091144009094E-2</v>
      </c>
      <c r="K129" s="1"/>
    </row>
    <row r="130" spans="3:11" ht="12">
      <c r="C130" s="1" t="s">
        <v>250</v>
      </c>
      <c r="D130" s="112">
        <f>D21/D41</f>
        <v>2.1851732699234185</v>
      </c>
      <c r="E130" s="112">
        <f>E21/E41</f>
        <v>2.6147566563467493</v>
      </c>
      <c r="F130" s="112">
        <f>F21/F41</f>
        <v>3.1680737864875415</v>
      </c>
      <c r="G130" s="112">
        <f>G21/G41</f>
        <v>3.0420557705522802</v>
      </c>
      <c r="H130" s="112">
        <f>H21/H41</f>
        <v>3.4387713588283155</v>
      </c>
      <c r="K130" s="1"/>
    </row>
    <row r="131" spans="3:11" ht="12">
      <c r="C131" s="1" t="s">
        <v>249</v>
      </c>
      <c r="D131" s="105">
        <f>D27/(D29+D27)</f>
        <v>0.77322950692511228</v>
      </c>
      <c r="E131" s="105">
        <f t="shared" ref="E131:H131" si="23">E27/(E29+E27)</f>
        <v>0.73877284068968918</v>
      </c>
      <c r="F131" s="105">
        <f t="shared" si="23"/>
        <v>0.69826056088036914</v>
      </c>
      <c r="G131" s="105">
        <f t="shared" si="23"/>
        <v>0.74480917229464427</v>
      </c>
      <c r="H131" s="105">
        <f t="shared" si="23"/>
        <v>0.79888875544402371</v>
      </c>
      <c r="K131" s="1"/>
    </row>
    <row r="132" spans="3:11" ht="12">
      <c r="C132" s="1" t="s">
        <v>248</v>
      </c>
      <c r="D132" s="112">
        <f>D56/D58</f>
        <v>-28.509143807148796</v>
      </c>
      <c r="E132" s="112">
        <f t="shared" ref="E132:H132" si="24">E56/E58</f>
        <v>-11.581395348837209</v>
      </c>
      <c r="F132" s="112">
        <f t="shared" si="24"/>
        <v>-5.1744824672581329</v>
      </c>
      <c r="G132" s="112">
        <f t="shared" si="24"/>
        <v>-13.752902155887231</v>
      </c>
      <c r="H132" s="112">
        <f t="shared" si="24"/>
        <v>-13.903460837887067</v>
      </c>
      <c r="K132" s="1"/>
    </row>
    <row r="133" spans="3:11" ht="12">
      <c r="C133" s="1" t="s">
        <v>163</v>
      </c>
      <c r="D133" s="27">
        <f>D29</f>
        <v>52623</v>
      </c>
      <c r="E133" s="27">
        <f t="shared" ref="E133:H133" si="25">E29</f>
        <v>58314</v>
      </c>
      <c r="F133" s="27">
        <f t="shared" si="25"/>
        <v>67150</v>
      </c>
      <c r="G133" s="27">
        <f t="shared" si="25"/>
        <v>48744</v>
      </c>
      <c r="H133" s="27">
        <f t="shared" si="25"/>
        <v>31816</v>
      </c>
      <c r="K133" s="1"/>
    </row>
    <row r="134" spans="3:11" ht="12">
      <c r="C134" s="1" t="s">
        <v>245</v>
      </c>
      <c r="D134" s="112">
        <f>D133/D156</f>
        <v>0.52427967959191801</v>
      </c>
      <c r="E134" s="112">
        <f>E133/E156</f>
        <v>0.84775971854737886</v>
      </c>
      <c r="F134" s="112">
        <f>F133/F156</f>
        <v>1.6766960473420061</v>
      </c>
      <c r="G134" s="112">
        <f>G133/G156</f>
        <v>0.79650963282513854</v>
      </c>
      <c r="H134" s="112">
        <f>H133/H156</f>
        <v>0.7575057736720554</v>
      </c>
      <c r="K134" s="1"/>
    </row>
    <row r="135" spans="3:11" ht="12">
      <c r="C135" s="1" t="s">
        <v>244</v>
      </c>
      <c r="D135" s="112">
        <f>D133/D41</f>
        <v>0.18401580585376087</v>
      </c>
      <c r="E135" s="112">
        <f>E133/E41</f>
        <v>0.28886191950464396</v>
      </c>
      <c r="F135" s="112">
        <f>F133/F41</f>
        <v>0.45979608745369516</v>
      </c>
      <c r="G135" s="112">
        <f>G133/G41</f>
        <v>0.35259141379435061</v>
      </c>
      <c r="H135" s="112">
        <f>H133/H41</f>
        <v>0.34062781037214679</v>
      </c>
      <c r="K135" s="1"/>
    </row>
    <row r="136" spans="3:11" ht="12">
      <c r="C136" s="452" t="s">
        <v>230</v>
      </c>
      <c r="D136" s="452"/>
      <c r="E136" s="452"/>
      <c r="F136" s="452"/>
      <c r="G136" s="452"/>
      <c r="H136" s="452"/>
      <c r="K136" s="1"/>
    </row>
    <row r="137" spans="3:11" ht="12">
      <c r="C137" s="1" t="s">
        <v>239</v>
      </c>
      <c r="D137" s="105">
        <f>D64/D47</f>
        <v>9.2871171971866534E-2</v>
      </c>
      <c r="E137" s="105">
        <f t="shared" ref="E137:H137" si="26">E64/E47</f>
        <v>5.2932835755978319E-2</v>
      </c>
      <c r="F137" s="105">
        <f t="shared" si="26"/>
        <v>-5.2958950004183018E-3</v>
      </c>
      <c r="G137" s="105">
        <f t="shared" si="26"/>
        <v>7.1014128755145567E-2</v>
      </c>
      <c r="H137" s="105">
        <f t="shared" si="26"/>
        <v>5.5252496995316841E-2</v>
      </c>
      <c r="K137" s="1"/>
    </row>
    <row r="138" spans="3:11" ht="12">
      <c r="C138" s="1" t="s">
        <v>247</v>
      </c>
      <c r="D138" s="112">
        <f>D47/D21</f>
        <v>1.0209075459197881</v>
      </c>
      <c r="E138" s="112">
        <f>E47/E21</f>
        <v>1.0889090543976174</v>
      </c>
      <c r="F138" s="112">
        <f>F47/F21</f>
        <v>1.1108942562273734</v>
      </c>
      <c r="G138" s="112">
        <f>G47/G21</f>
        <v>1.1171635172120253</v>
      </c>
      <c r="H138" s="112">
        <f>H47/H21</f>
        <v>1.2019614253023865</v>
      </c>
      <c r="K138" s="1"/>
    </row>
    <row r="139" spans="3:11" ht="12">
      <c r="C139" s="1" t="s">
        <v>246</v>
      </c>
      <c r="D139" s="112">
        <f>D21/D41</f>
        <v>2.1851732699234185</v>
      </c>
      <c r="E139" s="112">
        <f>E21/E41</f>
        <v>2.6147566563467493</v>
      </c>
      <c r="F139" s="112">
        <f>F21/F41</f>
        <v>3.1680737864875415</v>
      </c>
      <c r="G139" s="112">
        <f>G21/G41</f>
        <v>3.0420557705522802</v>
      </c>
      <c r="H139" s="112">
        <f>H21/H41</f>
        <v>3.4387713588283155</v>
      </c>
      <c r="K139" s="1"/>
    </row>
    <row r="140" spans="3:11" ht="12">
      <c r="C140" s="1" t="s">
        <v>240</v>
      </c>
      <c r="D140" s="105">
        <f>D137*D138*D139</f>
        <v>0.20718257159841941</v>
      </c>
      <c r="E140" s="105">
        <f>E137*E138*E139</f>
        <v>0.15071207430340555</v>
      </c>
      <c r="F140" s="105">
        <f>F137*F138*F139</f>
        <v>-1.8638346240490815E-2</v>
      </c>
      <c r="G140" s="105">
        <f>G137*G138*G139</f>
        <v>0.2413396506202756</v>
      </c>
      <c r="H140" s="105">
        <f>H137*H138*H139</f>
        <v>0.22837351719412446</v>
      </c>
      <c r="K140" s="1"/>
    </row>
    <row r="141" spans="3:11" ht="12">
      <c r="C141" s="452" t="s">
        <v>278</v>
      </c>
      <c r="D141" s="452"/>
      <c r="E141" s="452"/>
      <c r="F141" s="452"/>
      <c r="G141" s="452"/>
      <c r="H141" s="452"/>
      <c r="K141" s="1"/>
    </row>
    <row r="142" spans="3:11" ht="12">
      <c r="C142" s="1" t="s">
        <v>414</v>
      </c>
      <c r="D142" s="732">
        <f>'AMZN daily'!G258</f>
        <v>228.97</v>
      </c>
      <c r="E142" s="109">
        <f>'AMZN daily'!G510</f>
        <v>147.47999999999999</v>
      </c>
      <c r="F142" s="732">
        <f>'AMZN daily'!G761</f>
        <v>100.55</v>
      </c>
      <c r="G142" s="732">
        <f>'AMZN daily'!G3015</f>
        <v>42.67</v>
      </c>
      <c r="H142" s="732">
        <f>'AMZN daily'!G1265</f>
        <v>201.16000399999999</v>
      </c>
      <c r="K142" s="1"/>
    </row>
    <row r="143" spans="3:11" ht="12">
      <c r="C143" s="1" t="s">
        <v>241</v>
      </c>
      <c r="D143" s="119">
        <f>D64/D68</f>
        <v>5.5263501539035538</v>
      </c>
      <c r="E143" s="119">
        <f>E64/E68</f>
        <v>2.8998284407167367</v>
      </c>
      <c r="F143" s="119">
        <f>F64/F68</f>
        <v>-0.2671508489547551</v>
      </c>
      <c r="G143" s="119">
        <f>G64/G68</f>
        <v>64.784466019417479</v>
      </c>
      <c r="H143" s="119">
        <f>H64/H68</f>
        <v>41.825490196078434</v>
      </c>
      <c r="K143" s="1"/>
    </row>
    <row r="144" spans="3:11" ht="12">
      <c r="C144" s="1" t="s">
        <v>259</v>
      </c>
      <c r="D144" s="108">
        <f>D142/D143</f>
        <v>41.432409026465031</v>
      </c>
      <c r="E144" s="108">
        <f>E142/E143</f>
        <v>50.858181101068197</v>
      </c>
      <c r="F144" s="108">
        <f t="shared" ref="F144:H144" si="27">F142/F143</f>
        <v>-376.37911462160179</v>
      </c>
      <c r="G144" s="108">
        <f t="shared" si="27"/>
        <v>0.65864554609759018</v>
      </c>
      <c r="H144" s="108">
        <f t="shared" si="27"/>
        <v>4.8095073854952881</v>
      </c>
      <c r="K144" s="1"/>
    </row>
    <row r="145" spans="3:11" ht="12">
      <c r="C145" s="1" t="s">
        <v>243</v>
      </c>
      <c r="D145" s="108">
        <f>0/D68</f>
        <v>0</v>
      </c>
      <c r="E145" s="108">
        <f>0/E68</f>
        <v>0</v>
      </c>
      <c r="F145" s="108">
        <f>0/F68</f>
        <v>0</v>
      </c>
      <c r="G145" s="108">
        <f>0/G68</f>
        <v>0</v>
      </c>
      <c r="H145" s="108">
        <f>0/H68</f>
        <v>0</v>
      </c>
      <c r="J145" s="376" t="s">
        <v>634</v>
      </c>
      <c r="K145" s="1"/>
    </row>
    <row r="146" spans="3:11" ht="14" customHeight="1">
      <c r="C146" s="1" t="s">
        <v>265</v>
      </c>
      <c r="D146" s="105">
        <f>0/D64</f>
        <v>0</v>
      </c>
      <c r="E146" s="105">
        <f>0/E64</f>
        <v>0</v>
      </c>
      <c r="F146" s="105">
        <f t="shared" ref="F146:H146" si="28">0/F64</f>
        <v>0</v>
      </c>
      <c r="G146" s="105">
        <f t="shared" si="28"/>
        <v>0</v>
      </c>
      <c r="H146" s="105">
        <f t="shared" si="28"/>
        <v>0</v>
      </c>
      <c r="I146" s="143"/>
      <c r="J146" s="376" t="s">
        <v>633</v>
      </c>
      <c r="K146" s="1"/>
    </row>
    <row r="147" spans="3:11" ht="12">
      <c r="C147" s="1" t="s">
        <v>16</v>
      </c>
      <c r="D147" s="105">
        <f>D145/D142</f>
        <v>0</v>
      </c>
      <c r="E147" s="105">
        <f>E145/E142</f>
        <v>0</v>
      </c>
      <c r="F147" s="105">
        <f t="shared" ref="F147:H147" si="29">F145/F142</f>
        <v>0</v>
      </c>
      <c r="G147" s="105">
        <f t="shared" si="29"/>
        <v>0</v>
      </c>
      <c r="H147" s="105">
        <f t="shared" si="29"/>
        <v>0</v>
      </c>
      <c r="K147" s="1"/>
    </row>
    <row r="148" spans="3:11" ht="12">
      <c r="C148" s="452" t="s">
        <v>277</v>
      </c>
      <c r="D148" s="452"/>
      <c r="E148" s="452"/>
      <c r="F148" s="452"/>
      <c r="G148" s="452"/>
      <c r="H148" s="452"/>
      <c r="K148" s="1"/>
    </row>
    <row r="149" spans="3:11" ht="12">
      <c r="C149" s="1" t="s">
        <v>69</v>
      </c>
      <c r="D149" s="94">
        <f>D47/E47-1</f>
        <v>0.1099089224666614</v>
      </c>
      <c r="E149" s="94">
        <f t="shared" ref="E149:G149" si="30">E47/F47-1</f>
        <v>0.1182957412988368</v>
      </c>
      <c r="F149" s="94">
        <f t="shared" si="30"/>
        <v>9.399517263985091E-2</v>
      </c>
      <c r="G149" s="94">
        <f t="shared" si="30"/>
        <v>0.21695366571345676</v>
      </c>
      <c r="H149" s="120" t="s">
        <v>268</v>
      </c>
      <c r="K149" s="1"/>
    </row>
    <row r="150" spans="3:11" ht="12">
      <c r="C150" s="1" t="s">
        <v>275</v>
      </c>
      <c r="D150" s="105">
        <f>(D48-D75)/D47</f>
        <v>0.42869996347727674</v>
      </c>
      <c r="E150" s="105">
        <f t="shared" ref="E150:H150" si="31">(E48-E75)/E47</f>
        <v>0.44551614951677582</v>
      </c>
      <c r="F150" s="105">
        <f t="shared" si="31"/>
        <v>0.48038553804308703</v>
      </c>
      <c r="G150" s="105">
        <f t="shared" si="31"/>
        <v>0.50638539702270224</v>
      </c>
      <c r="H150" s="105">
        <f t="shared" si="31"/>
        <v>0.53909973475900363</v>
      </c>
      <c r="K150" s="1"/>
    </row>
    <row r="151" spans="3:11" ht="12">
      <c r="C151" s="1" t="s">
        <v>276</v>
      </c>
      <c r="D151" s="27">
        <f>D47-D48</f>
        <v>311671</v>
      </c>
      <c r="E151" s="27">
        <f t="shared" ref="E151:H151" si="32">E47-E48</f>
        <v>270046</v>
      </c>
      <c r="F151" s="27">
        <f t="shared" si="32"/>
        <v>225152</v>
      </c>
      <c r="G151" s="27">
        <f t="shared" si="32"/>
        <v>197478</v>
      </c>
      <c r="H151" s="27">
        <f t="shared" si="32"/>
        <v>152757</v>
      </c>
      <c r="K151" s="1"/>
    </row>
    <row r="152" spans="3:11" ht="12">
      <c r="C152" s="1" t="s">
        <v>270</v>
      </c>
      <c r="D152" s="105">
        <f>D151/D47</f>
        <v>0.48854393464156787</v>
      </c>
      <c r="E152" s="105">
        <f>E151/E47</f>
        <v>0.46982088955000567</v>
      </c>
      <c r="F152" s="105">
        <f>F151/F47</f>
        <v>0.43805339865326287</v>
      </c>
      <c r="G152" s="105">
        <f>G151/G47</f>
        <v>0.42032514441639601</v>
      </c>
      <c r="H152" s="105">
        <f>H151/H47</f>
        <v>0.3956779186870571</v>
      </c>
      <c r="K152" s="1"/>
    </row>
    <row r="153" spans="3:11" ht="12">
      <c r="C153" s="1" t="s">
        <v>271</v>
      </c>
      <c r="D153" s="105">
        <f>(D51+D52+D50+D49)/D47</f>
        <v>0.37982848427563526</v>
      </c>
      <c r="E153" s="105">
        <f t="shared" ref="E153:H153" si="33">(E51+E52+E50+E49)/E47</f>
        <v>0.40437206955644284</v>
      </c>
      <c r="F153" s="105">
        <f t="shared" si="33"/>
        <v>0.41176653702554367</v>
      </c>
      <c r="G153" s="105">
        <f t="shared" si="33"/>
        <v>0.36723908203532402</v>
      </c>
      <c r="H153" s="105">
        <f t="shared" si="33"/>
        <v>0.33655818724356584</v>
      </c>
      <c r="K153" s="1"/>
    </row>
    <row r="154" spans="3:11" ht="12">
      <c r="C154" s="1" t="s">
        <v>272</v>
      </c>
      <c r="D154" s="105">
        <f>D50/D47</f>
        <v>0.13879261833440706</v>
      </c>
      <c r="E154" s="105">
        <f t="shared" ref="E154:H154" si="34">E50/E47</f>
        <v>0.14896352549214054</v>
      </c>
      <c r="F154" s="105">
        <f t="shared" si="34"/>
        <v>0.14244245432241923</v>
      </c>
      <c r="G154" s="105">
        <f t="shared" si="34"/>
        <v>0.11930475797216818</v>
      </c>
      <c r="H154" s="105">
        <f t="shared" si="34"/>
        <v>0.11070703303079282</v>
      </c>
      <c r="K154" s="1"/>
    </row>
    <row r="155" spans="3:11" ht="12">
      <c r="C155" s="1" t="s">
        <v>381</v>
      </c>
      <c r="D155" s="105">
        <f>D59/D47</f>
        <v>-3.5268724165659548E-3</v>
      </c>
      <c r="E155" s="105">
        <f t="shared" ref="E155:H155" si="35">E59/E47</f>
        <v>1.6319145419591674E-3</v>
      </c>
      <c r="F155" s="105">
        <f t="shared" si="35"/>
        <v>-3.2697579491928724E-2</v>
      </c>
      <c r="G155" s="105">
        <f t="shared" si="35"/>
        <v>3.1145838211067169E-2</v>
      </c>
      <c r="H155" s="105">
        <f t="shared" si="35"/>
        <v>6.141468772017075E-3</v>
      </c>
      <c r="K155" s="1"/>
    </row>
    <row r="156" spans="3:11" ht="12">
      <c r="C156" s="1" t="s">
        <v>95</v>
      </c>
      <c r="D156" s="27">
        <f>D58+D75+D64+D62</f>
        <v>100372</v>
      </c>
      <c r="E156" s="27">
        <f t="shared" ref="E156:H156" si="36">E58+E75+E64+E62</f>
        <v>68786</v>
      </c>
      <c r="F156" s="27">
        <f t="shared" si="36"/>
        <v>40049</v>
      </c>
      <c r="G156" s="27">
        <f t="shared" si="36"/>
        <v>61197</v>
      </c>
      <c r="H156" s="27">
        <f t="shared" si="36"/>
        <v>42001</v>
      </c>
      <c r="K156" s="1"/>
    </row>
    <row r="157" spans="3:11" ht="12">
      <c r="C157" s="1" t="s">
        <v>273</v>
      </c>
      <c r="D157" s="105">
        <f>D156/D47</f>
        <v>0.15733299475358134</v>
      </c>
      <c r="E157" s="105">
        <f>E156/E47</f>
        <v>0.11967257322303122</v>
      </c>
      <c r="F157" s="105">
        <f>F156/F47</f>
        <v>7.7918919497337466E-2</v>
      </c>
      <c r="G157" s="105">
        <f>G156/G47</f>
        <v>0.13025571386610249</v>
      </c>
      <c r="H157" s="105">
        <f>H156/H47</f>
        <v>0.10879284263749016</v>
      </c>
      <c r="K157" s="1"/>
    </row>
    <row r="158" spans="3:11" ht="12">
      <c r="C158" s="1" t="s">
        <v>99</v>
      </c>
      <c r="D158" s="27">
        <f>D56*(1-21%)</f>
        <v>54188.47</v>
      </c>
      <c r="E158" s="27">
        <f t="shared" ref="E158:H158" si="37">E56*(1-21%)</f>
        <v>29113.08</v>
      </c>
      <c r="F158" s="27">
        <f t="shared" si="37"/>
        <v>9675.92</v>
      </c>
      <c r="G158" s="27">
        <f t="shared" si="37"/>
        <v>19654.41</v>
      </c>
      <c r="H158" s="27">
        <f t="shared" si="37"/>
        <v>18090.21</v>
      </c>
      <c r="K158" s="1"/>
    </row>
    <row r="159" spans="3:11" ht="12">
      <c r="C159" s="1" t="s">
        <v>274</v>
      </c>
      <c r="D159" s="105">
        <f>D62/D61</f>
        <v>-0.13503075174162707</v>
      </c>
      <c r="E159" s="105">
        <f t="shared" ref="E159:H159" si="38">E62/E61</f>
        <v>-0.18957850733551668</v>
      </c>
      <c r="F159" s="105">
        <f t="shared" si="38"/>
        <v>-0.54194743935309975</v>
      </c>
      <c r="G159" s="105">
        <f t="shared" si="38"/>
        <v>-0.12557993237398757</v>
      </c>
      <c r="H159" s="105">
        <f t="shared" si="38"/>
        <v>-0.1184134337000579</v>
      </c>
      <c r="K159" s="1"/>
    </row>
    <row r="160" spans="3:11" ht="12">
      <c r="C160" s="1" t="s">
        <v>86</v>
      </c>
      <c r="D160" s="105">
        <f>D87/D47</f>
        <v>-0.13010083720113674</v>
      </c>
      <c r="E160" s="105">
        <f t="shared" ref="E160:H160" si="39">E87/E47</f>
        <v>-9.1736910322990334E-2</v>
      </c>
      <c r="F160" s="105">
        <f t="shared" si="39"/>
        <v>-0.12382705264571008</v>
      </c>
      <c r="G160" s="105">
        <f t="shared" si="39"/>
        <v>-0.12994921480901278</v>
      </c>
      <c r="H160" s="105">
        <f t="shared" si="39"/>
        <v>-0.10397239835882134</v>
      </c>
      <c r="K160" s="1"/>
    </row>
    <row r="161" spans="3:11" ht="12">
      <c r="C161" s="1" t="s">
        <v>673</v>
      </c>
      <c r="D161" s="390">
        <f>D49/D47</f>
        <v>0.15440647439725749</v>
      </c>
      <c r="E161" s="390">
        <f t="shared" ref="E161:H161" si="40">E49/E47</f>
        <v>0.1576572109571405</v>
      </c>
      <c r="F161" s="390">
        <f t="shared" si="40"/>
        <v>0.16401126107283703</v>
      </c>
      <c r="G161" s="390">
        <f t="shared" si="40"/>
        <v>0.15987118525739535</v>
      </c>
      <c r="H161" s="390">
        <f t="shared" si="40"/>
        <v>0.15157331426913673</v>
      </c>
      <c r="K161" s="1"/>
    </row>
    <row r="162" spans="3:11">
      <c r="C162"/>
      <c r="K162" s="1"/>
    </row>
    <row r="163" spans="3:11" ht="12">
      <c r="K163" s="1"/>
    </row>
    <row r="164" spans="3:11" ht="12">
      <c r="K164" s="1"/>
    </row>
    <row r="165" spans="3:11" ht="12">
      <c r="K165" s="1"/>
    </row>
    <row r="166" spans="3:11" ht="12">
      <c r="K166" s="1"/>
    </row>
    <row r="167" spans="3:11" ht="12">
      <c r="K167" s="1"/>
    </row>
    <row r="168" spans="3:11" ht="12">
      <c r="K168" s="1"/>
    </row>
    <row r="169" spans="3:11" ht="12">
      <c r="K169" s="1"/>
    </row>
  </sheetData>
  <pageMargins left="0.7" right="0.7" top="0.75" bottom="0.75" header="0.3" footer="0.3"/>
  <ignoredErrors>
    <ignoredError sqref="D64:H64" formulaRange="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D1E2-B6A0-453D-8C0E-49E05DA5B40F}">
  <sheetPr>
    <tabColor rgb="FFAFDEFF"/>
    <pageSetUpPr fitToPage="1"/>
  </sheetPr>
  <dimension ref="A1:O77"/>
  <sheetViews>
    <sheetView showGridLines="0" zoomScale="90" zoomScaleNormal="100" workbookViewId="0">
      <selection activeCell="L10" sqref="L10"/>
    </sheetView>
  </sheetViews>
  <sheetFormatPr baseColWidth="10" defaultColWidth="8.83203125" defaultRowHeight="12"/>
  <cols>
    <col min="1" max="2" width="3.1640625" style="1" customWidth="1"/>
    <col min="3" max="3" width="7.83203125" style="183" customWidth="1"/>
    <col min="4" max="10" width="10.83203125" style="183" customWidth="1"/>
    <col min="11" max="11" width="34.1640625" style="183" customWidth="1"/>
    <col min="12" max="12" width="29.33203125" style="183" customWidth="1"/>
    <col min="13" max="13" width="30" style="183" customWidth="1"/>
    <col min="14" max="14" width="19.5" style="183" customWidth="1"/>
    <col min="15" max="15" width="28.33203125" style="183" customWidth="1"/>
    <col min="16" max="16" width="13.1640625" style="183" customWidth="1"/>
    <col min="17" max="18" width="8.83203125" style="183"/>
    <col min="19" max="19" width="9.5" style="183" bestFit="1" customWidth="1"/>
    <col min="20" max="16384" width="8.83203125" style="183"/>
  </cols>
  <sheetData>
    <row r="1" spans="2:13" s="518" customFormat="1"/>
    <row r="2" spans="2:13" s="518" customFormat="1" ht="18">
      <c r="B2" s="541"/>
      <c r="F2" s="461" t="s">
        <v>637</v>
      </c>
    </row>
    <row r="3" spans="2:13" s="518" customFormat="1">
      <c r="B3" s="542"/>
      <c r="F3" s="460" t="s">
        <v>23</v>
      </c>
    </row>
    <row r="4" spans="2:13" s="518" customFormat="1">
      <c r="B4" s="542"/>
    </row>
    <row r="5" spans="2:13" s="518" customFormat="1" ht="7.75" customHeight="1">
      <c r="B5" s="542"/>
    </row>
    <row r="6" spans="2:13">
      <c r="B6" s="4"/>
    </row>
    <row r="7" spans="2:13">
      <c r="D7" s="185" t="s">
        <v>330</v>
      </c>
      <c r="E7" s="186"/>
      <c r="F7" s="186"/>
      <c r="G7" s="186"/>
    </row>
    <row r="8" spans="2:13">
      <c r="D8" s="184" t="s">
        <v>331</v>
      </c>
      <c r="G8" s="197">
        <v>0.72757043813749911</v>
      </c>
    </row>
    <row r="9" spans="2:13">
      <c r="D9" s="184" t="s">
        <v>213</v>
      </c>
      <c r="G9" s="197">
        <v>0.19620895590942347</v>
      </c>
    </row>
    <row r="10" spans="2:13">
      <c r="D10" s="184" t="s">
        <v>332</v>
      </c>
      <c r="G10" s="197">
        <v>1</v>
      </c>
    </row>
    <row r="11" spans="2:13">
      <c r="D11" s="184" t="s">
        <v>333</v>
      </c>
      <c r="G11" s="198">
        <f>SUMXMY2(E20:E56,I20:I56)/COUNT(E20:E56)</f>
        <v>19956347.74473004</v>
      </c>
      <c r="H11" s="187"/>
    </row>
    <row r="12" spans="2:13">
      <c r="D12" s="184" t="s">
        <v>334</v>
      </c>
      <c r="G12" s="172" cm="1">
        <f t="array" ref="G12">AVERAGE(ABS(E20:E56-I20:I56)/E20:E56)</f>
        <v>4.2656502741227412E-2</v>
      </c>
      <c r="H12" s="187"/>
    </row>
    <row r="13" spans="2:13">
      <c r="D13" s="184"/>
    </row>
    <row r="14" spans="2:13">
      <c r="D14" s="185" t="s">
        <v>335</v>
      </c>
      <c r="E14" s="186"/>
      <c r="F14" s="186"/>
      <c r="G14" s="186"/>
      <c r="H14" s="186"/>
      <c r="I14" s="186"/>
    </row>
    <row r="15" spans="2:13">
      <c r="C15" s="184"/>
      <c r="D15" s="188" t="s">
        <v>92</v>
      </c>
      <c r="E15" s="188" t="s">
        <v>336</v>
      </c>
      <c r="F15" s="188" t="s">
        <v>337</v>
      </c>
      <c r="G15" s="188" t="s">
        <v>338</v>
      </c>
      <c r="H15" s="188" t="s">
        <v>339</v>
      </c>
      <c r="I15" s="188" t="s">
        <v>61</v>
      </c>
      <c r="J15" s="189"/>
      <c r="K15" s="187"/>
      <c r="L15" s="187"/>
      <c r="M15" s="187"/>
    </row>
    <row r="16" spans="2:13">
      <c r="C16" s="184" t="s">
        <v>340</v>
      </c>
      <c r="D16" s="190">
        <v>42277</v>
      </c>
      <c r="E16" s="191">
        <v>25358</v>
      </c>
      <c r="F16" s="192"/>
      <c r="G16" s="192"/>
      <c r="H16" s="360">
        <f>E16/$F$19</f>
        <v>0.84080340194136127</v>
      </c>
      <c r="I16" s="192"/>
      <c r="J16" s="193"/>
      <c r="K16" s="193"/>
      <c r="L16" s="193"/>
      <c r="M16" s="193"/>
    </row>
    <row r="17" spans="4:13">
      <c r="D17" s="190">
        <v>42369</v>
      </c>
      <c r="E17" s="191">
        <v>35747</v>
      </c>
      <c r="F17" s="192"/>
      <c r="G17" s="192"/>
      <c r="H17" s="360">
        <f>E17/$F$19</f>
        <v>1.1852748327627511</v>
      </c>
      <c r="I17" s="192"/>
      <c r="J17" s="193"/>
      <c r="K17" s="193"/>
      <c r="L17" s="193"/>
      <c r="M17" s="193"/>
    </row>
    <row r="18" spans="4:13">
      <c r="D18" s="190">
        <v>42460</v>
      </c>
      <c r="E18" s="191">
        <v>29128</v>
      </c>
      <c r="F18" s="192"/>
      <c r="G18" s="192"/>
      <c r="H18" s="360">
        <f>E18/$F$19</f>
        <v>0.9658065104404121</v>
      </c>
      <c r="I18" s="192"/>
      <c r="J18" s="193"/>
      <c r="K18" s="193"/>
      <c r="L18" s="193"/>
      <c r="M18" s="193"/>
    </row>
    <row r="19" spans="4:13">
      <c r="D19" s="190">
        <v>42551</v>
      </c>
      <c r="E19" s="191">
        <v>30404</v>
      </c>
      <c r="F19" s="359">
        <f>AVERAGE(E16:E19)</f>
        <v>30159.25</v>
      </c>
      <c r="G19" s="360">
        <v>0</v>
      </c>
      <c r="H19" s="360">
        <f>E19/$F$19</f>
        <v>1.0081152548554755</v>
      </c>
      <c r="I19" s="192"/>
      <c r="J19" s="193"/>
      <c r="K19" s="193"/>
      <c r="L19" s="193"/>
      <c r="M19" s="193"/>
    </row>
    <row r="20" spans="4:13">
      <c r="D20" s="190">
        <v>42643</v>
      </c>
      <c r="E20" s="191">
        <v>32714</v>
      </c>
      <c r="F20" s="359">
        <f>$G$8*(E20/H16)+(1-$G$8)*(F19+G19)</f>
        <v>36524.600247848663</v>
      </c>
      <c r="G20" s="360">
        <f>$G$9*(F20-F19)+(1-$G$9)*G19</f>
        <v>1248.9387261281761</v>
      </c>
      <c r="H20" s="360">
        <f>$G$10*(E20/F20)+(1-$G$10)*H16</f>
        <v>0.89567030927126678</v>
      </c>
      <c r="I20" s="359">
        <f>SUM(F19:G19)*H16</f>
        <v>25358</v>
      </c>
      <c r="J20" s="193"/>
      <c r="K20" s="193"/>
      <c r="L20" s="193"/>
      <c r="M20" s="193"/>
    </row>
    <row r="21" spans="4:13">
      <c r="D21" s="190">
        <v>42735</v>
      </c>
      <c r="E21" s="191">
        <v>43741</v>
      </c>
      <c r="F21" s="359">
        <f t="shared" ref="F21:F56" si="0">$G$8*(E21/H17)+(1-$G$8)*(F20+G20)</f>
        <v>37140.65337149892</v>
      </c>
      <c r="G21" s="360">
        <f t="shared" ref="G21:G56" si="1">$G$9*(F21-F20)+(1-$G$9)*G20</f>
        <v>1124.7609028558772</v>
      </c>
      <c r="H21" s="360">
        <f t="shared" ref="H21:H56" si="2">$G$10*(E21/F21)+(1-$G$10)*H17</f>
        <v>1.1777121840717555</v>
      </c>
      <c r="I21" s="359">
        <f>SUM(F20:G20)*H17</f>
        <v>44772.025090237657</v>
      </c>
      <c r="J21" s="193"/>
      <c r="K21" s="193"/>
      <c r="L21" s="193"/>
      <c r="M21" s="193"/>
    </row>
    <row r="22" spans="4:13">
      <c r="D22" s="190">
        <v>42825</v>
      </c>
      <c r="E22" s="191">
        <v>35714</v>
      </c>
      <c r="F22" s="359">
        <f t="shared" si="0"/>
        <v>37329.03620398794</v>
      </c>
      <c r="G22" s="360">
        <f t="shared" si="1"/>
        <v>941.03513933271552</v>
      </c>
      <c r="H22" s="360">
        <f t="shared" si="2"/>
        <v>0.95673512181877862</v>
      </c>
      <c r="I22" s="359">
        <f>SUM(F21:G21)*H18</f>
        <v>36956.986230871342</v>
      </c>
      <c r="J22" s="193"/>
      <c r="K22" s="193"/>
      <c r="L22" s="193"/>
      <c r="M22" s="193"/>
    </row>
    <row r="23" spans="4:13">
      <c r="D23" s="190">
        <v>42916</v>
      </c>
      <c r="E23" s="191">
        <v>37955</v>
      </c>
      <c r="F23" s="359">
        <f t="shared" si="0"/>
        <v>37818.536511567625</v>
      </c>
      <c r="G23" s="360">
        <f t="shared" si="1"/>
        <v>852.43996143771619</v>
      </c>
      <c r="H23" s="360">
        <f t="shared" si="2"/>
        <v>1.0036083757072576</v>
      </c>
      <c r="I23" s="359">
        <f t="shared" ref="I23:I56" si="3">SUM(F22:G22)*H19</f>
        <v>38580.64272560893</v>
      </c>
      <c r="J23" s="192"/>
      <c r="K23" s="192"/>
      <c r="L23" s="192"/>
      <c r="M23" s="192"/>
    </row>
    <row r="24" spans="4:13">
      <c r="D24" s="190">
        <v>43008</v>
      </c>
      <c r="E24" s="191">
        <v>43744</v>
      </c>
      <c r="F24" s="359">
        <f t="shared" si="0"/>
        <v>46069.22042541796</v>
      </c>
      <c r="G24" s="360">
        <f t="shared" si="1"/>
        <v>2304.0416829038022</v>
      </c>
      <c r="H24" s="360">
        <f t="shared" si="2"/>
        <v>0.94952768021802569</v>
      </c>
      <c r="I24" s="359">
        <f t="shared" si="3"/>
        <v>34636.445457398579</v>
      </c>
      <c r="J24" s="192"/>
      <c r="K24" s="192"/>
      <c r="L24" s="192"/>
      <c r="M24" s="192"/>
    </row>
    <row r="25" spans="4:13">
      <c r="D25" s="190">
        <v>43100</v>
      </c>
      <c r="E25" s="191">
        <v>60453</v>
      </c>
      <c r="F25" s="359">
        <f t="shared" si="0"/>
        <v>50525.135726832887</v>
      </c>
      <c r="G25" s="360">
        <f t="shared" si="1"/>
        <v>2726.2585588409029</v>
      </c>
      <c r="H25" s="360">
        <f t="shared" si="2"/>
        <v>1.1964935695936116</v>
      </c>
      <c r="I25" s="359">
        <f t="shared" si="3"/>
        <v>56969.780168267112</v>
      </c>
      <c r="J25" s="192"/>
      <c r="K25" s="192"/>
      <c r="L25" s="192"/>
      <c r="M25" s="192"/>
    </row>
    <row r="26" spans="4:13">
      <c r="D26" s="190">
        <v>43190</v>
      </c>
      <c r="E26" s="191">
        <v>51042</v>
      </c>
      <c r="F26" s="359">
        <f t="shared" si="0"/>
        <v>53323.274724766787</v>
      </c>
      <c r="G26" s="360">
        <f t="shared" si="1"/>
        <v>2740.3621447456508</v>
      </c>
      <c r="H26" s="360">
        <f t="shared" si="2"/>
        <v>0.95721803027773888</v>
      </c>
      <c r="I26" s="359">
        <f t="shared" si="3"/>
        <v>50947.479198923924</v>
      </c>
      <c r="J26" s="192"/>
      <c r="K26" s="192"/>
      <c r="L26" s="192"/>
      <c r="M26" s="192"/>
    </row>
    <row r="27" spans="4:13">
      <c r="D27" s="190">
        <v>43281</v>
      </c>
      <c r="E27" s="191">
        <v>52886</v>
      </c>
      <c r="F27" s="359">
        <f t="shared" si="0"/>
        <v>53613.337293010365</v>
      </c>
      <c r="G27" s="360">
        <f t="shared" si="1"/>
        <v>2259.5914231748766</v>
      </c>
      <c r="H27" s="360">
        <f t="shared" si="2"/>
        <v>0.98643365010024864</v>
      </c>
      <c r="I27" s="359">
        <f t="shared" si="3"/>
        <v>56265.935534852899</v>
      </c>
      <c r="J27" s="192"/>
      <c r="K27" s="192"/>
      <c r="L27" s="192"/>
      <c r="M27" s="192"/>
    </row>
    <row r="28" spans="4:13">
      <c r="D28" s="190">
        <v>43373</v>
      </c>
      <c r="E28" s="191">
        <v>56576</v>
      </c>
      <c r="F28" s="359">
        <f t="shared" si="0"/>
        <v>58572.490824995228</v>
      </c>
      <c r="G28" s="360">
        <f t="shared" si="1"/>
        <v>2789.2696859571256</v>
      </c>
      <c r="H28" s="360">
        <f t="shared" si="2"/>
        <v>0.96591418946207341</v>
      </c>
      <c r="I28" s="359">
        <f t="shared" si="3"/>
        <v>53052.892390866487</v>
      </c>
      <c r="J28" s="192"/>
      <c r="K28" s="192"/>
      <c r="L28" s="192"/>
      <c r="M28" s="192"/>
    </row>
    <row r="29" spans="4:13">
      <c r="D29" s="190">
        <v>43465</v>
      </c>
      <c r="E29" s="191">
        <v>72383</v>
      </c>
      <c r="F29" s="359">
        <f t="shared" si="0"/>
        <v>60731.813158692144</v>
      </c>
      <c r="G29" s="360">
        <f t="shared" si="1"/>
        <v>2665.6683736922446</v>
      </c>
      <c r="H29" s="360">
        <f t="shared" si="2"/>
        <v>1.19184651725881</v>
      </c>
      <c r="I29" s="359">
        <f t="shared" si="3"/>
        <v>73418.951870297693</v>
      </c>
      <c r="J29" s="192"/>
      <c r="K29" s="192"/>
      <c r="L29" s="192"/>
      <c r="M29" s="192"/>
    </row>
    <row r="30" spans="4:13">
      <c r="D30" s="190">
        <v>43555</v>
      </c>
      <c r="E30" s="191">
        <v>59700</v>
      </c>
      <c r="F30" s="359">
        <f t="shared" si="0"/>
        <v>62648.632897413976</v>
      </c>
      <c r="G30" s="360">
        <f t="shared" si="1"/>
        <v>2518.7375648905031</v>
      </c>
      <c r="H30" s="360">
        <f t="shared" si="2"/>
        <v>0.95293380300505026</v>
      </c>
      <c r="I30" s="359">
        <f t="shared" si="3"/>
        <v>60685.212396998308</v>
      </c>
      <c r="J30" s="192"/>
      <c r="K30" s="192"/>
      <c r="L30" s="192"/>
      <c r="M30" s="192"/>
    </row>
    <row r="31" spans="4:13">
      <c r="D31" s="190">
        <v>43646</v>
      </c>
      <c r="E31" s="191">
        <v>63404</v>
      </c>
      <c r="F31" s="359">
        <f t="shared" si="0"/>
        <v>64518.828809580664</v>
      </c>
      <c r="G31" s="360">
        <f t="shared" si="1"/>
        <v>2391.4878843457914</v>
      </c>
      <c r="H31" s="360">
        <f t="shared" si="2"/>
        <v>0.9827208765231783</v>
      </c>
      <c r="I31" s="359">
        <f t="shared" si="3"/>
        <v>64283.287112566133</v>
      </c>
      <c r="J31" s="192"/>
      <c r="K31" s="192"/>
      <c r="L31" s="192"/>
      <c r="M31" s="192"/>
    </row>
    <row r="32" spans="4:13">
      <c r="D32" s="190">
        <v>43738</v>
      </c>
      <c r="E32" s="191">
        <v>69981</v>
      </c>
      <c r="F32" s="359">
        <f t="shared" si="0"/>
        <v>70941.215911969368</v>
      </c>
      <c r="G32" s="360">
        <f t="shared" si="1"/>
        <v>3182.3864112941028</v>
      </c>
      <c r="H32" s="360">
        <f t="shared" si="2"/>
        <v>0.98646462568162219</v>
      </c>
      <c r="I32" s="359">
        <f t="shared" si="3"/>
        <v>64629.624316064604</v>
      </c>
      <c r="J32" s="192"/>
      <c r="K32" s="192"/>
      <c r="L32" s="192"/>
      <c r="M32" s="192"/>
    </row>
    <row r="33" spans="1:15">
      <c r="D33" s="190">
        <v>43830</v>
      </c>
      <c r="E33" s="191">
        <v>87436</v>
      </c>
      <c r="F33" s="359">
        <f t="shared" si="0"/>
        <v>73569.333914290473</v>
      </c>
      <c r="G33" s="360">
        <f t="shared" si="1"/>
        <v>3073.6339854759335</v>
      </c>
      <c r="H33" s="360">
        <f t="shared" si="2"/>
        <v>1.188484322854743</v>
      </c>
      <c r="I33" s="359">
        <f t="shared" si="3"/>
        <v>88343.957275658613</v>
      </c>
      <c r="J33" s="192"/>
      <c r="K33" s="192"/>
      <c r="L33" s="192"/>
      <c r="M33" s="192"/>
    </row>
    <row r="34" spans="1:15">
      <c r="D34" s="190">
        <v>43921</v>
      </c>
      <c r="E34" s="191">
        <v>75452</v>
      </c>
      <c r="F34" s="359">
        <f t="shared" si="0"/>
        <v>78487.846027534426</v>
      </c>
      <c r="G34" s="360">
        <f t="shared" si="1"/>
        <v>3435.6155967054287</v>
      </c>
      <c r="H34" s="360">
        <f t="shared" si="2"/>
        <v>0.96132081358852151</v>
      </c>
      <c r="I34" s="359">
        <f t="shared" si="3"/>
        <v>73035.674874318385</v>
      </c>
      <c r="J34" s="192"/>
      <c r="K34" s="192"/>
      <c r="L34" s="192"/>
      <c r="M34" s="192"/>
    </row>
    <row r="35" spans="1:15">
      <c r="D35" s="190">
        <v>44012</v>
      </c>
      <c r="E35" s="191">
        <v>88912</v>
      </c>
      <c r="F35" s="359">
        <f t="shared" si="0"/>
        <v>88145.551501904149</v>
      </c>
      <c r="G35" s="360">
        <f t="shared" si="1"/>
        <v>4656.4453551765328</v>
      </c>
      <c r="H35" s="360">
        <f t="shared" si="2"/>
        <v>1.0086952601128067</v>
      </c>
      <c r="I35" s="359">
        <f t="shared" si="3"/>
        <v>80507.89601518595</v>
      </c>
      <c r="J35" s="192"/>
      <c r="K35" s="192"/>
      <c r="L35" s="192"/>
      <c r="M35" s="192"/>
    </row>
    <row r="36" spans="1:15">
      <c r="D36" s="190">
        <v>44104</v>
      </c>
      <c r="E36" s="191">
        <v>96145</v>
      </c>
      <c r="F36" s="359">
        <f t="shared" si="0"/>
        <v>96194.088683092923</v>
      </c>
      <c r="G36" s="360">
        <f t="shared" si="1"/>
        <v>5322.0041507072847</v>
      </c>
      <c r="H36" s="360">
        <f t="shared" si="2"/>
        <v>0.99948969127141851</v>
      </c>
      <c r="I36" s="359">
        <f t="shared" si="3"/>
        <v>91545.887092127174</v>
      </c>
      <c r="J36" s="192"/>
      <c r="K36" s="192"/>
      <c r="L36" s="192"/>
      <c r="M36" s="192"/>
    </row>
    <row r="37" spans="1:15">
      <c r="D37" s="190">
        <v>44196</v>
      </c>
      <c r="E37" s="191">
        <v>125555</v>
      </c>
      <c r="F37" s="359">
        <f t="shared" si="0"/>
        <v>104518.67829637884</v>
      </c>
      <c r="G37" s="360">
        <f t="shared" si="1"/>
        <v>5911.138309348652</v>
      </c>
      <c r="H37" s="360">
        <f t="shared" si="2"/>
        <v>1.2012685392363021</v>
      </c>
      <c r="I37" s="359">
        <f t="shared" si="3"/>
        <v>120650.28485043827</v>
      </c>
      <c r="J37" s="192"/>
      <c r="K37" s="192"/>
      <c r="L37" s="192"/>
      <c r="M37" s="192"/>
    </row>
    <row r="38" spans="1:15">
      <c r="D38" s="190">
        <v>44286</v>
      </c>
      <c r="E38" s="191">
        <v>108518</v>
      </c>
      <c r="F38" s="359">
        <f t="shared" si="0"/>
        <v>112215.60564066475</v>
      </c>
      <c r="G38" s="360">
        <f t="shared" si="1"/>
        <v>6261.526111368189</v>
      </c>
      <c r="H38" s="360">
        <f t="shared" si="2"/>
        <v>0.96704909607220602</v>
      </c>
      <c r="I38" s="359">
        <f t="shared" si="3"/>
        <v>106158.48114384917</v>
      </c>
      <c r="J38" s="192"/>
      <c r="K38" s="192"/>
      <c r="L38" s="192"/>
      <c r="M38" s="192"/>
    </row>
    <row r="39" spans="1:15">
      <c r="D39" s="190">
        <v>44377</v>
      </c>
      <c r="E39" s="191">
        <v>113080</v>
      </c>
      <c r="F39" s="359">
        <f t="shared" si="0"/>
        <v>113841.11420708595</v>
      </c>
      <c r="G39" s="360">
        <f t="shared" si="1"/>
        <v>5351.8979492963708</v>
      </c>
      <c r="H39" s="360">
        <f t="shared" si="2"/>
        <v>0.99331424141104752</v>
      </c>
      <c r="I39" s="359">
        <f t="shared" si="3"/>
        <v>119507.32123003615</v>
      </c>
      <c r="J39" s="192"/>
      <c r="K39" s="192"/>
      <c r="L39" s="192"/>
      <c r="M39" s="192"/>
    </row>
    <row r="40" spans="1:15">
      <c r="D40" s="190">
        <v>44469</v>
      </c>
      <c r="E40" s="191">
        <v>110812</v>
      </c>
      <c r="F40" s="359">
        <f t="shared" si="0"/>
        <v>113136.39936986414</v>
      </c>
      <c r="G40" s="360">
        <f t="shared" si="1"/>
        <v>4163.5362781059757</v>
      </c>
      <c r="H40" s="360">
        <f t="shared" si="2"/>
        <v>0.979454893537267</v>
      </c>
      <c r="I40" s="359">
        <f t="shared" si="3"/>
        <v>119132.18692189299</v>
      </c>
      <c r="J40" s="192"/>
      <c r="K40" s="192"/>
      <c r="L40" s="192"/>
      <c r="M40" s="192"/>
    </row>
    <row r="41" spans="1:15">
      <c r="D41" s="190">
        <v>44561</v>
      </c>
      <c r="E41" s="191">
        <v>137412</v>
      </c>
      <c r="F41" s="359">
        <f t="shared" si="0"/>
        <v>115182.08128990038</v>
      </c>
      <c r="G41" s="360">
        <f t="shared" si="1"/>
        <v>3747.9942857408901</v>
      </c>
      <c r="H41" s="360">
        <f t="shared" si="2"/>
        <v>1.1929980641185793</v>
      </c>
      <c r="I41" s="359">
        <f t="shared" si="3"/>
        <v>140908.72234834931</v>
      </c>
      <c r="J41" s="192"/>
      <c r="K41" s="192"/>
      <c r="L41" s="192"/>
      <c r="M41" s="192"/>
    </row>
    <row r="42" spans="1:15">
      <c r="D42" s="190">
        <v>44651</v>
      </c>
      <c r="E42" s="191">
        <v>116444</v>
      </c>
      <c r="F42" s="359">
        <f t="shared" si="0"/>
        <v>120008.04241553837</v>
      </c>
      <c r="G42" s="360">
        <f t="shared" si="1"/>
        <v>3959.5010339020801</v>
      </c>
      <c r="H42" s="360">
        <f t="shared" si="2"/>
        <v>0.97030163692531912</v>
      </c>
      <c r="I42" s="359">
        <f t="shared" si="3"/>
        <v>115011.22208122304</v>
      </c>
      <c r="J42" s="192"/>
      <c r="K42" s="192"/>
      <c r="L42" s="192"/>
      <c r="M42" s="192"/>
    </row>
    <row r="43" spans="1:15">
      <c r="A43" s="183"/>
      <c r="B43" s="183"/>
      <c r="D43" s="190">
        <v>44742</v>
      </c>
      <c r="E43" s="191">
        <v>121234</v>
      </c>
      <c r="F43" s="359">
        <f t="shared" si="0"/>
        <v>122572.39320409614</v>
      </c>
      <c r="G43" s="360">
        <f t="shared" si="1"/>
        <v>3685.7600609262972</v>
      </c>
      <c r="H43" s="360">
        <f t="shared" si="2"/>
        <v>0.98908079405884186</v>
      </c>
      <c r="I43" s="359">
        <f t="shared" si="3"/>
        <v>123138.726381072</v>
      </c>
      <c r="J43" s="192"/>
      <c r="K43" s="192"/>
      <c r="L43" s="192"/>
      <c r="M43" s="192"/>
    </row>
    <row r="44" spans="1:15">
      <c r="A44" s="183"/>
      <c r="B44" s="183"/>
      <c r="D44" s="190">
        <v>44834</v>
      </c>
      <c r="E44" s="191">
        <v>127101</v>
      </c>
      <c r="F44" s="359">
        <f t="shared" si="0"/>
        <v>128811.14349338962</v>
      </c>
      <c r="G44" s="360">
        <f t="shared" si="1"/>
        <v>4186.6796080811837</v>
      </c>
      <c r="H44" s="360">
        <f t="shared" si="2"/>
        <v>0.98672363704715205</v>
      </c>
      <c r="I44" s="359">
        <f t="shared" si="3"/>
        <v>123664.16606440449</v>
      </c>
      <c r="J44" s="192"/>
      <c r="K44" s="192"/>
      <c r="L44" s="192"/>
      <c r="M44" s="192"/>
    </row>
    <row r="45" spans="1:15">
      <c r="A45" s="183"/>
      <c r="B45" s="183"/>
      <c r="D45" s="190">
        <v>44926</v>
      </c>
      <c r="E45" s="191">
        <v>149204</v>
      </c>
      <c r="F45" s="359">
        <f t="shared" si="0"/>
        <v>127227.17053427605</v>
      </c>
      <c r="G45" s="360">
        <f t="shared" si="1"/>
        <v>3054.4258929558669</v>
      </c>
      <c r="H45" s="360">
        <f t="shared" si="2"/>
        <v>1.1727369191143271</v>
      </c>
      <c r="I45" s="359">
        <f t="shared" si="3"/>
        <v>158666.14549203994</v>
      </c>
      <c r="J45" s="192"/>
      <c r="K45" s="192"/>
      <c r="L45" s="192"/>
      <c r="M45" s="192"/>
    </row>
    <row r="46" spans="1:15">
      <c r="A46" s="183"/>
      <c r="B46" s="183"/>
      <c r="D46" s="190">
        <v>45016</v>
      </c>
      <c r="E46" s="191">
        <v>127358</v>
      </c>
      <c r="F46" s="359">
        <f t="shared" si="0"/>
        <v>130990.60990520701</v>
      </c>
      <c r="G46" s="360">
        <f t="shared" si="1"/>
        <v>3193.5406871950672</v>
      </c>
      <c r="H46" s="360">
        <f t="shared" si="2"/>
        <v>0.97226816557434315</v>
      </c>
      <c r="I46" s="359">
        <f t="shared" si="3"/>
        <v>126412.44627458694</v>
      </c>
      <c r="J46" s="192"/>
      <c r="K46" s="192"/>
      <c r="L46" s="192"/>
      <c r="M46" s="192"/>
    </row>
    <row r="47" spans="1:15">
      <c r="A47" s="183"/>
      <c r="B47" s="183"/>
      <c r="D47" s="190">
        <v>45107</v>
      </c>
      <c r="E47" s="191">
        <v>134383</v>
      </c>
      <c r="F47" s="359">
        <f t="shared" si="0"/>
        <v>135408.21822680114</v>
      </c>
      <c r="G47" s="360">
        <f t="shared" si="1"/>
        <v>3433.7137197030256</v>
      </c>
      <c r="H47" s="360">
        <f t="shared" si="2"/>
        <v>0.99242868534697093</v>
      </c>
      <c r="I47" s="359">
        <f t="shared" si="3"/>
        <v>132718.96621804425</v>
      </c>
      <c r="J47" s="192"/>
      <c r="K47" s="192"/>
      <c r="L47" s="192"/>
      <c r="M47" s="192"/>
    </row>
    <row r="48" spans="1:15">
      <c r="A48" s="183"/>
      <c r="B48" s="183"/>
      <c r="D48" s="190">
        <v>45199</v>
      </c>
      <c r="E48" s="191">
        <v>143083</v>
      </c>
      <c r="F48" s="359">
        <f t="shared" si="0"/>
        <v>143328.31265052725</v>
      </c>
      <c r="G48" s="360">
        <f t="shared" si="1"/>
        <v>4313.9817934515795</v>
      </c>
      <c r="H48" s="360">
        <f t="shared" si="2"/>
        <v>0.998288456439689</v>
      </c>
      <c r="I48" s="359">
        <f t="shared" si="3"/>
        <v>136998.61606490775</v>
      </c>
      <c r="J48" s="193"/>
      <c r="K48" s="193"/>
      <c r="L48" s="193"/>
      <c r="M48" s="193"/>
      <c r="O48" s="187"/>
    </row>
    <row r="49" spans="1:15">
      <c r="A49" s="183"/>
      <c r="B49" s="183"/>
      <c r="D49" s="190">
        <v>45291</v>
      </c>
      <c r="E49" s="191">
        <v>169961</v>
      </c>
      <c r="F49" s="359">
        <f t="shared" si="0"/>
        <v>145666.57542196673</v>
      </c>
      <c r="G49" s="360">
        <f t="shared" si="1"/>
        <v>3926.3280269721981</v>
      </c>
      <c r="H49" s="360">
        <f t="shared" si="2"/>
        <v>1.1667810512305739</v>
      </c>
      <c r="I49" s="359">
        <f t="shared" si="3"/>
        <v>173145.56951720206</v>
      </c>
      <c r="J49" s="193"/>
      <c r="K49" s="193"/>
      <c r="L49" s="193"/>
      <c r="M49" s="193"/>
      <c r="O49" s="187"/>
    </row>
    <row r="50" spans="1:15">
      <c r="A50" s="183"/>
      <c r="B50" s="183"/>
      <c r="D50" s="190">
        <v>45382</v>
      </c>
      <c r="E50" s="194">
        <v>143313</v>
      </c>
      <c r="F50" s="359">
        <f t="shared" si="0"/>
        <v>147997.91489381925</v>
      </c>
      <c r="G50" s="360">
        <f t="shared" si="1"/>
        <v>3613.3769878846865</v>
      </c>
      <c r="H50" s="360">
        <f t="shared" si="2"/>
        <v>0.96834472365924595</v>
      </c>
      <c r="I50" s="359">
        <f t="shared" si="3"/>
        <v>145444.41781923966</v>
      </c>
      <c r="J50" s="193"/>
      <c r="K50" s="193"/>
      <c r="L50" s="193"/>
      <c r="M50" s="193"/>
      <c r="O50" s="187"/>
    </row>
    <row r="51" spans="1:15">
      <c r="A51" s="183"/>
      <c r="B51" s="183"/>
      <c r="D51" s="190">
        <v>45473</v>
      </c>
      <c r="E51" s="194">
        <v>147977</v>
      </c>
      <c r="F51" s="359">
        <f t="shared" si="0"/>
        <v>149788.4631094684</v>
      </c>
      <c r="G51" s="360">
        <f t="shared" si="1"/>
        <v>3255.7216576826954</v>
      </c>
      <c r="H51" s="360">
        <f t="shared" si="2"/>
        <v>0.98790652449551775</v>
      </c>
      <c r="I51" s="359">
        <f t="shared" si="3"/>
        <v>150463.39508591534</v>
      </c>
      <c r="J51" s="193"/>
      <c r="K51" s="193"/>
      <c r="L51" s="193"/>
      <c r="M51" s="193"/>
      <c r="O51" s="187"/>
    </row>
    <row r="52" spans="1:15">
      <c r="A52" s="183"/>
      <c r="B52" s="183"/>
      <c r="D52" s="190">
        <v>45565</v>
      </c>
      <c r="E52" s="191">
        <v>158877</v>
      </c>
      <c r="F52" s="359">
        <f t="shared" si="0"/>
        <v>157486.15242493269</v>
      </c>
      <c r="G52" s="360">
        <f t="shared" si="1"/>
        <v>4127.2754939994493</v>
      </c>
      <c r="H52" s="360">
        <f t="shared" si="2"/>
        <v>1.0088315547345046</v>
      </c>
      <c r="I52" s="359">
        <f t="shared" si="3"/>
        <v>152782.24297826985</v>
      </c>
      <c r="J52" s="193"/>
      <c r="K52" s="193"/>
      <c r="L52" s="193"/>
      <c r="O52" s="187"/>
    </row>
    <row r="53" spans="1:15">
      <c r="A53" s="183"/>
      <c r="B53" s="183"/>
      <c r="D53" s="190">
        <v>45657</v>
      </c>
      <c r="E53" s="191">
        <v>187792</v>
      </c>
      <c r="F53" s="359">
        <f t="shared" si="0"/>
        <v>161129.8580206958</v>
      </c>
      <c r="G53" s="360">
        <f t="shared" si="1"/>
        <v>4032.3947491572708</v>
      </c>
      <c r="H53" s="360">
        <f t="shared" si="2"/>
        <v>1.1654699030137523</v>
      </c>
      <c r="I53" s="359">
        <f t="shared" si="3"/>
        <v>188567.48532022821</v>
      </c>
      <c r="J53" s="193"/>
      <c r="K53" s="193"/>
      <c r="L53" s="193"/>
      <c r="O53" s="187"/>
    </row>
    <row r="54" spans="1:15">
      <c r="A54" s="183"/>
      <c r="B54" s="183"/>
      <c r="D54" s="190">
        <v>45747</v>
      </c>
      <c r="E54" s="194">
        <v>155667</v>
      </c>
      <c r="F54" s="359">
        <f>$G$8*(E54/H50)+(1-$G$8)*(F53+G53)</f>
        <v>161956.2249101139</v>
      </c>
      <c r="G54" s="360">
        <f t="shared" si="1"/>
        <v>3403.3433701813256</v>
      </c>
      <c r="H54" s="360">
        <f t="shared" si="2"/>
        <v>0.96116713072557458</v>
      </c>
      <c r="I54" s="359">
        <f t="shared" si="3"/>
        <v>159933.9960173619</v>
      </c>
      <c r="J54" s="193"/>
      <c r="K54" s="193"/>
      <c r="L54" s="193"/>
      <c r="O54" s="187"/>
    </row>
    <row r="55" spans="1:15">
      <c r="A55" s="183"/>
      <c r="B55" s="183"/>
      <c r="D55" s="190">
        <v>45838</v>
      </c>
      <c r="E55" s="194">
        <v>167702</v>
      </c>
      <c r="F55" s="359">
        <f t="shared" si="0"/>
        <v>168557.50138764642</v>
      </c>
      <c r="G55" s="360">
        <f t="shared" si="1"/>
        <v>4030.8064862428819</v>
      </c>
      <c r="H55" s="360">
        <f t="shared" si="2"/>
        <v>0.99492457244202415</v>
      </c>
      <c r="I55" s="359">
        <f t="shared" si="3"/>
        <v>163359.79639186573</v>
      </c>
      <c r="J55" s="193"/>
      <c r="K55" s="193"/>
      <c r="L55" s="193"/>
      <c r="O55" s="187"/>
    </row>
    <row r="56" spans="1:15">
      <c r="A56" s="183"/>
      <c r="B56" s="183"/>
      <c r="D56" s="195">
        <v>45930</v>
      </c>
      <c r="E56" s="196">
        <v>180169</v>
      </c>
      <c r="F56" s="361">
        <f t="shared" si="0"/>
        <v>176956.24007356216</v>
      </c>
      <c r="G56" s="362">
        <f t="shared" si="1"/>
        <v>4887.8339026238455</v>
      </c>
      <c r="H56" s="362">
        <f t="shared" si="2"/>
        <v>1.0181556746747233</v>
      </c>
      <c r="I56" s="361">
        <f t="shared" si="3"/>
        <v>174112.53096141308</v>
      </c>
      <c r="J56" s="193"/>
    </row>
    <row r="57" spans="1:15">
      <c r="A57" s="183"/>
      <c r="B57" s="183"/>
      <c r="C57" s="184" t="s">
        <v>61</v>
      </c>
      <c r="D57" s="190">
        <v>46022</v>
      </c>
      <c r="E57" s="563"/>
      <c r="F57" s="564"/>
      <c r="G57" s="564"/>
      <c r="H57" s="564"/>
      <c r="I57" s="565">
        <f>($F$56+$G$56*(ROW()-ROW($I$56)))*H52</f>
        <v>183450.03986865201</v>
      </c>
      <c r="J57" s="193"/>
    </row>
    <row r="58" spans="1:15">
      <c r="A58" s="183"/>
      <c r="B58" s="183"/>
      <c r="D58" s="190">
        <v>46112</v>
      </c>
      <c r="E58" s="564"/>
      <c r="F58" s="564"/>
      <c r="G58" s="564"/>
      <c r="H58" s="564"/>
      <c r="I58" s="565">
        <f>($F$56+$G$56*(ROW()-ROW($I$56)))*H53</f>
        <v>217630.41856508944</v>
      </c>
      <c r="J58" s="193"/>
    </row>
    <row r="59" spans="1:15">
      <c r="A59" s="183"/>
      <c r="B59" s="183"/>
      <c r="D59" s="190">
        <v>46203</v>
      </c>
      <c r="E59" s="564"/>
      <c r="F59" s="564"/>
      <c r="G59" s="564"/>
      <c r="H59" s="564"/>
      <c r="I59" s="565">
        <f>($F$56+$G$56*(ROW()-ROW($I$56)))*H54</f>
        <v>184178.59739843613</v>
      </c>
      <c r="J59" s="193"/>
    </row>
    <row r="60" spans="1:15">
      <c r="A60" s="183"/>
      <c r="B60" s="183"/>
      <c r="D60" s="190">
        <v>46295</v>
      </c>
      <c r="E60" s="564"/>
      <c r="F60" s="564"/>
      <c r="G60" s="564"/>
      <c r="H60" s="564"/>
      <c r="I60" s="565">
        <f>($F$56+$G$56*(ROW()-ROW($I$56)))*H56</f>
        <v>200075.30329929586</v>
      </c>
      <c r="J60" s="193"/>
    </row>
    <row r="61" spans="1:15">
      <c r="A61" s="183"/>
      <c r="B61" s="183"/>
      <c r="D61" s="199" t="s">
        <v>645</v>
      </c>
      <c r="E61" s="199"/>
      <c r="F61" s="199"/>
      <c r="G61" s="199"/>
      <c r="H61" s="199"/>
      <c r="I61" s="200">
        <f>SUM(I57:I60)</f>
        <v>785334.35913147347</v>
      </c>
      <c r="J61" s="193"/>
    </row>
    <row r="62" spans="1:15">
      <c r="A62" s="183"/>
      <c r="B62" s="183"/>
      <c r="I62" s="193"/>
      <c r="J62" s="193"/>
    </row>
    <row r="63" spans="1:15">
      <c r="A63" s="183"/>
      <c r="B63" s="183"/>
      <c r="D63" s="426">
        <v>2023</v>
      </c>
      <c r="E63" s="428">
        <f>E77</f>
        <v>1128.9974600217658</v>
      </c>
      <c r="I63" s="193"/>
    </row>
    <row r="64" spans="1:15">
      <c r="A64" s="183"/>
      <c r="B64" s="183"/>
      <c r="D64" s="426">
        <v>2029</v>
      </c>
      <c r="E64" s="428">
        <f>E76</f>
        <v>1026.3613272925143</v>
      </c>
      <c r="I64" s="193"/>
    </row>
    <row r="65" spans="1:9">
      <c r="A65" s="183"/>
      <c r="B65" s="183"/>
      <c r="D65" s="426">
        <v>2028</v>
      </c>
      <c r="E65" s="428">
        <f>E75</f>
        <v>933.0557520841038</v>
      </c>
      <c r="I65" s="193"/>
    </row>
    <row r="66" spans="1:9">
      <c r="D66" s="426">
        <v>2027</v>
      </c>
      <c r="E66" s="428">
        <f>E74</f>
        <v>856.01445145330615</v>
      </c>
      <c r="I66" s="193"/>
    </row>
    <row r="67" spans="1:9">
      <c r="D67" s="427" t="s">
        <v>649</v>
      </c>
      <c r="E67" s="428">
        <f>I60/1000</f>
        <v>200.07530329929585</v>
      </c>
    </row>
    <row r="68" spans="1:9">
      <c r="D68" s="427" t="s">
        <v>648</v>
      </c>
      <c r="E68" s="428">
        <f>I59/1000</f>
        <v>184.17859739843612</v>
      </c>
    </row>
    <row r="69" spans="1:9">
      <c r="A69" s="183"/>
      <c r="B69" s="183"/>
      <c r="D69" s="427" t="s">
        <v>647</v>
      </c>
      <c r="E69" s="428">
        <f>I58/1000</f>
        <v>217.63041856508943</v>
      </c>
    </row>
    <row r="70" spans="1:9">
      <c r="A70" s="183"/>
      <c r="B70" s="183"/>
      <c r="D70" s="427" t="s">
        <v>646</v>
      </c>
      <c r="E70" s="428">
        <f>I57/1000</f>
        <v>183.450039868652</v>
      </c>
    </row>
    <row r="74" spans="1:9">
      <c r="D74" s="426">
        <v>2024</v>
      </c>
      <c r="E74" s="192" cm="1">
        <f t="array" ref="E74:E77">TRANSPOSE(Revenue!J33:M33)</f>
        <v>856.01445145330615</v>
      </c>
    </row>
    <row r="75" spans="1:9">
      <c r="D75" s="426">
        <v>2025</v>
      </c>
      <c r="E75" s="192">
        <v>933.0557520841038</v>
      </c>
    </row>
    <row r="76" spans="1:9">
      <c r="D76" s="426">
        <v>2026</v>
      </c>
      <c r="E76" s="192">
        <v>1026.3613272925143</v>
      </c>
    </row>
    <row r="77" spans="1:9">
      <c r="D77" s="426">
        <v>2027</v>
      </c>
      <c r="E77" s="192">
        <v>1128.9974600217658</v>
      </c>
    </row>
  </sheetData>
  <printOptions headings="1" gridLines="1"/>
  <pageMargins left="0.25" right="0.25" top="0.75" bottom="0.75" header="0.3" footer="0.3"/>
  <pageSetup scale="51" orientation="landscape" horizontalDpi="1200" verticalDpi="1200" r:id="rId1"/>
  <ignoredErrors>
    <ignoredError sqref="G12"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8864B-5CDD-4489-AFBF-815C8F0E0B42}">
  <sheetPr>
    <tabColor rgb="FFAFDEFF"/>
  </sheetPr>
  <dimension ref="B1:AB105"/>
  <sheetViews>
    <sheetView showGridLines="0" topLeftCell="A16" zoomScale="75" workbookViewId="0">
      <selection activeCell="Y46" sqref="Y46"/>
    </sheetView>
  </sheetViews>
  <sheetFormatPr baseColWidth="10" defaultColWidth="8.83203125" defaultRowHeight="12"/>
  <cols>
    <col min="1" max="2" width="3.1640625" style="1" customWidth="1"/>
    <col min="3" max="3" width="40.5" style="1" customWidth="1"/>
    <col min="4" max="5" width="9.33203125" style="1" bestFit="1" customWidth="1"/>
    <col min="6" max="13" width="10.1640625" style="1" bestFit="1" customWidth="1"/>
    <col min="14" max="16384" width="8.83203125" style="1"/>
  </cols>
  <sheetData>
    <row r="1" spans="2:8" s="518" customFormat="1" ht="15" customHeight="1"/>
    <row r="2" spans="2:8" s="518" customFormat="1" ht="18" customHeight="1">
      <c r="B2" s="541"/>
      <c r="D2" s="461" t="s">
        <v>90</v>
      </c>
    </row>
    <row r="3" spans="2:8" s="518" customFormat="1" ht="13" customHeight="1">
      <c r="B3" s="542"/>
      <c r="C3" s="461"/>
      <c r="D3" s="460" t="s">
        <v>23</v>
      </c>
    </row>
    <row r="4" spans="2:8" s="518" customFormat="1" ht="12" customHeight="1">
      <c r="B4" s="542"/>
      <c r="C4" s="460"/>
    </row>
    <row r="5" spans="2:8" s="518" customFormat="1" ht="7.75" customHeight="1">
      <c r="B5" s="542"/>
    </row>
    <row r="6" spans="2:8">
      <c r="B6" s="4"/>
      <c r="E6" s="58"/>
    </row>
    <row r="7" spans="2:8">
      <c r="B7" s="4"/>
      <c r="D7" s="27"/>
      <c r="E7" s="27"/>
      <c r="F7" s="27"/>
      <c r="G7" s="27"/>
      <c r="H7" s="27"/>
    </row>
    <row r="8" spans="2:8">
      <c r="B8" s="4"/>
      <c r="D8" s="27"/>
      <c r="E8" s="27"/>
      <c r="F8" s="27"/>
      <c r="G8" s="27"/>
      <c r="H8" s="27"/>
    </row>
    <row r="9" spans="2:8">
      <c r="B9" s="4"/>
      <c r="D9" s="27"/>
      <c r="E9" s="27"/>
      <c r="F9" s="27"/>
      <c r="G9" s="27"/>
      <c r="H9" s="27"/>
    </row>
    <row r="10" spans="2:8">
      <c r="B10" s="4"/>
      <c r="D10" s="27"/>
      <c r="E10" s="27"/>
      <c r="F10" s="27"/>
      <c r="G10" s="27"/>
      <c r="H10" s="27"/>
    </row>
    <row r="11" spans="2:8">
      <c r="B11" s="4"/>
      <c r="D11" s="27"/>
      <c r="E11" s="27"/>
      <c r="F11" s="27"/>
      <c r="G11" s="27"/>
      <c r="H11" s="27"/>
    </row>
    <row r="12" spans="2:8">
      <c r="B12" s="4"/>
      <c r="D12" s="27"/>
      <c r="E12" s="27"/>
      <c r="F12" s="27"/>
      <c r="G12" s="27"/>
      <c r="H12" s="27"/>
    </row>
    <row r="13" spans="2:8">
      <c r="B13" s="4"/>
      <c r="D13" s="27"/>
      <c r="E13" s="27"/>
      <c r="F13" s="27"/>
      <c r="G13" s="27"/>
      <c r="H13" s="27"/>
    </row>
    <row r="14" spans="2:8">
      <c r="B14" s="4"/>
      <c r="D14" s="27"/>
      <c r="E14" s="27"/>
      <c r="F14" s="27"/>
      <c r="G14" s="27"/>
      <c r="H14" s="27"/>
    </row>
    <row r="15" spans="2:8">
      <c r="B15" s="4"/>
      <c r="D15" s="27"/>
      <c r="E15" s="27"/>
      <c r="F15" s="27"/>
      <c r="G15" s="27"/>
      <c r="H15" s="27"/>
    </row>
    <row r="16" spans="2:8">
      <c r="B16" s="4"/>
      <c r="D16" s="27"/>
      <c r="E16" s="27"/>
      <c r="F16" s="27"/>
      <c r="G16" s="27"/>
      <c r="H16" s="27"/>
    </row>
    <row r="17" spans="2:15">
      <c r="B17" s="4"/>
      <c r="D17" s="27"/>
      <c r="E17" s="27"/>
      <c r="F17" s="27"/>
      <c r="G17" s="27"/>
      <c r="H17" s="27"/>
    </row>
    <row r="18" spans="2:15">
      <c r="B18" s="4"/>
      <c r="D18" s="27"/>
      <c r="E18" s="27"/>
      <c r="F18" s="27"/>
      <c r="G18" s="27"/>
      <c r="H18" s="27"/>
    </row>
    <row r="19" spans="2:15">
      <c r="B19" s="4"/>
      <c r="D19" s="27"/>
      <c r="E19" s="27"/>
      <c r="F19" s="27"/>
      <c r="G19" s="27"/>
      <c r="H19" s="27"/>
    </row>
    <row r="20" spans="2:15">
      <c r="B20" s="4"/>
      <c r="D20" s="27"/>
      <c r="E20" s="27"/>
      <c r="F20" s="27"/>
      <c r="G20" s="27"/>
      <c r="H20" s="27"/>
    </row>
    <row r="21" spans="2:15">
      <c r="B21" s="4"/>
      <c r="D21" s="27"/>
      <c r="E21" s="27"/>
      <c r="F21" s="27"/>
      <c r="G21" s="27"/>
      <c r="H21" s="27"/>
    </row>
    <row r="22" spans="2:15">
      <c r="B22" s="4"/>
      <c r="D22" s="27"/>
      <c r="E22" s="27"/>
      <c r="F22" s="27"/>
      <c r="G22" s="27"/>
      <c r="H22" s="27"/>
    </row>
    <row r="23" spans="2:15">
      <c r="B23" s="4"/>
      <c r="D23" s="27"/>
      <c r="E23" s="27"/>
      <c r="F23" s="27"/>
      <c r="G23" s="27"/>
      <c r="H23" s="27"/>
    </row>
    <row r="24" spans="2:15">
      <c r="B24" s="4"/>
      <c r="D24" s="27"/>
      <c r="E24" s="27"/>
      <c r="F24" s="27"/>
      <c r="G24" s="27"/>
      <c r="H24" s="27"/>
    </row>
    <row r="25" spans="2:15">
      <c r="B25" s="4"/>
      <c r="D25" s="27"/>
      <c r="E25" s="27"/>
      <c r="F25" s="27"/>
      <c r="G25" s="27"/>
      <c r="H25" s="27"/>
    </row>
    <row r="26" spans="2:15">
      <c r="B26" s="4"/>
      <c r="D26" s="27"/>
      <c r="E26" s="27"/>
      <c r="F26" s="27"/>
      <c r="G26" s="27"/>
      <c r="H26" s="27"/>
    </row>
    <row r="27" spans="2:15">
      <c r="B27" s="4"/>
      <c r="D27" s="27"/>
      <c r="E27" s="27"/>
      <c r="F27" s="27"/>
      <c r="G27" s="27"/>
      <c r="H27" s="27"/>
    </row>
    <row r="28" spans="2:15">
      <c r="B28" s="4"/>
      <c r="D28" s="27"/>
      <c r="E28" s="27"/>
      <c r="F28" s="27"/>
      <c r="G28" s="27"/>
      <c r="H28" s="27"/>
    </row>
    <row r="29" spans="2:15">
      <c r="B29" s="4"/>
      <c r="D29" s="27"/>
      <c r="E29" s="27"/>
      <c r="F29" s="27"/>
      <c r="G29" s="27"/>
      <c r="H29" s="27"/>
    </row>
    <row r="30" spans="2:15">
      <c r="B30" s="4"/>
      <c r="C30" s="292" t="s">
        <v>526</v>
      </c>
      <c r="D30" s="292"/>
      <c r="E30" s="292"/>
      <c r="F30" s="292"/>
      <c r="G30" s="292"/>
      <c r="H30" s="292"/>
      <c r="I30" s="292"/>
      <c r="J30" s="292"/>
      <c r="K30" s="292"/>
      <c r="L30" s="292"/>
      <c r="M30" s="292"/>
      <c r="O30" s="1" t="s">
        <v>517</v>
      </c>
    </row>
    <row r="31" spans="2:15" ht="5.5" customHeight="1">
      <c r="C31" s="143"/>
      <c r="D31" s="143"/>
      <c r="E31" s="143"/>
      <c r="F31" s="143"/>
      <c r="G31" s="143"/>
      <c r="H31" s="143"/>
      <c r="I31" s="143"/>
      <c r="J31" s="143"/>
    </row>
    <row r="32" spans="2:15">
      <c r="B32" s="4"/>
      <c r="C32" s="566" t="s">
        <v>532</v>
      </c>
      <c r="D32" s="468">
        <v>2020</v>
      </c>
      <c r="E32" s="468">
        <f>D32+1</f>
        <v>2021</v>
      </c>
      <c r="F32" s="468">
        <f t="shared" ref="F32" si="0">E32+1</f>
        <v>2022</v>
      </c>
      <c r="G32" s="468">
        <f t="shared" ref="G32" si="1">F32+1</f>
        <v>2023</v>
      </c>
      <c r="H32" s="468">
        <f t="shared" ref="H32" si="2">G32+1</f>
        <v>2024</v>
      </c>
      <c r="I32" s="567">
        <f t="shared" ref="I32" si="3">H32+1</f>
        <v>2025</v>
      </c>
      <c r="J32" s="567">
        <f t="shared" ref="J32" si="4">I32+1</f>
        <v>2026</v>
      </c>
      <c r="K32" s="567">
        <f t="shared" ref="K32" si="5">J32+1</f>
        <v>2027</v>
      </c>
      <c r="L32" s="567">
        <f t="shared" ref="L32" si="6">K32+1</f>
        <v>2028</v>
      </c>
      <c r="M32" s="567">
        <f t="shared" ref="M32" si="7">L32+1</f>
        <v>2029</v>
      </c>
      <c r="O32" s="566" t="s">
        <v>566</v>
      </c>
    </row>
    <row r="33" spans="2:21">
      <c r="B33" s="4"/>
      <c r="C33" s="54" t="s">
        <v>527</v>
      </c>
      <c r="D33" s="59">
        <f>(D52)/1000</f>
        <v>386.06400000000002</v>
      </c>
      <c r="E33" s="59">
        <f>(E52)/1000</f>
        <v>469.822</v>
      </c>
      <c r="F33" s="59">
        <f>(F52)/1000</f>
        <v>513.98299999999995</v>
      </c>
      <c r="G33" s="59">
        <f>(G52)/1000</f>
        <v>574.78499999999997</v>
      </c>
      <c r="H33" s="59">
        <f>(H52)/1000</f>
        <v>637.95899999999995</v>
      </c>
      <c r="I33" s="410">
        <f>'HWMS Model'!I61/1000</f>
        <v>785.33435913147343</v>
      </c>
      <c r="J33" s="410">
        <f>I33*(1+J34)</f>
        <v>856.01445145330615</v>
      </c>
      <c r="K33" s="410">
        <f t="shared" ref="K33:M33" si="8">J33*(1+K34)</f>
        <v>933.0557520841038</v>
      </c>
      <c r="L33" s="410">
        <f t="shared" si="8"/>
        <v>1026.3613272925143</v>
      </c>
      <c r="M33" s="410">
        <f t="shared" si="8"/>
        <v>1128.9974600217658</v>
      </c>
      <c r="O33" s="389">
        <f>RATE(5,,H33,-M33)</f>
        <v>0.1209339920802668</v>
      </c>
    </row>
    <row r="34" spans="2:21">
      <c r="B34" s="4"/>
      <c r="C34" s="218" t="s">
        <v>486</v>
      </c>
      <c r="D34" s="278"/>
      <c r="E34" s="279">
        <f>E33/D33-1</f>
        <v>0.21695366571345676</v>
      </c>
      <c r="F34" s="279">
        <f>F33/E33-1</f>
        <v>9.3995172639850688E-2</v>
      </c>
      <c r="G34" s="279">
        <f>G33/F33-1</f>
        <v>0.1182957412988368</v>
      </c>
      <c r="H34" s="279">
        <f>H33/G33-1</f>
        <v>0.1099089224666614</v>
      </c>
      <c r="I34" s="279">
        <f>I33/H33-1</f>
        <v>0.23101070622324249</v>
      </c>
      <c r="J34" s="279">
        <f>Scenarios!F18</f>
        <v>0.09</v>
      </c>
      <c r="K34" s="279">
        <f>Scenarios!G18</f>
        <v>0.09</v>
      </c>
      <c r="L34" s="279">
        <f>Scenarios!H18</f>
        <v>0.1</v>
      </c>
      <c r="M34" s="279">
        <f>Scenarios!I18</f>
        <v>0.1</v>
      </c>
    </row>
    <row r="35" spans="2:21">
      <c r="B35" s="4"/>
      <c r="C35" s="28" t="s">
        <v>528</v>
      </c>
      <c r="D35" s="411">
        <f>D33</f>
        <v>386.06400000000002</v>
      </c>
      <c r="E35" s="411">
        <f>E33</f>
        <v>469.822</v>
      </c>
      <c r="F35" s="411">
        <f t="shared" ref="F35:H35" si="9">F33</f>
        <v>513.98299999999995</v>
      </c>
      <c r="G35" s="411">
        <f>G33</f>
        <v>574.78499999999997</v>
      </c>
      <c r="H35" s="411">
        <f t="shared" si="9"/>
        <v>637.95899999999995</v>
      </c>
      <c r="I35" s="411">
        <f>I33*(1+Scenarios!E19)</f>
        <v>871.72113863593563</v>
      </c>
      <c r="J35" s="411">
        <f>I35*(1+J36)</f>
        <v>993.76209804496671</v>
      </c>
      <c r="K35" s="411">
        <f t="shared" ref="K35" si="10">J35*(1+K36)</f>
        <v>1132.8887917712623</v>
      </c>
      <c r="L35" s="411">
        <f t="shared" ref="L35" si="11">K35*(1+L36)</f>
        <v>1280.1643347015263</v>
      </c>
      <c r="M35" s="411">
        <f t="shared" ref="M35" si="12">L35*(1+M36)</f>
        <v>1446.5856982127245</v>
      </c>
      <c r="O35" s="266">
        <f>RATE(5,,H35,-M35)</f>
        <v>0.1779050390653073</v>
      </c>
    </row>
    <row r="36" spans="2:21">
      <c r="B36" s="4"/>
      <c r="C36" s="218" t="s">
        <v>486</v>
      </c>
      <c r="D36" s="278"/>
      <c r="E36" s="279">
        <f>E35/D35-1</f>
        <v>0.21695366571345676</v>
      </c>
      <c r="F36" s="279">
        <f>F35/E35-1</f>
        <v>9.3995172639850688E-2</v>
      </c>
      <c r="G36" s="279">
        <f>G35/F35-1</f>
        <v>0.1182957412988368</v>
      </c>
      <c r="H36" s="279">
        <f>H35/G35-1</f>
        <v>0.1099089224666614</v>
      </c>
      <c r="I36" s="279">
        <f>I35/H35-1</f>
        <v>0.36642188390779928</v>
      </c>
      <c r="J36" s="279">
        <f>Scenarios!F19</f>
        <v>0.14000000000000001</v>
      </c>
      <c r="K36" s="279">
        <f>Scenarios!G19</f>
        <v>0.14000000000000001</v>
      </c>
      <c r="L36" s="279">
        <f>Scenarios!H19</f>
        <v>0.13</v>
      </c>
      <c r="M36" s="279">
        <f>Scenarios!I19</f>
        <v>0.13</v>
      </c>
      <c r="O36" s="266"/>
    </row>
    <row r="37" spans="2:21">
      <c r="B37" s="4"/>
      <c r="C37" s="28" t="s">
        <v>529</v>
      </c>
      <c r="D37" s="411">
        <f>D35</f>
        <v>386.06400000000002</v>
      </c>
      <c r="E37" s="411">
        <f t="shared" ref="E37:H37" si="13">E35</f>
        <v>469.822</v>
      </c>
      <c r="F37" s="411">
        <f t="shared" si="13"/>
        <v>513.98299999999995</v>
      </c>
      <c r="G37" s="411">
        <f t="shared" si="13"/>
        <v>574.78499999999997</v>
      </c>
      <c r="H37" s="411">
        <f t="shared" si="13"/>
        <v>637.95899999999995</v>
      </c>
      <c r="I37" s="411">
        <f>I33*(1+Scenarios!E20)</f>
        <v>824.60107708804719</v>
      </c>
      <c r="J37" s="411">
        <f>I37*(1+J38)</f>
        <v>874.07714171333009</v>
      </c>
      <c r="K37" s="411">
        <f t="shared" ref="K37" si="14">J37*(1+K38)</f>
        <v>926.52177021612999</v>
      </c>
      <c r="L37" s="411">
        <f t="shared" ref="L37" si="15">K37*(1+L38)</f>
        <v>991.37829413125917</v>
      </c>
      <c r="M37" s="411">
        <f t="shared" ref="M37" si="16">L37*(1+M38)</f>
        <v>1060.7747747204473</v>
      </c>
      <c r="O37" s="389">
        <f>RATE(5,,H37,-M37)</f>
        <v>0.10704706025056333</v>
      </c>
    </row>
    <row r="38" spans="2:21">
      <c r="B38" s="4"/>
      <c r="C38" s="218" t="s">
        <v>486</v>
      </c>
      <c r="D38" s="278"/>
      <c r="E38" s="279">
        <f>E37/D37-1</f>
        <v>0.21695366571345676</v>
      </c>
      <c r="F38" s="279">
        <f>F37/E37-1</f>
        <v>9.3995172639850688E-2</v>
      </c>
      <c r="G38" s="279">
        <f>G37/F37-1</f>
        <v>0.1182957412988368</v>
      </c>
      <c r="H38" s="279">
        <f>H37/G37-1</f>
        <v>0.1099089224666614</v>
      </c>
      <c r="I38" s="279">
        <f>I37/H37-1</f>
        <v>0.29256124153440455</v>
      </c>
      <c r="J38" s="279">
        <f>Scenarios!F20</f>
        <v>0.06</v>
      </c>
      <c r="K38" s="279">
        <f>Scenarios!G20</f>
        <v>0.06</v>
      </c>
      <c r="L38" s="279">
        <f>Scenarios!H20</f>
        <v>7.0000000000000007E-2</v>
      </c>
      <c r="M38" s="279">
        <f>Scenarios!I20</f>
        <v>7.0000000000000007E-2</v>
      </c>
      <c r="O38" s="266"/>
    </row>
    <row r="39" spans="2:21">
      <c r="B39" s="4"/>
      <c r="D39" s="27"/>
      <c r="E39" s="27"/>
      <c r="F39" s="27"/>
      <c r="G39" s="27"/>
      <c r="H39" s="27"/>
    </row>
    <row r="40" spans="2:21">
      <c r="B40" s="4"/>
      <c r="C40" s="292" t="s">
        <v>711</v>
      </c>
      <c r="D40" s="292"/>
      <c r="E40" s="292"/>
      <c r="F40" s="292"/>
      <c r="G40" s="292"/>
      <c r="H40" s="292"/>
      <c r="I40" s="292"/>
      <c r="J40" s="292"/>
      <c r="K40" s="292"/>
      <c r="L40" s="292"/>
      <c r="M40" s="292"/>
    </row>
    <row r="41" spans="2:21" ht="5.5" customHeight="1">
      <c r="C41" s="143"/>
      <c r="D41" s="143"/>
      <c r="E41" s="143"/>
      <c r="F41" s="143"/>
      <c r="G41" s="143"/>
      <c r="H41" s="143"/>
      <c r="I41" s="143"/>
      <c r="J41" s="143"/>
    </row>
    <row r="42" spans="2:21" ht="14">
      <c r="C42" s="566" t="s">
        <v>532</v>
      </c>
      <c r="D42" s="468">
        <v>2020</v>
      </c>
      <c r="E42" s="468">
        <f>D42+1</f>
        <v>2021</v>
      </c>
      <c r="F42" s="468">
        <f t="shared" ref="F42" si="17">E42+1</f>
        <v>2022</v>
      </c>
      <c r="G42" s="468">
        <f t="shared" ref="G42" si="18">F42+1</f>
        <v>2023</v>
      </c>
      <c r="H42" s="468">
        <f t="shared" ref="H42" si="19">G42+1</f>
        <v>2024</v>
      </c>
      <c r="I42" s="568"/>
      <c r="J42" s="568" t="s">
        <v>502</v>
      </c>
      <c r="K42" s="567"/>
      <c r="L42" s="568" t="s">
        <v>503</v>
      </c>
      <c r="M42" s="567"/>
      <c r="P42" s="614"/>
      <c r="Q42" s="614"/>
      <c r="R42" s="614"/>
      <c r="S42" s="614"/>
      <c r="T42" s="614"/>
      <c r="U42" s="614"/>
    </row>
    <row r="43" spans="2:21" ht="14">
      <c r="B43" s="4"/>
      <c r="C43" s="54" t="s">
        <v>712</v>
      </c>
      <c r="D43" s="620">
        <v>50000</v>
      </c>
      <c r="E43" s="620">
        <v>80000</v>
      </c>
      <c r="F43" s="620">
        <v>110400</v>
      </c>
      <c r="G43" s="620">
        <v>155700</v>
      </c>
      <c r="H43" s="620">
        <v>177000</v>
      </c>
      <c r="I43" s="388"/>
      <c r="J43" s="398">
        <f>RATE(5,,D43,-H43)</f>
        <v>0.28765836177538595</v>
      </c>
      <c r="K43" s="388"/>
      <c r="L43" s="398">
        <f>RATE(4,,E43,-H43)</f>
        <v>0.21960955968061827</v>
      </c>
      <c r="M43" s="388"/>
      <c r="O43" s="389" t="s">
        <v>63</v>
      </c>
      <c r="P43" s="614"/>
      <c r="Q43" s="617"/>
      <c r="R43" s="617"/>
      <c r="S43" s="617"/>
      <c r="T43" s="617"/>
      <c r="U43" s="617"/>
    </row>
    <row r="44" spans="2:21">
      <c r="B44" s="4"/>
      <c r="C44" s="218" t="s">
        <v>486</v>
      </c>
      <c r="D44" s="278"/>
      <c r="F44" s="279">
        <f t="shared" ref="F44" si="20">F43/E43-1</f>
        <v>0.37999999999999989</v>
      </c>
      <c r="G44" s="279">
        <f t="shared" ref="G44" si="21">G43/F43-1</f>
        <v>0.41032608695652173</v>
      </c>
      <c r="H44" s="279">
        <f t="shared" ref="H44" si="22">H43/G43-1</f>
        <v>0.1368015414258188</v>
      </c>
      <c r="I44" s="279"/>
      <c r="J44" s="279"/>
      <c r="K44" s="279"/>
      <c r="L44" s="279"/>
      <c r="M44" s="279"/>
    </row>
    <row r="45" spans="2:21">
      <c r="B45" s="4"/>
      <c r="D45" s="29"/>
      <c r="E45" s="279">
        <f>E43/D43-1</f>
        <v>0.60000000000000009</v>
      </c>
      <c r="F45" s="29"/>
      <c r="G45" s="29"/>
      <c r="H45" s="29"/>
      <c r="I45" s="27"/>
      <c r="J45" s="27"/>
      <c r="K45" s="27"/>
      <c r="L45" s="27"/>
      <c r="M45" s="27"/>
    </row>
    <row r="46" spans="2:21">
      <c r="B46" s="4"/>
      <c r="C46" s="292" t="s">
        <v>485</v>
      </c>
      <c r="D46" s="292"/>
      <c r="E46" s="292"/>
      <c r="F46" s="292"/>
      <c r="G46" s="292"/>
      <c r="H46" s="292"/>
      <c r="I46" s="292"/>
      <c r="J46" s="292"/>
      <c r="K46" s="292"/>
      <c r="L46" s="292"/>
      <c r="M46" s="292"/>
    </row>
    <row r="47" spans="2:21" ht="5.5" customHeight="1">
      <c r="C47" s="143"/>
      <c r="D47" s="143"/>
      <c r="E47" s="143"/>
      <c r="F47" s="143"/>
      <c r="G47" s="143"/>
      <c r="H47" s="143"/>
      <c r="I47" s="143"/>
      <c r="J47" s="143"/>
    </row>
    <row r="48" spans="2:21">
      <c r="C48" s="566"/>
      <c r="D48" s="468">
        <v>2020</v>
      </c>
      <c r="E48" s="468">
        <f>D48+1</f>
        <v>2021</v>
      </c>
      <c r="F48" s="468">
        <f t="shared" ref="F48:M48" si="23">E48+1</f>
        <v>2022</v>
      </c>
      <c r="G48" s="468">
        <f t="shared" si="23"/>
        <v>2023</v>
      </c>
      <c r="H48" s="468">
        <f t="shared" si="23"/>
        <v>2024</v>
      </c>
      <c r="I48" s="567">
        <f t="shared" si="23"/>
        <v>2025</v>
      </c>
      <c r="J48" s="567">
        <f t="shared" si="23"/>
        <v>2026</v>
      </c>
      <c r="K48" s="567">
        <f t="shared" si="23"/>
        <v>2027</v>
      </c>
      <c r="L48" s="567">
        <f t="shared" si="23"/>
        <v>2028</v>
      </c>
      <c r="M48" s="567">
        <f t="shared" si="23"/>
        <v>2029</v>
      </c>
    </row>
    <row r="49" spans="2:23">
      <c r="B49" s="4"/>
      <c r="C49" s="1" t="s">
        <v>343</v>
      </c>
      <c r="D49" s="29">
        <v>236282</v>
      </c>
      <c r="E49" s="29">
        <v>279833</v>
      </c>
      <c r="F49" s="29">
        <v>315880</v>
      </c>
      <c r="G49" s="29">
        <v>352828</v>
      </c>
      <c r="H49" s="29">
        <v>387497</v>
      </c>
      <c r="I49" s="27">
        <f>H49*(1+I65)</f>
        <v>395467.06562193925</v>
      </c>
      <c r="J49" s="27">
        <f>I49*(1+J65)</f>
        <v>403221.32181060471</v>
      </c>
      <c r="K49" s="27">
        <f>J49*(1+K65)</f>
        <v>410739.67815447273</v>
      </c>
      <c r="L49" s="27">
        <f>K49*(1+L65)</f>
        <v>418002.26578392315</v>
      </c>
      <c r="M49" s="27">
        <f>L49*(1+M65)</f>
        <v>425393.26851880591</v>
      </c>
      <c r="O49" s="1" t="s">
        <v>506</v>
      </c>
    </row>
    <row r="50" spans="2:23">
      <c r="B50" s="4"/>
      <c r="C50" s="1" t="s">
        <v>706</v>
      </c>
      <c r="D50" s="29">
        <v>104412</v>
      </c>
      <c r="E50" s="29">
        <v>127787</v>
      </c>
      <c r="F50" s="29">
        <v>118007</v>
      </c>
      <c r="G50" s="29">
        <v>131200</v>
      </c>
      <c r="H50" s="29">
        <v>142906</v>
      </c>
      <c r="I50" s="27">
        <f>H50*(1+I67)</f>
        <v>150480.01799999998</v>
      </c>
      <c r="J50" s="27">
        <f>I50*(1+J67)</f>
        <v>158154.49891799997</v>
      </c>
      <c r="K50" s="27">
        <f>J50*(1+K67)</f>
        <v>166062.22386389997</v>
      </c>
      <c r="L50" s="27">
        <f>K50*(1+L67)</f>
        <v>174697.45950482276</v>
      </c>
      <c r="M50" s="27">
        <f>L50*(1+M67)</f>
        <v>183607.02993956872</v>
      </c>
      <c r="O50" s="1" t="s">
        <v>504</v>
      </c>
    </row>
    <row r="51" spans="2:23">
      <c r="B51" s="4"/>
      <c r="C51" s="1" t="s">
        <v>707</v>
      </c>
      <c r="D51" s="29">
        <v>45370</v>
      </c>
      <c r="E51" s="29">
        <v>62202</v>
      </c>
      <c r="F51" s="29">
        <v>80096</v>
      </c>
      <c r="G51" s="29">
        <v>90757</v>
      </c>
      <c r="H51" s="29">
        <v>107556</v>
      </c>
      <c r="I51" s="27">
        <f>H51*(1+I69)</f>
        <v>116707.60841720036</v>
      </c>
      <c r="J51" s="27">
        <f>I51*(1+J69)</f>
        <v>127124.13448722371</v>
      </c>
      <c r="K51" s="27">
        <f>J51*(1+K69)</f>
        <v>135993.26014912306</v>
      </c>
      <c r="L51" s="27">
        <f>K51*(1+L69)</f>
        <v>146066.834974984</v>
      </c>
      <c r="M51" s="27">
        <f>L51*(1+M69)</f>
        <v>155622.6092256839</v>
      </c>
      <c r="O51" s="1" t="s">
        <v>505</v>
      </c>
    </row>
    <row r="52" spans="2:23" ht="15">
      <c r="B52" s="4"/>
      <c r="C52" s="31" t="s">
        <v>341</v>
      </c>
      <c r="D52" s="44">
        <f t="shared" ref="D52:M52" si="24">SUM(D49:D51)</f>
        <v>386064</v>
      </c>
      <c r="E52" s="44">
        <f t="shared" si="24"/>
        <v>469822</v>
      </c>
      <c r="F52" s="44">
        <f t="shared" si="24"/>
        <v>513983</v>
      </c>
      <c r="G52" s="44">
        <f t="shared" si="24"/>
        <v>574785</v>
      </c>
      <c r="H52" s="44">
        <f>SUM(H49:H51)</f>
        <v>637959</v>
      </c>
      <c r="I52" s="44">
        <f>SUM(I49:I51)</f>
        <v>662654.69203913957</v>
      </c>
      <c r="J52" s="44">
        <f>SUM(J49:J51)</f>
        <v>688499.95521582838</v>
      </c>
      <c r="K52" s="44">
        <f t="shared" si="24"/>
        <v>712795.1621674957</v>
      </c>
      <c r="L52" s="44">
        <f t="shared" si="24"/>
        <v>738766.56026372989</v>
      </c>
      <c r="M52" s="44">
        <f t="shared" si="24"/>
        <v>764622.90768405842</v>
      </c>
      <c r="W52"/>
    </row>
    <row r="53" spans="2:23" ht="15">
      <c r="B53" s="4"/>
      <c r="C53" s="218" t="s">
        <v>486</v>
      </c>
      <c r="D53" s="278"/>
      <c r="E53" s="279">
        <f>E52/D52-1</f>
        <v>0.21695366571345676</v>
      </c>
      <c r="F53" s="279">
        <f t="shared" ref="F53" si="25">F52/E52-1</f>
        <v>9.399517263985091E-2</v>
      </c>
      <c r="G53" s="279">
        <f>G52/F52-1</f>
        <v>0.1182957412988368</v>
      </c>
      <c r="H53" s="279">
        <f>H52/G52-1</f>
        <v>0.1099089224666614</v>
      </c>
      <c r="I53" s="279">
        <f>I52/H52-1</f>
        <v>3.8710468915932772E-2</v>
      </c>
      <c r="J53" s="279">
        <f t="shared" ref="J53:M53" si="26">J52/I52-1</f>
        <v>3.9002610993603692E-2</v>
      </c>
      <c r="K53" s="279">
        <f t="shared" si="26"/>
        <v>3.5287158361617221E-2</v>
      </c>
      <c r="L53" s="279">
        <f t="shared" si="26"/>
        <v>3.6435990975667298E-2</v>
      </c>
      <c r="M53" s="279">
        <f t="shared" si="26"/>
        <v>3.4999347305457507E-2</v>
      </c>
      <c r="W53"/>
    </row>
    <row r="54" spans="2:23">
      <c r="B54" s="4"/>
    </row>
    <row r="55" spans="2:23">
      <c r="C55" s="557" t="s">
        <v>342</v>
      </c>
      <c r="D55" s="468">
        <v>2020</v>
      </c>
      <c r="E55" s="468">
        <f t="shared" ref="E55:M55" si="27">D55+1</f>
        <v>2021</v>
      </c>
      <c r="F55" s="468">
        <f t="shared" si="27"/>
        <v>2022</v>
      </c>
      <c r="G55" s="468">
        <f t="shared" si="27"/>
        <v>2023</v>
      </c>
      <c r="H55" s="468">
        <f t="shared" si="27"/>
        <v>2024</v>
      </c>
      <c r="I55" s="567">
        <f t="shared" si="27"/>
        <v>2025</v>
      </c>
      <c r="J55" s="567">
        <f t="shared" si="27"/>
        <v>2026</v>
      </c>
      <c r="K55" s="567">
        <f t="shared" si="27"/>
        <v>2027</v>
      </c>
      <c r="L55" s="567">
        <f t="shared" si="27"/>
        <v>2028</v>
      </c>
      <c r="M55" s="567">
        <f t="shared" si="27"/>
        <v>2029</v>
      </c>
    </row>
    <row r="56" spans="2:23">
      <c r="C56" s="1" t="s">
        <v>343</v>
      </c>
      <c r="D56" s="140">
        <f>D49/(D$52)</f>
        <v>0.61202805752414102</v>
      </c>
      <c r="E56" s="140">
        <f t="shared" ref="E56:M56" si="28">E49/(E$52)</f>
        <v>0.59561493501794294</v>
      </c>
      <c r="F56" s="140">
        <f>F49/(F$52)</f>
        <v>0.61457285552245888</v>
      </c>
      <c r="G56" s="140">
        <f t="shared" si="28"/>
        <v>0.61384343711126765</v>
      </c>
      <c r="H56" s="140">
        <f t="shared" si="28"/>
        <v>0.6074011025786924</v>
      </c>
      <c r="I56" s="140">
        <f t="shared" si="28"/>
        <v>0.59679207039943671</v>
      </c>
      <c r="J56" s="140">
        <f t="shared" si="28"/>
        <v>0.58565192162460544</v>
      </c>
      <c r="K56" s="140">
        <f t="shared" si="28"/>
        <v>0.57623802735343954</v>
      </c>
      <c r="L56" s="140">
        <f t="shared" si="28"/>
        <v>0.56581102646917569</v>
      </c>
      <c r="M56" s="140">
        <f t="shared" si="28"/>
        <v>0.55634387126494267</v>
      </c>
    </row>
    <row r="57" spans="2:23">
      <c r="C57" s="1" t="s">
        <v>706</v>
      </c>
      <c r="D57" s="140">
        <f t="shared" ref="D57:M57" si="29">D50/(D$52)</f>
        <v>0.27045256744995649</v>
      </c>
      <c r="E57" s="140">
        <f t="shared" si="29"/>
        <v>0.27199024311334929</v>
      </c>
      <c r="F57" s="140">
        <f t="shared" si="29"/>
        <v>0.22959319666214642</v>
      </c>
      <c r="G57" s="140">
        <f t="shared" si="29"/>
        <v>0.22825926215889419</v>
      </c>
      <c r="H57" s="140">
        <f t="shared" si="29"/>
        <v>0.22400499091634415</v>
      </c>
      <c r="I57" s="140">
        <f t="shared" si="29"/>
        <v>0.22708662567066212</v>
      </c>
      <c r="J57" s="140">
        <f>J50/(J$52)</f>
        <v>0.22970880058869764</v>
      </c>
      <c r="K57" s="140">
        <f t="shared" si="29"/>
        <v>0.23297327574296575</v>
      </c>
      <c r="L57" s="140">
        <f t="shared" si="29"/>
        <v>0.23647180165065684</v>
      </c>
      <c r="M57" s="140">
        <f t="shared" si="29"/>
        <v>0.24012755581138695</v>
      </c>
    </row>
    <row r="58" spans="2:23">
      <c r="C58" s="1" t="s">
        <v>707</v>
      </c>
      <c r="D58" s="140">
        <f t="shared" ref="D58:M58" si="30">D51/(D$52)</f>
        <v>0.11751937502590244</v>
      </c>
      <c r="E58" s="140">
        <f t="shared" si="30"/>
        <v>0.13239482186870771</v>
      </c>
      <c r="F58" s="140">
        <f t="shared" si="30"/>
        <v>0.15583394781539467</v>
      </c>
      <c r="G58" s="140">
        <f t="shared" si="30"/>
        <v>0.15789730072983812</v>
      </c>
      <c r="H58" s="140">
        <f t="shared" si="30"/>
        <v>0.16859390650496348</v>
      </c>
      <c r="I58" s="140">
        <f t="shared" si="30"/>
        <v>0.17612130392990116</v>
      </c>
      <c r="J58" s="140">
        <f t="shared" si="30"/>
        <v>0.18463927778669689</v>
      </c>
      <c r="K58" s="140">
        <f t="shared" si="30"/>
        <v>0.19078869690359482</v>
      </c>
      <c r="L58" s="140">
        <f t="shared" si="30"/>
        <v>0.19771717188016749</v>
      </c>
      <c r="M58" s="140">
        <f t="shared" si="30"/>
        <v>0.20352857292367055</v>
      </c>
    </row>
    <row r="59" spans="2:23">
      <c r="C59" s="31" t="s">
        <v>341</v>
      </c>
      <c r="D59" s="141">
        <f t="shared" ref="D59:M59" si="31">SUM(D56:D58)</f>
        <v>1</v>
      </c>
      <c r="E59" s="141">
        <f t="shared" si="31"/>
        <v>1</v>
      </c>
      <c r="F59" s="141">
        <f t="shared" si="31"/>
        <v>1</v>
      </c>
      <c r="G59" s="141">
        <f t="shared" si="31"/>
        <v>1</v>
      </c>
      <c r="H59" s="141">
        <f t="shared" si="31"/>
        <v>1</v>
      </c>
      <c r="I59" s="141">
        <f t="shared" si="31"/>
        <v>1</v>
      </c>
      <c r="J59" s="141">
        <f t="shared" si="31"/>
        <v>0.99999999999999989</v>
      </c>
      <c r="K59" s="141">
        <f t="shared" si="31"/>
        <v>1.0000000000000002</v>
      </c>
      <c r="L59" s="141">
        <f t="shared" si="31"/>
        <v>1</v>
      </c>
      <c r="M59" s="141">
        <f t="shared" si="31"/>
        <v>1</v>
      </c>
    </row>
    <row r="60" spans="2:23">
      <c r="C60" s="6"/>
      <c r="D60" s="399"/>
      <c r="E60" s="399"/>
      <c r="F60" s="399"/>
      <c r="G60" s="399"/>
      <c r="H60" s="399"/>
      <c r="I60" s="399"/>
      <c r="J60" s="399"/>
      <c r="K60" s="399"/>
      <c r="L60" s="399"/>
      <c r="M60" s="399"/>
    </row>
    <row r="61" spans="2:23">
      <c r="C61" s="292" t="s">
        <v>407</v>
      </c>
      <c r="D61" s="292"/>
      <c r="E61" s="292"/>
      <c r="F61" s="292"/>
      <c r="G61" s="292"/>
      <c r="H61" s="292"/>
      <c r="I61" s="292"/>
      <c r="J61" s="292"/>
      <c r="K61" s="292"/>
      <c r="L61" s="292"/>
      <c r="M61" s="292"/>
    </row>
    <row r="62" spans="2:23" ht="5.5" customHeight="1">
      <c r="C62" s="143"/>
      <c r="D62" s="143"/>
      <c r="E62" s="143"/>
      <c r="F62" s="143"/>
      <c r="G62" s="143"/>
      <c r="H62" s="143"/>
      <c r="I62" s="143"/>
      <c r="J62" s="143"/>
    </row>
    <row r="63" spans="2:23">
      <c r="C63" s="566"/>
      <c r="D63" s="468">
        <v>2020</v>
      </c>
      <c r="E63" s="468">
        <f t="shared" ref="E63" si="32">D63+1</f>
        <v>2021</v>
      </c>
      <c r="F63" s="468">
        <f t="shared" ref="F63" si="33">E63+1</f>
        <v>2022</v>
      </c>
      <c r="G63" s="468">
        <f t="shared" ref="G63" si="34">F63+1</f>
        <v>2023</v>
      </c>
      <c r="H63" s="468">
        <f t="shared" ref="H63" si="35">G63+1</f>
        <v>2024</v>
      </c>
      <c r="I63" s="567">
        <f t="shared" ref="I63" si="36">H63+1</f>
        <v>2025</v>
      </c>
      <c r="J63" s="567">
        <f t="shared" ref="J63" si="37">I63+1</f>
        <v>2026</v>
      </c>
      <c r="K63" s="567">
        <f t="shared" ref="K63" si="38">J63+1</f>
        <v>2027</v>
      </c>
      <c r="L63" s="567">
        <f t="shared" ref="L63" si="39">K63+1</f>
        <v>2028</v>
      </c>
      <c r="M63" s="567">
        <f t="shared" ref="M63" si="40">L63+1</f>
        <v>2029</v>
      </c>
    </row>
    <row r="64" spans="2:23">
      <c r="C64" s="1" t="s">
        <v>714</v>
      </c>
      <c r="D64" s="29">
        <v>13597</v>
      </c>
      <c r="E64" s="29">
        <v>14792</v>
      </c>
      <c r="F64" s="29">
        <v>15237</v>
      </c>
      <c r="G64" s="29">
        <v>15628</v>
      </c>
      <c r="H64" s="29">
        <v>16089</v>
      </c>
      <c r="I64" s="620">
        <f>H64*(1+2.1%)</f>
        <v>16426.868999999999</v>
      </c>
      <c r="J64" s="620">
        <f>I64*(1+2%)</f>
        <v>16755.40638</v>
      </c>
      <c r="K64" s="620">
        <f>J64*(1+1.9%)</f>
        <v>17073.759101219999</v>
      </c>
      <c r="L64" s="620">
        <f>K64*(1+1.8%)</f>
        <v>17381.08676504196</v>
      </c>
      <c r="M64" s="620">
        <f>L64*(1+1.8%)</f>
        <v>17693.946326812715</v>
      </c>
      <c r="O64" s="1" t="s">
        <v>729</v>
      </c>
    </row>
    <row r="65" spans="2:28">
      <c r="C65" s="400" t="s">
        <v>713</v>
      </c>
      <c r="D65" s="401"/>
      <c r="E65" s="401">
        <f>1-D64/E64</f>
        <v>8.0786911844240139E-2</v>
      </c>
      <c r="F65" s="401">
        <f t="shared" ref="F65:G65" si="41">1-E64/F64</f>
        <v>2.9205224125483986E-2</v>
      </c>
      <c r="G65" s="401">
        <f t="shared" si="41"/>
        <v>2.5019196314307601E-2</v>
      </c>
      <c r="H65" s="401">
        <f>1-G64/H64</f>
        <v>2.8653117036484543E-2</v>
      </c>
      <c r="I65" s="390">
        <f>1-H64/I64</f>
        <v>2.0568070519098813E-2</v>
      </c>
      <c r="J65" s="390">
        <f t="shared" ref="J65:M65" si="42">1-I64/J64</f>
        <v>1.9607843137254943E-2</v>
      </c>
      <c r="K65" s="390">
        <f t="shared" si="42"/>
        <v>1.8645731108930308E-2</v>
      </c>
      <c r="L65" s="390">
        <f t="shared" si="42"/>
        <v>1.7681728880157288E-2</v>
      </c>
      <c r="M65" s="390">
        <f t="shared" si="42"/>
        <v>1.7681728880157066E-2</v>
      </c>
      <c r="O65" s="1" t="s">
        <v>730</v>
      </c>
    </row>
    <row r="66" spans="2:28" ht="18" customHeight="1">
      <c r="C66" s="1" t="s">
        <v>716</v>
      </c>
      <c r="D66" s="29">
        <v>85200</v>
      </c>
      <c r="E66" s="29">
        <v>96500</v>
      </c>
      <c r="F66" s="29">
        <v>100500</v>
      </c>
      <c r="G66" s="29">
        <v>104800</v>
      </c>
      <c r="H66" s="29">
        <v>111300</v>
      </c>
      <c r="I66" s="621">
        <f>H66*(1+5.3%)</f>
        <v>117198.9</v>
      </c>
      <c r="J66" s="621">
        <f>I66*(1+5.1%)</f>
        <v>123176.04389999999</v>
      </c>
      <c r="K66" s="621">
        <f>J66*(1+5%)</f>
        <v>129334.846095</v>
      </c>
      <c r="L66" s="621">
        <f>K66*(1+5.2%)</f>
        <v>136060.25809194002</v>
      </c>
      <c r="M66" s="621">
        <f>L66*(1+5.1%)</f>
        <v>142999.33125462895</v>
      </c>
      <c r="O66" s="27" t="s">
        <v>719</v>
      </c>
      <c r="P66" s="622"/>
      <c r="Q66" s="622"/>
      <c r="R66" s="622"/>
      <c r="S66" s="614"/>
      <c r="T66" s="614"/>
      <c r="U66" s="614"/>
      <c r="V66" s="614"/>
      <c r="W66" s="614"/>
      <c r="X66" s="614"/>
      <c r="Y66" s="614"/>
      <c r="Z66" s="614"/>
      <c r="AA66" s="614"/>
      <c r="AB66" s="614"/>
    </row>
    <row r="67" spans="2:28" ht="14">
      <c r="C67" s="400" t="s">
        <v>717</v>
      </c>
      <c r="D67" s="401"/>
      <c r="E67" s="401">
        <f t="shared" ref="E67:F67" si="43">E66/D66-1</f>
        <v>0.13262910798122074</v>
      </c>
      <c r="F67" s="401">
        <f t="shared" si="43"/>
        <v>4.1450777202072464E-2</v>
      </c>
      <c r="G67" s="401">
        <f t="shared" ref="G67:M67" si="44">G66/F66-1</f>
        <v>4.2786069651741254E-2</v>
      </c>
      <c r="H67" s="401">
        <f t="shared" si="44"/>
        <v>6.2022900763358813E-2</v>
      </c>
      <c r="I67" s="390">
        <f t="shared" si="44"/>
        <v>5.2999999999999936E-2</v>
      </c>
      <c r="J67" s="390">
        <f t="shared" si="44"/>
        <v>5.0999999999999934E-2</v>
      </c>
      <c r="K67" s="390">
        <f t="shared" si="44"/>
        <v>5.0000000000000044E-2</v>
      </c>
      <c r="L67" s="390">
        <f t="shared" si="44"/>
        <v>5.2000000000000046E-2</v>
      </c>
      <c r="M67" s="390">
        <f t="shared" si="44"/>
        <v>5.0999999999999934E-2</v>
      </c>
      <c r="O67" s="1" t="s">
        <v>728</v>
      </c>
      <c r="R67" s="614"/>
      <c r="S67" s="618"/>
      <c r="T67" s="618"/>
      <c r="U67" s="618"/>
      <c r="V67" s="618"/>
      <c r="W67" s="618"/>
      <c r="X67" s="619"/>
      <c r="Y67" s="619"/>
      <c r="Z67" s="619"/>
      <c r="AA67" s="619"/>
      <c r="AB67" s="619"/>
    </row>
    <row r="68" spans="2:28">
      <c r="C68" s="219" t="s">
        <v>715</v>
      </c>
      <c r="D68" s="29">
        <v>3695</v>
      </c>
      <c r="E68" s="29">
        <v>4241</v>
      </c>
      <c r="F68" s="29">
        <v>4533</v>
      </c>
      <c r="G68" s="29">
        <v>4693</v>
      </c>
      <c r="H68" s="29">
        <v>5069</v>
      </c>
      <c r="I68" s="29">
        <f>H68*(1+9.3%)</f>
        <v>5540.4169999999995</v>
      </c>
      <c r="J68" s="29">
        <f>I68*(1+9.8%)</f>
        <v>6083.3778659999998</v>
      </c>
      <c r="K68" s="29">
        <f>J68*(1+7.5%)</f>
        <v>6539.6312059499996</v>
      </c>
      <c r="L68" s="29">
        <f>K68*(1+8%)</f>
        <v>7062.8017024259998</v>
      </c>
      <c r="M68" s="29">
        <f>L68*(1+7%)</f>
        <v>7557.1978215958206</v>
      </c>
      <c r="O68" s="1" t="s">
        <v>720</v>
      </c>
    </row>
    <row r="69" spans="2:28">
      <c r="C69" s="400" t="s">
        <v>718</v>
      </c>
      <c r="D69" s="401"/>
      <c r="E69" s="401">
        <f>1-D68/E68</f>
        <v>0.12874322093845791</v>
      </c>
      <c r="F69" s="401">
        <f>1-E68/F68</f>
        <v>6.441650121332454E-2</v>
      </c>
      <c r="G69" s="401">
        <f t="shared" ref="G69:H69" si="45">1-F68/G68</f>
        <v>3.4093330492222407E-2</v>
      </c>
      <c r="H69" s="401">
        <f t="shared" si="45"/>
        <v>7.4176366147169048E-2</v>
      </c>
      <c r="I69" s="401">
        <f>1-H68/I68</f>
        <v>8.5086916742909358E-2</v>
      </c>
      <c r="J69" s="401">
        <f t="shared" ref="J69:L69" si="46">1-I68/J68</f>
        <v>8.9253187613843377E-2</v>
      </c>
      <c r="K69" s="401">
        <f t="shared" si="46"/>
        <v>6.9767441860465129E-2</v>
      </c>
      <c r="L69" s="401">
        <f t="shared" si="46"/>
        <v>7.407407407407407E-2</v>
      </c>
      <c r="M69" s="401">
        <f>1-L68/M68</f>
        <v>6.542056074766367E-2</v>
      </c>
      <c r="O69" s="1" t="s">
        <v>727</v>
      </c>
    </row>
    <row r="71" spans="2:28">
      <c r="B71" s="4"/>
      <c r="C71" s="292" t="s">
        <v>484</v>
      </c>
      <c r="D71" s="292"/>
      <c r="E71" s="292"/>
      <c r="F71" s="292"/>
      <c r="G71" s="292"/>
      <c r="H71" s="292"/>
      <c r="I71" s="292"/>
      <c r="J71" s="292"/>
      <c r="K71" s="292"/>
      <c r="L71" s="292"/>
      <c r="M71" s="292"/>
    </row>
    <row r="72" spans="2:28" ht="5.5" customHeight="1">
      <c r="C72" s="143"/>
      <c r="D72" s="143"/>
      <c r="E72" s="143"/>
      <c r="F72" s="143"/>
      <c r="G72" s="143"/>
      <c r="H72" s="143"/>
      <c r="I72" s="143"/>
      <c r="J72" s="143"/>
    </row>
    <row r="73" spans="2:28">
      <c r="C73" s="566"/>
      <c r="D73" s="468">
        <v>2020</v>
      </c>
      <c r="E73" s="468">
        <f t="shared" ref="E73:M73" si="47">D73+1</f>
        <v>2021</v>
      </c>
      <c r="F73" s="468">
        <f t="shared" si="47"/>
        <v>2022</v>
      </c>
      <c r="G73" s="468">
        <f t="shared" si="47"/>
        <v>2023</v>
      </c>
      <c r="H73" s="468">
        <f t="shared" si="47"/>
        <v>2024</v>
      </c>
      <c r="I73" s="567">
        <f t="shared" si="47"/>
        <v>2025</v>
      </c>
      <c r="J73" s="567">
        <f t="shared" si="47"/>
        <v>2026</v>
      </c>
      <c r="K73" s="567">
        <f t="shared" si="47"/>
        <v>2027</v>
      </c>
      <c r="L73" s="567">
        <f t="shared" si="47"/>
        <v>2028</v>
      </c>
      <c r="M73" s="567">
        <f t="shared" si="47"/>
        <v>2029</v>
      </c>
    </row>
    <row r="74" spans="2:28">
      <c r="B74" s="4"/>
      <c r="C74" s="1" t="s">
        <v>708</v>
      </c>
      <c r="D74" s="29">
        <v>263520</v>
      </c>
      <c r="E74" s="29">
        <v>314006</v>
      </c>
      <c r="F74" s="29">
        <v>356113</v>
      </c>
      <c r="G74" s="29">
        <v>395637</v>
      </c>
      <c r="H74" s="29">
        <v>438015</v>
      </c>
      <c r="I74" s="27">
        <f>H74*(1+I93)</f>
        <v>447651.33</v>
      </c>
      <c r="J74" s="27">
        <f t="shared" ref="J74:M74" si="48">I74*(1+J93)</f>
        <v>457052.00792999996</v>
      </c>
      <c r="K74" s="27">
        <f t="shared" si="48"/>
        <v>465735.99608066992</v>
      </c>
      <c r="L74" s="27">
        <f t="shared" si="48"/>
        <v>474119.24401012197</v>
      </c>
      <c r="M74" s="27">
        <f t="shared" si="48"/>
        <v>482653.39040230418</v>
      </c>
    </row>
    <row r="75" spans="2:28">
      <c r="B75" s="4"/>
      <c r="C75" s="1" t="s">
        <v>190</v>
      </c>
      <c r="D75" s="29">
        <v>29565</v>
      </c>
      <c r="E75" s="29">
        <v>31645</v>
      </c>
      <c r="F75" s="29">
        <v>33598</v>
      </c>
      <c r="G75" s="29">
        <v>37588</v>
      </c>
      <c r="H75" s="29">
        <v>40856</v>
      </c>
      <c r="I75" s="27">
        <f>H75*(1+I94)</f>
        <v>41182.847999999998</v>
      </c>
      <c r="J75" s="27">
        <f t="shared" ref="J75:M78" si="49">I75*(1+J94)</f>
        <v>41677.042175999995</v>
      </c>
      <c r="K75" s="27">
        <f t="shared" si="49"/>
        <v>42260.520766463997</v>
      </c>
      <c r="L75" s="27">
        <f t="shared" si="49"/>
        <v>42809.907536428022</v>
      </c>
      <c r="M75" s="27">
        <f t="shared" si="49"/>
        <v>43366.43633440158</v>
      </c>
    </row>
    <row r="76" spans="2:28">
      <c r="B76" s="4"/>
      <c r="C76" s="1" t="s">
        <v>709</v>
      </c>
      <c r="D76" s="29">
        <v>26483</v>
      </c>
      <c r="E76" s="29">
        <v>27907</v>
      </c>
      <c r="F76" s="29">
        <v>30074</v>
      </c>
      <c r="G76" s="29">
        <v>33591</v>
      </c>
      <c r="H76" s="29">
        <v>37855</v>
      </c>
      <c r="I76" s="27">
        <f>H76*(1+I95)</f>
        <v>38422.824999999997</v>
      </c>
      <c r="J76" s="27">
        <f t="shared" si="49"/>
        <v>38922.321724999994</v>
      </c>
      <c r="K76" s="27">
        <f t="shared" si="49"/>
        <v>39467.234229149995</v>
      </c>
      <c r="L76" s="27">
        <f t="shared" si="49"/>
        <v>40059.242742587245</v>
      </c>
      <c r="M76" s="27">
        <f t="shared" si="49"/>
        <v>40660.131383726046</v>
      </c>
    </row>
    <row r="77" spans="2:28">
      <c r="B77" s="4"/>
      <c r="C77" s="1" t="s">
        <v>193</v>
      </c>
      <c r="D77" s="29">
        <v>20461</v>
      </c>
      <c r="E77" s="29">
        <v>23071</v>
      </c>
      <c r="F77" s="29">
        <v>24396</v>
      </c>
      <c r="G77" s="29">
        <v>26002</v>
      </c>
      <c r="H77" s="29">
        <v>27401</v>
      </c>
      <c r="I77" s="27">
        <f>H77*(1+I96)</f>
        <v>27702.410999999996</v>
      </c>
      <c r="J77" s="27">
        <f t="shared" si="49"/>
        <v>27868.625465999998</v>
      </c>
      <c r="K77" s="27">
        <f t="shared" si="49"/>
        <v>28035.837218795998</v>
      </c>
      <c r="L77" s="27">
        <f t="shared" si="49"/>
        <v>28176.016404889975</v>
      </c>
      <c r="M77" s="27">
        <f t="shared" si="49"/>
        <v>28316.896486914422</v>
      </c>
    </row>
    <row r="78" spans="2:28">
      <c r="B78" s="4"/>
      <c r="C78" s="1" t="s">
        <v>710</v>
      </c>
      <c r="D78" s="29">
        <v>46035</v>
      </c>
      <c r="E78" s="29">
        <v>73193</v>
      </c>
      <c r="F78" s="29">
        <v>69802</v>
      </c>
      <c r="G78" s="29">
        <v>81967</v>
      </c>
      <c r="H78" s="29">
        <v>93832</v>
      </c>
      <c r="I78" s="27">
        <f>H78*(1+I97)</f>
        <v>96834.623999999996</v>
      </c>
      <c r="J78" s="27">
        <f>I78*(1+J97)</f>
        <v>99836.497343999989</v>
      </c>
      <c r="K78" s="27">
        <f>J78*(1+K97)</f>
        <v>102831.59226431999</v>
      </c>
      <c r="L78" s="27">
        <f t="shared" si="49"/>
        <v>106019.37162451389</v>
      </c>
      <c r="M78" s="27">
        <f t="shared" si="49"/>
        <v>109305.97214487381</v>
      </c>
    </row>
    <row r="79" spans="2:28">
      <c r="B79" s="4"/>
      <c r="C79" s="31" t="s">
        <v>341</v>
      </c>
      <c r="D79" s="44">
        <f>SUM(D74:D78)</f>
        <v>386064</v>
      </c>
      <c r="E79" s="44">
        <f>SUM(E74:E78)</f>
        <v>469822</v>
      </c>
      <c r="F79" s="44">
        <f t="shared" ref="F79:G79" si="50">SUM(F74:F78)</f>
        <v>513983</v>
      </c>
      <c r="G79" s="44">
        <f t="shared" si="50"/>
        <v>574785</v>
      </c>
      <c r="H79" s="44">
        <f>SUM(H74:H78)</f>
        <v>637959</v>
      </c>
      <c r="I79" s="44">
        <f>SUM(I74:I78)</f>
        <v>651794.03799999994</v>
      </c>
      <c r="J79" s="44">
        <f t="shared" ref="J79" si="51">SUM(J74:J78)</f>
        <v>665356.49464099994</v>
      </c>
      <c r="K79" s="44">
        <f>SUM(K74:K78)</f>
        <v>678331.18055939989</v>
      </c>
      <c r="L79" s="44">
        <f t="shared" ref="L79" si="52">SUM(L74:L78)</f>
        <v>691183.78231854108</v>
      </c>
      <c r="M79" s="44">
        <f>SUM(M74:M78)</f>
        <v>704302.82675221993</v>
      </c>
    </row>
    <row r="80" spans="2:28">
      <c r="B80" s="4"/>
      <c r="C80" s="218" t="s">
        <v>486</v>
      </c>
      <c r="D80" s="278"/>
      <c r="E80" s="279">
        <f>E79/D79-1</f>
        <v>0.21695366571345676</v>
      </c>
      <c r="F80" s="279">
        <f>F79/E79-1</f>
        <v>9.399517263985091E-2</v>
      </c>
      <c r="G80" s="279">
        <f t="shared" ref="G80:M80" si="53">G79/F79-1</f>
        <v>0.1182957412988368</v>
      </c>
      <c r="H80" s="279">
        <f t="shared" si="53"/>
        <v>0.1099089224666614</v>
      </c>
      <c r="I80" s="279">
        <f>I79/H79-1</f>
        <v>2.1686406179707296E-2</v>
      </c>
      <c r="J80" s="279">
        <f t="shared" si="53"/>
        <v>2.0807886924857133E-2</v>
      </c>
      <c r="K80" s="279">
        <f t="shared" si="53"/>
        <v>1.9500352101320617E-2</v>
      </c>
      <c r="L80" s="279">
        <f t="shared" si="53"/>
        <v>1.8947384592496563E-2</v>
      </c>
      <c r="M80" s="279">
        <f t="shared" si="53"/>
        <v>1.8980544349104456E-2</v>
      </c>
    </row>
    <row r="81" spans="2:22">
      <c r="B81" s="4"/>
      <c r="I81" s="390"/>
    </row>
    <row r="82" spans="2:22">
      <c r="C82" s="557" t="s">
        <v>342</v>
      </c>
      <c r="D82" s="468">
        <v>2020</v>
      </c>
      <c r="E82" s="468">
        <f t="shared" ref="E82:M82" si="54">D82+1</f>
        <v>2021</v>
      </c>
      <c r="F82" s="468">
        <f t="shared" si="54"/>
        <v>2022</v>
      </c>
      <c r="G82" s="468">
        <f t="shared" si="54"/>
        <v>2023</v>
      </c>
      <c r="H82" s="468">
        <f t="shared" si="54"/>
        <v>2024</v>
      </c>
      <c r="I82" s="567">
        <f t="shared" si="54"/>
        <v>2025</v>
      </c>
      <c r="J82" s="567">
        <f t="shared" si="54"/>
        <v>2026</v>
      </c>
      <c r="K82" s="567">
        <f t="shared" si="54"/>
        <v>2027</v>
      </c>
      <c r="L82" s="567">
        <f t="shared" si="54"/>
        <v>2028</v>
      </c>
      <c r="M82" s="567">
        <f t="shared" si="54"/>
        <v>2029</v>
      </c>
    </row>
    <row r="83" spans="2:22">
      <c r="C83" s="1" t="s">
        <v>708</v>
      </c>
      <c r="D83" s="140">
        <f t="shared" ref="D83:H85" si="55">D74/D$52</f>
        <v>0.68258112644535618</v>
      </c>
      <c r="E83" s="140">
        <f t="shared" si="55"/>
        <v>0.66835099250354391</v>
      </c>
      <c r="F83" s="140">
        <f t="shared" si="55"/>
        <v>0.6928497635135793</v>
      </c>
      <c r="G83" s="140">
        <f t="shared" si="55"/>
        <v>0.68832172029541483</v>
      </c>
      <c r="H83" s="140">
        <f t="shared" si="55"/>
        <v>0.68658800957428301</v>
      </c>
      <c r="I83" s="140">
        <f t="shared" ref="I83:M85" si="56">I74/I$79</f>
        <v>0.68679874914719619</v>
      </c>
      <c r="J83" s="140">
        <f>J74/J$79</f>
        <v>0.68692800267412613</v>
      </c>
      <c r="K83" s="140">
        <f t="shared" ref="J83:K85" si="57">K74/K$79</f>
        <v>0.68659087099105642</v>
      </c>
      <c r="L83" s="140">
        <f t="shared" si="56"/>
        <v>0.6859525008236057</v>
      </c>
      <c r="M83" s="140">
        <f t="shared" si="56"/>
        <v>0.68529242261880907</v>
      </c>
    </row>
    <row r="84" spans="2:22" ht="14">
      <c r="C84" s="1" t="s">
        <v>190</v>
      </c>
      <c r="D84" s="140">
        <f t="shared" si="55"/>
        <v>7.6580566952629617E-2</v>
      </c>
      <c r="E84" s="140">
        <f t="shared" si="55"/>
        <v>6.735529626113719E-2</v>
      </c>
      <c r="F84" s="140">
        <f t="shared" si="55"/>
        <v>6.5367920728895704E-2</v>
      </c>
      <c r="G84" s="140">
        <f t="shared" si="55"/>
        <v>6.5394886783753922E-2</v>
      </c>
      <c r="H84" s="140">
        <f t="shared" si="55"/>
        <v>6.4041733089430508E-2</v>
      </c>
      <c r="I84" s="140">
        <f t="shared" si="56"/>
        <v>6.3183836609441338E-2</v>
      </c>
      <c r="J84" s="140">
        <f t="shared" si="57"/>
        <v>6.2638664402738381E-2</v>
      </c>
      <c r="K84" s="140">
        <f t="shared" si="57"/>
        <v>6.2300719733409546E-2</v>
      </c>
      <c r="L84" s="140">
        <f t="shared" si="56"/>
        <v>6.1937083351152063E-2</v>
      </c>
      <c r="M84" s="140">
        <f t="shared" si="56"/>
        <v>6.1573565641329285E-2</v>
      </c>
      <c r="Q84" s="614"/>
      <c r="R84" s="614"/>
      <c r="S84" s="614"/>
      <c r="T84" s="614"/>
      <c r="U84" s="614"/>
      <c r="V84" s="614"/>
    </row>
    <row r="85" spans="2:22" ht="14">
      <c r="C85" s="1" t="s">
        <v>709</v>
      </c>
      <c r="D85" s="140">
        <f t="shared" si="55"/>
        <v>6.8597434622238801E-2</v>
      </c>
      <c r="E85" s="140">
        <f t="shared" si="55"/>
        <v>5.9399091570850236E-2</v>
      </c>
      <c r="F85" s="140">
        <f t="shared" si="55"/>
        <v>5.8511662837097723E-2</v>
      </c>
      <c r="G85" s="140">
        <f t="shared" si="55"/>
        <v>5.8440982280330907E-2</v>
      </c>
      <c r="H85" s="140">
        <f t="shared" si="55"/>
        <v>5.9337669035157435E-2</v>
      </c>
      <c r="I85" s="140">
        <f t="shared" si="56"/>
        <v>5.894933485108067E-2</v>
      </c>
      <c r="J85" s="140">
        <f t="shared" si="57"/>
        <v>5.8498447130963888E-2</v>
      </c>
      <c r="K85" s="140">
        <f t="shared" si="57"/>
        <v>5.8182839533636829E-2</v>
      </c>
      <c r="L85" s="140">
        <f t="shared" si="56"/>
        <v>5.7957440216855984E-2</v>
      </c>
      <c r="M85" s="140">
        <f t="shared" si="56"/>
        <v>5.773103534345269E-2</v>
      </c>
      <c r="Q85" s="614"/>
      <c r="R85" s="615"/>
      <c r="S85" s="615"/>
      <c r="T85" s="615"/>
      <c r="U85" s="615"/>
      <c r="V85" s="615"/>
    </row>
    <row r="86" spans="2:22" ht="14">
      <c r="C86" s="1" t="s">
        <v>193</v>
      </c>
      <c r="D86" s="140">
        <f>D77/D79</f>
        <v>5.2998984624310998E-2</v>
      </c>
      <c r="E86" s="140">
        <f>E77/E79</f>
        <v>4.9105831570254263E-2</v>
      </c>
      <c r="F86" s="140">
        <f t="shared" ref="F86:M86" si="58">F77/F79</f>
        <v>4.7464604860472041E-2</v>
      </c>
      <c r="G86" s="140">
        <f t="shared" si="58"/>
        <v>4.523778456292353E-2</v>
      </c>
      <c r="H86" s="140">
        <f t="shared" si="58"/>
        <v>4.29510360383661E-2</v>
      </c>
      <c r="I86" s="140">
        <f t="shared" si="58"/>
        <v>4.2501786430884779E-2</v>
      </c>
      <c r="J86" s="140">
        <f>J77/J79</f>
        <v>4.1885253530194823E-2</v>
      </c>
      <c r="K86" s="140">
        <f>K77/K79</f>
        <v>4.1330603726155803E-2</v>
      </c>
      <c r="L86" s="140">
        <f t="shared" si="58"/>
        <v>4.0764869092233258E-2</v>
      </c>
      <c r="M86" s="140">
        <f t="shared" si="58"/>
        <v>4.0205569836334845E-2</v>
      </c>
      <c r="Q86" s="614"/>
      <c r="R86" s="615"/>
      <c r="S86" s="615"/>
      <c r="T86" s="615"/>
      <c r="U86" s="615"/>
      <c r="V86" s="615"/>
    </row>
    <row r="87" spans="2:22" ht="14">
      <c r="C87" s="1" t="s">
        <v>710</v>
      </c>
      <c r="D87" s="140">
        <f>D78/D$52</f>
        <v>0.11924188735546438</v>
      </c>
      <c r="E87" s="140">
        <f t="shared" ref="E87:M87" si="59">E78/E$52</f>
        <v>0.1557887880942144</v>
      </c>
      <c r="F87" s="140">
        <f t="shared" si="59"/>
        <v>0.1358060480599553</v>
      </c>
      <c r="G87" s="140">
        <f t="shared" si="59"/>
        <v>0.14260462607757685</v>
      </c>
      <c r="H87" s="140">
        <f t="shared" si="59"/>
        <v>0.14708155226276295</v>
      </c>
      <c r="I87" s="140">
        <f>I78/I$52</f>
        <v>0.14613134889608612</v>
      </c>
      <c r="J87" s="140">
        <f>J78/J$52</f>
        <v>0.14500581530568671</v>
      </c>
      <c r="K87" s="140">
        <f t="shared" si="59"/>
        <v>0.14426527805214842</v>
      </c>
      <c r="L87" s="140">
        <f t="shared" si="59"/>
        <v>0.14350862278696858</v>
      </c>
      <c r="M87" s="140">
        <f t="shared" si="59"/>
        <v>0.14295409024030831</v>
      </c>
      <c r="Q87" s="614"/>
      <c r="R87" s="615"/>
      <c r="S87" s="615"/>
      <c r="T87" s="615"/>
      <c r="U87" s="615"/>
      <c r="V87" s="615"/>
    </row>
    <row r="88" spans="2:22" ht="14">
      <c r="C88" s="31" t="s">
        <v>341</v>
      </c>
      <c r="D88" s="141">
        <f t="shared" ref="D88:M88" si="60">SUM(D83:D87)</f>
        <v>0.99999999999999989</v>
      </c>
      <c r="E88" s="141">
        <f t="shared" si="60"/>
        <v>1</v>
      </c>
      <c r="F88" s="141">
        <f t="shared" si="60"/>
        <v>1</v>
      </c>
      <c r="G88" s="141">
        <f t="shared" si="60"/>
        <v>1</v>
      </c>
      <c r="H88" s="141">
        <f t="shared" si="60"/>
        <v>1</v>
      </c>
      <c r="I88" s="141">
        <f>SUM(I83:I87)</f>
        <v>0.99756505593468914</v>
      </c>
      <c r="J88" s="141">
        <f>SUM(J83:J87)</f>
        <v>0.99495618304370981</v>
      </c>
      <c r="K88" s="141">
        <f>SUM(K83:K87)</f>
        <v>0.99267031203640699</v>
      </c>
      <c r="L88" s="141">
        <f t="shared" si="60"/>
        <v>0.99012051627081576</v>
      </c>
      <c r="M88" s="141">
        <f t="shared" si="60"/>
        <v>0.98775668368023428</v>
      </c>
      <c r="Q88" s="614"/>
      <c r="R88" s="615"/>
      <c r="S88" s="615"/>
      <c r="T88" s="615"/>
      <c r="U88" s="615"/>
      <c r="V88" s="615"/>
    </row>
    <row r="89" spans="2:22" ht="14">
      <c r="J89" s="650"/>
      <c r="Q89" s="614"/>
      <c r="R89" s="615"/>
      <c r="S89" s="615"/>
      <c r="T89" s="615"/>
      <c r="U89" s="615"/>
      <c r="V89" s="615"/>
    </row>
    <row r="90" spans="2:22" ht="14">
      <c r="B90" s="4"/>
      <c r="C90" s="292" t="s">
        <v>407</v>
      </c>
      <c r="D90" s="292"/>
      <c r="E90" s="292"/>
      <c r="F90" s="292"/>
      <c r="G90" s="292"/>
      <c r="H90" s="292"/>
      <c r="I90" s="292"/>
      <c r="J90" s="292"/>
      <c r="K90" s="292"/>
      <c r="L90" s="292"/>
      <c r="M90" s="292"/>
      <c r="Q90" s="614"/>
      <c r="R90" s="616"/>
      <c r="S90" s="616"/>
      <c r="T90" s="616"/>
      <c r="U90" s="616"/>
      <c r="V90" s="616"/>
    </row>
    <row r="91" spans="2:22" ht="5.5" customHeight="1">
      <c r="C91" s="143"/>
      <c r="D91" s="143"/>
      <c r="E91" s="143"/>
      <c r="F91" s="143"/>
      <c r="G91" s="143"/>
      <c r="H91" s="143"/>
      <c r="I91" s="143"/>
      <c r="J91" s="143"/>
    </row>
    <row r="92" spans="2:22">
      <c r="C92" s="566"/>
      <c r="D92" s="468">
        <v>2020</v>
      </c>
      <c r="E92" s="468">
        <f t="shared" ref="E92:M92" si="61">D92+1</f>
        <v>2021</v>
      </c>
      <c r="F92" s="468">
        <f t="shared" si="61"/>
        <v>2022</v>
      </c>
      <c r="G92" s="468">
        <f t="shared" si="61"/>
        <v>2023</v>
      </c>
      <c r="H92" s="468">
        <f t="shared" si="61"/>
        <v>2024</v>
      </c>
      <c r="I92" s="567">
        <f t="shared" si="61"/>
        <v>2025</v>
      </c>
      <c r="J92" s="567">
        <f t="shared" si="61"/>
        <v>2026</v>
      </c>
      <c r="K92" s="567">
        <f t="shared" si="61"/>
        <v>2027</v>
      </c>
      <c r="L92" s="567">
        <f t="shared" si="61"/>
        <v>2028</v>
      </c>
      <c r="M92" s="567">
        <f t="shared" si="61"/>
        <v>2029</v>
      </c>
    </row>
    <row r="93" spans="2:22">
      <c r="C93" s="1" t="s">
        <v>721</v>
      </c>
      <c r="D93" s="277">
        <v>-2.1999999999999999E-2</v>
      </c>
      <c r="E93" s="277">
        <v>5.8000000000000003E-2</v>
      </c>
      <c r="F93" s="277">
        <v>1.9E-2</v>
      </c>
      <c r="G93" s="277">
        <v>2.9000000000000001E-2</v>
      </c>
      <c r="H93" s="277">
        <v>2.8000000000000001E-2</v>
      </c>
      <c r="I93" s="277">
        <v>2.1999999999999999E-2</v>
      </c>
      <c r="J93" s="277">
        <v>2.1000000000000001E-2</v>
      </c>
      <c r="K93" s="277">
        <v>1.9E-2</v>
      </c>
      <c r="L93" s="277">
        <v>1.7999999999999999E-2</v>
      </c>
      <c r="M93" s="277">
        <v>1.7999999999999999E-2</v>
      </c>
      <c r="O93" s="1" t="s">
        <v>476</v>
      </c>
    </row>
    <row r="94" spans="2:22">
      <c r="C94" s="1" t="s">
        <v>722</v>
      </c>
      <c r="D94" s="277">
        <v>-3.7999999999999999E-2</v>
      </c>
      <c r="E94" s="277">
        <v>3.2000000000000001E-2</v>
      </c>
      <c r="F94" s="277">
        <v>1.7999999999999999E-2</v>
      </c>
      <c r="G94" s="277">
        <v>-3.0000000000000001E-3</v>
      </c>
      <c r="H94" s="277">
        <v>0</v>
      </c>
      <c r="I94" s="277">
        <v>8.0000000000000002E-3</v>
      </c>
      <c r="J94" s="277">
        <v>1.2E-2</v>
      </c>
      <c r="K94" s="277">
        <v>1.4E-2</v>
      </c>
      <c r="L94" s="277">
        <v>1.2999999999999999E-2</v>
      </c>
      <c r="M94" s="277">
        <v>1.2999999999999999E-2</v>
      </c>
      <c r="O94" s="1" t="s">
        <v>476</v>
      </c>
    </row>
    <row r="95" spans="2:22">
      <c r="C95" s="1" t="s">
        <v>723</v>
      </c>
      <c r="D95" s="277">
        <v>-0.104</v>
      </c>
      <c r="E95" s="277">
        <v>8.6999999999999994E-2</v>
      </c>
      <c r="F95" s="277">
        <v>4.2999999999999997E-2</v>
      </c>
      <c r="G95" s="277">
        <v>3.0000000000000001E-3</v>
      </c>
      <c r="H95" s="277">
        <v>1.0999999999999999E-2</v>
      </c>
      <c r="I95" s="277">
        <v>1.4999999999999999E-2</v>
      </c>
      <c r="J95" s="277">
        <v>1.2999999999999999E-2</v>
      </c>
      <c r="K95" s="277">
        <v>1.4E-2</v>
      </c>
      <c r="L95" s="277">
        <v>1.4999999999999999E-2</v>
      </c>
      <c r="M95" s="277">
        <v>1.4999999999999999E-2</v>
      </c>
      <c r="O95" s="1" t="s">
        <v>476</v>
      </c>
    </row>
    <row r="96" spans="2:22">
      <c r="C96" s="1" t="s">
        <v>724</v>
      </c>
      <c r="D96" s="277">
        <v>-4.2000000000000003E-2</v>
      </c>
      <c r="E96" s="277">
        <v>2.5999999999999999E-2</v>
      </c>
      <c r="F96" s="277">
        <v>8.9999999999999993E-3</v>
      </c>
      <c r="G96" s="277">
        <v>1.7000000000000001E-2</v>
      </c>
      <c r="H96" s="277">
        <v>3.0000000000000001E-3</v>
      </c>
      <c r="I96" s="277">
        <v>1.0999999999999999E-2</v>
      </c>
      <c r="J96" s="277">
        <v>6.0000000000000001E-3</v>
      </c>
      <c r="K96" s="277">
        <v>6.0000000000000001E-3</v>
      </c>
      <c r="L96" s="277">
        <v>5.0000000000000001E-3</v>
      </c>
      <c r="M96" s="277">
        <v>5.0000000000000001E-3</v>
      </c>
      <c r="O96" s="1" t="s">
        <v>476</v>
      </c>
    </row>
    <row r="97" spans="3:15">
      <c r="C97" s="1" t="s">
        <v>725</v>
      </c>
      <c r="D97" s="277">
        <v>-3.1E-2</v>
      </c>
      <c r="E97" s="277">
        <v>6.3E-2</v>
      </c>
      <c r="F97" s="277">
        <v>3.5000000000000003E-2</v>
      </c>
      <c r="G97" s="277">
        <v>3.2000000000000001E-2</v>
      </c>
      <c r="H97" s="277">
        <v>3.2000000000000001E-2</v>
      </c>
      <c r="I97" s="277">
        <v>3.2000000000000001E-2</v>
      </c>
      <c r="J97" s="277">
        <v>3.1E-2</v>
      </c>
      <c r="K97" s="277">
        <v>0.03</v>
      </c>
      <c r="L97" s="277">
        <v>3.1E-2</v>
      </c>
      <c r="M97" s="277">
        <v>3.1E-2</v>
      </c>
      <c r="O97" s="1" t="s">
        <v>476</v>
      </c>
    </row>
    <row r="100" spans="3:15" ht="14">
      <c r="D100" s="614"/>
      <c r="E100" s="614"/>
      <c r="F100" s="614"/>
      <c r="G100" s="614"/>
      <c r="H100" s="614"/>
      <c r="I100" s="614"/>
      <c r="J100" s="614"/>
      <c r="K100" s="614"/>
      <c r="L100" s="614"/>
      <c r="M100" s="614"/>
      <c r="N100" s="614"/>
    </row>
    <row r="101" spans="3:15" ht="14">
      <c r="D101" s="614"/>
      <c r="E101" s="623"/>
      <c r="F101" s="623"/>
      <c r="G101" s="623"/>
      <c r="H101" s="623"/>
      <c r="I101" s="623"/>
      <c r="J101" s="624"/>
      <c r="K101" s="624"/>
      <c r="L101" s="624"/>
      <c r="M101" s="624"/>
      <c r="N101" s="624"/>
    </row>
    <row r="102" spans="3:15" ht="14">
      <c r="D102" s="614"/>
      <c r="E102" s="623"/>
      <c r="F102" s="623"/>
      <c r="G102" s="623"/>
      <c r="H102" s="623"/>
      <c r="I102" s="623"/>
      <c r="J102" s="624"/>
      <c r="K102" s="624"/>
      <c r="L102" s="624"/>
      <c r="M102" s="624"/>
      <c r="N102" s="624"/>
    </row>
    <row r="103" spans="3:15" ht="14">
      <c r="D103" s="614"/>
      <c r="E103" s="623"/>
      <c r="F103" s="623"/>
      <c r="G103" s="623"/>
      <c r="H103" s="623"/>
      <c r="I103" s="623"/>
      <c r="J103" s="624"/>
      <c r="K103" s="624"/>
      <c r="L103" s="624"/>
      <c r="M103" s="624"/>
      <c r="N103" s="624"/>
    </row>
    <row r="104" spans="3:15" ht="14">
      <c r="D104" s="614"/>
      <c r="E104" s="623"/>
      <c r="F104" s="623"/>
      <c r="G104" s="623"/>
      <c r="H104" s="623"/>
      <c r="I104" s="623"/>
      <c r="J104" s="624"/>
      <c r="K104" s="624"/>
      <c r="L104" s="624"/>
      <c r="M104" s="624"/>
      <c r="N104" s="624"/>
    </row>
    <row r="105" spans="3:15" ht="14">
      <c r="D105" s="614"/>
      <c r="E105" s="623"/>
      <c r="F105" s="623"/>
      <c r="G105" s="623"/>
      <c r="H105" s="623"/>
      <c r="I105" s="623"/>
      <c r="J105" s="624"/>
      <c r="K105" s="624"/>
      <c r="L105" s="624"/>
      <c r="M105" s="624"/>
      <c r="N105" s="624"/>
    </row>
  </sheetData>
  <pageMargins left="0.7" right="0.7" top="0.75" bottom="0.75" header="0.3" footer="0.3"/>
  <ignoredErrors>
    <ignoredError sqref="D79" formulaRange="1"/>
    <ignoredError sqref="D86:H86" formula="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5C9BA-0A91-4E40-8787-A4F82C45667D}">
  <sheetPr>
    <tabColor rgb="FFAFDEFF"/>
  </sheetPr>
  <dimension ref="B1:O80"/>
  <sheetViews>
    <sheetView showGridLines="0" zoomScale="93" zoomScaleNormal="133" workbookViewId="0">
      <pane xSplit="3" ySplit="15" topLeftCell="D16" activePane="bottomRight" state="frozen"/>
      <selection pane="topRight" activeCell="D1" sqref="D1"/>
      <selection pane="bottomLeft" activeCell="A16" sqref="A16"/>
      <selection pane="bottomRight" activeCell="D8" sqref="D8"/>
    </sheetView>
  </sheetViews>
  <sheetFormatPr baseColWidth="10" defaultColWidth="8.83203125" defaultRowHeight="12"/>
  <cols>
    <col min="1" max="2" width="3.1640625" style="1" customWidth="1"/>
    <col min="3" max="3" width="40" style="1" customWidth="1"/>
    <col min="4" max="10" width="8.83203125" style="1"/>
    <col min="11" max="11" width="8.83203125" style="376"/>
    <col min="12" max="16384" width="8.83203125" style="1"/>
  </cols>
  <sheetData>
    <row r="1" spans="2:11" s="457" customFormat="1">
      <c r="K1" s="484"/>
    </row>
    <row r="2" spans="2:11" s="457" customFormat="1" ht="18">
      <c r="B2" s="462"/>
      <c r="K2" s="484"/>
    </row>
    <row r="3" spans="2:11" s="457" customFormat="1" ht="13">
      <c r="B3" s="459"/>
      <c r="C3" s="461" t="s">
        <v>389</v>
      </c>
      <c r="K3" s="484"/>
    </row>
    <row r="4" spans="2:11" s="457" customFormat="1">
      <c r="B4" s="459"/>
      <c r="C4" s="460" t="s">
        <v>23</v>
      </c>
      <c r="K4" s="484"/>
    </row>
    <row r="5" spans="2:11" s="457" customFormat="1" ht="7.75" customHeight="1">
      <c r="B5" s="459"/>
      <c r="K5" s="484"/>
    </row>
    <row r="6" spans="2:11">
      <c r="B6" s="4"/>
    </row>
    <row r="7" spans="2:11">
      <c r="B7" s="4"/>
    </row>
    <row r="8" spans="2:11">
      <c r="B8" s="4"/>
      <c r="C8" s="291" t="s">
        <v>65</v>
      </c>
      <c r="D8" s="480">
        <v>1</v>
      </c>
    </row>
    <row r="9" spans="2:11">
      <c r="B9" s="4"/>
      <c r="C9" s="85" t="s">
        <v>66</v>
      </c>
      <c r="D9" s="86">
        <v>1</v>
      </c>
    </row>
    <row r="10" spans="2:11">
      <c r="B10" s="4"/>
      <c r="C10" s="87" t="s">
        <v>67</v>
      </c>
      <c r="D10" s="83">
        <v>2</v>
      </c>
    </row>
    <row r="11" spans="2:11">
      <c r="B11" s="4"/>
      <c r="C11" s="88" t="s">
        <v>68</v>
      </c>
      <c r="D11" s="84">
        <v>3</v>
      </c>
    </row>
    <row r="12" spans="2:11">
      <c r="B12" s="4"/>
      <c r="D12" s="48"/>
    </row>
    <row r="13" spans="2:11">
      <c r="B13" s="4"/>
      <c r="C13" s="292" t="s">
        <v>410</v>
      </c>
      <c r="D13" s="292"/>
      <c r="E13" s="292"/>
      <c r="F13" s="292"/>
      <c r="G13" s="292"/>
      <c r="H13" s="292"/>
      <c r="I13" s="292"/>
      <c r="K13" s="382" t="s">
        <v>468</v>
      </c>
    </row>
    <row r="14" spans="2:11" ht="5" customHeight="1">
      <c r="C14" s="143"/>
      <c r="D14" s="143"/>
      <c r="E14" s="143"/>
      <c r="F14" s="143"/>
      <c r="G14" s="143"/>
      <c r="H14" s="143"/>
      <c r="I14" s="143"/>
      <c r="J14" s="143"/>
    </row>
    <row r="15" spans="2:11">
      <c r="B15" s="4"/>
      <c r="C15" s="483"/>
      <c r="D15" s="485" t="s">
        <v>71</v>
      </c>
      <c r="E15" s="508">
        <v>2025</v>
      </c>
      <c r="F15" s="508">
        <v>2026</v>
      </c>
      <c r="G15" s="508">
        <v>2027</v>
      </c>
      <c r="H15" s="508">
        <v>2028</v>
      </c>
      <c r="I15" s="508">
        <v>2029</v>
      </c>
      <c r="K15" s="382" t="s">
        <v>482</v>
      </c>
    </row>
    <row r="16" spans="2:11" ht="5.5" customHeight="1">
      <c r="C16" s="143"/>
      <c r="D16" s="143"/>
      <c r="E16" s="143"/>
      <c r="F16" s="143"/>
      <c r="G16" s="143"/>
      <c r="H16" s="143"/>
      <c r="I16" s="143"/>
      <c r="J16" s="143"/>
    </row>
    <row r="17" spans="2:11">
      <c r="B17" s="4"/>
      <c r="C17" s="28" t="s">
        <v>391</v>
      </c>
      <c r="D17" s="306">
        <f>AVERAGE('Actuals FS'!D149:G149)</f>
        <v>0.13478837552970147</v>
      </c>
      <c r="E17" s="595">
        <f>CHOOSE($D$8,E18,E19,E20)</f>
        <v>7.0000000000000007E-2</v>
      </c>
      <c r="F17" s="595">
        <f>CHOOSE($D$8,F18,F19,F20)</f>
        <v>0.09</v>
      </c>
      <c r="G17" s="595">
        <f>CHOOSE($D$8,G18,G19,G20)</f>
        <v>0.09</v>
      </c>
      <c r="H17" s="595">
        <f>CHOOSE($D$8,H18,H19,H20)</f>
        <v>0.1</v>
      </c>
      <c r="I17" s="595">
        <f>CHOOSE($D$8,I18,I19,I20)</f>
        <v>0.1</v>
      </c>
      <c r="K17" s="384"/>
    </row>
    <row r="18" spans="2:11">
      <c r="B18" s="4"/>
      <c r="C18" s="25" t="s">
        <v>66</v>
      </c>
      <c r="D18" s="305"/>
      <c r="E18" s="232">
        <v>7.0000000000000007E-2</v>
      </c>
      <c r="F18" s="233">
        <v>0.09</v>
      </c>
      <c r="G18" s="233">
        <v>0.09</v>
      </c>
      <c r="H18" s="233">
        <v>0.1</v>
      </c>
      <c r="I18" s="234">
        <v>0.1</v>
      </c>
      <c r="K18" s="385" t="s">
        <v>670</v>
      </c>
    </row>
    <row r="19" spans="2:11">
      <c r="B19" s="4"/>
      <c r="C19" s="25" t="s">
        <v>67</v>
      </c>
      <c r="D19" s="305"/>
      <c r="E19" s="235">
        <f>E18+4%</f>
        <v>0.11000000000000001</v>
      </c>
      <c r="F19" s="236">
        <v>0.14000000000000001</v>
      </c>
      <c r="G19" s="236">
        <v>0.14000000000000001</v>
      </c>
      <c r="H19" s="236">
        <v>0.13</v>
      </c>
      <c r="I19" s="237">
        <v>0.13</v>
      </c>
      <c r="K19" s="385" t="s">
        <v>671</v>
      </c>
    </row>
    <row r="20" spans="2:11">
      <c r="B20" s="4"/>
      <c r="C20" s="25" t="s">
        <v>68</v>
      </c>
      <c r="D20" s="305"/>
      <c r="E20" s="235">
        <v>0.05</v>
      </c>
      <c r="F20" s="236">
        <v>0.06</v>
      </c>
      <c r="G20" s="236">
        <v>0.06</v>
      </c>
      <c r="H20" s="236">
        <v>7.0000000000000007E-2</v>
      </c>
      <c r="I20" s="237">
        <v>7.0000000000000007E-2</v>
      </c>
      <c r="K20" s="385" t="s">
        <v>672</v>
      </c>
    </row>
    <row r="21" spans="2:11">
      <c r="B21" s="4"/>
      <c r="C21" s="28" t="s">
        <v>374</v>
      </c>
      <c r="D21" s="306">
        <f>AVERAGE('Actuals FS'!D150:H150)</f>
        <v>0.48001735656376904</v>
      </c>
      <c r="E21" s="595">
        <f>CHOOSE($D$8,E22,E23,E24)</f>
        <v>0.51</v>
      </c>
      <c r="F21" s="595">
        <f>CHOOSE($D$8,F22,F23,F24)</f>
        <v>0.505</v>
      </c>
      <c r="G21" s="595">
        <f>CHOOSE($D$8,G22,G23,G24)</f>
        <v>0.5</v>
      </c>
      <c r="H21" s="595">
        <f>CHOOSE($D$8,H22,H23,H24)</f>
        <v>0.495</v>
      </c>
      <c r="I21" s="595">
        <f>CHOOSE($D$8,I22,I23,I24)</f>
        <v>0.49</v>
      </c>
      <c r="K21" s="384"/>
    </row>
    <row r="22" spans="2:11">
      <c r="B22" s="4"/>
      <c r="C22" s="25" t="s">
        <v>66</v>
      </c>
      <c r="D22" s="305"/>
      <c r="E22" s="232">
        <v>0.51</v>
      </c>
      <c r="F22" s="233">
        <v>0.505</v>
      </c>
      <c r="G22" s="233">
        <v>0.5</v>
      </c>
      <c r="H22" s="233">
        <v>0.495</v>
      </c>
      <c r="I22" s="234">
        <v>0.49</v>
      </c>
      <c r="K22" s="386" t="s">
        <v>674</v>
      </c>
    </row>
    <row r="23" spans="2:11">
      <c r="B23" s="4"/>
      <c r="C23" s="25" t="s">
        <v>67</v>
      </c>
      <c r="D23" s="305"/>
      <c r="E23" s="235">
        <v>0.505</v>
      </c>
      <c r="F23" s="236">
        <v>0.49</v>
      </c>
      <c r="G23" s="236">
        <v>0.48</v>
      </c>
      <c r="H23" s="236">
        <v>0.47</v>
      </c>
      <c r="I23" s="237">
        <v>0.46</v>
      </c>
      <c r="K23" s="386" t="s">
        <v>675</v>
      </c>
    </row>
    <row r="24" spans="2:11">
      <c r="B24" s="4"/>
      <c r="C24" s="25" t="s">
        <v>68</v>
      </c>
      <c r="D24" s="305"/>
      <c r="E24" s="235">
        <v>0.51500000000000001</v>
      </c>
      <c r="F24" s="236">
        <v>0.52</v>
      </c>
      <c r="G24" s="236">
        <v>0.52500000000000002</v>
      </c>
      <c r="H24" s="236">
        <v>0.53</v>
      </c>
      <c r="I24" s="236">
        <v>0.53500000000000003</v>
      </c>
      <c r="K24" s="386" t="s">
        <v>676</v>
      </c>
    </row>
    <row r="25" spans="2:11">
      <c r="B25" s="4"/>
      <c r="C25" s="28" t="s">
        <v>673</v>
      </c>
      <c r="D25" s="306">
        <f>AVERAGE('Actuals FS'!D161:H161)</f>
        <v>0.15750388919075342</v>
      </c>
      <c r="E25" s="595">
        <f>CHOOSE($D$8,E26,E27,E28)</f>
        <v>0.154</v>
      </c>
      <c r="F25" s="595">
        <f>CHOOSE($D$8,F26,F27,F28)</f>
        <v>0.152</v>
      </c>
      <c r="G25" s="595">
        <f>CHOOSE($D$8,G26,G27,G28)</f>
        <v>0.15</v>
      </c>
      <c r="H25" s="595">
        <f>CHOOSE($D$8,H26,H27,H28)</f>
        <v>0.14799999999999999</v>
      </c>
      <c r="I25" s="595">
        <f>CHOOSE($D$8,I26,I27,I28)</f>
        <v>0.14599999999999999</v>
      </c>
      <c r="K25" s="384"/>
    </row>
    <row r="26" spans="2:11">
      <c r="B26" s="4"/>
      <c r="C26" s="25" t="s">
        <v>66</v>
      </c>
      <c r="D26" s="305"/>
      <c r="E26" s="232">
        <v>0.154</v>
      </c>
      <c r="F26" s="233">
        <v>0.152</v>
      </c>
      <c r="G26" s="233">
        <v>0.15</v>
      </c>
      <c r="H26" s="233">
        <v>0.14799999999999999</v>
      </c>
      <c r="I26" s="234">
        <v>0.14599999999999999</v>
      </c>
      <c r="K26" s="386" t="s">
        <v>677</v>
      </c>
    </row>
    <row r="27" spans="2:11">
      <c r="B27" s="4"/>
      <c r="C27" s="25" t="s">
        <v>67</v>
      </c>
      <c r="D27" s="305"/>
      <c r="E27" s="235">
        <v>0.15</v>
      </c>
      <c r="F27" s="236">
        <v>0.14499999999999999</v>
      </c>
      <c r="G27" s="236">
        <v>0.14000000000000001</v>
      </c>
      <c r="H27" s="236">
        <v>0.13500000000000001</v>
      </c>
      <c r="I27" s="237">
        <v>0.13</v>
      </c>
      <c r="K27" s="386" t="s">
        <v>678</v>
      </c>
    </row>
    <row r="28" spans="2:11">
      <c r="B28" s="4"/>
      <c r="C28" s="25" t="s">
        <v>68</v>
      </c>
      <c r="D28" s="305"/>
      <c r="E28" s="235">
        <v>0.16</v>
      </c>
      <c r="F28" s="236">
        <v>0.16500000000000001</v>
      </c>
      <c r="G28" s="236">
        <v>0.16500000000000001</v>
      </c>
      <c r="H28" s="236">
        <v>0.17</v>
      </c>
      <c r="I28" s="237">
        <v>0.17</v>
      </c>
      <c r="K28" s="386" t="s">
        <v>679</v>
      </c>
    </row>
    <row r="29" spans="2:11">
      <c r="C29" s="28" t="s">
        <v>680</v>
      </c>
      <c r="D29" s="306">
        <f>AVERAGE('Actuals FS'!D154:H154)</f>
        <v>0.13204207783038555</v>
      </c>
      <c r="E29" s="595">
        <f>CHOOSE($D$8,E30,E31,E32)</f>
        <v>-0.14499999999999999</v>
      </c>
      <c r="F29" s="595">
        <f>CHOOSE($D$8,F30,F31,F32)</f>
        <v>-0.14499999999999999</v>
      </c>
      <c r="G29" s="595">
        <f>CHOOSE($D$8,G30,G31,G32)</f>
        <v>-0.14000000000000001</v>
      </c>
      <c r="H29" s="595">
        <f>CHOOSE($D$8,H30,H31,H32)</f>
        <v>-0.13500000000000001</v>
      </c>
      <c r="I29" s="595">
        <f>CHOOSE($D$8,I30,I31,I32)</f>
        <v>-0.13</v>
      </c>
      <c r="K29" s="384"/>
    </row>
    <row r="30" spans="2:11">
      <c r="C30" s="25" t="s">
        <v>66</v>
      </c>
      <c r="D30" s="305"/>
      <c r="E30" s="232">
        <v>-0.14499999999999999</v>
      </c>
      <c r="F30" s="233">
        <v>-0.14499999999999999</v>
      </c>
      <c r="G30" s="233">
        <v>-0.14000000000000001</v>
      </c>
      <c r="H30" s="233">
        <v>-0.13500000000000001</v>
      </c>
      <c r="I30" s="234">
        <v>-0.13</v>
      </c>
      <c r="K30" s="386" t="s">
        <v>685</v>
      </c>
    </row>
    <row r="31" spans="2:11">
      <c r="C31" s="25" t="s">
        <v>67</v>
      </c>
      <c r="D31" s="305"/>
      <c r="E31" s="235">
        <v>-0.13500000000000001</v>
      </c>
      <c r="F31" s="236">
        <v>-0.13</v>
      </c>
      <c r="G31" s="236">
        <v>-0.125</v>
      </c>
      <c r="H31" s="236">
        <v>-0.12</v>
      </c>
      <c r="I31" s="237">
        <v>-0.115</v>
      </c>
      <c r="K31" s="386" t="s">
        <v>686</v>
      </c>
    </row>
    <row r="32" spans="2:11">
      <c r="C32" s="25" t="s">
        <v>68</v>
      </c>
      <c r="D32" s="305"/>
      <c r="E32" s="235">
        <v>-0.15</v>
      </c>
      <c r="F32" s="236">
        <v>-0.155</v>
      </c>
      <c r="G32" s="236">
        <v>-0.16</v>
      </c>
      <c r="H32" s="236">
        <v>-0.16</v>
      </c>
      <c r="I32" s="237">
        <v>-0.16</v>
      </c>
      <c r="K32" s="386" t="s">
        <v>687</v>
      </c>
    </row>
    <row r="33" spans="2:11">
      <c r="C33" s="28" t="s">
        <v>681</v>
      </c>
      <c r="D33" s="306">
        <f>AVERAGE('Actuals FS'!D153:H153)</f>
        <v>0.37995287202730232</v>
      </c>
      <c r="E33" s="595">
        <f>CHOOSE($D$8,E34,E35,E36)</f>
        <v>8.6999999999999994E-2</v>
      </c>
      <c r="F33" s="595">
        <f>CHOOSE($D$8,F34,F35,F36)</f>
        <v>8.5999999999999993E-2</v>
      </c>
      <c r="G33" s="595">
        <f>CHOOSE($D$8,G34,G35,G36)</f>
        <v>8.4999999999999992E-2</v>
      </c>
      <c r="H33" s="595">
        <f>CHOOSE($D$8,H34,H35,H36)</f>
        <v>8.3999999999999991E-2</v>
      </c>
      <c r="I33" s="595">
        <f>CHOOSE($D$8,I34,I35,I36)</f>
        <v>8.299999999999999E-2</v>
      </c>
      <c r="K33" s="386"/>
    </row>
    <row r="34" spans="2:11">
      <c r="C34" s="25" t="s">
        <v>66</v>
      </c>
      <c r="D34" s="305"/>
      <c r="E34" s="232">
        <v>8.6999999999999994E-2</v>
      </c>
      <c r="F34" s="233">
        <f>E34-0.1%</f>
        <v>8.5999999999999993E-2</v>
      </c>
      <c r="G34" s="233">
        <f t="shared" ref="G34:I34" si="0">F34-0.1%</f>
        <v>8.4999999999999992E-2</v>
      </c>
      <c r="H34" s="233">
        <f t="shared" si="0"/>
        <v>8.3999999999999991E-2</v>
      </c>
      <c r="I34" s="233">
        <f t="shared" si="0"/>
        <v>8.299999999999999E-2</v>
      </c>
      <c r="K34" s="386" t="s">
        <v>682</v>
      </c>
    </row>
    <row r="35" spans="2:11">
      <c r="C35" s="25" t="s">
        <v>67</v>
      </c>
      <c r="D35" s="305"/>
      <c r="E35" s="235">
        <v>8.5000000000000006E-2</v>
      </c>
      <c r="F35" s="236">
        <f>E35-0.5%</f>
        <v>0.08</v>
      </c>
      <c r="G35" s="236">
        <f t="shared" ref="G35:I35" si="1">F35-0.5%</f>
        <v>7.4999999999999997E-2</v>
      </c>
      <c r="H35" s="236">
        <f t="shared" si="1"/>
        <v>6.9999999999999993E-2</v>
      </c>
      <c r="I35" s="236">
        <f t="shared" si="1"/>
        <v>6.4999999999999988E-2</v>
      </c>
      <c r="K35" s="386" t="s">
        <v>683</v>
      </c>
    </row>
    <row r="36" spans="2:11">
      <c r="C36" s="25" t="s">
        <v>68</v>
      </c>
      <c r="D36" s="305"/>
      <c r="E36" s="235">
        <v>0.09</v>
      </c>
      <c r="F36" s="236">
        <f>E36+0.5%</f>
        <v>9.5000000000000001E-2</v>
      </c>
      <c r="G36" s="236">
        <f>F36</f>
        <v>9.5000000000000001E-2</v>
      </c>
      <c r="H36" s="236">
        <f>G36+0.5%</f>
        <v>0.1</v>
      </c>
      <c r="I36" s="237">
        <f>H36</f>
        <v>0.1</v>
      </c>
      <c r="K36" s="386" t="s">
        <v>684</v>
      </c>
    </row>
    <row r="37" spans="2:11">
      <c r="C37" s="28" t="s">
        <v>688</v>
      </c>
      <c r="D37" s="306">
        <f>AVERAGE('Actuals FS'!D159:H159)</f>
        <v>-0.2221100129008578</v>
      </c>
      <c r="E37" s="595">
        <f>CHOOSE($D$8,E38,E39,E40)</f>
        <v>-0.15</v>
      </c>
      <c r="F37" s="595">
        <f>CHOOSE($D$8,F38,F39,F40)</f>
        <v>-0.16</v>
      </c>
      <c r="G37" s="595">
        <f>CHOOSE($D$8,G38,G39,G40)</f>
        <v>-0.17</v>
      </c>
      <c r="H37" s="595">
        <f>CHOOSE($D$8,H38,H39,H40)</f>
        <v>-0.17</v>
      </c>
      <c r="I37" s="595">
        <f>CHOOSE($D$8,I38,I39,I40)</f>
        <v>-0.17</v>
      </c>
      <c r="K37" s="384"/>
    </row>
    <row r="38" spans="2:11" ht="13" customHeight="1">
      <c r="B38" s="6"/>
      <c r="C38" s="25" t="s">
        <v>66</v>
      </c>
      <c r="D38" s="305"/>
      <c r="E38" s="232">
        <v>-0.15</v>
      </c>
      <c r="F38" s="233">
        <f>E38-1%</f>
        <v>-0.16</v>
      </c>
      <c r="G38" s="233">
        <f>F38-1%</f>
        <v>-0.17</v>
      </c>
      <c r="H38" s="233">
        <f>G38</f>
        <v>-0.17</v>
      </c>
      <c r="I38" s="233">
        <f>H38</f>
        <v>-0.17</v>
      </c>
      <c r="K38" s="386" t="s">
        <v>689</v>
      </c>
    </row>
    <row r="39" spans="2:11">
      <c r="C39" s="25" t="s">
        <v>67</v>
      </c>
      <c r="D39" s="305"/>
      <c r="E39" s="235">
        <v>-0.12</v>
      </c>
      <c r="F39" s="236">
        <f>E39-0.5%</f>
        <v>-0.125</v>
      </c>
      <c r="G39" s="236">
        <f t="shared" ref="G39:I39" si="2">F39-0.5%</f>
        <v>-0.13</v>
      </c>
      <c r="H39" s="236">
        <f t="shared" si="2"/>
        <v>-0.13500000000000001</v>
      </c>
      <c r="I39" s="236">
        <f t="shared" si="2"/>
        <v>-0.14000000000000001</v>
      </c>
      <c r="K39" s="386" t="s">
        <v>690</v>
      </c>
    </row>
    <row r="40" spans="2:11">
      <c r="C40" s="25" t="s">
        <v>68</v>
      </c>
      <c r="D40" s="305"/>
      <c r="E40" s="596">
        <v>-0.18</v>
      </c>
      <c r="F40" s="597">
        <f>E40-1%</f>
        <v>-0.19</v>
      </c>
      <c r="G40" s="597">
        <f t="shared" ref="G40:H40" si="3">F40-1%</f>
        <v>-0.2</v>
      </c>
      <c r="H40" s="597">
        <f t="shared" si="3"/>
        <v>-0.21000000000000002</v>
      </c>
      <c r="I40" s="598">
        <f>H40</f>
        <v>-0.21000000000000002</v>
      </c>
      <c r="K40" s="386" t="s">
        <v>691</v>
      </c>
    </row>
    <row r="41" spans="2:11">
      <c r="C41" s="31" t="s">
        <v>70</v>
      </c>
      <c r="D41" s="594">
        <f>AVERAGE('Actuals FS'!D157:H157)</f>
        <v>0.11879460879550854</v>
      </c>
      <c r="E41" s="111">
        <f>1-SUM(E21,E25,E29,E37,E17,E33)</f>
        <v>0.47399999999999998</v>
      </c>
      <c r="F41" s="111">
        <f t="shared" ref="F41:I41" si="4">1-SUM(F21,F25,F29,F37,F17,F33)</f>
        <v>0.47200000000000009</v>
      </c>
      <c r="G41" s="111">
        <f t="shared" si="4"/>
        <v>0.4850000000000001</v>
      </c>
      <c r="H41" s="111">
        <f t="shared" si="4"/>
        <v>0.47800000000000009</v>
      </c>
      <c r="I41" s="111">
        <f t="shared" si="4"/>
        <v>0.48100000000000009</v>
      </c>
    </row>
    <row r="42" spans="2:11">
      <c r="C42" s="6"/>
      <c r="D42" s="307"/>
      <c r="E42" s="60"/>
      <c r="F42" s="60"/>
      <c r="G42" s="60"/>
      <c r="H42" s="60"/>
      <c r="I42" s="60"/>
    </row>
    <row r="43" spans="2:11">
      <c r="C43" s="28" t="s">
        <v>379</v>
      </c>
      <c r="D43" s="600">
        <f>AVERAGE('Actuals FS'!D113:H113)</f>
        <v>28.748894009162171</v>
      </c>
      <c r="E43" s="601">
        <f>CHOOSE($D$8,E44,E45,E46)</f>
        <v>29</v>
      </c>
      <c r="F43" s="601">
        <f>CHOOSE($D$8,F44,F45,F46)</f>
        <v>29</v>
      </c>
      <c r="G43" s="601">
        <f>CHOOSE($D$8,G44,G45,G46)</f>
        <v>29</v>
      </c>
      <c r="H43" s="601">
        <f>CHOOSE($D$8,H44,H45,H46)</f>
        <v>29</v>
      </c>
      <c r="I43" s="601">
        <f>CHOOSE($D$8,I44,I45,I46)</f>
        <v>29</v>
      </c>
      <c r="K43" s="384"/>
    </row>
    <row r="44" spans="2:11">
      <c r="C44" s="25" t="s">
        <v>66</v>
      </c>
      <c r="D44" s="602"/>
      <c r="E44" s="603">
        <v>29</v>
      </c>
      <c r="F44" s="604">
        <v>29</v>
      </c>
      <c r="G44" s="604">
        <v>29</v>
      </c>
      <c r="H44" s="604">
        <v>29</v>
      </c>
      <c r="I44" s="604">
        <v>29</v>
      </c>
      <c r="K44" s="386" t="s">
        <v>692</v>
      </c>
    </row>
    <row r="45" spans="2:11">
      <c r="C45" s="25" t="s">
        <v>67</v>
      </c>
      <c r="D45" s="602"/>
      <c r="E45" s="605">
        <v>28</v>
      </c>
      <c r="F45" s="606">
        <f>E45</f>
        <v>28</v>
      </c>
      <c r="G45" s="606">
        <f>F45-0.5</f>
        <v>27.5</v>
      </c>
      <c r="H45" s="606">
        <f>G45</f>
        <v>27.5</v>
      </c>
      <c r="I45" s="607">
        <f>H45-0.5</f>
        <v>27</v>
      </c>
      <c r="K45" s="386" t="s">
        <v>696</v>
      </c>
    </row>
    <row r="46" spans="2:11">
      <c r="C46" s="25" t="s">
        <v>68</v>
      </c>
      <c r="D46" s="602"/>
      <c r="E46" s="605">
        <v>30</v>
      </c>
      <c r="F46" s="606">
        <f>E46+1</f>
        <v>31</v>
      </c>
      <c r="G46" s="606">
        <f>F46+1</f>
        <v>32</v>
      </c>
      <c r="H46" s="606">
        <f t="shared" ref="H46" si="5">G46</f>
        <v>32</v>
      </c>
      <c r="I46" s="607">
        <f>H46+1</f>
        <v>33</v>
      </c>
      <c r="K46" s="386" t="s">
        <v>697</v>
      </c>
    </row>
    <row r="47" spans="2:11">
      <c r="C47" s="28" t="s">
        <v>236</v>
      </c>
      <c r="D47" s="599">
        <f>AVERAGE('Actuals FS'!D116:H116)</f>
        <v>40.525789267706571</v>
      </c>
      <c r="E47" s="601">
        <f>CHOOSE($D$8,E48,E49,E50)</f>
        <v>40</v>
      </c>
      <c r="F47" s="601">
        <f>CHOOSE($D$8,F48,F49,F50)</f>
        <v>39</v>
      </c>
      <c r="G47" s="601">
        <f>CHOOSE($D$8,G48,G49,G50)</f>
        <v>38</v>
      </c>
      <c r="H47" s="601">
        <f>CHOOSE($D$8,H48,H49,H50)</f>
        <v>37</v>
      </c>
      <c r="I47" s="601">
        <f>CHOOSE($D$8,I48,I49,I50)</f>
        <v>36</v>
      </c>
      <c r="K47" s="384"/>
    </row>
    <row r="48" spans="2:11" ht="12" customHeight="1">
      <c r="C48" s="25" t="s">
        <v>66</v>
      </c>
      <c r="D48" s="602"/>
      <c r="E48" s="603">
        <v>40</v>
      </c>
      <c r="F48" s="604">
        <f>E48-1</f>
        <v>39</v>
      </c>
      <c r="G48" s="604">
        <f t="shared" ref="G48:I48" si="6">F48-1</f>
        <v>38</v>
      </c>
      <c r="H48" s="604">
        <f t="shared" si="6"/>
        <v>37</v>
      </c>
      <c r="I48" s="604">
        <f t="shared" si="6"/>
        <v>36</v>
      </c>
      <c r="K48" s="386" t="s">
        <v>693</v>
      </c>
    </row>
    <row r="49" spans="2:11">
      <c r="C49" s="25" t="s">
        <v>67</v>
      </c>
      <c r="D49" s="602"/>
      <c r="E49" s="605">
        <v>38</v>
      </c>
      <c r="F49" s="606">
        <f>E49-2</f>
        <v>36</v>
      </c>
      <c r="G49" s="606">
        <f t="shared" ref="G49:I49" si="7">F49-2</f>
        <v>34</v>
      </c>
      <c r="H49" s="606">
        <f t="shared" si="7"/>
        <v>32</v>
      </c>
      <c r="I49" s="606">
        <f t="shared" si="7"/>
        <v>30</v>
      </c>
      <c r="K49" s="386" t="s">
        <v>698</v>
      </c>
    </row>
    <row r="50" spans="2:11">
      <c r="C50" s="25" t="s">
        <v>68</v>
      </c>
      <c r="D50" s="602"/>
      <c r="E50" s="605">
        <v>42</v>
      </c>
      <c r="F50" s="606">
        <f>E50+2</f>
        <v>44</v>
      </c>
      <c r="G50" s="606">
        <f t="shared" ref="G50:I50" si="8">F50+2</f>
        <v>46</v>
      </c>
      <c r="H50" s="606">
        <f t="shared" si="8"/>
        <v>48</v>
      </c>
      <c r="I50" s="606">
        <f t="shared" si="8"/>
        <v>50</v>
      </c>
      <c r="K50" s="386" t="s">
        <v>699</v>
      </c>
    </row>
    <row r="51" spans="2:11">
      <c r="C51" s="28" t="s">
        <v>258</v>
      </c>
      <c r="D51" s="599">
        <f>AVERAGE('Actuals FS'!D119:H119)</f>
        <v>105.36945683454989</v>
      </c>
      <c r="E51" s="601">
        <f>CHOOSE($D$8,E52,E53,E54)</f>
        <v>105.36945683454989</v>
      </c>
      <c r="F51" s="601">
        <f>CHOOSE($D$8,F52,F53,F54)</f>
        <v>105.36945683454989</v>
      </c>
      <c r="G51" s="601">
        <f>CHOOSE($D$8,G52,G53,G54)</f>
        <v>105.36945683454989</v>
      </c>
      <c r="H51" s="601">
        <f>CHOOSE($D$8,H52,H53,H54)</f>
        <v>105.36945683454989</v>
      </c>
      <c r="I51" s="601">
        <f>CHOOSE($D$8,I52,I53,I54)</f>
        <v>105.36945683454989</v>
      </c>
      <c r="K51" s="384"/>
    </row>
    <row r="52" spans="2:11">
      <c r="B52" s="6"/>
      <c r="C52" s="25" t="s">
        <v>66</v>
      </c>
      <c r="D52" s="602"/>
      <c r="E52" s="603">
        <f>D51</f>
        <v>105.36945683454989</v>
      </c>
      <c r="F52" s="604">
        <f>E52</f>
        <v>105.36945683454989</v>
      </c>
      <c r="G52" s="604">
        <f t="shared" ref="G52:I52" si="9">F52</f>
        <v>105.36945683454989</v>
      </c>
      <c r="H52" s="604">
        <f t="shared" si="9"/>
        <v>105.36945683454989</v>
      </c>
      <c r="I52" s="608">
        <f t="shared" si="9"/>
        <v>105.36945683454989</v>
      </c>
      <c r="K52" s="386" t="s">
        <v>694</v>
      </c>
    </row>
    <row r="53" spans="2:11">
      <c r="C53" s="25" t="s">
        <v>67</v>
      </c>
      <c r="D53" s="602"/>
      <c r="E53" s="605">
        <v>110</v>
      </c>
      <c r="F53" s="606">
        <f>E53+2</f>
        <v>112</v>
      </c>
      <c r="G53" s="606">
        <f>F53+3</f>
        <v>115</v>
      </c>
      <c r="H53" s="606">
        <f>G53</f>
        <v>115</v>
      </c>
      <c r="I53" s="607">
        <f>H53</f>
        <v>115</v>
      </c>
      <c r="K53" s="386" t="s">
        <v>700</v>
      </c>
    </row>
    <row r="54" spans="2:11">
      <c r="C54" s="25" t="s">
        <v>68</v>
      </c>
      <c r="D54" s="602"/>
      <c r="E54" s="609">
        <v>100</v>
      </c>
      <c r="F54" s="610">
        <f>E54-5</f>
        <v>95</v>
      </c>
      <c r="G54" s="610">
        <f>F54-5</f>
        <v>90</v>
      </c>
      <c r="H54" s="610">
        <f>G54</f>
        <v>90</v>
      </c>
      <c r="I54" s="611">
        <f>H54</f>
        <v>90</v>
      </c>
      <c r="K54" s="386" t="s">
        <v>701</v>
      </c>
    </row>
    <row r="55" spans="2:11">
      <c r="C55" s="50" t="s">
        <v>76</v>
      </c>
      <c r="D55" s="308">
        <f>D43+D47-D51</f>
        <v>-36.094773557681151</v>
      </c>
      <c r="E55" s="121">
        <f>E43+E47-E51</f>
        <v>-36.369456834549894</v>
      </c>
      <c r="F55" s="121">
        <f t="shared" ref="F55:I55" si="10">F43+F47-F51</f>
        <v>-37.369456834549894</v>
      </c>
      <c r="G55" s="121">
        <f t="shared" si="10"/>
        <v>-38.369456834549894</v>
      </c>
      <c r="H55" s="121">
        <f t="shared" si="10"/>
        <v>-39.369456834549894</v>
      </c>
      <c r="I55" s="121">
        <f t="shared" si="10"/>
        <v>-40.369456834549894</v>
      </c>
    </row>
    <row r="56" spans="2:11">
      <c r="C56" s="6"/>
      <c r="D56" s="307"/>
      <c r="E56" s="60"/>
      <c r="F56" s="60"/>
      <c r="G56" s="60"/>
      <c r="H56" s="60"/>
      <c r="I56" s="60"/>
    </row>
    <row r="57" spans="2:11">
      <c r="C57" s="28" t="s">
        <v>380</v>
      </c>
      <c r="D57" s="304">
        <f>AVERAGE('Actuals FS'!D160:H160)</f>
        <v>-0.11591728266753425</v>
      </c>
      <c r="E57" s="238">
        <f>CHOOSE($D$8,E58,E59,E60)</f>
        <v>-0.14000000000000001</v>
      </c>
      <c r="F57" s="238">
        <f>CHOOSE($D$8,F58,F59,F60)</f>
        <v>-0.14500000000000002</v>
      </c>
      <c r="G57" s="238">
        <f>CHOOSE($D$8,G58,G59,G60)</f>
        <v>-0.14500000000000002</v>
      </c>
      <c r="H57" s="238">
        <f>CHOOSE($D$8,H58,H59,H60)</f>
        <v>-0.13500000000000001</v>
      </c>
      <c r="I57" s="238">
        <f>CHOOSE($D$8,I58,I59,I60)</f>
        <v>-0.13</v>
      </c>
      <c r="K57" s="384"/>
    </row>
    <row r="58" spans="2:11">
      <c r="C58" s="25" t="s">
        <v>66</v>
      </c>
      <c r="D58" s="307"/>
      <c r="E58" s="239">
        <v>-0.14000000000000001</v>
      </c>
      <c r="F58" s="233">
        <f>E58-0.5%</f>
        <v>-0.14500000000000002</v>
      </c>
      <c r="G58" s="233">
        <f t="shared" ref="G58" si="11">F58</f>
        <v>-0.14500000000000002</v>
      </c>
      <c r="H58" s="233">
        <f>G58+1%</f>
        <v>-0.13500000000000001</v>
      </c>
      <c r="I58" s="612">
        <f>H58+0.5%</f>
        <v>-0.13</v>
      </c>
      <c r="K58" s="386" t="s">
        <v>695</v>
      </c>
    </row>
    <row r="59" spans="2:11">
      <c r="C59" s="25" t="s">
        <v>67</v>
      </c>
      <c r="D59" s="307"/>
      <c r="E59" s="240">
        <v>-0.16</v>
      </c>
      <c r="F59" s="241">
        <v>-0.17</v>
      </c>
      <c r="G59" s="241">
        <v>-0.17</v>
      </c>
      <c r="H59" s="241">
        <v>-0.16</v>
      </c>
      <c r="I59" s="242">
        <v>-0.15</v>
      </c>
      <c r="K59" s="386" t="s">
        <v>702</v>
      </c>
    </row>
    <row r="60" spans="2:11" ht="13" customHeight="1">
      <c r="C60" s="25" t="s">
        <v>68</v>
      </c>
      <c r="D60" s="307"/>
      <c r="E60" s="240">
        <v>-0.12</v>
      </c>
      <c r="F60" s="241">
        <v>-0.11</v>
      </c>
      <c r="G60" s="241">
        <v>-0.11</v>
      </c>
      <c r="H60" s="241">
        <v>-0.1</v>
      </c>
      <c r="I60" s="242">
        <v>-0.1</v>
      </c>
      <c r="J60" s="143"/>
      <c r="K60" s="386" t="s">
        <v>703</v>
      </c>
    </row>
    <row r="63" spans="2:11">
      <c r="C63" s="292" t="s">
        <v>704</v>
      </c>
      <c r="D63" s="292"/>
      <c r="E63" s="292"/>
      <c r="F63" s="292"/>
      <c r="G63" s="292"/>
      <c r="H63" s="292"/>
      <c r="I63" s="292"/>
    </row>
    <row r="64" spans="2:11">
      <c r="C64" s="143"/>
      <c r="D64" s="143"/>
      <c r="E64" s="143"/>
      <c r="F64" s="143"/>
      <c r="G64" s="143"/>
      <c r="H64" s="143"/>
      <c r="I64" s="143"/>
    </row>
    <row r="65" spans="3:15">
      <c r="C65" s="483"/>
      <c r="D65" s="485"/>
      <c r="E65" s="486">
        <f>E15</f>
        <v>2025</v>
      </c>
      <c r="F65" s="486">
        <f>F15</f>
        <v>2026</v>
      </c>
      <c r="G65" s="486">
        <f>G15</f>
        <v>2027</v>
      </c>
      <c r="H65" s="486">
        <f>H15</f>
        <v>2028</v>
      </c>
      <c r="I65" s="486">
        <f>I15</f>
        <v>2029</v>
      </c>
    </row>
    <row r="66" spans="3:15">
      <c r="C66" s="1" t="s">
        <v>496</v>
      </c>
      <c r="D66" s="266"/>
      <c r="E66" s="105">
        <f>Revenue!I80</f>
        <v>2.1686406179707296E-2</v>
      </c>
      <c r="F66" s="105">
        <f>Revenue!J80</f>
        <v>2.0807886924857133E-2</v>
      </c>
      <c r="G66" s="105">
        <f>Revenue!K80</f>
        <v>1.9500352101320617E-2</v>
      </c>
      <c r="H66" s="105">
        <f>Revenue!L80</f>
        <v>1.8947384592496563E-2</v>
      </c>
      <c r="I66" s="105">
        <f>Revenue!M80</f>
        <v>1.8980544349104456E-2</v>
      </c>
      <c r="K66" s="377" t="s">
        <v>476</v>
      </c>
    </row>
    <row r="67" spans="3:15">
      <c r="C67" s="1" t="s">
        <v>508</v>
      </c>
      <c r="E67" s="390">
        <f>Revenue!I53</f>
        <v>3.8710468915932772E-2</v>
      </c>
      <c r="F67" s="390">
        <f>Revenue!J53</f>
        <v>3.9002610993603692E-2</v>
      </c>
      <c r="G67" s="390">
        <f>Revenue!K53</f>
        <v>3.5287158361617221E-2</v>
      </c>
      <c r="H67" s="390">
        <f>Revenue!L53</f>
        <v>3.6435990975667298E-2</v>
      </c>
      <c r="I67" s="390">
        <f>Revenue!M53</f>
        <v>3.4999347305457507E-2</v>
      </c>
      <c r="K67" s="377" t="s">
        <v>476</v>
      </c>
    </row>
    <row r="68" spans="3:15">
      <c r="C68" s="1" t="s">
        <v>475</v>
      </c>
      <c r="D68" s="266"/>
      <c r="E68" s="110">
        <v>3.3000000000000002E-2</v>
      </c>
      <c r="F68" s="110">
        <v>1.6E-2</v>
      </c>
      <c r="G68" s="110">
        <v>1.4999999999999999E-2</v>
      </c>
      <c r="H68" s="110">
        <v>1.6E-2</v>
      </c>
      <c r="I68" s="110">
        <v>1.7000000000000001E-2</v>
      </c>
      <c r="K68" s="377" t="s">
        <v>223</v>
      </c>
    </row>
    <row r="69" spans="3:15">
      <c r="C69" s="1" t="s">
        <v>346</v>
      </c>
      <c r="E69" s="110">
        <v>4.7500000000000001E-2</v>
      </c>
      <c r="F69" s="110">
        <v>0.02</v>
      </c>
      <c r="G69" s="110">
        <v>0.02</v>
      </c>
      <c r="H69" s="110">
        <v>1.7500000000000002E-2</v>
      </c>
      <c r="I69" s="110">
        <v>1.7500000000000002E-2</v>
      </c>
      <c r="K69" s="377" t="s">
        <v>223</v>
      </c>
    </row>
    <row r="72" spans="3:15" ht="15">
      <c r="J72"/>
      <c r="L72"/>
      <c r="M72"/>
      <c r="N72"/>
      <c r="O72"/>
    </row>
    <row r="73" spans="3:15" ht="15">
      <c r="F73" s="613" t="s">
        <v>705</v>
      </c>
      <c r="J73"/>
      <c r="L73"/>
      <c r="M73"/>
      <c r="N73"/>
      <c r="O73"/>
    </row>
    <row r="74" spans="3:15" ht="15">
      <c r="J74"/>
      <c r="L74"/>
      <c r="M74"/>
      <c r="N74"/>
      <c r="O74"/>
    </row>
    <row r="75" spans="3:15" ht="15">
      <c r="J75"/>
      <c r="L75"/>
      <c r="M75"/>
      <c r="N75"/>
      <c r="O75"/>
    </row>
    <row r="76" spans="3:15" ht="15">
      <c r="H76"/>
      <c r="I76"/>
      <c r="J76"/>
      <c r="K76"/>
      <c r="L76"/>
      <c r="M76"/>
      <c r="N76"/>
      <c r="O76"/>
    </row>
    <row r="77" spans="3:15" ht="15">
      <c r="H77"/>
      <c r="I77"/>
      <c r="K77"/>
    </row>
    <row r="78" spans="3:15" ht="15">
      <c r="H78"/>
      <c r="I78"/>
      <c r="K78"/>
    </row>
    <row r="79" spans="3:15" ht="15">
      <c r="H79"/>
      <c r="I79"/>
      <c r="K79"/>
    </row>
    <row r="80" spans="3:15" ht="15">
      <c r="H80"/>
      <c r="I80"/>
      <c r="K80"/>
    </row>
  </sheetData>
  <pageMargins left="0.7" right="0.7" top="0.75" bottom="0.75" header="0.3" footer="0.3"/>
  <ignoredErrors>
    <ignoredError sqref="G36:H36 I37 F39:G39 I39 G45:H45 H46" formula="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6CBF9-59B4-461F-9D01-D1FCBE98F4A9}">
  <sheetPr>
    <tabColor rgb="FFAFDEFF"/>
  </sheetPr>
  <dimension ref="B1:V66"/>
  <sheetViews>
    <sheetView showGridLines="0" zoomScale="87" workbookViewId="0">
      <selection activeCell="J57" sqref="J57"/>
    </sheetView>
  </sheetViews>
  <sheetFormatPr baseColWidth="10" defaultColWidth="8.83203125" defaultRowHeight="12"/>
  <cols>
    <col min="1" max="2" width="3.1640625" style="1" customWidth="1"/>
    <col min="3" max="3" width="3" style="1" customWidth="1"/>
    <col min="4" max="4" width="16.1640625" style="1" customWidth="1"/>
    <col min="5" max="5" width="11.1640625" style="1" customWidth="1"/>
    <col min="6" max="8" width="10.83203125" style="1" customWidth="1"/>
    <col min="9" max="9" width="8.83203125" style="1" customWidth="1"/>
    <col min="10" max="10" width="10.1640625" style="1" customWidth="1"/>
    <col min="11" max="11" width="8.83203125" style="1" customWidth="1"/>
    <col min="12" max="12" width="2.6640625" style="1" customWidth="1"/>
    <col min="13" max="16" width="8.83203125" style="1" customWidth="1"/>
    <col min="17" max="17" width="2.6640625" style="1" customWidth="1"/>
    <col min="18" max="19" width="8.83203125" style="1"/>
    <col min="20" max="20" width="10.33203125" style="1" bestFit="1" customWidth="1"/>
    <col min="21" max="21" width="8.83203125" style="1"/>
    <col min="22" max="22" width="2.6640625" style="1" customWidth="1"/>
    <col min="23" max="16384" width="8.83203125" style="1"/>
  </cols>
  <sheetData>
    <row r="1" spans="2:22" s="457" customFormat="1"/>
    <row r="2" spans="2:22" s="457" customFormat="1" ht="18">
      <c r="B2" s="462"/>
    </row>
    <row r="3" spans="2:22" s="457" customFormat="1" ht="13">
      <c r="B3" s="459"/>
      <c r="C3" s="461" t="s">
        <v>465</v>
      </c>
    </row>
    <row r="4" spans="2:22" s="457" customFormat="1">
      <c r="B4" s="459"/>
      <c r="C4" s="460" t="s">
        <v>23</v>
      </c>
    </row>
    <row r="5" spans="2:22" s="457" customFormat="1" ht="7.75" customHeight="1">
      <c r="B5" s="459"/>
    </row>
    <row r="6" spans="2:22">
      <c r="B6" s="4"/>
    </row>
    <row r="7" spans="2:22">
      <c r="B7" s="4"/>
    </row>
    <row r="8" spans="2:22">
      <c r="B8" s="4"/>
      <c r="C8" s="302" t="s">
        <v>749</v>
      </c>
      <c r="D8" s="290"/>
      <c r="E8" s="290"/>
      <c r="F8" s="290"/>
      <c r="G8" s="290"/>
      <c r="H8" s="290"/>
    </row>
    <row r="9" spans="2:22" ht="4.75" customHeight="1">
      <c r="B9" s="4"/>
    </row>
    <row r="10" spans="2:22" ht="14">
      <c r="B10" s="4"/>
      <c r="C10" s="501"/>
      <c r="D10" s="501"/>
      <c r="E10" s="548" t="s">
        <v>426</v>
      </c>
      <c r="F10" s="548" t="s">
        <v>427</v>
      </c>
      <c r="G10" s="548" t="s">
        <v>166</v>
      </c>
      <c r="H10" s="548" t="s">
        <v>167</v>
      </c>
    </row>
    <row r="11" spans="2:22">
      <c r="B11" s="4"/>
      <c r="C11" s="1" t="s">
        <v>455</v>
      </c>
      <c r="E11" s="221">
        <f>R39</f>
        <v>9.0598300867236787</v>
      </c>
      <c r="F11" s="221">
        <f t="shared" ref="F11" si="0">S39</f>
        <v>28.841990002080578</v>
      </c>
      <c r="G11" s="221">
        <f>T39</f>
        <v>21.096830627765343</v>
      </c>
      <c r="H11" s="221">
        <f>U39</f>
        <v>34.505253976536395</v>
      </c>
    </row>
    <row r="12" spans="2:22">
      <c r="B12" s="4"/>
      <c r="C12" s="3" t="s">
        <v>456</v>
      </c>
      <c r="E12" s="27">
        <f>'Forecasted FS'!E37</f>
        <v>637959</v>
      </c>
      <c r="F12" s="27">
        <f>'Forecasted FS'!E47</f>
        <v>68593</v>
      </c>
      <c r="G12" s="27">
        <f>'Forecasted FS'!E47</f>
        <v>68593</v>
      </c>
      <c r="H12" s="27">
        <f>'Forecasted FS'!E56</f>
        <v>59248</v>
      </c>
    </row>
    <row r="13" spans="2:22">
      <c r="B13" s="4"/>
      <c r="C13" s="6" t="s">
        <v>113</v>
      </c>
      <c r="D13" s="6"/>
      <c r="E13" s="45">
        <f>E12*E11</f>
        <v>5779800.1422961513</v>
      </c>
      <c r="F13" s="45">
        <f>F12*F11</f>
        <v>1978358.620212713</v>
      </c>
      <c r="G13" s="45">
        <f>G12*G11</f>
        <v>1447094.9032503082</v>
      </c>
      <c r="H13" s="45">
        <f>H17-SUM(H14:H16)</f>
        <v>2643105.2876018286</v>
      </c>
      <c r="L13" s="6"/>
      <c r="Q13" s="6"/>
      <c r="V13" s="6"/>
    </row>
    <row r="14" spans="2:22">
      <c r="B14" s="4"/>
      <c r="C14" s="65" t="s">
        <v>115</v>
      </c>
      <c r="E14" s="27">
        <f>DCF!$I$44</f>
        <v>-52623</v>
      </c>
      <c r="F14" s="27">
        <f>DCF!$I$44</f>
        <v>-52623</v>
      </c>
      <c r="G14" s="27">
        <f>DCF!$I$44</f>
        <v>-52623</v>
      </c>
      <c r="H14" s="27">
        <f>DCF!$I$44</f>
        <v>-52623</v>
      </c>
    </row>
    <row r="15" spans="2:22">
      <c r="B15" s="4"/>
      <c r="C15" s="65" t="s">
        <v>117</v>
      </c>
      <c r="E15" s="27">
        <f>DCF!$I$45</f>
        <v>78779</v>
      </c>
      <c r="F15" s="27">
        <f>DCF!$I$45</f>
        <v>78779</v>
      </c>
      <c r="G15" s="27">
        <f>DCF!$I$45</f>
        <v>78779</v>
      </c>
      <c r="H15" s="27">
        <f>DCF!$I$45</f>
        <v>78779</v>
      </c>
    </row>
    <row r="16" spans="2:22">
      <c r="B16" s="4"/>
      <c r="C16" s="65" t="s">
        <v>196</v>
      </c>
      <c r="E16" s="27">
        <f>DCF!$I$46</f>
        <v>-624894</v>
      </c>
      <c r="F16" s="27">
        <f>DCF!$I$46</f>
        <v>-624894</v>
      </c>
      <c r="G16" s="27">
        <f>DCF!$I$46</f>
        <v>-624894</v>
      </c>
      <c r="H16" s="27">
        <f>DCF!$I$46</f>
        <v>-624894</v>
      </c>
    </row>
    <row r="17" spans="2:22">
      <c r="B17" s="4"/>
      <c r="C17" s="66" t="s">
        <v>118</v>
      </c>
      <c r="D17" s="40"/>
      <c r="E17" s="53">
        <f>SUM(E13:E16)</f>
        <v>5181062.1422961513</v>
      </c>
      <c r="F17" s="53">
        <f>SUM(F13:F16)</f>
        <v>1379620.620212713</v>
      </c>
      <c r="G17" s="53">
        <f>SUM(G13:G16)</f>
        <v>848356.90325030824</v>
      </c>
      <c r="H17" s="53">
        <f>H11*H12</f>
        <v>2044367.2876018283</v>
      </c>
    </row>
    <row r="18" spans="2:22">
      <c r="B18" s="4"/>
      <c r="C18" s="1" t="s">
        <v>110</v>
      </c>
      <c r="E18" s="27">
        <f>DCF!$E$15</f>
        <v>10721</v>
      </c>
      <c r="F18" s="27">
        <f>DCF!$E$15</f>
        <v>10721</v>
      </c>
      <c r="G18" s="27">
        <f>DCF!$E$15</f>
        <v>10721</v>
      </c>
      <c r="H18" s="27">
        <f>DCF!$E$15</f>
        <v>10721</v>
      </c>
    </row>
    <row r="19" spans="2:22" ht="4.75" customHeight="1" thickBot="1">
      <c r="B19" s="4"/>
    </row>
    <row r="20" spans="2:22" ht="13" thickBot="1">
      <c r="B20" s="4"/>
      <c r="C20" s="521" t="s">
        <v>452</v>
      </c>
      <c r="D20" s="522"/>
      <c r="E20" s="549">
        <f>E17/E18</f>
        <v>483.26295516240566</v>
      </c>
      <c r="F20" s="549">
        <f>F17/F18</f>
        <v>128.68394927830548</v>
      </c>
      <c r="G20" s="549">
        <f>G17/G18</f>
        <v>79.130389259426195</v>
      </c>
      <c r="H20" s="550">
        <f>H17/H18</f>
        <v>190.68811562371312</v>
      </c>
    </row>
    <row r="21" spans="2:22" ht="4.75" customHeight="1">
      <c r="B21" s="4"/>
    </row>
    <row r="22" spans="2:22">
      <c r="B22" s="4"/>
      <c r="C22" s="376" t="s">
        <v>453</v>
      </c>
      <c r="D22" s="6"/>
      <c r="E22" s="227"/>
      <c r="F22" s="227"/>
      <c r="G22" s="227"/>
      <c r="H22" s="227"/>
      <c r="K22" s="6"/>
    </row>
    <row r="23" spans="2:22">
      <c r="B23" s="4"/>
    </row>
    <row r="24" spans="2:22">
      <c r="C24" s="288" t="s">
        <v>458</v>
      </c>
      <c r="D24" s="289"/>
      <c r="E24" s="290"/>
      <c r="F24" s="289"/>
      <c r="G24" s="289"/>
      <c r="H24" s="290"/>
      <c r="I24" s="290"/>
      <c r="J24" s="290"/>
      <c r="K24" s="290"/>
      <c r="L24" s="290"/>
      <c r="M24" s="290"/>
      <c r="N24" s="290"/>
      <c r="O24" s="290"/>
      <c r="P24" s="290"/>
      <c r="Q24" s="290"/>
      <c r="R24" s="290"/>
      <c r="S24" s="290"/>
      <c r="T24" s="290"/>
      <c r="U24" s="290"/>
      <c r="V24" s="290"/>
    </row>
    <row r="25" spans="2:22" ht="4.75" customHeight="1">
      <c r="B25" s="4"/>
    </row>
    <row r="26" spans="2:22" ht="14">
      <c r="C26" s="471"/>
      <c r="D26" s="471"/>
      <c r="E26" s="472"/>
      <c r="F26" s="740" t="s">
        <v>441</v>
      </c>
      <c r="G26" s="740"/>
      <c r="H26" s="472"/>
      <c r="I26" s="472" t="s">
        <v>420</v>
      </c>
      <c r="J26" s="473"/>
      <c r="K26" s="473"/>
      <c r="L26" s="472"/>
      <c r="M26" s="472" t="s">
        <v>421</v>
      </c>
      <c r="N26" s="473"/>
      <c r="O26" s="473"/>
      <c r="P26" s="472"/>
      <c r="Q26" s="472"/>
      <c r="R26" s="472" t="s">
        <v>422</v>
      </c>
      <c r="S26" s="473"/>
      <c r="T26" s="473"/>
      <c r="U26" s="472"/>
      <c r="V26" s="472"/>
    </row>
    <row r="27" spans="2:22" ht="14">
      <c r="C27" s="467"/>
      <c r="D27" s="467" t="s">
        <v>428</v>
      </c>
      <c r="E27" s="548"/>
      <c r="F27" s="520" t="s">
        <v>466</v>
      </c>
      <c r="G27" s="520" t="s">
        <v>173</v>
      </c>
      <c r="H27" s="548"/>
      <c r="I27" s="552" t="s">
        <v>436</v>
      </c>
      <c r="J27" s="552" t="s">
        <v>423</v>
      </c>
      <c r="K27" s="552" t="s">
        <v>164</v>
      </c>
      <c r="L27" s="548"/>
      <c r="M27" s="552" t="s">
        <v>424</v>
      </c>
      <c r="N27" s="552" t="s">
        <v>97</v>
      </c>
      <c r="O27" s="552" t="s">
        <v>95</v>
      </c>
      <c r="P27" s="552" t="s">
        <v>425</v>
      </c>
      <c r="Q27" s="548"/>
      <c r="R27" s="552" t="s">
        <v>426</v>
      </c>
      <c r="S27" s="552" t="s">
        <v>427</v>
      </c>
      <c r="T27" s="552" t="s">
        <v>166</v>
      </c>
      <c r="U27" s="552" t="s">
        <v>167</v>
      </c>
      <c r="V27" s="548"/>
    </row>
    <row r="28" spans="2:22">
      <c r="C28" s="699">
        <v>1</v>
      </c>
      <c r="D28" s="33" t="s">
        <v>794</v>
      </c>
      <c r="E28" s="29"/>
      <c r="F28" s="114" t="str">
        <f>VLOOKUP($D28,'Peer Fin Info'!$D$11:$R$20,2,FALSE)</f>
        <v>MSFT</v>
      </c>
      <c r="G28" s="114" t="str">
        <f>VLOOKUP($D28,'Peer Fin Info'!$D$11:$R$20,3,FALSE)</f>
        <v>USA</v>
      </c>
      <c r="H28" s="29"/>
      <c r="I28" s="247">
        <f>VLOOKUP(F28,'Peer Mkt Info'!$E$10:$M$19,9,FALSE)</f>
        <v>483.47</v>
      </c>
      <c r="J28" s="248">
        <f>VLOOKUP($D28,'Peer Fin Info'!$D$11:$R$20,14,FALSE)</f>
        <v>3556616</v>
      </c>
      <c r="K28" s="248">
        <f>VLOOKUP($D28,'Peer Fin Info'!$D$11:$R$20,15,FALSE)</f>
        <v>3515167</v>
      </c>
      <c r="L28" s="29"/>
      <c r="M28" s="248">
        <f>VLOOKUP($D28,'Peer Fin Info'!$D$11:$R$20,5,FALSE)</f>
        <v>293812</v>
      </c>
      <c r="N28" s="248">
        <f>VLOOKUP($D28,'Peer Fin Info'!$D$11:$R$20,6,FALSE)</f>
        <v>127218</v>
      </c>
      <c r="O28" s="248">
        <f>VLOOKUP($D28,'Peer Fin Info'!$D$11:$R$20,7,FALSE)</f>
        <v>167049</v>
      </c>
      <c r="P28" s="248">
        <f>VLOOKUP($D28,'Peer Fin Info'!$D$11:$R$20,8,FALSE)</f>
        <v>104912</v>
      </c>
      <c r="Q28" s="29"/>
      <c r="R28" s="221">
        <f>$K28/M28</f>
        <v>11.964000789620574</v>
      </c>
      <c r="S28" s="221">
        <f>$K28/N28</f>
        <v>27.631050637488407</v>
      </c>
      <c r="T28" s="221">
        <f>$K28/O28</f>
        <v>21.042729977431772</v>
      </c>
      <c r="U28" s="222">
        <f>J28/P28</f>
        <v>33.900945554369379</v>
      </c>
      <c r="V28" s="29"/>
    </row>
    <row r="29" spans="2:22">
      <c r="C29" s="685">
        <f t="shared" ref="C29:C37" si="1">C28+1</f>
        <v>2</v>
      </c>
      <c r="D29" s="1" t="s">
        <v>795</v>
      </c>
      <c r="E29" s="29"/>
      <c r="F29" s="114" t="str">
        <f>VLOOKUP($D29,'Peer Fin Info'!$D$11:$R$20,2,FALSE)</f>
        <v>GOOGL</v>
      </c>
      <c r="G29" s="114" t="str">
        <f>VLOOKUP($D29,'Peer Fin Info'!$D$11:$R$20,3,FALSE)</f>
        <v>USA</v>
      </c>
      <c r="H29" s="29"/>
      <c r="I29" s="247">
        <f>VLOOKUP(F29,'Peer Mkt Info'!$E$10:$M$19,9,FALSE)</f>
        <v>312.43</v>
      </c>
      <c r="J29" s="248">
        <f>VLOOKUP($D29,'Peer Fin Info'!$D$11:$R$20,14,FALSE)</f>
        <v>3732202</v>
      </c>
      <c r="K29" s="248">
        <f>VLOOKUP($D29,'Peer Fin Info'!$D$11:$R$20,15,FALSE)</f>
        <v>3667419</v>
      </c>
      <c r="L29" s="29"/>
      <c r="M29" s="248">
        <f>VLOOKUP($D29,'Peer Fin Info'!$D$11:$R$20,5,FALSE)</f>
        <v>385476</v>
      </c>
      <c r="N29" s="248">
        <f>VLOOKUP($D29,'Peer Fin Info'!$D$11:$R$20,6,FALSE)</f>
        <v>148227</v>
      </c>
      <c r="O29" s="248">
        <f>VLOOKUP($D29,'Peer Fin Info'!$D$11:$R$20,7,FALSE)</f>
        <v>167528</v>
      </c>
      <c r="P29" s="248">
        <f>VLOOKUP($D29,'Peer Fin Info'!$D$11:$R$20,8,FALSE)</f>
        <v>124251</v>
      </c>
      <c r="Q29" s="29"/>
      <c r="R29" s="221">
        <f t="shared" ref="R29:R37" si="2">$K29/M29</f>
        <v>9.5140008716495963</v>
      </c>
      <c r="S29" s="221">
        <f t="shared" ref="S29:S37" si="3">$K29/N29</f>
        <v>24.74190936873849</v>
      </c>
      <c r="T29" s="221">
        <f>$K29/O29</f>
        <v>21.891379351511389</v>
      </c>
      <c r="U29" s="222">
        <f t="shared" ref="U29:U37" si="4">J29/P29</f>
        <v>30.037601307031736</v>
      </c>
      <c r="V29" s="29"/>
    </row>
    <row r="30" spans="2:22">
      <c r="C30" s="685">
        <f t="shared" si="1"/>
        <v>3</v>
      </c>
      <c r="D30" s="1" t="s">
        <v>796</v>
      </c>
      <c r="E30" s="29"/>
      <c r="F30" s="114" t="str">
        <f>VLOOKUP($D30,'Peer Fin Info'!$D$11:$R$20,2,FALSE)</f>
        <v>META</v>
      </c>
      <c r="G30" s="114" t="str">
        <f>VLOOKUP($D30,'Peer Fin Info'!$D$11:$R$20,3,FALSE)</f>
        <v>USA</v>
      </c>
      <c r="H30" s="29"/>
      <c r="I30" s="247">
        <f>VLOOKUP(F30,'Peer Mkt Info'!$E$10:$M$19,9,FALSE)</f>
        <v>652.71</v>
      </c>
      <c r="J30" s="248">
        <f>VLOOKUP($D30,'Peer Fin Info'!$D$11:$R$20,14,FALSE)</f>
        <v>1623799</v>
      </c>
      <c r="K30" s="248">
        <f>VLOOKUP($D30,'Peer Fin Info'!$D$11:$R$20,15,FALSE)</f>
        <v>1630411</v>
      </c>
      <c r="L30" s="29"/>
      <c r="M30" s="248">
        <f>VLOOKUP($D30,'Peer Fin Info'!$D$11:$R$20,5,FALSE)</f>
        <v>189458</v>
      </c>
      <c r="N30" s="248">
        <f>VLOOKUP($D30,'Peer Fin Info'!$D$11:$R$20,6,FALSE)</f>
        <v>82861</v>
      </c>
      <c r="O30" s="248">
        <f>VLOOKUP($D30,'Peer Fin Info'!$D$11:$R$20,7,FALSE)</f>
        <v>100526</v>
      </c>
      <c r="P30" s="248">
        <f>VLOOKUP($D30,'Peer Fin Info'!$D$11:$R$20,8,FALSE)</f>
        <v>58528</v>
      </c>
      <c r="Q30" s="29"/>
      <c r="R30" s="221">
        <f t="shared" si="2"/>
        <v>8.6056593017977594</v>
      </c>
      <c r="S30" s="221">
        <f t="shared" si="3"/>
        <v>19.676458164878532</v>
      </c>
      <c r="T30" s="221">
        <f t="shared" ref="T30:T37" si="5">$K30/O30</f>
        <v>16.218799116646441</v>
      </c>
      <c r="U30" s="222">
        <f t="shared" si="4"/>
        <v>27.743968698742481</v>
      </c>
      <c r="V30" s="29"/>
    </row>
    <row r="31" spans="2:22">
      <c r="C31" s="685">
        <f t="shared" si="1"/>
        <v>4</v>
      </c>
      <c r="D31" s="1" t="s">
        <v>797</v>
      </c>
      <c r="E31" s="29"/>
      <c r="F31" s="114" t="str">
        <f>VLOOKUP($D31,'Peer Fin Info'!$D$11:$R$20,2,FALSE)</f>
        <v>ORCL</v>
      </c>
      <c r="G31" s="114" t="str">
        <f>VLOOKUP($D31,'Peer Fin Info'!$D$11:$R$20,3,FALSE)</f>
        <v>USA</v>
      </c>
      <c r="H31" s="29"/>
      <c r="I31" s="247">
        <f>VLOOKUP(F31,'Peer Mkt Info'!$E$10:$M$19,9,FALSE)</f>
        <v>198.85</v>
      </c>
      <c r="J31" s="248">
        <f>VLOOKUP($D31,'Peer Fin Info'!$D$11:$R$20,14,FALSE)</f>
        <v>541565</v>
      </c>
      <c r="K31" s="248">
        <f>VLOOKUP($D31,'Peer Fin Info'!$D$11:$R$20,15,FALSE)</f>
        <v>646185</v>
      </c>
      <c r="L31" s="29"/>
      <c r="M31" s="248">
        <f>VLOOKUP($D31,'Peer Fin Info'!$D$11:$R$20,5,FALSE)</f>
        <v>61016</v>
      </c>
      <c r="N31" s="248">
        <f>VLOOKUP($D31,'Peer Fin Info'!$D$11:$R$20,6,FALSE)</f>
        <v>20629</v>
      </c>
      <c r="O31" s="248">
        <f>VLOOKUP($D31,'Peer Fin Info'!$D$11:$R$20,7,FALSE)</f>
        <v>22757</v>
      </c>
      <c r="P31" s="248">
        <f>VLOOKUP($D31,'Peer Fin Info'!$D$11:$R$20,8,FALSE)</f>
        <v>15425</v>
      </c>
      <c r="Q31" s="29"/>
      <c r="R31" s="221">
        <f t="shared" si="2"/>
        <v>10.590418906516323</v>
      </c>
      <c r="S31" s="221">
        <f t="shared" si="3"/>
        <v>31.324106839885598</v>
      </c>
      <c r="T31" s="221">
        <f t="shared" si="5"/>
        <v>28.394999340862153</v>
      </c>
      <c r="U31" s="222">
        <f t="shared" si="4"/>
        <v>35.109562398703403</v>
      </c>
      <c r="V31" s="29"/>
    </row>
    <row r="32" spans="2:22">
      <c r="C32" s="685">
        <f t="shared" si="1"/>
        <v>5</v>
      </c>
      <c r="D32" s="1" t="s">
        <v>807</v>
      </c>
      <c r="E32" s="29"/>
      <c r="F32" s="114" t="str">
        <f>VLOOKUP($D32,'Peer Fin Info'!$D$11:$R$20,2,FALSE)</f>
        <v>WMT</v>
      </c>
      <c r="G32" s="114" t="str">
        <f>VLOOKUP($D32,'Peer Fin Info'!$D$11:$R$20,3,FALSE)</f>
        <v>USA</v>
      </c>
      <c r="H32" s="29"/>
      <c r="I32" s="247">
        <f>VLOOKUP(F32,'Peer Mkt Info'!$E$10:$M$19,9,FALSE)</f>
        <v>115.52</v>
      </c>
      <c r="J32" s="248">
        <f>VLOOKUP($D32,'Peer Fin Info'!$D$11:$R$20,14,FALSE)</f>
        <v>930118</v>
      </c>
      <c r="K32" s="248">
        <f>VLOOKUP($D32,'Peer Fin Info'!$D$11:$R$20,15,FALSE)</f>
        <v>987960</v>
      </c>
      <c r="L32" s="29"/>
      <c r="M32" s="248">
        <f>VLOOKUP($D32,'Peer Fin Info'!$D$11:$R$20,5,FALSE)</f>
        <v>703061</v>
      </c>
      <c r="N32" s="248">
        <f>VLOOKUP($D32,'Peer Fin Info'!$D$11:$R$20,6,FALSE)</f>
        <v>32874</v>
      </c>
      <c r="O32" s="248">
        <f>VLOOKUP($D32,'Peer Fin Info'!$D$11:$R$20,7,FALSE)</f>
        <v>46710</v>
      </c>
      <c r="P32" s="248">
        <f>VLOOKUP($D32,'Peer Fin Info'!$D$11:$R$20,8,FALSE)</f>
        <v>23303</v>
      </c>
      <c r="Q32" s="29"/>
      <c r="R32" s="221">
        <f t="shared" ref="R32:R34" si="6">$K32/M32</f>
        <v>1.4052265735121134</v>
      </c>
      <c r="S32" s="221">
        <f t="shared" ref="S32:S34" si="7">$K32/N32</f>
        <v>30.05292936667275</v>
      </c>
      <c r="T32" s="221">
        <f t="shared" ref="T32:T34" si="8">$K32/O32</f>
        <v>21.150931278098909</v>
      </c>
      <c r="U32" s="222">
        <f t="shared" ref="U32:U34" si="9">J32/P32</f>
        <v>39.914088314809256</v>
      </c>
      <c r="V32" s="29"/>
    </row>
    <row r="33" spans="3:22">
      <c r="C33" s="685">
        <f t="shared" si="1"/>
        <v>6</v>
      </c>
      <c r="D33" s="1" t="s">
        <v>810</v>
      </c>
      <c r="E33" s="29"/>
      <c r="F33" s="114" t="str">
        <f>VLOOKUP($D33,'Peer Fin Info'!$D$11:$R$20,2,FALSE)</f>
        <v>COST</v>
      </c>
      <c r="G33" s="114" t="str">
        <f>VLOOKUP($D33,'Peer Fin Info'!$D$11:$R$20,3,FALSE)</f>
        <v>USA</v>
      </c>
      <c r="H33" s="29"/>
      <c r="I33" s="247">
        <f>VLOOKUP(F33,'Peer Mkt Info'!$E$10:$M$19,9,FALSE)</f>
        <v>888.48</v>
      </c>
      <c r="J33" s="248">
        <f>VLOOKUP($D33,'Peer Fin Info'!$D$11:$R$20,14,FALSE)</f>
        <v>392667</v>
      </c>
      <c r="K33" s="248">
        <f>VLOOKUP($D33,'Peer Fin Info'!$D$11:$R$20,15,FALSE)</f>
        <v>385556</v>
      </c>
      <c r="L33" s="29"/>
      <c r="M33" s="248">
        <f>VLOOKUP($D33,'Peer Fin Info'!$D$11:$R$20,5,FALSE)</f>
        <v>208391</v>
      </c>
      <c r="N33" s="248">
        <f>VLOOKUP($D33,'Peer Fin Info'!$D$11:$R$20,6,FALSE)</f>
        <v>10691</v>
      </c>
      <c r="O33" s="248">
        <f>VLOOKUP($D33,'Peer Fin Info'!$D$11:$R$20,7,FALSE)</f>
        <v>13166</v>
      </c>
      <c r="P33" s="248">
        <f>VLOOKUP($D33,'Peer Fin Info'!$D$11:$R$20,8,FALSE)</f>
        <v>8302</v>
      </c>
      <c r="Q33" s="29"/>
      <c r="R33" s="221">
        <f t="shared" si="6"/>
        <v>1.8501566766319082</v>
      </c>
      <c r="S33" s="221">
        <f t="shared" si="7"/>
        <v>36.063604901318868</v>
      </c>
      <c r="T33" s="221">
        <f t="shared" si="8"/>
        <v>29.284216922375816</v>
      </c>
      <c r="U33" s="222">
        <f t="shared" si="9"/>
        <v>47.297880028908693</v>
      </c>
      <c r="V33" s="29"/>
    </row>
    <row r="34" spans="3:22">
      <c r="C34" s="685">
        <f>C33+1</f>
        <v>7</v>
      </c>
      <c r="D34" s="1" t="s">
        <v>813</v>
      </c>
      <c r="E34" s="29"/>
      <c r="F34" s="114" t="str">
        <f>VLOOKUP($D34,'Peer Fin Info'!$D$11:$R$20,2,FALSE)</f>
        <v>TGT</v>
      </c>
      <c r="G34" s="114" t="str">
        <f>VLOOKUP($D34,'Peer Fin Info'!$D$11:$R$20,3,FALSE)</f>
        <v>USA</v>
      </c>
      <c r="H34" s="29"/>
      <c r="I34" s="247">
        <f>VLOOKUP(F34,'Peer Mkt Info'!$E$10:$M$19,9,FALSE)</f>
        <v>96.97</v>
      </c>
      <c r="J34" s="248">
        <f>VLOOKUP($D34,'Peer Fin Info'!$D$11:$R$20,14,FALSE)</f>
        <v>43909</v>
      </c>
      <c r="K34" s="248">
        <f>VLOOKUP($D34,'Peer Fin Info'!$D$11:$R$20,15,FALSE)</f>
        <v>60128</v>
      </c>
      <c r="L34" s="29"/>
      <c r="M34" s="248">
        <f>VLOOKUP($D34,'Peer Fin Info'!$D$11:$R$20,5,FALSE)</f>
        <v>105242</v>
      </c>
      <c r="N34" s="248">
        <f>VLOOKUP($D34,'Peer Fin Info'!$D$11:$R$20,6,FALSE)</f>
        <v>5301</v>
      </c>
      <c r="O34" s="248">
        <f>VLOOKUP($D34,'Peer Fin Info'!$D$11:$R$20,7,FALSE)</f>
        <v>8398</v>
      </c>
      <c r="P34" s="248">
        <f>VLOOKUP($D34,'Peer Fin Info'!$D$11:$R$20,8,FALSE)</f>
        <v>3763</v>
      </c>
      <c r="Q34" s="29"/>
      <c r="R34" s="221">
        <f t="shared" si="6"/>
        <v>0.57133083749833713</v>
      </c>
      <c r="S34" s="221">
        <f t="shared" si="7"/>
        <v>11.342765515940389</v>
      </c>
      <c r="T34" s="221">
        <f t="shared" si="8"/>
        <v>7.1597999523696121</v>
      </c>
      <c r="U34" s="222">
        <f t="shared" si="9"/>
        <v>11.668615466383205</v>
      </c>
      <c r="V34" s="29"/>
    </row>
    <row r="35" spans="3:22">
      <c r="C35" s="685">
        <f t="shared" si="1"/>
        <v>8</v>
      </c>
      <c r="D35" s="1" t="s">
        <v>816</v>
      </c>
      <c r="E35" s="29"/>
      <c r="F35" s="114" t="str">
        <f>VLOOKUP($D35,'Peer Fin Info'!$D$11:$R$20,2,FALSE)</f>
        <v>BABA</v>
      </c>
      <c r="G35" s="114" t="str">
        <f>VLOOKUP($D35,'Peer Fin Info'!$D$11:$R$20,3,FALSE)</f>
        <v>China</v>
      </c>
      <c r="H35" s="29"/>
      <c r="I35" s="247">
        <f>VLOOKUP(F35,'Peer Mkt Info'!$E$10:$M$19,9,FALSE)</f>
        <v>156.9</v>
      </c>
      <c r="J35" s="248">
        <f>VLOOKUP($D35,'Peer Fin Info'!$D$11:$R$20,14,FALSE)</f>
        <v>374369</v>
      </c>
      <c r="K35" s="248">
        <f>VLOOKUP($D35,'Peer Fin Info'!$D$11:$R$20,15,FALSE)</f>
        <v>194386</v>
      </c>
      <c r="L35" s="29"/>
      <c r="M35" s="248">
        <f>VLOOKUP($D35,'Peer Fin Info'!$D$11:$R$20,5,FALSE)</f>
        <v>1012055</v>
      </c>
      <c r="N35" s="248">
        <f>VLOOKUP($D35,'Peer Fin Info'!$D$11:$R$20,6,FALSE)</f>
        <v>157058</v>
      </c>
      <c r="O35" s="248">
        <f>VLOOKUP($D35,'Peer Fin Info'!$D$11:$R$20,7,FALSE)</f>
        <v>161586</v>
      </c>
      <c r="P35" s="248">
        <f>VLOOKUP($D35,'Peer Fin Info'!$D$11:$R$20,8,FALSE)</f>
        <v>123354</v>
      </c>
      <c r="Q35" s="29"/>
      <c r="R35" s="221">
        <f t="shared" si="2"/>
        <v>0.19207058904901414</v>
      </c>
      <c r="S35" s="221">
        <f t="shared" si="3"/>
        <v>1.2376701600682551</v>
      </c>
      <c r="T35" s="221">
        <f t="shared" si="5"/>
        <v>1.2029878826135927</v>
      </c>
      <c r="U35" s="222">
        <f t="shared" si="4"/>
        <v>3.034915770870827</v>
      </c>
      <c r="V35" s="29"/>
    </row>
    <row r="36" spans="3:22">
      <c r="C36" s="685">
        <f t="shared" si="1"/>
        <v>9</v>
      </c>
      <c r="D36" s="1" t="s">
        <v>819</v>
      </c>
      <c r="E36" s="29"/>
      <c r="F36" s="114" t="str">
        <f>VLOOKUP($D36,'Peer Fin Info'!$D$11:$R$20,2,FALSE)</f>
        <v>AAPL</v>
      </c>
      <c r="G36" s="114" t="str">
        <f>VLOOKUP($D36,'Peer Fin Info'!$D$11:$R$20,3,FALSE)</f>
        <v>USA</v>
      </c>
      <c r="H36" s="29"/>
      <c r="I36" s="247">
        <f>VLOOKUP(F36,'Peer Mkt Info'!$E$10:$M$19,9,FALSE)</f>
        <v>278.02999999999997</v>
      </c>
      <c r="J36" s="248">
        <f>VLOOKUP($D36,'Peer Fin Info'!$D$11:$R$20,14,FALSE)</f>
        <v>4108269</v>
      </c>
      <c r="K36" s="248">
        <f>VLOOKUP($D36,'Peer Fin Info'!$D$11:$R$20,15,FALSE)</f>
        <v>4152229</v>
      </c>
      <c r="L36" s="29"/>
      <c r="M36" s="248">
        <f>VLOOKUP($D36,'Peer Fin Info'!$D$11:$R$20,5,FALSE)</f>
        <v>416161</v>
      </c>
      <c r="N36" s="248">
        <f>VLOOKUP($D36,'Peer Fin Info'!$D$11:$R$20,6,FALSE)</f>
        <v>132729</v>
      </c>
      <c r="O36" s="248">
        <f>VLOOKUP($D36,'Peer Fin Info'!$D$11:$R$20,7,FALSE)</f>
        <v>144427</v>
      </c>
      <c r="P36" s="248">
        <f>VLOOKUP($D36,'Peer Fin Info'!$D$11:$R$20,8,FALSE)</f>
        <v>112010</v>
      </c>
      <c r="Q36" s="29"/>
      <c r="R36" s="221">
        <f t="shared" si="2"/>
        <v>9.9774582433240973</v>
      </c>
      <c r="S36" s="221">
        <f t="shared" si="3"/>
        <v>31.28351000911632</v>
      </c>
      <c r="T36" s="221">
        <f t="shared" si="5"/>
        <v>28.749672845105138</v>
      </c>
      <c r="U36" s="222">
        <f t="shared" si="4"/>
        <v>36.677698419783951</v>
      </c>
      <c r="V36" s="29"/>
    </row>
    <row r="37" spans="3:22">
      <c r="C37" s="692">
        <f t="shared" si="1"/>
        <v>10</v>
      </c>
      <c r="D37" s="28" t="s">
        <v>821</v>
      </c>
      <c r="E37" s="29"/>
      <c r="F37" s="114" t="str">
        <f>VLOOKUP($D37,'Peer Fin Info'!$D$11:$R$20,2,FALSE)</f>
        <v>NFLX</v>
      </c>
      <c r="G37" s="114" t="str">
        <f>VLOOKUP($D37,'Peer Fin Info'!$D$11:$R$20,3,FALSE)</f>
        <v>USA</v>
      </c>
      <c r="H37" s="29"/>
      <c r="I37" s="247">
        <f>VLOOKUP(F37,'Peer Mkt Info'!$E$10:$M$19,9,FALSE)</f>
        <v>94.09</v>
      </c>
      <c r="J37" s="248">
        <f>VLOOKUP($D37,'Peer Fin Info'!$D$11:$R$20,14,FALSE)</f>
        <v>399119</v>
      </c>
      <c r="K37" s="248">
        <f>VLOOKUP($D37,'Peer Fin Info'!$D$11:$R$20,15,FALSE)</f>
        <v>404294.73300000001</v>
      </c>
      <c r="L37" s="29"/>
      <c r="M37" s="248">
        <f>VLOOKUP($D37,'Peer Fin Info'!$D$11:$R$20,5,FALSE)</f>
        <v>39000.966</v>
      </c>
      <c r="N37" s="248">
        <f>VLOOKUP($D37,'Peer Fin Info'!$D$11:$R$20,6,FALSE)</f>
        <v>12642.706</v>
      </c>
      <c r="O37" s="248">
        <f>VLOOKUP($D37,'Peer Fin Info'!$D$11:$R$20,7,FALSE)</f>
        <v>25926.506000000001</v>
      </c>
      <c r="P37" s="248">
        <f>VLOOKUP($D37,'Peer Fin Info'!$D$11:$R$20,8,FALSE)</f>
        <v>8615.6149999999998</v>
      </c>
      <c r="Q37" s="29"/>
      <c r="R37" s="221">
        <f t="shared" si="2"/>
        <v>10.366274850730621</v>
      </c>
      <c r="S37" s="221">
        <f t="shared" si="3"/>
        <v>31.978496771181739</v>
      </c>
      <c r="T37" s="221">
        <f t="shared" si="5"/>
        <v>15.593876513865771</v>
      </c>
      <c r="U37" s="222">
        <f t="shared" si="4"/>
        <v>46.325073717894774</v>
      </c>
      <c r="V37" s="29"/>
    </row>
    <row r="38" spans="3:22">
      <c r="C38" s="476" t="s">
        <v>212</v>
      </c>
      <c r="D38" s="477"/>
      <c r="E38" s="479"/>
      <c r="F38" s="477"/>
      <c r="G38" s="477"/>
      <c r="H38" s="477"/>
      <c r="I38" s="478"/>
      <c r="J38" s="553"/>
      <c r="K38" s="478"/>
      <c r="L38" s="479"/>
      <c r="M38" s="479"/>
      <c r="N38" s="479"/>
      <c r="O38" s="479"/>
      <c r="P38" s="479"/>
      <c r="Q38" s="479"/>
      <c r="R38" s="554">
        <f>MIN(R28:R37)</f>
        <v>0.19207058904901414</v>
      </c>
      <c r="S38" s="554">
        <f t="shared" ref="S38:U38" si="10">MIN(S28:S37)</f>
        <v>1.2376701600682551</v>
      </c>
      <c r="T38" s="554">
        <f t="shared" si="10"/>
        <v>1.2029878826135927</v>
      </c>
      <c r="U38" s="554">
        <f t="shared" si="10"/>
        <v>3.034915770870827</v>
      </c>
      <c r="V38" s="479"/>
    </row>
    <row r="39" spans="3:22">
      <c r="C39" s="480" t="s">
        <v>171</v>
      </c>
      <c r="D39" s="480"/>
      <c r="E39" s="482"/>
      <c r="F39" s="480"/>
      <c r="G39" s="480"/>
      <c r="H39" s="482"/>
      <c r="I39" s="481"/>
      <c r="J39" s="555"/>
      <c r="K39" s="481"/>
      <c r="L39" s="482"/>
      <c r="M39" s="482"/>
      <c r="N39" s="482"/>
      <c r="O39" s="482"/>
      <c r="P39" s="482"/>
      <c r="Q39" s="482"/>
      <c r="R39" s="556">
        <f>MEDIAN(R28:R37)</f>
        <v>9.0598300867236787</v>
      </c>
      <c r="S39" s="556">
        <f t="shared" ref="S39:U39" si="11">MEDIAN(S28:S37)</f>
        <v>28.841990002080578</v>
      </c>
      <c r="T39" s="556">
        <f t="shared" si="11"/>
        <v>21.096830627765343</v>
      </c>
      <c r="U39" s="556">
        <f t="shared" si="11"/>
        <v>34.505253976536395</v>
      </c>
      <c r="V39" s="482"/>
    </row>
    <row r="40" spans="3:22">
      <c r="C40" s="480" t="s">
        <v>172</v>
      </c>
      <c r="D40" s="480"/>
      <c r="E40" s="482"/>
      <c r="F40" s="480"/>
      <c r="G40" s="480"/>
      <c r="H40" s="482"/>
      <c r="I40" s="481"/>
      <c r="J40" s="555"/>
      <c r="K40" s="481"/>
      <c r="L40" s="482"/>
      <c r="M40" s="482"/>
      <c r="N40" s="482"/>
      <c r="O40" s="482"/>
      <c r="P40" s="482"/>
      <c r="Q40" s="482"/>
      <c r="R40" s="556">
        <f>AVERAGE(R28:R37)</f>
        <v>6.503659764033034</v>
      </c>
      <c r="S40" s="556">
        <f t="shared" ref="S40:U40" si="12">AVERAGE(S28:S37)</f>
        <v>24.533250173528934</v>
      </c>
      <c r="T40" s="556">
        <f t="shared" si="12"/>
        <v>19.068939318088059</v>
      </c>
      <c r="U40" s="556">
        <f t="shared" si="12"/>
        <v>31.171034967749772</v>
      </c>
      <c r="V40" s="482"/>
    </row>
    <row r="41" spans="3:22">
      <c r="C41" s="452" t="s">
        <v>211</v>
      </c>
      <c r="D41" s="480"/>
      <c r="E41" s="482"/>
      <c r="F41" s="480"/>
      <c r="G41" s="480"/>
      <c r="H41" s="482"/>
      <c r="I41" s="481"/>
      <c r="J41" s="555"/>
      <c r="K41" s="481"/>
      <c r="L41" s="482"/>
      <c r="M41" s="482"/>
      <c r="N41" s="482"/>
      <c r="O41" s="482"/>
      <c r="P41" s="482"/>
      <c r="Q41" s="482"/>
      <c r="R41" s="556">
        <f>MAX(R28:R37)</f>
        <v>11.964000789620574</v>
      </c>
      <c r="S41" s="556">
        <f t="shared" ref="S41:U41" si="13">MAX(S28:S37)</f>
        <v>36.063604901318868</v>
      </c>
      <c r="T41" s="556">
        <f t="shared" si="13"/>
        <v>29.284216922375816</v>
      </c>
      <c r="U41" s="556">
        <f t="shared" si="13"/>
        <v>47.297880028908693</v>
      </c>
      <c r="V41" s="482"/>
    </row>
    <row r="42" spans="3:22" ht="13" thickBot="1"/>
    <row r="43" spans="3:22" ht="13" thickBot="1">
      <c r="C43" s="352"/>
      <c r="D43" s="353" t="s">
        <v>750</v>
      </c>
      <c r="E43" s="353"/>
      <c r="F43" s="354" t="s">
        <v>738</v>
      </c>
      <c r="G43" s="354" t="s">
        <v>192</v>
      </c>
      <c r="H43" s="353"/>
      <c r="I43" s="355">
        <f>DCF!E14</f>
        <v>226.19</v>
      </c>
      <c r="J43" s="356">
        <f>DCF!E43</f>
        <v>2424982.9899999998</v>
      </c>
      <c r="K43" s="356">
        <f>DCF!E47</f>
        <v>3023720.9899999998</v>
      </c>
      <c r="L43" s="353"/>
      <c r="M43" s="356">
        <f>DCF!E27</f>
        <v>637959</v>
      </c>
      <c r="N43" s="356">
        <f>DCF!E31</f>
        <v>68593</v>
      </c>
      <c r="O43" s="356">
        <f>DCF!E29</f>
        <v>121388</v>
      </c>
      <c r="P43" s="356">
        <f>'Forecasted FS'!E56</f>
        <v>59248</v>
      </c>
      <c r="Q43" s="353"/>
      <c r="R43" s="357">
        <f>$K43/M43</f>
        <v>4.7396791800100004</v>
      </c>
      <c r="S43" s="357">
        <f>$K43/N43</f>
        <v>44.082063621652352</v>
      </c>
      <c r="T43" s="357">
        <f>$K43/O43</f>
        <v>24.909554404059708</v>
      </c>
      <c r="U43" s="357">
        <f>J43/P43</f>
        <v>40.929364535511745</v>
      </c>
      <c r="V43" s="358"/>
    </row>
    <row r="45" spans="3:22">
      <c r="C45" s="376" t="s">
        <v>885</v>
      </c>
    </row>
    <row r="46" spans="3:22">
      <c r="C46" s="377" t="s">
        <v>469</v>
      </c>
    </row>
    <row r="47" spans="3:22" ht="15">
      <c r="C47" s="734" t="s">
        <v>219</v>
      </c>
      <c r="P47" s="472"/>
      <c r="Q47" s="472"/>
      <c r="R47" s="472" t="s">
        <v>751</v>
      </c>
      <c r="S47" s="473"/>
      <c r="T47" s="473"/>
      <c r="U47" s="472"/>
    </row>
    <row r="48" spans="3:22" ht="15">
      <c r="C48" s="734" t="s">
        <v>460</v>
      </c>
      <c r="P48" s="548"/>
      <c r="Q48" s="548"/>
      <c r="R48" s="552" t="s">
        <v>426</v>
      </c>
      <c r="S48" s="552" t="s">
        <v>427</v>
      </c>
      <c r="T48" s="552" t="s">
        <v>166</v>
      </c>
      <c r="U48" s="552" t="s">
        <v>167</v>
      </c>
    </row>
    <row r="49" spans="16:21">
      <c r="P49" s="1" t="s">
        <v>212</v>
      </c>
      <c r="R49" s="224">
        <f>(R38*E12+SUM(E14:E16))/E18</f>
        <v>-44.417949732383171</v>
      </c>
      <c r="S49" s="224">
        <f t="shared" ref="S49:T49" si="14">(S38*F12+SUM(F14:F16))/F18</f>
        <v>-47.928597212054676</v>
      </c>
      <c r="T49" s="224">
        <f t="shared" si="14"/>
        <v>-48.150494559078986</v>
      </c>
      <c r="U49" s="224">
        <f>(U38*H12)/H18</f>
        <v>16.772007237436316</v>
      </c>
    </row>
    <row r="50" spans="16:21">
      <c r="P50" s="1" t="s">
        <v>171</v>
      </c>
      <c r="R50" s="224">
        <f>(R39*E12+SUM(E14:E16))/E18</f>
        <v>483.26295516240566</v>
      </c>
      <c r="S50" s="224">
        <f>(S39*F12+SUM(F14:F16))/F18</f>
        <v>128.68394927830548</v>
      </c>
      <c r="T50" s="224">
        <f t="shared" ref="T50" si="15">(T39*G12+SUM(G14:G16))/G18</f>
        <v>79.130389259426195</v>
      </c>
      <c r="U50" s="224">
        <f>(U39*H12)/H18</f>
        <v>190.68811562371312</v>
      </c>
    </row>
    <row r="51" spans="16:21">
      <c r="P51" s="1" t="s">
        <v>172</v>
      </c>
      <c r="R51" s="224">
        <f>(R40*E12+SUM(E14:E16))/E18</f>
        <v>331.15663458658247</v>
      </c>
      <c r="S51" s="224">
        <f t="shared" ref="S51:U51" si="16">(S40*F12+SUM(F14:F16))/F18</f>
        <v>101.11661497554987</v>
      </c>
      <c r="T51" s="224">
        <f t="shared" si="16"/>
        <v>66.155932715755455</v>
      </c>
      <c r="U51" s="224">
        <f t="shared" si="16"/>
        <v>116.41483814655709</v>
      </c>
    </row>
    <row r="52" spans="16:21">
      <c r="P52" s="1" t="s">
        <v>211</v>
      </c>
      <c r="R52" s="224">
        <f>(R41*E12+SUM(E14:E16))/E18</f>
        <v>656.0772297122985</v>
      </c>
      <c r="S52" s="224">
        <f>(S41*F12+SUM(F14:F16))/F18</f>
        <v>174.88786969463342</v>
      </c>
      <c r="T52" s="224">
        <f>(T41*G12+SUM(G14:G16))/G18</f>
        <v>131.51331884679826</v>
      </c>
      <c r="U52" s="224">
        <f>(U41*H12)/H18</f>
        <v>261.38464657707135</v>
      </c>
    </row>
    <row r="55" spans="16:21">
      <c r="P55" s="483"/>
      <c r="Q55" s="483"/>
      <c r="R55" s="503" t="s">
        <v>212</v>
      </c>
      <c r="S55" s="503" t="s">
        <v>171</v>
      </c>
      <c r="T55" s="503" t="s">
        <v>211</v>
      </c>
    </row>
    <row r="56" spans="16:21">
      <c r="P56" s="1" t="str" cm="1">
        <f t="array" ref="P56:P59">TRANSPOSE(R27:U27)</f>
        <v>EV/Sales</v>
      </c>
      <c r="R56" s="224" cm="1">
        <f t="array" ref="R56:R59">TRANSPOSE(R49:U49)</f>
        <v>-44.417949732383171</v>
      </c>
      <c r="S56" s="224" cm="1">
        <f t="array" ref="S56:S59">TRANSPOSE(R50:U50)</f>
        <v>483.26295516240566</v>
      </c>
      <c r="T56" s="224" cm="1">
        <f t="array" ref="T56:T59">TRANSPOSE(R52:U52)</f>
        <v>656.0772297122985</v>
      </c>
    </row>
    <row r="57" spans="16:21">
      <c r="P57" s="1" t="str">
        <v>EV/EBIT</v>
      </c>
      <c r="R57" s="224">
        <v>-47.928597212054676</v>
      </c>
      <c r="S57" s="224">
        <v>128.68394927830548</v>
      </c>
      <c r="T57" s="224">
        <v>174.88786969463342</v>
      </c>
    </row>
    <row r="58" spans="16:21">
      <c r="P58" s="1" t="str">
        <v>EV/EBITDA</v>
      </c>
      <c r="R58" s="224">
        <v>-48.150494559078986</v>
      </c>
      <c r="S58" s="224">
        <v>79.130389259426195</v>
      </c>
      <c r="T58" s="224">
        <v>131.51331884679826</v>
      </c>
    </row>
    <row r="59" spans="16:21">
      <c r="P59" s="1" t="str">
        <v>P/E</v>
      </c>
      <c r="R59" s="224">
        <v>16.772007237436316</v>
      </c>
      <c r="S59" s="224">
        <v>190.68811562371312</v>
      </c>
      <c r="T59" s="224">
        <v>261.38464657707135</v>
      </c>
    </row>
    <row r="62" spans="16:21">
      <c r="P62" s="503"/>
      <c r="Q62" s="503"/>
      <c r="R62" s="503" t="s">
        <v>212</v>
      </c>
      <c r="S62" s="503" t="s">
        <v>171</v>
      </c>
      <c r="T62" s="503" t="s">
        <v>211</v>
      </c>
    </row>
    <row r="63" spans="16:21">
      <c r="P63" s="1" t="str">
        <f>P56</f>
        <v>EV/Sales</v>
      </c>
      <c r="R63" s="224">
        <f>R56</f>
        <v>-44.417949732383171</v>
      </c>
      <c r="S63" s="224">
        <f>S56-R56</f>
        <v>527.6809048947888</v>
      </c>
      <c r="T63" s="224">
        <f>T56-S63-R63</f>
        <v>172.81427454989287</v>
      </c>
      <c r="U63" s="249"/>
    </row>
    <row r="64" spans="16:21">
      <c r="P64" s="1" t="str">
        <f t="shared" ref="P64:P66" si="17">P57</f>
        <v>EV/EBIT</v>
      </c>
      <c r="R64" s="224">
        <f t="shared" ref="R64:R66" si="18">R57</f>
        <v>-47.928597212054676</v>
      </c>
      <c r="S64" s="224">
        <f t="shared" ref="S64:S66" si="19">S57-R57</f>
        <v>176.61254649036016</v>
      </c>
      <c r="T64" s="224">
        <f t="shared" ref="T64:T66" si="20">T57-S64-R64</f>
        <v>46.203920416327939</v>
      </c>
      <c r="U64" s="249"/>
    </row>
    <row r="65" spans="16:21">
      <c r="P65" s="1" t="str">
        <f t="shared" si="17"/>
        <v>EV/EBITDA</v>
      </c>
      <c r="R65" s="224">
        <f t="shared" si="18"/>
        <v>-48.150494559078986</v>
      </c>
      <c r="S65" s="224">
        <f t="shared" si="19"/>
        <v>127.28088381850517</v>
      </c>
      <c r="T65" s="224">
        <f t="shared" si="20"/>
        <v>52.382929587372068</v>
      </c>
      <c r="U65" s="249"/>
    </row>
    <row r="66" spans="16:21">
      <c r="P66" s="1" t="str">
        <f t="shared" si="17"/>
        <v>P/E</v>
      </c>
      <c r="R66" s="224">
        <f t="shared" si="18"/>
        <v>16.772007237436316</v>
      </c>
      <c r="S66" s="224">
        <f t="shared" si="19"/>
        <v>173.91610838627679</v>
      </c>
      <c r="T66" s="224">
        <f t="shared" si="20"/>
        <v>70.696530953358248</v>
      </c>
      <c r="U66" s="249"/>
    </row>
  </sheetData>
  <mergeCells count="1">
    <mergeCell ref="F26:G26"/>
  </mergeCells>
  <hyperlinks>
    <hyperlink ref="C47" r:id="rId1" xr:uid="{C0CDC2B4-50E7-094E-8CAA-1CB1B589AA9B}"/>
    <hyperlink ref="C48" r:id="rId2" xr:uid="{BB96C6BE-5E88-BC4C-AACB-C32EA0769369}"/>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826C-17A1-410C-9D3A-2DAD5725F626}">
  <sheetPr>
    <tabColor rgb="FFAFDEFF"/>
  </sheetPr>
  <dimension ref="B1:K69"/>
  <sheetViews>
    <sheetView showGridLines="0" zoomScale="118" workbookViewId="0">
      <selection activeCell="K31" sqref="K31"/>
    </sheetView>
  </sheetViews>
  <sheetFormatPr baseColWidth="10" defaultColWidth="8.83203125" defaultRowHeight="12"/>
  <cols>
    <col min="1" max="2" width="3.1640625" style="1" customWidth="1"/>
    <col min="3" max="3" width="12" style="1" customWidth="1"/>
    <col min="4" max="4" width="10.1640625" style="1" customWidth="1"/>
    <col min="5" max="5" width="9.33203125" style="1" bestFit="1" customWidth="1"/>
    <col min="6" max="6" width="14.1640625" style="1" bestFit="1" customWidth="1"/>
    <col min="7" max="7" width="14" style="1" bestFit="1" customWidth="1"/>
    <col min="8" max="8" width="7.1640625" style="1" bestFit="1" customWidth="1"/>
    <col min="9" max="9" width="21.5" style="1" customWidth="1"/>
    <col min="10" max="10" width="6.33203125" style="1" bestFit="1" customWidth="1"/>
    <col min="11" max="16384" width="8.83203125" style="1"/>
  </cols>
  <sheetData>
    <row r="1" spans="2:11" s="518" customFormat="1"/>
    <row r="2" spans="2:11" s="518" customFormat="1" ht="18">
      <c r="B2" s="541"/>
    </row>
    <row r="3" spans="2:11" s="518" customFormat="1" ht="13">
      <c r="B3" s="542"/>
      <c r="C3" s="461" t="s">
        <v>315</v>
      </c>
    </row>
    <row r="4" spans="2:11" s="518" customFormat="1">
      <c r="B4" s="542"/>
      <c r="C4" s="460" t="s">
        <v>316</v>
      </c>
    </row>
    <row r="5" spans="2:11" s="518" customFormat="1" ht="7.75" customHeight="1">
      <c r="B5" s="542"/>
    </row>
    <row r="6" spans="2:11">
      <c r="B6" s="4"/>
    </row>
    <row r="7" spans="2:11">
      <c r="B7" s="4"/>
    </row>
    <row r="8" spans="2:11">
      <c r="B8" s="544"/>
      <c r="C8" s="520" t="s">
        <v>92</v>
      </c>
      <c r="D8" s="520" t="s">
        <v>314</v>
      </c>
      <c r="E8" s="543" t="s">
        <v>738</v>
      </c>
      <c r="F8" s="543" t="s">
        <v>348</v>
      </c>
      <c r="G8" s="543" t="s">
        <v>740</v>
      </c>
      <c r="I8" s="228" t="s">
        <v>347</v>
      </c>
    </row>
    <row r="9" spans="2:11">
      <c r="B9" s="4"/>
      <c r="C9" s="125">
        <v>44197</v>
      </c>
      <c r="D9" s="115">
        <v>3714.24</v>
      </c>
      <c r="E9" s="115">
        <v>160.31</v>
      </c>
      <c r="F9" s="126"/>
      <c r="I9" s="228" t="s">
        <v>739</v>
      </c>
    </row>
    <row r="10" spans="2:11">
      <c r="B10" s="4"/>
      <c r="C10" s="125">
        <v>44228</v>
      </c>
      <c r="D10" s="115">
        <v>3811.15</v>
      </c>
      <c r="E10" s="115">
        <v>154.65</v>
      </c>
      <c r="F10" s="126">
        <f t="shared" ref="F10:F33" si="0">D10/D9-1</f>
        <v>2.6091474971999817E-2</v>
      </c>
      <c r="G10" s="126">
        <f>E10/E9-1</f>
        <v>-3.5306593475141868E-2</v>
      </c>
      <c r="I10" s="228" t="s">
        <v>464</v>
      </c>
    </row>
    <row r="11" spans="2:11">
      <c r="B11" s="4"/>
      <c r="C11" s="125">
        <v>44256</v>
      </c>
      <c r="D11" s="115">
        <v>3972.89</v>
      </c>
      <c r="E11" s="115">
        <v>154.69999999999999</v>
      </c>
      <c r="F11" s="126">
        <f t="shared" si="0"/>
        <v>4.2438634008107767E-2</v>
      </c>
      <c r="G11" s="126">
        <f t="shared" ref="G11:G41" si="1">E11/E10-1</f>
        <v>3.233107015840897E-4</v>
      </c>
    </row>
    <row r="12" spans="2:11">
      <c r="B12" s="4"/>
      <c r="C12" s="125">
        <v>44287</v>
      </c>
      <c r="D12" s="115">
        <v>4181.17</v>
      </c>
      <c r="E12" s="115">
        <v>173.37</v>
      </c>
      <c r="F12" s="126">
        <f t="shared" si="0"/>
        <v>5.242531255584737E-2</v>
      </c>
      <c r="G12" s="126">
        <f t="shared" si="1"/>
        <v>0.12068519715578541</v>
      </c>
      <c r="I12" s="545" t="s">
        <v>318</v>
      </c>
      <c r="J12" s="546"/>
    </row>
    <row r="13" spans="2:11">
      <c r="B13" s="4"/>
      <c r="C13" s="125">
        <v>44317</v>
      </c>
      <c r="D13" s="115">
        <v>4204.1099999999997</v>
      </c>
      <c r="E13" s="115">
        <v>161.15</v>
      </c>
      <c r="F13" s="126">
        <f t="shared" si="0"/>
        <v>5.4865025818131574E-3</v>
      </c>
      <c r="G13" s="126">
        <f t="shared" si="1"/>
        <v>-7.0485089692565062E-2</v>
      </c>
      <c r="I13" s="1" t="s">
        <v>741</v>
      </c>
      <c r="J13" s="105">
        <f>_xlfn.STDEV.S(G10:G68)</f>
        <v>9.017866236327074E-2</v>
      </c>
    </row>
    <row r="14" spans="2:11">
      <c r="B14" s="4"/>
      <c r="C14" s="125">
        <v>44348</v>
      </c>
      <c r="D14" s="115">
        <v>4297.5</v>
      </c>
      <c r="E14" s="115">
        <v>172.01</v>
      </c>
      <c r="F14" s="126">
        <f t="shared" si="0"/>
        <v>2.221397632316946E-2</v>
      </c>
      <c r="G14" s="126">
        <f t="shared" si="1"/>
        <v>6.739062984796762E-2</v>
      </c>
      <c r="I14" s="1" t="s">
        <v>317</v>
      </c>
      <c r="J14" s="105">
        <f>_xlfn.STDEV.S(F10:F68)</f>
        <v>4.3812395179409984E-2</v>
      </c>
    </row>
    <row r="15" spans="2:11" ht="13" thickBot="1">
      <c r="B15" s="4"/>
      <c r="C15" s="125">
        <v>44378</v>
      </c>
      <c r="D15" s="115">
        <v>4395.26</v>
      </c>
      <c r="E15" s="115">
        <v>166.38</v>
      </c>
      <c r="F15" s="126">
        <f t="shared" si="0"/>
        <v>2.274810936591054E-2</v>
      </c>
      <c r="G15" s="126">
        <f t="shared" si="1"/>
        <v>-3.2730655194465386E-2</v>
      </c>
      <c r="I15" s="1" t="s">
        <v>574</v>
      </c>
      <c r="J15" s="127">
        <f>CORREL(F10:F68,G10:G68)</f>
        <v>0.66913721426717376</v>
      </c>
    </row>
    <row r="16" spans="2:11" ht="13" thickBot="1">
      <c r="B16" s="42"/>
      <c r="C16" s="125">
        <v>44409</v>
      </c>
      <c r="D16" s="115">
        <v>4522.68</v>
      </c>
      <c r="E16" s="115">
        <v>173.54</v>
      </c>
      <c r="F16" s="126">
        <f t="shared" si="0"/>
        <v>2.8990321391681118E-2</v>
      </c>
      <c r="G16" s="126">
        <f t="shared" si="1"/>
        <v>4.30340185118403E-2</v>
      </c>
      <c r="I16" s="521" t="s">
        <v>214</v>
      </c>
      <c r="J16" s="547">
        <f>J15*J13/J14</f>
        <v>1.3772791620499489</v>
      </c>
      <c r="K16" s="1">
        <f>SLOPE(G10:G68,F10:F68)</f>
        <v>1.3772791620499494</v>
      </c>
    </row>
    <row r="17" spans="2:9">
      <c r="B17" s="43"/>
      <c r="C17" s="125">
        <v>44440</v>
      </c>
      <c r="D17" s="115">
        <v>4307.54</v>
      </c>
      <c r="E17" s="115">
        <v>164.25</v>
      </c>
      <c r="F17" s="126">
        <f t="shared" si="0"/>
        <v>-4.7569140421166334E-2</v>
      </c>
      <c r="G17" s="126">
        <f t="shared" si="1"/>
        <v>-5.3532326841074007E-2</v>
      </c>
    </row>
    <row r="18" spans="2:9">
      <c r="C18" s="125">
        <v>44470</v>
      </c>
      <c r="D18" s="115">
        <v>4605.38</v>
      </c>
      <c r="E18" s="115">
        <v>168.62</v>
      </c>
      <c r="F18" s="126">
        <f t="shared" si="0"/>
        <v>6.9143873301234615E-2</v>
      </c>
      <c r="G18" s="126">
        <f t="shared" si="1"/>
        <v>2.6605783866057831E-2</v>
      </c>
      <c r="I18" s="42" t="s">
        <v>312</v>
      </c>
    </row>
    <row r="19" spans="2:9" ht="15">
      <c r="C19" s="125">
        <v>44501</v>
      </c>
      <c r="D19" s="115">
        <v>4567</v>
      </c>
      <c r="E19" s="115">
        <v>175.35</v>
      </c>
      <c r="F19" s="126">
        <f t="shared" si="0"/>
        <v>-8.3337314184714906E-3</v>
      </c>
      <c r="G19" s="126">
        <f t="shared" si="1"/>
        <v>3.9912228679871875E-2</v>
      </c>
      <c r="I19" s="734" t="s">
        <v>742</v>
      </c>
    </row>
    <row r="20" spans="2:9">
      <c r="C20" s="125">
        <v>44531</v>
      </c>
      <c r="D20" s="115">
        <v>4766.18</v>
      </c>
      <c r="E20" s="115">
        <v>166.72</v>
      </c>
      <c r="F20" s="126">
        <f t="shared" si="0"/>
        <v>4.3612874972629889E-2</v>
      </c>
      <c r="G20" s="126">
        <f t="shared" si="1"/>
        <v>-4.9215854006273152E-2</v>
      </c>
      <c r="I20" s="43" t="s">
        <v>743</v>
      </c>
    </row>
    <row r="21" spans="2:9">
      <c r="C21" s="125">
        <v>44562</v>
      </c>
      <c r="D21" s="115">
        <v>4515.55</v>
      </c>
      <c r="E21" s="115">
        <v>149.57</v>
      </c>
      <c r="F21" s="126">
        <f t="shared" si="0"/>
        <v>-5.2585089106999772E-2</v>
      </c>
      <c r="G21" s="126">
        <f t="shared" si="1"/>
        <v>-0.10286708253358934</v>
      </c>
    </row>
    <row r="22" spans="2:9">
      <c r="C22" s="125">
        <v>44593</v>
      </c>
      <c r="D22" s="115">
        <v>4373.9399999999996</v>
      </c>
      <c r="E22" s="115">
        <v>153.56</v>
      </c>
      <c r="F22" s="126">
        <f t="shared" si="0"/>
        <v>-3.1360520866782648E-2</v>
      </c>
      <c r="G22" s="126">
        <f t="shared" si="1"/>
        <v>2.6676472554656661E-2</v>
      </c>
    </row>
    <row r="23" spans="2:9">
      <c r="C23" s="125">
        <v>44621</v>
      </c>
      <c r="D23" s="115">
        <v>4530.41</v>
      </c>
      <c r="E23" s="115">
        <v>163</v>
      </c>
      <c r="F23" s="126">
        <f t="shared" si="0"/>
        <v>3.5773238773280092E-2</v>
      </c>
      <c r="G23" s="126">
        <f t="shared" si="1"/>
        <v>6.1474342276634619E-2</v>
      </c>
    </row>
    <row r="24" spans="2:9">
      <c r="C24" s="125">
        <v>44652</v>
      </c>
      <c r="D24" s="115">
        <v>4131.93</v>
      </c>
      <c r="E24" s="115">
        <v>124.28</v>
      </c>
      <c r="F24" s="126">
        <f t="shared" si="0"/>
        <v>-8.7956719149039353E-2</v>
      </c>
      <c r="G24" s="126">
        <f t="shared" si="1"/>
        <v>-0.23754601226993866</v>
      </c>
    </row>
    <row r="25" spans="2:9">
      <c r="C25" s="125">
        <v>44682</v>
      </c>
      <c r="D25" s="115">
        <v>4132.1499999999996</v>
      </c>
      <c r="E25" s="115">
        <v>120.21</v>
      </c>
      <c r="F25" s="126">
        <f t="shared" si="0"/>
        <v>5.3243883608722342E-5</v>
      </c>
      <c r="G25" s="126">
        <f t="shared" si="1"/>
        <v>-3.2748632121017085E-2</v>
      </c>
    </row>
    <row r="26" spans="2:9">
      <c r="C26" s="125">
        <v>44713</v>
      </c>
      <c r="D26" s="115">
        <v>3785.38</v>
      </c>
      <c r="E26" s="115">
        <v>106.21</v>
      </c>
      <c r="F26" s="126">
        <f t="shared" si="0"/>
        <v>-8.3919993223866451E-2</v>
      </c>
      <c r="G26" s="126">
        <f t="shared" si="1"/>
        <v>-0.11646285666749856</v>
      </c>
    </row>
    <row r="27" spans="2:9">
      <c r="C27" s="125">
        <v>44743</v>
      </c>
      <c r="D27" s="115">
        <v>4130.29</v>
      </c>
      <c r="E27" s="115">
        <v>134.94999999999999</v>
      </c>
      <c r="F27" s="126">
        <f t="shared" si="0"/>
        <v>9.1116347632205885E-2</v>
      </c>
      <c r="G27" s="126">
        <f t="shared" si="1"/>
        <v>0.27059598907824123</v>
      </c>
    </row>
    <row r="28" spans="2:9">
      <c r="C28" s="125">
        <v>44774</v>
      </c>
      <c r="D28" s="115">
        <v>3955</v>
      </c>
      <c r="E28" s="115">
        <v>126.77</v>
      </c>
      <c r="F28" s="126">
        <f t="shared" si="0"/>
        <v>-4.2440119216810457E-2</v>
      </c>
      <c r="G28" s="126">
        <f t="shared" si="1"/>
        <v>-6.0615042608373471E-2</v>
      </c>
    </row>
    <row r="29" spans="2:9">
      <c r="C29" s="125">
        <v>44805</v>
      </c>
      <c r="D29" s="115">
        <v>3585.62</v>
      </c>
      <c r="E29" s="115">
        <v>113</v>
      </c>
      <c r="F29" s="126">
        <f t="shared" si="0"/>
        <v>-9.3395701643489315E-2</v>
      </c>
      <c r="G29" s="126">
        <f t="shared" si="1"/>
        <v>-0.10862191370197993</v>
      </c>
    </row>
    <row r="30" spans="2:9">
      <c r="C30" s="125">
        <v>44835</v>
      </c>
      <c r="D30" s="115">
        <v>3871.98</v>
      </c>
      <c r="E30" s="115">
        <v>102.44</v>
      </c>
      <c r="F30" s="126">
        <f t="shared" si="0"/>
        <v>7.9863454576893256E-2</v>
      </c>
      <c r="G30" s="126">
        <f t="shared" si="1"/>
        <v>-9.3451327433628384E-2</v>
      </c>
    </row>
    <row r="31" spans="2:9">
      <c r="C31" s="125">
        <v>44866</v>
      </c>
      <c r="D31" s="115">
        <v>4080.11</v>
      </c>
      <c r="E31" s="115">
        <v>96.54</v>
      </c>
      <c r="F31" s="126">
        <f t="shared" si="0"/>
        <v>5.3752860293699856E-2</v>
      </c>
      <c r="G31" s="126">
        <f t="shared" si="1"/>
        <v>-5.7594689574384961E-2</v>
      </c>
    </row>
    <row r="32" spans="2:9">
      <c r="C32" s="125">
        <v>44896</v>
      </c>
      <c r="D32" s="115">
        <v>3839.5</v>
      </c>
      <c r="E32" s="115">
        <v>84</v>
      </c>
      <c r="F32" s="126">
        <f t="shared" si="0"/>
        <v>-5.8971449299161094E-2</v>
      </c>
      <c r="G32" s="126">
        <f t="shared" si="1"/>
        <v>-0.1298943443132381</v>
      </c>
    </row>
    <row r="33" spans="3:9">
      <c r="C33" s="125">
        <v>44927</v>
      </c>
      <c r="D33" s="115">
        <v>4076.6</v>
      </c>
      <c r="E33" s="115">
        <v>103.13</v>
      </c>
      <c r="F33" s="126">
        <f t="shared" si="0"/>
        <v>6.1752832400052027E-2</v>
      </c>
      <c r="G33" s="126">
        <f t="shared" si="1"/>
        <v>0.22773809523809518</v>
      </c>
    </row>
    <row r="34" spans="3:9">
      <c r="C34" s="125">
        <v>44958</v>
      </c>
      <c r="D34" s="115">
        <v>3970.15</v>
      </c>
      <c r="E34" s="115">
        <v>94.23</v>
      </c>
      <c r="F34" s="126">
        <f t="shared" ref="F34:F56" si="2">D34/D33-1</f>
        <v>-2.6112446646715304E-2</v>
      </c>
      <c r="G34" s="126">
        <f t="shared" si="1"/>
        <v>-8.6298846116551808E-2</v>
      </c>
    </row>
    <row r="35" spans="3:9">
      <c r="C35" s="125">
        <v>44986</v>
      </c>
      <c r="D35" s="115">
        <v>4109.3100000000004</v>
      </c>
      <c r="E35" s="115">
        <v>103.29</v>
      </c>
      <c r="F35" s="126">
        <f t="shared" si="2"/>
        <v>3.5051572358727023E-2</v>
      </c>
      <c r="G35" s="126">
        <f t="shared" si="1"/>
        <v>9.6147723654887107E-2</v>
      </c>
    </row>
    <row r="36" spans="3:9">
      <c r="C36" s="125">
        <v>45017</v>
      </c>
      <c r="D36" s="115">
        <v>4169.4799999999996</v>
      </c>
      <c r="E36" s="115">
        <v>105.45</v>
      </c>
      <c r="F36" s="126">
        <f t="shared" si="2"/>
        <v>1.464236088297044E-2</v>
      </c>
      <c r="G36" s="126">
        <f t="shared" si="1"/>
        <v>2.091199535288979E-2</v>
      </c>
    </row>
    <row r="37" spans="3:9">
      <c r="C37" s="125">
        <v>45047</v>
      </c>
      <c r="D37" s="115">
        <v>4179.83</v>
      </c>
      <c r="E37" s="115">
        <v>120.58</v>
      </c>
      <c r="F37" s="126">
        <f t="shared" si="2"/>
        <v>2.4823239348792381E-3</v>
      </c>
      <c r="G37" s="126">
        <f t="shared" si="1"/>
        <v>0.14348032242769082</v>
      </c>
    </row>
    <row r="38" spans="3:9">
      <c r="C38" s="125">
        <v>45078</v>
      </c>
      <c r="D38" s="115">
        <v>4450.38</v>
      </c>
      <c r="E38" s="115">
        <v>130.36000000000001</v>
      </c>
      <c r="F38" s="126">
        <f t="shared" si="2"/>
        <v>6.4727512841431301E-2</v>
      </c>
      <c r="G38" s="126">
        <f t="shared" si="1"/>
        <v>8.1107978105821932E-2</v>
      </c>
    </row>
    <row r="39" spans="3:9">
      <c r="C39" s="125">
        <v>45108</v>
      </c>
      <c r="D39" s="115">
        <v>4588.96</v>
      </c>
      <c r="E39" s="115">
        <v>133.68</v>
      </c>
      <c r="F39" s="126">
        <f t="shared" si="2"/>
        <v>3.1138913980379268E-2</v>
      </c>
      <c r="G39" s="126">
        <f t="shared" si="1"/>
        <v>2.5467934949370941E-2</v>
      </c>
    </row>
    <row r="40" spans="3:9">
      <c r="C40" s="125">
        <v>45139</v>
      </c>
      <c r="D40" s="115">
        <v>4507.66</v>
      </c>
      <c r="E40" s="115">
        <v>138.01</v>
      </c>
      <c r="F40" s="126">
        <f t="shared" si="2"/>
        <v>-1.771643248143373E-2</v>
      </c>
      <c r="G40" s="126">
        <f t="shared" si="1"/>
        <v>3.2390783961699476E-2</v>
      </c>
    </row>
    <row r="41" spans="3:9">
      <c r="C41" s="125">
        <v>45170</v>
      </c>
      <c r="D41" s="115">
        <v>4288.05</v>
      </c>
      <c r="E41" s="115">
        <v>127.12</v>
      </c>
      <c r="F41" s="126">
        <f t="shared" si="2"/>
        <v>-4.871929116215501E-2</v>
      </c>
      <c r="G41" s="126">
        <f t="shared" si="1"/>
        <v>-7.8907325556119012E-2</v>
      </c>
    </row>
    <row r="42" spans="3:9">
      <c r="C42" s="125">
        <v>45200</v>
      </c>
      <c r="D42" s="115">
        <v>4193.8</v>
      </c>
      <c r="E42" s="115">
        <v>133.09</v>
      </c>
      <c r="F42" s="126">
        <f t="shared" si="2"/>
        <v>-2.1979687736850106E-2</v>
      </c>
      <c r="G42" s="126">
        <f t="shared" ref="G42:G67" si="3">E42/E41-1</f>
        <v>4.6963499056010161E-2</v>
      </c>
    </row>
    <row r="43" spans="3:9">
      <c r="C43" s="125">
        <v>45231</v>
      </c>
      <c r="D43" s="115">
        <v>4567.8</v>
      </c>
      <c r="E43" s="115">
        <v>146.09</v>
      </c>
      <c r="F43" s="126">
        <f t="shared" si="2"/>
        <v>8.9179264628737709E-2</v>
      </c>
      <c r="G43" s="126">
        <f t="shared" si="3"/>
        <v>9.7678262829664186E-2</v>
      </c>
    </row>
    <row r="44" spans="3:9">
      <c r="C44" s="125">
        <v>45261</v>
      </c>
      <c r="D44" s="115">
        <v>4769.83</v>
      </c>
      <c r="E44" s="115">
        <v>151.94</v>
      </c>
      <c r="F44" s="126">
        <f t="shared" si="2"/>
        <v>4.4229169403213753E-2</v>
      </c>
      <c r="G44" s="126">
        <f t="shared" si="3"/>
        <v>4.0043808611130105E-2</v>
      </c>
    </row>
    <row r="45" spans="3:9">
      <c r="C45" s="125">
        <v>45292</v>
      </c>
      <c r="D45" s="115">
        <v>4845.6499999999996</v>
      </c>
      <c r="E45" s="115">
        <v>155.19999999999999</v>
      </c>
      <c r="F45" s="126">
        <f t="shared" si="2"/>
        <v>1.5895744712075555E-2</v>
      </c>
      <c r="G45" s="126">
        <f t="shared" si="3"/>
        <v>2.1455837830722579E-2</v>
      </c>
      <c r="I45" s="224"/>
    </row>
    <row r="46" spans="3:9">
      <c r="C46" s="125">
        <v>45323</v>
      </c>
      <c r="D46" s="115">
        <v>5096.2700000000004</v>
      </c>
      <c r="E46" s="115">
        <v>176.76</v>
      </c>
      <c r="F46" s="126">
        <f t="shared" si="2"/>
        <v>5.1720615397315317E-2</v>
      </c>
      <c r="G46" s="126">
        <f t="shared" si="3"/>
        <v>0.13891752577319583</v>
      </c>
    </row>
    <row r="47" spans="3:9">
      <c r="C47" s="125">
        <v>45352</v>
      </c>
      <c r="D47" s="115">
        <v>5254.35</v>
      </c>
      <c r="E47" s="115">
        <v>180.38</v>
      </c>
      <c r="F47" s="126">
        <f t="shared" si="2"/>
        <v>3.1018764704381807E-2</v>
      </c>
      <c r="G47" s="126">
        <f t="shared" si="3"/>
        <v>2.0479746548992983E-2</v>
      </c>
    </row>
    <row r="48" spans="3:9">
      <c r="C48" s="125">
        <v>45383</v>
      </c>
      <c r="D48" s="115">
        <v>5035.6899999999996</v>
      </c>
      <c r="E48" s="115">
        <v>175</v>
      </c>
      <c r="F48" s="126">
        <f t="shared" si="2"/>
        <v>-4.1615042774082567E-2</v>
      </c>
      <c r="G48" s="126">
        <f t="shared" si="3"/>
        <v>-2.9825923051336023E-2</v>
      </c>
    </row>
    <row r="49" spans="3:10">
      <c r="C49" s="125">
        <v>45413</v>
      </c>
      <c r="D49" s="115">
        <v>5277.51</v>
      </c>
      <c r="E49" s="115">
        <v>176.44</v>
      </c>
      <c r="F49" s="126">
        <f t="shared" si="2"/>
        <v>4.8021224499522619E-2</v>
      </c>
      <c r="G49" s="126">
        <f t="shared" si="3"/>
        <v>8.2285714285714739E-3</v>
      </c>
    </row>
    <row r="50" spans="3:10" ht="15" customHeight="1">
      <c r="C50" s="125">
        <v>45444</v>
      </c>
      <c r="D50" s="115">
        <v>5460.48</v>
      </c>
      <c r="E50" s="115">
        <v>193.25</v>
      </c>
      <c r="F50" s="126">
        <f t="shared" si="2"/>
        <v>3.4669759034089864E-2</v>
      </c>
      <c r="G50" s="126">
        <f t="shared" si="3"/>
        <v>9.527318068465207E-2</v>
      </c>
      <c r="H50" s="646"/>
    </row>
    <row r="51" spans="3:10" ht="14" customHeight="1">
      <c r="C51" s="125">
        <v>45474</v>
      </c>
      <c r="D51" s="115">
        <v>5522.3</v>
      </c>
      <c r="E51" s="115">
        <v>186.98</v>
      </c>
      <c r="F51" s="126">
        <f t="shared" si="2"/>
        <v>1.1321349038912354E-2</v>
      </c>
      <c r="G51" s="126">
        <f t="shared" si="3"/>
        <v>-3.2445019404915953E-2</v>
      </c>
      <c r="H51" s="646"/>
    </row>
    <row r="52" spans="3:10" ht="14" customHeight="1">
      <c r="C52" s="125">
        <v>45505</v>
      </c>
      <c r="D52" s="115">
        <v>5648.4</v>
      </c>
      <c r="E52" s="115">
        <v>178.5</v>
      </c>
      <c r="F52" s="126">
        <f t="shared" si="2"/>
        <v>2.2834688445031892E-2</v>
      </c>
      <c r="G52" s="126">
        <f t="shared" si="3"/>
        <v>-4.535244411166961E-2</v>
      </c>
      <c r="H52" s="646"/>
      <c r="J52" s="224"/>
    </row>
    <row r="53" spans="3:10" ht="15" customHeight="1">
      <c r="C53" s="125">
        <v>45536</v>
      </c>
      <c r="D53" s="115">
        <v>5762.48</v>
      </c>
      <c r="E53" s="115">
        <v>186.33</v>
      </c>
      <c r="F53" s="126">
        <f t="shared" si="2"/>
        <v>2.0196869910062976E-2</v>
      </c>
      <c r="G53" s="126">
        <f t="shared" si="3"/>
        <v>4.3865546218487372E-2</v>
      </c>
      <c r="H53" s="646"/>
      <c r="J53" s="224"/>
    </row>
    <row r="54" spans="3:10" ht="14" customHeight="1">
      <c r="C54" s="125">
        <v>45566</v>
      </c>
      <c r="D54" s="115">
        <v>5705.45</v>
      </c>
      <c r="E54" s="115">
        <v>186.4</v>
      </c>
      <c r="F54" s="126">
        <f t="shared" si="2"/>
        <v>-9.8967805528175079E-3</v>
      </c>
      <c r="G54" s="126">
        <f t="shared" si="3"/>
        <v>3.7567756131595686E-4</v>
      </c>
      <c r="H54" s="646"/>
      <c r="J54" s="224"/>
    </row>
    <row r="55" spans="3:10" ht="14" customHeight="1">
      <c r="C55" s="125">
        <v>45597</v>
      </c>
      <c r="D55" s="115">
        <v>6032.38</v>
      </c>
      <c r="E55" s="115">
        <v>207.89</v>
      </c>
      <c r="F55" s="126">
        <f t="shared" si="2"/>
        <v>5.7301352215863854E-2</v>
      </c>
      <c r="G55" s="126">
        <f t="shared" si="3"/>
        <v>0.11528969957081525</v>
      </c>
      <c r="H55" s="646"/>
      <c r="J55" s="224"/>
    </row>
    <row r="56" spans="3:10" ht="14" customHeight="1">
      <c r="C56" s="125">
        <v>45627</v>
      </c>
      <c r="D56" s="115">
        <v>5881.63</v>
      </c>
      <c r="E56" s="115">
        <v>219.39</v>
      </c>
      <c r="F56" s="126">
        <f t="shared" si="2"/>
        <v>-2.4990136563014964E-2</v>
      </c>
      <c r="G56" s="126">
        <f t="shared" si="3"/>
        <v>5.5317716099860581E-2</v>
      </c>
      <c r="H56" s="646"/>
      <c r="J56" s="224"/>
    </row>
    <row r="57" spans="3:10" ht="14" customHeight="1">
      <c r="C57" s="125">
        <v>45658</v>
      </c>
      <c r="D57" s="115">
        <v>6040.53</v>
      </c>
      <c r="E57" s="115">
        <v>237.68</v>
      </c>
      <c r="F57" s="126">
        <f>D57/D56-1</f>
        <v>2.7016320305765618E-2</v>
      </c>
      <c r="G57" s="126">
        <f t="shared" si="3"/>
        <v>8.3367519030038029E-2</v>
      </c>
      <c r="H57" s="646"/>
      <c r="J57" s="224"/>
    </row>
    <row r="58" spans="3:10" ht="14" customHeight="1">
      <c r="C58" s="125">
        <v>45689</v>
      </c>
      <c r="D58" s="115">
        <v>5954.5</v>
      </c>
      <c r="E58" s="115">
        <v>212.28</v>
      </c>
      <c r="F58" s="126">
        <f t="shared" ref="F58:F68" si="4">D58/D57-1</f>
        <v>-1.4242127760312417E-2</v>
      </c>
      <c r="G58" s="126">
        <f t="shared" si="3"/>
        <v>-0.10686637495792661</v>
      </c>
      <c r="H58" s="646"/>
      <c r="J58" s="224"/>
    </row>
    <row r="59" spans="3:10" ht="13" customHeight="1">
      <c r="C59" s="125">
        <v>45717</v>
      </c>
      <c r="D59" s="115">
        <v>5611.85</v>
      </c>
      <c r="E59" s="115">
        <v>190.26</v>
      </c>
      <c r="F59" s="126">
        <f t="shared" si="4"/>
        <v>-5.7544714081786852E-2</v>
      </c>
      <c r="G59" s="126">
        <f t="shared" si="3"/>
        <v>-0.10373092142453366</v>
      </c>
      <c r="H59" s="646"/>
      <c r="J59" s="224"/>
    </row>
    <row r="60" spans="3:10" ht="14" customHeight="1">
      <c r="C60" s="125">
        <v>45748</v>
      </c>
      <c r="D60" s="115">
        <v>5569.06</v>
      </c>
      <c r="E60" s="115">
        <v>184.42</v>
      </c>
      <c r="F60" s="126">
        <f t="shared" si="4"/>
        <v>-7.6249365182604611E-3</v>
      </c>
      <c r="G60" s="126">
        <f t="shared" si="3"/>
        <v>-3.0694838641858513E-2</v>
      </c>
      <c r="H60" s="646"/>
      <c r="J60" s="224"/>
    </row>
    <row r="61" spans="3:10" ht="13" customHeight="1">
      <c r="C61" s="125">
        <v>45778</v>
      </c>
      <c r="D61" s="115">
        <v>5911.69</v>
      </c>
      <c r="E61" s="115">
        <v>205.01</v>
      </c>
      <c r="F61" s="126">
        <f t="shared" si="4"/>
        <v>6.1523847830692979E-2</v>
      </c>
      <c r="G61" s="126">
        <f t="shared" si="3"/>
        <v>0.11164732675414824</v>
      </c>
      <c r="H61" s="646"/>
      <c r="J61" s="224"/>
    </row>
    <row r="62" spans="3:10" ht="14" customHeight="1">
      <c r="C62" s="125">
        <v>45809</v>
      </c>
      <c r="D62" s="115">
        <v>6204.95</v>
      </c>
      <c r="E62" s="115">
        <v>219.39</v>
      </c>
      <c r="F62" s="126">
        <f t="shared" si="4"/>
        <v>4.960679602617879E-2</v>
      </c>
      <c r="G62" s="126">
        <f t="shared" si="3"/>
        <v>7.014291985756782E-2</v>
      </c>
      <c r="H62" s="646"/>
      <c r="J62" s="224"/>
    </row>
    <row r="63" spans="3:10" ht="13" customHeight="1">
      <c r="C63" s="125">
        <v>45839</v>
      </c>
      <c r="D63" s="115">
        <v>6339.39</v>
      </c>
      <c r="E63" s="115">
        <v>234.11</v>
      </c>
      <c r="F63" s="126">
        <f t="shared" si="4"/>
        <v>2.1666572655702376E-2</v>
      </c>
      <c r="G63" s="126">
        <f t="shared" si="3"/>
        <v>6.7095127398696608E-2</v>
      </c>
      <c r="H63" s="646"/>
      <c r="J63" s="224"/>
    </row>
    <row r="64" spans="3:10" ht="14" customHeight="1">
      <c r="C64" s="125">
        <v>45870</v>
      </c>
      <c r="D64" s="115">
        <v>6460.26</v>
      </c>
      <c r="E64" s="115">
        <v>229</v>
      </c>
      <c r="F64" s="126">
        <f t="shared" si="4"/>
        <v>1.9066503244002941E-2</v>
      </c>
      <c r="G64" s="126">
        <f t="shared" si="3"/>
        <v>-2.182734611934567E-2</v>
      </c>
      <c r="H64" s="646"/>
      <c r="J64" s="224"/>
    </row>
    <row r="65" spans="3:10" ht="14" customHeight="1">
      <c r="C65" s="125">
        <v>45901</v>
      </c>
      <c r="D65" s="115">
        <v>6688.46</v>
      </c>
      <c r="E65" s="115">
        <v>219.57</v>
      </c>
      <c r="F65" s="126">
        <f t="shared" si="4"/>
        <v>3.5323655704259549E-2</v>
      </c>
      <c r="G65" s="126">
        <f t="shared" si="3"/>
        <v>-4.1179039301310061E-2</v>
      </c>
      <c r="H65" s="646"/>
    </row>
    <row r="66" spans="3:10" ht="14" customHeight="1">
      <c r="C66" s="125">
        <v>45931</v>
      </c>
      <c r="D66" s="115">
        <v>6840.2</v>
      </c>
      <c r="E66" s="115">
        <v>244.22</v>
      </c>
      <c r="F66" s="126">
        <f t="shared" si="4"/>
        <v>2.2686836730727133E-2</v>
      </c>
      <c r="G66" s="126">
        <f t="shared" si="3"/>
        <v>0.11226488135901991</v>
      </c>
      <c r="H66" s="646"/>
    </row>
    <row r="67" spans="3:10" ht="13" customHeight="1">
      <c r="C67" s="125">
        <v>45962</v>
      </c>
      <c r="D67" s="115">
        <v>6849.09</v>
      </c>
      <c r="E67" s="115">
        <v>233.22</v>
      </c>
      <c r="F67" s="126">
        <f t="shared" si="4"/>
        <v>1.299669600304032E-3</v>
      </c>
      <c r="G67" s="126">
        <f t="shared" si="3"/>
        <v>-4.5041356154287171E-2</v>
      </c>
      <c r="H67" s="646"/>
      <c r="J67" s="125"/>
    </row>
    <row r="68" spans="3:10" ht="14" customHeight="1">
      <c r="C68" s="125">
        <v>45992</v>
      </c>
      <c r="D68" s="115">
        <v>6870.4</v>
      </c>
      <c r="E68" s="115">
        <v>229.53</v>
      </c>
      <c r="F68" s="126">
        <f t="shared" si="4"/>
        <v>3.1113622393630358E-3</v>
      </c>
      <c r="G68" s="126">
        <f>E68/E67-1</f>
        <v>-1.5821970671468955E-2</v>
      </c>
      <c r="H68" s="646"/>
    </row>
    <row r="69" spans="3:10" ht="18">
      <c r="H69" s="646"/>
    </row>
  </sheetData>
  <hyperlinks>
    <hyperlink ref="I19" r:id="rId1" xr:uid="{4E37BC03-22F7-6F4E-9F35-8815546418E0}"/>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995E-0D05-4114-904E-CAB986040E3F}">
  <sheetPr>
    <tabColor rgb="FFAFDEFF"/>
  </sheetPr>
  <dimension ref="A1:T188"/>
  <sheetViews>
    <sheetView showGridLines="0" zoomScaleNormal="119" workbookViewId="0">
      <selection activeCell="P172" sqref="P172"/>
    </sheetView>
  </sheetViews>
  <sheetFormatPr baseColWidth="10" defaultColWidth="8.83203125" defaultRowHeight="12"/>
  <cols>
    <col min="1" max="2" width="3.1640625" style="1" customWidth="1"/>
    <col min="3" max="3" width="44.6640625" style="1" bestFit="1" customWidth="1"/>
    <col min="4" max="4" width="9.83203125" style="1" bestFit="1" customWidth="1"/>
    <col min="5" max="5" width="11.83203125" style="1" bestFit="1" customWidth="1"/>
    <col min="6" max="6" width="10.83203125" style="1" bestFit="1" customWidth="1"/>
    <col min="7" max="9" width="10.5" style="1" bestFit="1" customWidth="1"/>
    <col min="10" max="11" width="8.83203125" style="1"/>
    <col min="12" max="12" width="8.83203125" style="376"/>
    <col min="13" max="13" width="43.83203125" style="1" bestFit="1" customWidth="1"/>
    <col min="14" max="16384" width="8.83203125" style="1"/>
  </cols>
  <sheetData>
    <row r="1" spans="2:12" s="457" customFormat="1" ht="18" customHeight="1">
      <c r="L1" s="484"/>
    </row>
    <row r="2" spans="2:12" s="457" customFormat="1" ht="18">
      <c r="B2" s="462"/>
      <c r="L2" s="484"/>
    </row>
    <row r="3" spans="2:12" s="457" customFormat="1" ht="13">
      <c r="B3" s="459"/>
      <c r="C3" s="461" t="s">
        <v>329</v>
      </c>
      <c r="L3" s="484"/>
    </row>
    <row r="4" spans="2:12" s="457" customFormat="1">
      <c r="B4" s="459"/>
      <c r="C4" s="460" t="s">
        <v>23</v>
      </c>
      <c r="L4" s="484"/>
    </row>
    <row r="5" spans="2:12" s="457" customFormat="1" ht="7.75" customHeight="1">
      <c r="B5" s="459"/>
      <c r="L5" s="484"/>
    </row>
    <row r="6" spans="2:12">
      <c r="B6" s="4"/>
    </row>
    <row r="7" spans="2:12">
      <c r="B7" s="4"/>
    </row>
    <row r="8" spans="2:12">
      <c r="B8" s="4"/>
      <c r="C8" s="225" t="s">
        <v>344</v>
      </c>
      <c r="D8" s="480" t="str">
        <f>IF(Scenarios!D8=Scenarios!D9,Scenarios!C9,IF(Scenarios!D8=Scenarios!D10,Scenarios!C10,Scenarios!C11))</f>
        <v>Base Case</v>
      </c>
    </row>
    <row r="9" spans="2:12">
      <c r="B9" s="4"/>
      <c r="C9" s="4"/>
      <c r="D9" s="4"/>
      <c r="E9" s="4"/>
      <c r="K9" s="49"/>
    </row>
    <row r="10" spans="2:12">
      <c r="C10" s="292" t="s">
        <v>404</v>
      </c>
      <c r="D10" s="295"/>
      <c r="E10" s="295"/>
      <c r="F10" s="295"/>
      <c r="G10" s="296"/>
      <c r="H10" s="296"/>
      <c r="I10" s="296"/>
      <c r="J10" s="296"/>
    </row>
    <row r="11" spans="2:12" ht="5.5" customHeight="1">
      <c r="C11" s="143"/>
      <c r="D11" s="143"/>
      <c r="E11" s="143"/>
      <c r="F11" s="143"/>
      <c r="G11" s="143"/>
      <c r="H11" s="143"/>
      <c r="I11" s="143"/>
      <c r="J11" s="143"/>
    </row>
    <row r="12" spans="2:12">
      <c r="C12" s="505"/>
      <c r="D12" s="506"/>
      <c r="E12" s="507" t="s">
        <v>638</v>
      </c>
      <c r="F12" s="508">
        <v>2025</v>
      </c>
      <c r="G12" s="508">
        <v>2026</v>
      </c>
      <c r="H12" s="508">
        <v>2027</v>
      </c>
      <c r="I12" s="508">
        <v>2028</v>
      </c>
      <c r="J12" s="508">
        <v>2029</v>
      </c>
      <c r="L12" s="376" t="s">
        <v>78</v>
      </c>
    </row>
    <row r="13" spans="2:12">
      <c r="C13" s="144" t="s">
        <v>372</v>
      </c>
      <c r="D13" s="145"/>
      <c r="E13" s="321"/>
      <c r="F13" s="146"/>
      <c r="G13" s="146"/>
      <c r="H13" s="146"/>
      <c r="I13" s="146"/>
      <c r="J13" s="146"/>
    </row>
    <row r="14" spans="2:12">
      <c r="C14" s="147" t="s">
        <v>669</v>
      </c>
      <c r="D14" s="147"/>
      <c r="E14" s="322">
        <f>E37</f>
        <v>637959</v>
      </c>
      <c r="F14" s="169">
        <f>E14*(1+F15)</f>
        <v>682616.13</v>
      </c>
      <c r="G14" s="169">
        <f>F14*(1+G15)</f>
        <v>744051.5817000001</v>
      </c>
      <c r="H14" s="169">
        <f t="shared" ref="H14:J14" si="0">G14*(1+H15)</f>
        <v>811016.22405300022</v>
      </c>
      <c r="I14" s="169">
        <f t="shared" si="0"/>
        <v>892117.84645830037</v>
      </c>
      <c r="J14" s="169">
        <f t="shared" si="0"/>
        <v>981329.63110413053</v>
      </c>
      <c r="L14" s="376" t="s">
        <v>394</v>
      </c>
    </row>
    <row r="15" spans="2:12">
      <c r="C15" s="147" t="s">
        <v>668</v>
      </c>
      <c r="D15" s="147"/>
      <c r="E15" s="323">
        <f>'Actuals FS'!D149</f>
        <v>0.1099089224666614</v>
      </c>
      <c r="F15" s="170">
        <f>Scenarios!E17</f>
        <v>7.0000000000000007E-2</v>
      </c>
      <c r="G15" s="170">
        <f>Scenarios!F17</f>
        <v>0.09</v>
      </c>
      <c r="H15" s="170">
        <f>Scenarios!G17</f>
        <v>0.09</v>
      </c>
      <c r="I15" s="170">
        <f>Scenarios!H17</f>
        <v>0.1</v>
      </c>
      <c r="J15" s="170">
        <f>Scenarios!I17</f>
        <v>0.1</v>
      </c>
      <c r="L15" s="376" t="s">
        <v>393</v>
      </c>
    </row>
    <row r="16" spans="2:12">
      <c r="C16" s="147" t="s">
        <v>667</v>
      </c>
      <c r="D16" s="148"/>
      <c r="E16" s="323">
        <f>D38</f>
        <v>-0.51145606535843213</v>
      </c>
      <c r="F16" s="170">
        <f>-Scenarios!E21</f>
        <v>-0.51</v>
      </c>
      <c r="G16" s="170">
        <f>-Scenarios!F21</f>
        <v>-0.505</v>
      </c>
      <c r="H16" s="170">
        <f>-Scenarios!G21</f>
        <v>-0.5</v>
      </c>
      <c r="I16" s="170">
        <f>-Scenarios!H21</f>
        <v>-0.495</v>
      </c>
      <c r="J16" s="170">
        <f>-Scenarios!I21</f>
        <v>-0.49</v>
      </c>
      <c r="L16" s="376" t="s">
        <v>79</v>
      </c>
    </row>
    <row r="17" spans="3:12">
      <c r="C17" s="147" t="s">
        <v>666</v>
      </c>
      <c r="D17" s="148"/>
      <c r="E17" s="323">
        <f>D41</f>
        <v>0.15440647439725749</v>
      </c>
      <c r="F17" s="170">
        <f>Scenarios!E25</f>
        <v>0.154</v>
      </c>
      <c r="G17" s="170">
        <f>Scenarios!F25</f>
        <v>0.152</v>
      </c>
      <c r="H17" s="170">
        <f>Scenarios!G25</f>
        <v>0.15</v>
      </c>
      <c r="I17" s="170">
        <f>Scenarios!H25</f>
        <v>0.14799999999999999</v>
      </c>
      <c r="J17" s="170">
        <f>Scenarios!I25</f>
        <v>0.14599999999999999</v>
      </c>
      <c r="L17" s="376" t="s">
        <v>79</v>
      </c>
    </row>
    <row r="18" spans="3:12">
      <c r="C18" s="147" t="s">
        <v>665</v>
      </c>
      <c r="D18" s="148"/>
      <c r="E18" s="323">
        <f>D42</f>
        <v>0.13879261833440706</v>
      </c>
      <c r="F18" s="170">
        <f>Scenarios!E29</f>
        <v>-0.14499999999999999</v>
      </c>
      <c r="G18" s="170">
        <f>Scenarios!F29</f>
        <v>-0.14499999999999999</v>
      </c>
      <c r="H18" s="170">
        <f>Scenarios!G29</f>
        <v>-0.14000000000000001</v>
      </c>
      <c r="I18" s="170">
        <f>Scenarios!H29</f>
        <v>-0.13500000000000001</v>
      </c>
      <c r="J18" s="170">
        <f>Scenarios!I29</f>
        <v>-0.13</v>
      </c>
      <c r="L18" s="376" t="s">
        <v>79</v>
      </c>
    </row>
    <row r="19" spans="3:12">
      <c r="C19" s="147" t="s">
        <v>731</v>
      </c>
      <c r="D19" s="148"/>
      <c r="E19" s="323">
        <f>D43+D44</f>
        <v>8.6629391543970702E-2</v>
      </c>
      <c r="F19" s="170">
        <f>Scenarios!E33</f>
        <v>8.6999999999999994E-2</v>
      </c>
      <c r="G19" s="170">
        <f>Scenarios!F33</f>
        <v>8.5999999999999993E-2</v>
      </c>
      <c r="H19" s="170">
        <f>Scenarios!G33</f>
        <v>8.4999999999999992E-2</v>
      </c>
      <c r="I19" s="170">
        <f>Scenarios!H33</f>
        <v>8.3999999999999991E-2</v>
      </c>
      <c r="J19" s="170">
        <f>Scenarios!I33</f>
        <v>8.299999999999999E-2</v>
      </c>
      <c r="L19" s="376" t="s">
        <v>79</v>
      </c>
    </row>
    <row r="20" spans="3:12">
      <c r="C20" s="162" t="s">
        <v>733</v>
      </c>
      <c r="D20" s="148"/>
      <c r="E20" s="629">
        <f>D49</f>
        <v>7.331192129901765E-3</v>
      </c>
      <c r="F20" s="630">
        <f>E20*(1+12%)</f>
        <v>8.2109351854899783E-3</v>
      </c>
      <c r="G20" s="630">
        <f t="shared" ref="G20:J20" si="1">F20*(1+12%)</f>
        <v>9.1962474077487769E-3</v>
      </c>
      <c r="H20" s="630">
        <f t="shared" si="1"/>
        <v>1.0299797096678632E-2</v>
      </c>
      <c r="I20" s="630">
        <f t="shared" si="1"/>
        <v>1.1535772748280068E-2</v>
      </c>
      <c r="J20" s="630">
        <f t="shared" si="1"/>
        <v>1.2920065478073678E-2</v>
      </c>
    </row>
    <row r="21" spans="3:12">
      <c r="C21" s="162" t="s">
        <v>663</v>
      </c>
      <c r="D21" s="148"/>
      <c r="E21" s="628">
        <f>D50</f>
        <v>-3.7714022374478609E-3</v>
      </c>
      <c r="F21" s="634">
        <f>Scenarios!E37</f>
        <v>-0.15</v>
      </c>
      <c r="G21" s="634">
        <f>Scenarios!F37</f>
        <v>-0.16</v>
      </c>
      <c r="H21" s="634">
        <f>Scenarios!G37</f>
        <v>-0.17</v>
      </c>
      <c r="I21" s="634">
        <f>Scenarios!H37</f>
        <v>-0.17</v>
      </c>
      <c r="J21" s="634">
        <f>Scenarios!I37</f>
        <v>-0.17</v>
      </c>
      <c r="L21" s="376" t="s">
        <v>390</v>
      </c>
    </row>
    <row r="22" spans="3:12">
      <c r="C22" s="162" t="s">
        <v>734</v>
      </c>
      <c r="D22" s="148"/>
      <c r="E22" s="628">
        <f>D45</f>
        <v>1.1960016239288104E-3</v>
      </c>
      <c r="F22" s="633">
        <f>E22*(1+1%)</f>
        <v>1.2079616401680987E-3</v>
      </c>
      <c r="G22" s="633">
        <f>F22*(1+1%)</f>
        <v>1.2200412565697796E-3</v>
      </c>
      <c r="H22" s="633">
        <f>G22*(1+1%)</f>
        <v>1.2322416691354773E-3</v>
      </c>
      <c r="I22" s="633">
        <f t="shared" ref="I22:J22" si="2">H22*(1+1%)</f>
        <v>1.2445640858268321E-3</v>
      </c>
      <c r="J22" s="633">
        <f t="shared" si="2"/>
        <v>1.2570097266851005E-3</v>
      </c>
    </row>
    <row r="23" spans="3:12">
      <c r="C23" s="147" t="s">
        <v>664</v>
      </c>
      <c r="D23" s="149"/>
      <c r="E23" s="323">
        <v>0.21</v>
      </c>
      <c r="F23" s="170">
        <v>0.21</v>
      </c>
      <c r="G23" s="170">
        <v>0.21</v>
      </c>
      <c r="H23" s="170">
        <v>0.21</v>
      </c>
      <c r="I23" s="170">
        <v>0.21</v>
      </c>
      <c r="J23" s="170">
        <v>0.21</v>
      </c>
      <c r="L23" s="376" t="s">
        <v>473</v>
      </c>
    </row>
    <row r="24" spans="3:12">
      <c r="C24" s="147" t="s">
        <v>735</v>
      </c>
      <c r="D24" s="149"/>
      <c r="E24" s="323">
        <f>D57</f>
        <v>1.6416415474975663E-2</v>
      </c>
      <c r="F24" s="170">
        <f>E24</f>
        <v>1.6416415474975663E-2</v>
      </c>
      <c r="G24" s="170">
        <f t="shared" ref="G24:J24" si="3">F24</f>
        <v>1.6416415474975663E-2</v>
      </c>
      <c r="H24" s="170">
        <f t="shared" si="3"/>
        <v>1.6416415474975663E-2</v>
      </c>
      <c r="I24" s="170">
        <f>H24</f>
        <v>1.6416415474975663E-2</v>
      </c>
      <c r="J24" s="170">
        <f t="shared" si="3"/>
        <v>1.6416415474975663E-2</v>
      </c>
      <c r="L24" s="376" t="s">
        <v>513</v>
      </c>
    </row>
    <row r="25" spans="3:12">
      <c r="C25" s="147"/>
      <c r="D25" s="149"/>
      <c r="E25" s="323"/>
      <c r="F25" s="170"/>
      <c r="G25" s="170"/>
      <c r="H25" s="170"/>
      <c r="I25" s="170"/>
      <c r="J25" s="170"/>
      <c r="L25" s="376" t="s">
        <v>567</v>
      </c>
    </row>
    <row r="26" spans="3:12">
      <c r="C26" s="150"/>
      <c r="D26" s="149"/>
      <c r="E26" s="324"/>
      <c r="F26" s="149"/>
      <c r="G26" s="149"/>
      <c r="H26" s="149"/>
      <c r="I26" s="149"/>
      <c r="J26" s="149"/>
    </row>
    <row r="27" spans="3:12">
      <c r="C27" s="151" t="s">
        <v>373</v>
      </c>
      <c r="D27" s="143"/>
      <c r="E27" s="325"/>
      <c r="F27" s="155"/>
      <c r="G27" s="155"/>
      <c r="H27" s="155"/>
      <c r="I27" s="155"/>
      <c r="J27" s="155"/>
    </row>
    <row r="28" spans="3:12">
      <c r="C28" s="152" t="s">
        <v>379</v>
      </c>
      <c r="D28" s="143"/>
      <c r="E28" s="636">
        <f>'Actuals FS'!D113</f>
        <v>31.725573273517576</v>
      </c>
      <c r="F28" s="631">
        <f>E28*(1+0.5%)</f>
        <v>31.88420113988516</v>
      </c>
      <c r="G28" s="631">
        <f t="shared" ref="G28:J28" si="4">F28*(1+0.5%)</f>
        <v>32.043622145584585</v>
      </c>
      <c r="H28" s="631">
        <f t="shared" si="4"/>
        <v>32.203840256312503</v>
      </c>
      <c r="I28" s="631">
        <f>H28*(1+0.5%)</f>
        <v>32.364859457594065</v>
      </c>
      <c r="J28" s="631">
        <f t="shared" si="4"/>
        <v>32.526683754882029</v>
      </c>
      <c r="L28" s="376" t="s">
        <v>385</v>
      </c>
    </row>
    <row r="29" spans="3:12">
      <c r="C29" s="152" t="s">
        <v>236</v>
      </c>
      <c r="D29" s="143"/>
      <c r="E29" s="636">
        <f>E143</f>
        <v>38.273273917520719</v>
      </c>
      <c r="F29" s="631">
        <f>E29*(1-0.5%)</f>
        <v>38.081907547933113</v>
      </c>
      <c r="G29" s="631">
        <f>F29*(1-0.5%)</f>
        <v>37.891498010193445</v>
      </c>
      <c r="H29" s="631">
        <f>G29*(1-0.5%)</f>
        <v>37.702040520142475</v>
      </c>
      <c r="I29" s="631">
        <f>H29*(1-0.5%)</f>
        <v>37.513530317541765</v>
      </c>
      <c r="J29" s="631">
        <f>I29*(1-0.5%)</f>
        <v>37.325962665954059</v>
      </c>
      <c r="L29" s="376" t="s">
        <v>386</v>
      </c>
    </row>
    <row r="30" spans="3:12">
      <c r="C30" s="152" t="s">
        <v>258</v>
      </c>
      <c r="D30" s="143"/>
      <c r="E30" s="636">
        <f>E146</f>
        <v>105.5585709557201</v>
      </c>
      <c r="F30" s="631">
        <f>E30*(1-0.5%)</f>
        <v>105.0307781009415</v>
      </c>
      <c r="G30" s="631">
        <f t="shared" ref="G30:J30" si="5">F30*(1-0.5%)</f>
        <v>104.50562421043679</v>
      </c>
      <c r="H30" s="631">
        <f t="shared" si="5"/>
        <v>103.9830960893846</v>
      </c>
      <c r="I30" s="631">
        <f t="shared" si="5"/>
        <v>103.46318060893768</v>
      </c>
      <c r="J30" s="631">
        <f t="shared" si="5"/>
        <v>102.94586470589299</v>
      </c>
      <c r="L30" s="376" t="s">
        <v>79</v>
      </c>
    </row>
    <row r="31" spans="3:12">
      <c r="C31" s="152" t="s">
        <v>380</v>
      </c>
      <c r="D31" s="143"/>
      <c r="E31" s="627">
        <f>'Actuals FS'!D160</f>
        <v>-0.13010083720113674</v>
      </c>
      <c r="F31" s="632">
        <f>E31*(1-1.2%)</f>
        <v>-0.12853962715472311</v>
      </c>
      <c r="G31" s="632">
        <f t="shared" ref="G31:J31" si="6">F31*(1-1.2%)</f>
        <v>-0.12699715162886643</v>
      </c>
      <c r="H31" s="632">
        <f t="shared" si="6"/>
        <v>-0.12547318580932004</v>
      </c>
      <c r="I31" s="632">
        <f t="shared" si="6"/>
        <v>-0.1239675075796082</v>
      </c>
      <c r="J31" s="632">
        <f t="shared" si="6"/>
        <v>-0.1224798974886529</v>
      </c>
      <c r="L31" s="376" t="s">
        <v>79</v>
      </c>
    </row>
    <row r="32" spans="3:12">
      <c r="C32" s="153" t="s">
        <v>737</v>
      </c>
      <c r="D32" s="149"/>
      <c r="E32" s="644">
        <f>'Actuals FS'!D142/'Actuals FS'!D143</f>
        <v>41.432409026465031</v>
      </c>
      <c r="F32" s="645">
        <f>E32*(1-5%)</f>
        <v>39.360788575141775</v>
      </c>
      <c r="G32" s="645">
        <f t="shared" ref="G32:J32" si="7">F32*(1-5%)</f>
        <v>37.392749146384688</v>
      </c>
      <c r="H32" s="645">
        <f t="shared" si="7"/>
        <v>35.523111689065452</v>
      </c>
      <c r="I32" s="645">
        <f t="shared" si="7"/>
        <v>33.746956104612181</v>
      </c>
      <c r="J32" s="645">
        <f t="shared" si="7"/>
        <v>32.059608299381573</v>
      </c>
    </row>
    <row r="33" spans="3:15">
      <c r="C33" s="143"/>
      <c r="D33" s="143"/>
      <c r="E33" s="143"/>
      <c r="F33" s="143"/>
      <c r="G33" s="143"/>
      <c r="H33" s="143"/>
      <c r="I33" s="143"/>
      <c r="J33" s="143"/>
    </row>
    <row r="34" spans="3:15">
      <c r="C34" s="292" t="s">
        <v>329</v>
      </c>
      <c r="D34" s="295"/>
      <c r="E34" s="295"/>
      <c r="F34" s="295"/>
      <c r="G34" s="296"/>
      <c r="H34" s="296"/>
      <c r="I34" s="296"/>
      <c r="J34" s="296"/>
    </row>
    <row r="35" spans="3:15" ht="5.5" customHeight="1">
      <c r="C35" s="143"/>
      <c r="D35" s="143"/>
      <c r="E35" s="143"/>
      <c r="F35" s="143"/>
      <c r="G35" s="143"/>
      <c r="H35" s="143"/>
      <c r="I35" s="143"/>
      <c r="J35" s="143"/>
    </row>
    <row r="36" spans="3:15">
      <c r="C36" s="505" t="s">
        <v>376</v>
      </c>
      <c r="D36" s="506" t="s">
        <v>351</v>
      </c>
      <c r="E36" s="507" t="s">
        <v>638</v>
      </c>
      <c r="F36" s="508">
        <v>2025</v>
      </c>
      <c r="G36" s="508">
        <v>2026</v>
      </c>
      <c r="H36" s="508">
        <v>2027</v>
      </c>
      <c r="I36" s="508">
        <v>2028</v>
      </c>
      <c r="J36" s="508">
        <v>2029</v>
      </c>
    </row>
    <row r="37" spans="3:15">
      <c r="C37" s="154" t="s">
        <v>352</v>
      </c>
      <c r="D37" s="326">
        <f>E37/$E$37</f>
        <v>1</v>
      </c>
      <c r="E37" s="327">
        <f>'Actuals FS'!D47</f>
        <v>637959</v>
      </c>
      <c r="F37" s="171">
        <f>F14</f>
        <v>682616.13</v>
      </c>
      <c r="G37" s="171">
        <f>F37*(1+G15)</f>
        <v>744051.5817000001</v>
      </c>
      <c r="H37" s="171">
        <f>G37*(1+H15)</f>
        <v>811016.22405300022</v>
      </c>
      <c r="I37" s="171">
        <f>H37*(1+I15)</f>
        <v>892117.84645830037</v>
      </c>
      <c r="J37" s="171">
        <f>I37*(1+J15)</f>
        <v>981329.63110413053</v>
      </c>
      <c r="L37" s="376" t="s">
        <v>79</v>
      </c>
    </row>
    <row r="38" spans="3:15">
      <c r="C38" s="155" t="s">
        <v>660</v>
      </c>
      <c r="D38" s="328">
        <f>E38/$E$37</f>
        <v>-0.51145606535843213</v>
      </c>
      <c r="E38" s="329">
        <f>-('Actuals FS'!D48)</f>
        <v>-326288</v>
      </c>
      <c r="F38" s="167">
        <f>F16*F37</f>
        <v>-348134.22629999998</v>
      </c>
      <c r="G38" s="167">
        <f>G16*G37</f>
        <v>-375746.04875850008</v>
      </c>
      <c r="H38" s="167">
        <f>H16*H37</f>
        <v>-405508.11202650011</v>
      </c>
      <c r="I38" s="167">
        <f>I16*I37</f>
        <v>-441598.33399685868</v>
      </c>
      <c r="J38" s="167">
        <f>J16*J37</f>
        <v>-480851.51924102393</v>
      </c>
      <c r="L38" s="376" t="s">
        <v>79</v>
      </c>
    </row>
    <row r="39" spans="3:15">
      <c r="C39" s="173" t="s">
        <v>353</v>
      </c>
      <c r="D39" s="330">
        <f>E39/$E$37</f>
        <v>0.48854393464156787</v>
      </c>
      <c r="E39" s="331">
        <f>E37+E38</f>
        <v>311671</v>
      </c>
      <c r="F39" s="174">
        <f>SUM(F37:F38)</f>
        <v>334481.90370000002</v>
      </c>
      <c r="G39" s="174">
        <f>SUM(G37:G38)</f>
        <v>368305.53294150002</v>
      </c>
      <c r="H39" s="174">
        <f>SUM(H37:H38)</f>
        <v>405508.11202650011</v>
      </c>
      <c r="I39" s="174">
        <f>SUM(I37:I38)</f>
        <v>450519.51246144169</v>
      </c>
      <c r="J39" s="174">
        <f>SUM(J37:J38)</f>
        <v>500478.11186310661</v>
      </c>
    </row>
    <row r="40" spans="3:15">
      <c r="C40" s="155" t="s">
        <v>354</v>
      </c>
      <c r="D40" s="328"/>
      <c r="E40" s="329"/>
      <c r="F40" s="167"/>
      <c r="G40" s="167"/>
      <c r="H40" s="167"/>
      <c r="I40" s="167"/>
      <c r="J40" s="167"/>
    </row>
    <row r="41" spans="3:15">
      <c r="C41" s="155" t="s">
        <v>651</v>
      </c>
      <c r="D41" s="328">
        <f t="shared" ref="D41:D46" si="8">E41/$E$37</f>
        <v>0.15440647439725749</v>
      </c>
      <c r="E41" s="329">
        <f>'Actuals FS'!D49</f>
        <v>98505</v>
      </c>
      <c r="F41" s="167">
        <f>E41*(1+F17)</f>
        <v>113674.76999999999</v>
      </c>
      <c r="G41" s="167">
        <f t="shared" ref="F41:J43" si="9">F41*(1+G17)</f>
        <v>130953.33503999998</v>
      </c>
      <c r="H41" s="167">
        <f t="shared" si="9"/>
        <v>150596.33529599998</v>
      </c>
      <c r="I41" s="167">
        <f t="shared" si="9"/>
        <v>172884.59291980797</v>
      </c>
      <c r="J41" s="167">
        <f t="shared" si="9"/>
        <v>198125.74348609991</v>
      </c>
    </row>
    <row r="42" spans="3:15">
      <c r="C42" s="155" t="s">
        <v>650</v>
      </c>
      <c r="D42" s="328">
        <f t="shared" si="8"/>
        <v>0.13879261833440706</v>
      </c>
      <c r="E42" s="329">
        <f>'Actuals FS'!D50</f>
        <v>88544</v>
      </c>
      <c r="F42" s="167">
        <f t="shared" si="9"/>
        <v>75705.119999999995</v>
      </c>
      <c r="G42" s="167">
        <f t="shared" si="9"/>
        <v>64727.877599999993</v>
      </c>
      <c r="H42" s="167">
        <f t="shared" si="9"/>
        <v>55665.974735999989</v>
      </c>
      <c r="I42" s="167">
        <f t="shared" si="9"/>
        <v>48151.068146639991</v>
      </c>
      <c r="J42" s="167">
        <f t="shared" si="9"/>
        <v>41891.429287576793</v>
      </c>
      <c r="L42" s="376" t="s">
        <v>79</v>
      </c>
    </row>
    <row r="43" spans="3:15">
      <c r="C43" s="155" t="s">
        <v>652</v>
      </c>
      <c r="D43" s="328">
        <f t="shared" si="8"/>
        <v>6.8824172086293947E-2</v>
      </c>
      <c r="E43" s="329">
        <f>'Actuals FS'!D51</f>
        <v>43907</v>
      </c>
      <c r="F43" s="167">
        <f t="shared" si="9"/>
        <v>47726.909</v>
      </c>
      <c r="G43" s="167">
        <f t="shared" si="9"/>
        <v>51831.423174000003</v>
      </c>
      <c r="H43" s="167">
        <f t="shared" si="9"/>
        <v>56237.094143790004</v>
      </c>
      <c r="I43" s="167">
        <f t="shared" si="9"/>
        <v>60961.010051868368</v>
      </c>
      <c r="J43" s="167">
        <f t="shared" si="9"/>
        <v>66020.77388617344</v>
      </c>
      <c r="L43" s="376" t="s">
        <v>79</v>
      </c>
      <c r="N43" s="49"/>
    </row>
    <row r="44" spans="3:15">
      <c r="C44" s="155" t="s">
        <v>653</v>
      </c>
      <c r="D44" s="328">
        <f t="shared" si="8"/>
        <v>1.7805219457676748E-2</v>
      </c>
      <c r="E44" s="329">
        <f>'Actuals FS'!D52</f>
        <v>11359</v>
      </c>
      <c r="F44" s="167">
        <f>E44*(1+F19)</f>
        <v>12347.233</v>
      </c>
      <c r="G44" s="167">
        <f>F44*(1+G19)</f>
        <v>13409.095038000001</v>
      </c>
      <c r="H44" s="167">
        <f>G44*(1+H19)</f>
        <v>14548.868116230002</v>
      </c>
      <c r="I44" s="167">
        <f>H44*(1+I19)</f>
        <v>15770.973037993323</v>
      </c>
      <c r="J44" s="167">
        <f>I44*(1+J19)</f>
        <v>17079.963800146768</v>
      </c>
    </row>
    <row r="45" spans="3:15">
      <c r="C45" s="155" t="s">
        <v>654</v>
      </c>
      <c r="D45" s="591">
        <f t="shared" si="8"/>
        <v>1.1960016239288104E-3</v>
      </c>
      <c r="E45" s="329">
        <f>'Actuals FS'!D53</f>
        <v>763</v>
      </c>
      <c r="F45" s="167">
        <f>$D$45*F37</f>
        <v>816.41</v>
      </c>
      <c r="G45" s="167">
        <f t="shared" ref="G45:J45" si="10">$D$45*G37</f>
        <v>889.88690000000008</v>
      </c>
      <c r="H45" s="167">
        <f t="shared" si="10"/>
        <v>969.97672100000023</v>
      </c>
      <c r="I45" s="167">
        <f t="shared" si="10"/>
        <v>1066.9743931000005</v>
      </c>
      <c r="J45" s="167">
        <f t="shared" si="10"/>
        <v>1173.6718324100007</v>
      </c>
      <c r="O45" s="27"/>
    </row>
    <row r="46" spans="3:15">
      <c r="C46" s="155" t="s">
        <v>355</v>
      </c>
      <c r="D46" s="588">
        <f t="shared" si="8"/>
        <v>0.89248055125799619</v>
      </c>
      <c r="E46" s="329">
        <f>'Actuals FS'!D54</f>
        <v>569366</v>
      </c>
      <c r="F46" s="329">
        <f>SUM(F41:F45)+F39</f>
        <v>584752.34570000006</v>
      </c>
      <c r="G46" s="329">
        <f t="shared" ref="G46:I46" si="11">SUM(G41:G45)+G39</f>
        <v>630117.15069349995</v>
      </c>
      <c r="H46" s="329">
        <f t="shared" si="11"/>
        <v>683526.36103952001</v>
      </c>
      <c r="I46" s="329">
        <f t="shared" si="11"/>
        <v>749354.13101085136</v>
      </c>
      <c r="J46" s="329">
        <f>SUM(J41:J45)+J39</f>
        <v>824769.69415551354</v>
      </c>
    </row>
    <row r="47" spans="3:15">
      <c r="C47" s="177" t="s">
        <v>356</v>
      </c>
      <c r="D47" s="326">
        <f>E47/$E$37</f>
        <v>0.1075194487420038</v>
      </c>
      <c r="E47" s="335">
        <f>'Actuals FS'!D56</f>
        <v>68593</v>
      </c>
      <c r="F47" s="335">
        <f>F39-F41-F42-F43-F44-F45</f>
        <v>84211.461700000043</v>
      </c>
      <c r="G47" s="335">
        <f t="shared" ref="G47:J47" si="12">G39-G41-G42-G43-G44-G45</f>
        <v>106493.91518950004</v>
      </c>
      <c r="H47" s="335">
        <f t="shared" si="12"/>
        <v>127489.86301348014</v>
      </c>
      <c r="I47" s="335">
        <f t="shared" si="12"/>
        <v>151684.89391203198</v>
      </c>
      <c r="J47" s="335">
        <f t="shared" si="12"/>
        <v>176186.52957069973</v>
      </c>
    </row>
    <row r="48" spans="3:15">
      <c r="C48" s="155" t="s">
        <v>656</v>
      </c>
      <c r="D48" s="328"/>
      <c r="E48" s="329"/>
      <c r="F48" s="167"/>
      <c r="G48" s="167"/>
      <c r="H48" s="167"/>
      <c r="I48" s="167"/>
      <c r="J48" s="167"/>
    </row>
    <row r="49" spans="3:20">
      <c r="C49" s="175" t="s">
        <v>657</v>
      </c>
      <c r="D49" s="328">
        <f t="shared" ref="D49:D58" si="13">E49/$E$37</f>
        <v>7.331192129901765E-3</v>
      </c>
      <c r="E49" s="333">
        <f>'Actuals FS'!D57</f>
        <v>4677</v>
      </c>
      <c r="F49" s="176">
        <f>$E$49*(1+F20)</f>
        <v>4715.4025438625367</v>
      </c>
      <c r="G49" s="176">
        <f>$E$49*(1+G20)</f>
        <v>4720.0108491260407</v>
      </c>
      <c r="H49" s="176">
        <f>$E$49*(1+H20)</f>
        <v>4725.1721510211664</v>
      </c>
      <c r="I49" s="176">
        <f>$E$49*(1+I20)</f>
        <v>4730.952809143706</v>
      </c>
      <c r="J49" s="176">
        <f>$E$49*(1+J20)</f>
        <v>4737.4271462409506</v>
      </c>
    </row>
    <row r="50" spans="3:20">
      <c r="C50" s="175" t="s">
        <v>658</v>
      </c>
      <c r="D50" s="328">
        <f t="shared" si="13"/>
        <v>-3.7714022374478609E-3</v>
      </c>
      <c r="E50" s="333">
        <f>'Actuals FS'!D58</f>
        <v>-2406</v>
      </c>
      <c r="F50" s="176">
        <f>$E$50*(1+F21)</f>
        <v>-2045.1</v>
      </c>
      <c r="G50" s="176">
        <f>$E$50*(1+G21)</f>
        <v>-2021.04</v>
      </c>
      <c r="H50" s="176">
        <f>$E$50*(1+H21)</f>
        <v>-1996.9799999999998</v>
      </c>
      <c r="I50" s="176">
        <f>$E$50*(1+I21)</f>
        <v>-1996.9799999999998</v>
      </c>
      <c r="J50" s="176">
        <f>$E$50*(1+J21)</f>
        <v>-1996.9799999999998</v>
      </c>
    </row>
    <row r="51" spans="3:20" ht="15">
      <c r="C51" s="590" t="s">
        <v>659</v>
      </c>
      <c r="D51" s="588">
        <f t="shared" si="13"/>
        <v>-3.5268724165659548E-3</v>
      </c>
      <c r="E51" s="592">
        <f>'Actuals FS'!D59</f>
        <v>-2250</v>
      </c>
      <c r="F51" s="589">
        <f>$E$51*(1+F22)</f>
        <v>-2252.7179136903783</v>
      </c>
      <c r="G51" s="589">
        <f>$E$51*(1+G22)</f>
        <v>-2252.745092827282</v>
      </c>
      <c r="H51" s="589">
        <f>$E$51*(1+H22)</f>
        <v>-2252.772543755555</v>
      </c>
      <c r="I51" s="589">
        <f>$E$51*(1+I22)</f>
        <v>-2252.8002691931101</v>
      </c>
      <c r="J51" s="589">
        <f>$E$51*(1+J22)</f>
        <v>-2252.8282718850414</v>
      </c>
      <c r="L51" s="376" t="s">
        <v>568</v>
      </c>
    </row>
    <row r="52" spans="3:20">
      <c r="C52" s="155" t="s">
        <v>655</v>
      </c>
      <c r="D52" s="328">
        <f t="shared" si="13"/>
        <v>0.10755236621789174</v>
      </c>
      <c r="E52" s="329">
        <f>'Actuals FS'!D61</f>
        <v>68614</v>
      </c>
      <c r="F52" s="329">
        <f>SUM(F47:F51)</f>
        <v>84629.046330172205</v>
      </c>
      <c r="G52" s="329">
        <f t="shared" ref="G52:J52" si="14">SUM(G47:G51)</f>
        <v>106940.1409457988</v>
      </c>
      <c r="H52" s="329">
        <f t="shared" si="14"/>
        <v>127965.28262074577</v>
      </c>
      <c r="I52" s="329">
        <f t="shared" si="14"/>
        <v>152166.06645198257</v>
      </c>
      <c r="J52" s="329">
        <f t="shared" si="14"/>
        <v>176674.14844505562</v>
      </c>
      <c r="L52" s="376" t="s">
        <v>79</v>
      </c>
    </row>
    <row r="53" spans="3:20">
      <c r="C53" s="175" t="s">
        <v>661</v>
      </c>
      <c r="D53" s="588">
        <f t="shared" si="13"/>
        <v>-1.4522876861992698E-2</v>
      </c>
      <c r="E53" s="329">
        <f>'Actuals FS'!D62</f>
        <v>-9265</v>
      </c>
      <c r="F53" s="176">
        <f>-F52*F23</f>
        <v>-17772.099729336162</v>
      </c>
      <c r="G53" s="176">
        <f t="shared" ref="G53:J53" si="15">-G52*G23</f>
        <v>-22457.429598617749</v>
      </c>
      <c r="H53" s="176">
        <f t="shared" si="15"/>
        <v>-26872.70935035661</v>
      </c>
      <c r="I53" s="176">
        <f t="shared" si="15"/>
        <v>-31954.873954916337</v>
      </c>
      <c r="J53" s="176">
        <f t="shared" si="15"/>
        <v>-37101.571173461678</v>
      </c>
      <c r="L53" s="376" t="s">
        <v>474</v>
      </c>
    </row>
    <row r="54" spans="3:20">
      <c r="C54" s="177" t="s">
        <v>375</v>
      </c>
      <c r="D54" s="326">
        <f t="shared" si="13"/>
        <v>9.3029489355899053E-2</v>
      </c>
      <c r="E54" s="335">
        <f>E52+E53</f>
        <v>59349</v>
      </c>
      <c r="F54" s="335">
        <f>F52+F53</f>
        <v>66856.946600836047</v>
      </c>
      <c r="G54" s="335">
        <f t="shared" ref="G54:J54" si="16">G52+G53</f>
        <v>84482.711347181059</v>
      </c>
      <c r="H54" s="335">
        <f t="shared" si="16"/>
        <v>101092.57327038916</v>
      </c>
      <c r="I54" s="335">
        <f t="shared" si="16"/>
        <v>120211.19249706622</v>
      </c>
      <c r="J54" s="335">
        <f t="shared" si="16"/>
        <v>139572.57727159394</v>
      </c>
    </row>
    <row r="55" spans="3:20">
      <c r="C55" s="155" t="s">
        <v>662</v>
      </c>
      <c r="D55" s="588">
        <f t="shared" si="13"/>
        <v>-1.5831738403251621E-4</v>
      </c>
      <c r="E55" s="329">
        <f>'Actuals FS'!D63</f>
        <v>-101</v>
      </c>
      <c r="F55" s="167">
        <f>$D$55*F37</f>
        <v>-108.07000000000001</v>
      </c>
      <c r="G55" s="167">
        <f t="shared" ref="G55:J55" si="17">$D$55*G37</f>
        <v>-117.79630000000002</v>
      </c>
      <c r="H55" s="167">
        <f t="shared" si="17"/>
        <v>-128.39796700000005</v>
      </c>
      <c r="I55" s="167">
        <f t="shared" si="17"/>
        <v>-141.23776370000007</v>
      </c>
      <c r="J55" s="167">
        <f t="shared" si="17"/>
        <v>-155.3615400700001</v>
      </c>
      <c r="L55" s="376" t="s">
        <v>568</v>
      </c>
    </row>
    <row r="56" spans="3:20">
      <c r="C56" s="177" t="s">
        <v>162</v>
      </c>
      <c r="D56" s="326">
        <f t="shared" si="13"/>
        <v>9.2871171971866534E-2</v>
      </c>
      <c r="E56" s="335">
        <f>'Actuals FS'!D64</f>
        <v>59248</v>
      </c>
      <c r="F56" s="178">
        <f>SUM(F54:F55)</f>
        <v>66748.87660083604</v>
      </c>
      <c r="G56" s="178">
        <f t="shared" ref="G56:J56" si="18">SUM(G54:G55)</f>
        <v>84364.915047181057</v>
      </c>
      <c r="H56" s="178">
        <f t="shared" si="18"/>
        <v>100964.17530338916</v>
      </c>
      <c r="I56" s="178">
        <f t="shared" si="18"/>
        <v>120069.95473336622</v>
      </c>
      <c r="J56" s="178">
        <f t="shared" si="18"/>
        <v>139417.21573152393</v>
      </c>
    </row>
    <row r="57" spans="3:20">
      <c r="C57" s="25" t="s">
        <v>47</v>
      </c>
      <c r="D57" s="328">
        <f>E57/$E$37</f>
        <v>1.6416415474975663E-2</v>
      </c>
      <c r="E57" s="586">
        <v>10473</v>
      </c>
      <c r="F57" s="167">
        <f>E57*(1+F24)</f>
        <v>10644.929119269422</v>
      </c>
      <c r="G57" s="167">
        <f>F57*(1+G24)</f>
        <v>10819.680698393016</v>
      </c>
      <c r="H57" s="167">
        <f>G57*(1+H24)</f>
        <v>10997.301072044413</v>
      </c>
      <c r="I57" s="167">
        <f>H57*(1+I24)</f>
        <v>11177.83733554649</v>
      </c>
      <c r="J57" s="167">
        <f>I57*(1+J24)</f>
        <v>11361.337357358518</v>
      </c>
      <c r="L57" s="376" t="s">
        <v>732</v>
      </c>
    </row>
    <row r="58" spans="3:20">
      <c r="C58" s="25" t="s">
        <v>48</v>
      </c>
      <c r="D58" s="328">
        <f t="shared" si="13"/>
        <v>1.6805155190223822E-2</v>
      </c>
      <c r="E58" s="586">
        <v>10721</v>
      </c>
      <c r="F58" s="167">
        <f>E58*(1+F24)</f>
        <v>10897.000390307216</v>
      </c>
      <c r="G58" s="167">
        <f>F58*(1+G24)</f>
        <v>11075.890076145472</v>
      </c>
      <c r="H58" s="167">
        <f>G58*(1+H24)</f>
        <v>11257.716489390636</v>
      </c>
      <c r="I58" s="167">
        <f>H58*(1+I24)</f>
        <v>11442.527840579958</v>
      </c>
      <c r="J58" s="167">
        <f>I58*(1+J24)</f>
        <v>11630.373131694896</v>
      </c>
    </row>
    <row r="59" spans="3:20">
      <c r="C59" s="156"/>
      <c r="D59" s="155"/>
      <c r="E59" s="155"/>
      <c r="F59" s="157"/>
      <c r="G59" s="143"/>
      <c r="H59" s="143"/>
      <c r="I59" s="143"/>
      <c r="J59" s="143"/>
      <c r="M59" s="49"/>
      <c r="N59" s="49"/>
      <c r="O59" s="49"/>
      <c r="P59" s="49"/>
      <c r="Q59" s="49"/>
      <c r="R59" s="49"/>
      <c r="S59" s="49"/>
      <c r="T59" s="49"/>
    </row>
    <row r="60" spans="3:20">
      <c r="C60" s="505" t="s">
        <v>377</v>
      </c>
      <c r="D60" s="506" t="s">
        <v>351</v>
      </c>
      <c r="E60" s="507" t="s">
        <v>638</v>
      </c>
      <c r="F60" s="508">
        <v>2025</v>
      </c>
      <c r="G60" s="508">
        <v>2026</v>
      </c>
      <c r="H60" s="508">
        <v>2027</v>
      </c>
      <c r="I60" s="508">
        <v>2028</v>
      </c>
      <c r="J60" s="508">
        <v>2029</v>
      </c>
    </row>
    <row r="61" spans="3:20">
      <c r="C61" s="158" t="s">
        <v>357</v>
      </c>
      <c r="D61" s="100"/>
      <c r="E61" s="100"/>
      <c r="F61" s="155"/>
      <c r="G61" s="155"/>
      <c r="H61" s="155"/>
      <c r="I61" s="155"/>
      <c r="J61" s="155"/>
    </row>
    <row r="62" spans="3:20">
      <c r="C62" s="159" t="s">
        <v>358</v>
      </c>
      <c r="D62" s="326">
        <f>E62/$E$37</f>
        <v>0.12348599204651083</v>
      </c>
      <c r="E62" s="336">
        <f>'Actuals FS'!D12</f>
        <v>78779</v>
      </c>
      <c r="F62" s="171">
        <f>IF((SUM(F63:F65)+F72)&gt;(F85+F93), E62, (F85+F93)-(SUM(F63:F65)+F72))</f>
        <v>152610.19612488011</v>
      </c>
      <c r="G62" s="171">
        <f>IF((SUM(G63:G65)+G72)&gt;(G85+G93), F62, (G85+G93)-(SUM(G63:G65)+G72))</f>
        <v>248470.25748293207</v>
      </c>
      <c r="H62" s="171">
        <f>IF((SUM(H63:H65)+H72)&gt;(H85+H93), G62, (H85+H93)-(SUM(H63:H65)+H72))</f>
        <v>357625.50599569315</v>
      </c>
      <c r="I62" s="171">
        <f t="shared" ref="I62:J62" si="19">IF((SUM(I63:I65)+I72)&gt;(I85+I93), H62, (I85+I93)-(SUM(I63:I65)+I72))</f>
        <v>485458.26098544791</v>
      </c>
      <c r="J62" s="171">
        <f t="shared" si="19"/>
        <v>629419.84717720293</v>
      </c>
      <c r="L62" s="376" t="s">
        <v>387</v>
      </c>
    </row>
    <row r="63" spans="3:20">
      <c r="C63" s="1" t="s">
        <v>578</v>
      </c>
      <c r="D63" s="328">
        <f>E63/$E$37</f>
        <v>3.5148026754070402E-2</v>
      </c>
      <c r="E63" s="337">
        <f>'Actuals FS'!D13</f>
        <v>22423</v>
      </c>
      <c r="F63" s="167">
        <f>E63</f>
        <v>22423</v>
      </c>
      <c r="G63" s="167">
        <f t="shared" ref="G63:J63" si="20">F63</f>
        <v>22423</v>
      </c>
      <c r="H63" s="167">
        <f t="shared" si="20"/>
        <v>22423</v>
      </c>
      <c r="I63" s="167">
        <f t="shared" si="20"/>
        <v>22423</v>
      </c>
      <c r="J63" s="167">
        <f t="shared" si="20"/>
        <v>22423</v>
      </c>
      <c r="L63" s="376" t="s">
        <v>79</v>
      </c>
    </row>
    <row r="64" spans="3:20">
      <c r="C64" s="1" t="s">
        <v>31</v>
      </c>
      <c r="D64" s="328">
        <f>E64/$E$37</f>
        <v>5.3630405715727816E-2</v>
      </c>
      <c r="E64" s="337">
        <f>'Actuals FS'!D14</f>
        <v>34214</v>
      </c>
      <c r="F64" s="167">
        <f>(F29/365)*-F38</f>
        <v>36322.234028021434</v>
      </c>
      <c r="G64" s="167">
        <f>(G29/365)*-G38</f>
        <v>39007.070298276041</v>
      </c>
      <c r="H64" s="167">
        <f>(H29/365)*-H38</f>
        <v>41886.255536628989</v>
      </c>
      <c r="I64" s="167">
        <f>(I29/365)*-I38</f>
        <v>45386.061617992033</v>
      </c>
      <c r="J64" s="167">
        <f>(J29/365)*-J38</f>
        <v>49173.276315226707</v>
      </c>
      <c r="L64" s="376" t="s">
        <v>79</v>
      </c>
    </row>
    <row r="65" spans="1:14">
      <c r="C65" s="1" t="s">
        <v>579</v>
      </c>
      <c r="D65" s="328">
        <f>E65/$E$37</f>
        <v>8.6919378831555011E-2</v>
      </c>
      <c r="E65" s="337">
        <f>'Actuals FS'!D15</f>
        <v>55451</v>
      </c>
      <c r="F65" s="167">
        <f>E65</f>
        <v>55451</v>
      </c>
      <c r="G65" s="167">
        <f>F65</f>
        <v>55451</v>
      </c>
      <c r="H65" s="167">
        <f>G65</f>
        <v>55451</v>
      </c>
      <c r="I65" s="167">
        <f>H65</f>
        <v>55451</v>
      </c>
      <c r="J65" s="167">
        <f>I65</f>
        <v>55451</v>
      </c>
      <c r="L65" s="376" t="s">
        <v>569</v>
      </c>
    </row>
    <row r="66" spans="1:14">
      <c r="C66" s="179" t="s">
        <v>359</v>
      </c>
      <c r="D66" s="330">
        <f>E66/$E$37</f>
        <v>0.29918380334786404</v>
      </c>
      <c r="E66" s="338">
        <f t="shared" ref="E66:J66" si="21">SUM(E62:E65)</f>
        <v>190867</v>
      </c>
      <c r="F66" s="174">
        <f>SUM(F62:F65)</f>
        <v>266806.43015290156</v>
      </c>
      <c r="G66" s="174">
        <f t="shared" si="21"/>
        <v>365351.32778120809</v>
      </c>
      <c r="H66" s="174">
        <f t="shared" si="21"/>
        <v>477385.76153232215</v>
      </c>
      <c r="I66" s="174">
        <f t="shared" si="21"/>
        <v>608718.32260343991</v>
      </c>
      <c r="J66" s="174">
        <f t="shared" si="21"/>
        <v>756467.12349242961</v>
      </c>
    </row>
    <row r="67" spans="1:14">
      <c r="C67" s="158" t="s">
        <v>360</v>
      </c>
      <c r="D67" s="339"/>
      <c r="E67" s="340"/>
      <c r="F67" s="168"/>
      <c r="G67" s="168"/>
      <c r="H67" s="168"/>
      <c r="I67" s="168"/>
      <c r="J67" s="168"/>
    </row>
    <row r="68" spans="1:14">
      <c r="C68" s="1" t="s">
        <v>580</v>
      </c>
      <c r="D68" s="328">
        <f t="shared" ref="D68:D73" si="22">E68/$E$37</f>
        <v>0.39605209739183866</v>
      </c>
      <c r="E68" s="337">
        <f>'Actuals FS'!D17</f>
        <v>252665</v>
      </c>
      <c r="F68" s="167">
        <f>E68+ABS(F114)-ABS(F102)</f>
        <v>283529.94396260224</v>
      </c>
      <c r="G68" s="167">
        <f t="shared" ref="G68:J68" si="23">F68+ABS(F114)-ABS(F102)</f>
        <v>314394.88792520447</v>
      </c>
      <c r="H68" s="167">
        <f t="shared" si="23"/>
        <v>347973.17962526873</v>
      </c>
      <c r="I68" s="167">
        <f t="shared" si="23"/>
        <v>384854.48060351296</v>
      </c>
      <c r="J68" s="167">
        <f t="shared" si="23"/>
        <v>426729.08882262325</v>
      </c>
      <c r="L68" s="376" t="s">
        <v>385</v>
      </c>
    </row>
    <row r="69" spans="1:14">
      <c r="C69" s="1" t="s">
        <v>581</v>
      </c>
      <c r="D69" s="328">
        <f t="shared" si="22"/>
        <v>0.11935093007544371</v>
      </c>
      <c r="E69" s="337">
        <f>'Actuals FS'!D18</f>
        <v>76141</v>
      </c>
      <c r="F69" s="167">
        <f>$D$69*F37</f>
        <v>81470.87</v>
      </c>
      <c r="G69" s="167">
        <f t="shared" ref="G69:J69" si="24">$D$69*G37</f>
        <v>88803.248300000007</v>
      </c>
      <c r="H69" s="167">
        <f t="shared" si="24"/>
        <v>96795.540647000016</v>
      </c>
      <c r="I69" s="167">
        <f t="shared" si="24"/>
        <v>106475.09471170003</v>
      </c>
      <c r="J69" s="167">
        <f t="shared" si="24"/>
        <v>117122.60418287005</v>
      </c>
      <c r="L69" s="376" t="s">
        <v>568</v>
      </c>
    </row>
    <row r="70" spans="1:14">
      <c r="C70" s="1" t="s">
        <v>33</v>
      </c>
      <c r="D70" s="328">
        <f t="shared" si="22"/>
        <v>3.6168468506596822E-2</v>
      </c>
      <c r="E70" s="337">
        <f>'Actuals FS'!D19</f>
        <v>23074</v>
      </c>
      <c r="F70" s="167">
        <f>E70</f>
        <v>23074</v>
      </c>
      <c r="G70" s="167">
        <f t="shared" ref="G70:J70" si="25">F70</f>
        <v>23074</v>
      </c>
      <c r="H70" s="167">
        <f t="shared" si="25"/>
        <v>23074</v>
      </c>
      <c r="I70" s="167">
        <f t="shared" si="25"/>
        <v>23074</v>
      </c>
      <c r="J70" s="167">
        <f t="shared" si="25"/>
        <v>23074</v>
      </c>
      <c r="L70" s="376" t="s">
        <v>386</v>
      </c>
    </row>
    <row r="71" spans="1:14">
      <c r="C71" s="1" t="s">
        <v>34</v>
      </c>
      <c r="D71" s="328">
        <f t="shared" si="22"/>
        <v>0.12876532817939712</v>
      </c>
      <c r="E71" s="337">
        <f>'Actuals FS'!D20</f>
        <v>82147</v>
      </c>
      <c r="F71" s="167">
        <f>E71</f>
        <v>82147</v>
      </c>
      <c r="G71" s="167">
        <f>F71</f>
        <v>82147</v>
      </c>
      <c r="H71" s="167">
        <f>G71</f>
        <v>82147</v>
      </c>
      <c r="I71" s="167">
        <f>H71</f>
        <v>82147</v>
      </c>
      <c r="J71" s="167">
        <f>I71</f>
        <v>82147</v>
      </c>
      <c r="L71" s="376" t="s">
        <v>569</v>
      </c>
    </row>
    <row r="72" spans="1:14" ht="15">
      <c r="A72"/>
      <c r="B72"/>
      <c r="C72" s="181" t="s">
        <v>361</v>
      </c>
      <c r="D72" s="341">
        <f t="shared" si="22"/>
        <v>0.68033682415327634</v>
      </c>
      <c r="E72" s="342">
        <f>SUM(E68:E71)</f>
        <v>434027</v>
      </c>
      <c r="F72" s="182">
        <f t="shared" ref="F72:J72" si="26">SUM(F68:F71)</f>
        <v>470221.81396260223</v>
      </c>
      <c r="G72" s="182">
        <f t="shared" si="26"/>
        <v>508419.13622520445</v>
      </c>
      <c r="H72" s="182">
        <f t="shared" si="26"/>
        <v>549989.72027226875</v>
      </c>
      <c r="I72" s="182">
        <f t="shared" si="26"/>
        <v>596550.57531521306</v>
      </c>
      <c r="J72" s="182">
        <f t="shared" si="26"/>
        <v>649072.69300549326</v>
      </c>
    </row>
    <row r="73" spans="1:14" ht="15">
      <c r="A73"/>
      <c r="B73"/>
      <c r="C73" s="180" t="s">
        <v>362</v>
      </c>
      <c r="D73" s="334">
        <f t="shared" si="22"/>
        <v>0.97952062750114033</v>
      </c>
      <c r="E73" s="343">
        <f t="shared" ref="E73:J73" si="27">E72+E66</f>
        <v>624894</v>
      </c>
      <c r="F73" s="178">
        <f>F72+F66</f>
        <v>737028.24411550374</v>
      </c>
      <c r="G73" s="178">
        <f>G72+G66</f>
        <v>873770.46400641254</v>
      </c>
      <c r="H73" s="178">
        <f t="shared" si="27"/>
        <v>1027375.4818045909</v>
      </c>
      <c r="I73" s="178">
        <f t="shared" si="27"/>
        <v>1205268.897918653</v>
      </c>
      <c r="J73" s="178">
        <f t="shared" si="27"/>
        <v>1405539.8164979229</v>
      </c>
      <c r="M73"/>
      <c r="N73"/>
    </row>
    <row r="74" spans="1:14" ht="15">
      <c r="A74"/>
      <c r="B74"/>
      <c r="C74" s="158" t="s">
        <v>363</v>
      </c>
      <c r="D74" s="339"/>
      <c r="E74" s="340"/>
      <c r="F74" s="167"/>
      <c r="G74" s="167"/>
      <c r="H74" s="167"/>
      <c r="I74" s="167"/>
      <c r="J74" s="167"/>
      <c r="M74"/>
      <c r="N74"/>
    </row>
    <row r="75" spans="1:14" ht="15">
      <c r="A75"/>
      <c r="B75"/>
      <c r="C75" s="1" t="s">
        <v>36</v>
      </c>
      <c r="D75" s="328">
        <f>E75/$E$37</f>
        <v>0.14791389415307254</v>
      </c>
      <c r="E75" s="337">
        <f>'Actuals FS'!D24</f>
        <v>94363</v>
      </c>
      <c r="F75" s="167">
        <f>-(F38/365)*F30</f>
        <v>100177.55800509111</v>
      </c>
      <c r="G75" s="167">
        <f>-(G38/365)*G30</f>
        <v>107582.39827428019</v>
      </c>
      <c r="H75" s="167">
        <f>-(H38/365)*H30</f>
        <v>115523.25747363424</v>
      </c>
      <c r="I75" s="167">
        <f>-(I38/365)*I30</f>
        <v>125175.80325184375</v>
      </c>
      <c r="J75" s="167">
        <f>-(J38/365)*J30</f>
        <v>135621.02861208096</v>
      </c>
      <c r="L75" s="376" t="s">
        <v>79</v>
      </c>
      <c r="M75"/>
      <c r="N75"/>
    </row>
    <row r="76" spans="1:14" ht="15">
      <c r="A76"/>
      <c r="B76"/>
      <c r="C76" s="1" t="s">
        <v>582</v>
      </c>
      <c r="D76" s="328">
        <f>E76/$E$37</f>
        <v>0.10496756061126185</v>
      </c>
      <c r="E76" s="337">
        <f>'Actuals FS'!D25</f>
        <v>66965</v>
      </c>
      <c r="F76" s="167">
        <f>$D$76*F37</f>
        <v>71652.55</v>
      </c>
      <c r="G76" s="167">
        <f t="shared" ref="G76:J76" si="28">$D$76*G37</f>
        <v>78101.279500000004</v>
      </c>
      <c r="H76" s="167">
        <f t="shared" si="28"/>
        <v>85130.394655000026</v>
      </c>
      <c r="I76" s="167">
        <f t="shared" si="28"/>
        <v>93643.434120500038</v>
      </c>
      <c r="J76" s="167">
        <f t="shared" si="28"/>
        <v>103007.77753255006</v>
      </c>
      <c r="L76" s="376" t="s">
        <v>569</v>
      </c>
      <c r="M76"/>
      <c r="N76"/>
    </row>
    <row r="77" spans="1:14" ht="15">
      <c r="A77"/>
      <c r="B77"/>
      <c r="C77" s="1" t="s">
        <v>583</v>
      </c>
      <c r="D77" s="326">
        <f>E77/$E$37</f>
        <v>2.837643171426377E-2</v>
      </c>
      <c r="E77" s="337">
        <f>'Actuals FS'!D26</f>
        <v>18103</v>
      </c>
      <c r="F77" s="171">
        <f>$D$77*F37</f>
        <v>19370.21</v>
      </c>
      <c r="G77" s="171">
        <f t="shared" ref="G77:J77" si="29">$D$77*G37</f>
        <v>21113.528900000005</v>
      </c>
      <c r="H77" s="171">
        <f t="shared" si="29"/>
        <v>23013.746501000005</v>
      </c>
      <c r="I77" s="171">
        <f t="shared" si="29"/>
        <v>25315.121151100011</v>
      </c>
      <c r="J77" s="171">
        <f t="shared" si="29"/>
        <v>27846.633266210018</v>
      </c>
      <c r="L77" s="382" t="s">
        <v>392</v>
      </c>
      <c r="M77"/>
      <c r="N77"/>
    </row>
    <row r="78" spans="1:14" ht="15">
      <c r="A78"/>
      <c r="B78"/>
      <c r="C78" s="179" t="s">
        <v>364</v>
      </c>
      <c r="D78" s="330">
        <f>E78/$E$37</f>
        <v>0.28125788647859817</v>
      </c>
      <c r="E78" s="338">
        <f t="shared" ref="E78:J78" si="30">SUM(E75:E77)</f>
        <v>179431</v>
      </c>
      <c r="F78" s="174">
        <f t="shared" si="30"/>
        <v>191200.3180050911</v>
      </c>
      <c r="G78" s="174">
        <f t="shared" si="30"/>
        <v>206797.2066742802</v>
      </c>
      <c r="H78" s="174">
        <f t="shared" si="30"/>
        <v>223667.39862963429</v>
      </c>
      <c r="I78" s="174">
        <f t="shared" si="30"/>
        <v>244134.35852344378</v>
      </c>
      <c r="J78" s="174">
        <f t="shared" si="30"/>
        <v>266475.43941084103</v>
      </c>
      <c r="M78"/>
      <c r="N78"/>
    </row>
    <row r="79" spans="1:14" ht="15">
      <c r="A79"/>
      <c r="B79"/>
      <c r="C79" s="158" t="s">
        <v>365</v>
      </c>
      <c r="D79" s="328"/>
      <c r="E79" s="344"/>
      <c r="F79" s="167"/>
      <c r="G79" s="167"/>
      <c r="H79" s="167"/>
      <c r="I79" s="167"/>
      <c r="J79" s="167"/>
      <c r="M79"/>
      <c r="N79"/>
    </row>
    <row r="80" spans="1:14" ht="15">
      <c r="A80"/>
      <c r="B80"/>
      <c r="C80" s="1" t="s">
        <v>584</v>
      </c>
      <c r="D80" s="328">
        <f t="shared" ref="D80:D81" si="31">E80/$E$37</f>
        <v>0.12269910762290366</v>
      </c>
      <c r="E80" s="337">
        <f>'Actuals FS'!D28</f>
        <v>78277</v>
      </c>
      <c r="F80" s="167">
        <f>$D$80*F37</f>
        <v>83756.39</v>
      </c>
      <c r="G80" s="167">
        <f t="shared" ref="G80:J80" si="32">$D$80*G37</f>
        <v>91294.465100000001</v>
      </c>
      <c r="H80" s="167">
        <f t="shared" si="32"/>
        <v>99510.966959000027</v>
      </c>
      <c r="I80" s="167">
        <f t="shared" si="32"/>
        <v>109462.06365490003</v>
      </c>
      <c r="J80" s="167">
        <f t="shared" si="32"/>
        <v>120408.27002039006</v>
      </c>
      <c r="M80"/>
      <c r="N80"/>
    </row>
    <row r="81" spans="1:14" ht="15">
      <c r="A81"/>
      <c r="B81"/>
      <c r="C81" s="1" t="s">
        <v>64</v>
      </c>
      <c r="D81" s="328">
        <f t="shared" si="31"/>
        <v>8.2486492078644558E-2</v>
      </c>
      <c r="E81" s="337">
        <f>'Actuals FS'!D29</f>
        <v>52623</v>
      </c>
      <c r="F81" s="167">
        <f>(E81-F122)-F124</f>
        <v>57214</v>
      </c>
      <c r="G81" s="167">
        <f t="shared" ref="G81:J81" si="33">(F81-F122)-F124</f>
        <v>61805</v>
      </c>
      <c r="H81" s="167">
        <f t="shared" si="33"/>
        <v>64100.5</v>
      </c>
      <c r="I81" s="167">
        <f t="shared" si="33"/>
        <v>65248.25</v>
      </c>
      <c r="J81" s="167">
        <f t="shared" si="33"/>
        <v>65822.125</v>
      </c>
      <c r="M81"/>
      <c r="N81"/>
    </row>
    <row r="82" spans="1:14" ht="15">
      <c r="A82"/>
      <c r="B82"/>
      <c r="C82" s="1" t="s">
        <v>585</v>
      </c>
      <c r="D82" s="328">
        <f>E82/$E$37</f>
        <v>4.4819494669720156E-2</v>
      </c>
      <c r="E82" s="337">
        <f>'Actuals FS'!D30</f>
        <v>28593</v>
      </c>
      <c r="F82" s="167">
        <f>$D$82*F37</f>
        <v>30594.510000000002</v>
      </c>
      <c r="G82" s="167">
        <f>$D$82*G37</f>
        <v>33348.015900000006</v>
      </c>
      <c r="H82" s="167">
        <f>$D$82*H37</f>
        <v>36349.33733100001</v>
      </c>
      <c r="I82" s="167">
        <f>$D$82*I37</f>
        <v>39984.271064100016</v>
      </c>
      <c r="J82" s="167">
        <f>$D$82*J37</f>
        <v>43982.698170510026</v>
      </c>
      <c r="L82" s="376" t="s">
        <v>384</v>
      </c>
      <c r="M82"/>
      <c r="N82"/>
    </row>
    <row r="83" spans="1:14" ht="15">
      <c r="A83"/>
      <c r="B83"/>
      <c r="C83" s="1" t="s">
        <v>586</v>
      </c>
      <c r="D83" s="328">
        <f>E83/$E$37</f>
        <v>0</v>
      </c>
      <c r="E83" s="337">
        <f>'Actuals FS'!D31</f>
        <v>0</v>
      </c>
      <c r="F83" s="167">
        <f>E83</f>
        <v>0</v>
      </c>
      <c r="G83" s="167">
        <f>F83</f>
        <v>0</v>
      </c>
      <c r="H83" s="167">
        <f>G83</f>
        <v>0</v>
      </c>
      <c r="I83" s="167">
        <f>H83</f>
        <v>0</v>
      </c>
      <c r="J83" s="167">
        <f>I83</f>
        <v>0</v>
      </c>
      <c r="L83" s="376" t="s">
        <v>569</v>
      </c>
      <c r="M83"/>
      <c r="N83"/>
    </row>
    <row r="84" spans="1:14" ht="15">
      <c r="A84"/>
      <c r="B84"/>
      <c r="C84" s="179" t="s">
        <v>366</v>
      </c>
      <c r="D84" s="330">
        <f>E84/$E$37</f>
        <v>0.25000509437126839</v>
      </c>
      <c r="E84" s="338">
        <f>SUM(E80:E83)</f>
        <v>159493</v>
      </c>
      <c r="F84" s="174">
        <f>SUM(F80:F83)</f>
        <v>171564.90000000002</v>
      </c>
      <c r="G84" s="174">
        <f t="shared" ref="G84:J84" si="34">SUM(G80:G83)</f>
        <v>186447.481</v>
      </c>
      <c r="H84" s="174">
        <f t="shared" si="34"/>
        <v>199960.80429000006</v>
      </c>
      <c r="I84" s="174">
        <f t="shared" si="34"/>
        <v>214694.58471900003</v>
      </c>
      <c r="J84" s="174">
        <f t="shared" si="34"/>
        <v>230213.09319090008</v>
      </c>
      <c r="M84"/>
      <c r="N84"/>
    </row>
    <row r="85" spans="1:14" ht="15">
      <c r="A85"/>
      <c r="B85"/>
      <c r="C85" s="180" t="s">
        <v>367</v>
      </c>
      <c r="D85" s="334">
        <f>E85/$E$37</f>
        <v>0.53126298084986656</v>
      </c>
      <c r="E85" s="343">
        <f>E78+E84</f>
        <v>338924</v>
      </c>
      <c r="F85" s="178">
        <f>F78+F84</f>
        <v>362765.21800509113</v>
      </c>
      <c r="G85" s="178">
        <f t="shared" ref="G85:J85" si="35">G78+G84</f>
        <v>393244.6876742802</v>
      </c>
      <c r="H85" s="178">
        <f t="shared" si="35"/>
        <v>423628.20291963435</v>
      </c>
      <c r="I85" s="178">
        <f t="shared" si="35"/>
        <v>458828.94324244384</v>
      </c>
      <c r="J85" s="178">
        <f t="shared" si="35"/>
        <v>496688.53260174114</v>
      </c>
      <c r="M85"/>
      <c r="N85"/>
    </row>
    <row r="86" spans="1:14" ht="15">
      <c r="A86"/>
      <c r="B86"/>
      <c r="C86" s="158" t="s">
        <v>368</v>
      </c>
      <c r="D86" s="328"/>
      <c r="E86" s="329"/>
      <c r="F86" s="167"/>
      <c r="G86" s="167"/>
      <c r="H86" s="167"/>
      <c r="I86" s="167"/>
      <c r="J86" s="167"/>
      <c r="M86"/>
      <c r="N86"/>
    </row>
    <row r="87" spans="1:14" ht="15">
      <c r="A87"/>
      <c r="B87"/>
      <c r="C87" s="1" t="s">
        <v>590</v>
      </c>
      <c r="D87" s="328">
        <f>E87/$E$37</f>
        <v>0</v>
      </c>
      <c r="E87" s="337">
        <f>'Actuals FS'!D35</f>
        <v>0</v>
      </c>
      <c r="F87" s="167">
        <f>E87</f>
        <v>0</v>
      </c>
      <c r="G87" s="167">
        <f t="shared" ref="G87:J87" si="36">F87</f>
        <v>0</v>
      </c>
      <c r="H87" s="167">
        <f t="shared" si="36"/>
        <v>0</v>
      </c>
      <c r="I87" s="167">
        <f t="shared" si="36"/>
        <v>0</v>
      </c>
      <c r="J87" s="167">
        <f t="shared" si="36"/>
        <v>0</v>
      </c>
      <c r="M87"/>
      <c r="N87"/>
    </row>
    <row r="88" spans="1:14" ht="15">
      <c r="A88"/>
      <c r="B88"/>
      <c r="C88" s="1" t="s">
        <v>589</v>
      </c>
      <c r="D88" s="328">
        <f t="shared" ref="D88:D94" si="37">E88/$E$37</f>
        <v>1.739923725505871E-4</v>
      </c>
      <c r="E88" s="337">
        <f>'Actuals FS'!D36</f>
        <v>111</v>
      </c>
      <c r="F88" s="167">
        <f>E88*(1+2%)</f>
        <v>113.22</v>
      </c>
      <c r="G88" s="167">
        <f t="shared" ref="G88:J88" si="38">F88*(1+2%)</f>
        <v>115.48440000000001</v>
      </c>
      <c r="H88" s="167">
        <f t="shared" si="38"/>
        <v>117.79408800000002</v>
      </c>
      <c r="I88" s="167">
        <f t="shared" si="38"/>
        <v>120.14996976000002</v>
      </c>
      <c r="J88" s="167">
        <f t="shared" si="38"/>
        <v>122.55296915520002</v>
      </c>
      <c r="M88"/>
      <c r="N88"/>
    </row>
    <row r="89" spans="1:14" ht="15">
      <c r="A89"/>
      <c r="B89"/>
      <c r="C89" s="1" t="s">
        <v>39</v>
      </c>
      <c r="D89" s="328">
        <f t="shared" si="37"/>
        <v>-1.2284488501612173E-2</v>
      </c>
      <c r="E89" s="337">
        <f>'Actuals FS'!D37</f>
        <v>-7837</v>
      </c>
      <c r="F89" s="167">
        <f>E89</f>
        <v>-7837</v>
      </c>
      <c r="G89" s="167">
        <f>F89</f>
        <v>-7837</v>
      </c>
      <c r="H89" s="167">
        <f>G89</f>
        <v>-7837</v>
      </c>
      <c r="I89" s="167">
        <f>H89</f>
        <v>-7837</v>
      </c>
      <c r="J89" s="167">
        <f>I89</f>
        <v>-7837</v>
      </c>
      <c r="L89" s="376" t="s">
        <v>382</v>
      </c>
      <c r="M89"/>
      <c r="N89"/>
    </row>
    <row r="90" spans="1:14" ht="15">
      <c r="A90"/>
      <c r="B90"/>
      <c r="C90" s="1" t="s">
        <v>587</v>
      </c>
      <c r="D90" s="328">
        <f t="shared" si="37"/>
        <v>0.18945418122481225</v>
      </c>
      <c r="E90" s="337">
        <f>'Actuals FS'!D38</f>
        <v>120864</v>
      </c>
      <c r="F90" s="167">
        <f>E90+F56+F57+F58</f>
        <v>209154.8061104127</v>
      </c>
      <c r="G90" s="167">
        <f>F90+G56+G57+G58</f>
        <v>315415.29193213227</v>
      </c>
      <c r="H90" s="167">
        <f>G90+H56+H57+H58</f>
        <v>438634.48479695647</v>
      </c>
      <c r="I90" s="167">
        <f>H90+I56+I57+I58</f>
        <v>581324.80470644915</v>
      </c>
      <c r="J90" s="167">
        <f>I90+J56+J57+J58</f>
        <v>743733.73092702648</v>
      </c>
      <c r="L90" s="376" t="s">
        <v>383</v>
      </c>
      <c r="M90"/>
      <c r="N90"/>
    </row>
    <row r="91" spans="1:14" ht="15">
      <c r="A91"/>
      <c r="B91"/>
      <c r="C91" s="440" t="s">
        <v>40</v>
      </c>
      <c r="D91" s="328">
        <f t="shared" si="37"/>
        <v>-5.3294960961441099E-5</v>
      </c>
      <c r="E91" s="337">
        <f>'Actuals FS'!D39</f>
        <v>-34</v>
      </c>
      <c r="F91" s="167">
        <f>E91</f>
        <v>-34</v>
      </c>
      <c r="G91" s="167">
        <f t="shared" ref="G91:J92" si="39">F91</f>
        <v>-34</v>
      </c>
      <c r="H91" s="167">
        <f t="shared" si="39"/>
        <v>-34</v>
      </c>
      <c r="I91" s="167">
        <f t="shared" si="39"/>
        <v>-34</v>
      </c>
      <c r="J91" s="167">
        <f t="shared" si="39"/>
        <v>-34</v>
      </c>
      <c r="L91" s="376" t="s">
        <v>569</v>
      </c>
      <c r="M91"/>
      <c r="N91"/>
    </row>
    <row r="92" spans="1:14" ht="15">
      <c r="A92"/>
      <c r="B92"/>
      <c r="C92" s="440" t="s">
        <v>369</v>
      </c>
      <c r="D92" s="332">
        <f t="shared" si="37"/>
        <v>0.27096725651648462</v>
      </c>
      <c r="E92" s="337">
        <f>'Actuals FS'!D40</f>
        <v>172866</v>
      </c>
      <c r="F92" s="167">
        <f>E92</f>
        <v>172866</v>
      </c>
      <c r="G92" s="167">
        <f t="shared" si="39"/>
        <v>172866</v>
      </c>
      <c r="H92" s="167">
        <f t="shared" si="39"/>
        <v>172866</v>
      </c>
      <c r="I92" s="167">
        <f t="shared" si="39"/>
        <v>172866</v>
      </c>
      <c r="J92" s="167">
        <f t="shared" si="39"/>
        <v>172866</v>
      </c>
      <c r="L92" s="376" t="s">
        <v>569</v>
      </c>
      <c r="M92"/>
      <c r="N92"/>
    </row>
    <row r="93" spans="1:14" ht="15">
      <c r="A93"/>
      <c r="B93"/>
      <c r="C93" s="179" t="s">
        <v>370</v>
      </c>
      <c r="D93" s="330">
        <f t="shared" si="37"/>
        <v>0.44825764665127382</v>
      </c>
      <c r="E93" s="338">
        <f>SUM(E87:E92)</f>
        <v>285970</v>
      </c>
      <c r="F93" s="174">
        <f>SUM(F87:F92)</f>
        <v>374263.02611041267</v>
      </c>
      <c r="G93" s="174">
        <f t="shared" ref="G93:J93" si="40">SUM(G87:G92)</f>
        <v>480525.77633213229</v>
      </c>
      <c r="H93" s="174">
        <f t="shared" si="40"/>
        <v>603747.2788849565</v>
      </c>
      <c r="I93" s="174">
        <f t="shared" si="40"/>
        <v>746439.95467620913</v>
      </c>
      <c r="J93" s="174">
        <f t="shared" si="40"/>
        <v>908851.28389618173</v>
      </c>
      <c r="M93"/>
      <c r="N93"/>
    </row>
    <row r="94" spans="1:14" ht="15">
      <c r="A94"/>
      <c r="B94"/>
      <c r="C94" s="180" t="s">
        <v>371</v>
      </c>
      <c r="D94" s="334">
        <f t="shared" si="37"/>
        <v>0.97952062750114033</v>
      </c>
      <c r="E94" s="343">
        <f t="shared" ref="E94:J94" si="41">E93+E85</f>
        <v>624894</v>
      </c>
      <c r="F94" s="178">
        <f>F93+F85</f>
        <v>737028.24411550374</v>
      </c>
      <c r="G94" s="178">
        <f t="shared" si="41"/>
        <v>873770.46400641254</v>
      </c>
      <c r="H94" s="178">
        <f t="shared" si="41"/>
        <v>1027375.4818045909</v>
      </c>
      <c r="I94" s="178">
        <f t="shared" si="41"/>
        <v>1205268.897918653</v>
      </c>
      <c r="J94" s="178">
        <f t="shared" si="41"/>
        <v>1405539.8164979229</v>
      </c>
    </row>
    <row r="95" spans="1:14" ht="15">
      <c r="A95"/>
      <c r="B95"/>
      <c r="C95" s="165" t="s">
        <v>52</v>
      </c>
      <c r="D95" s="166"/>
      <c r="E95" s="276">
        <f t="shared" ref="E95:J95" si="42">E94-E73</f>
        <v>0</v>
      </c>
      <c r="F95" s="276">
        <f>F94-F73</f>
        <v>0</v>
      </c>
      <c r="G95" s="276">
        <f t="shared" si="42"/>
        <v>0</v>
      </c>
      <c r="H95" s="276">
        <f t="shared" si="42"/>
        <v>0</v>
      </c>
      <c r="I95" s="276">
        <f t="shared" si="42"/>
        <v>0</v>
      </c>
      <c r="J95" s="276">
        <f t="shared" si="42"/>
        <v>0</v>
      </c>
    </row>
    <row r="96" spans="1:14" ht="15">
      <c r="A96"/>
      <c r="B96"/>
      <c r="C96" s="159"/>
      <c r="D96" s="160"/>
      <c r="E96" s="161"/>
      <c r="F96" s="154"/>
      <c r="G96" s="154"/>
      <c r="H96" s="154"/>
      <c r="I96" s="154"/>
      <c r="J96" s="154"/>
    </row>
    <row r="97" spans="1:14" ht="15">
      <c r="A97"/>
      <c r="B97"/>
      <c r="C97" s="638" t="s">
        <v>378</v>
      </c>
      <c r="D97" s="639"/>
      <c r="E97" s="640" t="s">
        <v>638</v>
      </c>
      <c r="F97" s="637">
        <v>2025</v>
      </c>
      <c r="G97" s="637">
        <v>2026</v>
      </c>
      <c r="H97" s="637">
        <v>2027</v>
      </c>
      <c r="I97" s="637">
        <v>2028</v>
      </c>
      <c r="J97" s="637">
        <v>2029</v>
      </c>
    </row>
    <row r="98" spans="1:14" ht="15">
      <c r="A98"/>
      <c r="B98"/>
      <c r="C98" s="28" t="s">
        <v>615</v>
      </c>
      <c r="D98" s="621"/>
      <c r="E98" s="641">
        <f>'Actuals FS'!D71</f>
        <v>73890</v>
      </c>
      <c r="F98" s="590">
        <f>E130</f>
        <v>82312</v>
      </c>
      <c r="G98" s="590">
        <f>F130</f>
        <v>138129.18112861065</v>
      </c>
      <c r="H98" s="590">
        <f t="shared" ref="H98:J98" si="43">G130</f>
        <v>196687.75094780733</v>
      </c>
      <c r="I98" s="590">
        <f t="shared" si="43"/>
        <v>268056.14033371647</v>
      </c>
      <c r="J98" s="590">
        <f t="shared" si="43"/>
        <v>351675.93400957802</v>
      </c>
    </row>
    <row r="99" spans="1:14">
      <c r="C99" s="6" t="s">
        <v>609</v>
      </c>
      <c r="D99" s="29"/>
      <c r="E99" s="337"/>
      <c r="F99" s="176"/>
      <c r="G99" s="176"/>
      <c r="H99" s="176"/>
      <c r="I99" s="176"/>
      <c r="J99" s="176"/>
    </row>
    <row r="100" spans="1:14">
      <c r="C100" s="1" t="s">
        <v>606</v>
      </c>
      <c r="D100" s="29"/>
      <c r="E100" s="337">
        <f>'Actuals FS'!D73</f>
        <v>59248</v>
      </c>
      <c r="F100" s="176">
        <f>F56</f>
        <v>66748.87660083604</v>
      </c>
      <c r="G100" s="176">
        <f>G56</f>
        <v>84364.915047181057</v>
      </c>
      <c r="H100" s="176">
        <f>H56</f>
        <v>100964.17530338916</v>
      </c>
      <c r="I100" s="176">
        <f t="shared" ref="I100:J100" si="44">I56</f>
        <v>120069.95473336622</v>
      </c>
      <c r="J100" s="176">
        <f t="shared" si="44"/>
        <v>139417.21573152393</v>
      </c>
    </row>
    <row r="101" spans="1:14" ht="13">
      <c r="C101" s="6" t="s">
        <v>616</v>
      </c>
      <c r="D101" s="437"/>
      <c r="E101" s="337"/>
      <c r="F101" s="176"/>
      <c r="G101" s="176"/>
      <c r="H101" s="176"/>
      <c r="I101" s="176"/>
      <c r="J101" s="176"/>
      <c r="N101" s="440"/>
    </row>
    <row r="102" spans="1:14">
      <c r="C102" s="1" t="s">
        <v>617</v>
      </c>
      <c r="D102" s="29"/>
      <c r="E102" s="337">
        <f>'Actuals FS'!D75</f>
        <v>52795</v>
      </c>
      <c r="F102" s="176">
        <f>E102*(1+$E$102/F37)</f>
        <v>56878.278877397759</v>
      </c>
      <c r="G102" s="176">
        <f>F102*(1+$E$102/G37)</f>
        <v>60914.139840788572</v>
      </c>
      <c r="H102" s="176">
        <f>G102*(1+$E$102/H37)</f>
        <v>64879.48839673098</v>
      </c>
      <c r="I102" s="176">
        <f>H102*(1+$E$102/I37)</f>
        <v>68719.017673612805</v>
      </c>
      <c r="J102" s="176">
        <f>I102*(1+$E$102/J37)</f>
        <v>72416.063419593556</v>
      </c>
      <c r="K102" s="376"/>
      <c r="L102" s="49"/>
      <c r="N102" s="440"/>
    </row>
    <row r="103" spans="1:14">
      <c r="C103" s="1" t="s">
        <v>610</v>
      </c>
      <c r="D103" s="29"/>
      <c r="E103" s="337">
        <f>'Actuals FS'!D76</f>
        <v>22011</v>
      </c>
      <c r="F103" s="176">
        <f>E103*(1+$E$103/F37)</f>
        <v>22720.74607793109</v>
      </c>
      <c r="G103" s="176">
        <f t="shared" ref="G103:J103" si="45">F103*(1+$E$103/G37)</f>
        <v>23392.885421790426</v>
      </c>
      <c r="H103" s="176">
        <f t="shared" si="45"/>
        <v>24027.76889976309</v>
      </c>
      <c r="I103" s="176">
        <f t="shared" si="45"/>
        <v>24620.600018826914</v>
      </c>
      <c r="J103" s="176">
        <f t="shared" si="45"/>
        <v>25172.834466700111</v>
      </c>
    </row>
    <row r="104" spans="1:14">
      <c r="C104" s="1" t="s">
        <v>611</v>
      </c>
      <c r="D104" s="29"/>
      <c r="E104" s="337">
        <f>'Actuals FS'!D77</f>
        <v>2012</v>
      </c>
      <c r="F104" s="176">
        <v>0</v>
      </c>
      <c r="G104" s="176">
        <v>0</v>
      </c>
      <c r="H104" s="176">
        <v>0</v>
      </c>
      <c r="I104" s="176">
        <v>0</v>
      </c>
      <c r="J104" s="176">
        <v>0</v>
      </c>
      <c r="L104" s="376" t="s">
        <v>736</v>
      </c>
    </row>
    <row r="105" spans="1:14">
      <c r="C105" s="1" t="s">
        <v>612</v>
      </c>
      <c r="D105" s="29"/>
      <c r="E105" s="337">
        <f>'Actuals FS'!D78</f>
        <v>-4648</v>
      </c>
      <c r="F105" s="176">
        <f>F53*50%</f>
        <v>-8886.0498646680808</v>
      </c>
      <c r="G105" s="176">
        <f t="shared" ref="G105:J105" si="46">G53*50%</f>
        <v>-11228.714799308875</v>
      </c>
      <c r="H105" s="176">
        <f t="shared" si="46"/>
        <v>-13436.354675178305</v>
      </c>
      <c r="I105" s="176">
        <f t="shared" si="46"/>
        <v>-15977.436977458168</v>
      </c>
      <c r="J105" s="176">
        <f t="shared" si="46"/>
        <v>-18550.785586730839</v>
      </c>
    </row>
    <row r="106" spans="1:14">
      <c r="C106" s="6" t="s">
        <v>613</v>
      </c>
      <c r="D106" s="29"/>
      <c r="E106" s="337"/>
      <c r="F106" s="176"/>
      <c r="G106" s="176"/>
      <c r="H106" s="176"/>
      <c r="I106" s="176"/>
      <c r="J106" s="176"/>
    </row>
    <row r="107" spans="1:14">
      <c r="C107" s="1" t="s">
        <v>31</v>
      </c>
      <c r="D107" s="29"/>
      <c r="E107" s="337">
        <f>'Actuals FS'!D80</f>
        <v>-1884</v>
      </c>
      <c r="F107" s="176">
        <f>E64-F64</f>
        <v>-2108.2340280214339</v>
      </c>
      <c r="G107" s="176">
        <f t="shared" ref="G107:J107" si="47">F64-G64</f>
        <v>-2684.8362702546074</v>
      </c>
      <c r="H107" s="176">
        <f t="shared" si="47"/>
        <v>-2879.1852383529476</v>
      </c>
      <c r="I107" s="176">
        <f t="shared" si="47"/>
        <v>-3499.8060813630436</v>
      </c>
      <c r="J107" s="176">
        <f t="shared" si="47"/>
        <v>-3787.2146972346745</v>
      </c>
    </row>
    <row r="108" spans="1:14">
      <c r="C108" s="1" t="s">
        <v>579</v>
      </c>
      <c r="D108" s="29"/>
      <c r="E108" s="337">
        <f>'Actuals FS'!D81</f>
        <v>-3249</v>
      </c>
      <c r="F108" s="176">
        <f>E65-F65</f>
        <v>0</v>
      </c>
      <c r="G108" s="176">
        <f t="shared" ref="G108:J108" si="48">F65-G65</f>
        <v>0</v>
      </c>
      <c r="H108" s="176">
        <f t="shared" si="48"/>
        <v>0</v>
      </c>
      <c r="I108" s="176">
        <f t="shared" si="48"/>
        <v>0</v>
      </c>
      <c r="J108" s="176">
        <f t="shared" si="48"/>
        <v>0</v>
      </c>
    </row>
    <row r="109" spans="1:14">
      <c r="C109" s="1" t="s">
        <v>34</v>
      </c>
      <c r="D109" s="29"/>
      <c r="E109" s="337">
        <f>'Actuals FS'!D82</f>
        <v>-14483</v>
      </c>
      <c r="F109" s="176">
        <f>E71-F71</f>
        <v>0</v>
      </c>
      <c r="G109" s="176">
        <f t="shared" ref="G109:J109" si="49">F71-G71</f>
        <v>0</v>
      </c>
      <c r="H109" s="176">
        <f t="shared" si="49"/>
        <v>0</v>
      </c>
      <c r="I109" s="176">
        <f t="shared" si="49"/>
        <v>0</v>
      </c>
      <c r="J109" s="176">
        <f t="shared" si="49"/>
        <v>0</v>
      </c>
    </row>
    <row r="110" spans="1:14">
      <c r="C110" s="1" t="s">
        <v>36</v>
      </c>
      <c r="D110" s="29"/>
      <c r="E110" s="337">
        <f>'Actuals FS'!D83</f>
        <v>2972</v>
      </c>
      <c r="F110" s="176">
        <f>-(E75-F75)</f>
        <v>5814.5580050911085</v>
      </c>
      <c r="G110" s="176">
        <f t="shared" ref="G110:J110" si="50">-(F75-G75)</f>
        <v>7404.8402691890806</v>
      </c>
      <c r="H110" s="176">
        <f t="shared" si="50"/>
        <v>7940.8591993540467</v>
      </c>
      <c r="I110" s="176">
        <f t="shared" si="50"/>
        <v>9652.5457782095182</v>
      </c>
      <c r="J110" s="176">
        <f t="shared" si="50"/>
        <v>10445.225360237207</v>
      </c>
    </row>
    <row r="111" spans="1:14">
      <c r="C111" s="1" t="s">
        <v>582</v>
      </c>
      <c r="D111" s="29"/>
      <c r="E111" s="337">
        <f>'Actuals FS'!D84</f>
        <v>-2904</v>
      </c>
      <c r="F111" s="176">
        <f>-(E76-F76)</f>
        <v>4687.5500000000029</v>
      </c>
      <c r="G111" s="176">
        <f t="shared" ref="G111:J111" si="51">F76-G76</f>
        <v>-6448.7295000000013</v>
      </c>
      <c r="H111" s="176">
        <f t="shared" si="51"/>
        <v>-7029.1151550000213</v>
      </c>
      <c r="I111" s="176">
        <f t="shared" si="51"/>
        <v>-8513.0394655000127</v>
      </c>
      <c r="J111" s="176">
        <f t="shared" si="51"/>
        <v>-9364.3434120500169</v>
      </c>
    </row>
    <row r="112" spans="1:14">
      <c r="C112" s="28" t="s">
        <v>583</v>
      </c>
      <c r="D112" s="621"/>
      <c r="E112" s="641">
        <f>'Actuals FS'!D85</f>
        <v>4007</v>
      </c>
      <c r="F112" s="642">
        <f>-(E77-F77)</f>
        <v>1267.2099999999991</v>
      </c>
      <c r="G112" s="642">
        <f t="shared" ref="G112:J112" si="52">F77-G77</f>
        <v>-1743.3189000000057</v>
      </c>
      <c r="H112" s="642">
        <f t="shared" si="52"/>
        <v>-1900.2176010000003</v>
      </c>
      <c r="I112" s="642">
        <f t="shared" si="52"/>
        <v>-2301.374650100006</v>
      </c>
      <c r="J112" s="642">
        <f t="shared" si="52"/>
        <v>-2531.5121151100066</v>
      </c>
    </row>
    <row r="113" spans="3:10">
      <c r="C113" s="6" t="s">
        <v>614</v>
      </c>
      <c r="D113" s="262"/>
      <c r="E113" s="337">
        <f>'Actuals FS'!D86</f>
        <v>115877</v>
      </c>
      <c r="F113" s="176">
        <f>SUM(F102:F112)+F100</f>
        <v>147122.9356685665</v>
      </c>
      <c r="G113" s="176">
        <f t="shared" ref="G113:J113" si="53">SUM(G102:G112)+G100</f>
        <v>153971.18110938562</v>
      </c>
      <c r="H113" s="176">
        <f t="shared" si="53"/>
        <v>172567.41912970599</v>
      </c>
      <c r="I113" s="176">
        <f t="shared" si="53"/>
        <v>192770.46102959424</v>
      </c>
      <c r="J113" s="176">
        <f t="shared" si="53"/>
        <v>213217.48316692928</v>
      </c>
    </row>
    <row r="114" spans="3:10">
      <c r="C114" s="1" t="s">
        <v>618</v>
      </c>
      <c r="D114" s="29"/>
      <c r="E114" s="337">
        <f>'Actuals FS'!D87</f>
        <v>-82999</v>
      </c>
      <c r="F114" s="176">
        <f>F37*F31</f>
        <v>-87743.222840000002</v>
      </c>
      <c r="G114" s="176">
        <f>G37*G31</f>
        <v>-94492.43154085282</v>
      </c>
      <c r="H114" s="176">
        <f>H37*H31</f>
        <v>-101760.78937497523</v>
      </c>
      <c r="I114" s="176">
        <f>I37*I31</f>
        <v>-110593.6258927231</v>
      </c>
      <c r="J114" s="176">
        <f>J37*J31</f>
        <v>-120193.15262021148</v>
      </c>
    </row>
    <row r="115" spans="3:10">
      <c r="C115" s="1" t="s">
        <v>619</v>
      </c>
      <c r="D115" s="29"/>
      <c r="E115" s="337">
        <f>'Actuals FS'!D88</f>
        <v>5341</v>
      </c>
      <c r="F115" s="176">
        <f>(E115/E102)*F102</f>
        <v>5754.0844300441604</v>
      </c>
      <c r="G115" s="176">
        <f t="shared" ref="G115:J115" si="54">(F115/F102)*G102</f>
        <v>6162.3718323638941</v>
      </c>
      <c r="H115" s="176">
        <f t="shared" si="54"/>
        <v>6563.5258552313699</v>
      </c>
      <c r="I115" s="176">
        <f t="shared" si="54"/>
        <v>6951.9513854487359</v>
      </c>
      <c r="J115" s="176">
        <f t="shared" si="54"/>
        <v>7325.9625859276293</v>
      </c>
    </row>
    <row r="116" spans="3:10">
      <c r="C116" s="1" t="s">
        <v>620</v>
      </c>
      <c r="D116" s="29"/>
      <c r="E116" s="337">
        <f>'Actuals FS'!D89</f>
        <v>-7082</v>
      </c>
      <c r="F116" s="176">
        <v>-2000</v>
      </c>
      <c r="G116" s="176">
        <v>-2000</v>
      </c>
      <c r="H116" s="176">
        <v>-2000</v>
      </c>
      <c r="I116" s="176">
        <v>-2000</v>
      </c>
      <c r="J116" s="176">
        <v>-2000</v>
      </c>
    </row>
    <row r="117" spans="3:10">
      <c r="C117" s="1" t="s">
        <v>621</v>
      </c>
      <c r="D117" s="29"/>
      <c r="E117" s="337">
        <f>'Actuals FS'!D90</f>
        <v>16403</v>
      </c>
      <c r="F117" s="176">
        <v>0</v>
      </c>
      <c r="G117" s="176">
        <v>0</v>
      </c>
      <c r="H117" s="176">
        <v>0</v>
      </c>
      <c r="I117" s="176">
        <v>0</v>
      </c>
      <c r="J117" s="176">
        <v>0</v>
      </c>
    </row>
    <row r="118" spans="3:10">
      <c r="C118" s="28" t="s">
        <v>622</v>
      </c>
      <c r="D118" s="621"/>
      <c r="E118" s="641">
        <f>'Actuals FS'!D91</f>
        <v>-26005</v>
      </c>
      <c r="F118" s="642">
        <v>0</v>
      </c>
      <c r="G118" s="642">
        <v>0</v>
      </c>
      <c r="H118" s="642">
        <v>0</v>
      </c>
      <c r="I118" s="642">
        <v>0</v>
      </c>
      <c r="J118" s="642">
        <v>0</v>
      </c>
    </row>
    <row r="119" spans="3:10">
      <c r="C119" s="6" t="s">
        <v>49</v>
      </c>
      <c r="D119" s="30"/>
      <c r="E119" s="337">
        <f>'Actuals FS'!D92</f>
        <v>-94342</v>
      </c>
      <c r="F119" s="176">
        <f>SUM(F114:F118)</f>
        <v>-83989.138409955835</v>
      </c>
      <c r="G119" s="176">
        <f t="shared" ref="G119:J119" si="55">SUM(G114:G118)</f>
        <v>-90330.05970848893</v>
      </c>
      <c r="H119" s="176">
        <f t="shared" si="55"/>
        <v>-97197.26351974385</v>
      </c>
      <c r="I119" s="176">
        <f t="shared" si="55"/>
        <v>-105641.67450727437</v>
      </c>
      <c r="J119" s="176">
        <f t="shared" si="55"/>
        <v>-114867.19003428385</v>
      </c>
    </row>
    <row r="120" spans="3:10">
      <c r="C120" s="1" t="s">
        <v>623</v>
      </c>
      <c r="D120" s="29"/>
      <c r="E120" s="337">
        <f>'Actuals FS'!D93</f>
        <v>0</v>
      </c>
      <c r="F120" s="176">
        <f>E120</f>
        <v>0</v>
      </c>
      <c r="G120" s="176">
        <f t="shared" ref="G120:J120" si="56">F120</f>
        <v>0</v>
      </c>
      <c r="H120" s="176">
        <f t="shared" si="56"/>
        <v>0</v>
      </c>
      <c r="I120" s="176">
        <f t="shared" si="56"/>
        <v>0</v>
      </c>
      <c r="J120" s="176">
        <f t="shared" si="56"/>
        <v>0</v>
      </c>
    </row>
    <row r="121" spans="3:10">
      <c r="C121" s="1" t="s">
        <v>624</v>
      </c>
      <c r="D121" s="29"/>
      <c r="E121" s="337">
        <f>'Actuals FS'!D94</f>
        <v>5142</v>
      </c>
      <c r="F121" s="176">
        <v>0</v>
      </c>
      <c r="G121" s="176">
        <v>0</v>
      </c>
      <c r="H121" s="176">
        <v>0</v>
      </c>
      <c r="I121" s="176">
        <v>0</v>
      </c>
      <c r="J121" s="176">
        <v>0</v>
      </c>
    </row>
    <row r="122" spans="3:10">
      <c r="C122" s="1" t="s">
        <v>625</v>
      </c>
      <c r="D122" s="29"/>
      <c r="E122" s="337">
        <f>'Actuals FS'!D95</f>
        <v>-5060</v>
      </c>
      <c r="F122" s="176">
        <v>0</v>
      </c>
      <c r="G122" s="176">
        <v>0</v>
      </c>
      <c r="H122" s="176">
        <v>0</v>
      </c>
      <c r="I122" s="176">
        <v>0</v>
      </c>
      <c r="J122" s="176">
        <v>0</v>
      </c>
    </row>
    <row r="123" spans="3:10">
      <c r="C123" s="1" t="s">
        <v>626</v>
      </c>
      <c r="D123" s="29"/>
      <c r="E123" s="337">
        <f>'Actuals FS'!D96</f>
        <v>0</v>
      </c>
      <c r="F123" s="176">
        <f>E123</f>
        <v>0</v>
      </c>
      <c r="G123" s="176">
        <f t="shared" ref="G123:J123" si="57">F123</f>
        <v>0</v>
      </c>
      <c r="H123" s="176">
        <f t="shared" si="57"/>
        <v>0</v>
      </c>
      <c r="I123" s="176">
        <f t="shared" si="57"/>
        <v>0</v>
      </c>
      <c r="J123" s="176">
        <f t="shared" si="57"/>
        <v>0</v>
      </c>
    </row>
    <row r="124" spans="3:10">
      <c r="C124" s="1" t="s">
        <v>627</v>
      </c>
      <c r="D124" s="29"/>
      <c r="E124" s="337">
        <f>'Actuals FS'!D97</f>
        <v>-9182</v>
      </c>
      <c r="F124" s="176">
        <f>E124*(1-50%)</f>
        <v>-4591</v>
      </c>
      <c r="G124" s="176">
        <f t="shared" ref="G124:J124" si="58">F124*(1-50%)</f>
        <v>-2295.5</v>
      </c>
      <c r="H124" s="176">
        <f t="shared" si="58"/>
        <v>-1147.75</v>
      </c>
      <c r="I124" s="176">
        <f t="shared" si="58"/>
        <v>-573.875</v>
      </c>
      <c r="J124" s="176">
        <f t="shared" si="58"/>
        <v>-286.9375</v>
      </c>
    </row>
    <row r="125" spans="3:10">
      <c r="C125" s="1" t="s">
        <v>628</v>
      </c>
      <c r="D125" s="29"/>
      <c r="E125" s="337">
        <f>'Actuals FS'!D98</f>
        <v>-2043</v>
      </c>
      <c r="F125" s="176">
        <f>E125</f>
        <v>-2043</v>
      </c>
      <c r="G125" s="176">
        <f t="shared" ref="G125:J125" si="59">F125</f>
        <v>-2043</v>
      </c>
      <c r="H125" s="176">
        <f t="shared" si="59"/>
        <v>-2043</v>
      </c>
      <c r="I125" s="176">
        <f t="shared" si="59"/>
        <v>-2043</v>
      </c>
      <c r="J125" s="176">
        <f t="shared" si="59"/>
        <v>-2043</v>
      </c>
    </row>
    <row r="126" spans="3:10">
      <c r="C126" s="28" t="s">
        <v>629</v>
      </c>
      <c r="D126" s="621"/>
      <c r="E126" s="641">
        <f>'Actuals FS'!D99</f>
        <v>-669</v>
      </c>
      <c r="F126" s="642">
        <f>-F37*0.1%</f>
        <v>-682.61613</v>
      </c>
      <c r="G126" s="642">
        <f t="shared" ref="G126:J126" si="60">-G37*0.1%</f>
        <v>-744.05158170000016</v>
      </c>
      <c r="H126" s="642">
        <f t="shared" si="60"/>
        <v>-811.0162240530002</v>
      </c>
      <c r="I126" s="642">
        <f t="shared" si="60"/>
        <v>-892.11784645830039</v>
      </c>
      <c r="J126" s="642">
        <f t="shared" si="60"/>
        <v>-981.3296311041305</v>
      </c>
    </row>
    <row r="127" spans="3:10">
      <c r="C127" s="6" t="s">
        <v>50</v>
      </c>
      <c r="D127" s="262"/>
      <c r="E127" s="337">
        <f>'Actuals FS'!D100</f>
        <v>-11812</v>
      </c>
      <c r="F127" s="587">
        <f>SUM(F120:F126)</f>
        <v>-7316.6161300000003</v>
      </c>
      <c r="G127" s="587">
        <f t="shared" ref="G127:J127" si="61">SUM(G120:G126)</f>
        <v>-5082.5515817000005</v>
      </c>
      <c r="H127" s="587">
        <f t="shared" si="61"/>
        <v>-4001.7662240530003</v>
      </c>
      <c r="I127" s="587">
        <f t="shared" si="61"/>
        <v>-3508.9928464583004</v>
      </c>
      <c r="J127" s="587">
        <f t="shared" si="61"/>
        <v>-3311.2671311041304</v>
      </c>
    </row>
    <row r="128" spans="3:10">
      <c r="C128" s="1" t="s">
        <v>630</v>
      </c>
      <c r="D128" s="621"/>
      <c r="E128" s="641">
        <f>'Actuals FS'!D101</f>
        <v>-1301</v>
      </c>
      <c r="F128" s="642">
        <f>0</f>
        <v>0</v>
      </c>
      <c r="G128" s="642">
        <f>0</f>
        <v>0</v>
      </c>
      <c r="H128" s="642">
        <f>0</f>
        <v>0</v>
      </c>
      <c r="I128" s="642">
        <f>0</f>
        <v>0</v>
      </c>
      <c r="J128" s="642">
        <f>0</f>
        <v>0</v>
      </c>
    </row>
    <row r="129" spans="3:10">
      <c r="C129" s="40" t="s">
        <v>51</v>
      </c>
      <c r="D129" s="643"/>
      <c r="E129" s="641">
        <f>'Actuals FS'!D102</f>
        <v>8422</v>
      </c>
      <c r="F129" s="642">
        <f>F113+F119+F128+F127</f>
        <v>55817.18112861066</v>
      </c>
      <c r="G129" s="642">
        <f t="shared" ref="G129:J129" si="62">G113+G119+G128+G127</f>
        <v>58558.569819196695</v>
      </c>
      <c r="H129" s="642">
        <f t="shared" si="62"/>
        <v>71368.389385909133</v>
      </c>
      <c r="I129" s="642">
        <f t="shared" si="62"/>
        <v>83619.793675861569</v>
      </c>
      <c r="J129" s="642">
        <f t="shared" si="62"/>
        <v>95039.026001541293</v>
      </c>
    </row>
    <row r="130" spans="3:10">
      <c r="C130" s="1" t="s">
        <v>631</v>
      </c>
      <c r="D130" s="39"/>
      <c r="E130" s="337">
        <f>'Actuals FS'!D103</f>
        <v>82312</v>
      </c>
      <c r="F130" s="587">
        <f>F98+F129</f>
        <v>138129.18112861065</v>
      </c>
      <c r="G130" s="587">
        <f>G98+G129</f>
        <v>196687.75094780733</v>
      </c>
      <c r="H130" s="587">
        <f t="shared" ref="H130:J130" si="63">H98+H129</f>
        <v>268056.14033371647</v>
      </c>
      <c r="I130" s="587">
        <f t="shared" si="63"/>
        <v>351675.93400957802</v>
      </c>
      <c r="J130" s="587">
        <f t="shared" si="63"/>
        <v>446714.96001111931</v>
      </c>
    </row>
    <row r="131" spans="3:10">
      <c r="C131" s="164"/>
      <c r="D131" s="164"/>
      <c r="E131" s="275"/>
      <c r="F131" s="275"/>
      <c r="G131" s="275"/>
      <c r="H131" s="275"/>
      <c r="I131" s="275"/>
      <c r="J131" s="275"/>
    </row>
    <row r="132" spans="3:10">
      <c r="C132" s="143"/>
      <c r="D132" s="143"/>
      <c r="E132" s="143"/>
      <c r="F132" s="143"/>
      <c r="G132" s="143"/>
      <c r="H132" s="143"/>
      <c r="I132" s="143"/>
      <c r="J132" s="143"/>
    </row>
    <row r="133" spans="3:10">
      <c r="C133" s="297" t="s">
        <v>570</v>
      </c>
      <c r="D133" s="298"/>
      <c r="E133" s="299"/>
      <c r="F133" s="299"/>
      <c r="G133" s="299"/>
      <c r="H133" s="299"/>
      <c r="I133" s="299"/>
      <c r="J133" s="299"/>
    </row>
    <row r="134" spans="3:10" ht="5.5" customHeight="1">
      <c r="C134" s="143"/>
      <c r="D134" s="143"/>
      <c r="E134" s="143"/>
      <c r="F134" s="143"/>
      <c r="G134" s="143"/>
      <c r="H134" s="143"/>
      <c r="I134" s="143"/>
      <c r="J134" s="143"/>
    </row>
    <row r="135" spans="3:10">
      <c r="C135" s="505"/>
      <c r="D135" s="506"/>
      <c r="E135" s="507" t="s">
        <v>638</v>
      </c>
      <c r="F135" s="508">
        <v>2025</v>
      </c>
      <c r="G135" s="508">
        <v>2026</v>
      </c>
      <c r="H135" s="508">
        <v>2027</v>
      </c>
      <c r="I135" s="508">
        <v>2028</v>
      </c>
      <c r="J135" s="508">
        <v>2029</v>
      </c>
    </row>
    <row r="136" spans="3:10">
      <c r="C136" s="452" t="s">
        <v>135</v>
      </c>
      <c r="D136" s="452"/>
      <c r="E136" s="345"/>
      <c r="F136" s="163"/>
      <c r="G136" s="163"/>
      <c r="H136" s="163"/>
      <c r="I136" s="163"/>
      <c r="J136" s="163"/>
    </row>
    <row r="137" spans="3:10">
      <c r="C137" s="4" t="s">
        <v>257</v>
      </c>
      <c r="D137" s="143"/>
      <c r="E137" s="345">
        <f>'Actuals FS'!D110</f>
        <v>1.0637348061371781</v>
      </c>
      <c r="F137" s="112">
        <f>F66/F78</f>
        <v>1.3954287991602468</v>
      </c>
      <c r="G137" s="112">
        <f t="shared" ref="G137:J137" si="64">G66/G78</f>
        <v>1.7667130695660775</v>
      </c>
      <c r="H137" s="112">
        <f t="shared" si="64"/>
        <v>2.13435558537887</v>
      </c>
      <c r="I137" s="112">
        <f t="shared" si="64"/>
        <v>2.4933742480372167</v>
      </c>
      <c r="J137" s="112">
        <f t="shared" si="64"/>
        <v>2.8387874138229274</v>
      </c>
    </row>
    <row r="138" spans="3:10">
      <c r="C138" s="4" t="s">
        <v>256</v>
      </c>
      <c r="D138" s="143"/>
      <c r="E138" s="345">
        <f>'Actuals FS'!D111</f>
        <v>0.87305426598525337</v>
      </c>
      <c r="F138" s="112">
        <f>(F62+F63+F65)/F78</f>
        <v>1.2054592718760175</v>
      </c>
      <c r="G138" s="112">
        <f t="shared" ref="G138:J138" si="65">(G62+G63+G65)/G78</f>
        <v>1.5780883249402236</v>
      </c>
      <c r="H138" s="112">
        <f t="shared" si="65"/>
        <v>1.9470853090969542</v>
      </c>
      <c r="I138" s="112">
        <f t="shared" si="65"/>
        <v>2.3074681679078455</v>
      </c>
      <c r="J138" s="112">
        <f t="shared" si="65"/>
        <v>2.6542552992537747</v>
      </c>
    </row>
    <row r="139" spans="3:10">
      <c r="C139" s="4" t="s">
        <v>255</v>
      </c>
      <c r="D139" s="143"/>
      <c r="E139" s="345">
        <f>'Actuals FS'!D112</f>
        <v>11.504914248615895</v>
      </c>
      <c r="F139" s="112">
        <f>F37/((F65+E65)/2)</f>
        <v>12.310258246019007</v>
      </c>
      <c r="G139" s="112">
        <f t="shared" ref="G139:J139" si="66">G37/((G65+F65)/2)</f>
        <v>13.41818148816072</v>
      </c>
      <c r="H139" s="112">
        <f t="shared" si="66"/>
        <v>14.625817822095186</v>
      </c>
      <c r="I139" s="112">
        <f t="shared" si="66"/>
        <v>16.088399604304708</v>
      </c>
      <c r="J139" s="112">
        <f t="shared" si="66"/>
        <v>17.697239564735181</v>
      </c>
    </row>
    <row r="140" spans="3:10">
      <c r="C140" s="4" t="s">
        <v>231</v>
      </c>
      <c r="D140" s="143"/>
      <c r="E140" s="345">
        <f>'Actuals FS'!D113</f>
        <v>31.725573273517576</v>
      </c>
      <c r="F140" s="112">
        <f t="shared" ref="F140:J140" si="67">(F65/F37)*365</f>
        <v>29.650068479922968</v>
      </c>
      <c r="G140" s="112">
        <f t="shared" si="67"/>
        <v>27.20189768800272</v>
      </c>
      <c r="H140" s="112">
        <f t="shared" si="67"/>
        <v>24.955869438534602</v>
      </c>
      <c r="I140" s="112">
        <f t="shared" si="67"/>
        <v>22.687154035031455</v>
      </c>
      <c r="J140" s="112">
        <f t="shared" si="67"/>
        <v>20.624685486392227</v>
      </c>
    </row>
    <row r="141" spans="3:10">
      <c r="C141" s="452" t="s">
        <v>227</v>
      </c>
      <c r="D141" s="452"/>
      <c r="E141" s="345"/>
      <c r="F141" s="112"/>
      <c r="G141" s="112"/>
      <c r="H141" s="112"/>
      <c r="I141" s="112"/>
      <c r="J141" s="112"/>
    </row>
    <row r="142" spans="3:10">
      <c r="C142" s="4" t="s">
        <v>254</v>
      </c>
      <c r="D142" s="143"/>
      <c r="E142" s="345">
        <f>'Actuals FS'!D115</f>
        <v>9.5366808908633889</v>
      </c>
      <c r="F142" s="112">
        <f>365/F143</f>
        <v>9.584603910415467</v>
      </c>
      <c r="G142" s="112">
        <f t="shared" ref="G142:J142" si="68">365/G143</f>
        <v>9.6327677491612747</v>
      </c>
      <c r="H142" s="112">
        <f t="shared" si="68"/>
        <v>9.6811736172475129</v>
      </c>
      <c r="I142" s="112">
        <f t="shared" si="68"/>
        <v>9.729822730902022</v>
      </c>
      <c r="J142" s="112">
        <f t="shared" si="68"/>
        <v>9.7787163124643435</v>
      </c>
    </row>
    <row r="143" spans="3:10">
      <c r="C143" s="1" t="s">
        <v>236</v>
      </c>
      <c r="D143" s="143"/>
      <c r="E143" s="345">
        <f>'Actuals FS'!D116</f>
        <v>38.273273917520719</v>
      </c>
      <c r="F143" s="112">
        <f>-(F64/F38)*365</f>
        <v>38.081907547933113</v>
      </c>
      <c r="G143" s="112">
        <f t="shared" ref="G143:J143" si="69">-(G64/G38)*365</f>
        <v>37.891498010193445</v>
      </c>
      <c r="H143" s="112">
        <f t="shared" si="69"/>
        <v>37.702040520142475</v>
      </c>
      <c r="I143" s="112">
        <f t="shared" si="69"/>
        <v>37.513530317541765</v>
      </c>
      <c r="J143" s="112">
        <f t="shared" si="69"/>
        <v>37.325962665954059</v>
      </c>
    </row>
    <row r="144" spans="3:10">
      <c r="C144" s="1" t="s">
        <v>253</v>
      </c>
      <c r="D144" s="143"/>
      <c r="E144" s="345">
        <f>'Actuals FS'!D117</f>
        <v>1.0209075459197881</v>
      </c>
      <c r="F144" s="112">
        <f>F37/((F73+E73)/2)</f>
        <v>1.0024304000458162</v>
      </c>
      <c r="G144" s="112">
        <f t="shared" ref="G144:J144" si="70">G37/((G73+F73)/2)</f>
        <v>0.92382937476714833</v>
      </c>
      <c r="H144" s="112">
        <f t="shared" si="70"/>
        <v>0.8531867065124572</v>
      </c>
      <c r="I144" s="112">
        <f t="shared" si="70"/>
        <v>0.79915803390854956</v>
      </c>
      <c r="J144" s="112">
        <f t="shared" si="70"/>
        <v>0.75174379929509572</v>
      </c>
    </row>
    <row r="145" spans="3:10">
      <c r="C145" s="1" t="s">
        <v>252</v>
      </c>
      <c r="D145" s="143"/>
      <c r="E145" s="345">
        <f>'Actuals FS'!D118</f>
        <v>2.5249203490788199</v>
      </c>
      <c r="F145" s="112">
        <f>F37/((F68+E68)/2)</f>
        <v>2.5461490738995489</v>
      </c>
      <c r="G145" s="112">
        <f t="shared" ref="G145:J145" si="71">G37/((G68+F68)/2)</f>
        <v>2.4887796660019372</v>
      </c>
      <c r="H145" s="112">
        <f t="shared" si="71"/>
        <v>2.4488385349017445</v>
      </c>
      <c r="I145" s="112">
        <f t="shared" si="71"/>
        <v>2.4347275488476785</v>
      </c>
      <c r="J145" s="112">
        <f t="shared" si="71"/>
        <v>2.418308275506416</v>
      </c>
    </row>
    <row r="146" spans="3:10">
      <c r="C146" s="1" t="s">
        <v>258</v>
      </c>
      <c r="D146" s="143"/>
      <c r="E146" s="345">
        <f>'Actuals FS'!D119</f>
        <v>105.5585709557201</v>
      </c>
      <c r="F146" s="112">
        <f>-(F75/F38)*365</f>
        <v>105.0307781009415</v>
      </c>
      <c r="G146" s="112">
        <f t="shared" ref="G146:J146" si="72">-(G75/G38)*365</f>
        <v>104.50562421043679</v>
      </c>
      <c r="H146" s="112">
        <f t="shared" si="72"/>
        <v>103.9830960893846</v>
      </c>
      <c r="I146" s="112">
        <f t="shared" si="72"/>
        <v>103.46318060893768</v>
      </c>
      <c r="J146" s="112">
        <f t="shared" si="72"/>
        <v>102.94586470589299</v>
      </c>
    </row>
    <row r="147" spans="3:10">
      <c r="C147" s="1" t="s">
        <v>242</v>
      </c>
      <c r="D147" s="143"/>
      <c r="E147" s="345">
        <f>'Actuals FS'!D120</f>
        <v>-35.559723764681806</v>
      </c>
      <c r="F147" s="112">
        <f>F143+F140-F146</f>
        <v>-37.298802073085426</v>
      </c>
      <c r="G147" s="112">
        <f t="shared" ref="G147:J147" si="73">G143+G140-G146</f>
        <v>-39.412228512240631</v>
      </c>
      <c r="H147" s="112">
        <f t="shared" si="73"/>
        <v>-41.325186130707522</v>
      </c>
      <c r="I147" s="112">
        <f t="shared" si="73"/>
        <v>-43.262496256364457</v>
      </c>
      <c r="J147" s="112">
        <f t="shared" si="73"/>
        <v>-44.995216553546697</v>
      </c>
    </row>
    <row r="148" spans="3:10">
      <c r="C148" s="452" t="s">
        <v>228</v>
      </c>
      <c r="D148" s="452"/>
      <c r="E148" s="345"/>
      <c r="F148" s="112"/>
      <c r="G148" s="112"/>
      <c r="H148" s="112"/>
      <c r="I148" s="112"/>
      <c r="J148" s="112"/>
    </row>
    <row r="149" spans="3:10">
      <c r="C149" s="1" t="s">
        <v>237</v>
      </c>
      <c r="D149" s="143"/>
      <c r="E149" s="593">
        <f>'Actuals FS'!D122</f>
        <v>0.1075194487420038</v>
      </c>
      <c r="F149" s="49">
        <f>F47/F37</f>
        <v>0.12336576591004382</v>
      </c>
      <c r="G149" s="49">
        <f t="shared" ref="G149:J149" si="74">G47/G37</f>
        <v>0.14312705974790621</v>
      </c>
      <c r="H149" s="49">
        <f t="shared" si="74"/>
        <v>0.15719767278681299</v>
      </c>
      <c r="I149" s="49">
        <f t="shared" si="74"/>
        <v>0.17002786628943656</v>
      </c>
      <c r="J149" s="49">
        <f t="shared" si="74"/>
        <v>0.17953858111108467</v>
      </c>
    </row>
    <row r="150" spans="3:10">
      <c r="C150" s="1" t="s">
        <v>238</v>
      </c>
      <c r="D150" s="143"/>
      <c r="E150" s="593">
        <f>'Actuals FS'!D123</f>
        <v>9.481288026449286E-2</v>
      </c>
      <c r="F150" s="49">
        <f>F56/((F73+E73)/2)</f>
        <v>9.8021567514944133E-2</v>
      </c>
      <c r="G150" s="49">
        <f t="shared" ref="G150:J150" si="75">G56/((G73+F73)/2)</f>
        <v>0.10474917147847097</v>
      </c>
      <c r="H150" s="49">
        <f t="shared" si="75"/>
        <v>0.10621401847223169</v>
      </c>
      <c r="I150" s="49">
        <f t="shared" si="75"/>
        <v>0.1075585129668075</v>
      </c>
      <c r="J150" s="49">
        <f t="shared" si="75"/>
        <v>0.10680002327376849</v>
      </c>
    </row>
    <row r="151" spans="3:10">
      <c r="C151" s="1" t="s">
        <v>239</v>
      </c>
      <c r="D151" s="143"/>
      <c r="E151" s="593">
        <f>'Actuals FS'!D124</f>
        <v>9.2871171971866534E-2</v>
      </c>
      <c r="F151" s="49">
        <f>F56/F37</f>
        <v>9.7783913487124952E-2</v>
      </c>
      <c r="G151" s="49">
        <f t="shared" ref="G151:J151" si="76">G56/G37</f>
        <v>0.11338584195255</v>
      </c>
      <c r="H151" s="49">
        <f t="shared" si="76"/>
        <v>0.12449094396512481</v>
      </c>
      <c r="I151" s="49">
        <f t="shared" si="76"/>
        <v>0.13458979125912887</v>
      </c>
      <c r="J151" s="49">
        <f t="shared" si="76"/>
        <v>0.14206970961904047</v>
      </c>
    </row>
    <row r="152" spans="3:10">
      <c r="C152" s="1" t="s">
        <v>240</v>
      </c>
      <c r="D152" s="143"/>
      <c r="E152" s="593">
        <f>'Actuals FS'!D125</f>
        <v>0.20718257159841941</v>
      </c>
      <c r="F152" s="49">
        <f>F56/((F93+E93)/2)</f>
        <v>0.20219793303606545</v>
      </c>
      <c r="G152" s="49">
        <f t="shared" ref="G152:J152" si="77">G56/((G93+F93)/2)</f>
        <v>0.19739358963549755</v>
      </c>
      <c r="H152" s="49">
        <f t="shared" si="77"/>
        <v>0.18623385468741457</v>
      </c>
      <c r="I152" s="49">
        <f t="shared" si="77"/>
        <v>0.17785674719598341</v>
      </c>
      <c r="J152" s="49">
        <f t="shared" si="77"/>
        <v>0.16845037596134996</v>
      </c>
    </row>
    <row r="153" spans="3:10">
      <c r="C153" s="1" t="s">
        <v>280</v>
      </c>
      <c r="D153" s="143"/>
      <c r="E153" s="593">
        <f>'Actuals FS'!D126</f>
        <v>0.12983254746365352</v>
      </c>
      <c r="F153" s="49">
        <f>(F47*(1-F23))/(((F93+E93)/2)+((F81+E81)/2))</f>
        <v>0.17278183148881943</v>
      </c>
      <c r="G153" s="49">
        <f t="shared" ref="G153:J153" si="78">(G47*(1-G23))/(((G93+F93)/2)+((G81+F81)/2))</f>
        <v>0.17278603188162223</v>
      </c>
      <c r="H153" s="49">
        <f t="shared" si="78"/>
        <v>0.16644980419865751</v>
      </c>
      <c r="I153" s="49">
        <f t="shared" si="78"/>
        <v>0.16198465940933476</v>
      </c>
      <c r="J153" s="49">
        <f t="shared" si="78"/>
        <v>0.15583335121325628</v>
      </c>
    </row>
    <row r="154" spans="3:10">
      <c r="C154" s="1" t="s">
        <v>269</v>
      </c>
      <c r="D154" s="143"/>
      <c r="E154" s="593">
        <f>'Actuals FS'!D127</f>
        <v>0.20718257159841941</v>
      </c>
      <c r="F154" s="49">
        <f>F152*(1-F173)</f>
        <v>0.20219793303606545</v>
      </c>
      <c r="G154" s="49">
        <f t="shared" ref="G154:J154" si="79">G152*1</f>
        <v>0.19739358963549755</v>
      </c>
      <c r="H154" s="49">
        <f t="shared" si="79"/>
        <v>0.18623385468741457</v>
      </c>
      <c r="I154" s="49">
        <f t="shared" si="79"/>
        <v>0.17785674719598341</v>
      </c>
      <c r="J154" s="49">
        <f t="shared" si="79"/>
        <v>0.16845037596134996</v>
      </c>
    </row>
    <row r="155" spans="3:10">
      <c r="C155" s="452" t="s">
        <v>229</v>
      </c>
      <c r="D155" s="452"/>
      <c r="E155" s="345"/>
      <c r="F155" s="112"/>
      <c r="G155" s="112"/>
      <c r="H155" s="112"/>
      <c r="I155" s="112"/>
      <c r="J155" s="112"/>
    </row>
    <row r="156" spans="3:10">
      <c r="C156" s="1" t="s">
        <v>251</v>
      </c>
      <c r="D156" s="143"/>
      <c r="E156" s="593">
        <f>'Actuals FS'!D129</f>
        <v>8.4211082199541043E-2</v>
      </c>
      <c r="F156" s="49">
        <f>((F81+E81)/2)/((F73+E73)/2)</f>
        <v>8.0648510202822418E-2</v>
      </c>
      <c r="G156" s="49">
        <f t="shared" ref="G156:J156" si="80">((G81+F81)/2)/((G73+F73)/2)</f>
        <v>7.3888189380762664E-2</v>
      </c>
      <c r="H156" s="49">
        <f t="shared" si="80"/>
        <v>6.6226109719467324E-2</v>
      </c>
      <c r="I156" s="49">
        <f t="shared" si="80"/>
        <v>5.7935222991506566E-2</v>
      </c>
      <c r="J156" s="49">
        <f t="shared" si="80"/>
        <v>5.0202978975918439E-2</v>
      </c>
    </row>
    <row r="157" spans="3:10">
      <c r="C157" s="1" t="s">
        <v>250</v>
      </c>
      <c r="D157" s="143"/>
      <c r="E157" s="345">
        <f>'Actuals FS'!D130</f>
        <v>2.1851732699234185</v>
      </c>
      <c r="F157" s="112">
        <f>F73/F93</f>
        <v>1.9692788031326141</v>
      </c>
      <c r="G157" s="112">
        <f t="shared" ref="G157:J157" si="81">G73/G93</f>
        <v>1.8183633574788201</v>
      </c>
      <c r="H157" s="112">
        <f t="shared" si="81"/>
        <v>1.7016647821618693</v>
      </c>
      <c r="I157" s="112">
        <f t="shared" si="81"/>
        <v>1.6146896885248792</v>
      </c>
      <c r="J157" s="112">
        <f t="shared" si="81"/>
        <v>1.5465014369264818</v>
      </c>
    </row>
    <row r="158" spans="3:10">
      <c r="C158" s="1" t="s">
        <v>249</v>
      </c>
      <c r="D158" s="143"/>
      <c r="E158" s="593">
        <f>'Actuals FS'!D131</f>
        <v>0.77322950692511228</v>
      </c>
      <c r="F158" s="49">
        <f>F78/(F81+F78)</f>
        <v>0.76968316295348393</v>
      </c>
      <c r="G158" s="49">
        <f t="shared" ref="G158:J158" si="82">G78/(G81+G78)</f>
        <v>0.76990136914642815</v>
      </c>
      <c r="H158" s="49">
        <f t="shared" si="82"/>
        <v>0.7772493029790678</v>
      </c>
      <c r="I158" s="49">
        <f t="shared" si="82"/>
        <v>0.7891017523208459</v>
      </c>
      <c r="J158" s="49">
        <f t="shared" si="82"/>
        <v>0.80191812384571126</v>
      </c>
    </row>
    <row r="159" spans="3:10">
      <c r="C159" s="1" t="s">
        <v>248</v>
      </c>
      <c r="D159" s="143"/>
      <c r="E159" s="345">
        <f>'Actuals FS'!D132</f>
        <v>-28.509143807148796</v>
      </c>
      <c r="F159" s="112">
        <f>F47/F50</f>
        <v>-41.177185321011223</v>
      </c>
      <c r="G159" s="112">
        <f t="shared" ref="G159:J159" si="83">G47/G50</f>
        <v>-52.692631115415843</v>
      </c>
      <c r="H159" s="112">
        <f t="shared" si="83"/>
        <v>-63.841331917936159</v>
      </c>
      <c r="I159" s="112">
        <f t="shared" si="83"/>
        <v>-75.957142240799612</v>
      </c>
      <c r="J159" s="112">
        <f t="shared" si="83"/>
        <v>-88.226486780388257</v>
      </c>
    </row>
    <row r="160" spans="3:10">
      <c r="C160" s="1" t="s">
        <v>163</v>
      </c>
      <c r="D160" s="143"/>
      <c r="E160" s="325">
        <f>'Actuals FS'!D133</f>
        <v>52623</v>
      </c>
      <c r="F160" s="142">
        <f>F81</f>
        <v>57214</v>
      </c>
      <c r="G160" s="142">
        <f t="shared" ref="G160:J160" si="84">G81</f>
        <v>61805</v>
      </c>
      <c r="H160" s="142">
        <f t="shared" si="84"/>
        <v>64100.5</v>
      </c>
      <c r="I160" s="142">
        <f t="shared" si="84"/>
        <v>65248.25</v>
      </c>
      <c r="J160" s="142">
        <f t="shared" si="84"/>
        <v>65822.125</v>
      </c>
    </row>
    <row r="161" spans="3:11">
      <c r="C161" s="1" t="s">
        <v>245</v>
      </c>
      <c r="D161" s="143"/>
      <c r="E161" s="345">
        <f>'Actuals FS'!D134</f>
        <v>0.52427967959191801</v>
      </c>
      <c r="F161" s="112">
        <f>F160/F183</f>
        <v>0.55114174346045375</v>
      </c>
      <c r="G161" s="112">
        <f t="shared" ref="G161:J161" si="85">G160/G183</f>
        <v>0.51162831580624701</v>
      </c>
      <c r="H161" s="112">
        <f t="shared" si="85"/>
        <v>0.46797576185034351</v>
      </c>
      <c r="I161" s="112">
        <f t="shared" si="85"/>
        <v>0.42139927849536118</v>
      </c>
      <c r="J161" s="112">
        <f t="shared" si="85"/>
        <v>0.38105901326636787</v>
      </c>
    </row>
    <row r="162" spans="3:11">
      <c r="C162" s="1" t="s">
        <v>244</v>
      </c>
      <c r="D162" s="143"/>
      <c r="E162" s="345">
        <f>'Actuals FS'!D135</f>
        <v>0.18401580585376087</v>
      </c>
      <c r="F162" s="112">
        <f>F160/F93</f>
        <v>0.15287109868854931</v>
      </c>
      <c r="G162" s="112">
        <f t="shared" ref="G162:J162" si="86">G160/G93</f>
        <v>0.12861953103069607</v>
      </c>
      <c r="H162" s="112">
        <f t="shared" si="86"/>
        <v>0.10617107892955703</v>
      </c>
      <c r="I162" s="112">
        <f t="shared" si="86"/>
        <v>8.7412590378154922E-2</v>
      </c>
      <c r="J162" s="112">
        <f t="shared" si="86"/>
        <v>7.2423427425689677E-2</v>
      </c>
    </row>
    <row r="163" spans="3:11">
      <c r="C163" s="452" t="s">
        <v>230</v>
      </c>
      <c r="D163" s="452"/>
      <c r="E163" s="345"/>
      <c r="F163" s="112"/>
      <c r="G163" s="112"/>
      <c r="H163" s="112"/>
      <c r="I163" s="112"/>
      <c r="J163" s="112"/>
    </row>
    <row r="164" spans="3:11">
      <c r="C164" s="1" t="s">
        <v>239</v>
      </c>
      <c r="D164" s="143"/>
      <c r="E164" s="593">
        <f>'Actuals FS'!D137</f>
        <v>9.2871171971866534E-2</v>
      </c>
      <c r="F164" s="49">
        <f>F56/F37</f>
        <v>9.7783913487124952E-2</v>
      </c>
      <c r="G164" s="49">
        <f t="shared" ref="G164:J164" si="87">G56/G37</f>
        <v>0.11338584195255</v>
      </c>
      <c r="H164" s="49">
        <f t="shared" si="87"/>
        <v>0.12449094396512481</v>
      </c>
      <c r="I164" s="49">
        <f t="shared" si="87"/>
        <v>0.13458979125912887</v>
      </c>
      <c r="J164" s="49">
        <f t="shared" si="87"/>
        <v>0.14206970961904047</v>
      </c>
    </row>
    <row r="165" spans="3:11">
      <c r="C165" s="1" t="s">
        <v>247</v>
      </c>
      <c r="D165" s="143"/>
      <c r="E165" s="345">
        <f>'Actuals FS'!D138</f>
        <v>1.0209075459197881</v>
      </c>
      <c r="F165" s="112">
        <f>F37/((F73+E73)/2)</f>
        <v>1.0024304000458162</v>
      </c>
      <c r="G165" s="112">
        <f t="shared" ref="G165:J165" si="88">G37/((G73+F73)/2)</f>
        <v>0.92382937476714833</v>
      </c>
      <c r="H165" s="112">
        <f t="shared" si="88"/>
        <v>0.8531867065124572</v>
      </c>
      <c r="I165" s="112">
        <f t="shared" si="88"/>
        <v>0.79915803390854956</v>
      </c>
      <c r="J165" s="112">
        <f t="shared" si="88"/>
        <v>0.75174379929509572</v>
      </c>
    </row>
    <row r="166" spans="3:11">
      <c r="C166" s="1" t="s">
        <v>246</v>
      </c>
      <c r="D166" s="143"/>
      <c r="E166" s="345">
        <f>'Actuals FS'!D139</f>
        <v>2.1851732699234185</v>
      </c>
      <c r="F166" s="112">
        <f>F73/F93</f>
        <v>1.9692788031326141</v>
      </c>
      <c r="G166" s="112">
        <f t="shared" ref="G166:J166" si="89">G73/G93</f>
        <v>1.8183633574788201</v>
      </c>
      <c r="H166" s="112">
        <f t="shared" si="89"/>
        <v>1.7016647821618693</v>
      </c>
      <c r="I166" s="112">
        <f t="shared" si="89"/>
        <v>1.6146896885248792</v>
      </c>
      <c r="J166" s="112">
        <f t="shared" si="89"/>
        <v>1.5465014369264818</v>
      </c>
    </row>
    <row r="167" spans="3:11">
      <c r="C167" s="1" t="s">
        <v>240</v>
      </c>
      <c r="D167" s="143"/>
      <c r="E167" s="593">
        <f>'Actuals FS'!D140</f>
        <v>0.20718257159841941</v>
      </c>
      <c r="F167" s="49">
        <f>F164*F165*F166</f>
        <v>0.19303179515701194</v>
      </c>
      <c r="G167" s="49">
        <f t="shared" ref="G167:J167" si="90">G164*G165*G166</f>
        <v>0.19047205514271712</v>
      </c>
      <c r="H167" s="49">
        <f t="shared" si="90"/>
        <v>0.1807406546060869</v>
      </c>
      <c r="I167" s="49">
        <f t="shared" si="90"/>
        <v>0.17367362180057361</v>
      </c>
      <c r="J167" s="49">
        <f t="shared" si="90"/>
        <v>0.16516638945666468</v>
      </c>
    </row>
    <row r="168" spans="3:11">
      <c r="C168" s="452" t="s">
        <v>278</v>
      </c>
      <c r="D168" s="452"/>
      <c r="E168" s="345"/>
      <c r="F168" s="112"/>
      <c r="G168" s="112"/>
      <c r="H168" s="112"/>
      <c r="I168" s="112"/>
      <c r="J168" s="112"/>
    </row>
    <row r="169" spans="3:11">
      <c r="C169" s="1" t="s">
        <v>414</v>
      </c>
      <c r="E169" s="345">
        <f>'Actuals FS'!D142</f>
        <v>228.97</v>
      </c>
      <c r="F169" s="112">
        <f>F170*F32</f>
        <v>241.10198452875937</v>
      </c>
      <c r="G169" s="112">
        <f t="shared" ref="G169:J169" si="91">G170*G32</f>
        <v>284.82009873947243</v>
      </c>
      <c r="H169" s="112">
        <f t="shared" si="91"/>
        <v>318.58696026646982</v>
      </c>
      <c r="I169" s="112">
        <f t="shared" si="91"/>
        <v>354.11716259930097</v>
      </c>
      <c r="J169" s="112">
        <f t="shared" si="91"/>
        <v>384.30936616834674</v>
      </c>
      <c r="K169" s="266"/>
    </row>
    <row r="170" spans="3:11">
      <c r="C170" s="1" t="s">
        <v>241</v>
      </c>
      <c r="E170" s="345">
        <f>'Actuals FS'!D143</f>
        <v>5.5263501539035538</v>
      </c>
      <c r="F170" s="112">
        <f>F56/F58</f>
        <v>6.1254358272950569</v>
      </c>
      <c r="G170" s="112">
        <f t="shared" ref="G170:J170" si="92">G56/G58</f>
        <v>7.6169873903751268</v>
      </c>
      <c r="H170" s="112">
        <f t="shared" si="92"/>
        <v>8.9684418148688163</v>
      </c>
      <c r="I170" s="112">
        <f t="shared" si="92"/>
        <v>10.493306759328849</v>
      </c>
      <c r="J170" s="112">
        <f t="shared" si="92"/>
        <v>11.987338166441667</v>
      </c>
      <c r="K170" s="266"/>
    </row>
    <row r="171" spans="3:11">
      <c r="C171" s="1" t="s">
        <v>259</v>
      </c>
      <c r="E171" s="345">
        <f>'Actuals FS'!D144</f>
        <v>41.432409026465031</v>
      </c>
      <c r="F171" s="112">
        <f>F169/F170</f>
        <v>39.360788575141775</v>
      </c>
      <c r="G171" s="112">
        <f t="shared" ref="G171:J171" si="93">G169/G170</f>
        <v>37.392749146384688</v>
      </c>
      <c r="H171" s="112">
        <f t="shared" si="93"/>
        <v>35.523111689065452</v>
      </c>
      <c r="I171" s="112">
        <f t="shared" si="93"/>
        <v>33.746956104612181</v>
      </c>
      <c r="J171" s="112">
        <f t="shared" si="93"/>
        <v>32.059608299381573</v>
      </c>
    </row>
    <row r="172" spans="3:11">
      <c r="C172" s="1" t="s">
        <v>243</v>
      </c>
      <c r="E172" s="345">
        <f>'Actuals FS'!D145</f>
        <v>0</v>
      </c>
      <c r="F172" s="112">
        <f>0/F58</f>
        <v>0</v>
      </c>
      <c r="G172" s="112">
        <f t="shared" ref="G172:J172" si="94">0/G58</f>
        <v>0</v>
      </c>
      <c r="H172" s="112">
        <f t="shared" si="94"/>
        <v>0</v>
      </c>
      <c r="I172" s="112">
        <f t="shared" si="94"/>
        <v>0</v>
      </c>
      <c r="J172" s="112">
        <f t="shared" si="94"/>
        <v>0</v>
      </c>
    </row>
    <row r="173" spans="3:11">
      <c r="C173" s="1" t="s">
        <v>265</v>
      </c>
      <c r="E173" s="593">
        <f>'Actuals FS'!D146</f>
        <v>0</v>
      </c>
      <c r="F173" s="49">
        <f>E173</f>
        <v>0</v>
      </c>
      <c r="G173" s="49">
        <f t="shared" ref="G173:J173" si="95">F173</f>
        <v>0</v>
      </c>
      <c r="H173" s="49">
        <f t="shared" si="95"/>
        <v>0</v>
      </c>
      <c r="I173" s="49">
        <f t="shared" si="95"/>
        <v>0</v>
      </c>
      <c r="J173" s="49">
        <f t="shared" si="95"/>
        <v>0</v>
      </c>
    </row>
    <row r="174" spans="3:11">
      <c r="C174" s="1" t="s">
        <v>16</v>
      </c>
      <c r="E174" s="593">
        <f>'Actuals FS'!D147</f>
        <v>0</v>
      </c>
      <c r="F174" s="49">
        <f>E174</f>
        <v>0</v>
      </c>
      <c r="G174" s="49">
        <f t="shared" ref="G174:J174" si="96">F174</f>
        <v>0</v>
      </c>
      <c r="H174" s="49">
        <f t="shared" si="96"/>
        <v>0</v>
      </c>
      <c r="I174" s="49">
        <f t="shared" si="96"/>
        <v>0</v>
      </c>
      <c r="J174" s="49">
        <f t="shared" si="96"/>
        <v>0</v>
      </c>
    </row>
    <row r="175" spans="3:11">
      <c r="C175" s="452" t="s">
        <v>277</v>
      </c>
      <c r="D175" s="452"/>
      <c r="E175" s="345"/>
      <c r="F175" s="112"/>
      <c r="G175" s="112"/>
      <c r="H175" s="112"/>
      <c r="I175" s="112"/>
      <c r="J175" s="112"/>
    </row>
    <row r="176" spans="3:11">
      <c r="C176" s="1" t="s">
        <v>69</v>
      </c>
      <c r="E176" s="593">
        <f>'Actuals FS'!D149</f>
        <v>0.1099089224666614</v>
      </c>
      <c r="F176" s="105">
        <f>(F37-E37)/E37</f>
        <v>7.0000000000000007E-2</v>
      </c>
      <c r="G176" s="105">
        <f>(G37-F37)/F37</f>
        <v>9.0000000000000135E-2</v>
      </c>
      <c r="H176" s="105">
        <f t="shared" ref="H176:J176" si="97">(H37-G37)/G37</f>
        <v>9.0000000000000149E-2</v>
      </c>
      <c r="I176" s="105">
        <f t="shared" si="97"/>
        <v>0.10000000000000016</v>
      </c>
      <c r="J176" s="105">
        <f t="shared" si="97"/>
        <v>0.10000000000000014</v>
      </c>
    </row>
    <row r="177" spans="3:10">
      <c r="C177" s="1" t="s">
        <v>275</v>
      </c>
      <c r="E177" s="593">
        <f>'Actuals FS'!D150</f>
        <v>0.42869996347727674</v>
      </c>
      <c r="F177" s="49">
        <f>(F38-F102)/F37</f>
        <v>-0.59332395965708828</v>
      </c>
      <c r="G177" s="49">
        <f t="shared" ref="G177:J177" si="98">(G38-G102)/G37</f>
        <v>-0.58686816793213814</v>
      </c>
      <c r="H177" s="49">
        <f t="shared" si="98"/>
        <v>-0.5799977688146607</v>
      </c>
      <c r="I177" s="49">
        <f t="shared" si="98"/>
        <v>-0.57202908079512893</v>
      </c>
      <c r="J177" s="49">
        <f t="shared" si="98"/>
        <v>-0.56379382128522459</v>
      </c>
    </row>
    <row r="178" spans="3:10">
      <c r="C178" s="1" t="s">
        <v>276</v>
      </c>
      <c r="E178" s="325">
        <f>'Actuals FS'!D151</f>
        <v>311671</v>
      </c>
      <c r="F178" s="268">
        <f>F37+F38</f>
        <v>334481.90370000002</v>
      </c>
      <c r="G178" s="268">
        <f t="shared" ref="G178:J178" si="99">G37+G38</f>
        <v>368305.53294150002</v>
      </c>
      <c r="H178" s="268">
        <f t="shared" si="99"/>
        <v>405508.11202650011</v>
      </c>
      <c r="I178" s="268">
        <f t="shared" si="99"/>
        <v>450519.51246144169</v>
      </c>
      <c r="J178" s="268">
        <f t="shared" si="99"/>
        <v>500478.11186310661</v>
      </c>
    </row>
    <row r="179" spans="3:10">
      <c r="C179" s="1" t="s">
        <v>270</v>
      </c>
      <c r="E179" s="593">
        <f>'Actuals FS'!D152</f>
        <v>0.48854393464156787</v>
      </c>
      <c r="F179" s="49">
        <f>F178/F37</f>
        <v>0.49000000000000005</v>
      </c>
      <c r="G179" s="49">
        <f t="shared" ref="G179:J179" si="100">G178/G37</f>
        <v>0.49499999999999994</v>
      </c>
      <c r="H179" s="49">
        <f t="shared" si="100"/>
        <v>0.5</v>
      </c>
      <c r="I179" s="49">
        <f t="shared" si="100"/>
        <v>0.505</v>
      </c>
      <c r="J179" s="49">
        <f t="shared" si="100"/>
        <v>0.51</v>
      </c>
    </row>
    <row r="180" spans="3:10">
      <c r="C180" s="1" t="s">
        <v>271</v>
      </c>
      <c r="E180" s="593">
        <f>'Actuals FS'!D153</f>
        <v>0.37982848427563526</v>
      </c>
      <c r="F180" s="49">
        <f>(F41+F42+F43+F44)/F37</f>
        <v>0.36543823246602741</v>
      </c>
      <c r="G180" s="49">
        <f t="shared" ref="G180:J180" si="101">(G41+G42+G43+G44)/G37</f>
        <v>0.35067693862816496</v>
      </c>
      <c r="H180" s="49">
        <f t="shared" si="101"/>
        <v>0.34160632558925819</v>
      </c>
      <c r="I180" s="49">
        <f t="shared" si="101"/>
        <v>0.33377613208663459</v>
      </c>
      <c r="J180" s="49">
        <f t="shared" si="101"/>
        <v>0.32926541726498659</v>
      </c>
    </row>
    <row r="181" spans="3:10">
      <c r="C181" s="1" t="s">
        <v>272</v>
      </c>
      <c r="E181" s="593">
        <f>'Actuals FS'!D154</f>
        <v>0.13879261833440706</v>
      </c>
      <c r="F181" s="49">
        <f>F42/F39</f>
        <v>0.22633547334716389</v>
      </c>
      <c r="G181" s="49">
        <f t="shared" ref="G181:J181" si="102">G42/G39</f>
        <v>0.17574505895430323</v>
      </c>
      <c r="H181" s="49">
        <f t="shared" si="102"/>
        <v>0.13727462678320526</v>
      </c>
      <c r="I181" s="49">
        <f t="shared" si="102"/>
        <v>0.1068789848492102</v>
      </c>
      <c r="J181" s="49">
        <f t="shared" si="102"/>
        <v>8.3702819952763796E-2</v>
      </c>
    </row>
    <row r="182" spans="3:10">
      <c r="C182" s="1" t="s">
        <v>381</v>
      </c>
      <c r="E182" s="628">
        <f>'Actuals FS'!D155</f>
        <v>-3.5268724165659548E-3</v>
      </c>
      <c r="F182" s="105">
        <f>F50/F37</f>
        <v>-2.9959737400286745E-3</v>
      </c>
      <c r="G182" s="105">
        <f t="shared" ref="G182:J182" si="103">G50/G37</f>
        <v>-2.716263293711912E-3</v>
      </c>
      <c r="H182" s="105">
        <f t="shared" si="103"/>
        <v>-2.4623181889262629E-3</v>
      </c>
      <c r="I182" s="105">
        <f t="shared" si="103"/>
        <v>-2.2384710808420567E-3</v>
      </c>
      <c r="J182" s="105">
        <f t="shared" si="103"/>
        <v>-2.0349737098564152E-3</v>
      </c>
    </row>
    <row r="183" spans="3:10">
      <c r="C183" s="1" t="s">
        <v>95</v>
      </c>
      <c r="E183" s="325">
        <f>'Actuals FS'!D156</f>
        <v>100372</v>
      </c>
      <c r="F183" s="268">
        <f>F56+F53+F50+F102</f>
        <v>103809.95574889764</v>
      </c>
      <c r="G183" s="268">
        <f t="shared" ref="G183:J183" si="104">G56+G53+G50+G102</f>
        <v>120800.58528935187</v>
      </c>
      <c r="H183" s="268">
        <f t="shared" si="104"/>
        <v>136973.97434976354</v>
      </c>
      <c r="I183" s="268">
        <f t="shared" si="104"/>
        <v>154837.11845206271</v>
      </c>
      <c r="J183" s="268">
        <f t="shared" si="104"/>
        <v>172734.72797765583</v>
      </c>
    </row>
    <row r="184" spans="3:10">
      <c r="C184" s="1" t="s">
        <v>273</v>
      </c>
      <c r="E184" s="593">
        <f>'Actuals FS'!D157</f>
        <v>0.15733299475358134</v>
      </c>
      <c r="F184" s="49">
        <f>F183/F37</f>
        <v>0.15207662284349718</v>
      </c>
      <c r="G184" s="49">
        <f t="shared" ref="G184:J184" si="105">G183/G37</f>
        <v>0.16235512195720109</v>
      </c>
      <c r="H184" s="49">
        <f t="shared" si="105"/>
        <v>0.16889178081450099</v>
      </c>
      <c r="I184" s="49">
        <f t="shared" si="105"/>
        <v>0.17356128348599309</v>
      </c>
      <c r="J184" s="49">
        <f t="shared" si="105"/>
        <v>0.1760211069784019</v>
      </c>
    </row>
    <row r="185" spans="3:10">
      <c r="C185" s="1" t="s">
        <v>99</v>
      </c>
      <c r="E185" s="345">
        <f>'Actuals FS'!D158</f>
        <v>54188.47</v>
      </c>
      <c r="F185" s="268">
        <f>F47*(1-F23)</f>
        <v>66527.054743000044</v>
      </c>
      <c r="G185" s="268">
        <f t="shared" ref="G185:J185" si="106">G47*(1-G23)</f>
        <v>84130.192999705032</v>
      </c>
      <c r="H185" s="268">
        <f t="shared" si="106"/>
        <v>100716.99178064932</v>
      </c>
      <c r="I185" s="268">
        <f t="shared" si="106"/>
        <v>119831.06619050527</v>
      </c>
      <c r="J185" s="268">
        <f t="shared" si="106"/>
        <v>139187.35836085278</v>
      </c>
    </row>
    <row r="186" spans="3:10">
      <c r="C186" s="1" t="s">
        <v>274</v>
      </c>
      <c r="E186" s="593">
        <f>'Actuals FS'!D159</f>
        <v>-0.13503075174162707</v>
      </c>
      <c r="F186" s="49">
        <f>F53/F52</f>
        <v>-0.21</v>
      </c>
      <c r="G186" s="49">
        <f t="shared" ref="G186:J186" si="107">G53/G52</f>
        <v>-0.21</v>
      </c>
      <c r="H186" s="49">
        <f t="shared" si="107"/>
        <v>-0.21</v>
      </c>
      <c r="I186" s="49">
        <f t="shared" si="107"/>
        <v>-0.21</v>
      </c>
      <c r="J186" s="49">
        <f t="shared" si="107"/>
        <v>-0.21</v>
      </c>
    </row>
    <row r="187" spans="3:10">
      <c r="C187" s="1" t="s">
        <v>86</v>
      </c>
      <c r="E187" s="593">
        <f>'Actuals FS'!D160</f>
        <v>-0.13010083720113674</v>
      </c>
      <c r="F187" s="390">
        <f>F114/F37</f>
        <v>-0.12853962715472311</v>
      </c>
      <c r="G187" s="390">
        <f>G114/G37</f>
        <v>-0.12699715162886643</v>
      </c>
      <c r="H187" s="390">
        <f t="shared" ref="H187:J187" si="108">H114/H37</f>
        <v>-0.12547318580932004</v>
      </c>
      <c r="I187" s="390">
        <f t="shared" si="108"/>
        <v>-0.1239675075796082</v>
      </c>
      <c r="J187" s="390">
        <f t="shared" si="108"/>
        <v>-0.1224798974886529</v>
      </c>
    </row>
    <row r="188" spans="3:10">
      <c r="C188" s="1" t="s">
        <v>673</v>
      </c>
      <c r="E188" s="593">
        <f>'Actuals FS'!D161</f>
        <v>0.15440647439725749</v>
      </c>
      <c r="F188" s="49">
        <f>F41/F37</f>
        <v>0.16652810416302349</v>
      </c>
      <c r="G188" s="49">
        <f t="shared" ref="G188:J188" si="109">G41/G37</f>
        <v>0.176000344950278</v>
      </c>
      <c r="H188" s="49">
        <f t="shared" si="109"/>
        <v>0.18568843733286208</v>
      </c>
      <c r="I188" s="49">
        <f t="shared" si="109"/>
        <v>0.19379120550738696</v>
      </c>
      <c r="J188" s="49">
        <f t="shared" si="109"/>
        <v>0.20189520137405945</v>
      </c>
    </row>
  </sheetData>
  <pageMargins left="0.7" right="0.7" top="0.75" bottom="0.75" header="0.3" footer="0.3"/>
  <ignoredErrors>
    <ignoredError sqref="F64:H64 G88:J88 G90:J90 F88:F91 F124:J124" formula="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B141A-91B5-45FB-BBC0-6FCA8DE6FC46}">
  <sheetPr>
    <tabColor rgb="FFAFDEFF"/>
  </sheetPr>
  <dimension ref="B1:K93"/>
  <sheetViews>
    <sheetView showGridLines="0" topLeftCell="A39" zoomScale="114" zoomScaleNormal="114" workbookViewId="0">
      <selection activeCell="H47" sqref="H47"/>
    </sheetView>
  </sheetViews>
  <sheetFormatPr baseColWidth="10" defaultColWidth="8.83203125" defaultRowHeight="12"/>
  <cols>
    <col min="1" max="2" width="3.1640625" style="1" customWidth="1"/>
    <col min="3" max="3" width="23.1640625" style="1" customWidth="1"/>
    <col min="4" max="4" width="9.1640625" style="1" customWidth="1"/>
    <col min="5" max="5" width="12.1640625" style="1" bestFit="1" customWidth="1"/>
    <col min="6" max="7" width="9.1640625" style="1" customWidth="1"/>
    <col min="8" max="8" width="9.1640625" style="228" customWidth="1"/>
    <col min="9" max="9" width="9.1640625" style="1" customWidth="1"/>
    <col min="10" max="13" width="8.83203125" style="1"/>
    <col min="14" max="14" width="8.83203125" style="1" customWidth="1"/>
    <col min="15" max="16384" width="8.83203125" style="1"/>
  </cols>
  <sheetData>
    <row r="1" spans="2:10" s="457" customFormat="1">
      <c r="H1" s="509"/>
    </row>
    <row r="2" spans="2:10" s="457" customFormat="1" ht="18">
      <c r="B2" s="462"/>
      <c r="H2" s="509"/>
    </row>
    <row r="3" spans="2:10" s="457" customFormat="1" ht="13">
      <c r="B3" s="461" t="s">
        <v>3</v>
      </c>
      <c r="C3" s="461"/>
      <c r="H3" s="509"/>
    </row>
    <row r="4" spans="2:10" s="457" customFormat="1">
      <c r="B4" s="460" t="s">
        <v>23</v>
      </c>
      <c r="C4" s="460"/>
      <c r="H4" s="509"/>
    </row>
    <row r="5" spans="2:10" s="457" customFormat="1" ht="7.75" customHeight="1">
      <c r="B5" s="459"/>
      <c r="H5" s="509"/>
    </row>
    <row r="6" spans="2:10">
      <c r="B6" s="4"/>
    </row>
    <row r="7" spans="2:10">
      <c r="B7" s="4"/>
      <c r="I7" s="228"/>
    </row>
    <row r="8" spans="2:10">
      <c r="C8" s="292" t="s">
        <v>400</v>
      </c>
      <c r="D8" s="292"/>
      <c r="E8" s="292"/>
      <c r="F8" s="292"/>
      <c r="I8" s="376" t="s">
        <v>78</v>
      </c>
    </row>
    <row r="9" spans="2:10" ht="5.5" customHeight="1" thickBot="1">
      <c r="C9" s="143"/>
      <c r="D9" s="143"/>
      <c r="E9" s="143"/>
      <c r="F9" s="143"/>
      <c r="I9" s="381"/>
      <c r="J9" s="143"/>
    </row>
    <row r="10" spans="2:10">
      <c r="C10" s="392" t="s">
        <v>401</v>
      </c>
      <c r="D10" s="392"/>
      <c r="E10" s="393" t="s">
        <v>303</v>
      </c>
      <c r="F10" s="394" t="s">
        <v>304</v>
      </c>
      <c r="I10" s="382" t="s">
        <v>572</v>
      </c>
    </row>
    <row r="11" spans="2:10">
      <c r="C11" s="510" t="s">
        <v>125</v>
      </c>
      <c r="D11" s="511"/>
      <c r="E11" s="512"/>
      <c r="F11" s="511"/>
      <c r="I11" s="376"/>
    </row>
    <row r="12" spans="2:10">
      <c r="C12" s="96" t="s">
        <v>126</v>
      </c>
      <c r="E12" s="257">
        <f>E35/E37</f>
        <v>2.0665509148353755E-2</v>
      </c>
      <c r="F12" s="97">
        <f>E35/E37</f>
        <v>2.0665509148353755E-2</v>
      </c>
      <c r="I12" s="376" t="s">
        <v>300</v>
      </c>
    </row>
    <row r="13" spans="2:10">
      <c r="C13" s="96" t="s">
        <v>127</v>
      </c>
      <c r="E13" s="257">
        <f>E36/E37</f>
        <v>0.97933449085164614</v>
      </c>
      <c r="F13" s="97">
        <f>E36/E37</f>
        <v>0.97933449085164614</v>
      </c>
      <c r="I13" s="376" t="s">
        <v>301</v>
      </c>
    </row>
    <row r="14" spans="2:10">
      <c r="C14" s="98" t="s">
        <v>128</v>
      </c>
      <c r="D14" s="99"/>
      <c r="E14" s="648">
        <f>E12/E13</f>
        <v>2.1101584128199825E-2</v>
      </c>
      <c r="F14" s="649">
        <f>F12/F13</f>
        <v>2.1101584128199825E-2</v>
      </c>
      <c r="I14" s="376"/>
    </row>
    <row r="15" spans="2:10" ht="4.75" customHeight="1">
      <c r="C15" s="100"/>
      <c r="E15" s="259"/>
      <c r="F15" s="101"/>
      <c r="I15" s="376"/>
    </row>
    <row r="16" spans="2:10">
      <c r="C16" s="510" t="s">
        <v>225</v>
      </c>
      <c r="D16" s="511"/>
      <c r="E16" s="512"/>
      <c r="F16" s="511"/>
      <c r="I16" s="376"/>
    </row>
    <row r="17" spans="3:11">
      <c r="C17" s="96" t="s">
        <v>133</v>
      </c>
      <c r="E17" s="257">
        <f>'10yr TBill'!D2551/100</f>
        <v>4.0500000000000001E-2</v>
      </c>
      <c r="F17" s="97">
        <f t="shared" ref="F17:F19" si="0">E17</f>
        <v>4.0500000000000001E-2</v>
      </c>
      <c r="I17" s="376" t="s">
        <v>302</v>
      </c>
    </row>
    <row r="18" spans="3:11">
      <c r="C18" s="96" t="s">
        <v>305</v>
      </c>
      <c r="E18" s="257">
        <f>'10 Year Bond Average'!G9</f>
        <v>0.14052674823758726</v>
      </c>
      <c r="F18" s="97">
        <f t="shared" si="0"/>
        <v>0.14052674823758726</v>
      </c>
      <c r="I18" s="383" t="s">
        <v>472</v>
      </c>
    </row>
    <row r="19" spans="3:11">
      <c r="C19" s="96" t="s">
        <v>319</v>
      </c>
      <c r="E19" s="257">
        <f>'10yr TBill'!G8/100</f>
        <v>2.6371913805697592E-2</v>
      </c>
      <c r="F19" s="97">
        <f t="shared" si="0"/>
        <v>2.6371913805697592E-2</v>
      </c>
      <c r="I19" s="383" t="s">
        <v>573</v>
      </c>
    </row>
    <row r="20" spans="3:11">
      <c r="C20" s="96" t="s">
        <v>577</v>
      </c>
      <c r="E20" s="257">
        <v>0.05</v>
      </c>
      <c r="F20" s="97">
        <v>0.05</v>
      </c>
      <c r="I20" s="376"/>
    </row>
    <row r="21" spans="3:11">
      <c r="C21" s="96" t="s">
        <v>15</v>
      </c>
      <c r="E21" s="260">
        <f>E22/(1+(1-E26)*E14)</f>
        <v>1.3546960384356301</v>
      </c>
      <c r="F21" s="103">
        <f>H86</f>
        <v>0.86865495529101189</v>
      </c>
      <c r="I21" s="376" t="s">
        <v>403</v>
      </c>
    </row>
    <row r="22" spans="3:11">
      <c r="C22" s="102" t="s">
        <v>17</v>
      </c>
      <c r="D22" s="102"/>
      <c r="E22" s="260">
        <f>'Reg. Beta'!J16</f>
        <v>1.3772791620499489</v>
      </c>
      <c r="F22" s="103">
        <f>F21*(1+(1-F26)*F14)</f>
        <v>0.88313565182879805</v>
      </c>
      <c r="I22" s="376" t="s">
        <v>403</v>
      </c>
    </row>
    <row r="23" spans="3:11">
      <c r="C23" s="98" t="s">
        <v>129</v>
      </c>
      <c r="E23" s="258">
        <f>E17+E20*E22</f>
        <v>0.10936395810249744</v>
      </c>
      <c r="F23" s="99">
        <f>F17+F20*F22</f>
        <v>8.4656782591439911E-2</v>
      </c>
      <c r="I23" s="376" t="s">
        <v>402</v>
      </c>
      <c r="K23" s="105"/>
    </row>
    <row r="24" spans="3:11" ht="4.75" customHeight="1">
      <c r="C24" s="100"/>
      <c r="E24" s="257"/>
      <c r="F24" s="97"/>
      <c r="I24" s="376"/>
    </row>
    <row r="25" spans="3:11">
      <c r="C25" s="96" t="s">
        <v>130</v>
      </c>
      <c r="D25" s="96"/>
      <c r="E25" s="257">
        <f>F50</f>
        <v>4.5499999999999999E-2</v>
      </c>
      <c r="F25" s="205">
        <f>E25</f>
        <v>4.5499999999999999E-2</v>
      </c>
      <c r="I25" s="376" t="s">
        <v>397</v>
      </c>
    </row>
    <row r="26" spans="3:11">
      <c r="C26" s="102" t="s">
        <v>107</v>
      </c>
      <c r="D26" s="102"/>
      <c r="E26" s="257">
        <f>'Tax Rate'!D8</f>
        <v>0.21</v>
      </c>
      <c r="F26" s="97">
        <f>E26</f>
        <v>0.21</v>
      </c>
      <c r="I26" s="376" t="s">
        <v>473</v>
      </c>
    </row>
    <row r="27" spans="3:11">
      <c r="C27" s="98" t="s">
        <v>131</v>
      </c>
      <c r="E27" s="258">
        <f>E25*(1-E26)</f>
        <v>3.5944999999999998E-2</v>
      </c>
      <c r="F27" s="99">
        <f>F25*(1-F26)</f>
        <v>3.5944999999999998E-2</v>
      </c>
      <c r="I27" s="376"/>
      <c r="K27" s="105"/>
    </row>
    <row r="28" spans="3:11" ht="4.75" customHeight="1" thickBot="1">
      <c r="C28" s="100"/>
      <c r="E28" s="259"/>
      <c r="F28" s="101"/>
      <c r="I28" s="228"/>
    </row>
    <row r="29" spans="3:11" ht="13" thickBot="1">
      <c r="C29" s="513" t="s">
        <v>56</v>
      </c>
      <c r="D29" s="514"/>
      <c r="E29" s="515">
        <f>(E23*E13)+(E27*E12)</f>
        <v>0.10784671795216767</v>
      </c>
      <c r="F29" s="516">
        <f>(F23*F13)+(F27*F12)</f>
        <v>8.3650128802663884E-2</v>
      </c>
      <c r="I29" s="244"/>
    </row>
    <row r="30" spans="3:11">
      <c r="I30" s="228"/>
    </row>
    <row r="31" spans="3:11">
      <c r="C31" s="288" t="s">
        <v>296</v>
      </c>
      <c r="D31" s="300"/>
      <c r="E31" s="300"/>
      <c r="F31" s="300"/>
      <c r="I31" s="647"/>
    </row>
    <row r="32" spans="3:11" ht="4.75" customHeight="1">
      <c r="C32" s="517"/>
      <c r="D32" s="518"/>
      <c r="E32" s="518"/>
      <c r="F32" s="518"/>
      <c r="I32" s="228"/>
    </row>
    <row r="33" spans="3:9">
      <c r="C33" s="483"/>
      <c r="D33" s="519" t="s">
        <v>92</v>
      </c>
      <c r="E33" s="520" t="s">
        <v>299</v>
      </c>
      <c r="F33" s="520" t="s">
        <v>293</v>
      </c>
      <c r="I33" s="228"/>
    </row>
    <row r="34" spans="3:9">
      <c r="C34" s="1" t="s">
        <v>294</v>
      </c>
      <c r="D34" s="255">
        <f>Bonds!D8</f>
        <v>46003</v>
      </c>
      <c r="E34" s="113">
        <f>Bonds!O46</f>
        <v>97.240717125474717</v>
      </c>
      <c r="F34" s="113"/>
      <c r="I34" s="228"/>
    </row>
    <row r="35" spans="3:9">
      <c r="C35" s="31" t="s">
        <v>295</v>
      </c>
      <c r="D35" s="124"/>
      <c r="E35" s="44">
        <f>D48*E34/100</f>
        <v>51170.982572938556</v>
      </c>
      <c r="F35" s="243">
        <f>E35/E37</f>
        <v>2.0665509148353755E-2</v>
      </c>
      <c r="I35" s="228"/>
    </row>
    <row r="36" spans="3:9">
      <c r="C36" s="122" t="s">
        <v>297</v>
      </c>
      <c r="D36" s="106">
        <v>45001</v>
      </c>
      <c r="E36" s="46">
        <f>DCF!E43</f>
        <v>2424982.9899999998</v>
      </c>
      <c r="F36" s="211">
        <f>E36/E37</f>
        <v>0.97933449085164614</v>
      </c>
      <c r="I36" s="228"/>
    </row>
    <row r="37" spans="3:9">
      <c r="C37" s="123" t="s">
        <v>298</v>
      </c>
      <c r="D37" s="44"/>
      <c r="E37" s="36">
        <f>E35+E36</f>
        <v>2476153.9725729385</v>
      </c>
      <c r="F37" s="256">
        <f>E37/E37</f>
        <v>1</v>
      </c>
      <c r="I37" s="228"/>
    </row>
    <row r="38" spans="3:9">
      <c r="C38" s="261"/>
      <c r="D38" s="45"/>
      <c r="E38" s="262"/>
      <c r="F38" s="263"/>
      <c r="I38" s="228"/>
    </row>
    <row r="39" spans="3:9">
      <c r="C39" s="380" t="s">
        <v>471</v>
      </c>
      <c r="D39" s="45"/>
      <c r="E39" s="262"/>
      <c r="F39" s="263"/>
      <c r="I39" s="228"/>
    </row>
    <row r="40" spans="3:9">
      <c r="C40" s="378" t="s">
        <v>62</v>
      </c>
      <c r="D40" s="45"/>
      <c r="E40" s="262"/>
      <c r="F40" s="263"/>
      <c r="I40" s="228"/>
    </row>
    <row r="41" spans="3:9">
      <c r="C41" s="378" t="s">
        <v>224</v>
      </c>
      <c r="D41" s="45"/>
      <c r="E41" s="262"/>
      <c r="F41" s="263"/>
      <c r="I41" s="228"/>
    </row>
    <row r="42" spans="3:9">
      <c r="C42" s="378" t="s">
        <v>313</v>
      </c>
      <c r="D42" s="45"/>
      <c r="E42" s="262"/>
      <c r="F42" s="263"/>
      <c r="I42" s="228"/>
    </row>
    <row r="43" spans="3:9">
      <c r="C43" s="9"/>
      <c r="I43" s="228"/>
    </row>
    <row r="44" spans="3:9">
      <c r="C44" s="288" t="s">
        <v>226</v>
      </c>
      <c r="D44" s="300"/>
      <c r="E44" s="300"/>
      <c r="F44" s="300"/>
      <c r="I44" s="228"/>
    </row>
    <row r="45" spans="3:9" ht="4.75" customHeight="1">
      <c r="C45" s="517"/>
      <c r="D45" s="518"/>
      <c r="E45" s="518"/>
      <c r="F45" s="518"/>
      <c r="I45" s="228"/>
    </row>
    <row r="46" spans="3:9">
      <c r="C46" s="467"/>
      <c r="D46" s="519" t="s">
        <v>299</v>
      </c>
      <c r="E46" s="520" t="s">
        <v>293</v>
      </c>
      <c r="F46" s="520" t="s">
        <v>396</v>
      </c>
      <c r="I46" s="376"/>
    </row>
    <row r="47" spans="3:9">
      <c r="C47" s="1" t="s">
        <v>64</v>
      </c>
      <c r="D47" s="35">
        <f>'Actuals FS'!D29</f>
        <v>52623</v>
      </c>
      <c r="E47" s="253">
        <f>D47/$D$48</f>
        <v>1</v>
      </c>
      <c r="F47" s="104">
        <f>Bonds!$K$46</f>
        <v>4.5499999999999999E-2</v>
      </c>
      <c r="I47" s="376"/>
    </row>
    <row r="48" spans="3:9">
      <c r="C48" s="31" t="s">
        <v>163</v>
      </c>
      <c r="D48" s="44">
        <f>SUM(D47:D47)</f>
        <v>52623</v>
      </c>
      <c r="E48" s="111">
        <f>D48/$D$48</f>
        <v>1</v>
      </c>
      <c r="F48" s="33"/>
      <c r="I48" s="376"/>
    </row>
    <row r="49" spans="3:9" ht="4.75" customHeight="1" thickBot="1">
      <c r="C49" s="100"/>
      <c r="E49" s="101"/>
      <c r="F49" s="101"/>
    </row>
    <row r="50" spans="3:9" ht="13" thickBot="1">
      <c r="C50" s="521" t="s">
        <v>397</v>
      </c>
      <c r="D50" s="522"/>
      <c r="E50" s="522"/>
      <c r="F50" s="523">
        <f>SUMPRODUCT(E47:E47,F47:F47)</f>
        <v>4.5499999999999999E-2</v>
      </c>
    </row>
    <row r="51" spans="3:9">
      <c r="E51" s="37"/>
      <c r="F51" s="37"/>
      <c r="G51" s="37"/>
      <c r="H51" s="37"/>
      <c r="I51" s="37"/>
    </row>
    <row r="52" spans="3:9">
      <c r="C52" s="377" t="s">
        <v>744</v>
      </c>
      <c r="E52" s="37"/>
      <c r="F52" s="37"/>
      <c r="G52" s="37"/>
      <c r="H52" s="37"/>
      <c r="I52" s="37"/>
    </row>
    <row r="53" spans="3:9">
      <c r="C53" s="378"/>
      <c r="E53" s="37"/>
      <c r="F53" s="37"/>
      <c r="G53" s="37"/>
      <c r="H53" s="37"/>
      <c r="I53" s="37"/>
    </row>
    <row r="54" spans="3:9">
      <c r="C54" s="378"/>
      <c r="E54" s="37"/>
      <c r="F54" s="37"/>
      <c r="G54" s="37"/>
      <c r="H54" s="37"/>
      <c r="I54" s="37"/>
    </row>
    <row r="55" spans="3:9">
      <c r="C55" s="379"/>
      <c r="E55" s="37"/>
      <c r="F55" s="37"/>
      <c r="G55" s="37"/>
      <c r="H55" s="37"/>
      <c r="I55" s="37"/>
    </row>
    <row r="56" spans="3:9">
      <c r="C56" s="378"/>
      <c r="E56" s="37"/>
      <c r="F56" s="37"/>
      <c r="G56" s="37"/>
      <c r="H56" s="37"/>
      <c r="I56" s="37"/>
    </row>
    <row r="57" spans="3:9">
      <c r="E57" s="37"/>
      <c r="F57" s="37"/>
      <c r="G57" s="37"/>
      <c r="H57" s="37"/>
      <c r="I57" s="37"/>
    </row>
    <row r="58" spans="3:9">
      <c r="C58" s="292" t="s">
        <v>435</v>
      </c>
      <c r="D58" s="292"/>
      <c r="E58" s="301"/>
      <c r="F58" s="301"/>
      <c r="G58" s="301"/>
      <c r="H58" s="301"/>
      <c r="I58" s="301"/>
    </row>
    <row r="59" spans="3:9" ht="5.5" customHeight="1">
      <c r="C59" s="143"/>
      <c r="D59" s="143"/>
      <c r="E59" s="250"/>
      <c r="F59" s="250"/>
      <c r="G59" s="250"/>
      <c r="H59" s="250"/>
      <c r="I59" s="250"/>
    </row>
    <row r="60" spans="3:9">
      <c r="D60" s="492"/>
      <c r="E60" s="741" t="s">
        <v>130</v>
      </c>
      <c r="F60" s="741"/>
      <c r="G60" s="741"/>
      <c r="H60" s="741"/>
      <c r="I60" s="741"/>
    </row>
    <row r="61" spans="3:9">
      <c r="C61" s="6" t="s">
        <v>417</v>
      </c>
      <c r="D61" s="493" t="s">
        <v>430</v>
      </c>
      <c r="E61" s="346">
        <f>F61-0.01</f>
        <v>2.5499999999999995E-2</v>
      </c>
      <c r="F61" s="346">
        <f>G61-0.01</f>
        <v>3.5499999999999997E-2</v>
      </c>
      <c r="G61" s="347">
        <f>E25</f>
        <v>4.5499999999999999E-2</v>
      </c>
      <c r="H61" s="346">
        <f>G61+0.01</f>
        <v>5.5500000000000001E-2</v>
      </c>
      <c r="I61" s="346">
        <f>H61+0.01</f>
        <v>6.5500000000000003E-2</v>
      </c>
    </row>
    <row r="62" spans="3:9">
      <c r="C62" s="217" t="s">
        <v>433</v>
      </c>
      <c r="D62" s="310">
        <f>D63-0.01</f>
        <v>6.6550914835375452E-4</v>
      </c>
      <c r="E62" s="251">
        <f t="shared" ref="E62:I66" si="1">E$61*(1-$E$26)*$D62+(1-$D62)*($E$17+$E$20*($E$21*(1+(1-$E$26)*($D62/(1-$D62)))))</f>
        <v>0.10821178907569519</v>
      </c>
      <c r="F62" s="251">
        <f t="shared" si="1"/>
        <v>0.10821704659796719</v>
      </c>
      <c r="G62" s="348">
        <f t="shared" si="1"/>
        <v>0.10822230412023917</v>
      </c>
      <c r="H62" s="251">
        <f t="shared" si="1"/>
        <v>0.10822756164251117</v>
      </c>
      <c r="I62" s="251">
        <f t="shared" si="1"/>
        <v>0.10823281916478317</v>
      </c>
    </row>
    <row r="63" spans="3:9" ht="13" thickBot="1">
      <c r="C63" s="3" t="s">
        <v>434</v>
      </c>
      <c r="D63" s="310">
        <f>D64-0.01</f>
        <v>1.0665509148353755E-2</v>
      </c>
      <c r="E63" s="251">
        <f t="shared" si="1"/>
        <v>0.10786599599165946</v>
      </c>
      <c r="F63" s="251">
        <f t="shared" si="1"/>
        <v>0.10795025351393145</v>
      </c>
      <c r="G63" s="348">
        <f t="shared" si="1"/>
        <v>0.10803451103620344</v>
      </c>
      <c r="H63" s="251">
        <f t="shared" si="1"/>
        <v>0.10811876855847544</v>
      </c>
      <c r="I63" s="251">
        <f t="shared" si="1"/>
        <v>0.10820302608074743</v>
      </c>
    </row>
    <row r="64" spans="3:9" ht="13" thickBot="1">
      <c r="D64" s="349">
        <f>E12</f>
        <v>2.0665509148353755E-2</v>
      </c>
      <c r="E64" s="350">
        <f t="shared" si="1"/>
        <v>0.10752020290762369</v>
      </c>
      <c r="F64" s="350">
        <f t="shared" si="1"/>
        <v>0.10768346042989568</v>
      </c>
      <c r="G64" s="351">
        <f t="shared" si="1"/>
        <v>0.10784671795216769</v>
      </c>
      <c r="H64" s="350">
        <f t="shared" si="1"/>
        <v>0.10800997547443968</v>
      </c>
      <c r="I64" s="350">
        <f t="shared" si="1"/>
        <v>0.10817323299671168</v>
      </c>
    </row>
    <row r="65" spans="3:11">
      <c r="D65" s="310">
        <f>D64+0.01</f>
        <v>3.0665509148353753E-2</v>
      </c>
      <c r="E65" s="251">
        <f t="shared" si="1"/>
        <v>0.10717440982358795</v>
      </c>
      <c r="F65" s="251">
        <f t="shared" si="1"/>
        <v>0.10741666734585993</v>
      </c>
      <c r="G65" s="348">
        <f t="shared" si="1"/>
        <v>0.10765892486813193</v>
      </c>
      <c r="H65" s="251">
        <f t="shared" si="1"/>
        <v>0.10790118239040393</v>
      </c>
      <c r="I65" s="251">
        <f t="shared" si="1"/>
        <v>0.10814343991267591</v>
      </c>
    </row>
    <row r="66" spans="3:11">
      <c r="D66" s="310">
        <f>D65+0.01</f>
        <v>4.0665509148353755E-2</v>
      </c>
      <c r="E66" s="251">
        <f t="shared" si="1"/>
        <v>0.10682861673955223</v>
      </c>
      <c r="F66" s="251">
        <f t="shared" si="1"/>
        <v>0.10714987426182422</v>
      </c>
      <c r="G66" s="348">
        <f t="shared" si="1"/>
        <v>0.10747113178409622</v>
      </c>
      <c r="H66" s="251">
        <f t="shared" si="1"/>
        <v>0.10779238930636821</v>
      </c>
      <c r="I66" s="251">
        <f t="shared" si="1"/>
        <v>0.10811364682864021</v>
      </c>
    </row>
    <row r="67" spans="3:11" ht="5.5" customHeight="1">
      <c r="C67" s="143"/>
      <c r="D67" s="143"/>
      <c r="E67" s="250"/>
      <c r="F67" s="250"/>
      <c r="G67" s="250"/>
      <c r="H67" s="250"/>
      <c r="I67" s="250"/>
      <c r="J67" s="143"/>
    </row>
    <row r="68" spans="3:11">
      <c r="D68" s="494" t="s">
        <v>211</v>
      </c>
      <c r="E68" s="524">
        <f>MAX(E62:I66)</f>
        <v>0.10823281916478317</v>
      </c>
      <c r="F68" s="525"/>
      <c r="G68" s="526"/>
      <c r="H68" s="527" t="s">
        <v>171</v>
      </c>
      <c r="I68" s="524">
        <f>MEDIAN(E62:I66)</f>
        <v>0.10795025351393145</v>
      </c>
    </row>
    <row r="69" spans="3:11">
      <c r="D69" s="497" t="s">
        <v>212</v>
      </c>
      <c r="E69" s="528">
        <f>MIN(E62:I66)</f>
        <v>0.10682861673955223</v>
      </c>
      <c r="F69" s="529"/>
      <c r="G69" s="530"/>
      <c r="H69" s="531" t="s">
        <v>75</v>
      </c>
      <c r="I69" s="528">
        <f>AVERAGE(E62:I66)</f>
        <v>0.10784671795216771</v>
      </c>
    </row>
    <row r="70" spans="3:11">
      <c r="E70" s="37"/>
      <c r="F70" s="37"/>
      <c r="G70" s="37"/>
      <c r="H70" s="37"/>
      <c r="I70" s="37"/>
    </row>
    <row r="71" spans="3:11">
      <c r="C71" s="292" t="s">
        <v>443</v>
      </c>
      <c r="D71" s="292"/>
      <c r="E71" s="301"/>
      <c r="F71" s="301"/>
      <c r="G71" s="301"/>
      <c r="H71" s="301"/>
      <c r="I71" s="37"/>
    </row>
    <row r="72" spans="3:11" ht="5.5" customHeight="1">
      <c r="C72" s="143"/>
      <c r="D72" s="143"/>
      <c r="E72" s="250"/>
      <c r="F72" s="250"/>
      <c r="G72" s="250"/>
      <c r="H72" s="250"/>
      <c r="I72" s="37"/>
    </row>
    <row r="73" spans="3:11" ht="15">
      <c r="C73" s="467" t="s">
        <v>428</v>
      </c>
      <c r="D73" s="532" t="s">
        <v>173</v>
      </c>
      <c r="E73" s="533" t="s">
        <v>214</v>
      </c>
      <c r="F73" s="534" t="s">
        <v>107</v>
      </c>
      <c r="G73" s="534" t="s">
        <v>444</v>
      </c>
      <c r="H73" s="534" t="s">
        <v>442</v>
      </c>
      <c r="I73" s="37"/>
      <c r="J73"/>
      <c r="K73"/>
    </row>
    <row r="74" spans="3:11" ht="15">
      <c r="C74" s="1" t="s">
        <v>794</v>
      </c>
      <c r="D74" s="252" t="str">
        <f>Multiples!G28</f>
        <v>USA</v>
      </c>
      <c r="E74" s="254">
        <f>'Peer Mkt Info'!H10</f>
        <v>1.03</v>
      </c>
      <c r="F74" s="212">
        <f>'Tax Rate'!D8</f>
        <v>0.21</v>
      </c>
      <c r="G74" s="253">
        <f>VLOOKUP(C74,'Peer Fin Info'!$D$11:$S$20,16,FALSE)</f>
        <v>0.16678601725258624</v>
      </c>
      <c r="H74" s="254">
        <f>E74/(1+(1-F74)*G74)</f>
        <v>0.91008617738295616</v>
      </c>
      <c r="I74" s="37"/>
      <c r="J74"/>
      <c r="K74"/>
    </row>
    <row r="75" spans="3:11" ht="15">
      <c r="C75" s="1" t="s">
        <v>795</v>
      </c>
      <c r="D75" s="252" t="str">
        <f>Multiples!G29</f>
        <v>USA</v>
      </c>
      <c r="E75" s="254">
        <f>'Peer Mkt Info'!H11</f>
        <v>0.93</v>
      </c>
      <c r="F75" s="212">
        <f>'Tax Rate'!D8</f>
        <v>0.21</v>
      </c>
      <c r="G75" s="253">
        <f>VLOOKUP(C75,'Peer Fin Info'!$D$11:$S$20,16,FALSE)</f>
        <v>8.7143643681161745E-2</v>
      </c>
      <c r="H75" s="254">
        <f t="shared" ref="H75:H83" si="2">E75/(1+(1-F75)*G75)</f>
        <v>0.87009933512256232</v>
      </c>
      <c r="I75" s="37"/>
      <c r="J75"/>
      <c r="K75"/>
    </row>
    <row r="76" spans="3:11" ht="15">
      <c r="C76" s="1" t="s">
        <v>796</v>
      </c>
      <c r="D76" s="252" t="str">
        <f>Multiples!G30</f>
        <v>USA</v>
      </c>
      <c r="E76" s="254">
        <f>'Peer Mkt Info'!H12</f>
        <v>1.48</v>
      </c>
      <c r="F76" s="212">
        <f>'Tax Rate'!D8</f>
        <v>0.21</v>
      </c>
      <c r="G76" s="253">
        <f>VLOOKUP(C76,'Peer Fin Info'!$D$11:$S$20,16,FALSE)</f>
        <v>0.26310636587552688</v>
      </c>
      <c r="H76" s="254">
        <f t="shared" si="2"/>
        <v>1.2253136259968926</v>
      </c>
      <c r="I76" s="37"/>
      <c r="J76"/>
      <c r="K76"/>
    </row>
    <row r="77" spans="3:11" ht="15">
      <c r="C77" s="1" t="s">
        <v>797</v>
      </c>
      <c r="D77" s="252" t="str">
        <f>Multiples!G31</f>
        <v>USA</v>
      </c>
      <c r="E77" s="254">
        <f>'Peer Mkt Info'!H13</f>
        <v>1.86</v>
      </c>
      <c r="F77" s="212">
        <f>'Tax Rate'!D8</f>
        <v>0.21</v>
      </c>
      <c r="G77" s="253">
        <f>VLOOKUP(C77,'Peer Fin Info'!$D$11:$S$20,16,FALSE)</f>
        <v>4.0839872607282395</v>
      </c>
      <c r="H77" s="254">
        <f t="shared" si="2"/>
        <v>0.44009607064654255</v>
      </c>
      <c r="I77" s="37"/>
      <c r="J77"/>
      <c r="K77"/>
    </row>
    <row r="78" spans="3:11" ht="15">
      <c r="C78" s="1" t="s">
        <v>807</v>
      </c>
      <c r="D78" s="252" t="str">
        <f>Multiples!G32</f>
        <v>USA</v>
      </c>
      <c r="E78" s="254">
        <f>'Peer Mkt Info'!H14</f>
        <v>2.86</v>
      </c>
      <c r="F78" s="212">
        <f>'Tax Rate'!D8</f>
        <v>0.21</v>
      </c>
      <c r="G78" s="253">
        <f>VLOOKUP(C78,'Peer Fin Info'!$D$11:$S$20,16,FALSE)</f>
        <v>0.66747307632277197</v>
      </c>
      <c r="H78" s="254">
        <f>E78/(1+(1-F78)*G78)</f>
        <v>1.8725810349769836</v>
      </c>
      <c r="I78" s="37"/>
      <c r="J78"/>
      <c r="K78"/>
    </row>
    <row r="79" spans="3:11" ht="15">
      <c r="C79" s="1" t="s">
        <v>810</v>
      </c>
      <c r="D79" s="252" t="str">
        <f>Multiples!G33</f>
        <v>USA</v>
      </c>
      <c r="E79" s="254">
        <f>'Peer Mkt Info'!H15</f>
        <v>1.1200000000000001</v>
      </c>
      <c r="F79" s="212">
        <f>'Tax Rate'!D8</f>
        <v>0.21</v>
      </c>
      <c r="G79" s="253">
        <f>VLOOKUP(C79,'Peer Fin Info'!$D$11:$S$20,16,FALSE)</f>
        <v>0.28024276505280482</v>
      </c>
      <c r="H79" s="254">
        <f t="shared" si="2"/>
        <v>0.9169866821707735</v>
      </c>
      <c r="I79" s="37"/>
      <c r="J79"/>
      <c r="K79"/>
    </row>
    <row r="80" spans="3:11" ht="15">
      <c r="C80" s="1" t="s">
        <v>813</v>
      </c>
      <c r="D80" s="252" t="str">
        <f>Multiples!G34</f>
        <v>USA</v>
      </c>
      <c r="E80" s="254">
        <f>'Peer Mkt Info'!H16</f>
        <v>1.46</v>
      </c>
      <c r="F80" s="212">
        <f>'Tax Rate'!D8</f>
        <v>0.21</v>
      </c>
      <c r="G80" s="253">
        <f>VLOOKUP(C80,'Peer Fin Info'!$D$11:$S$20,16,FALSE)</f>
        <v>1.2928843300432231</v>
      </c>
      <c r="H80" s="254">
        <f t="shared" si="2"/>
        <v>0.72227933204801653</v>
      </c>
      <c r="I80" s="37"/>
      <c r="J80"/>
      <c r="K80"/>
    </row>
    <row r="81" spans="3:11" ht="15">
      <c r="C81" s="1" t="s">
        <v>816</v>
      </c>
      <c r="D81" s="252" t="str">
        <f>Multiples!G35</f>
        <v>China</v>
      </c>
      <c r="E81" s="254">
        <f>'Peer Mkt Info'!H17</f>
        <v>0.32</v>
      </c>
      <c r="F81" s="212">
        <v>0.25</v>
      </c>
      <c r="G81" s="253">
        <f>VLOOKUP(C81,'Peer Fin Info'!$D$11:$S$20,16,FALSE)</f>
        <v>0.24568800762087342</v>
      </c>
      <c r="H81" s="254">
        <f t="shared" si="2"/>
        <v>0.27020956310117433</v>
      </c>
      <c r="I81" s="37"/>
      <c r="J81"/>
      <c r="K81"/>
    </row>
    <row r="82" spans="3:11" ht="15">
      <c r="C82" s="1" t="s">
        <v>819</v>
      </c>
      <c r="D82" s="252" t="str">
        <f>Multiples!G36</f>
        <v>USA</v>
      </c>
      <c r="E82" s="254">
        <f>'Peer Mkt Info'!H18</f>
        <v>1.03</v>
      </c>
      <c r="F82" s="212">
        <f>'Tax Rate'!D8</f>
        <v>0.21</v>
      </c>
      <c r="G82" s="253">
        <f>VLOOKUP(C82,'Peer Fin Info'!$D$11:$S$20,16,FALSE)</f>
        <v>1.3380304612588665</v>
      </c>
      <c r="H82" s="254">
        <f t="shared" si="2"/>
        <v>0.50071849107577715</v>
      </c>
      <c r="I82" s="37"/>
      <c r="J82"/>
      <c r="K82"/>
    </row>
    <row r="83" spans="3:11" ht="15">
      <c r="C83" s="28" t="s">
        <v>821</v>
      </c>
      <c r="D83" s="252" t="str">
        <f>Multiples!G37</f>
        <v>USA</v>
      </c>
      <c r="E83" s="254">
        <f>'Peer Mkt Info'!H19</f>
        <v>1.38</v>
      </c>
      <c r="F83" s="212">
        <f>'Tax Rate'!D8</f>
        <v>0.21</v>
      </c>
      <c r="G83" s="253">
        <f>VLOOKUP(C83,'Peer Fin Info'!$D$11:$S$20,16,FALSE)</f>
        <v>0.55725516282920939</v>
      </c>
      <c r="H83" s="254">
        <f t="shared" si="2"/>
        <v>0.95817924038843971</v>
      </c>
      <c r="I83" s="37"/>
      <c r="J83"/>
      <c r="K83"/>
    </row>
    <row r="84" spans="3:11" ht="15">
      <c r="C84" s="477" t="s">
        <v>212</v>
      </c>
      <c r="D84" s="477"/>
      <c r="E84" s="535">
        <f>MIN(E74:E83)</f>
        <v>0.32</v>
      </c>
      <c r="F84" s="536"/>
      <c r="G84" s="537">
        <f>MIN(G74:G83)</f>
        <v>8.7143643681161745E-2</v>
      </c>
      <c r="H84" s="535">
        <f>MIN(H74:H83)</f>
        <v>0.27020956310117433</v>
      </c>
      <c r="I84" s="37"/>
      <c r="J84"/>
      <c r="K84"/>
    </row>
    <row r="85" spans="3:11" ht="15">
      <c r="C85" s="480" t="s">
        <v>171</v>
      </c>
      <c r="D85" s="480"/>
      <c r="E85" s="538">
        <f>MEDIAN(E74:E83)</f>
        <v>1.25</v>
      </c>
      <c r="F85" s="539"/>
      <c r="G85" s="540">
        <f>MEDIAN(G74:G83)</f>
        <v>0.41874896394100714</v>
      </c>
      <c r="H85" s="538">
        <f>MEDIAN(H74:H83)</f>
        <v>0.89009275625275919</v>
      </c>
      <c r="I85" s="37"/>
      <c r="J85"/>
      <c r="K85"/>
    </row>
    <row r="86" spans="3:11" ht="15">
      <c r="C86" s="480" t="s">
        <v>172</v>
      </c>
      <c r="D86" s="480"/>
      <c r="E86" s="538">
        <f>AVERAGE(E74:E83)</f>
        <v>1.3470000000000002</v>
      </c>
      <c r="F86" s="539"/>
      <c r="G86" s="540">
        <f>AVERAGE(G74:G83)</f>
        <v>0.89825970906652641</v>
      </c>
      <c r="H86" s="538">
        <f>AVERAGE(H74:H83)</f>
        <v>0.86865495529101189</v>
      </c>
      <c r="I86" s="37"/>
      <c r="J86"/>
      <c r="K86"/>
    </row>
    <row r="87" spans="3:11" ht="15">
      <c r="C87" s="480" t="s">
        <v>211</v>
      </c>
      <c r="D87" s="480"/>
      <c r="E87" s="538">
        <f>MAX(E74:E83)</f>
        <v>2.86</v>
      </c>
      <c r="F87" s="539"/>
      <c r="G87" s="540">
        <f>MAX(G74:G83)</f>
        <v>4.0839872607282395</v>
      </c>
      <c r="H87" s="538">
        <f>MAX(H74:H83)</f>
        <v>1.8725810349769836</v>
      </c>
      <c r="I87" s="37"/>
      <c r="J87"/>
      <c r="K87"/>
    </row>
    <row r="88" spans="3:11" ht="15">
      <c r="J88"/>
      <c r="K88"/>
    </row>
    <row r="89" spans="3:11" ht="15">
      <c r="C89" s="376" t="s">
        <v>571</v>
      </c>
      <c r="J89"/>
      <c r="K89"/>
    </row>
    <row r="90" spans="3:11" ht="15">
      <c r="C90" s="377" t="s">
        <v>470</v>
      </c>
      <c r="J90"/>
      <c r="K90"/>
    </row>
    <row r="91" spans="3:11" ht="15">
      <c r="C91" s="378" t="s">
        <v>219</v>
      </c>
      <c r="J91"/>
      <c r="K91"/>
    </row>
    <row r="92" spans="3:11">
      <c r="C92" s="378" t="s">
        <v>460</v>
      </c>
    </row>
    <row r="93" spans="3:11">
      <c r="C93" s="378" t="s">
        <v>866</v>
      </c>
    </row>
  </sheetData>
  <mergeCells count="1">
    <mergeCell ref="E60:I60"/>
  </mergeCells>
  <hyperlinks>
    <hyperlink ref="C93" r:id="rId1" location=":~:text=A%20non%2DTRE%20with%20an,standard%20tax%20rate%20is%2025%25." xr:uid="{A2BCA6DC-F4E1-9443-B20B-A3D36D2B7CD6}"/>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3460A-F0A2-4EDF-954B-0D3DFD93D4D2}">
  <sheetPr>
    <tabColor rgb="FFAFDEFF"/>
  </sheetPr>
  <dimension ref="B1:W89"/>
  <sheetViews>
    <sheetView showGridLines="0" topLeftCell="A3" zoomScaleNormal="92" workbookViewId="0">
      <selection activeCell="AB43" sqref="AB43"/>
    </sheetView>
  </sheetViews>
  <sheetFormatPr baseColWidth="10" defaultColWidth="8.83203125" defaultRowHeight="12"/>
  <cols>
    <col min="1" max="2" width="3.1640625" style="1" customWidth="1"/>
    <col min="3" max="3" width="15.1640625" style="1" customWidth="1"/>
    <col min="4" max="4" width="9" style="1" bestFit="1" customWidth="1"/>
    <col min="5" max="6" width="9.5" style="1" bestFit="1" customWidth="1"/>
    <col min="7" max="10" width="9.33203125" style="1" bestFit="1" customWidth="1"/>
    <col min="11" max="11" width="9" style="1" bestFit="1" customWidth="1"/>
    <col min="12" max="12" width="9.33203125" style="1" bestFit="1" customWidth="1"/>
    <col min="13" max="13" width="8.83203125" style="1" customWidth="1"/>
    <col min="14" max="14" width="12.6640625" style="1" customWidth="1"/>
    <col min="15" max="15" width="10" style="1" bestFit="1" customWidth="1"/>
    <col min="16" max="16" width="9" style="1" bestFit="1" customWidth="1"/>
    <col min="17" max="17" width="8.83203125" style="1"/>
    <col min="18" max="18" width="10" style="1" bestFit="1" customWidth="1"/>
    <col min="19" max="19" width="9.33203125" style="1" bestFit="1" customWidth="1"/>
    <col min="20" max="23" width="9" style="1" bestFit="1" customWidth="1"/>
    <col min="24" max="16384" width="8.83203125" style="1"/>
  </cols>
  <sheetData>
    <row r="1" spans="2:10" s="457" customFormat="1"/>
    <row r="2" spans="2:10" s="457" customFormat="1" ht="18">
      <c r="B2" s="462"/>
    </row>
    <row r="3" spans="2:10" s="457" customFormat="1" ht="13">
      <c r="B3" s="459"/>
      <c r="C3" s="461" t="s">
        <v>26</v>
      </c>
    </row>
    <row r="4" spans="2:10" s="457" customFormat="1">
      <c r="B4" s="459"/>
      <c r="C4" s="460" t="s">
        <v>23</v>
      </c>
    </row>
    <row r="5" spans="2:10" s="457" customFormat="1" ht="7.75" customHeight="1">
      <c r="B5" s="459"/>
    </row>
    <row r="6" spans="2:10">
      <c r="B6" s="4"/>
    </row>
    <row r="7" spans="2:10">
      <c r="B7" s="4"/>
    </row>
    <row r="8" spans="2:10">
      <c r="C8" s="293" t="s">
        <v>106</v>
      </c>
      <c r="D8" s="294"/>
      <c r="E8" s="294"/>
      <c r="I8" s="1" t="s">
        <v>906</v>
      </c>
    </row>
    <row r="9" spans="2:10" ht="5.5" customHeight="1">
      <c r="C9" s="143"/>
      <c r="D9" s="143"/>
      <c r="E9" s="143"/>
      <c r="F9" s="143"/>
      <c r="G9" s="143"/>
      <c r="I9" s="143"/>
      <c r="J9" s="143"/>
    </row>
    <row r="10" spans="2:10">
      <c r="C10" s="487" t="s">
        <v>562</v>
      </c>
      <c r="D10" s="488"/>
      <c r="E10" s="487" t="str">
        <f>IF(Scenarios!D8=1,Scenarios!C9,IF(Scenarios!D8=2,Scenarios!C10,Scenarios!C11))</f>
        <v>Base Case</v>
      </c>
      <c r="H10" s="143"/>
    </row>
    <row r="11" spans="2:10">
      <c r="C11" s="68" t="s">
        <v>107</v>
      </c>
      <c r="D11" s="69"/>
      <c r="E11" s="269">
        <f>'Tax Rate'!D8</f>
        <v>0.21</v>
      </c>
    </row>
    <row r="12" spans="2:10">
      <c r="C12" s="70" t="s">
        <v>108</v>
      </c>
      <c r="E12" s="270">
        <f>WACC!E29</f>
        <v>0.10784671795216767</v>
      </c>
    </row>
    <row r="13" spans="2:10">
      <c r="C13" s="71" t="s">
        <v>487</v>
      </c>
      <c r="E13" s="403">
        <v>0.03</v>
      </c>
    </row>
    <row r="14" spans="2:10">
      <c r="C14" s="71" t="s">
        <v>877</v>
      </c>
      <c r="E14" s="271">
        <f>'AMZN daily'!G8</f>
        <v>226.19</v>
      </c>
    </row>
    <row r="15" spans="2:10">
      <c r="C15" s="71" t="s">
        <v>110</v>
      </c>
      <c r="E15" s="272">
        <f>'Actuals FS'!D68</f>
        <v>10721</v>
      </c>
    </row>
    <row r="16" spans="2:10">
      <c r="C16" s="71" t="s">
        <v>442</v>
      </c>
      <c r="E16" s="271">
        <f>WACC!E21</f>
        <v>1.3546960384356301</v>
      </c>
    </row>
    <row r="17" spans="2:18">
      <c r="C17" s="71" t="s">
        <v>132</v>
      </c>
      <c r="E17" s="273">
        <f>WACC!E20</f>
        <v>0.05</v>
      </c>
    </row>
    <row r="18" spans="2:18">
      <c r="C18" s="71" t="s">
        <v>497</v>
      </c>
      <c r="E18" s="273">
        <f>WACC!E17</f>
        <v>4.0500000000000001E-2</v>
      </c>
    </row>
    <row r="19" spans="2:18">
      <c r="C19" s="71" t="s">
        <v>130</v>
      </c>
      <c r="E19" s="273">
        <f>WACC!E25</f>
        <v>4.5499999999999999E-2</v>
      </c>
    </row>
    <row r="20" spans="2:18">
      <c r="C20" s="72" t="s">
        <v>498</v>
      </c>
      <c r="D20" s="73"/>
      <c r="E20" s="391">
        <f>WACC!E34</f>
        <v>97.240717125474717</v>
      </c>
    </row>
    <row r="21" spans="2:18">
      <c r="C21" s="67"/>
      <c r="D21" s="74"/>
    </row>
    <row r="22" spans="2:18">
      <c r="C22" s="292" t="s">
        <v>411</v>
      </c>
      <c r="D22" s="292"/>
      <c r="E22" s="292"/>
      <c r="F22" s="292"/>
      <c r="G22" s="292"/>
      <c r="H22" s="292"/>
      <c r="I22" s="292"/>
      <c r="J22" s="292"/>
      <c r="K22" s="292"/>
      <c r="L22" s="292"/>
      <c r="M22" s="292"/>
      <c r="N22" s="292"/>
      <c r="O22" s="292"/>
    </row>
    <row r="23" spans="2:18" ht="5.5" customHeight="1">
      <c r="C23" s="143"/>
      <c r="D23" s="143"/>
      <c r="E23" s="143"/>
      <c r="F23" s="143"/>
      <c r="G23" s="143"/>
      <c r="H23" s="143"/>
      <c r="I23" s="143"/>
      <c r="J23" s="143"/>
    </row>
    <row r="24" spans="2:18">
      <c r="C24" s="483"/>
      <c r="D24" s="483"/>
      <c r="E24" s="485" t="s">
        <v>120</v>
      </c>
      <c r="F24" s="585" t="s">
        <v>640</v>
      </c>
      <c r="G24" s="585" t="s">
        <v>641</v>
      </c>
      <c r="H24" s="585" t="s">
        <v>642</v>
      </c>
      <c r="I24" s="585" t="s">
        <v>643</v>
      </c>
      <c r="J24" s="585" t="s">
        <v>644</v>
      </c>
      <c r="K24" s="485" t="s">
        <v>121</v>
      </c>
      <c r="M24" s="489" t="s">
        <v>122</v>
      </c>
      <c r="N24" s="490"/>
      <c r="O24" s="490"/>
      <c r="R24" s="268"/>
    </row>
    <row r="25" spans="2:18">
      <c r="B25" s="4"/>
      <c r="C25" s="61" t="s">
        <v>92</v>
      </c>
      <c r="D25" s="61"/>
      <c r="E25" s="202">
        <v>45292</v>
      </c>
      <c r="F25" s="203">
        <f>DATE(YEAR($E$25)+F26,1,1)</f>
        <v>45658</v>
      </c>
      <c r="G25" s="203">
        <f t="shared" ref="G25:K25" si="0">DATE(YEAR($E$25)+G26,1,1)</f>
        <v>46023</v>
      </c>
      <c r="H25" s="203">
        <f t="shared" si="0"/>
        <v>46388</v>
      </c>
      <c r="I25" s="203">
        <f t="shared" si="0"/>
        <v>46753</v>
      </c>
      <c r="J25" s="203">
        <f t="shared" si="0"/>
        <v>47119</v>
      </c>
      <c r="K25" s="203">
        <f t="shared" si="0"/>
        <v>47119</v>
      </c>
      <c r="M25" s="67" t="s">
        <v>477</v>
      </c>
      <c r="N25" s="67"/>
      <c r="O25" s="89">
        <f>J38*(1+O26)</f>
        <v>354944.95729472634</v>
      </c>
      <c r="R25" s="268"/>
    </row>
    <row r="26" spans="2:18">
      <c r="B26" s="4"/>
      <c r="C26" s="62" t="s">
        <v>93</v>
      </c>
      <c r="D26" s="62"/>
      <c r="E26" s="1">
        <v>0</v>
      </c>
      <c r="F26" s="1">
        <f>E26+1</f>
        <v>1</v>
      </c>
      <c r="G26" s="1">
        <f>F26+1</f>
        <v>2</v>
      </c>
      <c r="H26" s="1">
        <f>G26+1</f>
        <v>3</v>
      </c>
      <c r="I26" s="1">
        <f>H26+1</f>
        <v>4</v>
      </c>
      <c r="J26" s="1">
        <f>I26+1</f>
        <v>5</v>
      </c>
      <c r="K26" s="1">
        <f>J26</f>
        <v>5</v>
      </c>
      <c r="M26" s="274" t="s">
        <v>478</v>
      </c>
      <c r="N26" s="64"/>
      <c r="O26" s="49">
        <f>E13</f>
        <v>0.03</v>
      </c>
    </row>
    <row r="27" spans="2:18">
      <c r="B27" s="4"/>
      <c r="C27" s="79" t="s">
        <v>91</v>
      </c>
      <c r="D27" s="79"/>
      <c r="E27" s="45">
        <f>'Forecasted FS'!E37</f>
        <v>637959</v>
      </c>
      <c r="F27" s="45">
        <f>'Forecasted FS'!F37</f>
        <v>682616.13</v>
      </c>
      <c r="G27" s="45">
        <f>'Forecasted FS'!G37</f>
        <v>744051.5817000001</v>
      </c>
      <c r="H27" s="45">
        <f>'Forecasted FS'!H37</f>
        <v>811016.22405300022</v>
      </c>
      <c r="I27" s="45">
        <f>'Forecasted FS'!I37</f>
        <v>892117.84645830037</v>
      </c>
      <c r="J27" s="45">
        <f>'Forecasted FS'!J37</f>
        <v>981329.63110413053</v>
      </c>
      <c r="K27" s="6"/>
      <c r="M27" s="66" t="s">
        <v>477</v>
      </c>
      <c r="N27" s="66"/>
      <c r="O27" s="78">
        <f>O25/(E12-O26)</f>
        <v>4559536.569195115</v>
      </c>
    </row>
    <row r="28" spans="2:18">
      <c r="B28" s="4"/>
      <c r="C28" s="64" t="s">
        <v>94</v>
      </c>
      <c r="D28" s="63"/>
      <c r="E28" s="81">
        <f>'Actuals FS'!D47/'Actuals FS'!E47-1</f>
        <v>0.1099089224666614</v>
      </c>
      <c r="F28" s="81">
        <f>F27/E27-1</f>
        <v>7.0000000000000062E-2</v>
      </c>
      <c r="G28" s="81">
        <f>G27/F27-1</f>
        <v>9.000000000000008E-2</v>
      </c>
      <c r="H28" s="81">
        <f>H27/G27-1</f>
        <v>9.000000000000008E-2</v>
      </c>
      <c r="I28" s="81">
        <f>I27/H27-1</f>
        <v>0.10000000000000009</v>
      </c>
      <c r="J28" s="81">
        <v>0.02</v>
      </c>
    </row>
    <row r="29" spans="2:18">
      <c r="B29" s="4"/>
      <c r="C29" s="63" t="s">
        <v>95</v>
      </c>
      <c r="D29" s="63"/>
      <c r="E29" s="27">
        <f>E31+E35</f>
        <v>121388</v>
      </c>
      <c r="F29" s="27">
        <f>F31+F35</f>
        <v>141375.57009881563</v>
      </c>
      <c r="G29" s="27">
        <f>G31+G35</f>
        <v>168388.70236691344</v>
      </c>
      <c r="H29" s="27">
        <f t="shared" ref="H29:J29" si="1">H31+H35</f>
        <v>194506.82150445998</v>
      </c>
      <c r="I29" s="27">
        <f t="shared" si="1"/>
        <v>224247.91464765649</v>
      </c>
      <c r="J29" s="27">
        <f t="shared" si="1"/>
        <v>254754.58304312598</v>
      </c>
      <c r="M29" s="489" t="s">
        <v>555</v>
      </c>
      <c r="N29" s="490"/>
      <c r="O29" s="490"/>
    </row>
    <row r="30" spans="2:18">
      <c r="B30" s="4"/>
      <c r="C30" s="64" t="s">
        <v>96</v>
      </c>
      <c r="D30" s="63"/>
      <c r="E30" s="82">
        <f t="shared" ref="E30:J30" si="2">E29/E27</f>
        <v>0.19027555062315918</v>
      </c>
      <c r="F30" s="82">
        <f>F29/F27</f>
        <v>0.20710845215277235</v>
      </c>
      <c r="G30" s="82">
        <f>G29/G27</f>
        <v>0.22631321068114787</v>
      </c>
      <c r="H30" s="82">
        <f t="shared" si="2"/>
        <v>0.23983098702073422</v>
      </c>
      <c r="I30" s="82">
        <f t="shared" si="2"/>
        <v>0.25136579829438305</v>
      </c>
      <c r="J30" s="82">
        <f t="shared" si="2"/>
        <v>0.25960143764994859</v>
      </c>
      <c r="M30" s="67" t="s">
        <v>556</v>
      </c>
      <c r="N30" s="67"/>
      <c r="O30" s="423">
        <f>O39/O37-1</f>
        <v>0.29534647011646564</v>
      </c>
    </row>
    <row r="31" spans="2:18">
      <c r="C31" s="63" t="s">
        <v>97</v>
      </c>
      <c r="D31" s="63"/>
      <c r="E31" s="27">
        <f>'Forecasted FS'!E47</f>
        <v>68593</v>
      </c>
      <c r="F31" s="27">
        <f>'Forecasted FS'!F47</f>
        <v>84211.461700000043</v>
      </c>
      <c r="G31" s="27">
        <f>'Forecasted FS'!G47</f>
        <v>106493.91518950004</v>
      </c>
      <c r="H31" s="27">
        <f>'Forecasted FS'!H47</f>
        <v>127489.86301348014</v>
      </c>
      <c r="I31" s="27">
        <f>'Forecasted FS'!I47</f>
        <v>151684.89391203198</v>
      </c>
      <c r="J31" s="27">
        <f>'Forecasted FS'!J47</f>
        <v>176186.52957069973</v>
      </c>
      <c r="M31" s="63" t="s">
        <v>554</v>
      </c>
      <c r="N31" s="63"/>
      <c r="O31" s="424">
        <f>E18+E17*E16</f>
        <v>0.1082348019217815</v>
      </c>
    </row>
    <row r="32" spans="2:18">
      <c r="C32" s="64" t="s">
        <v>96</v>
      </c>
      <c r="D32" s="63"/>
      <c r="E32" s="82">
        <f>E31/E27</f>
        <v>0.1075194487420038</v>
      </c>
      <c r="F32" s="82">
        <f>F31/F27</f>
        <v>0.12336576591004382</v>
      </c>
      <c r="G32" s="82">
        <f t="shared" ref="G32:J32" si="3">G31/G27</f>
        <v>0.14312705974790621</v>
      </c>
      <c r="H32" s="82">
        <f t="shared" si="3"/>
        <v>0.15719767278681299</v>
      </c>
      <c r="I32" s="82">
        <f t="shared" si="3"/>
        <v>0.17002786628943656</v>
      </c>
      <c r="J32" s="82">
        <f t="shared" si="3"/>
        <v>0.17953858111108467</v>
      </c>
      <c r="M32" s="63" t="s">
        <v>416</v>
      </c>
      <c r="N32" s="63"/>
      <c r="O32" s="267">
        <f>XIRR(E40:K40,E25:K25)</f>
        <v>0.16202694773674015</v>
      </c>
    </row>
    <row r="33" spans="3:19">
      <c r="C33" s="65" t="s">
        <v>98</v>
      </c>
      <c r="D33" s="82">
        <f>E11</f>
        <v>0.21</v>
      </c>
      <c r="E33" s="27">
        <f>-$D$33*E31</f>
        <v>-14404.529999999999</v>
      </c>
      <c r="F33" s="27">
        <f>-$D$33*F31</f>
        <v>-17684.40695700001</v>
      </c>
      <c r="G33" s="27">
        <f>-$D$33*G31</f>
        <v>-22363.722189795008</v>
      </c>
      <c r="H33" s="27">
        <f t="shared" ref="H33:J33" si="4">-$D$33*H31</f>
        <v>-26772.871232830828</v>
      </c>
      <c r="I33" s="27">
        <f t="shared" si="4"/>
        <v>-31853.827721526715</v>
      </c>
      <c r="J33" s="27">
        <f t="shared" si="4"/>
        <v>-36999.171209846943</v>
      </c>
      <c r="M33" s="63" t="s">
        <v>415</v>
      </c>
      <c r="O33" s="424">
        <f>'Forecasted FS'!J153</f>
        <v>0.15583335121325628</v>
      </c>
    </row>
    <row r="34" spans="3:19">
      <c r="C34" s="66" t="s">
        <v>99</v>
      </c>
      <c r="D34" s="66"/>
      <c r="E34" s="53">
        <f>SUM(E31:E33)</f>
        <v>54188.577519448736</v>
      </c>
      <c r="F34" s="53">
        <f t="shared" ref="F34:J34" si="5">SUM(F31:F33)</f>
        <v>66527.178108765933</v>
      </c>
      <c r="G34" s="53">
        <f t="shared" si="5"/>
        <v>84130.336126764785</v>
      </c>
      <c r="H34" s="53">
        <f t="shared" si="5"/>
        <v>100717.14897832209</v>
      </c>
      <c r="I34" s="53">
        <f t="shared" si="5"/>
        <v>119831.23621837156</v>
      </c>
      <c r="J34" s="53">
        <f t="shared" si="5"/>
        <v>139187.5378994339</v>
      </c>
      <c r="K34" s="54"/>
      <c r="M34" s="63" t="s">
        <v>553</v>
      </c>
      <c r="O34" s="424">
        <f>E12</f>
        <v>0.10784671795216767</v>
      </c>
    </row>
    <row r="35" spans="3:19">
      <c r="C35" s="65" t="s">
        <v>100</v>
      </c>
      <c r="D35" s="63"/>
      <c r="E35" s="27">
        <f>'D&amp;A'!E22</f>
        <v>52795</v>
      </c>
      <c r="F35" s="27">
        <f>'D&amp;A'!F22</f>
        <v>57164.108398815595</v>
      </c>
      <c r="G35" s="27">
        <f>'D&amp;A'!G22</f>
        <v>61894.787177413389</v>
      </c>
      <c r="H35" s="27">
        <f>'D&amp;A'!H22</f>
        <v>67016.958490979843</v>
      </c>
      <c r="I35" s="27">
        <f>'D&amp;A'!I22</f>
        <v>72563.020735624523</v>
      </c>
      <c r="J35" s="27">
        <f>'D&amp;A'!J22</f>
        <v>78568.053472426254</v>
      </c>
    </row>
    <row r="36" spans="3:19">
      <c r="C36" s="65" t="s">
        <v>101</v>
      </c>
      <c r="D36" s="63"/>
      <c r="E36" s="27">
        <f>-'Forecasted FS'!E114</f>
        <v>82999</v>
      </c>
      <c r="F36" s="27">
        <f>-'Forecasted FS'!F114</f>
        <v>87743.222840000002</v>
      </c>
      <c r="G36" s="27">
        <f>-'Forecasted FS'!G114</f>
        <v>94492.43154085282</v>
      </c>
      <c r="H36" s="27">
        <f>-'Forecasted FS'!H114</f>
        <v>101760.78937497523</v>
      </c>
      <c r="I36" s="27">
        <f>-'Forecasted FS'!I114</f>
        <v>110593.6258927231</v>
      </c>
      <c r="J36" s="27">
        <f>-'Forecasted FS'!J114</f>
        <v>120193.15262021148</v>
      </c>
      <c r="M36" s="489" t="s">
        <v>124</v>
      </c>
      <c r="N36" s="490"/>
      <c r="O36" s="490"/>
    </row>
    <row r="37" spans="3:19">
      <c r="C37" s="65" t="s">
        <v>102</v>
      </c>
      <c r="D37" s="63"/>
      <c r="E37" s="27">
        <f>-E74</f>
        <v>5288</v>
      </c>
      <c r="F37" s="27">
        <f>-F74</f>
        <v>3706.3239770696819</v>
      </c>
      <c r="G37" s="27">
        <f>-G74</f>
        <v>4720.0039989344659</v>
      </c>
      <c r="H37" s="27">
        <f t="shared" ref="H37:J37" si="6">-H74</f>
        <v>5061.6739610010991</v>
      </c>
      <c r="I37" s="27">
        <f t="shared" si="6"/>
        <v>6152.7396968464745</v>
      </c>
      <c r="J37" s="27">
        <f t="shared" si="6"/>
        <v>6658.0106630025257</v>
      </c>
      <c r="M37" s="63" t="s">
        <v>111</v>
      </c>
      <c r="O37" s="95">
        <f>E49</f>
        <v>226.19</v>
      </c>
    </row>
    <row r="38" spans="3:19">
      <c r="C38" s="66" t="s">
        <v>103</v>
      </c>
      <c r="D38" s="66"/>
      <c r="E38" s="53">
        <f>SUM(E34:E37)</f>
        <v>195270.57751944874</v>
      </c>
      <c r="F38" s="53">
        <f>SUM(F34:F37)</f>
        <v>215140.83332465123</v>
      </c>
      <c r="G38" s="53">
        <f t="shared" ref="G38:J38" si="7">SUM(G34:G37)</f>
        <v>245237.55884396547</v>
      </c>
      <c r="H38" s="53">
        <f t="shared" si="7"/>
        <v>274556.57080527826</v>
      </c>
      <c r="I38" s="53">
        <f t="shared" si="7"/>
        <v>309140.62254356564</v>
      </c>
      <c r="J38" s="53">
        <f t="shared" si="7"/>
        <v>344606.7546550741</v>
      </c>
      <c r="K38" s="54"/>
      <c r="M38" s="63" t="s">
        <v>395</v>
      </c>
      <c r="N38" s="63"/>
      <c r="O38" s="95">
        <f>I49-E49</f>
        <v>66.804418075643355</v>
      </c>
    </row>
    <row r="39" spans="3:19">
      <c r="C39" s="67" t="s">
        <v>104</v>
      </c>
      <c r="D39" s="67"/>
      <c r="E39" s="27">
        <f>-E47</f>
        <v>-3023720.9899999998</v>
      </c>
      <c r="K39" s="27">
        <f>O27</f>
        <v>4559536.569195115</v>
      </c>
      <c r="M39" s="63" t="s">
        <v>112</v>
      </c>
      <c r="N39" s="63"/>
      <c r="O39" s="95">
        <f>I49</f>
        <v>292.99441807564335</v>
      </c>
    </row>
    <row r="40" spans="3:19">
      <c r="C40" s="63" t="s">
        <v>105</v>
      </c>
      <c r="D40" s="63"/>
      <c r="E40" s="27">
        <f>E39</f>
        <v>-3023720.9899999998</v>
      </c>
      <c r="F40" s="27">
        <f>F38</f>
        <v>215140.83332465123</v>
      </c>
      <c r="G40" s="27">
        <f>G38</f>
        <v>245237.55884396547</v>
      </c>
      <c r="H40" s="27">
        <f>H38</f>
        <v>274556.57080527826</v>
      </c>
      <c r="I40" s="27">
        <f>I38</f>
        <v>309140.62254356564</v>
      </c>
      <c r="J40" s="27">
        <f>J38</f>
        <v>344606.7546550741</v>
      </c>
      <c r="K40" s="27">
        <f>K39</f>
        <v>4559536.569195115</v>
      </c>
      <c r="Q40" s="389"/>
    </row>
    <row r="41" spans="3:19">
      <c r="C41" s="63"/>
      <c r="D41" s="63"/>
      <c r="E41" s="27"/>
      <c r="F41" s="27"/>
      <c r="G41" s="27"/>
      <c r="H41" s="27"/>
      <c r="I41" s="27"/>
      <c r="J41" s="27"/>
      <c r="K41" s="27"/>
    </row>
    <row r="42" spans="3:19" ht="15">
      <c r="C42" s="489" t="s">
        <v>111</v>
      </c>
      <c r="D42" s="491"/>
      <c r="E42" s="491"/>
      <c r="F42" s="80"/>
      <c r="G42" s="489" t="s">
        <v>112</v>
      </c>
      <c r="H42" s="491"/>
      <c r="I42" s="491"/>
      <c r="J42" s="47"/>
      <c r="M42"/>
      <c r="N42"/>
      <c r="O42"/>
      <c r="P42"/>
      <c r="Q42"/>
      <c r="R42"/>
      <c r="S42"/>
    </row>
    <row r="43" spans="3:19" ht="15">
      <c r="C43" s="75" t="s">
        <v>152</v>
      </c>
      <c r="D43" s="75"/>
      <c r="E43" s="76">
        <f>E14*E15</f>
        <v>2424982.9899999998</v>
      </c>
      <c r="F43" s="63"/>
      <c r="G43" s="75" t="s">
        <v>113</v>
      </c>
      <c r="H43" s="75"/>
      <c r="I43" s="90">
        <f>NPV(E12,F40:I40,J40+K40)</f>
        <v>3739931.1561889723</v>
      </c>
      <c r="M43"/>
      <c r="N43"/>
      <c r="O43"/>
      <c r="P43"/>
      <c r="Q43"/>
      <c r="R43"/>
      <c r="S43"/>
    </row>
    <row r="44" spans="3:19" ht="15">
      <c r="C44" s="65" t="s">
        <v>114</v>
      </c>
      <c r="D44" s="63"/>
      <c r="E44" s="77">
        <f>'Actuals FS'!D133</f>
        <v>52623</v>
      </c>
      <c r="F44" s="63"/>
      <c r="G44" s="65" t="s">
        <v>115</v>
      </c>
      <c r="H44" s="63"/>
      <c r="I44" s="92">
        <f>-E44</f>
        <v>-52623</v>
      </c>
      <c r="M44"/>
      <c r="N44"/>
      <c r="O44"/>
      <c r="P44"/>
      <c r="Q44"/>
      <c r="R44"/>
      <c r="S44"/>
    </row>
    <row r="45" spans="3:19" ht="15">
      <c r="C45" s="65" t="s">
        <v>116</v>
      </c>
      <c r="D45" s="63"/>
      <c r="E45" s="77">
        <f>-'Forecasted FS'!E62</f>
        <v>-78779</v>
      </c>
      <c r="F45" s="63"/>
      <c r="G45" s="65" t="s">
        <v>117</v>
      </c>
      <c r="H45" s="63"/>
      <c r="I45" s="92">
        <f>-E45</f>
        <v>78779</v>
      </c>
      <c r="M45"/>
      <c r="N45"/>
      <c r="O45"/>
      <c r="P45"/>
      <c r="Q45"/>
      <c r="R45"/>
      <c r="S45"/>
    </row>
    <row r="46" spans="3:19">
      <c r="C46" s="65" t="s">
        <v>197</v>
      </c>
      <c r="D46" s="63"/>
      <c r="E46" s="77">
        <f>'Actuals FS'!D42</f>
        <v>624894</v>
      </c>
      <c r="F46" s="63"/>
      <c r="G46" s="65" t="s">
        <v>196</v>
      </c>
      <c r="H46" s="63"/>
      <c r="I46" s="92">
        <f>-E46</f>
        <v>-624894</v>
      </c>
    </row>
    <row r="47" spans="3:19">
      <c r="C47" s="66" t="s">
        <v>113</v>
      </c>
      <c r="D47" s="66"/>
      <c r="E47" s="78">
        <f>SUM(E43:E46)</f>
        <v>3023720.9899999998</v>
      </c>
      <c r="F47" s="63"/>
      <c r="G47" s="66" t="s">
        <v>118</v>
      </c>
      <c r="H47" s="66"/>
      <c r="I47" s="91">
        <f>SUM(I43:I46)</f>
        <v>3141193.1561889723</v>
      </c>
    </row>
    <row r="48" spans="3:19" ht="6" customHeight="1" thickBot="1">
      <c r="C48" s="63"/>
      <c r="D48" s="63"/>
      <c r="E48" s="77"/>
      <c r="F48" s="63"/>
      <c r="G48" s="63"/>
      <c r="H48" s="63"/>
      <c r="I48" s="92"/>
    </row>
    <row r="49" spans="3:23" ht="13" thickBot="1">
      <c r="C49" s="66" t="s">
        <v>119</v>
      </c>
      <c r="D49" s="66"/>
      <c r="E49" s="201">
        <f>E14</f>
        <v>226.19</v>
      </c>
      <c r="F49" s="63"/>
      <c r="G49" s="318" t="s">
        <v>119</v>
      </c>
      <c r="H49" s="319"/>
      <c r="I49" s="320">
        <f>I47/E15</f>
        <v>292.99441807564335</v>
      </c>
    </row>
    <row r="50" spans="3:23">
      <c r="C50" s="63"/>
      <c r="D50" s="63"/>
      <c r="E50" s="63"/>
      <c r="F50" s="63"/>
      <c r="G50" s="63"/>
      <c r="H50" s="63"/>
      <c r="I50" s="93"/>
    </row>
    <row r="51" spans="3:23">
      <c r="C51" s="292" t="s">
        <v>457</v>
      </c>
      <c r="D51" s="292"/>
      <c r="E51" s="292"/>
      <c r="F51" s="292"/>
      <c r="G51" s="292"/>
      <c r="H51" s="292"/>
      <c r="I51" s="292"/>
      <c r="J51" s="292"/>
      <c r="K51" s="292"/>
      <c r="L51" s="292"/>
      <c r="M51" s="292"/>
      <c r="N51" s="292"/>
      <c r="O51" s="292"/>
      <c r="P51" s="292"/>
      <c r="Q51" s="292"/>
      <c r="R51" s="292"/>
      <c r="S51" s="292"/>
      <c r="T51" s="292"/>
      <c r="U51" s="292"/>
      <c r="V51" s="292"/>
      <c r="W51" s="292"/>
    </row>
    <row r="52" spans="3:23" ht="5.5" customHeight="1">
      <c r="C52" s="143"/>
      <c r="D52" s="143"/>
      <c r="E52" s="143"/>
      <c r="F52" s="143"/>
      <c r="G52" s="143"/>
      <c r="H52" s="143"/>
      <c r="I52" s="143"/>
      <c r="J52" s="143"/>
      <c r="Q52" s="143"/>
    </row>
    <row r="53" spans="3:23">
      <c r="C53" s="143"/>
      <c r="D53" s="309" t="s">
        <v>454</v>
      </c>
      <c r="E53" s="309"/>
      <c r="F53" s="309"/>
      <c r="G53" s="309"/>
      <c r="H53" s="309"/>
      <c r="I53" s="309"/>
      <c r="J53" s="231"/>
      <c r="K53" s="309" t="s">
        <v>118</v>
      </c>
      <c r="L53" s="309"/>
      <c r="M53" s="309"/>
      <c r="N53" s="309"/>
      <c r="O53" s="309"/>
      <c r="P53" s="309"/>
      <c r="Q53" s="231"/>
      <c r="R53" s="309" t="s">
        <v>113</v>
      </c>
      <c r="S53" s="309"/>
      <c r="T53" s="309"/>
      <c r="U53" s="309"/>
      <c r="V53" s="309"/>
      <c r="W53" s="309"/>
    </row>
    <row r="54" spans="3:23" ht="5.5" customHeight="1">
      <c r="C54" s="143"/>
      <c r="D54" s="143"/>
      <c r="E54" s="143"/>
      <c r="F54" s="143"/>
      <c r="G54" s="143"/>
      <c r="H54" s="143"/>
      <c r="I54" s="143"/>
      <c r="J54" s="143"/>
      <c r="Q54" s="143"/>
    </row>
    <row r="55" spans="3:23">
      <c r="C55" s="6" t="s">
        <v>417</v>
      </c>
      <c r="D55" s="492"/>
      <c r="E55" s="742" t="s">
        <v>56</v>
      </c>
      <c r="F55" s="742"/>
      <c r="G55" s="742"/>
      <c r="H55" s="742"/>
      <c r="I55" s="742"/>
      <c r="K55" s="492"/>
      <c r="L55" s="742" t="s">
        <v>56</v>
      </c>
      <c r="M55" s="742"/>
      <c r="N55" s="742"/>
      <c r="O55" s="742"/>
      <c r="P55" s="742"/>
      <c r="R55" s="492"/>
      <c r="S55" s="742" t="s">
        <v>56</v>
      </c>
      <c r="T55" s="742"/>
      <c r="U55" s="742"/>
      <c r="V55" s="742"/>
      <c r="W55" s="742"/>
    </row>
    <row r="56" spans="3:23">
      <c r="C56" s="217" t="s">
        <v>418</v>
      </c>
      <c r="D56" s="493" t="s">
        <v>495</v>
      </c>
      <c r="E56" s="310">
        <f>F56-0.01</f>
        <v>8.7846717952167683E-2</v>
      </c>
      <c r="F56" s="310">
        <f>G56-0.01</f>
        <v>9.7846717952167678E-2</v>
      </c>
      <c r="G56" s="311">
        <f>E12</f>
        <v>0.10784671795216767</v>
      </c>
      <c r="H56" s="310">
        <f>G56+0.01</f>
        <v>0.11784671795216767</v>
      </c>
      <c r="I56" s="310">
        <f>H56+0.01</f>
        <v>0.12784671795216768</v>
      </c>
      <c r="K56" s="493" t="s">
        <v>495</v>
      </c>
      <c r="L56" s="310">
        <f>M56-0.01</f>
        <v>8.7846717952167683E-2</v>
      </c>
      <c r="M56" s="310">
        <f>N56-0.01</f>
        <v>9.7846717952167678E-2</v>
      </c>
      <c r="N56" s="311">
        <f>G56</f>
        <v>0.10784671795216767</v>
      </c>
      <c r="O56" s="310">
        <f>N56+0.01</f>
        <v>0.11784671795216767</v>
      </c>
      <c r="P56" s="310">
        <f>O56+0.01</f>
        <v>0.12784671795216768</v>
      </c>
      <c r="R56" s="493" t="s">
        <v>495</v>
      </c>
      <c r="S56" s="310">
        <f>T56-0.01</f>
        <v>8.7846717952167683E-2</v>
      </c>
      <c r="T56" s="310">
        <f>U56-0.01</f>
        <v>9.7846717952167678E-2</v>
      </c>
      <c r="U56" s="311">
        <f>N56</f>
        <v>0.10784671795216767</v>
      </c>
      <c r="V56" s="310">
        <f>U56+0.01</f>
        <v>0.11784671795216767</v>
      </c>
      <c r="W56" s="310">
        <f>V56+0.01</f>
        <v>0.12784671795216768</v>
      </c>
    </row>
    <row r="57" spans="3:23">
      <c r="C57" s="3" t="s">
        <v>419</v>
      </c>
      <c r="D57" s="374">
        <f>D58-1%</f>
        <v>9.9999999999999967E-3</v>
      </c>
      <c r="E57" s="216">
        <f t="shared" ref="E57:E61" si="8">L57/$E$15</f>
        <v>317.24508404582014</v>
      </c>
      <c r="F57" s="216">
        <f t="shared" ref="F57:F61" si="9">M57/$E$15</f>
        <v>272.49542793079661</v>
      </c>
      <c r="G57" s="312">
        <f>N57/$E$15</f>
        <v>236.96537389673577</v>
      </c>
      <c r="H57" s="216">
        <f t="shared" ref="H57:H61" si="10">O57/$E$15</f>
        <v>208.08722848317305</v>
      </c>
      <c r="I57" s="216">
        <f t="shared" ref="I57:I61" si="11">P57/$E$15</f>
        <v>184.16499119502848</v>
      </c>
      <c r="K57" s="374">
        <f t="shared" ref="K57:K58" si="12">D57</f>
        <v>9.9999999999999967E-3</v>
      </c>
      <c r="L57" s="230">
        <f>S57+SUM($I$44:$I$46)</f>
        <v>3401184.5460552378</v>
      </c>
      <c r="M57" s="230">
        <f t="shared" ref="M57:M61" si="13">T57+SUM($I$44:$I$46)</f>
        <v>2921423.4828460705</v>
      </c>
      <c r="N57" s="315">
        <f>U57+SUM($I$44:$I$46)</f>
        <v>2540505.7735469043</v>
      </c>
      <c r="O57" s="230">
        <f t="shared" ref="O57:O61" si="14">V57+SUM($I$44:$I$46)</f>
        <v>2230903.1765680984</v>
      </c>
      <c r="P57" s="230">
        <f t="shared" ref="P57:P61" si="15">W57+SUM($I$44:$I$46)</f>
        <v>1974432.8706019004</v>
      </c>
      <c r="R57" s="374">
        <f t="shared" ref="R57:R61" si="16">K57</f>
        <v>9.9999999999999967E-3</v>
      </c>
      <c r="S57" s="230">
        <f t="shared" ref="S57:W61" si="17">NPV(S$56,$F$38:$I$38,$J$38+(($J$38*(1+$R57))/(S$56-$R57)))</f>
        <v>3999922.5460552378</v>
      </c>
      <c r="T57" s="230">
        <f t="shared" si="17"/>
        <v>3520161.4828460705</v>
      </c>
      <c r="U57" s="315">
        <f t="shared" si="17"/>
        <v>3139243.7735469043</v>
      </c>
      <c r="V57" s="230">
        <f t="shared" si="17"/>
        <v>2829641.1765680984</v>
      </c>
      <c r="W57" s="230">
        <f t="shared" si="17"/>
        <v>2573170.8706019004</v>
      </c>
    </row>
    <row r="58" spans="3:23" ht="13" thickBot="1">
      <c r="D58" s="374">
        <f>D59-1%</f>
        <v>1.9999999999999997E-2</v>
      </c>
      <c r="E58" s="216">
        <f t="shared" si="8"/>
        <v>360.70096070183587</v>
      </c>
      <c r="F58" s="216">
        <f t="shared" si="9"/>
        <v>304.85150123097839</v>
      </c>
      <c r="G58" s="312">
        <f t="shared" ref="G58" si="18">N58/$E$15</f>
        <v>261.79087279414404</v>
      </c>
      <c r="H58" s="216">
        <f t="shared" si="10"/>
        <v>227.59493754355313</v>
      </c>
      <c r="I58" s="216">
        <f t="shared" si="11"/>
        <v>199.79516274455418</v>
      </c>
      <c r="K58" s="374">
        <f t="shared" si="12"/>
        <v>1.9999999999999997E-2</v>
      </c>
      <c r="L58" s="230">
        <f t="shared" ref="L58:L61" si="19">S58+SUM($I$44:$I$46)</f>
        <v>3867074.9996843822</v>
      </c>
      <c r="M58" s="230">
        <f t="shared" si="13"/>
        <v>3268312.9446973191</v>
      </c>
      <c r="N58" s="315">
        <f t="shared" ref="N58" si="20">U58+SUM($I$44:$I$46)</f>
        <v>2806659.9472260182</v>
      </c>
      <c r="O58" s="230">
        <f t="shared" si="14"/>
        <v>2440045.3254044331</v>
      </c>
      <c r="P58" s="230">
        <f t="shared" si="15"/>
        <v>2142003.9397843652</v>
      </c>
      <c r="R58" s="374">
        <f t="shared" si="16"/>
        <v>1.9999999999999997E-2</v>
      </c>
      <c r="S58" s="230">
        <f t="shared" si="17"/>
        <v>4465812.9996843822</v>
      </c>
      <c r="T58" s="230">
        <f t="shared" si="17"/>
        <v>3867050.9446973191</v>
      </c>
      <c r="U58" s="315">
        <f t="shared" si="17"/>
        <v>3405397.9472260182</v>
      </c>
      <c r="V58" s="230">
        <f t="shared" si="17"/>
        <v>3038783.3254044331</v>
      </c>
      <c r="W58" s="230">
        <f t="shared" si="17"/>
        <v>2740741.9397843652</v>
      </c>
    </row>
    <row r="59" spans="3:23" ht="13" thickBot="1">
      <c r="D59" s="375">
        <f>E13</f>
        <v>0.03</v>
      </c>
      <c r="E59" s="313">
        <f t="shared" si="8"/>
        <v>419.18132904705982</v>
      </c>
      <c r="F59" s="313">
        <f t="shared" si="9"/>
        <v>346.74556672202579</v>
      </c>
      <c r="G59" s="316">
        <f>N59/$E$15</f>
        <v>292.99441807564335</v>
      </c>
      <c r="H59" s="313">
        <f t="shared" si="10"/>
        <v>251.54395289633268</v>
      </c>
      <c r="I59" s="313">
        <f t="shared" si="11"/>
        <v>218.62016226105703</v>
      </c>
      <c r="K59" s="375">
        <f>D59</f>
        <v>0.03</v>
      </c>
      <c r="L59" s="314">
        <f t="shared" si="19"/>
        <v>4494043.0287135281</v>
      </c>
      <c r="M59" s="314">
        <f t="shared" si="13"/>
        <v>3717459.2208268382</v>
      </c>
      <c r="N59" s="317">
        <f>U59+SUM($I$44:$I$46)</f>
        <v>3141193.1561889723</v>
      </c>
      <c r="O59" s="314">
        <f t="shared" si="14"/>
        <v>2696802.7190015828</v>
      </c>
      <c r="P59" s="314">
        <f t="shared" si="15"/>
        <v>2343826.7596007925</v>
      </c>
      <c r="R59" s="375">
        <f t="shared" si="16"/>
        <v>0.03</v>
      </c>
      <c r="S59" s="314">
        <f t="shared" si="17"/>
        <v>5092781.0287135281</v>
      </c>
      <c r="T59" s="314">
        <f t="shared" si="17"/>
        <v>4316197.2208268382</v>
      </c>
      <c r="U59" s="317">
        <f t="shared" si="17"/>
        <v>3739931.1561889723</v>
      </c>
      <c r="V59" s="314">
        <f t="shared" si="17"/>
        <v>3295540.7190015828</v>
      </c>
      <c r="W59" s="314">
        <f t="shared" si="17"/>
        <v>2942564.7596007925</v>
      </c>
    </row>
    <row r="60" spans="3:23">
      <c r="D60" s="374">
        <f>D59+1%</f>
        <v>0.04</v>
      </c>
      <c r="E60" s="216">
        <f t="shared" si="8"/>
        <v>502.10657923504101</v>
      </c>
      <c r="F60" s="216">
        <f t="shared" si="9"/>
        <v>403.12414126532008</v>
      </c>
      <c r="G60" s="312">
        <f>N60/$E$15</f>
        <v>333.39621088431039</v>
      </c>
      <c r="H60" s="216">
        <f t="shared" si="10"/>
        <v>281.64583274559482</v>
      </c>
      <c r="I60" s="216">
        <f t="shared" si="11"/>
        <v>241.73103607209029</v>
      </c>
      <c r="K60" s="374">
        <f t="shared" ref="K60:K61" si="21">D60</f>
        <v>0.04</v>
      </c>
      <c r="L60" s="230">
        <f t="shared" si="19"/>
        <v>5383084.6359788748</v>
      </c>
      <c r="M60" s="230">
        <f t="shared" si="13"/>
        <v>4321893.9185054963</v>
      </c>
      <c r="N60" s="315">
        <f>U60+SUM($I$44:$I$46)</f>
        <v>3574340.7768906918</v>
      </c>
      <c r="O60" s="230">
        <f t="shared" si="14"/>
        <v>3019524.9728655219</v>
      </c>
      <c r="P60" s="230">
        <f t="shared" si="15"/>
        <v>2591598.43772888</v>
      </c>
      <c r="R60" s="374">
        <f t="shared" si="16"/>
        <v>0.04</v>
      </c>
      <c r="S60" s="230">
        <f t="shared" si="17"/>
        <v>5981822.6359788748</v>
      </c>
      <c r="T60" s="230">
        <f t="shared" si="17"/>
        <v>4920631.9185054963</v>
      </c>
      <c r="U60" s="315">
        <f t="shared" si="17"/>
        <v>4173078.7768906918</v>
      </c>
      <c r="V60" s="230">
        <f t="shared" si="17"/>
        <v>3618262.9728655219</v>
      </c>
      <c r="W60" s="230">
        <f t="shared" si="17"/>
        <v>3190336.43772888</v>
      </c>
    </row>
    <row r="61" spans="3:23">
      <c r="D61" s="374">
        <f>D60+1%</f>
        <v>0.05</v>
      </c>
      <c r="E61" s="216">
        <f t="shared" si="8"/>
        <v>628.85346293575435</v>
      </c>
      <c r="F61" s="216">
        <f t="shared" si="9"/>
        <v>483.06904468394333</v>
      </c>
      <c r="G61" s="312">
        <f t="shared" ref="G61" si="22">N61/$E$15</f>
        <v>387.76657243427576</v>
      </c>
      <c r="H61" s="216">
        <f t="shared" si="10"/>
        <v>320.6212088398733</v>
      </c>
      <c r="I61" s="216">
        <f t="shared" si="11"/>
        <v>270.77944313281904</v>
      </c>
      <c r="K61" s="374">
        <f t="shared" si="21"/>
        <v>0.05</v>
      </c>
      <c r="L61" s="230">
        <f t="shared" si="19"/>
        <v>6741937.9761342229</v>
      </c>
      <c r="M61" s="230">
        <f t="shared" si="13"/>
        <v>5178983.2280565565</v>
      </c>
      <c r="N61" s="315">
        <f t="shared" ref="N61" si="23">U61+SUM($I$44:$I$46)</f>
        <v>4157245.4230678705</v>
      </c>
      <c r="O61" s="230">
        <f t="shared" si="14"/>
        <v>3437379.979972282</v>
      </c>
      <c r="P61" s="230">
        <f t="shared" si="15"/>
        <v>2903026.409826953</v>
      </c>
      <c r="R61" s="374">
        <f t="shared" si="16"/>
        <v>0.05</v>
      </c>
      <c r="S61" s="230">
        <f t="shared" si="17"/>
        <v>7340675.9761342229</v>
      </c>
      <c r="T61" s="230">
        <f t="shared" si="17"/>
        <v>5777721.2280565565</v>
      </c>
      <c r="U61" s="315">
        <f t="shared" si="17"/>
        <v>4755983.4230678705</v>
      </c>
      <c r="V61" s="230">
        <f t="shared" si="17"/>
        <v>4036117.979972282</v>
      </c>
      <c r="W61" s="230">
        <f t="shared" si="17"/>
        <v>3501764.409826953</v>
      </c>
    </row>
    <row r="62" spans="3:23" ht="5.5" customHeight="1">
      <c r="C62" s="143"/>
      <c r="D62" s="143"/>
      <c r="E62" s="143"/>
      <c r="F62" s="143"/>
      <c r="G62" s="143"/>
      <c r="H62" s="143"/>
      <c r="I62" s="143"/>
      <c r="J62" s="143"/>
      <c r="K62" s="143"/>
      <c r="L62" s="143"/>
      <c r="M62" s="143"/>
      <c r="N62" s="143"/>
      <c r="O62" s="143"/>
      <c r="P62" s="143"/>
      <c r="Q62" s="143"/>
      <c r="R62" s="143"/>
      <c r="S62" s="143"/>
      <c r="T62" s="143"/>
      <c r="U62" s="143"/>
      <c r="V62" s="143"/>
      <c r="W62" s="143"/>
    </row>
    <row r="63" spans="3:23">
      <c r="D63" s="494" t="s">
        <v>211</v>
      </c>
      <c r="E63" s="495">
        <f>MAX(E57:I61)</f>
        <v>628.85346293575435</v>
      </c>
      <c r="F63" s="477"/>
      <c r="G63" s="496"/>
      <c r="H63" s="494" t="s">
        <v>171</v>
      </c>
      <c r="I63" s="495">
        <f>MEDIAN(E57:I61)</f>
        <v>292.99441807564335</v>
      </c>
      <c r="K63" s="494" t="s">
        <v>211</v>
      </c>
      <c r="L63" s="499">
        <f>MAX(L57:P61)</f>
        <v>6741937.9761342229</v>
      </c>
      <c r="M63" s="477"/>
      <c r="N63" s="496"/>
      <c r="O63" s="494" t="s">
        <v>171</v>
      </c>
      <c r="P63" s="499">
        <f>MEDIAN(L57:P61)</f>
        <v>3141193.1561889723</v>
      </c>
      <c r="R63" s="494" t="s">
        <v>211</v>
      </c>
      <c r="S63" s="499">
        <f>MAX(S57:W61)</f>
        <v>7340675.9761342229</v>
      </c>
      <c r="T63" s="477"/>
      <c r="U63" s="496"/>
      <c r="V63" s="494" t="s">
        <v>171</v>
      </c>
      <c r="W63" s="499">
        <f>MEDIAN(S57:W61)</f>
        <v>3739931.1561889723</v>
      </c>
    </row>
    <row r="64" spans="3:23">
      <c r="D64" s="497" t="s">
        <v>212</v>
      </c>
      <c r="E64" s="498">
        <f>MIN(E57:I61)</f>
        <v>184.16499119502848</v>
      </c>
      <c r="F64" s="480"/>
      <c r="G64" s="457"/>
      <c r="H64" s="497" t="s">
        <v>75</v>
      </c>
      <c r="I64" s="498">
        <f>AVERAGE(E57:I61)</f>
        <v>318.23482007191046</v>
      </c>
      <c r="K64" s="497" t="s">
        <v>212</v>
      </c>
      <c r="L64" s="500">
        <f>MIN(L57:P61)</f>
        <v>1974432.8706019004</v>
      </c>
      <c r="M64" s="480"/>
      <c r="N64" s="457"/>
      <c r="O64" s="497" t="s">
        <v>75</v>
      </c>
      <c r="P64" s="500">
        <f>AVERAGE(L57:P61)</f>
        <v>3411795.5059909523</v>
      </c>
      <c r="R64" s="497" t="s">
        <v>212</v>
      </c>
      <c r="S64" s="500">
        <f>MIN(S57:W61)</f>
        <v>2573170.8706019004</v>
      </c>
      <c r="T64" s="480"/>
      <c r="U64" s="457"/>
      <c r="V64" s="497" t="s">
        <v>75</v>
      </c>
      <c r="W64" s="500">
        <f>AVERAGE(S57:W61)</f>
        <v>4010533.5059909518</v>
      </c>
    </row>
    <row r="67" spans="3:14">
      <c r="C67" s="292" t="s">
        <v>285</v>
      </c>
      <c r="D67" s="292"/>
      <c r="E67" s="292"/>
      <c r="F67" s="292"/>
      <c r="G67" s="292"/>
      <c r="H67" s="292"/>
      <c r="I67" s="292"/>
      <c r="J67" s="292"/>
    </row>
    <row r="68" spans="3:14" ht="5.5" customHeight="1">
      <c r="C68" s="143"/>
      <c r="D68" s="143"/>
      <c r="E68" s="143"/>
      <c r="F68" s="143"/>
      <c r="G68" s="143"/>
      <c r="H68" s="143"/>
      <c r="I68" s="143"/>
      <c r="J68" s="143"/>
    </row>
    <row r="69" spans="3:14">
      <c r="C69" s="483"/>
      <c r="D69" s="501"/>
      <c r="E69" s="584" t="s">
        <v>639</v>
      </c>
      <c r="F69" s="585" t="s">
        <v>640</v>
      </c>
      <c r="G69" s="585" t="s">
        <v>641</v>
      </c>
      <c r="H69" s="585" t="s">
        <v>642</v>
      </c>
      <c r="I69" s="585" t="s">
        <v>643</v>
      </c>
      <c r="J69" s="585" t="s">
        <v>644</v>
      </c>
    </row>
    <row r="70" spans="3:14">
      <c r="C70" s="1" t="s">
        <v>290</v>
      </c>
      <c r="E70" s="27">
        <f>'Forecasted FS'!E65</f>
        <v>55451</v>
      </c>
      <c r="F70" s="27">
        <f>'Forecasted FS'!F65</f>
        <v>55451</v>
      </c>
      <c r="G70" s="27">
        <f>'Forecasted FS'!G65</f>
        <v>55451</v>
      </c>
      <c r="H70" s="27">
        <f>'Forecasted FS'!H65</f>
        <v>55451</v>
      </c>
      <c r="I70" s="27">
        <f>'Forecasted FS'!I65</f>
        <v>55451</v>
      </c>
      <c r="J70" s="27">
        <f>'Forecasted FS'!J65</f>
        <v>55451</v>
      </c>
      <c r="N70" s="109"/>
    </row>
    <row r="71" spans="3:14">
      <c r="C71" s="1" t="s">
        <v>286</v>
      </c>
      <c r="E71" s="27">
        <f>'Forecasted FS'!E64</f>
        <v>34214</v>
      </c>
      <c r="F71" s="27">
        <f>'Forecasted FS'!F64</f>
        <v>36322.234028021434</v>
      </c>
      <c r="G71" s="27">
        <f>'Forecasted FS'!G64</f>
        <v>39007.070298276041</v>
      </c>
      <c r="H71" s="27">
        <f>'Forecasted FS'!H64</f>
        <v>41886.255536628989</v>
      </c>
      <c r="I71" s="27">
        <f>'Forecasted FS'!I64</f>
        <v>45386.061617992033</v>
      </c>
      <c r="J71" s="27">
        <f>'Forecasted FS'!J64</f>
        <v>49173.276315226707</v>
      </c>
      <c r="N71" s="109"/>
    </row>
    <row r="72" spans="3:14">
      <c r="C72" s="1" t="s">
        <v>289</v>
      </c>
      <c r="E72" s="27">
        <f>'Forecasted FS'!E75</f>
        <v>94363</v>
      </c>
      <c r="F72" s="27">
        <f>'Forecasted FS'!F75</f>
        <v>100177.55800509111</v>
      </c>
      <c r="G72" s="27">
        <f>'Forecasted FS'!G75</f>
        <v>107582.39827428019</v>
      </c>
      <c r="H72" s="27">
        <f>'Forecasted FS'!H75</f>
        <v>115523.25747363424</v>
      </c>
      <c r="I72" s="27">
        <f>'Forecasted FS'!I75</f>
        <v>125175.80325184375</v>
      </c>
      <c r="J72" s="27">
        <f>'Forecasted FS'!J75</f>
        <v>135621.02861208096</v>
      </c>
      <c r="N72" s="109"/>
    </row>
    <row r="73" spans="3:14">
      <c r="C73" s="477" t="s">
        <v>287</v>
      </c>
      <c r="D73" s="477"/>
      <c r="E73" s="479">
        <f>E70+E71-E72</f>
        <v>-4698</v>
      </c>
      <c r="F73" s="479">
        <f>F70+F71-F72</f>
        <v>-8404.3239770696819</v>
      </c>
      <c r="G73" s="479">
        <f t="shared" ref="G73:I73" si="24">G70+G71-G72</f>
        <v>-13124.327976004148</v>
      </c>
      <c r="H73" s="479">
        <f t="shared" si="24"/>
        <v>-18186.001937005247</v>
      </c>
      <c r="I73" s="479">
        <f t="shared" si="24"/>
        <v>-24338.741633851721</v>
      </c>
      <c r="J73" s="479">
        <f>J70+J71-J72</f>
        <v>-30996.752296854247</v>
      </c>
    </row>
    <row r="74" spans="3:14">
      <c r="C74" s="480" t="s">
        <v>288</v>
      </c>
      <c r="D74" s="480"/>
      <c r="E74" s="482">
        <f>E73-('Actuals FS'!E14+'Actuals FS'!E15-'Actuals FS'!E24)</f>
        <v>-5288</v>
      </c>
      <c r="F74" s="482">
        <f>F73-('Forecasted FS'!E64+'Forecasted FS'!E65-'Forecasted FS'!E75)</f>
        <v>-3706.3239770696819</v>
      </c>
      <c r="G74" s="482">
        <f>G73-('Forecasted FS'!F64+'Forecasted FS'!F65-'Forecasted FS'!F75)</f>
        <v>-4720.0039989344659</v>
      </c>
      <c r="H74" s="482">
        <f>H73-('Forecasted FS'!G64+'Forecasted FS'!G65-'Forecasted FS'!G75)</f>
        <v>-5061.6739610010991</v>
      </c>
      <c r="I74" s="482">
        <f>I73-('Forecasted FS'!H64+'Forecasted FS'!H65-'Forecasted FS'!H75)</f>
        <v>-6152.7396968464745</v>
      </c>
      <c r="J74" s="482">
        <f>J73-('Forecasted FS'!I64+'Forecasted FS'!I65-'Forecasted FS'!I75)</f>
        <v>-6658.0106630025257</v>
      </c>
    </row>
    <row r="75" spans="3:14">
      <c r="E75" s="27"/>
    </row>
    <row r="76" spans="3:14">
      <c r="F76" s="27"/>
    </row>
    <row r="77" spans="3:14">
      <c r="C77" s="292" t="s">
        <v>487</v>
      </c>
      <c r="D77" s="292"/>
      <c r="E77" s="292"/>
      <c r="F77" s="292"/>
      <c r="G77" s="292"/>
      <c r="H77" s="292"/>
    </row>
    <row r="78" spans="3:14" ht="5.5" customHeight="1">
      <c r="C78" s="143"/>
      <c r="D78" s="143"/>
      <c r="E78" s="143"/>
      <c r="F78" s="143"/>
      <c r="G78" s="143"/>
      <c r="H78" s="143"/>
    </row>
    <row r="79" spans="3:14">
      <c r="C79" s="483"/>
      <c r="D79" s="483" t="s">
        <v>507</v>
      </c>
      <c r="E79" s="483"/>
      <c r="F79" s="503" t="s">
        <v>497</v>
      </c>
      <c r="G79" s="483"/>
      <c r="H79" s="483"/>
    </row>
    <row r="80" spans="3:14">
      <c r="C80" s="1" t="s">
        <v>708</v>
      </c>
      <c r="D80" s="49">
        <f>Revenue!H83</f>
        <v>0.68658800957428301</v>
      </c>
      <c r="F80" s="402">
        <f>E18</f>
        <v>4.0500000000000001E-2</v>
      </c>
      <c r="G80" s="1" t="s">
        <v>509</v>
      </c>
    </row>
    <row r="81" spans="3:8">
      <c r="C81" s="1" t="s">
        <v>190</v>
      </c>
      <c r="D81" s="49">
        <f>Revenue!H84</f>
        <v>6.4041733089430508E-2</v>
      </c>
      <c r="F81" s="402">
        <v>2.8632999999999999E-2</v>
      </c>
      <c r="G81" s="1" t="s">
        <v>510</v>
      </c>
    </row>
    <row r="82" spans="3:8">
      <c r="C82" s="1" t="s">
        <v>709</v>
      </c>
      <c r="D82" s="49">
        <f>Revenue!H85</f>
        <v>5.9337669035157435E-2</v>
      </c>
      <c r="F82" s="402">
        <v>4.53E-2</v>
      </c>
      <c r="G82" s="1" t="s">
        <v>745</v>
      </c>
    </row>
    <row r="83" spans="3:8">
      <c r="C83" s="1" t="s">
        <v>193</v>
      </c>
      <c r="D83" s="49">
        <f>Revenue!H86</f>
        <v>4.29510360383661E-2</v>
      </c>
      <c r="F83" s="402">
        <v>1.9630000000000002E-2</v>
      </c>
      <c r="G83" s="1" t="s">
        <v>511</v>
      </c>
    </row>
    <row r="84" spans="3:8">
      <c r="C84" s="1" t="s">
        <v>710</v>
      </c>
      <c r="D84" s="49">
        <f>Revenue!H87</f>
        <v>0.14708155226276295</v>
      </c>
      <c r="F84" s="402">
        <v>5.1999999999999998E-2</v>
      </c>
      <c r="G84" s="1" t="s">
        <v>746</v>
      </c>
    </row>
    <row r="85" spans="3:8">
      <c r="C85" s="477" t="s">
        <v>512</v>
      </c>
      <c r="D85" s="477"/>
      <c r="E85" s="477"/>
      <c r="F85" s="504">
        <f>SUMPRODUCT(D80:D84,F80:F84)</f>
        <v>4.0819887293697558E-2</v>
      </c>
      <c r="G85" s="477"/>
      <c r="H85" s="504"/>
    </row>
    <row r="86" spans="3:8">
      <c r="C86" s="1" t="s">
        <v>514</v>
      </c>
      <c r="F86" s="110">
        <v>5.0000000000000001E-3</v>
      </c>
      <c r="G86" s="1" t="s">
        <v>516</v>
      </c>
    </row>
    <row r="87" spans="3:8">
      <c r="C87" s="477" t="s">
        <v>487</v>
      </c>
      <c r="D87" s="477"/>
      <c r="E87" s="477"/>
      <c r="F87" s="504">
        <f>F86+F85</f>
        <v>4.5819887293697556E-2</v>
      </c>
      <c r="G87" s="477"/>
      <c r="H87" s="504"/>
    </row>
    <row r="89" spans="3:8">
      <c r="C89" s="1" t="s">
        <v>515</v>
      </c>
    </row>
  </sheetData>
  <mergeCells count="3">
    <mergeCell ref="E55:I55"/>
    <mergeCell ref="L55:P55"/>
    <mergeCell ref="S55:W55"/>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F48BF-75E4-4C5B-A6F1-B2111084AB2D}">
  <sheetPr>
    <tabColor theme="1"/>
  </sheetPr>
  <dimension ref="B1:C57"/>
  <sheetViews>
    <sheetView showGridLines="0" zoomScale="125" workbookViewId="0">
      <selection activeCell="C48" sqref="C8:C48"/>
    </sheetView>
  </sheetViews>
  <sheetFormatPr baseColWidth="10" defaultColWidth="8.83203125" defaultRowHeight="12"/>
  <cols>
    <col min="1" max="2" width="3.1640625" style="1" customWidth="1"/>
    <col min="3" max="16384" width="8.83203125" style="1"/>
  </cols>
  <sheetData>
    <row r="1" spans="2:3" s="457" customFormat="1" ht="13" customHeight="1"/>
    <row r="2" spans="2:3" s="457" customFormat="1" ht="12" customHeight="1">
      <c r="B2" s="462"/>
    </row>
    <row r="3" spans="2:3" s="457" customFormat="1" ht="11" customHeight="1">
      <c r="B3" s="459"/>
    </row>
    <row r="4" spans="2:3" s="457" customFormat="1" ht="13" customHeight="1">
      <c r="B4" s="459"/>
    </row>
    <row r="5" spans="2:3" s="457" customFormat="1" ht="12" customHeight="1">
      <c r="B5" s="459"/>
    </row>
    <row r="6" spans="2:3">
      <c r="B6" s="4"/>
    </row>
    <row r="7" spans="2:3">
      <c r="B7" s="2" t="s">
        <v>4</v>
      </c>
    </row>
    <row r="8" spans="2:3">
      <c r="B8" s="4">
        <v>1</v>
      </c>
      <c r="C8" s="1" t="s">
        <v>635</v>
      </c>
    </row>
    <row r="9" spans="2:3">
      <c r="B9" s="4">
        <v>2</v>
      </c>
      <c r="C9" s="1" t="s">
        <v>632</v>
      </c>
    </row>
    <row r="10" spans="2:3">
      <c r="B10" s="4">
        <v>3</v>
      </c>
      <c r="C10" s="1" t="s">
        <v>878</v>
      </c>
    </row>
    <row r="11" spans="2:3">
      <c r="B11" s="4">
        <v>4</v>
      </c>
      <c r="C11" s="1" t="s">
        <v>879</v>
      </c>
    </row>
    <row r="12" spans="2:3">
      <c r="B12" s="4">
        <v>5</v>
      </c>
      <c r="C12" s="1" t="s">
        <v>880</v>
      </c>
    </row>
    <row r="13" spans="2:3">
      <c r="B13" s="4">
        <v>6</v>
      </c>
      <c r="C13" s="1" t="s">
        <v>881</v>
      </c>
    </row>
    <row r="14" spans="2:3">
      <c r="B14" s="4">
        <v>7</v>
      </c>
      <c r="C14" s="1" t="s">
        <v>882</v>
      </c>
    </row>
    <row r="15" spans="2:3">
      <c r="B15" s="4">
        <v>8</v>
      </c>
      <c r="C15" s="1" t="s">
        <v>883</v>
      </c>
    </row>
    <row r="16" spans="2:3">
      <c r="B16" s="4">
        <v>9</v>
      </c>
      <c r="C16" s="1" t="s">
        <v>884</v>
      </c>
    </row>
    <row r="17" spans="2:3">
      <c r="B17" s="4">
        <v>10</v>
      </c>
      <c r="C17" s="1" t="s">
        <v>219</v>
      </c>
    </row>
    <row r="18" spans="2:3">
      <c r="B18" s="4">
        <v>11</v>
      </c>
      <c r="C18" s="1" t="s">
        <v>460</v>
      </c>
    </row>
    <row r="19" spans="2:3">
      <c r="B19" s="4">
        <v>12</v>
      </c>
      <c r="C19" s="1" t="s">
        <v>742</v>
      </c>
    </row>
    <row r="20" spans="2:3">
      <c r="B20" s="4">
        <v>13</v>
      </c>
      <c r="C20" s="1" t="s">
        <v>743</v>
      </c>
    </row>
    <row r="21" spans="2:3">
      <c r="B21" s="4">
        <v>14</v>
      </c>
      <c r="C21" s="1" t="s">
        <v>224</v>
      </c>
    </row>
    <row r="22" spans="2:3">
      <c r="B22" s="4">
        <v>15</v>
      </c>
      <c r="C22" s="1" t="s">
        <v>18</v>
      </c>
    </row>
    <row r="23" spans="2:3">
      <c r="B23" s="4">
        <v>16</v>
      </c>
      <c r="C23" s="1" t="s">
        <v>858</v>
      </c>
    </row>
    <row r="24" spans="2:3">
      <c r="B24" s="4">
        <v>17</v>
      </c>
      <c r="C24" s="1" t="s">
        <v>321</v>
      </c>
    </row>
    <row r="25" spans="2:3">
      <c r="B25" s="4">
        <v>18</v>
      </c>
      <c r="C25" s="1" t="s">
        <v>195</v>
      </c>
    </row>
    <row r="26" spans="2:3">
      <c r="B26" s="4">
        <v>19</v>
      </c>
      <c r="C26" s="1" t="s">
        <v>860</v>
      </c>
    </row>
    <row r="27" spans="2:3">
      <c r="B27" s="4">
        <v>20</v>
      </c>
      <c r="C27" s="1" t="s">
        <v>862</v>
      </c>
    </row>
    <row r="28" spans="2:3">
      <c r="B28" s="4">
        <v>21</v>
      </c>
      <c r="C28" s="1" t="s">
        <v>886</v>
      </c>
    </row>
    <row r="29" spans="2:3">
      <c r="B29" s="4">
        <v>22</v>
      </c>
      <c r="C29" s="1" t="s">
        <v>887</v>
      </c>
    </row>
    <row r="30" spans="2:3">
      <c r="B30" s="4">
        <v>23</v>
      </c>
      <c r="C30" s="1" t="s">
        <v>888</v>
      </c>
    </row>
    <row r="31" spans="2:3">
      <c r="B31" s="4">
        <v>24</v>
      </c>
      <c r="C31" s="1" t="s">
        <v>889</v>
      </c>
    </row>
    <row r="32" spans="2:3">
      <c r="B32" s="4">
        <v>25</v>
      </c>
      <c r="C32" s="1" t="s">
        <v>890</v>
      </c>
    </row>
    <row r="33" spans="2:3">
      <c r="B33" s="4">
        <v>26</v>
      </c>
      <c r="C33" s="1" t="s">
        <v>891</v>
      </c>
    </row>
    <row r="34" spans="2:3">
      <c r="B34" s="4">
        <v>27</v>
      </c>
      <c r="C34" s="1" t="s">
        <v>892</v>
      </c>
    </row>
    <row r="35" spans="2:3">
      <c r="B35" s="4">
        <v>28</v>
      </c>
      <c r="C35" s="1" t="s">
        <v>893</v>
      </c>
    </row>
    <row r="36" spans="2:3">
      <c r="B36" s="4">
        <v>29</v>
      </c>
      <c r="C36" s="1" t="s">
        <v>894</v>
      </c>
    </row>
    <row r="37" spans="2:3">
      <c r="B37" s="4">
        <v>30</v>
      </c>
      <c r="C37" s="1" t="s">
        <v>895</v>
      </c>
    </row>
    <row r="38" spans="2:3">
      <c r="B38" s="4">
        <v>31</v>
      </c>
      <c r="C38" s="1" t="s">
        <v>890</v>
      </c>
    </row>
    <row r="39" spans="2:3">
      <c r="B39" s="4">
        <v>32</v>
      </c>
      <c r="C39" s="1" t="s">
        <v>896</v>
      </c>
    </row>
    <row r="40" spans="2:3">
      <c r="B40" s="4">
        <v>33</v>
      </c>
      <c r="C40" s="1" t="s">
        <v>897</v>
      </c>
    </row>
    <row r="41" spans="2:3">
      <c r="B41" s="4">
        <v>34</v>
      </c>
      <c r="C41" s="1" t="s">
        <v>898</v>
      </c>
    </row>
    <row r="42" spans="2:3">
      <c r="B42" s="4">
        <v>35</v>
      </c>
      <c r="C42" s="1" t="s">
        <v>899</v>
      </c>
    </row>
    <row r="43" spans="2:3">
      <c r="B43" s="4">
        <v>36</v>
      </c>
      <c r="C43" s="1" t="s">
        <v>900</v>
      </c>
    </row>
    <row r="44" spans="2:3">
      <c r="B44" s="4">
        <v>37</v>
      </c>
      <c r="C44" s="1" t="s">
        <v>901</v>
      </c>
    </row>
    <row r="45" spans="2:3">
      <c r="B45" s="4">
        <v>38</v>
      </c>
      <c r="C45" s="1" t="s">
        <v>902</v>
      </c>
    </row>
    <row r="46" spans="2:3">
      <c r="B46" s="4">
        <v>39</v>
      </c>
      <c r="C46" s="1" t="s">
        <v>903</v>
      </c>
    </row>
    <row r="47" spans="2:3">
      <c r="B47" s="4">
        <v>40</v>
      </c>
      <c r="C47" s="1" t="s">
        <v>904</v>
      </c>
    </row>
    <row r="48" spans="2:3">
      <c r="B48" s="4"/>
    </row>
    <row r="49" spans="2:2">
      <c r="B49" s="4"/>
    </row>
    <row r="50" spans="2:2">
      <c r="B50" s="4"/>
    </row>
    <row r="51" spans="2:2">
      <c r="B51" s="4"/>
    </row>
    <row r="52" spans="2:2">
      <c r="B52" s="4"/>
    </row>
    <row r="53" spans="2:2">
      <c r="B53" s="4"/>
    </row>
    <row r="54" spans="2:2">
      <c r="B54" s="4"/>
    </row>
    <row r="55" spans="2:2">
      <c r="B55" s="4"/>
    </row>
    <row r="56" spans="2:2">
      <c r="B56" s="4"/>
    </row>
    <row r="57" spans="2:2">
      <c r="B57" s="4"/>
    </row>
  </sheetData>
  <pageMargins left="0.7" right="0.7" top="0.75" bottom="0.75" header="0.3" footer="0.3"/>
  <pageSetup orientation="portrait" horizontalDpi="0" verticalDpi="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64294-0E25-4D6E-903F-C3429DC4986B}">
  <sheetPr>
    <tabColor theme="0" tint="-0.499984740745262"/>
  </sheetPr>
  <dimension ref="B1:C31"/>
  <sheetViews>
    <sheetView showGridLines="0" workbookViewId="0">
      <selection activeCell="F35" sqref="F35"/>
    </sheetView>
  </sheetViews>
  <sheetFormatPr baseColWidth="10" defaultColWidth="8.83203125" defaultRowHeight="12"/>
  <cols>
    <col min="1" max="1" width="3.1640625" style="1" customWidth="1"/>
    <col min="2" max="2" width="4" style="1" customWidth="1"/>
    <col min="3" max="16384" width="8.83203125" style="1"/>
  </cols>
  <sheetData>
    <row r="1" spans="2:3" s="518" customFormat="1"/>
    <row r="2" spans="2:3" s="518" customFormat="1" ht="18">
      <c r="B2" s="541"/>
    </row>
    <row r="3" spans="2:3" s="518" customFormat="1" ht="13">
      <c r="B3" s="542"/>
      <c r="C3" s="461" t="s">
        <v>25</v>
      </c>
    </row>
    <row r="4" spans="2:3" s="518" customFormat="1">
      <c r="B4" s="542"/>
      <c r="C4" s="463"/>
    </row>
    <row r="5" spans="2:3" s="518" customFormat="1" ht="7.75" customHeight="1">
      <c r="B5" s="542"/>
    </row>
    <row r="6" spans="2:3">
      <c r="B6" s="4"/>
    </row>
    <row r="7" spans="2:3">
      <c r="B7" s="2" t="s">
        <v>5</v>
      </c>
      <c r="C7" s="3"/>
    </row>
    <row r="8" spans="2:3">
      <c r="B8" s="5">
        <v>1</v>
      </c>
      <c r="C8" s="1" t="str">
        <f>'FS all'!C3</f>
        <v>Financial Statements</v>
      </c>
    </row>
    <row r="9" spans="2:3">
      <c r="B9" s="5">
        <f>B8+1</f>
        <v>2</v>
      </c>
      <c r="C9" s="1" t="str">
        <f>Ratios!C3</f>
        <v>Financial Ratios Analysis</v>
      </c>
    </row>
    <row r="10" spans="2:3">
      <c r="B10" s="5">
        <f t="shared" ref="B10:B24" si="0">B9+1</f>
        <v>3</v>
      </c>
      <c r="C10" s="1" t="str">
        <f>'Operating Margin'!C3</f>
        <v>Operating Margin Target Based on Management Expectations</v>
      </c>
    </row>
    <row r="11" spans="2:3">
      <c r="B11" s="5">
        <f t="shared" si="0"/>
        <v>4</v>
      </c>
      <c r="C11" s="1" t="str">
        <f>'D&amp;A'!C3</f>
        <v>Depreciation &amp; Amortization Schedule</v>
      </c>
    </row>
    <row r="12" spans="2:3">
      <c r="B12" s="5">
        <f t="shared" si="0"/>
        <v>5</v>
      </c>
      <c r="C12" s="1" t="str">
        <f>Bonds!C3</f>
        <v>Summary of Corporate Bonds</v>
      </c>
    </row>
    <row r="13" spans="2:3">
      <c r="B13" s="5">
        <f t="shared" si="0"/>
        <v>6</v>
      </c>
      <c r="C13" s="1" t="str">
        <f>'Scenario Summary '!C3</f>
        <v>Scenario Summary</v>
      </c>
    </row>
    <row r="14" spans="2:3">
      <c r="B14" s="5">
        <f t="shared" si="0"/>
        <v>7</v>
      </c>
      <c r="C14" s="1" t="str">
        <f>'Peer Mkt Info'!C3</f>
        <v>Industry Peers Market Information</v>
      </c>
    </row>
    <row r="15" spans="2:3">
      <c r="B15" s="5">
        <f t="shared" si="0"/>
        <v>8</v>
      </c>
      <c r="C15" s="1" t="str">
        <f>'Peer Fin Info'!C3</f>
        <v>Industry Peers Financial Information</v>
      </c>
    </row>
    <row r="16" spans="2:3">
      <c r="B16" s="5">
        <f t="shared" si="0"/>
        <v>9</v>
      </c>
      <c r="C16" s="1" t="str">
        <f>'10 Year Bond Average'!C3</f>
        <v>10 year Historic S&amp;P Returns</v>
      </c>
    </row>
    <row r="17" spans="2:3">
      <c r="B17" s="5">
        <f t="shared" si="0"/>
        <v>10</v>
      </c>
      <c r="C17" s="1" t="str">
        <f>'AMZN daily'!C3</f>
        <v>AMZN Historic Daily Stock Prices from 12/12/205 to date (12/12/2025)</v>
      </c>
    </row>
    <row r="18" spans="2:3">
      <c r="B18" s="5">
        <f t="shared" si="0"/>
        <v>11</v>
      </c>
      <c r="C18" s="1" t="str">
        <f>'10yr TBill'!C3</f>
        <v>10 year Historic Yield to Maturity of US 10 year Treasury Bill</v>
      </c>
    </row>
    <row r="19" spans="2:3">
      <c r="B19" s="5">
        <f t="shared" si="0"/>
        <v>12</v>
      </c>
      <c r="C19" s="1" t="str">
        <f>'Tax Rate'!C3</f>
        <v>Country Corporate Income Tax Rate</v>
      </c>
    </row>
    <row r="20" spans="2:3">
      <c r="B20" s="5">
        <f t="shared" si="0"/>
        <v>13</v>
      </c>
      <c r="C20" s="1" t="str">
        <f>FX!C3</f>
        <v>Local Currency Exchange Rate to US Dollar</v>
      </c>
    </row>
    <row r="21" spans="2:3">
      <c r="B21" s="5">
        <f t="shared" si="0"/>
        <v>14</v>
      </c>
      <c r="C21" s="1" t="str">
        <f>BoD!C3</f>
        <v>Board of Directors</v>
      </c>
    </row>
    <row r="22" spans="2:3">
      <c r="B22" s="5">
        <f t="shared" si="0"/>
        <v>15</v>
      </c>
      <c r="C22" s="1" t="str">
        <f>'Exec. Team'!C3</f>
        <v>Senior Executive Team</v>
      </c>
    </row>
    <row r="23" spans="2:3">
      <c r="B23" s="5">
        <f t="shared" si="0"/>
        <v>16</v>
      </c>
      <c r="C23" s="1" t="str">
        <f>Shareholders!C3</f>
        <v>Top 5 Institutional Investors &amp; Insider Holders</v>
      </c>
    </row>
    <row r="24" spans="2:3">
      <c r="B24" s="5">
        <f t="shared" si="0"/>
        <v>17</v>
      </c>
      <c r="C24" s="1" t="str">
        <f>Abbreviations!C3</f>
        <v>Abbreviations</v>
      </c>
    </row>
    <row r="25" spans="2:3">
      <c r="B25" s="5"/>
    </row>
    <row r="26" spans="2:3">
      <c r="B26" s="5"/>
    </row>
    <row r="27" spans="2:3">
      <c r="B27" s="5"/>
    </row>
    <row r="28" spans="2:3">
      <c r="B28" s="5"/>
    </row>
    <row r="29" spans="2:3">
      <c r="B29" s="5"/>
    </row>
    <row r="30" spans="2:3">
      <c r="B30" s="5"/>
    </row>
    <row r="31" spans="2:3">
      <c r="B31" s="5"/>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523FB-5749-4846-BD99-FE15F83B62B0}">
  <sheetPr>
    <tabColor rgb="FFAFDEFF"/>
  </sheetPr>
  <dimension ref="B1:W158"/>
  <sheetViews>
    <sheetView showGridLines="0" zoomScale="88" workbookViewId="0">
      <pane xSplit="3" ySplit="8" topLeftCell="D105" activePane="bottomRight" state="frozen"/>
      <selection pane="topRight" activeCell="D1" sqref="D1"/>
      <selection pane="bottomLeft" activeCell="A9" sqref="A9"/>
      <selection pane="bottomRight" activeCell="X123" sqref="X123"/>
    </sheetView>
  </sheetViews>
  <sheetFormatPr baseColWidth="10" defaultColWidth="8.83203125" defaultRowHeight="15" outlineLevelRow="1"/>
  <cols>
    <col min="1" max="2" width="3.1640625" style="1" customWidth="1"/>
    <col min="3" max="3" width="53.5" customWidth="1"/>
    <col min="4" max="4" width="10.1640625" style="663" bestFit="1" customWidth="1"/>
    <col min="5" max="5" width="10.1640625" bestFit="1" customWidth="1"/>
    <col min="6" max="6" width="9.83203125" bestFit="1" customWidth="1"/>
    <col min="7" max="8" width="10.1640625" bestFit="1" customWidth="1"/>
    <col min="9" max="13" width="10" bestFit="1" customWidth="1"/>
    <col min="14" max="16384" width="8.83203125" style="1"/>
  </cols>
  <sheetData>
    <row r="1" spans="2:23" s="518" customFormat="1" ht="12"/>
    <row r="2" spans="2:23" s="518" customFormat="1" ht="18">
      <c r="B2" s="541"/>
    </row>
    <row r="3" spans="2:23" s="518" customFormat="1" ht="13">
      <c r="B3" s="542"/>
      <c r="C3" s="461" t="s">
        <v>21</v>
      </c>
    </row>
    <row r="4" spans="2:23" s="518" customFormat="1" ht="12">
      <c r="B4" s="542"/>
      <c r="C4" s="460" t="s">
        <v>23</v>
      </c>
    </row>
    <row r="5" spans="2:23" s="518" customFormat="1" ht="7.75" customHeight="1">
      <c r="B5" s="542"/>
    </row>
    <row r="6" spans="2:23" ht="12">
      <c r="B6" s="4"/>
      <c r="C6" s="1"/>
      <c r="D6" s="1"/>
      <c r="E6" s="1"/>
      <c r="F6" s="1"/>
      <c r="G6" s="1"/>
      <c r="H6" s="1"/>
      <c r="I6" s="1"/>
      <c r="J6" s="1"/>
      <c r="K6" s="1"/>
      <c r="L6" s="1"/>
      <c r="M6" s="1"/>
    </row>
    <row r="7" spans="2:23" ht="12">
      <c r="B7" s="4"/>
      <c r="C7" s="1"/>
      <c r="D7" s="1"/>
      <c r="E7" s="1"/>
      <c r="F7" s="1"/>
      <c r="G7" s="1"/>
      <c r="H7" s="1"/>
      <c r="I7" s="1"/>
      <c r="J7" s="1"/>
      <c r="K7" s="1"/>
      <c r="L7" s="1"/>
      <c r="M7" s="1"/>
    </row>
    <row r="8" spans="2:23" ht="12">
      <c r="B8" s="303"/>
      <c r="C8" s="303" t="s">
        <v>21</v>
      </c>
      <c r="D8" s="303"/>
      <c r="E8" s="303"/>
      <c r="F8" s="303"/>
      <c r="G8" s="303"/>
      <c r="H8" s="303"/>
      <c r="I8" s="303"/>
      <c r="J8" s="303"/>
      <c r="K8" s="303"/>
      <c r="L8" s="303"/>
      <c r="M8" s="303"/>
    </row>
    <row r="9" spans="2:23" ht="4.75" customHeight="1">
      <c r="C9" s="204"/>
      <c r="D9" s="213"/>
      <c r="E9" s="213"/>
      <c r="F9" s="213"/>
      <c r="G9" s="214"/>
      <c r="H9" s="214"/>
      <c r="I9" s="214"/>
      <c r="J9" s="214"/>
      <c r="K9" s="214"/>
      <c r="L9" s="214"/>
      <c r="M9" s="214"/>
    </row>
    <row r="10" spans="2:23" outlineLevel="1">
      <c r="C10" s="467" t="s">
        <v>376</v>
      </c>
      <c r="D10" s="507" t="s">
        <v>754</v>
      </c>
      <c r="E10" s="508" t="s">
        <v>755</v>
      </c>
      <c r="F10" s="508" t="s">
        <v>756</v>
      </c>
      <c r="G10" s="508" t="s">
        <v>757</v>
      </c>
      <c r="H10" s="508" t="s">
        <v>758</v>
      </c>
      <c r="I10" s="508" t="s">
        <v>640</v>
      </c>
      <c r="J10" s="508" t="s">
        <v>641</v>
      </c>
      <c r="K10" s="508" t="s">
        <v>642</v>
      </c>
      <c r="L10" s="508" t="s">
        <v>643</v>
      </c>
      <c r="M10" s="508" t="s">
        <v>644</v>
      </c>
      <c r="P10"/>
      <c r="Q10"/>
      <c r="R10"/>
      <c r="S10"/>
      <c r="T10"/>
      <c r="U10"/>
      <c r="V10"/>
      <c r="W10"/>
    </row>
    <row r="11" spans="2:23" outlineLevel="1">
      <c r="C11" s="154" t="s">
        <v>352</v>
      </c>
      <c r="D11" s="171">
        <f>'Actuals FS'!H47</f>
        <v>386064</v>
      </c>
      <c r="E11" s="171">
        <f>'Actuals FS'!G47</f>
        <v>469822</v>
      </c>
      <c r="F11" s="171">
        <f>'Actuals FS'!F47</f>
        <v>513983</v>
      </c>
      <c r="G11" s="171">
        <f>'Actuals FS'!E47</f>
        <v>574785</v>
      </c>
      <c r="H11" s="171">
        <f>'Forecasted FS'!E37</f>
        <v>637959</v>
      </c>
      <c r="I11" s="171">
        <f>'Forecasted FS'!F37</f>
        <v>682616.13</v>
      </c>
      <c r="J11" s="171">
        <f>'Forecasted FS'!G37</f>
        <v>744051.5817000001</v>
      </c>
      <c r="K11" s="171">
        <f>'Forecasted FS'!H37</f>
        <v>811016.22405300022</v>
      </c>
      <c r="L11" s="171">
        <f>'Forecasted FS'!I37</f>
        <v>892117.84645830037</v>
      </c>
      <c r="M11" s="171">
        <f>'Forecasted FS'!J37</f>
        <v>981329.63110413053</v>
      </c>
      <c r="P11"/>
      <c r="Q11"/>
      <c r="R11"/>
      <c r="S11"/>
      <c r="T11"/>
      <c r="U11"/>
      <c r="V11"/>
      <c r="W11"/>
    </row>
    <row r="12" spans="2:23" outlineLevel="1">
      <c r="C12" s="155" t="s">
        <v>660</v>
      </c>
      <c r="D12" s="167">
        <f>-'Actuals FS'!H48</f>
        <v>-233307</v>
      </c>
      <c r="E12" s="167">
        <f>-'Actuals FS'!G48</f>
        <v>-272344</v>
      </c>
      <c r="F12" s="167">
        <f>-'Actuals FS'!F48</f>
        <v>-288831</v>
      </c>
      <c r="G12" s="167">
        <f>-'Actuals FS'!E48</f>
        <v>-304739</v>
      </c>
      <c r="H12" s="657">
        <f>'Forecasted FS'!E38</f>
        <v>-326288</v>
      </c>
      <c r="I12" s="657">
        <f>'Forecasted FS'!F38</f>
        <v>-348134.22629999998</v>
      </c>
      <c r="J12" s="657">
        <f>'Forecasted FS'!G38</f>
        <v>-375746.04875850008</v>
      </c>
      <c r="K12" s="657">
        <f>'Forecasted FS'!H38</f>
        <v>-405508.11202650011</v>
      </c>
      <c r="L12" s="657">
        <f>'Forecasted FS'!I38</f>
        <v>-441598.33399685868</v>
      </c>
      <c r="M12" s="657">
        <f>'Forecasted FS'!J38</f>
        <v>-480851.51924102393</v>
      </c>
      <c r="P12"/>
      <c r="Q12"/>
      <c r="R12"/>
      <c r="S12"/>
      <c r="T12"/>
      <c r="U12"/>
      <c r="V12"/>
      <c r="W12"/>
    </row>
    <row r="13" spans="2:23" outlineLevel="1">
      <c r="C13" s="173" t="s">
        <v>353</v>
      </c>
      <c r="D13" s="178">
        <f t="shared" ref="D13:F13" si="0">SUM(D11:D12)</f>
        <v>152757</v>
      </c>
      <c r="E13" s="178">
        <f t="shared" si="0"/>
        <v>197478</v>
      </c>
      <c r="F13" s="178">
        <f t="shared" si="0"/>
        <v>225152</v>
      </c>
      <c r="G13" s="178">
        <f>SUM(G11:G12)</f>
        <v>270046</v>
      </c>
      <c r="H13" s="171">
        <f>'Forecasted FS'!E39</f>
        <v>311671</v>
      </c>
      <c r="I13" s="171">
        <f>'Forecasted FS'!F39</f>
        <v>334481.90370000002</v>
      </c>
      <c r="J13" s="171">
        <f>'Forecasted FS'!G39</f>
        <v>368305.53294150002</v>
      </c>
      <c r="K13" s="171">
        <f>'Forecasted FS'!H39</f>
        <v>405508.11202650011</v>
      </c>
      <c r="L13" s="171">
        <f>'Forecasted FS'!I39</f>
        <v>450519.51246144169</v>
      </c>
      <c r="M13" s="171">
        <f>'Forecasted FS'!J39</f>
        <v>500478.11186310661</v>
      </c>
      <c r="P13"/>
      <c r="Q13"/>
      <c r="R13"/>
      <c r="S13"/>
      <c r="T13"/>
      <c r="U13"/>
      <c r="V13"/>
      <c r="W13"/>
    </row>
    <row r="14" spans="2:23" outlineLevel="1">
      <c r="C14" s="155" t="s">
        <v>354</v>
      </c>
      <c r="D14" s="167"/>
      <c r="E14" s="167"/>
      <c r="F14" s="167"/>
      <c r="G14" s="167"/>
      <c r="H14" s="167"/>
      <c r="I14" s="167"/>
      <c r="J14" s="167"/>
      <c r="K14" s="167"/>
      <c r="L14" s="167"/>
      <c r="M14" s="167"/>
      <c r="P14"/>
      <c r="Q14"/>
      <c r="R14"/>
      <c r="S14"/>
      <c r="T14"/>
      <c r="U14"/>
      <c r="V14"/>
      <c r="W14"/>
    </row>
    <row r="15" spans="2:23" outlineLevel="1">
      <c r="C15" s="155" t="s">
        <v>651</v>
      </c>
      <c r="D15" s="167">
        <f>'Actuals FS'!H49</f>
        <v>58517</v>
      </c>
      <c r="E15" s="167">
        <f>'Actuals FS'!G49</f>
        <v>75111</v>
      </c>
      <c r="F15" s="167">
        <f>'Actuals FS'!F49</f>
        <v>84299</v>
      </c>
      <c r="G15" s="167">
        <f>'Actuals FS'!E49</f>
        <v>90619</v>
      </c>
      <c r="H15" s="167">
        <f>'Forecasted FS'!E41</f>
        <v>98505</v>
      </c>
      <c r="I15" s="167">
        <f>'Forecasted FS'!F41</f>
        <v>113674.76999999999</v>
      </c>
      <c r="J15" s="167">
        <f>'Forecasted FS'!G41</f>
        <v>130953.33503999998</v>
      </c>
      <c r="K15" s="167">
        <f>'Forecasted FS'!H41</f>
        <v>150596.33529599998</v>
      </c>
      <c r="L15" s="167">
        <f>'Forecasted FS'!I41</f>
        <v>172884.59291980797</v>
      </c>
      <c r="M15" s="167">
        <f>'Forecasted FS'!J41</f>
        <v>198125.74348609991</v>
      </c>
      <c r="P15"/>
      <c r="Q15"/>
      <c r="R15"/>
      <c r="S15"/>
      <c r="T15"/>
      <c r="U15"/>
      <c r="V15"/>
      <c r="W15"/>
    </row>
    <row r="16" spans="2:23" outlineLevel="1">
      <c r="C16" s="155" t="s">
        <v>650</v>
      </c>
      <c r="D16" s="167">
        <f>'Actuals FS'!H50</f>
        <v>42740</v>
      </c>
      <c r="E16" s="167">
        <f>'Actuals FS'!G50</f>
        <v>56052</v>
      </c>
      <c r="F16" s="167">
        <f>'Actuals FS'!F50</f>
        <v>73213</v>
      </c>
      <c r="G16" s="167">
        <f>'Actuals FS'!E50</f>
        <v>85622</v>
      </c>
      <c r="H16" s="167">
        <f>'Forecasted FS'!E42</f>
        <v>88544</v>
      </c>
      <c r="I16" s="167">
        <f>'Forecasted FS'!F42</f>
        <v>75705.119999999995</v>
      </c>
      <c r="J16" s="167">
        <f>'Forecasted FS'!G42</f>
        <v>64727.877599999993</v>
      </c>
      <c r="K16" s="167">
        <f>'Forecasted FS'!H42</f>
        <v>55665.974735999989</v>
      </c>
      <c r="L16" s="167">
        <f>'Forecasted FS'!I42</f>
        <v>48151.068146639991</v>
      </c>
      <c r="M16" s="167">
        <f>'Forecasted FS'!J42</f>
        <v>41891.429287576793</v>
      </c>
      <c r="P16"/>
      <c r="Q16"/>
      <c r="R16"/>
      <c r="S16"/>
      <c r="T16"/>
      <c r="U16"/>
      <c r="V16"/>
      <c r="W16"/>
    </row>
    <row r="17" spans="3:23" outlineLevel="1">
      <c r="C17" s="155" t="s">
        <v>652</v>
      </c>
      <c r="D17" s="167">
        <f>'Actuals FS'!H51</f>
        <v>22008</v>
      </c>
      <c r="E17" s="167">
        <f>'Actuals FS'!G51</f>
        <v>32551</v>
      </c>
      <c r="F17" s="167">
        <f>'Actuals FS'!F51</f>
        <v>42238</v>
      </c>
      <c r="G17" s="167">
        <f>'Actuals FS'!E51</f>
        <v>44370</v>
      </c>
      <c r="H17" s="167">
        <f>'Forecasted FS'!E43</f>
        <v>43907</v>
      </c>
      <c r="I17" s="167">
        <f>'Forecasted FS'!F43</f>
        <v>47726.909</v>
      </c>
      <c r="J17" s="167">
        <f>'Forecasted FS'!G43</f>
        <v>51831.423174000003</v>
      </c>
      <c r="K17" s="167">
        <f>'Forecasted FS'!H43</f>
        <v>56237.094143790004</v>
      </c>
      <c r="L17" s="167">
        <f>'Forecasted FS'!I43</f>
        <v>60961.010051868368</v>
      </c>
      <c r="M17" s="167">
        <f>'Forecasted FS'!J43</f>
        <v>66020.77388617344</v>
      </c>
      <c r="P17"/>
      <c r="Q17"/>
      <c r="R17"/>
      <c r="S17"/>
      <c r="T17"/>
      <c r="U17"/>
      <c r="V17"/>
      <c r="W17"/>
    </row>
    <row r="18" spans="3:23" outlineLevel="1">
      <c r="C18" s="155" t="s">
        <v>653</v>
      </c>
      <c r="D18" s="167">
        <f>'Actuals FS'!H52</f>
        <v>6668</v>
      </c>
      <c r="E18" s="167">
        <f>'Actuals FS'!G52</f>
        <v>8823</v>
      </c>
      <c r="F18" s="167">
        <f>'Actuals FS'!F52</f>
        <v>11891</v>
      </c>
      <c r="G18" s="167">
        <f>'Actuals FS'!E52</f>
        <v>11816</v>
      </c>
      <c r="H18" s="167">
        <f>'Forecasted FS'!E44</f>
        <v>11359</v>
      </c>
      <c r="I18" s="167">
        <f>'Forecasted FS'!F44</f>
        <v>12347.233</v>
      </c>
      <c r="J18" s="167">
        <f>'Forecasted FS'!G44</f>
        <v>13409.095038000001</v>
      </c>
      <c r="K18" s="167">
        <f>'Forecasted FS'!H44</f>
        <v>14548.868116230002</v>
      </c>
      <c r="L18" s="167">
        <f>'Forecasted FS'!I44</f>
        <v>15770.973037993323</v>
      </c>
      <c r="M18" s="167">
        <f>'Forecasted FS'!J44</f>
        <v>17079.963800146768</v>
      </c>
      <c r="P18"/>
      <c r="Q18"/>
      <c r="R18"/>
      <c r="S18"/>
      <c r="T18"/>
      <c r="U18"/>
      <c r="V18"/>
      <c r="W18"/>
    </row>
    <row r="19" spans="3:23" outlineLevel="1">
      <c r="C19" s="155" t="s">
        <v>654</v>
      </c>
      <c r="D19" s="167">
        <f>'Actuals FS'!H53</f>
        <v>-75</v>
      </c>
      <c r="E19" s="167">
        <f>'Actuals FS'!G53</f>
        <v>62</v>
      </c>
      <c r="F19" s="167">
        <f>'Actuals FS'!F53</f>
        <v>1263</v>
      </c>
      <c r="G19" s="167">
        <f>'Actuals FS'!E53</f>
        <v>767</v>
      </c>
      <c r="H19" s="167">
        <f>'Forecasted FS'!E45</f>
        <v>763</v>
      </c>
      <c r="I19" s="167">
        <f>'Forecasted FS'!F45</f>
        <v>816.41</v>
      </c>
      <c r="J19" s="167">
        <f>'Forecasted FS'!G45</f>
        <v>889.88690000000008</v>
      </c>
      <c r="K19" s="167">
        <f>'Forecasted FS'!H45</f>
        <v>969.97672100000023</v>
      </c>
      <c r="L19" s="167">
        <f>'Forecasted FS'!I45</f>
        <v>1066.9743931000005</v>
      </c>
      <c r="M19" s="167">
        <f>'Forecasted FS'!J45</f>
        <v>1173.6718324100007</v>
      </c>
      <c r="P19"/>
      <c r="Q19"/>
      <c r="R19"/>
      <c r="S19"/>
      <c r="T19"/>
      <c r="U19"/>
      <c r="V19"/>
      <c r="W19"/>
    </row>
    <row r="20" spans="3:23" outlineLevel="1">
      <c r="C20" s="155" t="s">
        <v>355</v>
      </c>
      <c r="D20" s="657">
        <f>'Actuals FS'!H54</f>
        <v>363165</v>
      </c>
      <c r="E20" s="657">
        <f>'Actuals FS'!G54</f>
        <v>444943</v>
      </c>
      <c r="F20" s="657">
        <f>'Actuals FS'!F54</f>
        <v>501735</v>
      </c>
      <c r="G20" s="657">
        <f>'Actuals FS'!E54</f>
        <v>537933</v>
      </c>
      <c r="H20" s="657">
        <f>'Forecasted FS'!E46</f>
        <v>569366</v>
      </c>
      <c r="I20" s="657">
        <f>'Forecasted FS'!F46</f>
        <v>584752.34570000006</v>
      </c>
      <c r="J20" s="657">
        <f>'Forecasted FS'!G46</f>
        <v>630117.15069349995</v>
      </c>
      <c r="K20" s="657">
        <f>'Forecasted FS'!H46</f>
        <v>683526.36103952001</v>
      </c>
      <c r="L20" s="657">
        <f>'Forecasted FS'!I46</f>
        <v>749354.13101085136</v>
      </c>
      <c r="M20" s="657">
        <f>'Forecasted FS'!J46</f>
        <v>824769.69415551354</v>
      </c>
      <c r="P20"/>
      <c r="Q20"/>
      <c r="R20"/>
      <c r="S20"/>
      <c r="T20"/>
      <c r="U20"/>
      <c r="V20"/>
      <c r="W20"/>
    </row>
    <row r="21" spans="3:23" outlineLevel="1">
      <c r="C21" s="177" t="s">
        <v>356</v>
      </c>
      <c r="D21" s="171">
        <f>'Actuals FS'!H56</f>
        <v>22899</v>
      </c>
      <c r="E21" s="171">
        <f>'Actuals FS'!G56</f>
        <v>24879</v>
      </c>
      <c r="F21" s="171">
        <f>'Actuals FS'!F56</f>
        <v>12248</v>
      </c>
      <c r="G21" s="171">
        <f>'Actuals FS'!E56</f>
        <v>36852</v>
      </c>
      <c r="H21" s="171">
        <f>'Forecasted FS'!E47</f>
        <v>68593</v>
      </c>
      <c r="I21" s="171">
        <f>'Forecasted FS'!F47</f>
        <v>84211.461700000043</v>
      </c>
      <c r="J21" s="171">
        <f>'Forecasted FS'!G47</f>
        <v>106493.91518950004</v>
      </c>
      <c r="K21" s="171">
        <f>'Forecasted FS'!H47</f>
        <v>127489.86301348014</v>
      </c>
      <c r="L21" s="171">
        <f>'Forecasted FS'!I47</f>
        <v>151684.89391203198</v>
      </c>
      <c r="M21" s="171">
        <f>'Forecasted FS'!J47</f>
        <v>176186.52957069973</v>
      </c>
      <c r="P21"/>
      <c r="Q21"/>
      <c r="R21"/>
      <c r="S21"/>
      <c r="T21"/>
      <c r="U21"/>
      <c r="V21"/>
      <c r="W21"/>
    </row>
    <row r="22" spans="3:23" outlineLevel="1">
      <c r="C22" s="155" t="s">
        <v>656</v>
      </c>
      <c r="D22" s="1"/>
      <c r="E22" s="1"/>
      <c r="F22" s="1"/>
      <c r="G22" s="1"/>
      <c r="H22" s="171"/>
      <c r="I22" s="171"/>
      <c r="J22" s="171"/>
      <c r="K22" s="171"/>
      <c r="L22" s="171"/>
      <c r="M22" s="171"/>
      <c r="P22"/>
      <c r="Q22"/>
      <c r="R22"/>
      <c r="S22"/>
      <c r="T22"/>
      <c r="U22"/>
      <c r="V22"/>
      <c r="W22"/>
    </row>
    <row r="23" spans="3:23" outlineLevel="1">
      <c r="C23" s="175" t="s">
        <v>657</v>
      </c>
      <c r="D23" s="167">
        <f>'Actuals FS'!H57</f>
        <v>555</v>
      </c>
      <c r="E23" s="167">
        <f>'Actuals FS'!G57</f>
        <v>448</v>
      </c>
      <c r="F23" s="167">
        <f>'Actuals FS'!F57</f>
        <v>989</v>
      </c>
      <c r="G23" s="176">
        <f>'Actuals FS'!E57</f>
        <v>2949</v>
      </c>
      <c r="H23" s="176">
        <f>'Forecasted FS'!E49</f>
        <v>4677</v>
      </c>
      <c r="I23" s="176">
        <f>'Forecasted FS'!F49</f>
        <v>4715.4025438625367</v>
      </c>
      <c r="J23" s="176">
        <f>'Forecasted FS'!G49</f>
        <v>4720.0108491260407</v>
      </c>
      <c r="K23" s="176">
        <f>'Forecasted FS'!H49</f>
        <v>4725.1721510211664</v>
      </c>
      <c r="L23" s="176">
        <f>'Forecasted FS'!I49</f>
        <v>4730.952809143706</v>
      </c>
      <c r="M23" s="176">
        <f>'Forecasted FS'!J49</f>
        <v>4737.4271462409506</v>
      </c>
      <c r="P23"/>
      <c r="Q23"/>
      <c r="R23"/>
      <c r="S23"/>
      <c r="T23"/>
      <c r="U23"/>
      <c r="V23"/>
      <c r="W23"/>
    </row>
    <row r="24" spans="3:23" outlineLevel="1">
      <c r="C24" s="175" t="s">
        <v>658</v>
      </c>
      <c r="D24" s="167">
        <f>'Actuals FS'!H58</f>
        <v>-1647</v>
      </c>
      <c r="E24" s="167">
        <f>'Actuals FS'!G58</f>
        <v>-1809</v>
      </c>
      <c r="F24" s="167">
        <f>'Actuals FS'!F58</f>
        <v>-2367</v>
      </c>
      <c r="G24" s="176">
        <f>'Actuals FS'!E58</f>
        <v>-3182</v>
      </c>
      <c r="H24" s="176">
        <f>'Forecasted FS'!E50</f>
        <v>-2406</v>
      </c>
      <c r="I24" s="176">
        <f>'Forecasted FS'!F50</f>
        <v>-2045.1</v>
      </c>
      <c r="J24" s="176">
        <f>'Forecasted FS'!G50</f>
        <v>-2021.04</v>
      </c>
      <c r="K24" s="176">
        <f>'Forecasted FS'!H50</f>
        <v>-1996.9799999999998</v>
      </c>
      <c r="L24" s="176">
        <f>'Forecasted FS'!I50</f>
        <v>-1996.9799999999998</v>
      </c>
      <c r="M24" s="176">
        <f>'Forecasted FS'!J50</f>
        <v>-1996.9799999999998</v>
      </c>
      <c r="P24"/>
      <c r="Q24"/>
      <c r="R24"/>
      <c r="S24"/>
      <c r="T24"/>
      <c r="U24"/>
      <c r="V24"/>
      <c r="W24"/>
    </row>
    <row r="25" spans="3:23" outlineLevel="1">
      <c r="C25" s="590" t="s">
        <v>659</v>
      </c>
      <c r="D25" s="642">
        <f>'Actuals FS'!H59</f>
        <v>2371</v>
      </c>
      <c r="E25" s="642">
        <f>'Actuals FS'!G59</f>
        <v>14633</v>
      </c>
      <c r="F25" s="642">
        <f>'Actuals FS'!F59</f>
        <v>-16806</v>
      </c>
      <c r="G25" s="642">
        <f>'Actuals FS'!E59</f>
        <v>938</v>
      </c>
      <c r="H25" s="642">
        <f>'Forecasted FS'!E51</f>
        <v>-2250</v>
      </c>
      <c r="I25" s="642">
        <f>'Forecasted FS'!F51</f>
        <v>-2252.7179136903783</v>
      </c>
      <c r="J25" s="642">
        <f>'Forecasted FS'!G51</f>
        <v>-2252.745092827282</v>
      </c>
      <c r="K25" s="642">
        <f>'Forecasted FS'!H51</f>
        <v>-2252.772543755555</v>
      </c>
      <c r="L25" s="642">
        <f>'Forecasted FS'!I51</f>
        <v>-2252.8002691931101</v>
      </c>
      <c r="M25" s="642">
        <f>'Forecasted FS'!J51</f>
        <v>-2252.8282718850414</v>
      </c>
      <c r="P25"/>
      <c r="Q25"/>
      <c r="R25"/>
      <c r="S25"/>
      <c r="T25"/>
      <c r="U25"/>
      <c r="V25"/>
      <c r="W25"/>
    </row>
    <row r="26" spans="3:23" outlineLevel="1">
      <c r="C26" s="155" t="s">
        <v>655</v>
      </c>
      <c r="D26" s="171">
        <f>'Actuals FS'!H61</f>
        <v>24178</v>
      </c>
      <c r="E26" s="171">
        <f>'Actuals FS'!G61</f>
        <v>38151</v>
      </c>
      <c r="F26" s="171">
        <f>'Actuals FS'!F61</f>
        <v>-5936</v>
      </c>
      <c r="G26" s="171">
        <f>'Actuals FS'!E61</f>
        <v>37557</v>
      </c>
      <c r="H26" s="171">
        <f>'Forecasted FS'!E52</f>
        <v>68614</v>
      </c>
      <c r="I26" s="171">
        <f>'Forecasted FS'!F52</f>
        <v>84629.046330172205</v>
      </c>
      <c r="J26" s="171">
        <f>'Forecasted FS'!G52</f>
        <v>106940.1409457988</v>
      </c>
      <c r="K26" s="171">
        <f>'Forecasted FS'!H52</f>
        <v>127965.28262074577</v>
      </c>
      <c r="L26" s="171">
        <f>'Forecasted FS'!I52</f>
        <v>152166.06645198257</v>
      </c>
      <c r="M26" s="171">
        <f>'Forecasted FS'!J52</f>
        <v>176674.14844505562</v>
      </c>
      <c r="P26"/>
      <c r="Q26"/>
      <c r="R26"/>
      <c r="S26"/>
      <c r="T26"/>
      <c r="U26"/>
      <c r="V26"/>
      <c r="W26"/>
    </row>
    <row r="27" spans="3:23" outlineLevel="1">
      <c r="C27" s="175" t="s">
        <v>661</v>
      </c>
      <c r="D27" s="176">
        <f>'Actuals FS'!H62</f>
        <v>-2863</v>
      </c>
      <c r="E27" s="176">
        <f>'Actuals FS'!G62</f>
        <v>-4791</v>
      </c>
      <c r="F27" s="176">
        <f>'Actuals FS'!F62</f>
        <v>3217</v>
      </c>
      <c r="G27" s="176">
        <f>'Actuals FS'!E62</f>
        <v>-7120</v>
      </c>
      <c r="H27" s="642">
        <f>'Forecasted FS'!E53</f>
        <v>-9265</v>
      </c>
      <c r="I27" s="642">
        <f>'Forecasted FS'!F53</f>
        <v>-17772.099729336162</v>
      </c>
      <c r="J27" s="642">
        <f>'Forecasted FS'!G53</f>
        <v>-22457.429598617749</v>
      </c>
      <c r="K27" s="642">
        <f>'Forecasted FS'!H53</f>
        <v>-26872.70935035661</v>
      </c>
      <c r="L27" s="642">
        <f>'Forecasted FS'!I53</f>
        <v>-31954.873954916337</v>
      </c>
      <c r="M27" s="642">
        <f>'Forecasted FS'!J53</f>
        <v>-37101.571173461678</v>
      </c>
      <c r="P27"/>
      <c r="Q27"/>
      <c r="R27"/>
      <c r="S27"/>
      <c r="T27"/>
      <c r="U27"/>
      <c r="V27"/>
      <c r="W27"/>
    </row>
    <row r="28" spans="3:23" outlineLevel="1">
      <c r="C28" s="177" t="s">
        <v>375</v>
      </c>
      <c r="D28" s="178">
        <f t="shared" ref="D28:F28" si="1">D26+D27</f>
        <v>21315</v>
      </c>
      <c r="E28" s="178">
        <f t="shared" si="1"/>
        <v>33360</v>
      </c>
      <c r="F28" s="178">
        <f t="shared" si="1"/>
        <v>-2719</v>
      </c>
      <c r="G28" s="178">
        <f>G26+G27</f>
        <v>30437</v>
      </c>
      <c r="H28" s="171">
        <f>'Forecasted FS'!E54</f>
        <v>59349</v>
      </c>
      <c r="I28" s="171">
        <f>'Forecasted FS'!F54</f>
        <v>66856.946600836047</v>
      </c>
      <c r="J28" s="171">
        <f>'Forecasted FS'!G54</f>
        <v>84482.711347181059</v>
      </c>
      <c r="K28" s="171">
        <f>'Forecasted FS'!H54</f>
        <v>101092.57327038916</v>
      </c>
      <c r="L28" s="171">
        <f>'Forecasted FS'!I54</f>
        <v>120211.19249706622</v>
      </c>
      <c r="M28" s="171">
        <f>'Forecasted FS'!J54</f>
        <v>139572.57727159394</v>
      </c>
      <c r="P28"/>
      <c r="Q28"/>
      <c r="R28"/>
      <c r="S28"/>
      <c r="T28"/>
      <c r="U28"/>
      <c r="V28"/>
      <c r="W28"/>
    </row>
    <row r="29" spans="3:23" outlineLevel="1">
      <c r="C29" s="155" t="s">
        <v>662</v>
      </c>
      <c r="D29" s="167">
        <f>'Actuals FS'!H63</f>
        <v>16</v>
      </c>
      <c r="E29" s="167">
        <f>'Actuals FS'!G63</f>
        <v>4</v>
      </c>
      <c r="F29" s="167">
        <f>'Actuals FS'!F63</f>
        <v>-3</v>
      </c>
      <c r="G29" s="167">
        <f>'Actuals FS'!E63</f>
        <v>-12</v>
      </c>
      <c r="H29" s="642">
        <f>'Forecasted FS'!E55</f>
        <v>-101</v>
      </c>
      <c r="I29" s="642">
        <f>'Forecasted FS'!F55</f>
        <v>-108.07000000000001</v>
      </c>
      <c r="J29" s="642">
        <f>'Forecasted FS'!G55</f>
        <v>-117.79630000000002</v>
      </c>
      <c r="K29" s="642">
        <f>'Forecasted FS'!H55</f>
        <v>-128.39796700000005</v>
      </c>
      <c r="L29" s="642">
        <f>'Forecasted FS'!I55</f>
        <v>-141.23776370000007</v>
      </c>
      <c r="M29" s="642">
        <f>'Forecasted FS'!J55</f>
        <v>-155.3615400700001</v>
      </c>
      <c r="P29"/>
      <c r="Q29"/>
      <c r="R29"/>
      <c r="S29"/>
      <c r="T29"/>
      <c r="U29"/>
      <c r="V29"/>
      <c r="W29"/>
    </row>
    <row r="30" spans="3:23" outlineLevel="1">
      <c r="C30" s="177" t="s">
        <v>162</v>
      </c>
      <c r="D30" s="178">
        <f>'Actuals FS'!H64</f>
        <v>21331</v>
      </c>
      <c r="E30" s="178">
        <f>'Actuals FS'!G64</f>
        <v>33364</v>
      </c>
      <c r="F30" s="178">
        <f>'Actuals FS'!F64</f>
        <v>-2722</v>
      </c>
      <c r="G30" s="178">
        <f>'Actuals FS'!E64</f>
        <v>30425</v>
      </c>
      <c r="H30" s="171">
        <f>'Forecasted FS'!E56</f>
        <v>59248</v>
      </c>
      <c r="I30" s="171">
        <f>'Forecasted FS'!F56</f>
        <v>66748.87660083604</v>
      </c>
      <c r="J30" s="171">
        <f>'Forecasted FS'!G56</f>
        <v>84364.915047181057</v>
      </c>
      <c r="K30" s="171">
        <f>'Forecasted FS'!H56</f>
        <v>100964.17530338916</v>
      </c>
      <c r="L30" s="171">
        <f>'Forecasted FS'!I56</f>
        <v>120069.95473336622</v>
      </c>
      <c r="M30" s="171">
        <f>'Forecasted FS'!J56</f>
        <v>139417.21573152393</v>
      </c>
      <c r="P30"/>
      <c r="Q30"/>
      <c r="R30"/>
      <c r="S30"/>
      <c r="T30"/>
      <c r="U30"/>
      <c r="V30"/>
      <c r="W30"/>
    </row>
    <row r="31" spans="3:23" outlineLevel="1">
      <c r="C31" s="25" t="s">
        <v>47</v>
      </c>
      <c r="D31" s="167">
        <f>'Actuals FS'!H67</f>
        <v>500</v>
      </c>
      <c r="E31" s="167">
        <f>'Actuals FS'!G67</f>
        <v>506</v>
      </c>
      <c r="F31" s="167">
        <f>'Actuals FS'!F67</f>
        <v>10189</v>
      </c>
      <c r="G31" s="167">
        <f>'Actuals FS'!E67</f>
        <v>10304</v>
      </c>
      <c r="H31" s="167">
        <f>'Forecasted FS'!E57</f>
        <v>10473</v>
      </c>
      <c r="I31" s="167">
        <f>'Forecasted FS'!F57</f>
        <v>10644.929119269422</v>
      </c>
      <c r="J31" s="167">
        <f>'Forecasted FS'!G57</f>
        <v>10819.680698393016</v>
      </c>
      <c r="K31" s="167">
        <f>'Forecasted FS'!H57</f>
        <v>10997.301072044413</v>
      </c>
      <c r="L31" s="167">
        <f>'Forecasted FS'!I57</f>
        <v>11177.83733554649</v>
      </c>
      <c r="M31" s="167">
        <f>'Forecasted FS'!J57</f>
        <v>11361.337357358518</v>
      </c>
      <c r="P31"/>
      <c r="Q31"/>
      <c r="R31"/>
      <c r="S31"/>
      <c r="T31"/>
      <c r="U31"/>
      <c r="V31"/>
      <c r="W31"/>
    </row>
    <row r="32" spans="3:23" outlineLevel="1">
      <c r="C32" s="25" t="s">
        <v>48</v>
      </c>
      <c r="D32" s="167">
        <f>'Actuals FS'!H68</f>
        <v>510</v>
      </c>
      <c r="E32" s="167">
        <f>'Actuals FS'!G68</f>
        <v>515</v>
      </c>
      <c r="F32" s="167">
        <f>'Actuals FS'!F68</f>
        <v>10189</v>
      </c>
      <c r="G32" s="167">
        <f>'Actuals FS'!E68</f>
        <v>10492</v>
      </c>
      <c r="H32" s="167">
        <f>'Forecasted FS'!E58</f>
        <v>10721</v>
      </c>
      <c r="I32" s="167">
        <f>'Forecasted FS'!F58</f>
        <v>10897.000390307216</v>
      </c>
      <c r="J32" s="167">
        <f>'Forecasted FS'!G58</f>
        <v>11075.890076145472</v>
      </c>
      <c r="K32" s="167">
        <f>'Forecasted FS'!H58</f>
        <v>11257.716489390636</v>
      </c>
      <c r="L32" s="167">
        <f>'Forecasted FS'!I58</f>
        <v>11442.527840579958</v>
      </c>
      <c r="M32" s="167">
        <f>'Forecasted FS'!J58</f>
        <v>11630.373131694896</v>
      </c>
      <c r="P32"/>
      <c r="Q32"/>
      <c r="R32"/>
      <c r="S32"/>
      <c r="T32"/>
      <c r="U32"/>
      <c r="V32"/>
      <c r="W32"/>
    </row>
    <row r="33" spans="3:23">
      <c r="C33" s="25"/>
      <c r="D33"/>
      <c r="H33" s="29"/>
      <c r="I33" s="29"/>
      <c r="J33" s="29"/>
      <c r="K33" s="29"/>
      <c r="L33" s="29"/>
      <c r="M33" s="29"/>
      <c r="P33"/>
      <c r="Q33"/>
      <c r="R33"/>
      <c r="S33"/>
      <c r="T33"/>
      <c r="U33"/>
      <c r="V33"/>
      <c r="W33"/>
    </row>
    <row r="34" spans="3:23">
      <c r="C34" s="505" t="s">
        <v>377</v>
      </c>
      <c r="D34" s="661" t="str">
        <f>D10</f>
        <v>2020 A</v>
      </c>
      <c r="E34" s="661" t="str">
        <f t="shared" ref="E34:M34" si="2">E10</f>
        <v>2021 A</v>
      </c>
      <c r="F34" s="661" t="str">
        <f t="shared" si="2"/>
        <v>2022 A</v>
      </c>
      <c r="G34" s="661" t="str">
        <f t="shared" si="2"/>
        <v>2023 A</v>
      </c>
      <c r="H34" s="661" t="str">
        <f t="shared" si="2"/>
        <v>2024 A</v>
      </c>
      <c r="I34" s="661" t="str">
        <f t="shared" si="2"/>
        <v>2025 F</v>
      </c>
      <c r="J34" s="661" t="str">
        <f t="shared" si="2"/>
        <v>2026 F</v>
      </c>
      <c r="K34" s="661" t="str">
        <f t="shared" si="2"/>
        <v>2027 F</v>
      </c>
      <c r="L34" s="661" t="str">
        <f t="shared" si="2"/>
        <v>2028 F</v>
      </c>
      <c r="M34" s="661" t="str">
        <f t="shared" si="2"/>
        <v>2029 F</v>
      </c>
      <c r="P34"/>
      <c r="Q34"/>
      <c r="R34"/>
      <c r="S34"/>
      <c r="T34"/>
      <c r="U34"/>
      <c r="V34"/>
      <c r="W34"/>
    </row>
    <row r="35" spans="3:23">
      <c r="C35" s="158" t="s">
        <v>357</v>
      </c>
      <c r="D35" s="100"/>
      <c r="E35" s="100"/>
      <c r="F35" s="155"/>
      <c r="G35" s="155"/>
      <c r="H35" s="155"/>
      <c r="I35" s="155"/>
      <c r="J35" s="155"/>
      <c r="K35" s="155"/>
      <c r="L35" s="155"/>
      <c r="M35" s="155"/>
      <c r="P35"/>
      <c r="Q35"/>
      <c r="R35"/>
      <c r="S35"/>
      <c r="T35"/>
      <c r="U35"/>
      <c r="V35"/>
      <c r="W35"/>
    </row>
    <row r="36" spans="3:23" ht="12">
      <c r="C36" s="159" t="s">
        <v>358</v>
      </c>
      <c r="D36" s="171">
        <f>'Actuals FS'!H12</f>
        <v>42122</v>
      </c>
      <c r="E36" s="658">
        <f>'Actuals FS'!G12</f>
        <v>36220</v>
      </c>
      <c r="F36" s="171">
        <f>'Actuals FS'!F12</f>
        <v>53888</v>
      </c>
      <c r="G36" s="171">
        <f>'Actuals FS'!E12</f>
        <v>73387</v>
      </c>
      <c r="H36" s="171">
        <f>'Forecasted FS'!E62</f>
        <v>78779</v>
      </c>
      <c r="I36" s="171">
        <f>'Forecasted FS'!F62</f>
        <v>152610.19612488011</v>
      </c>
      <c r="J36" s="171">
        <f>'Forecasted FS'!G62</f>
        <v>248470.25748293207</v>
      </c>
      <c r="K36" s="171">
        <f>'Forecasted FS'!H62</f>
        <v>357625.50599569315</v>
      </c>
      <c r="L36" s="171">
        <f>'Forecasted FS'!I62</f>
        <v>485458.26098544791</v>
      </c>
      <c r="M36" s="171">
        <f>'Forecasted FS'!J62</f>
        <v>629419.84717720293</v>
      </c>
    </row>
    <row r="37" spans="3:23" ht="12">
      <c r="C37" s="1" t="s">
        <v>578</v>
      </c>
      <c r="D37" s="176">
        <f>'Actuals FS'!H13</f>
        <v>42274</v>
      </c>
      <c r="E37" s="659">
        <f>'Actuals FS'!G13</f>
        <v>59829</v>
      </c>
      <c r="F37" s="167">
        <f>'Actuals FS'!F13</f>
        <v>16138</v>
      </c>
      <c r="G37" s="167">
        <f>'Actuals FS'!E13</f>
        <v>13393</v>
      </c>
      <c r="H37" s="176">
        <f>'Forecasted FS'!E63</f>
        <v>22423</v>
      </c>
      <c r="I37" s="176">
        <f>'Forecasted FS'!F63</f>
        <v>22423</v>
      </c>
      <c r="J37" s="176">
        <f>'Forecasted FS'!G63</f>
        <v>22423</v>
      </c>
      <c r="K37" s="176">
        <f>'Forecasted FS'!H63</f>
        <v>22423</v>
      </c>
      <c r="L37" s="176">
        <f>'Forecasted FS'!I63</f>
        <v>22423</v>
      </c>
      <c r="M37" s="176">
        <f>'Forecasted FS'!J63</f>
        <v>22423</v>
      </c>
    </row>
    <row r="38" spans="3:23" ht="12">
      <c r="C38" s="1" t="s">
        <v>31</v>
      </c>
      <c r="D38" s="176">
        <f>'Actuals FS'!H14</f>
        <v>23795</v>
      </c>
      <c r="E38" s="659">
        <f>'Actuals FS'!G14</f>
        <v>32640</v>
      </c>
      <c r="F38" s="167">
        <f>'Actuals FS'!F14</f>
        <v>34405</v>
      </c>
      <c r="G38" s="167">
        <f>'Actuals FS'!E14</f>
        <v>33318</v>
      </c>
      <c r="H38" s="176">
        <f>'Forecasted FS'!E64</f>
        <v>34214</v>
      </c>
      <c r="I38" s="176">
        <f>'Forecasted FS'!F64</f>
        <v>36322.234028021434</v>
      </c>
      <c r="J38" s="176">
        <f>'Forecasted FS'!G64</f>
        <v>39007.070298276041</v>
      </c>
      <c r="K38" s="176">
        <f>'Forecasted FS'!H64</f>
        <v>41886.255536628989</v>
      </c>
      <c r="L38" s="176">
        <f>'Forecasted FS'!I64</f>
        <v>45386.061617992033</v>
      </c>
      <c r="M38" s="176">
        <f>'Forecasted FS'!J64</f>
        <v>49173.276315226707</v>
      </c>
    </row>
    <row r="39" spans="3:23" ht="12">
      <c r="C39" s="1" t="s">
        <v>579</v>
      </c>
      <c r="D39" s="642">
        <f>'Actuals FS'!H15</f>
        <v>24542</v>
      </c>
      <c r="E39" s="664">
        <f>'Actuals FS'!G15</f>
        <v>32891</v>
      </c>
      <c r="F39" s="642">
        <f>'Actuals FS'!F15</f>
        <v>42360</v>
      </c>
      <c r="G39" s="642">
        <f>'Actuals FS'!E15</f>
        <v>52253</v>
      </c>
      <c r="H39" s="642">
        <f>'Forecasted FS'!E65</f>
        <v>55451</v>
      </c>
      <c r="I39" s="642">
        <f>'Forecasted FS'!F65</f>
        <v>55451</v>
      </c>
      <c r="J39" s="642">
        <f>'Forecasted FS'!G65</f>
        <v>55451</v>
      </c>
      <c r="K39" s="642">
        <f>'Forecasted FS'!H65</f>
        <v>55451</v>
      </c>
      <c r="L39" s="642">
        <f>'Forecasted FS'!I65</f>
        <v>55451</v>
      </c>
      <c r="M39" s="642">
        <f>'Forecasted FS'!J65</f>
        <v>55451</v>
      </c>
    </row>
    <row r="40" spans="3:23" ht="12">
      <c r="C40" s="179" t="s">
        <v>359</v>
      </c>
      <c r="D40" s="171">
        <f>'Actuals FS'!H16</f>
        <v>132733</v>
      </c>
      <c r="E40" s="658">
        <f>'Actuals FS'!G16</f>
        <v>161580</v>
      </c>
      <c r="F40" s="171">
        <f>'Actuals FS'!F16</f>
        <v>146791</v>
      </c>
      <c r="G40" s="171">
        <f>'Actuals FS'!E16</f>
        <v>172351</v>
      </c>
      <c r="H40" s="171">
        <f>'Forecasted FS'!E66</f>
        <v>190867</v>
      </c>
      <c r="I40" s="171">
        <f>'Forecasted FS'!F66</f>
        <v>266806.43015290156</v>
      </c>
      <c r="J40" s="171">
        <f>'Forecasted FS'!G66</f>
        <v>365351.32778120809</v>
      </c>
      <c r="K40" s="171">
        <f>'Forecasted FS'!H66</f>
        <v>477385.76153232215</v>
      </c>
      <c r="L40" s="171">
        <f>'Forecasted FS'!I66</f>
        <v>608718.32260343991</v>
      </c>
      <c r="M40" s="171">
        <f>'Forecasted FS'!J66</f>
        <v>756467.12349242961</v>
      </c>
    </row>
    <row r="41" spans="3:23" ht="12">
      <c r="C41" s="158" t="s">
        <v>360</v>
      </c>
      <c r="D41" s="171"/>
      <c r="E41" s="660"/>
      <c r="F41" s="168"/>
      <c r="G41" s="168"/>
      <c r="H41" s="171"/>
      <c r="I41" s="171"/>
      <c r="J41" s="171"/>
      <c r="K41" s="171"/>
      <c r="L41" s="171"/>
      <c r="M41" s="171"/>
    </row>
    <row r="42" spans="3:23" ht="12">
      <c r="C42" s="1" t="s">
        <v>580</v>
      </c>
      <c r="D42" s="176">
        <f>'Actuals FS'!H17</f>
        <v>113114</v>
      </c>
      <c r="E42" s="659">
        <f>'Actuals FS'!G17</f>
        <v>160281</v>
      </c>
      <c r="F42" s="167">
        <f>'Actuals FS'!F17</f>
        <v>186715</v>
      </c>
      <c r="G42" s="167">
        <f>'Actuals FS'!E17</f>
        <v>204177</v>
      </c>
      <c r="H42" s="176">
        <f>'Forecasted FS'!E68</f>
        <v>252665</v>
      </c>
      <c r="I42" s="176">
        <f>'Forecasted FS'!F68</f>
        <v>283529.94396260224</v>
      </c>
      <c r="J42" s="176">
        <f>'Forecasted FS'!G68</f>
        <v>314394.88792520447</v>
      </c>
      <c r="K42" s="176">
        <f>'Forecasted FS'!H68</f>
        <v>347973.17962526873</v>
      </c>
      <c r="L42" s="176">
        <f>'Forecasted FS'!I68</f>
        <v>384854.48060351296</v>
      </c>
      <c r="M42" s="176">
        <f>'Forecasted FS'!J68</f>
        <v>426729.08882262325</v>
      </c>
    </row>
    <row r="43" spans="3:23" ht="12">
      <c r="C43" s="1" t="s">
        <v>581</v>
      </c>
      <c r="D43" s="176">
        <f>'Actuals FS'!H18</f>
        <v>37553</v>
      </c>
      <c r="E43" s="659">
        <f>'Actuals FS'!G18</f>
        <v>56082</v>
      </c>
      <c r="F43" s="167">
        <f>'Actuals FS'!F18</f>
        <v>66123</v>
      </c>
      <c r="G43" s="167">
        <f>'Actuals FS'!E18</f>
        <v>72513</v>
      </c>
      <c r="H43" s="176">
        <f>'Forecasted FS'!E69</f>
        <v>76141</v>
      </c>
      <c r="I43" s="176">
        <f>'Forecasted FS'!F69</f>
        <v>81470.87</v>
      </c>
      <c r="J43" s="176">
        <f>'Forecasted FS'!G69</f>
        <v>88803.248300000007</v>
      </c>
      <c r="K43" s="176">
        <f>'Forecasted FS'!H69</f>
        <v>96795.540647000016</v>
      </c>
      <c r="L43" s="176">
        <f>'Forecasted FS'!I69</f>
        <v>106475.09471170003</v>
      </c>
      <c r="M43" s="176">
        <f>'Forecasted FS'!J69</f>
        <v>117122.60418287005</v>
      </c>
    </row>
    <row r="44" spans="3:23" ht="12">
      <c r="C44" s="1" t="s">
        <v>33</v>
      </c>
      <c r="D44" s="176">
        <f>'Actuals FS'!H19</f>
        <v>15017</v>
      </c>
      <c r="E44" s="659">
        <f>'Actuals FS'!G19</f>
        <v>15371</v>
      </c>
      <c r="F44" s="167">
        <f>'Actuals FS'!F19</f>
        <v>20288</v>
      </c>
      <c r="G44" s="167">
        <f>'Actuals FS'!E19</f>
        <v>22789</v>
      </c>
      <c r="H44" s="176">
        <f>'Forecasted FS'!E70</f>
        <v>23074</v>
      </c>
      <c r="I44" s="176">
        <f>'Forecasted FS'!F70</f>
        <v>23074</v>
      </c>
      <c r="J44" s="176">
        <f>'Forecasted FS'!G70</f>
        <v>23074</v>
      </c>
      <c r="K44" s="176">
        <f>'Forecasted FS'!H70</f>
        <v>23074</v>
      </c>
      <c r="L44" s="176">
        <f>'Forecasted FS'!I70</f>
        <v>23074</v>
      </c>
      <c r="M44" s="176">
        <f>'Forecasted FS'!J70</f>
        <v>23074</v>
      </c>
    </row>
    <row r="45" spans="3:23" ht="12">
      <c r="C45" s="1" t="s">
        <v>34</v>
      </c>
      <c r="D45" s="642">
        <f>'Actuals FS'!H20</f>
        <v>22778</v>
      </c>
      <c r="E45" s="664">
        <f>'Actuals FS'!G20</f>
        <v>27235</v>
      </c>
      <c r="F45" s="642">
        <f>'Actuals FS'!F20</f>
        <v>42758</v>
      </c>
      <c r="G45" s="642">
        <f>'Actuals FS'!E20</f>
        <v>56024</v>
      </c>
      <c r="H45" s="642">
        <f>'Forecasted FS'!E71</f>
        <v>82147</v>
      </c>
      <c r="I45" s="642">
        <f>'Forecasted FS'!F71</f>
        <v>82147</v>
      </c>
      <c r="J45" s="642">
        <f>'Forecasted FS'!G71</f>
        <v>82147</v>
      </c>
      <c r="K45" s="642">
        <f>'Forecasted FS'!H71</f>
        <v>82147</v>
      </c>
      <c r="L45" s="642">
        <f>'Forecasted FS'!I71</f>
        <v>82147</v>
      </c>
      <c r="M45" s="642">
        <f>'Forecasted FS'!J71</f>
        <v>82147</v>
      </c>
    </row>
    <row r="46" spans="3:23" ht="12">
      <c r="C46" s="181" t="s">
        <v>361</v>
      </c>
      <c r="D46" s="662">
        <f t="shared" ref="D46:F46" si="3">SUM(D42:D45)</f>
        <v>188462</v>
      </c>
      <c r="E46" s="662">
        <f t="shared" si="3"/>
        <v>258969</v>
      </c>
      <c r="F46" s="662">
        <f t="shared" si="3"/>
        <v>315884</v>
      </c>
      <c r="G46" s="662">
        <f>SUM(G42:G45)</f>
        <v>355503</v>
      </c>
      <c r="H46" s="662">
        <f>'Forecasted FS'!E72</f>
        <v>434027</v>
      </c>
      <c r="I46" s="662">
        <f>'Forecasted FS'!F72</f>
        <v>470221.81396260223</v>
      </c>
      <c r="J46" s="662">
        <f>'Forecasted FS'!G72</f>
        <v>508419.13622520445</v>
      </c>
      <c r="K46" s="662">
        <f>'Forecasted FS'!H72</f>
        <v>549989.72027226875</v>
      </c>
      <c r="L46" s="662">
        <f>'Forecasted FS'!I72</f>
        <v>596550.57531521306</v>
      </c>
      <c r="M46" s="662">
        <f>'Forecasted FS'!J72</f>
        <v>649072.69300549326</v>
      </c>
    </row>
    <row r="47" spans="3:23" ht="12">
      <c r="C47" s="180" t="s">
        <v>362</v>
      </c>
      <c r="D47" s="587">
        <f>'Actuals FS'!H21</f>
        <v>321195</v>
      </c>
      <c r="E47" s="658">
        <f>'Actuals FS'!G21</f>
        <v>420549</v>
      </c>
      <c r="F47" s="171">
        <f>'Actuals FS'!F21</f>
        <v>462675</v>
      </c>
      <c r="G47" s="171">
        <f>'Actuals FS'!E21</f>
        <v>527854</v>
      </c>
      <c r="H47" s="171">
        <f>'Forecasted FS'!E73</f>
        <v>624894</v>
      </c>
      <c r="I47" s="171">
        <f>'Forecasted FS'!F73</f>
        <v>737028.24411550374</v>
      </c>
      <c r="J47" s="171">
        <f>'Forecasted FS'!G73</f>
        <v>873770.46400641254</v>
      </c>
      <c r="K47" s="171">
        <f>'Forecasted FS'!H73</f>
        <v>1027375.4818045909</v>
      </c>
      <c r="L47" s="171">
        <f>'Forecasted FS'!I73</f>
        <v>1205268.897918653</v>
      </c>
      <c r="M47" s="171">
        <f>'Forecasted FS'!J73</f>
        <v>1405539.8164979229</v>
      </c>
    </row>
    <row r="48" spans="3:23" ht="12">
      <c r="C48" s="158" t="s">
        <v>363</v>
      </c>
      <c r="D48" s="176"/>
      <c r="E48" s="176"/>
      <c r="F48" s="176"/>
      <c r="G48" s="176"/>
      <c r="H48" s="176"/>
      <c r="I48" s="176"/>
      <c r="J48" s="176"/>
      <c r="K48" s="176"/>
      <c r="L48" s="176"/>
      <c r="M48" s="176"/>
    </row>
    <row r="49" spans="3:13" ht="12">
      <c r="C49" s="1" t="s">
        <v>36</v>
      </c>
      <c r="D49" s="176">
        <f>'Actuals FS'!H24</f>
        <v>72539</v>
      </c>
      <c r="E49" s="659">
        <f>'Actuals FS'!G24</f>
        <v>78664</v>
      </c>
      <c r="F49" s="167">
        <f>'Actuals FS'!F24</f>
        <v>79600</v>
      </c>
      <c r="G49" s="167">
        <f>'Actuals FS'!E24</f>
        <v>84981</v>
      </c>
      <c r="H49" s="176">
        <f>'Forecasted FS'!E75</f>
        <v>94363</v>
      </c>
      <c r="I49" s="176">
        <f>'Forecasted FS'!F75</f>
        <v>100177.55800509111</v>
      </c>
      <c r="J49" s="176">
        <f>'Forecasted FS'!G75</f>
        <v>107582.39827428019</v>
      </c>
      <c r="K49" s="176">
        <f>'Forecasted FS'!H75</f>
        <v>115523.25747363424</v>
      </c>
      <c r="L49" s="176">
        <f>'Forecasted FS'!I75</f>
        <v>125175.80325184375</v>
      </c>
      <c r="M49" s="176">
        <f>'Forecasted FS'!J75</f>
        <v>135621.02861208096</v>
      </c>
    </row>
    <row r="50" spans="3:13" ht="12">
      <c r="C50" s="1" t="s">
        <v>582</v>
      </c>
      <c r="D50" s="176">
        <f>'Actuals FS'!H25</f>
        <v>44138</v>
      </c>
      <c r="E50" s="659">
        <f>'Actuals FS'!G25</f>
        <v>51775</v>
      </c>
      <c r="F50" s="167">
        <f>'Actuals FS'!F25</f>
        <v>62566</v>
      </c>
      <c r="G50" s="167">
        <f>'Actuals FS'!E25</f>
        <v>64709</v>
      </c>
      <c r="H50" s="176">
        <f>'Forecasted FS'!E76</f>
        <v>66965</v>
      </c>
      <c r="I50" s="176">
        <f>'Forecasted FS'!F76</f>
        <v>71652.55</v>
      </c>
      <c r="J50" s="176">
        <f>'Forecasted FS'!G76</f>
        <v>78101.279500000004</v>
      </c>
      <c r="K50" s="176">
        <f>'Forecasted FS'!H76</f>
        <v>85130.394655000026</v>
      </c>
      <c r="L50" s="176">
        <f>'Forecasted FS'!I76</f>
        <v>93643.434120500038</v>
      </c>
      <c r="M50" s="176">
        <f>'Forecasted FS'!J76</f>
        <v>103007.77753255006</v>
      </c>
    </row>
    <row r="51" spans="3:13" ht="12">
      <c r="C51" s="1" t="s">
        <v>583</v>
      </c>
      <c r="D51" s="642">
        <f>'Actuals FS'!H26</f>
        <v>9708</v>
      </c>
      <c r="E51" s="664">
        <f>'Actuals FS'!G26</f>
        <v>11827</v>
      </c>
      <c r="F51" s="642">
        <f>'Actuals FS'!F26</f>
        <v>13227</v>
      </c>
      <c r="G51" s="642">
        <f>'Actuals FS'!E26</f>
        <v>15227</v>
      </c>
      <c r="H51" s="642">
        <f>'Forecasted FS'!E77</f>
        <v>18103</v>
      </c>
      <c r="I51" s="642">
        <f>'Forecasted FS'!F77</f>
        <v>19370.21</v>
      </c>
      <c r="J51" s="642">
        <f>'Forecasted FS'!G77</f>
        <v>21113.528900000005</v>
      </c>
      <c r="K51" s="642">
        <f>'Forecasted FS'!H77</f>
        <v>23013.746501000005</v>
      </c>
      <c r="L51" s="642">
        <f>'Forecasted FS'!I77</f>
        <v>25315.121151100011</v>
      </c>
      <c r="M51" s="642">
        <f>'Forecasted FS'!J77</f>
        <v>27846.633266210018</v>
      </c>
    </row>
    <row r="52" spans="3:13" ht="12">
      <c r="C52" s="179" t="s">
        <v>364</v>
      </c>
      <c r="D52" s="587">
        <f>'Actuals FS'!H27</f>
        <v>126385</v>
      </c>
      <c r="E52" s="658">
        <f>'Actuals FS'!G27</f>
        <v>142266</v>
      </c>
      <c r="F52" s="171">
        <f>'Actuals FS'!F27</f>
        <v>155393</v>
      </c>
      <c r="G52" s="171">
        <f>'Actuals FS'!E27</f>
        <v>164917</v>
      </c>
      <c r="H52" s="171">
        <f>'Forecasted FS'!E78</f>
        <v>179431</v>
      </c>
      <c r="I52" s="171">
        <f>'Forecasted FS'!F78</f>
        <v>191200.3180050911</v>
      </c>
      <c r="J52" s="171">
        <f>'Forecasted FS'!G78</f>
        <v>206797.2066742802</v>
      </c>
      <c r="K52" s="171">
        <f>'Forecasted FS'!H78</f>
        <v>223667.39862963429</v>
      </c>
      <c r="L52" s="171">
        <f>'Forecasted FS'!I78</f>
        <v>244134.35852344378</v>
      </c>
      <c r="M52" s="171">
        <f>'Forecasted FS'!J78</f>
        <v>266475.43941084103</v>
      </c>
    </row>
    <row r="53" spans="3:13">
      <c r="C53" s="158" t="s">
        <v>365</v>
      </c>
      <c r="H53" s="171"/>
      <c r="I53" s="171"/>
      <c r="J53" s="171"/>
      <c r="K53" s="171"/>
      <c r="L53" s="171"/>
      <c r="M53" s="171"/>
    </row>
    <row r="54" spans="3:13" ht="12">
      <c r="C54" s="1" t="s">
        <v>584</v>
      </c>
      <c r="D54" s="176">
        <f>'Actuals FS'!H28</f>
        <v>52573</v>
      </c>
      <c r="E54" s="659">
        <f>'Actuals FS'!G28</f>
        <v>67651</v>
      </c>
      <c r="F54" s="167">
        <f>'Actuals FS'!F28</f>
        <v>72968</v>
      </c>
      <c r="G54" s="167">
        <f>'Actuals FS'!E28</f>
        <v>77297</v>
      </c>
      <c r="H54" s="176">
        <f>'Forecasted FS'!E80</f>
        <v>78277</v>
      </c>
      <c r="I54" s="176">
        <f>'Forecasted FS'!F80</f>
        <v>83756.39</v>
      </c>
      <c r="J54" s="176">
        <f>'Forecasted FS'!G80</f>
        <v>91294.465100000001</v>
      </c>
      <c r="K54" s="176">
        <f>'Forecasted FS'!H80</f>
        <v>99510.966959000027</v>
      </c>
      <c r="L54" s="176">
        <f>'Forecasted FS'!I80</f>
        <v>109462.06365490003</v>
      </c>
      <c r="M54" s="176">
        <f>'Forecasted FS'!J80</f>
        <v>120408.27002039006</v>
      </c>
    </row>
    <row r="55" spans="3:13" ht="12">
      <c r="C55" s="1" t="s">
        <v>64</v>
      </c>
      <c r="D55" s="176">
        <f>'Actuals FS'!H29</f>
        <v>31816</v>
      </c>
      <c r="E55" s="659">
        <f>'Actuals FS'!G29</f>
        <v>48744</v>
      </c>
      <c r="F55" s="167">
        <f>'Actuals FS'!F29</f>
        <v>67150</v>
      </c>
      <c r="G55" s="167">
        <f>'Actuals FS'!E29</f>
        <v>58314</v>
      </c>
      <c r="H55" s="176">
        <f>'Forecasted FS'!E81</f>
        <v>52623</v>
      </c>
      <c r="I55" s="176">
        <f>'Forecasted FS'!F81</f>
        <v>57214</v>
      </c>
      <c r="J55" s="176">
        <f>'Forecasted FS'!G81</f>
        <v>61805</v>
      </c>
      <c r="K55" s="176">
        <f>'Forecasted FS'!H81</f>
        <v>64100.5</v>
      </c>
      <c r="L55" s="176">
        <f>'Forecasted FS'!I81</f>
        <v>65248.25</v>
      </c>
      <c r="M55" s="176">
        <f>'Forecasted FS'!J81</f>
        <v>65822.125</v>
      </c>
    </row>
    <row r="56" spans="3:13" ht="12">
      <c r="C56" s="1" t="s">
        <v>585</v>
      </c>
      <c r="D56" s="176">
        <f>'Actuals FS'!H30</f>
        <v>17017</v>
      </c>
      <c r="E56" s="659">
        <f>'Actuals FS'!G30</f>
        <v>23643</v>
      </c>
      <c r="F56" s="167">
        <f>'Actuals FS'!F30</f>
        <v>21121</v>
      </c>
      <c r="G56" s="167">
        <f>'Actuals FS'!E30</f>
        <v>25451</v>
      </c>
      <c r="H56" s="176">
        <f>'Forecasted FS'!E82</f>
        <v>28593</v>
      </c>
      <c r="I56" s="176">
        <f>'Forecasted FS'!F82</f>
        <v>30594.510000000002</v>
      </c>
      <c r="J56" s="176">
        <f>'Forecasted FS'!G82</f>
        <v>33348.015900000006</v>
      </c>
      <c r="K56" s="176">
        <f>'Forecasted FS'!H82</f>
        <v>36349.33733100001</v>
      </c>
      <c r="L56" s="176">
        <f>'Forecasted FS'!I82</f>
        <v>39984.271064100016</v>
      </c>
      <c r="M56" s="176">
        <f>'Forecasted FS'!J82</f>
        <v>43982.698170510026</v>
      </c>
    </row>
    <row r="57" spans="3:13" ht="12">
      <c r="C57" s="1" t="s">
        <v>586</v>
      </c>
      <c r="D57" s="642">
        <f>'Actuals FS'!H31</f>
        <v>0</v>
      </c>
      <c r="E57" s="664">
        <f>'Actuals FS'!G31</f>
        <v>0</v>
      </c>
      <c r="F57" s="642">
        <f>'Actuals FS'!F31</f>
        <v>0</v>
      </c>
      <c r="G57" s="642">
        <f>'Actuals FS'!E31</f>
        <v>0</v>
      </c>
      <c r="H57" s="642">
        <f>'Forecasted FS'!E83</f>
        <v>0</v>
      </c>
      <c r="I57" s="642">
        <f>'Forecasted FS'!F83</f>
        <v>0</v>
      </c>
      <c r="J57" s="642">
        <f>'Forecasted FS'!G83</f>
        <v>0</v>
      </c>
      <c r="K57" s="642">
        <f>'Forecasted FS'!H83</f>
        <v>0</v>
      </c>
      <c r="L57" s="642">
        <f>'Forecasted FS'!I83</f>
        <v>0</v>
      </c>
      <c r="M57" s="642">
        <f>'Forecasted FS'!J83</f>
        <v>0</v>
      </c>
    </row>
    <row r="58" spans="3:13" ht="12">
      <c r="C58" s="179" t="s">
        <v>366</v>
      </c>
      <c r="D58" s="662">
        <f t="shared" ref="D58:F58" si="4">SUM(D54:D57)</f>
        <v>101406</v>
      </c>
      <c r="E58" s="662">
        <f t="shared" si="4"/>
        <v>140038</v>
      </c>
      <c r="F58" s="662">
        <f t="shared" si="4"/>
        <v>161239</v>
      </c>
      <c r="G58" s="662">
        <f>SUM(G54:G57)</f>
        <v>161062</v>
      </c>
      <c r="H58" s="662">
        <f>'Forecasted FS'!E84</f>
        <v>159493</v>
      </c>
      <c r="I58" s="662">
        <f>'Forecasted FS'!F84</f>
        <v>171564.90000000002</v>
      </c>
      <c r="J58" s="662">
        <f>'Forecasted FS'!G84</f>
        <v>186447.481</v>
      </c>
      <c r="K58" s="662">
        <f>'Forecasted FS'!H84</f>
        <v>199960.80429000006</v>
      </c>
      <c r="L58" s="662">
        <f>'Forecasted FS'!I84</f>
        <v>214694.58471900003</v>
      </c>
      <c r="M58" s="662">
        <f>'Forecasted FS'!J84</f>
        <v>230213.09319090008</v>
      </c>
    </row>
    <row r="59" spans="3:13" ht="12">
      <c r="C59" s="180" t="s">
        <v>367</v>
      </c>
      <c r="D59" s="176">
        <f>'Actuals FS'!H32</f>
        <v>227791</v>
      </c>
      <c r="E59" s="659">
        <f>'Actuals FS'!G32</f>
        <v>282304</v>
      </c>
      <c r="F59" s="167">
        <f>'Actuals FS'!F32</f>
        <v>316632</v>
      </c>
      <c r="G59" s="167">
        <f>'Actuals FS'!E32</f>
        <v>325979</v>
      </c>
      <c r="H59" s="171">
        <f>'Forecasted FS'!E85</f>
        <v>338924</v>
      </c>
      <c r="I59" s="171">
        <f>'Forecasted FS'!F85</f>
        <v>362765.21800509113</v>
      </c>
      <c r="J59" s="171">
        <f>'Forecasted FS'!G85</f>
        <v>393244.6876742802</v>
      </c>
      <c r="K59" s="171">
        <f>'Forecasted FS'!H85</f>
        <v>423628.20291963435</v>
      </c>
      <c r="L59" s="171">
        <f>'Forecasted FS'!I85</f>
        <v>458828.94324244384</v>
      </c>
      <c r="M59" s="171">
        <f>'Forecasted FS'!J85</f>
        <v>496688.53260174114</v>
      </c>
    </row>
    <row r="60" spans="3:13" ht="12">
      <c r="C60" s="158" t="s">
        <v>368</v>
      </c>
      <c r="D60" s="171"/>
      <c r="E60" s="167"/>
      <c r="F60" s="167"/>
      <c r="G60" s="167"/>
      <c r="H60" s="171"/>
      <c r="I60" s="171"/>
      <c r="J60" s="171"/>
      <c r="K60" s="171"/>
      <c r="L60" s="171"/>
      <c r="M60" s="171"/>
    </row>
    <row r="61" spans="3:13" ht="12">
      <c r="C61" s="1" t="s">
        <v>590</v>
      </c>
      <c r="D61" s="176">
        <f>'Actuals FS'!H35</f>
        <v>0</v>
      </c>
      <c r="E61" s="659">
        <f>'Actuals FS'!G35</f>
        <v>0</v>
      </c>
      <c r="F61" s="167">
        <f>'Actuals FS'!F35</f>
        <v>0</v>
      </c>
      <c r="G61" s="167">
        <f>'Actuals FS'!E35</f>
        <v>0</v>
      </c>
      <c r="H61" s="176">
        <f>'Forecasted FS'!E87</f>
        <v>0</v>
      </c>
      <c r="I61" s="176">
        <f>'Forecasted FS'!F87</f>
        <v>0</v>
      </c>
      <c r="J61" s="176">
        <f>'Forecasted FS'!G87</f>
        <v>0</v>
      </c>
      <c r="K61" s="176">
        <f>'Forecasted FS'!H87</f>
        <v>0</v>
      </c>
      <c r="L61" s="176">
        <f>'Forecasted FS'!I87</f>
        <v>0</v>
      </c>
      <c r="M61" s="176">
        <f>'Forecasted FS'!J87</f>
        <v>0</v>
      </c>
    </row>
    <row r="62" spans="3:13" ht="12">
      <c r="C62" s="1" t="s">
        <v>589</v>
      </c>
      <c r="D62" s="176">
        <f>'Actuals FS'!H36</f>
        <v>5</v>
      </c>
      <c r="E62" s="659">
        <f>'Actuals FS'!G36</f>
        <v>106</v>
      </c>
      <c r="F62" s="167">
        <f>'Actuals FS'!F36</f>
        <v>108</v>
      </c>
      <c r="G62" s="167">
        <f>'Actuals FS'!E36</f>
        <v>109</v>
      </c>
      <c r="H62" s="176">
        <f>'Forecasted FS'!E88</f>
        <v>111</v>
      </c>
      <c r="I62" s="176">
        <f>'Forecasted FS'!F88</f>
        <v>113.22</v>
      </c>
      <c r="J62" s="176">
        <f>'Forecasted FS'!G88</f>
        <v>115.48440000000001</v>
      </c>
      <c r="K62" s="176">
        <f>'Forecasted FS'!H88</f>
        <v>117.79408800000002</v>
      </c>
      <c r="L62" s="176">
        <f>'Forecasted FS'!I88</f>
        <v>120.14996976000002</v>
      </c>
      <c r="M62" s="176">
        <f>'Forecasted FS'!J88</f>
        <v>122.55296915520002</v>
      </c>
    </row>
    <row r="63" spans="3:13" ht="12">
      <c r="C63" s="1" t="s">
        <v>39</v>
      </c>
      <c r="D63" s="176">
        <f>'Actuals FS'!H37</f>
        <v>-1837</v>
      </c>
      <c r="E63" s="659">
        <f>'Actuals FS'!G37</f>
        <v>-1837</v>
      </c>
      <c r="F63" s="167">
        <f>'Actuals FS'!F37</f>
        <v>-7837</v>
      </c>
      <c r="G63" s="167">
        <f>'Actuals FS'!E37</f>
        <v>-7837</v>
      </c>
      <c r="H63" s="176">
        <f>'Forecasted FS'!E89</f>
        <v>-7837</v>
      </c>
      <c r="I63" s="176">
        <f>'Forecasted FS'!F89</f>
        <v>-7837</v>
      </c>
      <c r="J63" s="176">
        <f>'Forecasted FS'!G89</f>
        <v>-7837</v>
      </c>
      <c r="K63" s="176">
        <f>'Forecasted FS'!H89</f>
        <v>-7837</v>
      </c>
      <c r="L63" s="176">
        <f>'Forecasted FS'!I89</f>
        <v>-7837</v>
      </c>
      <c r="M63" s="176">
        <f>'Forecasted FS'!J89</f>
        <v>-7837</v>
      </c>
    </row>
    <row r="64" spans="3:13" ht="12">
      <c r="C64" s="1" t="s">
        <v>587</v>
      </c>
      <c r="D64" s="176">
        <f>'Actuals FS'!H38</f>
        <v>42865</v>
      </c>
      <c r="E64" s="659">
        <f>'Actuals FS'!G38</f>
        <v>55437</v>
      </c>
      <c r="F64" s="167">
        <f>'Actuals FS'!F38</f>
        <v>75066</v>
      </c>
      <c r="G64" s="167">
        <f>'Actuals FS'!E38</f>
        <v>99025</v>
      </c>
      <c r="H64" s="176">
        <f>'Forecasted FS'!E90</f>
        <v>120864</v>
      </c>
      <c r="I64" s="176">
        <f>'Forecasted FS'!F90</f>
        <v>209154.8061104127</v>
      </c>
      <c r="J64" s="176">
        <f>'Forecasted FS'!G90</f>
        <v>315415.29193213227</v>
      </c>
      <c r="K64" s="176">
        <f>'Forecasted FS'!H90</f>
        <v>438634.48479695647</v>
      </c>
      <c r="L64" s="176">
        <f>'Forecasted FS'!I90</f>
        <v>581324.80470644915</v>
      </c>
      <c r="M64" s="176">
        <f>'Forecasted FS'!J90</f>
        <v>743733.73092702648</v>
      </c>
    </row>
    <row r="65" spans="3:13" ht="12">
      <c r="C65" s="440" t="s">
        <v>40</v>
      </c>
      <c r="D65" s="176">
        <f>'Actuals FS'!H39</f>
        <v>-180</v>
      </c>
      <c r="E65" s="659">
        <f>'Actuals FS'!G39</f>
        <v>-1376</v>
      </c>
      <c r="F65" s="167">
        <f>'Actuals FS'!F39</f>
        <v>-4487</v>
      </c>
      <c r="G65" s="167">
        <f>'Actuals FS'!E39</f>
        <v>-3040</v>
      </c>
      <c r="H65" s="176">
        <f>'Forecasted FS'!E91</f>
        <v>-34</v>
      </c>
      <c r="I65" s="176">
        <f>'Forecasted FS'!F91</f>
        <v>-34</v>
      </c>
      <c r="J65" s="176">
        <f>'Forecasted FS'!G91</f>
        <v>-34</v>
      </c>
      <c r="K65" s="176">
        <f>'Forecasted FS'!H91</f>
        <v>-34</v>
      </c>
      <c r="L65" s="176">
        <f>'Forecasted FS'!I91</f>
        <v>-34</v>
      </c>
      <c r="M65" s="176">
        <f>'Forecasted FS'!J91</f>
        <v>-34</v>
      </c>
    </row>
    <row r="66" spans="3:13" ht="12">
      <c r="C66" s="440" t="s">
        <v>369</v>
      </c>
      <c r="D66" s="642">
        <f>'Actuals FS'!H40</f>
        <v>52551</v>
      </c>
      <c r="E66" s="664">
        <f>'Actuals FS'!G40</f>
        <v>85915</v>
      </c>
      <c r="F66" s="642">
        <f>'Actuals FS'!F40</f>
        <v>83193</v>
      </c>
      <c r="G66" s="642">
        <f>'Actuals FS'!E40</f>
        <v>113618</v>
      </c>
      <c r="H66" s="642">
        <f>'Forecasted FS'!E92</f>
        <v>172866</v>
      </c>
      <c r="I66" s="642">
        <f>'Forecasted FS'!F92</f>
        <v>172866</v>
      </c>
      <c r="J66" s="642">
        <f>'Forecasted FS'!G92</f>
        <v>172866</v>
      </c>
      <c r="K66" s="642">
        <f>'Forecasted FS'!H92</f>
        <v>172866</v>
      </c>
      <c r="L66" s="642">
        <f>'Forecasted FS'!I92</f>
        <v>172866</v>
      </c>
      <c r="M66" s="642">
        <f>'Forecasted FS'!J92</f>
        <v>172866</v>
      </c>
    </row>
    <row r="67" spans="3:13" ht="12">
      <c r="C67" s="179" t="s">
        <v>370</v>
      </c>
      <c r="D67" s="662">
        <f>'Actuals FS'!H41</f>
        <v>93404</v>
      </c>
      <c r="E67" s="665">
        <f>'Actuals FS'!G41</f>
        <v>138245</v>
      </c>
      <c r="F67" s="662">
        <f>'Actuals FS'!F41</f>
        <v>146043</v>
      </c>
      <c r="G67" s="662">
        <f>'Actuals FS'!E41</f>
        <v>201875</v>
      </c>
      <c r="H67" s="662">
        <f>'Forecasted FS'!E93</f>
        <v>285970</v>
      </c>
      <c r="I67" s="662">
        <f>'Forecasted FS'!F93</f>
        <v>374263.02611041267</v>
      </c>
      <c r="J67" s="662">
        <f>'Forecasted FS'!G93</f>
        <v>480525.77633213229</v>
      </c>
      <c r="K67" s="662">
        <f>'Forecasted FS'!H93</f>
        <v>603747.2788849565</v>
      </c>
      <c r="L67" s="662">
        <f>'Forecasted FS'!I93</f>
        <v>746439.95467620913</v>
      </c>
      <c r="M67" s="662">
        <f>'Forecasted FS'!J93</f>
        <v>908851.28389618173</v>
      </c>
    </row>
    <row r="68" spans="3:13" ht="12">
      <c r="C68" s="180" t="s">
        <v>371</v>
      </c>
      <c r="D68" s="587">
        <f>'Actuals FS'!H42</f>
        <v>321195</v>
      </c>
      <c r="E68" s="658">
        <f>'Actuals FS'!G42</f>
        <v>420549</v>
      </c>
      <c r="F68" s="587">
        <f>'Actuals FS'!F42</f>
        <v>462675</v>
      </c>
      <c r="G68" s="587">
        <f>'Actuals FS'!E42</f>
        <v>527854</v>
      </c>
      <c r="H68" s="587">
        <f>'Forecasted FS'!E94</f>
        <v>624894</v>
      </c>
      <c r="I68" s="171">
        <f>'Forecasted FS'!F94</f>
        <v>737028.24411550374</v>
      </c>
      <c r="J68" s="171">
        <f>'Forecasted FS'!G94</f>
        <v>873770.46400641254</v>
      </c>
      <c r="K68" s="171">
        <f>'Forecasted FS'!H94</f>
        <v>1027375.4818045909</v>
      </c>
      <c r="L68" s="171">
        <f>'Forecasted FS'!I94</f>
        <v>1205268.897918653</v>
      </c>
      <c r="M68" s="171">
        <f>'Forecasted FS'!J94</f>
        <v>1405539.8164979229</v>
      </c>
    </row>
    <row r="69" spans="3:13" ht="12">
      <c r="C69" s="165"/>
      <c r="D69" s="171"/>
      <c r="E69" s="276"/>
      <c r="F69" s="276"/>
      <c r="G69" s="276"/>
      <c r="H69" s="171"/>
      <c r="I69" s="171"/>
      <c r="J69" s="171"/>
      <c r="K69" s="171"/>
      <c r="L69" s="171"/>
      <c r="M69" s="171"/>
    </row>
    <row r="70" spans="3:13" ht="12">
      <c r="C70" s="638" t="s">
        <v>378</v>
      </c>
      <c r="D70" s="637" t="str">
        <f>D34</f>
        <v>2020 A</v>
      </c>
      <c r="E70" s="637" t="str">
        <f t="shared" ref="E70:M70" si="5">E34</f>
        <v>2021 A</v>
      </c>
      <c r="F70" s="637" t="str">
        <f t="shared" si="5"/>
        <v>2022 A</v>
      </c>
      <c r="G70" s="637" t="str">
        <f t="shared" si="5"/>
        <v>2023 A</v>
      </c>
      <c r="H70" s="637" t="str">
        <f t="shared" si="5"/>
        <v>2024 A</v>
      </c>
      <c r="I70" s="637" t="str">
        <f t="shared" si="5"/>
        <v>2025 F</v>
      </c>
      <c r="J70" s="637" t="str">
        <f t="shared" si="5"/>
        <v>2026 F</v>
      </c>
      <c r="K70" s="637" t="str">
        <f t="shared" si="5"/>
        <v>2027 F</v>
      </c>
      <c r="L70" s="637" t="str">
        <f t="shared" si="5"/>
        <v>2028 F</v>
      </c>
      <c r="M70" s="637" t="str">
        <f t="shared" si="5"/>
        <v>2029 F</v>
      </c>
    </row>
    <row r="71" spans="3:13" ht="12">
      <c r="C71" s="28" t="s">
        <v>615</v>
      </c>
      <c r="D71" s="590">
        <f>'Actuals FS'!H71</f>
        <v>36410</v>
      </c>
      <c r="E71" s="590">
        <f>'Actuals FS'!G71</f>
        <v>42377</v>
      </c>
      <c r="F71" s="590">
        <f>'Actuals FS'!F71</f>
        <v>36477</v>
      </c>
      <c r="G71" s="590">
        <f>'Actuals FS'!E71</f>
        <v>54253</v>
      </c>
      <c r="H71" s="590">
        <f>'Forecasted FS'!E98</f>
        <v>73890</v>
      </c>
      <c r="I71" s="590">
        <f>'Forecasted FS'!F98</f>
        <v>82312</v>
      </c>
      <c r="J71" s="590">
        <f>'Forecasted FS'!G98</f>
        <v>138129.18112861065</v>
      </c>
      <c r="K71" s="590">
        <f>'Forecasted FS'!H98</f>
        <v>196687.75094780733</v>
      </c>
      <c r="L71" s="590">
        <f>'Forecasted FS'!I98</f>
        <v>268056.14033371647</v>
      </c>
      <c r="M71" s="590">
        <f>'Forecasted FS'!J98</f>
        <v>351675.93400957802</v>
      </c>
    </row>
    <row r="72" spans="3:13" ht="12">
      <c r="C72" s="6" t="s">
        <v>609</v>
      </c>
      <c r="D72" s="175"/>
      <c r="E72" s="175"/>
      <c r="F72" s="175"/>
      <c r="G72" s="175"/>
      <c r="H72" s="175"/>
      <c r="I72" s="175"/>
      <c r="J72" s="175"/>
      <c r="K72" s="175"/>
      <c r="L72" s="175"/>
      <c r="M72" s="175"/>
    </row>
    <row r="73" spans="3:13" ht="12">
      <c r="C73" s="1" t="s">
        <v>606</v>
      </c>
      <c r="D73" s="175">
        <f>'Actuals FS'!H73</f>
        <v>21331</v>
      </c>
      <c r="E73" s="175">
        <f>'Actuals FS'!G73</f>
        <v>33364</v>
      </c>
      <c r="F73" s="175">
        <f>'Actuals FS'!F73</f>
        <v>-2722</v>
      </c>
      <c r="G73" s="175">
        <f>'Actuals FS'!E73</f>
        <v>30425</v>
      </c>
      <c r="H73" s="175">
        <f>'Forecasted FS'!E100</f>
        <v>59248</v>
      </c>
      <c r="I73" s="175">
        <f>'Forecasted FS'!F100</f>
        <v>66748.87660083604</v>
      </c>
      <c r="J73" s="175">
        <f>'Forecasted FS'!G100</f>
        <v>84364.915047181057</v>
      </c>
      <c r="K73" s="175">
        <f>'Forecasted FS'!H100</f>
        <v>100964.17530338916</v>
      </c>
      <c r="L73" s="175">
        <f>'Forecasted FS'!I100</f>
        <v>120069.95473336622</v>
      </c>
      <c r="M73" s="175">
        <f>'Forecasted FS'!J100</f>
        <v>139417.21573152393</v>
      </c>
    </row>
    <row r="74" spans="3:13" ht="12">
      <c r="C74" s="6" t="s">
        <v>616</v>
      </c>
      <c r="D74" s="175"/>
      <c r="E74" s="175"/>
      <c r="F74" s="175"/>
      <c r="G74" s="175"/>
      <c r="H74" s="175"/>
      <c r="I74" s="175"/>
      <c r="J74" s="175"/>
      <c r="K74" s="175"/>
      <c r="L74" s="175"/>
      <c r="M74" s="175"/>
    </row>
    <row r="75" spans="3:13" ht="12">
      <c r="C75" s="1" t="s">
        <v>617</v>
      </c>
      <c r="D75" s="175">
        <f>'Actuals FS'!H75</f>
        <v>25180</v>
      </c>
      <c r="E75" s="175">
        <f>'Actuals FS'!G75</f>
        <v>34433</v>
      </c>
      <c r="F75" s="175">
        <f>'Actuals FS'!F75</f>
        <v>41921</v>
      </c>
      <c r="G75" s="175">
        <f>'Actuals FS'!E75</f>
        <v>48663</v>
      </c>
      <c r="H75" s="175">
        <f>'Forecasted FS'!E102</f>
        <v>52795</v>
      </c>
      <c r="I75" s="175">
        <f>'Forecasted FS'!F102</f>
        <v>56878.278877397759</v>
      </c>
      <c r="J75" s="175">
        <f>'Forecasted FS'!G102</f>
        <v>60914.139840788572</v>
      </c>
      <c r="K75" s="175">
        <f>'Forecasted FS'!H102</f>
        <v>64879.48839673098</v>
      </c>
      <c r="L75" s="175">
        <f>'Forecasted FS'!I102</f>
        <v>68719.017673612805</v>
      </c>
      <c r="M75" s="175">
        <f>'Forecasted FS'!J102</f>
        <v>72416.063419593556</v>
      </c>
    </row>
    <row r="76" spans="3:13" ht="12">
      <c r="C76" s="1" t="s">
        <v>610</v>
      </c>
      <c r="D76" s="175">
        <f>'Actuals FS'!H76</f>
        <v>9208</v>
      </c>
      <c r="E76" s="175">
        <f>'Actuals FS'!G76</f>
        <v>12757</v>
      </c>
      <c r="F76" s="175">
        <f>'Actuals FS'!F76</f>
        <v>19621</v>
      </c>
      <c r="G76" s="175">
        <f>'Actuals FS'!E76</f>
        <v>24023</v>
      </c>
      <c r="H76" s="175">
        <f>'Forecasted FS'!E103</f>
        <v>22011</v>
      </c>
      <c r="I76" s="175">
        <f>'Forecasted FS'!F103</f>
        <v>22720.74607793109</v>
      </c>
      <c r="J76" s="175">
        <f>'Forecasted FS'!G103</f>
        <v>23392.885421790426</v>
      </c>
      <c r="K76" s="175">
        <f>'Forecasted FS'!H103</f>
        <v>24027.76889976309</v>
      </c>
      <c r="L76" s="175">
        <f>'Forecasted FS'!I103</f>
        <v>24620.600018826914</v>
      </c>
      <c r="M76" s="175">
        <f>'Forecasted FS'!J103</f>
        <v>25172.834466700111</v>
      </c>
    </row>
    <row r="77" spans="3:13" ht="12">
      <c r="C77" s="1" t="s">
        <v>611</v>
      </c>
      <c r="D77" s="175">
        <f>'Actuals FS'!H77</f>
        <v>-2582</v>
      </c>
      <c r="E77" s="175">
        <f>'Actuals FS'!G77</f>
        <v>-14306</v>
      </c>
      <c r="F77" s="175">
        <f>'Actuals FS'!F77</f>
        <v>16966</v>
      </c>
      <c r="G77" s="175">
        <f>'Actuals FS'!E77</f>
        <v>-748</v>
      </c>
      <c r="H77" s="175">
        <f>'Forecasted FS'!E104</f>
        <v>2012</v>
      </c>
      <c r="I77" s="175">
        <f>'Forecasted FS'!F104</f>
        <v>0</v>
      </c>
      <c r="J77" s="175">
        <f>'Forecasted FS'!G104</f>
        <v>0</v>
      </c>
      <c r="K77" s="175">
        <f>'Forecasted FS'!H104</f>
        <v>0</v>
      </c>
      <c r="L77" s="175">
        <f>'Forecasted FS'!I104</f>
        <v>0</v>
      </c>
      <c r="M77" s="175">
        <f>'Forecasted FS'!J104</f>
        <v>0</v>
      </c>
    </row>
    <row r="78" spans="3:13" ht="12">
      <c r="C78" s="1" t="s">
        <v>612</v>
      </c>
      <c r="D78" s="175">
        <f>'Actuals FS'!H78</f>
        <v>-554</v>
      </c>
      <c r="E78" s="175">
        <f>'Actuals FS'!G78</f>
        <v>-310</v>
      </c>
      <c r="F78" s="175">
        <f>'Actuals FS'!F78</f>
        <v>-8148</v>
      </c>
      <c r="G78" s="175">
        <f>'Actuals FS'!E78</f>
        <v>-5876</v>
      </c>
      <c r="H78" s="175">
        <f>'Forecasted FS'!E105</f>
        <v>-4648</v>
      </c>
      <c r="I78" s="175">
        <f>'Forecasted FS'!F105</f>
        <v>-8886.0498646680808</v>
      </c>
      <c r="J78" s="175">
        <f>'Forecasted FS'!G105</f>
        <v>-11228.714799308875</v>
      </c>
      <c r="K78" s="175">
        <f>'Forecasted FS'!H105</f>
        <v>-13436.354675178305</v>
      </c>
      <c r="L78" s="175">
        <f>'Forecasted FS'!I105</f>
        <v>-15977.436977458168</v>
      </c>
      <c r="M78" s="175">
        <f>'Forecasted FS'!J105</f>
        <v>-18550.785586730839</v>
      </c>
    </row>
    <row r="79" spans="3:13" ht="12">
      <c r="C79" s="6" t="s">
        <v>613</v>
      </c>
      <c r="D79" s="175"/>
      <c r="E79" s="175"/>
      <c r="F79" s="175"/>
      <c r="G79" s="175"/>
      <c r="H79" s="175"/>
      <c r="I79" s="175"/>
      <c r="J79" s="175"/>
      <c r="K79" s="175"/>
      <c r="L79" s="175"/>
      <c r="M79" s="175"/>
    </row>
    <row r="80" spans="3:13" ht="12">
      <c r="C80" s="1" t="s">
        <v>31</v>
      </c>
      <c r="D80" s="175">
        <f>'Actuals FS'!H80</f>
        <v>-2849</v>
      </c>
      <c r="E80" s="175">
        <f>'Actuals FS'!G80</f>
        <v>-9487</v>
      </c>
      <c r="F80" s="175">
        <f>'Actuals FS'!F80</f>
        <v>-2592</v>
      </c>
      <c r="G80" s="175">
        <f>'Actuals FS'!E80</f>
        <v>1449</v>
      </c>
      <c r="H80" s="175">
        <f>'Forecasted FS'!E107</f>
        <v>-1884</v>
      </c>
      <c r="I80" s="175">
        <f>'Forecasted FS'!F107</f>
        <v>-2108.2340280214339</v>
      </c>
      <c r="J80" s="175">
        <f>'Forecasted FS'!G107</f>
        <v>-2684.8362702546074</v>
      </c>
      <c r="K80" s="175">
        <f>'Forecasted FS'!H107</f>
        <v>-2879.1852383529476</v>
      </c>
      <c r="L80" s="175">
        <f>'Forecasted FS'!I107</f>
        <v>-3499.8060813630436</v>
      </c>
      <c r="M80" s="175">
        <f>'Forecasted FS'!J107</f>
        <v>-3787.2146972346745</v>
      </c>
    </row>
    <row r="81" spans="3:13" ht="12">
      <c r="C81" s="1" t="s">
        <v>579</v>
      </c>
      <c r="D81" s="175">
        <f>'Actuals FS'!H81</f>
        <v>-8169</v>
      </c>
      <c r="E81" s="175">
        <f>'Actuals FS'!G81</f>
        <v>-18163</v>
      </c>
      <c r="F81" s="175">
        <f>'Actuals FS'!F81</f>
        <v>-8622</v>
      </c>
      <c r="G81" s="175">
        <f>'Actuals FS'!E81</f>
        <v>-8348</v>
      </c>
      <c r="H81" s="175">
        <f>'Forecasted FS'!E108</f>
        <v>-3249</v>
      </c>
      <c r="I81" s="175">
        <f>'Forecasted FS'!F108</f>
        <v>0</v>
      </c>
      <c r="J81" s="175">
        <f>'Forecasted FS'!G108</f>
        <v>0</v>
      </c>
      <c r="K81" s="175">
        <f>'Forecasted FS'!H108</f>
        <v>0</v>
      </c>
      <c r="L81" s="175">
        <f>'Forecasted FS'!I108</f>
        <v>0</v>
      </c>
      <c r="M81" s="175">
        <f>'Forecasted FS'!J108</f>
        <v>0</v>
      </c>
    </row>
    <row r="82" spans="3:13" ht="12">
      <c r="C82" s="1" t="s">
        <v>34</v>
      </c>
      <c r="D82" s="175">
        <f>'Actuals FS'!H82</f>
        <v>0</v>
      </c>
      <c r="E82" s="175">
        <f>'Actuals FS'!G82</f>
        <v>0</v>
      </c>
      <c r="F82" s="175">
        <f>'Actuals FS'!F82</f>
        <v>-13275</v>
      </c>
      <c r="G82" s="175">
        <f>'Actuals FS'!E82</f>
        <v>-12265</v>
      </c>
      <c r="H82" s="175">
        <f>'Forecasted FS'!E109</f>
        <v>-14483</v>
      </c>
      <c r="I82" s="175">
        <f>'Forecasted FS'!F109</f>
        <v>0</v>
      </c>
      <c r="J82" s="175">
        <f>'Forecasted FS'!G109</f>
        <v>0</v>
      </c>
      <c r="K82" s="175">
        <f>'Forecasted FS'!H109</f>
        <v>0</v>
      </c>
      <c r="L82" s="175">
        <f>'Forecasted FS'!I109</f>
        <v>0</v>
      </c>
      <c r="M82" s="175">
        <f>'Forecasted FS'!J109</f>
        <v>0</v>
      </c>
    </row>
    <row r="83" spans="3:13" ht="12">
      <c r="C83" s="1" t="s">
        <v>36</v>
      </c>
      <c r="D83" s="175">
        <f>'Actuals FS'!H83</f>
        <v>17480</v>
      </c>
      <c r="E83" s="175">
        <f>'Actuals FS'!G83</f>
        <v>3602</v>
      </c>
      <c r="F83" s="175">
        <f>'Actuals FS'!F83</f>
        <v>2945</v>
      </c>
      <c r="G83" s="175">
        <f>'Actuals FS'!E83</f>
        <v>5473</v>
      </c>
      <c r="H83" s="175">
        <f>'Forecasted FS'!E110</f>
        <v>2972</v>
      </c>
      <c r="I83" s="175">
        <f>'Forecasted FS'!F110</f>
        <v>5814.5580050911085</v>
      </c>
      <c r="J83" s="175">
        <f>'Forecasted FS'!G110</f>
        <v>7404.8402691890806</v>
      </c>
      <c r="K83" s="175">
        <f>'Forecasted FS'!H110</f>
        <v>7940.8591993540467</v>
      </c>
      <c r="L83" s="175">
        <f>'Forecasted FS'!I110</f>
        <v>9652.5457782095182</v>
      </c>
      <c r="M83" s="175">
        <f>'Forecasted FS'!J110</f>
        <v>10445.225360237207</v>
      </c>
    </row>
    <row r="84" spans="3:13" ht="12">
      <c r="C84" s="1" t="s">
        <v>582</v>
      </c>
      <c r="D84" s="175">
        <f>'Actuals FS'!H84</f>
        <v>5754</v>
      </c>
      <c r="E84" s="175">
        <f>'Actuals FS'!G84</f>
        <v>2123</v>
      </c>
      <c r="F84" s="175">
        <f>'Actuals FS'!F84</f>
        <v>-1558</v>
      </c>
      <c r="G84" s="175">
        <f>'Actuals FS'!E84</f>
        <v>-2428</v>
      </c>
      <c r="H84" s="175">
        <f>'Forecasted FS'!E111</f>
        <v>-2904</v>
      </c>
      <c r="I84" s="175">
        <f>'Forecasted FS'!F111</f>
        <v>4687.5500000000029</v>
      </c>
      <c r="J84" s="175">
        <f>'Forecasted FS'!G111</f>
        <v>-6448.7295000000013</v>
      </c>
      <c r="K84" s="175">
        <f>'Forecasted FS'!H111</f>
        <v>-7029.1151550000213</v>
      </c>
      <c r="L84" s="175">
        <f>'Forecasted FS'!I111</f>
        <v>-8513.0394655000127</v>
      </c>
      <c r="M84" s="175">
        <f>'Forecasted FS'!J111</f>
        <v>-9364.3434120500169</v>
      </c>
    </row>
    <row r="85" spans="3:13" ht="12">
      <c r="C85" s="28" t="s">
        <v>583</v>
      </c>
      <c r="D85" s="590">
        <f>'Actuals FS'!H85</f>
        <v>1265</v>
      </c>
      <c r="E85" s="590">
        <f>'Actuals FS'!G85</f>
        <v>2314</v>
      </c>
      <c r="F85" s="590">
        <f>'Actuals FS'!F85</f>
        <v>2216</v>
      </c>
      <c r="G85" s="590">
        <f>'Actuals FS'!E85</f>
        <v>4578</v>
      </c>
      <c r="H85" s="590">
        <f>'Forecasted FS'!E112</f>
        <v>4007</v>
      </c>
      <c r="I85" s="590">
        <f>'Forecasted FS'!F112</f>
        <v>1267.2099999999991</v>
      </c>
      <c r="J85" s="590">
        <f>'Forecasted FS'!G112</f>
        <v>-1743.3189000000057</v>
      </c>
      <c r="K85" s="590">
        <f>'Forecasted FS'!H112</f>
        <v>-1900.2176010000003</v>
      </c>
      <c r="L85" s="590">
        <f>'Forecasted FS'!I112</f>
        <v>-2301.374650100006</v>
      </c>
      <c r="M85" s="590">
        <f>'Forecasted FS'!J112</f>
        <v>-2531.5121151100066</v>
      </c>
    </row>
    <row r="86" spans="3:13" ht="12">
      <c r="C86" s="6" t="s">
        <v>614</v>
      </c>
      <c r="D86" s="666">
        <f>'Actuals FS'!H86</f>
        <v>66064</v>
      </c>
      <c r="E86" s="666">
        <f>'Actuals FS'!G86</f>
        <v>46327</v>
      </c>
      <c r="F86" s="666">
        <f>'Actuals FS'!F86</f>
        <v>46752</v>
      </c>
      <c r="G86" s="666">
        <f>'Actuals FS'!E86</f>
        <v>84946</v>
      </c>
      <c r="H86" s="666">
        <f>'Forecasted FS'!E113</f>
        <v>115877</v>
      </c>
      <c r="I86" s="666">
        <f>'Forecasted FS'!F113</f>
        <v>147122.9356685665</v>
      </c>
      <c r="J86" s="666">
        <f>'Forecasted FS'!G113</f>
        <v>153971.18110938562</v>
      </c>
      <c r="K86" s="666">
        <f>'Forecasted FS'!H113</f>
        <v>172567.41912970599</v>
      </c>
      <c r="L86" s="666">
        <f>'Forecasted FS'!I113</f>
        <v>192770.46102959424</v>
      </c>
      <c r="M86" s="666">
        <f>'Forecasted FS'!J113</f>
        <v>213217.48316692928</v>
      </c>
    </row>
    <row r="87" spans="3:13" ht="12">
      <c r="C87" s="1" t="s">
        <v>618</v>
      </c>
      <c r="D87" s="175">
        <f>'Actuals FS'!H87</f>
        <v>-40140</v>
      </c>
      <c r="E87" s="175">
        <f>'Actuals FS'!G87</f>
        <v>-61053</v>
      </c>
      <c r="F87" s="175">
        <f>'Actuals FS'!F87</f>
        <v>-63645</v>
      </c>
      <c r="G87" s="175">
        <f>'Actuals FS'!E87</f>
        <v>-52729</v>
      </c>
      <c r="H87" s="175">
        <f>'Forecasted FS'!E114</f>
        <v>-82999</v>
      </c>
      <c r="I87" s="175">
        <f>'Forecasted FS'!F114</f>
        <v>-87743.222840000002</v>
      </c>
      <c r="J87" s="175">
        <f>'Forecasted FS'!G114</f>
        <v>-94492.43154085282</v>
      </c>
      <c r="K87" s="175">
        <f>'Forecasted FS'!H114</f>
        <v>-101760.78937497523</v>
      </c>
      <c r="L87" s="175">
        <f>'Forecasted FS'!I114</f>
        <v>-110593.6258927231</v>
      </c>
      <c r="M87" s="175">
        <f>'Forecasted FS'!J114</f>
        <v>-120193.15262021148</v>
      </c>
    </row>
    <row r="88" spans="3:13" ht="12">
      <c r="C88" s="1" t="s">
        <v>619</v>
      </c>
      <c r="D88" s="175">
        <f>'Actuals FS'!H88</f>
        <v>5096</v>
      </c>
      <c r="E88" s="175">
        <f>'Actuals FS'!G88</f>
        <v>5657</v>
      </c>
      <c r="F88" s="175">
        <f>'Actuals FS'!F88</f>
        <v>5324</v>
      </c>
      <c r="G88" s="175">
        <f>'Actuals FS'!E88</f>
        <v>4596</v>
      </c>
      <c r="H88" s="175">
        <f>'Forecasted FS'!E115</f>
        <v>5341</v>
      </c>
      <c r="I88" s="175">
        <f>'Forecasted FS'!F115</f>
        <v>5754.0844300441604</v>
      </c>
      <c r="J88" s="175">
        <f>'Forecasted FS'!G115</f>
        <v>6162.3718323638941</v>
      </c>
      <c r="K88" s="175">
        <f>'Forecasted FS'!H115</f>
        <v>6563.5258552313699</v>
      </c>
      <c r="L88" s="175">
        <f>'Forecasted FS'!I115</f>
        <v>6951.9513854487359</v>
      </c>
      <c r="M88" s="175">
        <f>'Forecasted FS'!J115</f>
        <v>7325.9625859276293</v>
      </c>
    </row>
    <row r="89" spans="3:13" ht="12">
      <c r="C89" s="1" t="s">
        <v>620</v>
      </c>
      <c r="D89" s="175">
        <f>'Actuals FS'!H89</f>
        <v>-2325</v>
      </c>
      <c r="E89" s="175">
        <f>'Actuals FS'!G89</f>
        <v>-1985</v>
      </c>
      <c r="F89" s="175">
        <f>'Actuals FS'!F89</f>
        <v>-8316</v>
      </c>
      <c r="G89" s="175">
        <f>'Actuals FS'!E89</f>
        <v>-5839</v>
      </c>
      <c r="H89" s="175">
        <f>'Forecasted FS'!E116</f>
        <v>-7082</v>
      </c>
      <c r="I89" s="175">
        <f>'Forecasted FS'!F116</f>
        <v>-2000</v>
      </c>
      <c r="J89" s="175">
        <f>'Forecasted FS'!G116</f>
        <v>-2000</v>
      </c>
      <c r="K89" s="175">
        <f>'Forecasted FS'!H116</f>
        <v>-2000</v>
      </c>
      <c r="L89" s="175">
        <f>'Forecasted FS'!I116</f>
        <v>-2000</v>
      </c>
      <c r="M89" s="175">
        <f>'Forecasted FS'!J116</f>
        <v>-2000</v>
      </c>
    </row>
    <row r="90" spans="3:13" ht="12">
      <c r="C90" s="1" t="s">
        <v>621</v>
      </c>
      <c r="D90" s="175">
        <f>'Actuals FS'!H90</f>
        <v>50237</v>
      </c>
      <c r="E90" s="175">
        <f>'Actuals FS'!G90</f>
        <v>59384</v>
      </c>
      <c r="F90" s="175">
        <f>'Actuals FS'!F90</f>
        <v>31601</v>
      </c>
      <c r="G90" s="175">
        <f>'Actuals FS'!E90</f>
        <v>5627</v>
      </c>
      <c r="H90" s="175">
        <f>'Forecasted FS'!E117</f>
        <v>16403</v>
      </c>
      <c r="I90" s="175">
        <f>'Forecasted FS'!F117</f>
        <v>0</v>
      </c>
      <c r="J90" s="175">
        <f>'Forecasted FS'!G117</f>
        <v>0</v>
      </c>
      <c r="K90" s="175">
        <f>'Forecasted FS'!H117</f>
        <v>0</v>
      </c>
      <c r="L90" s="175">
        <f>'Forecasted FS'!I117</f>
        <v>0</v>
      </c>
      <c r="M90" s="175">
        <f>'Forecasted FS'!J117</f>
        <v>0</v>
      </c>
    </row>
    <row r="91" spans="3:13" ht="12">
      <c r="C91" s="28" t="s">
        <v>622</v>
      </c>
      <c r="D91" s="590">
        <f>'Actuals FS'!H91</f>
        <v>-72479</v>
      </c>
      <c r="E91" s="590">
        <f>'Actuals FS'!G91</f>
        <v>-60157</v>
      </c>
      <c r="F91" s="590">
        <f>'Actuals FS'!F91</f>
        <v>-2565</v>
      </c>
      <c r="G91" s="590">
        <f>'Actuals FS'!E91</f>
        <v>-1488</v>
      </c>
      <c r="H91" s="590">
        <f>'Forecasted FS'!E118</f>
        <v>-26005</v>
      </c>
      <c r="I91" s="590">
        <f>'Forecasted FS'!F118</f>
        <v>0</v>
      </c>
      <c r="J91" s="590">
        <f>'Forecasted FS'!G118</f>
        <v>0</v>
      </c>
      <c r="K91" s="590">
        <f>'Forecasted FS'!H118</f>
        <v>0</v>
      </c>
      <c r="L91" s="590">
        <f>'Forecasted FS'!I118</f>
        <v>0</v>
      </c>
      <c r="M91" s="590">
        <f>'Forecasted FS'!J118</f>
        <v>0</v>
      </c>
    </row>
    <row r="92" spans="3:13" ht="12">
      <c r="C92" s="6" t="s">
        <v>49</v>
      </c>
      <c r="D92" s="666">
        <f>'Actuals FS'!H92</f>
        <v>-59611</v>
      </c>
      <c r="E92" s="666">
        <f>'Actuals FS'!G92</f>
        <v>-58154</v>
      </c>
      <c r="F92" s="666">
        <f>'Actuals FS'!F92</f>
        <v>-37601</v>
      </c>
      <c r="G92" s="666">
        <f>'Actuals FS'!E92</f>
        <v>-49833</v>
      </c>
      <c r="H92" s="666">
        <f>'Forecasted FS'!E119</f>
        <v>-94342</v>
      </c>
      <c r="I92" s="666">
        <f>'Forecasted FS'!F119</f>
        <v>-83989.138409955835</v>
      </c>
      <c r="J92" s="666">
        <f>'Forecasted FS'!G119</f>
        <v>-90330.05970848893</v>
      </c>
      <c r="K92" s="666">
        <f>'Forecasted FS'!H119</f>
        <v>-97197.26351974385</v>
      </c>
      <c r="L92" s="666">
        <f>'Forecasted FS'!I119</f>
        <v>-105641.67450727437</v>
      </c>
      <c r="M92" s="666">
        <f>'Forecasted FS'!J119</f>
        <v>-114867.19003428385</v>
      </c>
    </row>
    <row r="93" spans="3:13" ht="12">
      <c r="C93" s="1" t="s">
        <v>623</v>
      </c>
      <c r="D93" s="175">
        <f>'Actuals FS'!H93</f>
        <v>0</v>
      </c>
      <c r="E93" s="175">
        <f>'Actuals FS'!G93</f>
        <v>0</v>
      </c>
      <c r="F93" s="175">
        <f>'Actuals FS'!F93</f>
        <v>-6000</v>
      </c>
      <c r="G93" s="175">
        <f>'Actuals FS'!E93</f>
        <v>0</v>
      </c>
      <c r="H93" s="175">
        <f>'Forecasted FS'!E120</f>
        <v>0</v>
      </c>
      <c r="I93" s="175">
        <f>'Forecasted FS'!F120</f>
        <v>0</v>
      </c>
      <c r="J93" s="175">
        <f>'Forecasted FS'!G120</f>
        <v>0</v>
      </c>
      <c r="K93" s="175">
        <f>'Forecasted FS'!H120</f>
        <v>0</v>
      </c>
      <c r="L93" s="175">
        <f>'Forecasted FS'!I120</f>
        <v>0</v>
      </c>
      <c r="M93" s="175">
        <f>'Forecasted FS'!J120</f>
        <v>0</v>
      </c>
    </row>
    <row r="94" spans="3:13" ht="12">
      <c r="C94" s="1" t="s">
        <v>624</v>
      </c>
      <c r="D94" s="175">
        <f>'Actuals FS'!H94</f>
        <v>6796</v>
      </c>
      <c r="E94" s="175">
        <f>'Actuals FS'!G94</f>
        <v>7956</v>
      </c>
      <c r="F94" s="175">
        <f>'Actuals FS'!F94</f>
        <v>41553</v>
      </c>
      <c r="G94" s="175">
        <f>'Actuals FS'!E94</f>
        <v>18129</v>
      </c>
      <c r="H94" s="175">
        <f>'Forecasted FS'!E121</f>
        <v>5142</v>
      </c>
      <c r="I94" s="175">
        <f>'Forecasted FS'!F121</f>
        <v>0</v>
      </c>
      <c r="J94" s="175">
        <f>'Forecasted FS'!G121</f>
        <v>0</v>
      </c>
      <c r="K94" s="175">
        <f>'Forecasted FS'!H121</f>
        <v>0</v>
      </c>
      <c r="L94" s="175">
        <f>'Forecasted FS'!I121</f>
        <v>0</v>
      </c>
      <c r="M94" s="175">
        <f>'Forecasted FS'!J121</f>
        <v>0</v>
      </c>
    </row>
    <row r="95" spans="3:13" ht="12">
      <c r="C95" s="1" t="s">
        <v>625</v>
      </c>
      <c r="D95" s="175">
        <f>'Actuals FS'!H95</f>
        <v>-6177</v>
      </c>
      <c r="E95" s="175">
        <f>'Actuals FS'!G95</f>
        <v>-7753</v>
      </c>
      <c r="F95" s="175">
        <f>'Actuals FS'!F95</f>
        <v>-37554</v>
      </c>
      <c r="G95" s="175">
        <f>'Actuals FS'!E95</f>
        <v>-25677</v>
      </c>
      <c r="H95" s="175">
        <f>'Forecasted FS'!E122</f>
        <v>-5060</v>
      </c>
      <c r="I95" s="175">
        <f>'Forecasted FS'!F122</f>
        <v>0</v>
      </c>
      <c r="J95" s="175">
        <f>'Forecasted FS'!G122</f>
        <v>0</v>
      </c>
      <c r="K95" s="175">
        <f>'Forecasted FS'!H122</f>
        <v>0</v>
      </c>
      <c r="L95" s="175">
        <f>'Forecasted FS'!I122</f>
        <v>0</v>
      </c>
      <c r="M95" s="175">
        <f>'Forecasted FS'!J122</f>
        <v>0</v>
      </c>
    </row>
    <row r="96" spans="3:13" ht="12">
      <c r="C96" s="1" t="s">
        <v>626</v>
      </c>
      <c r="D96" s="175">
        <f>'Actuals FS'!H96</f>
        <v>10525</v>
      </c>
      <c r="E96" s="175">
        <f>'Actuals FS'!G96</f>
        <v>19003</v>
      </c>
      <c r="F96" s="175">
        <f>'Actuals FS'!F96</f>
        <v>21166</v>
      </c>
      <c r="G96" s="175">
        <f>'Actuals FS'!E96</f>
        <v>0</v>
      </c>
      <c r="H96" s="175">
        <f>'Forecasted FS'!E123</f>
        <v>0</v>
      </c>
      <c r="I96" s="175">
        <f>'Forecasted FS'!F123</f>
        <v>0</v>
      </c>
      <c r="J96" s="175">
        <f>'Forecasted FS'!G123</f>
        <v>0</v>
      </c>
      <c r="K96" s="175">
        <f>'Forecasted FS'!H123</f>
        <v>0</v>
      </c>
      <c r="L96" s="175">
        <f>'Forecasted FS'!I123</f>
        <v>0</v>
      </c>
      <c r="M96" s="175">
        <f>'Forecasted FS'!J123</f>
        <v>0</v>
      </c>
    </row>
    <row r="97" spans="3:13" ht="12">
      <c r="C97" s="1" t="s">
        <v>627</v>
      </c>
      <c r="D97" s="175">
        <f>'Actuals FS'!H97</f>
        <v>-1553</v>
      </c>
      <c r="E97" s="175">
        <f>'Actuals FS'!G97</f>
        <v>-1590</v>
      </c>
      <c r="F97" s="175">
        <f>'Actuals FS'!F97</f>
        <v>-1258</v>
      </c>
      <c r="G97" s="175">
        <f>'Actuals FS'!E97</f>
        <v>-3676</v>
      </c>
      <c r="H97" s="175">
        <f>'Forecasted FS'!E124</f>
        <v>-9182</v>
      </c>
      <c r="I97" s="175">
        <f>'Forecasted FS'!F124</f>
        <v>-4591</v>
      </c>
      <c r="J97" s="175">
        <f>'Forecasted FS'!G124</f>
        <v>-2295.5</v>
      </c>
      <c r="K97" s="175">
        <f>'Forecasted FS'!H124</f>
        <v>-1147.75</v>
      </c>
      <c r="L97" s="175">
        <f>'Forecasted FS'!I124</f>
        <v>-573.875</v>
      </c>
      <c r="M97" s="175">
        <f>'Forecasted FS'!J124</f>
        <v>-286.9375</v>
      </c>
    </row>
    <row r="98" spans="3:13" ht="12">
      <c r="C98" s="1" t="s">
        <v>628</v>
      </c>
      <c r="D98" s="175">
        <f>'Actuals FS'!H98</f>
        <v>-10642</v>
      </c>
      <c r="E98" s="175">
        <f>'Actuals FS'!G98</f>
        <v>-11163</v>
      </c>
      <c r="F98" s="175">
        <f>'Actuals FS'!F98</f>
        <v>-7941</v>
      </c>
      <c r="G98" s="175">
        <f>'Actuals FS'!E98</f>
        <v>-4384</v>
      </c>
      <c r="H98" s="175">
        <f>'Forecasted FS'!E125</f>
        <v>-2043</v>
      </c>
      <c r="I98" s="175">
        <f>'Forecasted FS'!F125</f>
        <v>-2043</v>
      </c>
      <c r="J98" s="175">
        <f>'Forecasted FS'!G125</f>
        <v>-2043</v>
      </c>
      <c r="K98" s="175">
        <f>'Forecasted FS'!H125</f>
        <v>-2043</v>
      </c>
      <c r="L98" s="175">
        <f>'Forecasted FS'!I125</f>
        <v>-2043</v>
      </c>
      <c r="M98" s="175">
        <f>'Forecasted FS'!J125</f>
        <v>-2043</v>
      </c>
    </row>
    <row r="99" spans="3:13" ht="12">
      <c r="C99" s="28" t="s">
        <v>629</v>
      </c>
      <c r="D99" s="590">
        <f>'Actuals FS'!H99</f>
        <v>-53</v>
      </c>
      <c r="E99" s="590">
        <f>'Actuals FS'!G99</f>
        <v>-162</v>
      </c>
      <c r="F99" s="590">
        <f>'Actuals FS'!F99</f>
        <v>-248</v>
      </c>
      <c r="G99" s="590">
        <f>'Actuals FS'!E99</f>
        <v>-271</v>
      </c>
      <c r="H99" s="590">
        <f>'Forecasted FS'!E126</f>
        <v>-669</v>
      </c>
      <c r="I99" s="590">
        <f>'Forecasted FS'!F126</f>
        <v>-682.61613</v>
      </c>
      <c r="J99" s="590">
        <f>'Forecasted FS'!G126</f>
        <v>-744.05158170000016</v>
      </c>
      <c r="K99" s="590">
        <f>'Forecasted FS'!H126</f>
        <v>-811.0162240530002</v>
      </c>
      <c r="L99" s="590">
        <f>'Forecasted FS'!I126</f>
        <v>-892.11784645830039</v>
      </c>
      <c r="M99" s="590">
        <f>'Forecasted FS'!J126</f>
        <v>-981.3296311041305</v>
      </c>
    </row>
    <row r="100" spans="3:13" ht="12">
      <c r="C100" s="6" t="s">
        <v>50</v>
      </c>
      <c r="D100" s="666">
        <f>'Actuals FS'!H100</f>
        <v>-1104</v>
      </c>
      <c r="E100" s="666">
        <f>'Actuals FS'!G100</f>
        <v>6291</v>
      </c>
      <c r="F100" s="666">
        <f>'Actuals FS'!F100</f>
        <v>9718</v>
      </c>
      <c r="G100" s="666">
        <f>'Actuals FS'!E100</f>
        <v>-15879</v>
      </c>
      <c r="H100" s="666">
        <f>'Forecasted FS'!E127</f>
        <v>-11812</v>
      </c>
      <c r="I100" s="666">
        <f>'Forecasted FS'!F127</f>
        <v>-7316.6161300000003</v>
      </c>
      <c r="J100" s="666">
        <f>'Forecasted FS'!G127</f>
        <v>-5082.5515817000005</v>
      </c>
      <c r="K100" s="666">
        <f>'Forecasted FS'!H127</f>
        <v>-4001.7662240530003</v>
      </c>
      <c r="L100" s="666">
        <f>'Forecasted FS'!I127</f>
        <v>-3508.9928464583004</v>
      </c>
      <c r="M100" s="666">
        <f>'Forecasted FS'!J127</f>
        <v>-3311.2671311041304</v>
      </c>
    </row>
    <row r="101" spans="3:13" ht="12">
      <c r="C101" s="1" t="s">
        <v>630</v>
      </c>
      <c r="D101" s="590">
        <f>'Actuals FS'!H101</f>
        <v>618</v>
      </c>
      <c r="E101" s="590">
        <f>'Actuals FS'!G101</f>
        <v>-364</v>
      </c>
      <c r="F101" s="590">
        <f>'Actuals FS'!F101</f>
        <v>-1093</v>
      </c>
      <c r="G101" s="590">
        <f>'Actuals FS'!E101</f>
        <v>403</v>
      </c>
      <c r="H101" s="590">
        <f>'Forecasted FS'!E128</f>
        <v>-1301</v>
      </c>
      <c r="I101" s="590">
        <f>'Forecasted FS'!F128</f>
        <v>0</v>
      </c>
      <c r="J101" s="590">
        <f>'Forecasted FS'!G128</f>
        <v>0</v>
      </c>
      <c r="K101" s="590">
        <f>'Forecasted FS'!H128</f>
        <v>0</v>
      </c>
      <c r="L101" s="590">
        <f>'Forecasted FS'!I128</f>
        <v>0</v>
      </c>
      <c r="M101" s="590">
        <f>'Forecasted FS'!J128</f>
        <v>0</v>
      </c>
    </row>
    <row r="102" spans="3:13" ht="12">
      <c r="C102" s="40" t="s">
        <v>51</v>
      </c>
      <c r="D102" s="667">
        <f>'Actuals FS'!H102</f>
        <v>5967</v>
      </c>
      <c r="E102" s="667">
        <f>'Actuals FS'!G102</f>
        <v>-5900</v>
      </c>
      <c r="F102" s="667">
        <f>'Actuals FS'!F102</f>
        <v>17776</v>
      </c>
      <c r="G102" s="667">
        <f>'Actuals FS'!E102</f>
        <v>19637</v>
      </c>
      <c r="H102" s="667">
        <f>'Forecasted FS'!E129</f>
        <v>8422</v>
      </c>
      <c r="I102" s="667">
        <f>'Forecasted FS'!F129</f>
        <v>55817.18112861066</v>
      </c>
      <c r="J102" s="667">
        <f>'Forecasted FS'!G129</f>
        <v>58558.569819196695</v>
      </c>
      <c r="K102" s="667">
        <f>'Forecasted FS'!H129</f>
        <v>71368.389385909133</v>
      </c>
      <c r="L102" s="667">
        <f>'Forecasted FS'!I129</f>
        <v>83619.793675861569</v>
      </c>
      <c r="M102" s="667">
        <f>'Forecasted FS'!J129</f>
        <v>95039.026001541293</v>
      </c>
    </row>
    <row r="103" spans="3:13" ht="12">
      <c r="C103" s="1" t="s">
        <v>631</v>
      </c>
      <c r="D103" s="175">
        <f>'Actuals FS'!H103</f>
        <v>42377</v>
      </c>
      <c r="E103" s="175">
        <f>'Actuals FS'!G103</f>
        <v>36477</v>
      </c>
      <c r="F103" s="175">
        <f>'Actuals FS'!F103</f>
        <v>54253</v>
      </c>
      <c r="G103" s="175">
        <f>'Actuals FS'!E103</f>
        <v>73890</v>
      </c>
      <c r="H103" s="175">
        <f>'Forecasted FS'!E130</f>
        <v>82312</v>
      </c>
      <c r="I103" s="175">
        <f>'Forecasted FS'!F130</f>
        <v>138129.18112861065</v>
      </c>
      <c r="J103" s="175">
        <f>'Forecasted FS'!G130</f>
        <v>196687.75094780733</v>
      </c>
      <c r="K103" s="175">
        <f>'Forecasted FS'!H130</f>
        <v>268056.14033371647</v>
      </c>
      <c r="L103" s="175">
        <f>'Forecasted FS'!I130</f>
        <v>351675.93400957802</v>
      </c>
      <c r="M103" s="175">
        <f>'Forecasted FS'!J130</f>
        <v>446714.96001111931</v>
      </c>
    </row>
    <row r="105" spans="3:13" ht="12">
      <c r="C105" s="505"/>
      <c r="D105" s="508" t="str">
        <f>D70</f>
        <v>2020 A</v>
      </c>
      <c r="E105" s="508" t="str">
        <f t="shared" ref="E105:M105" si="6">E70</f>
        <v>2021 A</v>
      </c>
      <c r="F105" s="508" t="str">
        <f t="shared" si="6"/>
        <v>2022 A</v>
      </c>
      <c r="G105" s="508" t="str">
        <f t="shared" si="6"/>
        <v>2023 A</v>
      </c>
      <c r="H105" s="508" t="str">
        <f t="shared" si="6"/>
        <v>2024 A</v>
      </c>
      <c r="I105" s="508" t="str">
        <f t="shared" si="6"/>
        <v>2025 F</v>
      </c>
      <c r="J105" s="508" t="str">
        <f t="shared" si="6"/>
        <v>2026 F</v>
      </c>
      <c r="K105" s="508" t="str">
        <f t="shared" si="6"/>
        <v>2027 F</v>
      </c>
      <c r="L105" s="508" t="str">
        <f t="shared" si="6"/>
        <v>2028 F</v>
      </c>
      <c r="M105" s="508" t="str">
        <f t="shared" si="6"/>
        <v>2029 F</v>
      </c>
    </row>
    <row r="106" spans="3:13" ht="12">
      <c r="C106" s="452" t="s">
        <v>135</v>
      </c>
      <c r="D106" s="638"/>
      <c r="E106" s="638"/>
      <c r="F106" s="638"/>
      <c r="G106" s="638"/>
      <c r="H106" s="638"/>
      <c r="I106" s="638"/>
      <c r="J106" s="638"/>
      <c r="K106" s="638"/>
      <c r="L106" s="638"/>
      <c r="M106" s="638"/>
    </row>
    <row r="107" spans="3:13" ht="12">
      <c r="C107" s="4" t="s">
        <v>257</v>
      </c>
      <c r="D107" s="112">
        <f>'Actuals FS'!H110</f>
        <v>1.0502274795268425</v>
      </c>
      <c r="E107" s="112">
        <f>'Actuals FS'!G110</f>
        <v>1.1357597739445826</v>
      </c>
      <c r="F107" s="112">
        <f>'Actuals FS'!F110</f>
        <v>0.9446435811136924</v>
      </c>
      <c r="G107" s="112">
        <f>'Actuals FS'!E110</f>
        <v>1.0450772206625152</v>
      </c>
      <c r="H107" s="112">
        <f>'Forecasted FS'!E137</f>
        <v>1.0637348061371781</v>
      </c>
      <c r="I107" s="112">
        <f>'Forecasted FS'!F137</f>
        <v>1.3954287991602468</v>
      </c>
      <c r="J107" s="112">
        <f>'Forecasted FS'!G137</f>
        <v>1.7667130695660775</v>
      </c>
      <c r="K107" s="112">
        <f>'Forecasted FS'!H137</f>
        <v>2.13435558537887</v>
      </c>
      <c r="L107" s="112">
        <f>'Forecasted FS'!I137</f>
        <v>2.4933742480372167</v>
      </c>
      <c r="M107" s="112">
        <f>'Forecasted FS'!J137</f>
        <v>2.8387874138229274</v>
      </c>
    </row>
    <row r="108" spans="3:13" ht="12">
      <c r="C108" s="4" t="s">
        <v>256</v>
      </c>
      <c r="D108" s="112">
        <f>'Actuals FS'!H111</f>
        <v>0.86195355461486722</v>
      </c>
      <c r="E108" s="112">
        <f>'Actuals FS'!G111</f>
        <v>0.90633039517523517</v>
      </c>
      <c r="F108" s="112">
        <f>'Actuals FS'!F111</f>
        <v>0.72323721145740161</v>
      </c>
      <c r="G108" s="112">
        <f>'Actuals FS'!E111</f>
        <v>0.84304832127676343</v>
      </c>
      <c r="H108" s="112">
        <f>'Forecasted FS'!E138</f>
        <v>0.87305426598525337</v>
      </c>
      <c r="I108" s="112">
        <f>'Forecasted FS'!F138</f>
        <v>1.2054592718760175</v>
      </c>
      <c r="J108" s="112">
        <f>'Forecasted FS'!G138</f>
        <v>1.5780883249402236</v>
      </c>
      <c r="K108" s="112">
        <f>'Forecasted FS'!H138</f>
        <v>1.9470853090969542</v>
      </c>
      <c r="L108" s="112">
        <f>'Forecasted FS'!I138</f>
        <v>2.3074681679078455</v>
      </c>
      <c r="M108" s="112">
        <f>'Forecasted FS'!J138</f>
        <v>2.6542552992537747</v>
      </c>
    </row>
    <row r="109" spans="3:13" ht="12">
      <c r="C109" s="4" t="s">
        <v>255</v>
      </c>
      <c r="D109" s="112">
        <f>'Actuals FS'!H112</f>
        <v>15.730747290359384</v>
      </c>
      <c r="E109" s="112">
        <f>'Actuals FS'!G112</f>
        <v>14.284211486424859</v>
      </c>
      <c r="F109" s="112">
        <f>'Actuals FS'!F112</f>
        <v>12.133687440982058</v>
      </c>
      <c r="G109" s="112">
        <f>'Actuals FS'!E112</f>
        <v>11.000038275314337</v>
      </c>
      <c r="H109" s="112">
        <f>'Forecasted FS'!E139</f>
        <v>11.504914248615895</v>
      </c>
      <c r="I109" s="112">
        <f>'Forecasted FS'!F139</f>
        <v>12.310258246019007</v>
      </c>
      <c r="J109" s="112">
        <f>'Forecasted FS'!G139</f>
        <v>13.41818148816072</v>
      </c>
      <c r="K109" s="112">
        <f>'Forecasted FS'!H139</f>
        <v>14.625817822095186</v>
      </c>
      <c r="L109" s="112">
        <f>'Forecasted FS'!I139</f>
        <v>16.088399604304708</v>
      </c>
      <c r="M109" s="112">
        <f>'Forecasted FS'!J139</f>
        <v>17.697239564735181</v>
      </c>
    </row>
    <row r="110" spans="3:13" ht="12">
      <c r="C110" s="4" t="s">
        <v>231</v>
      </c>
      <c r="D110" s="112">
        <f>'Actuals FS'!H113</f>
        <v>23.202966347548593</v>
      </c>
      <c r="E110" s="112">
        <f>'Actuals FS'!G113</f>
        <v>25.552688039299987</v>
      </c>
      <c r="F110" s="112">
        <f>'Actuals FS'!F113</f>
        <v>30.081539661817612</v>
      </c>
      <c r="G110" s="112">
        <f>'Actuals FS'!E113</f>
        <v>33.18170272362709</v>
      </c>
      <c r="H110" s="112">
        <f>'Forecasted FS'!E140</f>
        <v>31.725573273517576</v>
      </c>
      <c r="I110" s="112">
        <f>'Forecasted FS'!F140</f>
        <v>29.650068479922968</v>
      </c>
      <c r="J110" s="112">
        <f>'Forecasted FS'!G140</f>
        <v>27.20189768800272</v>
      </c>
      <c r="K110" s="112">
        <f>'Forecasted FS'!H140</f>
        <v>24.955869438534602</v>
      </c>
      <c r="L110" s="112">
        <f>'Forecasted FS'!I140</f>
        <v>22.687154035031455</v>
      </c>
      <c r="M110" s="112">
        <f>'Forecasted FS'!J140</f>
        <v>20.624685486392227</v>
      </c>
    </row>
    <row r="111" spans="3:13" ht="12">
      <c r="C111" s="452" t="s">
        <v>227</v>
      </c>
      <c r="D111" s="668"/>
      <c r="E111" s="668"/>
      <c r="F111" s="668"/>
      <c r="G111" s="668"/>
      <c r="H111" s="668"/>
      <c r="I111" s="668"/>
      <c r="J111" s="668"/>
      <c r="K111" s="668"/>
      <c r="L111" s="668"/>
      <c r="M111" s="668"/>
    </row>
    <row r="112" spans="3:13" ht="12">
      <c r="C112" s="4" t="s">
        <v>254</v>
      </c>
      <c r="D112" s="112">
        <f>'Actuals FS'!H115</f>
        <v>9.8048749737339769</v>
      </c>
      <c r="E112" s="112">
        <f>'Actuals FS'!G115</f>
        <v>8.3438725490196077</v>
      </c>
      <c r="F112" s="112">
        <f>'Actuals FS'!F115</f>
        <v>8.3950297921813686</v>
      </c>
      <c r="G112" s="112">
        <f>'Actuals FS'!E115</f>
        <v>9.1463773335734437</v>
      </c>
      <c r="H112" s="112">
        <f>'Forecasted FS'!E142</f>
        <v>9.5366808908633889</v>
      </c>
      <c r="I112" s="112">
        <f>'Forecasted FS'!F142</f>
        <v>9.584603910415467</v>
      </c>
      <c r="J112" s="112">
        <f>'Forecasted FS'!G142</f>
        <v>9.6327677491612747</v>
      </c>
      <c r="K112" s="112">
        <f>'Forecasted FS'!H142</f>
        <v>9.6811736172475129</v>
      </c>
      <c r="L112" s="112">
        <f>'Forecasted FS'!I142</f>
        <v>9.729822730902022</v>
      </c>
      <c r="M112" s="112">
        <f>'Forecasted FS'!J142</f>
        <v>9.7787163124643435</v>
      </c>
    </row>
    <row r="113" spans="3:13" ht="12">
      <c r="C113" s="1" t="s">
        <v>236</v>
      </c>
      <c r="D113" s="112">
        <f>'Actuals FS'!H116</f>
        <v>37.226379834295585</v>
      </c>
      <c r="E113" s="112">
        <f>'Actuals FS'!G116</f>
        <v>43.744675851129458</v>
      </c>
      <c r="F113" s="112">
        <f>'Actuals FS'!F116</f>
        <v>43.4781065744328</v>
      </c>
      <c r="G113" s="112">
        <f>'Actuals FS'!E116</f>
        <v>39.906510161154301</v>
      </c>
      <c r="H113" s="112">
        <f>'Forecasted FS'!E143</f>
        <v>38.273273917520719</v>
      </c>
      <c r="I113" s="112">
        <f>'Forecasted FS'!F143</f>
        <v>38.081907547933113</v>
      </c>
      <c r="J113" s="112">
        <f>'Forecasted FS'!G143</f>
        <v>37.891498010193445</v>
      </c>
      <c r="K113" s="112">
        <f>'Forecasted FS'!H143</f>
        <v>37.702040520142475</v>
      </c>
      <c r="L113" s="112">
        <f>'Forecasted FS'!I143</f>
        <v>37.513530317541765</v>
      </c>
      <c r="M113" s="112">
        <f>'Forecasted FS'!J143</f>
        <v>37.325962665954059</v>
      </c>
    </row>
    <row r="114" spans="3:13" ht="12">
      <c r="C114" s="1" t="s">
        <v>253</v>
      </c>
      <c r="D114" s="112">
        <f>'Actuals FS'!H117</f>
        <v>1.2019614253023865</v>
      </c>
      <c r="E114" s="112">
        <f>'Actuals FS'!G117</f>
        <v>1.1171635172120253</v>
      </c>
      <c r="F114" s="112">
        <f>'Actuals FS'!F117</f>
        <v>1.1108942562273734</v>
      </c>
      <c r="G114" s="112">
        <f>'Actuals FS'!E117</f>
        <v>1.0889090543976174</v>
      </c>
      <c r="H114" s="112">
        <f>'Forecasted FS'!E144</f>
        <v>1.0209075459197881</v>
      </c>
      <c r="I114" s="112">
        <f>'Forecasted FS'!F144</f>
        <v>1.0024304000458162</v>
      </c>
      <c r="J114" s="112">
        <f>'Forecasted FS'!G144</f>
        <v>0.92382937476714833</v>
      </c>
      <c r="K114" s="112">
        <f>'Forecasted FS'!H144</f>
        <v>0.8531867065124572</v>
      </c>
      <c r="L114" s="112">
        <f>'Forecasted FS'!I144</f>
        <v>0.79915803390854956</v>
      </c>
      <c r="M114" s="112">
        <f>'Forecasted FS'!J144</f>
        <v>0.75174379929509572</v>
      </c>
    </row>
    <row r="115" spans="3:13" ht="12">
      <c r="C115" s="1" t="s">
        <v>252</v>
      </c>
      <c r="D115" s="112">
        <f>'Actuals FS'!H118</f>
        <v>3.4130523188995174</v>
      </c>
      <c r="E115" s="112">
        <f>'Actuals FS'!G118</f>
        <v>2.9312395106094922</v>
      </c>
      <c r="F115" s="112">
        <f>'Actuals FS'!F118</f>
        <v>2.7527675869640897</v>
      </c>
      <c r="G115" s="112">
        <f>'Actuals FS'!E118</f>
        <v>2.8151309892887055</v>
      </c>
      <c r="H115" s="112">
        <f>'Forecasted FS'!E145</f>
        <v>2.5249203490788199</v>
      </c>
      <c r="I115" s="112">
        <f>'Forecasted FS'!F145</f>
        <v>2.5461490738995489</v>
      </c>
      <c r="J115" s="112">
        <f>'Forecasted FS'!G145</f>
        <v>2.4887796660019372</v>
      </c>
      <c r="K115" s="112">
        <f>'Forecasted FS'!H145</f>
        <v>2.4488385349017445</v>
      </c>
      <c r="L115" s="112">
        <f>'Forecasted FS'!I145</f>
        <v>2.4347275488476785</v>
      </c>
      <c r="M115" s="112">
        <f>'Forecasted FS'!J145</f>
        <v>2.418308275506416</v>
      </c>
    </row>
    <row r="116" spans="3:13" ht="12">
      <c r="C116" s="1" t="s">
        <v>258</v>
      </c>
      <c r="D116" s="112">
        <f>'Actuals FS'!H119</f>
        <v>113.48452896826929</v>
      </c>
      <c r="E116" s="112">
        <f>'Actuals FS'!G119</f>
        <v>105.42681314807743</v>
      </c>
      <c r="F116" s="112">
        <f>'Actuals FS'!F119</f>
        <v>100.59169548975007</v>
      </c>
      <c r="G116" s="112">
        <f>'Actuals FS'!E119</f>
        <v>101.78567561093263</v>
      </c>
      <c r="H116" s="112">
        <f>'Forecasted FS'!E146</f>
        <v>105.5585709557201</v>
      </c>
      <c r="I116" s="112">
        <f>'Forecasted FS'!F146</f>
        <v>105.0307781009415</v>
      </c>
      <c r="J116" s="112">
        <f>'Forecasted FS'!G146</f>
        <v>104.50562421043679</v>
      </c>
      <c r="K116" s="112">
        <f>'Forecasted FS'!H146</f>
        <v>103.9830960893846</v>
      </c>
      <c r="L116" s="112">
        <f>'Forecasted FS'!I146</f>
        <v>103.46318060893768</v>
      </c>
      <c r="M116" s="112">
        <f>'Forecasted FS'!J146</f>
        <v>102.94586470589299</v>
      </c>
    </row>
    <row r="117" spans="3:13" ht="12">
      <c r="C117" s="1" t="s">
        <v>242</v>
      </c>
      <c r="D117" s="112">
        <f>'Actuals FS'!H120</f>
        <v>-53.055182786425107</v>
      </c>
      <c r="E117" s="112">
        <f>'Actuals FS'!G120</f>
        <v>-36.129449257647991</v>
      </c>
      <c r="F117" s="112">
        <f>'Actuals FS'!F120</f>
        <v>-27.03204925349965</v>
      </c>
      <c r="G117" s="112">
        <f>'Actuals FS'!E120</f>
        <v>-28.69746272615123</v>
      </c>
      <c r="H117" s="112">
        <f>'Forecasted FS'!E147</f>
        <v>-35.559723764681806</v>
      </c>
      <c r="I117" s="112">
        <f>'Forecasted FS'!F147</f>
        <v>-37.298802073085426</v>
      </c>
      <c r="J117" s="112">
        <f>'Forecasted FS'!G147</f>
        <v>-39.412228512240631</v>
      </c>
      <c r="K117" s="112">
        <f>'Forecasted FS'!H147</f>
        <v>-41.325186130707522</v>
      </c>
      <c r="L117" s="112">
        <f>'Forecasted FS'!I147</f>
        <v>-43.262496256364457</v>
      </c>
      <c r="M117" s="112">
        <f>'Forecasted FS'!J147</f>
        <v>-44.995216553546697</v>
      </c>
    </row>
    <row r="118" spans="3:13" ht="12">
      <c r="C118" s="452" t="s">
        <v>228</v>
      </c>
      <c r="D118" s="668"/>
      <c r="E118" s="668"/>
      <c r="F118" s="668"/>
      <c r="G118" s="668"/>
      <c r="H118" s="668"/>
      <c r="I118" s="668"/>
      <c r="J118" s="668"/>
      <c r="K118" s="668"/>
      <c r="L118" s="668"/>
      <c r="M118" s="668"/>
    </row>
    <row r="119" spans="3:13" ht="12">
      <c r="C119" s="1" t="s">
        <v>237</v>
      </c>
      <c r="D119" s="105">
        <f>'Actuals FS'!H122</f>
        <v>5.9313999751336569E-2</v>
      </c>
      <c r="E119" s="105">
        <f>'Actuals FS'!G122</f>
        <v>5.2954097509269465E-2</v>
      </c>
      <c r="F119" s="105">
        <f>'Actuals FS'!F122</f>
        <v>2.3829581912242232E-2</v>
      </c>
      <c r="G119" s="105">
        <f>'Actuals FS'!E122</f>
        <v>6.4114407996033296E-2</v>
      </c>
      <c r="H119" s="105">
        <f>'Forecasted FS'!E149</f>
        <v>0.1075194487420038</v>
      </c>
      <c r="I119" s="105">
        <f>'Forecasted FS'!F149</f>
        <v>0.12336576591004382</v>
      </c>
      <c r="J119" s="105">
        <f>'Forecasted FS'!G149</f>
        <v>0.14312705974790621</v>
      </c>
      <c r="K119" s="105">
        <f>'Forecasted FS'!H149</f>
        <v>0.15719767278681299</v>
      </c>
      <c r="L119" s="105">
        <f>'Forecasted FS'!I149</f>
        <v>0.17002786628943656</v>
      </c>
      <c r="M119" s="105">
        <f>'Forecasted FS'!J149</f>
        <v>0.17953858111108467</v>
      </c>
    </row>
    <row r="120" spans="3:13" ht="12">
      <c r="C120" s="1" t="s">
        <v>238</v>
      </c>
      <c r="D120" s="105">
        <f>'Actuals FS'!H123</f>
        <v>6.6411370040006856E-2</v>
      </c>
      <c r="E120" s="105">
        <f>'Actuals FS'!G123</f>
        <v>7.9334393851846041E-2</v>
      </c>
      <c r="F120" s="105">
        <f>'Actuals FS'!F123</f>
        <v>-5.8831793375479545E-3</v>
      </c>
      <c r="G120" s="105">
        <f>'Actuals FS'!E123</f>
        <v>5.7639044129626754E-2</v>
      </c>
      <c r="H120" s="105">
        <f>'Forecasted FS'!E150</f>
        <v>9.481288026449286E-2</v>
      </c>
      <c r="I120" s="105">
        <f>'Forecasted FS'!F150</f>
        <v>9.8021567514944133E-2</v>
      </c>
      <c r="J120" s="105">
        <f>'Forecasted FS'!G150</f>
        <v>0.10474917147847097</v>
      </c>
      <c r="K120" s="105">
        <f>'Forecasted FS'!H150</f>
        <v>0.10621401847223169</v>
      </c>
      <c r="L120" s="105">
        <f>'Forecasted FS'!I150</f>
        <v>0.1075585129668075</v>
      </c>
      <c r="M120" s="105">
        <f>'Forecasted FS'!J150</f>
        <v>0.10680002327376849</v>
      </c>
    </row>
    <row r="121" spans="3:13" ht="12">
      <c r="C121" s="1" t="s">
        <v>239</v>
      </c>
      <c r="D121" s="105">
        <f>'Actuals FS'!H124</f>
        <v>5.5252496995316841E-2</v>
      </c>
      <c r="E121" s="105">
        <f>'Actuals FS'!G124</f>
        <v>7.1014128755145567E-2</v>
      </c>
      <c r="F121" s="105">
        <f>'Actuals FS'!F124</f>
        <v>-5.2958950004183018E-3</v>
      </c>
      <c r="G121" s="105">
        <f>'Actuals FS'!E124</f>
        <v>5.2932835755978319E-2</v>
      </c>
      <c r="H121" s="105">
        <f>'Forecasted FS'!E151</f>
        <v>9.2871171971866534E-2</v>
      </c>
      <c r="I121" s="105">
        <f>'Forecasted FS'!F151</f>
        <v>9.7783913487124952E-2</v>
      </c>
      <c r="J121" s="105">
        <f>'Forecasted FS'!G151</f>
        <v>0.11338584195255</v>
      </c>
      <c r="K121" s="105">
        <f>'Forecasted FS'!H151</f>
        <v>0.12449094396512481</v>
      </c>
      <c r="L121" s="105">
        <f>'Forecasted FS'!I151</f>
        <v>0.13458979125912887</v>
      </c>
      <c r="M121" s="105">
        <f>'Forecasted FS'!J151</f>
        <v>0.14206970961904047</v>
      </c>
    </row>
    <row r="122" spans="3:13" ht="12">
      <c r="C122" s="1" t="s">
        <v>240</v>
      </c>
      <c r="D122" s="105">
        <f>'Actuals FS'!H125</f>
        <v>0.22837351719412444</v>
      </c>
      <c r="E122" s="105">
        <f>'Actuals FS'!G125</f>
        <v>0.2413396506202756</v>
      </c>
      <c r="F122" s="105">
        <f>'Actuals FS'!F125</f>
        <v>-1.8638346240490815E-2</v>
      </c>
      <c r="G122" s="105">
        <f>'Actuals FS'!E125</f>
        <v>0.15071207430340558</v>
      </c>
      <c r="H122" s="105">
        <f>'Forecasted FS'!E152</f>
        <v>0.20718257159841941</v>
      </c>
      <c r="I122" s="105">
        <f>'Forecasted FS'!F152</f>
        <v>0.20219793303606545</v>
      </c>
      <c r="J122" s="105">
        <f>'Forecasted FS'!G152</f>
        <v>0.19739358963549755</v>
      </c>
      <c r="K122" s="105">
        <f>'Forecasted FS'!H152</f>
        <v>0.18623385468741457</v>
      </c>
      <c r="L122" s="105">
        <f>'Forecasted FS'!I152</f>
        <v>0.17785674719598341</v>
      </c>
      <c r="M122" s="105">
        <f>'Forecasted FS'!J152</f>
        <v>0.16845037596134996</v>
      </c>
    </row>
    <row r="123" spans="3:13" ht="12">
      <c r="C123" s="1" t="s">
        <v>280</v>
      </c>
      <c r="D123" s="105">
        <f>'Actuals FS'!H126</f>
        <v>0.10810322572934469</v>
      </c>
      <c r="E123" s="105">
        <f>'Actuals FS'!G126</f>
        <v>8.8053841914976547E-2</v>
      </c>
      <c r="F123" s="105">
        <f>'Actuals FS'!F126</f>
        <v>3.6228410107795012E-2</v>
      </c>
      <c r="G123" s="105">
        <f>'Actuals FS'!E126</f>
        <v>8.7275703288006337E-2</v>
      </c>
      <c r="H123" s="105">
        <f>'Forecasted FS'!E153</f>
        <v>0.12983254746365352</v>
      </c>
      <c r="I123" s="105">
        <f>'Forecasted FS'!F153</f>
        <v>0.17278183148881943</v>
      </c>
      <c r="J123" s="105">
        <f>'Forecasted FS'!G153</f>
        <v>0.17278603188162223</v>
      </c>
      <c r="K123" s="105">
        <f>'Forecasted FS'!H153</f>
        <v>0.16644980419865751</v>
      </c>
      <c r="L123" s="105">
        <f>'Forecasted FS'!I153</f>
        <v>0.16198465940933476</v>
      </c>
      <c r="M123" s="105">
        <f>'Forecasted FS'!J153</f>
        <v>0.15583335121325628</v>
      </c>
    </row>
    <row r="124" spans="3:13" ht="12">
      <c r="C124" s="1" t="s">
        <v>269</v>
      </c>
      <c r="D124" s="105">
        <f>'Actuals FS'!H127</f>
        <v>0.22837351719412444</v>
      </c>
      <c r="E124" s="105">
        <f>'Actuals FS'!G127</f>
        <v>0.2413396506202756</v>
      </c>
      <c r="F124" s="105">
        <f>'Actuals FS'!F127</f>
        <v>-1.8638346240490815E-2</v>
      </c>
      <c r="G124" s="105">
        <f>'Actuals FS'!E127</f>
        <v>0.15071207430340558</v>
      </c>
      <c r="H124" s="105">
        <f>'Forecasted FS'!E154</f>
        <v>0.20718257159841941</v>
      </c>
      <c r="I124" s="105">
        <f>'Forecasted FS'!F154</f>
        <v>0.20219793303606545</v>
      </c>
      <c r="J124" s="105">
        <f>'Forecasted FS'!G154</f>
        <v>0.19739358963549755</v>
      </c>
      <c r="K124" s="105">
        <f>'Forecasted FS'!H154</f>
        <v>0.18623385468741457</v>
      </c>
      <c r="L124" s="105">
        <f>'Forecasted FS'!I154</f>
        <v>0.17785674719598341</v>
      </c>
      <c r="M124" s="105">
        <f>'Forecasted FS'!J154</f>
        <v>0.16845037596134996</v>
      </c>
    </row>
    <row r="125" spans="3:13" ht="12">
      <c r="C125" s="452" t="s">
        <v>229</v>
      </c>
      <c r="D125" s="668"/>
      <c r="E125" s="668"/>
      <c r="F125" s="668"/>
      <c r="G125" s="668"/>
      <c r="H125" s="668"/>
      <c r="I125" s="668"/>
      <c r="J125" s="668"/>
      <c r="K125" s="668"/>
      <c r="L125" s="668"/>
      <c r="M125" s="668"/>
    </row>
    <row r="126" spans="3:13" ht="12">
      <c r="C126" s="1" t="s">
        <v>251</v>
      </c>
      <c r="D126" s="105">
        <f>'Actuals FS'!H129</f>
        <v>9.9055091144009094E-2</v>
      </c>
      <c r="E126" s="105">
        <f>'Actuals FS'!G129</f>
        <v>0.11590563763081116</v>
      </c>
      <c r="F126" s="105">
        <f>'Actuals FS'!F129</f>
        <v>0.14513427351812827</v>
      </c>
      <c r="G126" s="105">
        <f>'Actuals FS'!E129</f>
        <v>0.11047372947822694</v>
      </c>
      <c r="H126" s="105">
        <f>'Forecasted FS'!E156</f>
        <v>8.4211082199541043E-2</v>
      </c>
      <c r="I126" s="105">
        <f>'Forecasted FS'!F156</f>
        <v>8.0648510202822418E-2</v>
      </c>
      <c r="J126" s="105">
        <f>'Forecasted FS'!G156</f>
        <v>7.3888189380762664E-2</v>
      </c>
      <c r="K126" s="105">
        <f>'Forecasted FS'!H156</f>
        <v>6.6226109719467324E-2</v>
      </c>
      <c r="L126" s="105">
        <f>'Forecasted FS'!I156</f>
        <v>5.7935222991506566E-2</v>
      </c>
      <c r="M126" s="105">
        <f>'Forecasted FS'!J156</f>
        <v>5.0202978975918439E-2</v>
      </c>
    </row>
    <row r="127" spans="3:13" ht="12">
      <c r="C127" s="1" t="s">
        <v>250</v>
      </c>
      <c r="D127" s="112">
        <f>'Actuals FS'!H130</f>
        <v>3.4387713588283155</v>
      </c>
      <c r="E127" s="112">
        <f>'Actuals FS'!G130</f>
        <v>3.0420557705522802</v>
      </c>
      <c r="F127" s="112">
        <f>'Actuals FS'!F130</f>
        <v>3.1680737864875415</v>
      </c>
      <c r="G127" s="112">
        <f>'Actuals FS'!E130</f>
        <v>2.6147566563467493</v>
      </c>
      <c r="H127" s="112">
        <f>'Forecasted FS'!E157</f>
        <v>2.1851732699234185</v>
      </c>
      <c r="I127" s="112">
        <f>'Forecasted FS'!F157</f>
        <v>1.9692788031326141</v>
      </c>
      <c r="J127" s="112">
        <f>'Forecasted FS'!G157</f>
        <v>1.8183633574788201</v>
      </c>
      <c r="K127" s="112">
        <f>'Forecasted FS'!H157</f>
        <v>1.7016647821618693</v>
      </c>
      <c r="L127" s="112">
        <f>'Forecasted FS'!I157</f>
        <v>1.6146896885248792</v>
      </c>
      <c r="M127" s="112">
        <f>'Forecasted FS'!J157</f>
        <v>1.5465014369264818</v>
      </c>
    </row>
    <row r="128" spans="3:13" ht="12">
      <c r="C128" s="1" t="s">
        <v>249</v>
      </c>
      <c r="D128" s="105">
        <f>'Actuals FS'!H131</f>
        <v>0.79888875544402371</v>
      </c>
      <c r="E128" s="105">
        <f>'Actuals FS'!G131</f>
        <v>0.74480917229464427</v>
      </c>
      <c r="F128" s="105">
        <f>'Actuals FS'!F131</f>
        <v>0.69826056088036914</v>
      </c>
      <c r="G128" s="105">
        <f>'Actuals FS'!E131</f>
        <v>0.73877284068968918</v>
      </c>
      <c r="H128" s="105">
        <f>'Forecasted FS'!E158</f>
        <v>0.77322950692511228</v>
      </c>
      <c r="I128" s="105">
        <f>'Forecasted FS'!F158</f>
        <v>0.76968316295348393</v>
      </c>
      <c r="J128" s="105">
        <f>'Forecasted FS'!G158</f>
        <v>0.76990136914642815</v>
      </c>
      <c r="K128" s="105">
        <f>'Forecasted FS'!H158</f>
        <v>0.7772493029790678</v>
      </c>
      <c r="L128" s="105">
        <f>'Forecasted FS'!I158</f>
        <v>0.7891017523208459</v>
      </c>
      <c r="M128" s="105">
        <f>'Forecasted FS'!J158</f>
        <v>0.80191812384571126</v>
      </c>
    </row>
    <row r="129" spans="3:13" ht="12">
      <c r="C129" s="1" t="s">
        <v>248</v>
      </c>
      <c r="D129" s="112">
        <f>'Actuals FS'!H132</f>
        <v>-13.903460837887067</v>
      </c>
      <c r="E129" s="112">
        <f>'Actuals FS'!G132</f>
        <v>-13.752902155887231</v>
      </c>
      <c r="F129" s="112">
        <f>'Actuals FS'!F132</f>
        <v>-5.1744824672581329</v>
      </c>
      <c r="G129" s="112">
        <f>'Actuals FS'!E132</f>
        <v>-11.581395348837209</v>
      </c>
      <c r="H129" s="112">
        <f>'Forecasted FS'!E159</f>
        <v>-28.509143807148796</v>
      </c>
      <c r="I129" s="112">
        <f>'Forecasted FS'!F159</f>
        <v>-41.177185321011223</v>
      </c>
      <c r="J129" s="112">
        <f>'Forecasted FS'!G159</f>
        <v>-52.692631115415843</v>
      </c>
      <c r="K129" s="112">
        <f>'Forecasted FS'!H159</f>
        <v>-63.841331917936159</v>
      </c>
      <c r="L129" s="112">
        <f>'Forecasted FS'!I159</f>
        <v>-75.957142240799612</v>
      </c>
      <c r="M129" s="112">
        <f>'Forecasted FS'!J159</f>
        <v>-88.226486780388257</v>
      </c>
    </row>
    <row r="130" spans="3:13" ht="12">
      <c r="C130" s="1" t="s">
        <v>163</v>
      </c>
      <c r="D130" s="142">
        <f>'Actuals FS'!H133</f>
        <v>31816</v>
      </c>
      <c r="E130" s="142">
        <f>'Actuals FS'!G133</f>
        <v>48744</v>
      </c>
      <c r="F130" s="142">
        <f>'Actuals FS'!F133</f>
        <v>67150</v>
      </c>
      <c r="G130" s="142">
        <f>'Actuals FS'!E133</f>
        <v>58314</v>
      </c>
      <c r="H130" s="142">
        <f>'Forecasted FS'!E160</f>
        <v>52623</v>
      </c>
      <c r="I130" s="142">
        <f>'Forecasted FS'!F160</f>
        <v>57214</v>
      </c>
      <c r="J130" s="142">
        <f>'Forecasted FS'!G160</f>
        <v>61805</v>
      </c>
      <c r="K130" s="142">
        <f>'Forecasted FS'!H160</f>
        <v>64100.5</v>
      </c>
      <c r="L130" s="142">
        <f>'Forecasted FS'!I160</f>
        <v>65248.25</v>
      </c>
      <c r="M130" s="142">
        <f>'Forecasted FS'!J160</f>
        <v>65822.125</v>
      </c>
    </row>
    <row r="131" spans="3:13" ht="12">
      <c r="C131" s="1" t="s">
        <v>245</v>
      </c>
      <c r="D131" s="112">
        <f>'Actuals FS'!H134</f>
        <v>0.7575057736720554</v>
      </c>
      <c r="E131" s="112">
        <f>'Actuals FS'!G134</f>
        <v>0.79650963282513854</v>
      </c>
      <c r="F131" s="112">
        <f>'Actuals FS'!F134</f>
        <v>1.6766960473420061</v>
      </c>
      <c r="G131" s="112">
        <f>'Actuals FS'!E134</f>
        <v>0.84775971854737886</v>
      </c>
      <c r="H131" s="112">
        <f>'Forecasted FS'!E161</f>
        <v>0.52427967959191801</v>
      </c>
      <c r="I131" s="112">
        <f>'Forecasted FS'!F161</f>
        <v>0.55114174346045375</v>
      </c>
      <c r="J131" s="112">
        <f>'Forecasted FS'!G161</f>
        <v>0.51162831580624701</v>
      </c>
      <c r="K131" s="112">
        <f>'Forecasted FS'!H161</f>
        <v>0.46797576185034351</v>
      </c>
      <c r="L131" s="112">
        <f>'Forecasted FS'!I161</f>
        <v>0.42139927849536118</v>
      </c>
      <c r="M131" s="112">
        <f>'Forecasted FS'!J161</f>
        <v>0.38105901326636787</v>
      </c>
    </row>
    <row r="132" spans="3:13" ht="12">
      <c r="C132" s="1" t="s">
        <v>244</v>
      </c>
      <c r="D132" s="108">
        <f>'Actuals FS'!H135</f>
        <v>0.34062781037214679</v>
      </c>
      <c r="E132" s="108">
        <f>'Actuals FS'!G135</f>
        <v>0.35259141379435061</v>
      </c>
      <c r="F132" s="108">
        <f>'Actuals FS'!F135</f>
        <v>0.45979608745369516</v>
      </c>
      <c r="G132" s="108">
        <f>'Actuals FS'!E135</f>
        <v>0.28886191950464396</v>
      </c>
      <c r="H132" s="108">
        <f>'Forecasted FS'!E162</f>
        <v>0.18401580585376087</v>
      </c>
      <c r="I132" s="108">
        <f>'Forecasted FS'!F162</f>
        <v>0.15287109868854931</v>
      </c>
      <c r="J132" s="108">
        <f>'Forecasted FS'!G162</f>
        <v>0.12861953103069607</v>
      </c>
      <c r="K132" s="108">
        <f>'Forecasted FS'!H162</f>
        <v>0.10617107892955703</v>
      </c>
      <c r="L132" s="108">
        <f>'Forecasted FS'!I162</f>
        <v>8.7412590378154922E-2</v>
      </c>
      <c r="M132" s="108">
        <f>'Forecasted FS'!J162</f>
        <v>7.2423427425689677E-2</v>
      </c>
    </row>
    <row r="133" spans="3:13" ht="12">
      <c r="C133" s="452" t="s">
        <v>230</v>
      </c>
      <c r="D133" s="668"/>
      <c r="E133" s="668"/>
      <c r="F133" s="668"/>
      <c r="G133" s="668"/>
      <c r="H133" s="668"/>
      <c r="I133" s="668"/>
      <c r="J133" s="668"/>
      <c r="K133" s="668"/>
      <c r="L133" s="668"/>
      <c r="M133" s="668"/>
    </row>
    <row r="134" spans="3:13" ht="12">
      <c r="C134" s="1" t="s">
        <v>239</v>
      </c>
      <c r="D134" s="105">
        <f>'Actuals FS'!H137</f>
        <v>5.5252496995316841E-2</v>
      </c>
      <c r="E134" s="105">
        <f>'Actuals FS'!G137</f>
        <v>7.1014128755145567E-2</v>
      </c>
      <c r="F134" s="105">
        <f>'Actuals FS'!F137</f>
        <v>-5.2958950004183018E-3</v>
      </c>
      <c r="G134" s="105">
        <f>'Actuals FS'!E137</f>
        <v>5.2932835755978319E-2</v>
      </c>
      <c r="H134" s="105">
        <f>'Forecasted FS'!E164</f>
        <v>9.2871171971866534E-2</v>
      </c>
      <c r="I134" s="105">
        <f>'Forecasted FS'!F164</f>
        <v>9.7783913487124952E-2</v>
      </c>
      <c r="J134" s="105">
        <f>'Forecasted FS'!G164</f>
        <v>0.11338584195255</v>
      </c>
      <c r="K134" s="105">
        <f>'Forecasted FS'!H164</f>
        <v>0.12449094396512481</v>
      </c>
      <c r="L134" s="105">
        <f>'Forecasted FS'!I164</f>
        <v>0.13458979125912887</v>
      </c>
      <c r="M134" s="105">
        <f>'Forecasted FS'!J164</f>
        <v>0.14206970961904047</v>
      </c>
    </row>
    <row r="135" spans="3:13" ht="12">
      <c r="C135" s="1" t="s">
        <v>247</v>
      </c>
      <c r="D135" s="112">
        <f>'Actuals FS'!H138</f>
        <v>1.2019614253023865</v>
      </c>
      <c r="E135" s="112">
        <f>'Actuals FS'!G138</f>
        <v>1.1171635172120253</v>
      </c>
      <c r="F135" s="112">
        <f>'Actuals FS'!F138</f>
        <v>1.1108942562273734</v>
      </c>
      <c r="G135" s="112">
        <f>'Actuals FS'!E138</f>
        <v>1.0889090543976174</v>
      </c>
      <c r="H135" s="112">
        <f>'Forecasted FS'!E165</f>
        <v>1.0209075459197881</v>
      </c>
      <c r="I135" s="112">
        <f>'Forecasted FS'!F165</f>
        <v>1.0024304000458162</v>
      </c>
      <c r="J135" s="112">
        <f>'Forecasted FS'!G165</f>
        <v>0.92382937476714833</v>
      </c>
      <c r="K135" s="112">
        <f>'Forecasted FS'!H165</f>
        <v>0.8531867065124572</v>
      </c>
      <c r="L135" s="112">
        <f>'Forecasted FS'!I165</f>
        <v>0.79915803390854956</v>
      </c>
      <c r="M135" s="112">
        <f>'Forecasted FS'!J165</f>
        <v>0.75174379929509572</v>
      </c>
    </row>
    <row r="136" spans="3:13" ht="12">
      <c r="C136" s="1" t="s">
        <v>246</v>
      </c>
      <c r="D136" s="112">
        <f>'Actuals FS'!H139</f>
        <v>3.4387713588283155</v>
      </c>
      <c r="E136" s="112">
        <f>'Actuals FS'!G139</f>
        <v>3.0420557705522802</v>
      </c>
      <c r="F136" s="112">
        <f>'Actuals FS'!F139</f>
        <v>3.1680737864875415</v>
      </c>
      <c r="G136" s="112">
        <f>'Actuals FS'!E139</f>
        <v>2.6147566563467493</v>
      </c>
      <c r="H136" s="112">
        <f>'Forecasted FS'!E166</f>
        <v>2.1851732699234185</v>
      </c>
      <c r="I136" s="112">
        <f>'Forecasted FS'!F166</f>
        <v>1.9692788031326141</v>
      </c>
      <c r="J136" s="112">
        <f>'Forecasted FS'!G166</f>
        <v>1.8183633574788201</v>
      </c>
      <c r="K136" s="112">
        <f>'Forecasted FS'!H166</f>
        <v>1.7016647821618693</v>
      </c>
      <c r="L136" s="112">
        <f>'Forecasted FS'!I166</f>
        <v>1.6146896885248792</v>
      </c>
      <c r="M136" s="112">
        <f>'Forecasted FS'!J166</f>
        <v>1.5465014369264818</v>
      </c>
    </row>
    <row r="137" spans="3:13" ht="12">
      <c r="C137" s="1" t="s">
        <v>240</v>
      </c>
      <c r="D137" s="105">
        <f>'Actuals FS'!H140</f>
        <v>0.22837351719412446</v>
      </c>
      <c r="E137" s="105">
        <f>'Actuals FS'!G140</f>
        <v>0.2413396506202756</v>
      </c>
      <c r="F137" s="105">
        <f>'Actuals FS'!F140</f>
        <v>-1.8638346240490815E-2</v>
      </c>
      <c r="G137" s="105">
        <f>'Actuals FS'!E140</f>
        <v>0.15071207430340555</v>
      </c>
      <c r="H137" s="105">
        <f>'Forecasted FS'!E167</f>
        <v>0.20718257159841941</v>
      </c>
      <c r="I137" s="105">
        <f>'Forecasted FS'!F167</f>
        <v>0.19303179515701194</v>
      </c>
      <c r="J137" s="105">
        <f>'Forecasted FS'!G167</f>
        <v>0.19047205514271712</v>
      </c>
      <c r="K137" s="105">
        <f>'Forecasted FS'!H167</f>
        <v>0.1807406546060869</v>
      </c>
      <c r="L137" s="105">
        <f>'Forecasted FS'!I167</f>
        <v>0.17367362180057361</v>
      </c>
      <c r="M137" s="105">
        <f>'Forecasted FS'!J167</f>
        <v>0.16516638945666468</v>
      </c>
    </row>
    <row r="138" spans="3:13" ht="12">
      <c r="C138" s="452" t="s">
        <v>278</v>
      </c>
      <c r="D138" s="668"/>
      <c r="E138" s="668"/>
      <c r="F138" s="668"/>
      <c r="G138" s="668"/>
      <c r="H138" s="668"/>
      <c r="I138" s="668"/>
      <c r="J138" s="668"/>
      <c r="K138" s="668"/>
      <c r="L138" s="668"/>
      <c r="M138" s="668"/>
    </row>
    <row r="139" spans="3:13" ht="12">
      <c r="C139" s="1" t="s">
        <v>414</v>
      </c>
      <c r="D139" s="108">
        <f>'Actuals FS'!H142</f>
        <v>201.16000399999999</v>
      </c>
      <c r="E139" s="108">
        <f>'Actuals FS'!G142</f>
        <v>42.67</v>
      </c>
      <c r="F139" s="108">
        <f>'Actuals FS'!F142</f>
        <v>100.55</v>
      </c>
      <c r="G139" s="108">
        <f>'Actuals FS'!D142</f>
        <v>228.97</v>
      </c>
      <c r="H139" s="108">
        <f>'Forecasted FS'!E169</f>
        <v>228.97</v>
      </c>
      <c r="I139" s="108">
        <f>'Forecasted FS'!F169</f>
        <v>241.10198452875937</v>
      </c>
      <c r="J139" s="108">
        <f>'Forecasted FS'!G169</f>
        <v>284.82009873947243</v>
      </c>
      <c r="K139" s="108">
        <f>'Forecasted FS'!H169</f>
        <v>318.58696026646982</v>
      </c>
      <c r="L139" s="108">
        <f>'Forecasted FS'!I169</f>
        <v>354.11716259930097</v>
      </c>
      <c r="M139" s="108">
        <f>'Forecasted FS'!J169</f>
        <v>384.30936616834674</v>
      </c>
    </row>
    <row r="140" spans="3:13" ht="12">
      <c r="C140" s="1" t="s">
        <v>241</v>
      </c>
      <c r="D140" s="108">
        <f>'Actuals FS'!H143</f>
        <v>41.825490196078434</v>
      </c>
      <c r="E140" s="108">
        <f>'Actuals FS'!G143</f>
        <v>64.784466019417479</v>
      </c>
      <c r="F140" s="108">
        <f>'Actuals FS'!F143</f>
        <v>-0.2671508489547551</v>
      </c>
      <c r="G140" s="108">
        <f>'Actuals FS'!E143</f>
        <v>2.8998284407167367</v>
      </c>
      <c r="H140" s="108">
        <f>'Forecasted FS'!E170</f>
        <v>5.5263501539035538</v>
      </c>
      <c r="I140" s="108">
        <f>'Forecasted FS'!F170</f>
        <v>6.1254358272950569</v>
      </c>
      <c r="J140" s="108">
        <f>'Forecasted FS'!G170</f>
        <v>7.6169873903751268</v>
      </c>
      <c r="K140" s="108">
        <f>'Forecasted FS'!H170</f>
        <v>8.9684418148688163</v>
      </c>
      <c r="L140" s="108">
        <f>'Forecasted FS'!I170</f>
        <v>10.493306759328849</v>
      </c>
      <c r="M140" s="108">
        <f>'Forecasted FS'!J170</f>
        <v>11.987338166441667</v>
      </c>
    </row>
    <row r="141" spans="3:13" ht="12">
      <c r="C141" s="1" t="s">
        <v>259</v>
      </c>
      <c r="D141" s="108">
        <f>'Actuals FS'!H144</f>
        <v>4.8095073854952881</v>
      </c>
      <c r="E141" s="108">
        <f>'Actuals FS'!G144</f>
        <v>0.65864554609759018</v>
      </c>
      <c r="F141" s="108">
        <f>'Actuals FS'!F144</f>
        <v>-376.37911462160179</v>
      </c>
      <c r="G141" s="108">
        <f>'Actuals FS'!E144</f>
        <v>50.858181101068197</v>
      </c>
      <c r="H141" s="108">
        <f>'Forecasted FS'!E171</f>
        <v>41.432409026465031</v>
      </c>
      <c r="I141" s="108">
        <f>'Forecasted FS'!F171</f>
        <v>39.360788575141775</v>
      </c>
      <c r="J141" s="108">
        <f>'Forecasted FS'!G171</f>
        <v>37.392749146384688</v>
      </c>
      <c r="K141" s="108">
        <f>'Forecasted FS'!H171</f>
        <v>35.523111689065452</v>
      </c>
      <c r="L141" s="108">
        <f>'Forecasted FS'!I171</f>
        <v>33.746956104612181</v>
      </c>
      <c r="M141" s="108">
        <f>'Forecasted FS'!J171</f>
        <v>32.059608299381573</v>
      </c>
    </row>
    <row r="142" spans="3:13" ht="12">
      <c r="C142" s="1" t="s">
        <v>243</v>
      </c>
      <c r="D142" s="112">
        <f>'Actuals FS'!H145</f>
        <v>0</v>
      </c>
      <c r="E142" s="112">
        <f>'Actuals FS'!G145</f>
        <v>0</v>
      </c>
      <c r="F142" s="112">
        <f>'Actuals FS'!F145</f>
        <v>0</v>
      </c>
      <c r="G142" s="112">
        <f>'Actuals FS'!E145</f>
        <v>0</v>
      </c>
      <c r="H142" s="112">
        <f>'Forecasted FS'!E172</f>
        <v>0</v>
      </c>
      <c r="I142" s="112">
        <f>'Forecasted FS'!F172</f>
        <v>0</v>
      </c>
      <c r="J142" s="112">
        <f>'Forecasted FS'!G172</f>
        <v>0</v>
      </c>
      <c r="K142" s="112">
        <f>'Forecasted FS'!H172</f>
        <v>0</v>
      </c>
      <c r="L142" s="112">
        <f>'Forecasted FS'!I172</f>
        <v>0</v>
      </c>
      <c r="M142" s="112">
        <f>'Forecasted FS'!J172</f>
        <v>0</v>
      </c>
    </row>
    <row r="143" spans="3:13" ht="12">
      <c r="C143" s="1" t="s">
        <v>265</v>
      </c>
      <c r="D143" s="49">
        <f>'Actuals FS'!H146</f>
        <v>0</v>
      </c>
      <c r="E143" s="49">
        <f>'Actuals FS'!G146</f>
        <v>0</v>
      </c>
      <c r="F143" s="49">
        <f>'Actuals FS'!F146</f>
        <v>0</v>
      </c>
      <c r="G143" s="49">
        <f>'Actuals FS'!E146</f>
        <v>0</v>
      </c>
      <c r="H143" s="49">
        <f>'Forecasted FS'!E173</f>
        <v>0</v>
      </c>
      <c r="I143" s="49">
        <f>'Forecasted FS'!F173</f>
        <v>0</v>
      </c>
      <c r="J143" s="49">
        <f>'Forecasted FS'!G173</f>
        <v>0</v>
      </c>
      <c r="K143" s="49">
        <f>'Forecasted FS'!H173</f>
        <v>0</v>
      </c>
      <c r="L143" s="49">
        <f>'Forecasted FS'!I173</f>
        <v>0</v>
      </c>
      <c r="M143" s="49">
        <f>'Forecasted FS'!J173</f>
        <v>0</v>
      </c>
    </row>
    <row r="144" spans="3:13" ht="12">
      <c r="C144" s="1" t="s">
        <v>16</v>
      </c>
      <c r="D144" s="49">
        <f>'Actuals FS'!H147</f>
        <v>0</v>
      </c>
      <c r="E144" s="49">
        <f>'Actuals FS'!G147</f>
        <v>0</v>
      </c>
      <c r="F144" s="49">
        <f>'Actuals FS'!F147</f>
        <v>0</v>
      </c>
      <c r="G144" s="49">
        <f>'Actuals FS'!E147</f>
        <v>0</v>
      </c>
      <c r="H144" s="49">
        <f>'Forecasted FS'!E174</f>
        <v>0</v>
      </c>
      <c r="I144" s="49">
        <f>'Forecasted FS'!F174</f>
        <v>0</v>
      </c>
      <c r="J144" s="49">
        <f>'Forecasted FS'!G174</f>
        <v>0</v>
      </c>
      <c r="K144" s="49">
        <f>'Forecasted FS'!H174</f>
        <v>0</v>
      </c>
      <c r="L144" s="49">
        <f>'Forecasted FS'!I174</f>
        <v>0</v>
      </c>
      <c r="M144" s="49">
        <f>'Forecasted FS'!J174</f>
        <v>0</v>
      </c>
    </row>
    <row r="145" spans="3:13" ht="12">
      <c r="C145" s="452" t="s">
        <v>277</v>
      </c>
      <c r="D145" s="668"/>
      <c r="E145" s="668"/>
      <c r="F145" s="668"/>
      <c r="G145" s="668"/>
      <c r="H145" s="668"/>
      <c r="I145" s="668"/>
      <c r="J145" s="668"/>
      <c r="K145" s="668"/>
      <c r="L145" s="668"/>
      <c r="M145" s="668"/>
    </row>
    <row r="146" spans="3:13" ht="12">
      <c r="C146" s="1" t="s">
        <v>69</v>
      </c>
      <c r="D146" s="112" t="str">
        <f>'Actuals FS'!H149</f>
        <v>n.a</v>
      </c>
      <c r="E146" s="105">
        <f>'Actuals FS'!G149</f>
        <v>0.21695366571345676</v>
      </c>
      <c r="F146" s="105">
        <f>'Actuals FS'!F149</f>
        <v>9.399517263985091E-2</v>
      </c>
      <c r="G146" s="105">
        <f>'Actuals FS'!E149</f>
        <v>0.1182957412988368</v>
      </c>
      <c r="H146" s="105">
        <f>'Forecasted FS'!E176</f>
        <v>0.1099089224666614</v>
      </c>
      <c r="I146" s="105">
        <f>'Forecasted FS'!F176</f>
        <v>7.0000000000000007E-2</v>
      </c>
      <c r="J146" s="105">
        <f>'Forecasted FS'!G176</f>
        <v>9.0000000000000135E-2</v>
      </c>
      <c r="K146" s="105">
        <f>'Forecasted FS'!H176</f>
        <v>9.0000000000000149E-2</v>
      </c>
      <c r="L146" s="105">
        <f>'Forecasted FS'!I176</f>
        <v>0.10000000000000016</v>
      </c>
      <c r="M146" s="105">
        <f>'Forecasted FS'!J176</f>
        <v>0.10000000000000014</v>
      </c>
    </row>
    <row r="147" spans="3:13" ht="12">
      <c r="C147" s="1" t="s">
        <v>275</v>
      </c>
      <c r="D147" s="105">
        <f>'Actuals FS'!H150</f>
        <v>0.53909973475900363</v>
      </c>
      <c r="E147" s="105">
        <f>'Actuals FS'!G150</f>
        <v>0.50638539702270224</v>
      </c>
      <c r="F147" s="105">
        <f>'Actuals FS'!F150</f>
        <v>0.48038553804308703</v>
      </c>
      <c r="G147" s="105">
        <f>'Actuals FS'!E150</f>
        <v>0.44551614951677582</v>
      </c>
      <c r="H147" s="105">
        <f>'Forecasted FS'!E177</f>
        <v>0.42869996347727674</v>
      </c>
      <c r="I147" s="105">
        <f>'Forecasted FS'!F177</f>
        <v>-0.59332395965708828</v>
      </c>
      <c r="J147" s="105">
        <f>'Forecasted FS'!G177</f>
        <v>-0.58686816793213814</v>
      </c>
      <c r="K147" s="105">
        <f>'Forecasted FS'!H177</f>
        <v>-0.5799977688146607</v>
      </c>
      <c r="L147" s="105">
        <f>'Forecasted FS'!I177</f>
        <v>-0.57202908079512893</v>
      </c>
      <c r="M147" s="105">
        <f>'Forecasted FS'!J177</f>
        <v>-0.56379382128522459</v>
      </c>
    </row>
    <row r="148" spans="3:13" ht="12">
      <c r="C148" s="1" t="s">
        <v>276</v>
      </c>
      <c r="D148" s="142">
        <f>'Actuals FS'!H151</f>
        <v>152757</v>
      </c>
      <c r="E148" s="142">
        <f>'Actuals FS'!G151</f>
        <v>197478</v>
      </c>
      <c r="F148" s="142">
        <f>'Actuals FS'!F151</f>
        <v>225152</v>
      </c>
      <c r="G148" s="142">
        <f>'Actuals FS'!E151</f>
        <v>270046</v>
      </c>
      <c r="H148" s="142">
        <f>'Forecasted FS'!E178</f>
        <v>311671</v>
      </c>
      <c r="I148" s="142">
        <f>'Forecasted FS'!F178</f>
        <v>334481.90370000002</v>
      </c>
      <c r="J148" s="142">
        <f>'Forecasted FS'!G178</f>
        <v>368305.53294150002</v>
      </c>
      <c r="K148" s="142">
        <f>'Forecasted FS'!H178</f>
        <v>405508.11202650011</v>
      </c>
      <c r="L148" s="142">
        <f>'Forecasted FS'!I178</f>
        <v>450519.51246144169</v>
      </c>
      <c r="M148" s="142">
        <f>'Forecasted FS'!J178</f>
        <v>500478.11186310661</v>
      </c>
    </row>
    <row r="149" spans="3:13" ht="12">
      <c r="C149" s="1" t="s">
        <v>270</v>
      </c>
      <c r="D149" s="105">
        <f>'Actuals FS'!H152</f>
        <v>0.3956779186870571</v>
      </c>
      <c r="E149" s="105">
        <f>'Actuals FS'!G152</f>
        <v>0.42032514441639601</v>
      </c>
      <c r="F149" s="105">
        <f>'Actuals FS'!F152</f>
        <v>0.43805339865326287</v>
      </c>
      <c r="G149" s="105">
        <f>'Actuals FS'!E152</f>
        <v>0.46982088955000567</v>
      </c>
      <c r="H149" s="105">
        <f>'Forecasted FS'!E179</f>
        <v>0.48854393464156787</v>
      </c>
      <c r="I149" s="105">
        <f>'Forecasted FS'!F179</f>
        <v>0.49000000000000005</v>
      </c>
      <c r="J149" s="105">
        <f>'Forecasted FS'!G179</f>
        <v>0.49499999999999994</v>
      </c>
      <c r="K149" s="105">
        <f>'Forecasted FS'!H179</f>
        <v>0.5</v>
      </c>
      <c r="L149" s="105">
        <f>'Forecasted FS'!I179</f>
        <v>0.505</v>
      </c>
      <c r="M149" s="105">
        <f>'Forecasted FS'!J179</f>
        <v>0.51</v>
      </c>
    </row>
    <row r="150" spans="3:13" ht="12">
      <c r="C150" s="1" t="s">
        <v>271</v>
      </c>
      <c r="D150" s="105">
        <f>'Actuals FS'!H153</f>
        <v>0.33655818724356584</v>
      </c>
      <c r="E150" s="105">
        <f>'Actuals FS'!G153</f>
        <v>0.36723908203532402</v>
      </c>
      <c r="F150" s="105">
        <f>'Actuals FS'!F153</f>
        <v>0.41176653702554367</v>
      </c>
      <c r="G150" s="105">
        <f>'Actuals FS'!E153</f>
        <v>0.40437206955644284</v>
      </c>
      <c r="H150" s="105">
        <f>'Forecasted FS'!E180</f>
        <v>0.37982848427563526</v>
      </c>
      <c r="I150" s="105">
        <f>'Forecasted FS'!F180</f>
        <v>0.36543823246602741</v>
      </c>
      <c r="J150" s="105">
        <f>'Forecasted FS'!G180</f>
        <v>0.35067693862816496</v>
      </c>
      <c r="K150" s="105">
        <f>'Forecasted FS'!H180</f>
        <v>0.34160632558925819</v>
      </c>
      <c r="L150" s="105">
        <f>'Forecasted FS'!I180</f>
        <v>0.33377613208663459</v>
      </c>
      <c r="M150" s="105">
        <f>'Forecasted FS'!J180</f>
        <v>0.32926541726498659</v>
      </c>
    </row>
    <row r="151" spans="3:13" ht="12">
      <c r="C151" s="1" t="s">
        <v>272</v>
      </c>
      <c r="D151" s="105">
        <f>'Actuals FS'!H154</f>
        <v>0.11070703303079282</v>
      </c>
      <c r="E151" s="105">
        <f>'Actuals FS'!G154</f>
        <v>0.11930475797216818</v>
      </c>
      <c r="F151" s="105">
        <f>'Actuals FS'!F154</f>
        <v>0.14244245432241923</v>
      </c>
      <c r="G151" s="105">
        <f>'Actuals FS'!E154</f>
        <v>0.14896352549214054</v>
      </c>
      <c r="H151" s="105">
        <f>'Forecasted FS'!E181</f>
        <v>0.13879261833440706</v>
      </c>
      <c r="I151" s="105">
        <f>'Forecasted FS'!F181</f>
        <v>0.22633547334716389</v>
      </c>
      <c r="J151" s="105">
        <f>'Forecasted FS'!G181</f>
        <v>0.17574505895430323</v>
      </c>
      <c r="K151" s="105">
        <f>'Forecasted FS'!H181</f>
        <v>0.13727462678320526</v>
      </c>
      <c r="L151" s="105">
        <f>'Forecasted FS'!I181</f>
        <v>0.1068789848492102</v>
      </c>
      <c r="M151" s="105">
        <f>'Forecasted FS'!J181</f>
        <v>8.3702819952763796E-2</v>
      </c>
    </row>
    <row r="152" spans="3:13" ht="12">
      <c r="C152" s="1" t="s">
        <v>381</v>
      </c>
      <c r="D152" s="105">
        <f>'Actuals FS'!H155</f>
        <v>6.141468772017075E-3</v>
      </c>
      <c r="E152" s="105">
        <f>'Actuals FS'!G155</f>
        <v>3.1145838211067169E-2</v>
      </c>
      <c r="F152" s="105">
        <f>'Actuals FS'!F155</f>
        <v>-3.2697579491928724E-2</v>
      </c>
      <c r="G152" s="105">
        <f>'Actuals FS'!E155</f>
        <v>1.6319145419591674E-3</v>
      </c>
      <c r="H152" s="105">
        <f>'Forecasted FS'!E182</f>
        <v>-3.5268724165659548E-3</v>
      </c>
      <c r="I152" s="105">
        <f>'Forecasted FS'!F182</f>
        <v>-2.9959737400286745E-3</v>
      </c>
      <c r="J152" s="105">
        <f>'Forecasted FS'!G182</f>
        <v>-2.716263293711912E-3</v>
      </c>
      <c r="K152" s="105">
        <f>'Forecasted FS'!H182</f>
        <v>-2.4623181889262629E-3</v>
      </c>
      <c r="L152" s="105">
        <f>'Forecasted FS'!I182</f>
        <v>-2.2384710808420567E-3</v>
      </c>
      <c r="M152" s="105">
        <f>'Forecasted FS'!J182</f>
        <v>-2.0349737098564152E-3</v>
      </c>
    </row>
    <row r="153" spans="3:13" ht="12">
      <c r="C153" s="1" t="s">
        <v>95</v>
      </c>
      <c r="D153" s="142">
        <f>'Actuals FS'!H156</f>
        <v>42001</v>
      </c>
      <c r="E153" s="142">
        <f>'Actuals FS'!G156</f>
        <v>61197</v>
      </c>
      <c r="F153" s="142">
        <f>'Actuals FS'!F156</f>
        <v>40049</v>
      </c>
      <c r="G153" s="142">
        <f>'Actuals FS'!E156</f>
        <v>68786</v>
      </c>
      <c r="H153" s="142">
        <f>'Forecasted FS'!E183</f>
        <v>100372</v>
      </c>
      <c r="I153" s="142">
        <f>'Forecasted FS'!F183</f>
        <v>103809.95574889764</v>
      </c>
      <c r="J153" s="142">
        <f>'Forecasted FS'!G183</f>
        <v>120800.58528935187</v>
      </c>
      <c r="K153" s="142">
        <f>'Forecasted FS'!H183</f>
        <v>136973.97434976354</v>
      </c>
      <c r="L153" s="142">
        <f>'Forecasted FS'!I183</f>
        <v>154837.11845206271</v>
      </c>
      <c r="M153" s="142">
        <f>'Forecasted FS'!J183</f>
        <v>172734.72797765583</v>
      </c>
    </row>
    <row r="154" spans="3:13" ht="12">
      <c r="C154" s="1" t="s">
        <v>273</v>
      </c>
      <c r="D154" s="49">
        <f>'Actuals FS'!H157</f>
        <v>0.10879284263749016</v>
      </c>
      <c r="E154" s="49">
        <f>'Actuals FS'!G157</f>
        <v>0.13025571386610249</v>
      </c>
      <c r="F154" s="49">
        <f>'Actuals FS'!F157</f>
        <v>7.7918919497337466E-2</v>
      </c>
      <c r="G154" s="49">
        <f>'Actuals FS'!E157</f>
        <v>0.11967257322303122</v>
      </c>
      <c r="H154" s="49">
        <f>'Forecasted FS'!E184</f>
        <v>0.15733299475358134</v>
      </c>
      <c r="I154" s="49">
        <f>'Forecasted FS'!F184</f>
        <v>0.15207662284349718</v>
      </c>
      <c r="J154" s="49">
        <f>'Forecasted FS'!G184</f>
        <v>0.16235512195720109</v>
      </c>
      <c r="K154" s="49">
        <f>'Forecasted FS'!H184</f>
        <v>0.16889178081450099</v>
      </c>
      <c r="L154" s="49">
        <f>'Forecasted FS'!I184</f>
        <v>0.17356128348599309</v>
      </c>
      <c r="M154" s="49">
        <f>'Forecasted FS'!J184</f>
        <v>0.1760211069784019</v>
      </c>
    </row>
    <row r="155" spans="3:13" ht="12">
      <c r="C155" s="1" t="s">
        <v>99</v>
      </c>
      <c r="D155" s="142">
        <f>'Actuals FS'!H158</f>
        <v>18090.21</v>
      </c>
      <c r="E155" s="142">
        <f>'Actuals FS'!G158</f>
        <v>19654.41</v>
      </c>
      <c r="F155" s="142">
        <f>'Actuals FS'!F158</f>
        <v>9675.92</v>
      </c>
      <c r="G155" s="142">
        <f>'Actuals FS'!E158</f>
        <v>29113.08</v>
      </c>
      <c r="H155" s="142">
        <f>'Forecasted FS'!E185</f>
        <v>54188.47</v>
      </c>
      <c r="I155" s="142">
        <f>'Forecasted FS'!F185</f>
        <v>66527.054743000044</v>
      </c>
      <c r="J155" s="142">
        <f>'Forecasted FS'!G185</f>
        <v>84130.192999705032</v>
      </c>
      <c r="K155" s="142">
        <f>'Forecasted FS'!H185</f>
        <v>100716.99178064932</v>
      </c>
      <c r="L155" s="142">
        <f>'Forecasted FS'!I185</f>
        <v>119831.06619050527</v>
      </c>
      <c r="M155" s="142">
        <f>'Forecasted FS'!J185</f>
        <v>139187.35836085278</v>
      </c>
    </row>
    <row r="156" spans="3:13" ht="12">
      <c r="C156" s="1" t="s">
        <v>274</v>
      </c>
      <c r="D156" s="49">
        <f>'Actuals FS'!H159</f>
        <v>-0.1184134337000579</v>
      </c>
      <c r="E156" s="49">
        <f>'Actuals FS'!G159</f>
        <v>-0.12557993237398757</v>
      </c>
      <c r="F156" s="49">
        <f>'Actuals FS'!F159</f>
        <v>-0.54194743935309975</v>
      </c>
      <c r="G156" s="49">
        <f>'Actuals FS'!E159</f>
        <v>-0.18957850733551668</v>
      </c>
      <c r="H156" s="49">
        <f>'Forecasted FS'!E186</f>
        <v>-0.13503075174162707</v>
      </c>
      <c r="I156" s="49">
        <f>'Forecasted FS'!F186</f>
        <v>-0.21</v>
      </c>
      <c r="J156" s="49">
        <f>'Forecasted FS'!G186</f>
        <v>-0.21</v>
      </c>
      <c r="K156" s="49">
        <f>'Forecasted FS'!H186</f>
        <v>-0.21</v>
      </c>
      <c r="L156" s="49">
        <f>'Forecasted FS'!I186</f>
        <v>-0.21</v>
      </c>
      <c r="M156" s="49">
        <f>'Forecasted FS'!J186</f>
        <v>-0.21</v>
      </c>
    </row>
    <row r="157" spans="3:13" ht="12">
      <c r="C157" s="1" t="s">
        <v>86</v>
      </c>
      <c r="D157" s="105">
        <f>'Actuals FS'!H160</f>
        <v>-0.10397239835882134</v>
      </c>
      <c r="E157" s="105">
        <f>'Actuals FS'!G160</f>
        <v>-0.12994921480901278</v>
      </c>
      <c r="F157" s="105">
        <f>'Actuals FS'!F160</f>
        <v>-0.12382705264571008</v>
      </c>
      <c r="G157" s="105">
        <f>'Actuals FS'!E160</f>
        <v>-9.1736910322990334E-2</v>
      </c>
      <c r="H157" s="105">
        <f>'Forecasted FS'!E187</f>
        <v>-0.13010083720113674</v>
      </c>
      <c r="I157" s="105">
        <f>'Forecasted FS'!F187</f>
        <v>-0.12853962715472311</v>
      </c>
      <c r="J157" s="105">
        <f>'Forecasted FS'!G187</f>
        <v>-0.12699715162886643</v>
      </c>
      <c r="K157" s="105">
        <f>'Forecasted FS'!H187</f>
        <v>-0.12547318580932004</v>
      </c>
      <c r="L157" s="105">
        <f>'Forecasted FS'!I187</f>
        <v>-0.1239675075796082</v>
      </c>
      <c r="M157" s="105">
        <f>'Forecasted FS'!J187</f>
        <v>-0.1224798974886529</v>
      </c>
    </row>
    <row r="158" spans="3:13" ht="12">
      <c r="C158" s="1" t="s">
        <v>673</v>
      </c>
      <c r="D158" s="105">
        <f>'Actuals FS'!H161</f>
        <v>0.15157331426913673</v>
      </c>
      <c r="E158" s="105">
        <f>'Actuals FS'!G161</f>
        <v>0.15987118525739535</v>
      </c>
      <c r="F158" s="105">
        <f>'Actuals FS'!F161</f>
        <v>0.16401126107283703</v>
      </c>
      <c r="G158" s="105">
        <f>'Actuals FS'!E161</f>
        <v>0.1576572109571405</v>
      </c>
      <c r="H158" s="105">
        <f>'Forecasted FS'!E188</f>
        <v>0.15440647439725749</v>
      </c>
      <c r="I158" s="105">
        <f>'Forecasted FS'!F188</f>
        <v>0.16652810416302349</v>
      </c>
      <c r="J158" s="105">
        <f>'Forecasted FS'!G188</f>
        <v>0.176000344950278</v>
      </c>
      <c r="K158" s="105">
        <f>'Forecasted FS'!H188</f>
        <v>0.18568843733286208</v>
      </c>
      <c r="L158" s="105">
        <f>'Forecasted FS'!I188</f>
        <v>0.19379120550738696</v>
      </c>
      <c r="M158" s="105">
        <f>'Forecasted FS'!J188</f>
        <v>0.20189520137405945</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AFBE-F1E4-4D64-9B39-16CCCADAABCB}">
  <sheetPr>
    <tabColor rgb="FFAFDEFF"/>
  </sheetPr>
  <dimension ref="B1:W84"/>
  <sheetViews>
    <sheetView showGridLines="0" zoomScale="144" workbookViewId="0">
      <pane xSplit="3" ySplit="8" topLeftCell="L35" activePane="bottomRight" state="frozen"/>
      <selection pane="topRight" activeCell="D1" sqref="D1"/>
      <selection pane="bottomLeft" activeCell="A9" sqref="A9"/>
      <selection pane="bottomRight" activeCell="M78" sqref="M78"/>
    </sheetView>
  </sheetViews>
  <sheetFormatPr baseColWidth="10" defaultColWidth="8.83203125" defaultRowHeight="12"/>
  <cols>
    <col min="1" max="2" width="3.1640625" style="1" customWidth="1"/>
    <col min="3" max="3" width="30.1640625" style="1" customWidth="1"/>
    <col min="4" max="5" width="10.5" style="1" bestFit="1" customWidth="1"/>
    <col min="6" max="16384" width="8.83203125" style="1"/>
  </cols>
  <sheetData>
    <row r="1" spans="2:23" s="518" customFormat="1"/>
    <row r="2" spans="2:23" s="518" customFormat="1" ht="18">
      <c r="B2" s="541"/>
    </row>
    <row r="3" spans="2:23" s="518" customFormat="1" ht="13">
      <c r="B3" s="542"/>
      <c r="C3" s="461" t="s">
        <v>27</v>
      </c>
    </row>
    <row r="4" spans="2:23" s="518" customFormat="1">
      <c r="B4" s="542"/>
      <c r="C4" s="460" t="s">
        <v>23</v>
      </c>
    </row>
    <row r="5" spans="2:23" s="518" customFormat="1" ht="7.75" customHeight="1">
      <c r="B5" s="542"/>
      <c r="C5" s="457"/>
    </row>
    <row r="6" spans="2:23">
      <c r="B6" s="4"/>
    </row>
    <row r="7" spans="2:23">
      <c r="B7" s="4"/>
    </row>
    <row r="8" spans="2:23">
      <c r="B8" s="303"/>
      <c r="C8" s="303"/>
      <c r="D8" s="289">
        <v>2020</v>
      </c>
      <c r="E8" s="289">
        <f>D8+1</f>
        <v>2021</v>
      </c>
      <c r="F8" s="289">
        <f t="shared" ref="F8:H8" si="0">E8+1</f>
        <v>2022</v>
      </c>
      <c r="G8" s="289">
        <f t="shared" si="0"/>
        <v>2023</v>
      </c>
      <c r="H8" s="289">
        <f t="shared" si="0"/>
        <v>2024</v>
      </c>
      <c r="I8" s="289" t="s">
        <v>640</v>
      </c>
      <c r="J8" s="289" t="s">
        <v>641</v>
      </c>
      <c r="K8" s="289" t="s">
        <v>642</v>
      </c>
      <c r="L8" s="289" t="s">
        <v>643</v>
      </c>
      <c r="M8" s="289" t="s">
        <v>644</v>
      </c>
      <c r="N8" s="290" t="s">
        <v>531</v>
      </c>
    </row>
    <row r="9" spans="2:23" ht="4.75" customHeight="1">
      <c r="C9" s="204"/>
      <c r="D9" s="213"/>
      <c r="E9" s="213"/>
      <c r="F9" s="213"/>
      <c r="G9" s="214"/>
      <c r="H9" s="214"/>
      <c r="I9" s="214"/>
      <c r="J9" s="214"/>
      <c r="K9" s="214"/>
      <c r="L9" s="214"/>
      <c r="M9" s="214"/>
    </row>
    <row r="10" spans="2:23">
      <c r="B10" s="557">
        <v>1</v>
      </c>
      <c r="C10" s="452" t="s">
        <v>135</v>
      </c>
      <c r="D10" s="558"/>
      <c r="E10" s="558"/>
      <c r="F10" s="558"/>
      <c r="G10" s="558"/>
      <c r="H10" s="558"/>
      <c r="I10" s="559"/>
      <c r="J10" s="559"/>
      <c r="K10" s="559"/>
      <c r="L10" s="559"/>
      <c r="M10" s="559"/>
      <c r="N10" s="559"/>
      <c r="R10" s="653"/>
      <c r="S10" s="653"/>
      <c r="T10" s="653"/>
      <c r="U10" s="653"/>
      <c r="V10" s="653"/>
      <c r="W10" s="653"/>
    </row>
    <row r="11" spans="2:23">
      <c r="B11" s="118" t="s">
        <v>232</v>
      </c>
      <c r="C11" s="4" t="s">
        <v>257</v>
      </c>
      <c r="D11" s="112">
        <f>'Actuals FS'!H110</f>
        <v>1.0502274795268425</v>
      </c>
      <c r="E11" s="112">
        <f>'Actuals FS'!G110</f>
        <v>1.1357597739445826</v>
      </c>
      <c r="F11" s="112">
        <f>'Actuals FS'!F110</f>
        <v>0.9446435811136924</v>
      </c>
      <c r="G11" s="112">
        <f>'Actuals FS'!E110</f>
        <v>1.0450772206625152</v>
      </c>
      <c r="H11" s="112">
        <f>'Actuals FS'!D110</f>
        <v>1.0637348061371781</v>
      </c>
      <c r="I11" s="112">
        <f>'Forecasted FS'!F137</f>
        <v>1.3954287991602468</v>
      </c>
      <c r="J11" s="112">
        <f>'Forecasted FS'!G137</f>
        <v>1.7667130695660775</v>
      </c>
      <c r="K11" s="112">
        <f>'Forecasted FS'!H137</f>
        <v>2.13435558537887</v>
      </c>
      <c r="L11" s="112">
        <f>'Forecasted FS'!I137</f>
        <v>2.4933742480372167</v>
      </c>
      <c r="M11" s="112">
        <f>'Forecasted FS'!J137</f>
        <v>2.8387874138229274</v>
      </c>
      <c r="R11" s="4"/>
      <c r="S11" s="112"/>
      <c r="T11" s="112"/>
      <c r="U11" s="112"/>
      <c r="V11" s="112"/>
      <c r="W11" s="112"/>
    </row>
    <row r="12" spans="2:23">
      <c r="B12" s="118" t="s">
        <v>233</v>
      </c>
      <c r="C12" s="4" t="s">
        <v>256</v>
      </c>
      <c r="D12" s="112">
        <f>'Actuals FS'!H111</f>
        <v>0.86195355461486722</v>
      </c>
      <c r="E12" s="112">
        <f>'Actuals FS'!G111</f>
        <v>0.90633039517523517</v>
      </c>
      <c r="F12" s="112">
        <f>'Actuals FS'!F111</f>
        <v>0.72323721145740161</v>
      </c>
      <c r="G12" s="112">
        <f>'Actuals FS'!E111</f>
        <v>0.84304832127676343</v>
      </c>
      <c r="H12" s="112">
        <f>'Actuals FS'!D111</f>
        <v>0.87305426598525337</v>
      </c>
      <c r="I12" s="112">
        <f>'Forecasted FS'!F138</f>
        <v>1.2054592718760175</v>
      </c>
      <c r="J12" s="112">
        <f>'Forecasted FS'!G138</f>
        <v>1.5780883249402236</v>
      </c>
      <c r="K12" s="112">
        <f>'Forecasted FS'!H138</f>
        <v>1.9470853090969542</v>
      </c>
      <c r="L12" s="112">
        <f>'Forecasted FS'!I138</f>
        <v>2.3074681679078455</v>
      </c>
      <c r="M12" s="112">
        <f>'Forecasted FS'!J138</f>
        <v>2.6542552992537747</v>
      </c>
      <c r="R12" s="4"/>
      <c r="S12" s="112"/>
      <c r="T12" s="112"/>
      <c r="U12" s="112"/>
      <c r="V12" s="112"/>
      <c r="W12" s="112"/>
    </row>
    <row r="13" spans="2:23">
      <c r="B13" s="118" t="s">
        <v>234</v>
      </c>
      <c r="C13" s="4" t="s">
        <v>255</v>
      </c>
      <c r="D13" s="112">
        <f>'Actuals FS'!H112</f>
        <v>15.730747290359384</v>
      </c>
      <c r="E13" s="112">
        <f>'Actuals FS'!G112</f>
        <v>14.284211486424859</v>
      </c>
      <c r="F13" s="112">
        <f>'Actuals FS'!F112</f>
        <v>12.133687440982058</v>
      </c>
      <c r="G13" s="112">
        <f>'Actuals FS'!E112</f>
        <v>11.000038275314337</v>
      </c>
      <c r="H13" s="112">
        <f>'Actuals FS'!D112</f>
        <v>11.504914248615895</v>
      </c>
      <c r="I13" s="112">
        <f>'Forecasted FS'!F139</f>
        <v>12.310258246019007</v>
      </c>
      <c r="J13" s="112">
        <f>'Forecasted FS'!G139</f>
        <v>13.41818148816072</v>
      </c>
      <c r="K13" s="112">
        <f>'Forecasted FS'!H139</f>
        <v>14.625817822095186</v>
      </c>
      <c r="L13" s="112">
        <f>'Forecasted FS'!I139</f>
        <v>16.088399604304708</v>
      </c>
      <c r="M13" s="112">
        <f>'Forecasted FS'!J139</f>
        <v>17.697239564735181</v>
      </c>
      <c r="R13" s="4"/>
      <c r="S13" s="112"/>
      <c r="T13" s="112"/>
      <c r="U13" s="112"/>
      <c r="V13" s="112"/>
      <c r="W13" s="112"/>
    </row>
    <row r="14" spans="2:23">
      <c r="B14" s="118" t="s">
        <v>235</v>
      </c>
      <c r="C14" s="4" t="s">
        <v>231</v>
      </c>
      <c r="D14" s="112">
        <f>'Actuals FS'!H113</f>
        <v>23.202966347548593</v>
      </c>
      <c r="E14" s="112">
        <f>'Actuals FS'!G113</f>
        <v>25.552688039299987</v>
      </c>
      <c r="F14" s="112">
        <f>'Actuals FS'!F113</f>
        <v>30.081539661817612</v>
      </c>
      <c r="G14" s="112">
        <f>'Actuals FS'!E113</f>
        <v>33.18170272362709</v>
      </c>
      <c r="H14" s="112">
        <f>'Actuals FS'!D113</f>
        <v>31.725573273517576</v>
      </c>
      <c r="I14" s="112">
        <f>'Forecasted FS'!F140</f>
        <v>29.650068479922968</v>
      </c>
      <c r="J14" s="112">
        <f>'Forecasted FS'!G140</f>
        <v>27.20189768800272</v>
      </c>
      <c r="K14" s="112">
        <f>'Forecasted FS'!H140</f>
        <v>24.955869438534602</v>
      </c>
      <c r="L14" s="112">
        <f>'Forecasted FS'!I140</f>
        <v>22.687154035031455</v>
      </c>
      <c r="M14" s="112">
        <f>'Forecasted FS'!J140</f>
        <v>20.624685486392227</v>
      </c>
      <c r="R14" s="4"/>
      <c r="S14" s="108"/>
      <c r="T14" s="108"/>
      <c r="U14" s="108"/>
      <c r="V14" s="108"/>
      <c r="W14" s="108"/>
    </row>
    <row r="15" spans="2:23" ht="4.75" customHeight="1">
      <c r="C15" s="204"/>
      <c r="D15" s="112"/>
      <c r="E15" s="112"/>
      <c r="F15" s="112"/>
      <c r="G15" s="112"/>
      <c r="H15" s="112"/>
      <c r="I15" s="214"/>
      <c r="J15" s="214"/>
      <c r="K15" s="214"/>
      <c r="L15" s="214"/>
      <c r="M15" s="214"/>
    </row>
    <row r="16" spans="2:23">
      <c r="B16" s="557">
        <f>B10+1</f>
        <v>2</v>
      </c>
      <c r="C16" s="467" t="s">
        <v>227</v>
      </c>
      <c r="D16" s="558"/>
      <c r="E16" s="558"/>
      <c r="F16" s="558"/>
      <c r="G16" s="558"/>
      <c r="H16" s="558"/>
      <c r="I16" s="559"/>
      <c r="J16" s="559"/>
      <c r="K16" s="559"/>
      <c r="L16" s="559"/>
      <c r="M16" s="559"/>
      <c r="N16" s="559"/>
    </row>
    <row r="17" spans="2:21">
      <c r="B17" s="118" t="s">
        <v>232</v>
      </c>
      <c r="C17" s="4" t="s">
        <v>254</v>
      </c>
      <c r="D17" s="112">
        <f>'Actuals FS'!H115</f>
        <v>9.8048749737339769</v>
      </c>
      <c r="E17" s="112">
        <f>'Actuals FS'!G115</f>
        <v>8.3438725490196077</v>
      </c>
      <c r="F17" s="112">
        <f>'Actuals FS'!F115</f>
        <v>8.3950297921813686</v>
      </c>
      <c r="G17" s="112">
        <f>'Actuals FS'!E115</f>
        <v>9.1463773335734437</v>
      </c>
      <c r="H17" s="112">
        <f>'Actuals FS'!D115</f>
        <v>9.5366808908633889</v>
      </c>
      <c r="I17" s="112">
        <f>'Forecasted FS'!F142</f>
        <v>9.584603910415467</v>
      </c>
      <c r="J17" s="112">
        <f>'Forecasted FS'!G142</f>
        <v>9.6327677491612747</v>
      </c>
      <c r="K17" s="112">
        <f>'Forecasted FS'!H142</f>
        <v>9.6811736172475129</v>
      </c>
      <c r="L17" s="112">
        <f>'Forecasted FS'!I142</f>
        <v>9.729822730902022</v>
      </c>
      <c r="M17" s="112">
        <f>'Forecasted FS'!J142</f>
        <v>9.7787163124643435</v>
      </c>
    </row>
    <row r="18" spans="2:21">
      <c r="B18" s="118" t="s">
        <v>233</v>
      </c>
      <c r="C18" s="1" t="s">
        <v>236</v>
      </c>
      <c r="D18" s="108">
        <f>'Actuals FS'!H116</f>
        <v>37.226379834295585</v>
      </c>
      <c r="E18" s="108">
        <f>'Actuals FS'!G116</f>
        <v>43.744675851129458</v>
      </c>
      <c r="F18" s="108">
        <f>'Actuals FS'!F116</f>
        <v>43.4781065744328</v>
      </c>
      <c r="G18" s="108">
        <f>'Actuals FS'!E116</f>
        <v>39.906510161154301</v>
      </c>
      <c r="H18" s="108">
        <f>'Actuals FS'!D116</f>
        <v>38.273273917520719</v>
      </c>
      <c r="I18" s="112">
        <f>'Forecasted FS'!F143</f>
        <v>38.081907547933113</v>
      </c>
      <c r="J18" s="112">
        <f>'Forecasted FS'!G143</f>
        <v>37.891498010193445</v>
      </c>
      <c r="K18" s="112">
        <f>'Forecasted FS'!H143</f>
        <v>37.702040520142475</v>
      </c>
      <c r="L18" s="112">
        <f>'Forecasted FS'!I143</f>
        <v>37.513530317541765</v>
      </c>
      <c r="M18" s="112">
        <f>'Forecasted FS'!J143</f>
        <v>37.325962665954059</v>
      </c>
    </row>
    <row r="19" spans="2:21">
      <c r="B19" s="118" t="s">
        <v>234</v>
      </c>
      <c r="C19" s="1" t="s">
        <v>253</v>
      </c>
      <c r="D19" s="112">
        <f>'Actuals FS'!H117</f>
        <v>1.2019614253023865</v>
      </c>
      <c r="E19" s="112">
        <f>'Actuals FS'!G117</f>
        <v>1.1171635172120253</v>
      </c>
      <c r="F19" s="112">
        <f>'Actuals FS'!F117</f>
        <v>1.1108942562273734</v>
      </c>
      <c r="G19" s="112">
        <f>'Actuals FS'!E117</f>
        <v>1.0889090543976174</v>
      </c>
      <c r="H19" s="112">
        <f>'Actuals FS'!D117</f>
        <v>1.0209075459197881</v>
      </c>
      <c r="I19" s="112">
        <f>'Forecasted FS'!F144</f>
        <v>1.0024304000458162</v>
      </c>
      <c r="J19" s="112">
        <f>'Forecasted FS'!G144</f>
        <v>0.92382937476714833</v>
      </c>
      <c r="K19" s="112">
        <f>'Forecasted FS'!H144</f>
        <v>0.8531867065124572</v>
      </c>
      <c r="L19" s="112">
        <f>'Forecasted FS'!I144</f>
        <v>0.79915803390854956</v>
      </c>
      <c r="M19" s="112">
        <f>'Forecasted FS'!J144</f>
        <v>0.75174379929509572</v>
      </c>
    </row>
    <row r="20" spans="2:21">
      <c r="B20" s="118" t="s">
        <v>235</v>
      </c>
      <c r="C20" s="1" t="s">
        <v>252</v>
      </c>
      <c r="D20" s="112">
        <f>'Actuals FS'!H118</f>
        <v>3.4130523188995174</v>
      </c>
      <c r="E20" s="112">
        <f>'Actuals FS'!G118</f>
        <v>2.9312395106094922</v>
      </c>
      <c r="F20" s="112">
        <f>'Actuals FS'!F118</f>
        <v>2.7527675869640897</v>
      </c>
      <c r="G20" s="112">
        <f>'Actuals FS'!E118</f>
        <v>2.8151309892887055</v>
      </c>
      <c r="H20" s="112">
        <f>'Actuals FS'!D118</f>
        <v>2.5249203490788199</v>
      </c>
      <c r="I20" s="112">
        <f>'Forecasted FS'!F145</f>
        <v>2.5461490738995489</v>
      </c>
      <c r="J20" s="112">
        <f>'Forecasted FS'!G145</f>
        <v>2.4887796660019372</v>
      </c>
      <c r="K20" s="112">
        <f>'Forecasted FS'!H145</f>
        <v>2.4488385349017445</v>
      </c>
      <c r="L20" s="112">
        <f>'Forecasted FS'!I145</f>
        <v>2.4347275488476785</v>
      </c>
      <c r="M20" s="112">
        <f>'Forecasted FS'!J145</f>
        <v>2.418308275506416</v>
      </c>
    </row>
    <row r="21" spans="2:21">
      <c r="B21" s="118" t="s">
        <v>260</v>
      </c>
      <c r="C21" s="1" t="s">
        <v>258</v>
      </c>
      <c r="D21" s="108">
        <f>'Actuals FS'!H119</f>
        <v>113.48452896826929</v>
      </c>
      <c r="E21" s="108">
        <f>'Actuals FS'!G119</f>
        <v>105.42681314807743</v>
      </c>
      <c r="F21" s="108">
        <f>'Actuals FS'!F119</f>
        <v>100.59169548975007</v>
      </c>
      <c r="G21" s="108">
        <f>'Actuals FS'!E119</f>
        <v>101.78567561093263</v>
      </c>
      <c r="H21" s="108">
        <f>'Actuals FS'!D119</f>
        <v>105.5585709557201</v>
      </c>
      <c r="I21" s="112">
        <f>'Forecasted FS'!F146</f>
        <v>105.0307781009415</v>
      </c>
      <c r="J21" s="112">
        <f>'Forecasted FS'!G146</f>
        <v>104.50562421043679</v>
      </c>
      <c r="K21" s="112">
        <f>'Forecasted FS'!H146</f>
        <v>103.9830960893846</v>
      </c>
      <c r="L21" s="112">
        <f>'Forecasted FS'!I146</f>
        <v>103.46318060893768</v>
      </c>
      <c r="M21" s="112">
        <f>'Forecasted FS'!J146</f>
        <v>102.94586470589299</v>
      </c>
    </row>
    <row r="22" spans="2:21">
      <c r="B22" s="118" t="s">
        <v>261</v>
      </c>
      <c r="C22" s="1" t="s">
        <v>242</v>
      </c>
      <c r="D22" s="108">
        <f>'Actuals FS'!H120</f>
        <v>-53.055182786425107</v>
      </c>
      <c r="E22" s="108">
        <f>'Actuals FS'!G120</f>
        <v>-36.129449257647991</v>
      </c>
      <c r="F22" s="108">
        <f>'Actuals FS'!F120</f>
        <v>-27.03204925349965</v>
      </c>
      <c r="G22" s="108">
        <f>'Actuals FS'!E120</f>
        <v>-28.69746272615123</v>
      </c>
      <c r="H22" s="108">
        <f>'Actuals FS'!D120</f>
        <v>-35.559723764681806</v>
      </c>
      <c r="I22" s="112">
        <f>'Forecasted FS'!F147</f>
        <v>-37.298802073085426</v>
      </c>
      <c r="J22" s="112">
        <f>'Forecasted FS'!G147</f>
        <v>-39.412228512240631</v>
      </c>
      <c r="K22" s="112">
        <f>'Forecasted FS'!H147</f>
        <v>-41.325186130707522</v>
      </c>
      <c r="L22" s="112">
        <f>'Forecasted FS'!I147</f>
        <v>-43.262496256364457</v>
      </c>
      <c r="M22" s="112">
        <f>'Forecasted FS'!J147</f>
        <v>-44.995216553546697</v>
      </c>
    </row>
    <row r="23" spans="2:21" ht="4.75" customHeight="1">
      <c r="C23" s="204"/>
      <c r="D23" s="213"/>
      <c r="E23" s="213"/>
      <c r="F23" s="213"/>
      <c r="G23" s="214"/>
      <c r="H23" s="214"/>
      <c r="I23" s="214"/>
      <c r="J23" s="214"/>
      <c r="K23" s="214"/>
      <c r="L23" s="214"/>
      <c r="M23" s="214"/>
    </row>
    <row r="24" spans="2:21">
      <c r="B24" s="557">
        <f>B16+1</f>
        <v>3</v>
      </c>
      <c r="C24" s="467" t="s">
        <v>228</v>
      </c>
      <c r="D24" s="558"/>
      <c r="E24" s="558"/>
      <c r="F24" s="558"/>
      <c r="G24" s="558"/>
      <c r="H24" s="558"/>
      <c r="I24" s="559"/>
      <c r="J24" s="559"/>
      <c r="K24" s="559"/>
      <c r="L24" s="559"/>
      <c r="M24" s="559"/>
      <c r="N24" s="559"/>
    </row>
    <row r="25" spans="2:21">
      <c r="B25" s="118" t="s">
        <v>232</v>
      </c>
      <c r="C25" s="1" t="s">
        <v>237</v>
      </c>
      <c r="D25" s="105">
        <f>'Actuals FS'!H122</f>
        <v>5.9313999751336569E-2</v>
      </c>
      <c r="E25" s="105">
        <f>'Actuals FS'!G122</f>
        <v>5.2954097509269465E-2</v>
      </c>
      <c r="F25" s="105">
        <f>'Actuals FS'!F122</f>
        <v>2.3829581912242232E-2</v>
      </c>
      <c r="G25" s="105">
        <f>'Actuals FS'!E122</f>
        <v>6.4114407996033296E-2</v>
      </c>
      <c r="H25" s="105">
        <f>'Forecasted FS'!E149</f>
        <v>0.1075194487420038</v>
      </c>
      <c r="I25" s="105">
        <f>'Forecasted FS'!F149</f>
        <v>0.12336576591004382</v>
      </c>
      <c r="J25" s="105">
        <f>'Forecasted FS'!G149</f>
        <v>0.14312705974790621</v>
      </c>
      <c r="K25" s="105">
        <f>'Forecasted FS'!H149</f>
        <v>0.15719767278681299</v>
      </c>
      <c r="L25" s="105">
        <f>'Forecasted FS'!I149</f>
        <v>0.17002786628943656</v>
      </c>
      <c r="M25" s="105">
        <f>'Forecasted FS'!J149</f>
        <v>0.17953858111108467</v>
      </c>
    </row>
    <row r="26" spans="2:21">
      <c r="B26" s="118" t="s">
        <v>233</v>
      </c>
      <c r="C26" s="1" t="s">
        <v>238</v>
      </c>
      <c r="D26" s="105">
        <f>'Actuals FS'!H123</f>
        <v>6.6411370040006856E-2</v>
      </c>
      <c r="E26" s="105">
        <f>'Actuals FS'!G123</f>
        <v>7.9334393851846041E-2</v>
      </c>
      <c r="F26" s="105">
        <f>'Actuals FS'!F123</f>
        <v>-5.8831793375479545E-3</v>
      </c>
      <c r="G26" s="105">
        <f>'Actuals FS'!E123</f>
        <v>5.7639044129626754E-2</v>
      </c>
      <c r="H26" s="105">
        <f>'Forecasted FS'!E150</f>
        <v>9.481288026449286E-2</v>
      </c>
      <c r="I26" s="105">
        <f>'Forecasted FS'!F150</f>
        <v>9.8021567514944133E-2</v>
      </c>
      <c r="J26" s="105">
        <f>'Forecasted FS'!G150</f>
        <v>0.10474917147847097</v>
      </c>
      <c r="K26" s="105">
        <f>'Forecasted FS'!H150</f>
        <v>0.10621401847223169</v>
      </c>
      <c r="L26" s="105">
        <f>'Forecasted FS'!I150</f>
        <v>0.1075585129668075</v>
      </c>
      <c r="M26" s="105">
        <f>'Forecasted FS'!J150</f>
        <v>0.10680002327376849</v>
      </c>
    </row>
    <row r="27" spans="2:21" ht="15">
      <c r="B27" s="118" t="s">
        <v>234</v>
      </c>
      <c r="C27" s="1" t="s">
        <v>239</v>
      </c>
      <c r="D27" s="105">
        <f>'Actuals FS'!H124</f>
        <v>5.5252496995316841E-2</v>
      </c>
      <c r="E27" s="105">
        <f>'Actuals FS'!G124</f>
        <v>7.1014128755145567E-2</v>
      </c>
      <c r="F27" s="105">
        <f>'Actuals FS'!F124</f>
        <v>-5.2958950004183018E-3</v>
      </c>
      <c r="G27" s="105">
        <f>'Actuals FS'!E124</f>
        <v>5.2932835755978319E-2</v>
      </c>
      <c r="H27" s="105">
        <f>'Forecasted FS'!E151</f>
        <v>9.2871171971866534E-2</v>
      </c>
      <c r="I27" s="105">
        <f>'Forecasted FS'!F151</f>
        <v>9.7783913487124952E-2</v>
      </c>
      <c r="J27" s="105">
        <f>'Forecasted FS'!G151</f>
        <v>0.11338584195255</v>
      </c>
      <c r="K27" s="105">
        <f>'Forecasted FS'!H151</f>
        <v>0.12449094396512481</v>
      </c>
      <c r="L27" s="105">
        <f>'Forecasted FS'!I151</f>
        <v>0.13458979125912887</v>
      </c>
      <c r="M27" s="105">
        <f>'Forecasted FS'!J151</f>
        <v>0.14206970961904047</v>
      </c>
      <c r="P27"/>
      <c r="Q27"/>
      <c r="R27"/>
      <c r="S27"/>
      <c r="T27"/>
      <c r="U27"/>
    </row>
    <row r="28" spans="2:21">
      <c r="B28" s="118" t="s">
        <v>235</v>
      </c>
      <c r="C28" s="1" t="s">
        <v>240</v>
      </c>
      <c r="D28" s="105">
        <f>'Actuals FS'!H125</f>
        <v>0.22837351719412444</v>
      </c>
      <c r="E28" s="105">
        <f>'Actuals FS'!G125</f>
        <v>0.2413396506202756</v>
      </c>
      <c r="F28" s="105">
        <f>'Actuals FS'!F125</f>
        <v>-1.8638346240490815E-2</v>
      </c>
      <c r="G28" s="105">
        <f>'Actuals FS'!E125</f>
        <v>0.15071207430340558</v>
      </c>
      <c r="H28" s="105">
        <f>'Forecasted FS'!E152</f>
        <v>0.20718257159841941</v>
      </c>
      <c r="I28" s="105">
        <f>'Forecasted FS'!F152</f>
        <v>0.20219793303606545</v>
      </c>
      <c r="J28" s="105">
        <f>'Forecasted FS'!G152</f>
        <v>0.19739358963549755</v>
      </c>
      <c r="K28" s="105">
        <f>'Forecasted FS'!H152</f>
        <v>0.18623385468741457</v>
      </c>
      <c r="L28" s="105">
        <f>'Forecasted FS'!I152</f>
        <v>0.17785674719598341</v>
      </c>
      <c r="M28" s="105">
        <f>'Forecasted FS'!J152</f>
        <v>0.16845037596134996</v>
      </c>
    </row>
    <row r="29" spans="2:21">
      <c r="B29" s="118" t="s">
        <v>260</v>
      </c>
      <c r="C29" s="1" t="s">
        <v>280</v>
      </c>
      <c r="D29" s="105">
        <f>'Actuals FS'!H126</f>
        <v>0.10810322572934469</v>
      </c>
      <c r="E29" s="105">
        <f>'Actuals FS'!G126</f>
        <v>8.8053841914976547E-2</v>
      </c>
      <c r="F29" s="105">
        <f>'Actuals FS'!F126</f>
        <v>3.6228410107795012E-2</v>
      </c>
      <c r="G29" s="105">
        <f>'Actuals FS'!E126</f>
        <v>8.7275703288006337E-2</v>
      </c>
      <c r="H29" s="105">
        <f>'Forecasted FS'!E153</f>
        <v>0.12983254746365352</v>
      </c>
      <c r="I29" s="105">
        <f>'Forecasted FS'!F153</f>
        <v>0.17278183148881943</v>
      </c>
      <c r="J29" s="105">
        <f>'Forecasted FS'!G153</f>
        <v>0.17278603188162223</v>
      </c>
      <c r="K29" s="105">
        <f>'Forecasted FS'!H153</f>
        <v>0.16644980419865751</v>
      </c>
      <c r="L29" s="105">
        <f>'Forecasted FS'!I153</f>
        <v>0.16198465940933476</v>
      </c>
      <c r="M29" s="105">
        <f>'Forecasted FS'!J153</f>
        <v>0.15583335121325628</v>
      </c>
    </row>
    <row r="30" spans="2:21">
      <c r="B30" s="118" t="s">
        <v>261</v>
      </c>
      <c r="C30" s="1" t="s">
        <v>269</v>
      </c>
      <c r="D30" s="105">
        <f>'Actuals FS'!H127</f>
        <v>0.22837351719412444</v>
      </c>
      <c r="E30" s="105">
        <f>'Actuals FS'!G127</f>
        <v>0.2413396506202756</v>
      </c>
      <c r="F30" s="105">
        <f>'Actuals FS'!F127</f>
        <v>-1.8638346240490815E-2</v>
      </c>
      <c r="G30" s="105">
        <f>'Actuals FS'!E127</f>
        <v>0.15071207430340558</v>
      </c>
      <c r="H30" s="105">
        <f>'Forecasted FS'!E154</f>
        <v>0.20718257159841941</v>
      </c>
      <c r="I30" s="105">
        <f>'Forecasted FS'!F154</f>
        <v>0.20219793303606545</v>
      </c>
      <c r="J30" s="105">
        <f>'Forecasted FS'!G154</f>
        <v>0.19739358963549755</v>
      </c>
      <c r="K30" s="105">
        <f>'Forecasted FS'!H154</f>
        <v>0.18623385468741457</v>
      </c>
      <c r="L30" s="105">
        <f>'Forecasted FS'!I154</f>
        <v>0.17785674719598341</v>
      </c>
      <c r="M30" s="105">
        <f>'Forecasted FS'!J154</f>
        <v>0.16845037596134996</v>
      </c>
    </row>
    <row r="31" spans="2:21" ht="4.75" customHeight="1">
      <c r="C31" s="204"/>
      <c r="D31" s="213"/>
      <c r="E31" s="213"/>
      <c r="F31" s="213"/>
      <c r="G31" s="214"/>
      <c r="H31" s="214"/>
      <c r="I31" s="214"/>
      <c r="J31" s="214"/>
      <c r="K31" s="214"/>
      <c r="L31" s="214"/>
      <c r="M31" s="214"/>
    </row>
    <row r="32" spans="2:21">
      <c r="B32" s="557">
        <f>B24+1</f>
        <v>4</v>
      </c>
      <c r="C32" s="467" t="s">
        <v>229</v>
      </c>
      <c r="D32" s="558"/>
      <c r="E32" s="558"/>
      <c r="F32" s="558"/>
      <c r="G32" s="558"/>
      <c r="H32" s="558"/>
      <c r="I32" s="559"/>
      <c r="J32" s="559"/>
      <c r="K32" s="559"/>
      <c r="L32" s="559"/>
      <c r="M32" s="559"/>
      <c r="N32" s="559"/>
    </row>
    <row r="33" spans="2:14">
      <c r="B33" s="118" t="s">
        <v>232</v>
      </c>
      <c r="C33" s="1" t="s">
        <v>251</v>
      </c>
      <c r="D33" s="105">
        <f>'Actuals FS'!H129</f>
        <v>9.9055091144009094E-2</v>
      </c>
      <c r="E33" s="105">
        <f>'Actuals FS'!G129</f>
        <v>0.11590563763081116</v>
      </c>
      <c r="F33" s="105">
        <f>'Actuals FS'!F129</f>
        <v>0.14513427351812827</v>
      </c>
      <c r="G33" s="105">
        <f>'Actuals FS'!E129</f>
        <v>0.11047372947822694</v>
      </c>
      <c r="H33" s="105">
        <f>'Forecasted FS'!E156</f>
        <v>8.4211082199541043E-2</v>
      </c>
      <c r="I33" s="105">
        <f>'Forecasted FS'!F156</f>
        <v>8.0648510202822418E-2</v>
      </c>
      <c r="J33" s="105">
        <f>'Forecasted FS'!G156</f>
        <v>7.3888189380762664E-2</v>
      </c>
      <c r="K33" s="105">
        <f>'Forecasted FS'!H156</f>
        <v>6.6226109719467324E-2</v>
      </c>
      <c r="L33" s="105">
        <f>'Forecasted FS'!I156</f>
        <v>5.7935222991506566E-2</v>
      </c>
      <c r="M33" s="105">
        <f>'Forecasted FS'!J156</f>
        <v>5.0202978975918439E-2</v>
      </c>
    </row>
    <row r="34" spans="2:14">
      <c r="B34" s="118" t="s">
        <v>233</v>
      </c>
      <c r="C34" s="1" t="s">
        <v>250</v>
      </c>
      <c r="D34" s="654">
        <f>'Actuals FS'!H130</f>
        <v>3.4387713588283155</v>
      </c>
      <c r="E34" s="654">
        <f>'Actuals FS'!G130</f>
        <v>3.0420557705522802</v>
      </c>
      <c r="F34" s="654">
        <f>'Actuals FS'!F130</f>
        <v>3.1680737864875415</v>
      </c>
      <c r="G34" s="654">
        <f>'Actuals FS'!E130</f>
        <v>2.6147566563467493</v>
      </c>
      <c r="H34" s="654">
        <f>'Forecasted FS'!E157</f>
        <v>2.1851732699234185</v>
      </c>
      <c r="I34" s="654">
        <f>'Forecasted FS'!F157</f>
        <v>1.9692788031326141</v>
      </c>
      <c r="J34" s="654">
        <f>'Forecasted FS'!G157</f>
        <v>1.8183633574788201</v>
      </c>
      <c r="K34" s="654">
        <f>'Forecasted FS'!H157</f>
        <v>1.7016647821618693</v>
      </c>
      <c r="L34" s="654">
        <f>'Forecasted FS'!I157</f>
        <v>1.6146896885248792</v>
      </c>
      <c r="M34" s="654">
        <f>'Forecasted FS'!J157</f>
        <v>1.5465014369264818</v>
      </c>
    </row>
    <row r="35" spans="2:14">
      <c r="B35" s="118" t="s">
        <v>234</v>
      </c>
      <c r="C35" s="1" t="s">
        <v>249</v>
      </c>
      <c r="D35" s="105">
        <f>'Actuals FS'!H131</f>
        <v>0.79888875544402371</v>
      </c>
      <c r="E35" s="105">
        <f>'Actuals FS'!G131</f>
        <v>0.74480917229464427</v>
      </c>
      <c r="F35" s="105">
        <f>'Actuals FS'!F131</f>
        <v>0.69826056088036914</v>
      </c>
      <c r="G35" s="105">
        <f>'Actuals FS'!E131</f>
        <v>0.73877284068968918</v>
      </c>
      <c r="H35" s="105">
        <f>'Forecasted FS'!E158</f>
        <v>0.77322950692511228</v>
      </c>
      <c r="I35" s="105">
        <f>'Forecasted FS'!F158</f>
        <v>0.76968316295348393</v>
      </c>
      <c r="J35" s="105">
        <f>'Forecasted FS'!G158</f>
        <v>0.76990136914642815</v>
      </c>
      <c r="K35" s="105">
        <f>'Forecasted FS'!H158</f>
        <v>0.7772493029790678</v>
      </c>
      <c r="L35" s="105">
        <f>'Forecasted FS'!I158</f>
        <v>0.7891017523208459</v>
      </c>
      <c r="M35" s="105">
        <f>'Forecasted FS'!J158</f>
        <v>0.80191812384571126</v>
      </c>
    </row>
    <row r="36" spans="2:14">
      <c r="B36" s="118" t="s">
        <v>235</v>
      </c>
      <c r="C36" s="1" t="s">
        <v>248</v>
      </c>
      <c r="D36" s="654">
        <f>'Actuals FS'!H132</f>
        <v>-13.903460837887067</v>
      </c>
      <c r="E36" s="654">
        <f>'Actuals FS'!G132</f>
        <v>-13.752902155887231</v>
      </c>
      <c r="F36" s="654">
        <f>'Actuals FS'!F132</f>
        <v>-5.1744824672581329</v>
      </c>
      <c r="G36" s="654">
        <f>'Actuals FS'!E132</f>
        <v>-11.581395348837209</v>
      </c>
      <c r="H36" s="654">
        <f>'Forecasted FS'!E159</f>
        <v>-28.509143807148796</v>
      </c>
      <c r="I36" s="654">
        <f>'Forecasted FS'!F159</f>
        <v>-41.177185321011223</v>
      </c>
      <c r="J36" s="654">
        <f>'Forecasted FS'!G159</f>
        <v>-52.692631115415843</v>
      </c>
      <c r="K36" s="654">
        <f>'Forecasted FS'!H159</f>
        <v>-63.841331917936159</v>
      </c>
      <c r="L36" s="654">
        <f>'Forecasted FS'!I159</f>
        <v>-75.957142240799612</v>
      </c>
      <c r="M36" s="654">
        <f>'Forecasted FS'!J159</f>
        <v>-88.226486780388257</v>
      </c>
    </row>
    <row r="37" spans="2:14">
      <c r="B37" s="118" t="s">
        <v>260</v>
      </c>
      <c r="C37" s="1" t="s">
        <v>163</v>
      </c>
      <c r="D37" s="655">
        <f>'Actuals FS'!H133</f>
        <v>31816</v>
      </c>
      <c r="E37" s="655">
        <f>'Actuals FS'!G133</f>
        <v>48744</v>
      </c>
      <c r="F37" s="655">
        <f>'Actuals FS'!F133</f>
        <v>67150</v>
      </c>
      <c r="G37" s="655">
        <f>'Actuals FS'!E133</f>
        <v>58314</v>
      </c>
      <c r="H37" s="655">
        <f>'Forecasted FS'!E160</f>
        <v>52623</v>
      </c>
      <c r="I37" s="655">
        <f>'Forecasted FS'!F160</f>
        <v>57214</v>
      </c>
      <c r="J37" s="655">
        <f>'Forecasted FS'!G160</f>
        <v>61805</v>
      </c>
      <c r="K37" s="655">
        <f>'Forecasted FS'!H160</f>
        <v>64100.5</v>
      </c>
      <c r="L37" s="655">
        <f>'Forecasted FS'!I160</f>
        <v>65248.25</v>
      </c>
      <c r="M37" s="655">
        <f>'Forecasted FS'!J160</f>
        <v>65822.125</v>
      </c>
    </row>
    <row r="38" spans="2:14">
      <c r="B38" s="118" t="s">
        <v>261</v>
      </c>
      <c r="C38" s="1" t="s">
        <v>245</v>
      </c>
      <c r="D38" s="654">
        <f>'Actuals FS'!H134</f>
        <v>0.7575057736720554</v>
      </c>
      <c r="E38" s="654">
        <f>'Actuals FS'!G134</f>
        <v>0.79650963282513854</v>
      </c>
      <c r="F38" s="654">
        <f>'Actuals FS'!F134</f>
        <v>1.6766960473420061</v>
      </c>
      <c r="G38" s="654">
        <f>'Actuals FS'!E134</f>
        <v>0.84775971854737886</v>
      </c>
      <c r="H38" s="654">
        <f>'Forecasted FS'!E161</f>
        <v>0.52427967959191801</v>
      </c>
      <c r="I38" s="654">
        <f>'Forecasted FS'!F161</f>
        <v>0.55114174346045375</v>
      </c>
      <c r="J38" s="654">
        <f>'Forecasted FS'!G161</f>
        <v>0.51162831580624701</v>
      </c>
      <c r="K38" s="654">
        <f>'Forecasted FS'!H161</f>
        <v>0.46797576185034351</v>
      </c>
      <c r="L38" s="654">
        <f>'Forecasted FS'!I161</f>
        <v>0.42139927849536118</v>
      </c>
      <c r="M38" s="654">
        <f>'Forecasted FS'!J161</f>
        <v>0.38105901326636787</v>
      </c>
    </row>
    <row r="39" spans="2:14">
      <c r="B39" s="118" t="s">
        <v>262</v>
      </c>
      <c r="C39" s="1" t="s">
        <v>244</v>
      </c>
      <c r="D39" s="654">
        <f>'Actuals FS'!H135</f>
        <v>0.34062781037214679</v>
      </c>
      <c r="E39" s="654">
        <f>'Actuals FS'!G135</f>
        <v>0.35259141379435061</v>
      </c>
      <c r="F39" s="654">
        <f>'Actuals FS'!F135</f>
        <v>0.45979608745369516</v>
      </c>
      <c r="G39" s="654">
        <f>'Actuals FS'!E135</f>
        <v>0.28886191950464396</v>
      </c>
      <c r="H39" s="654">
        <f>'Forecasted FS'!E162</f>
        <v>0.18401580585376087</v>
      </c>
      <c r="I39" s="654">
        <f>'Forecasted FS'!F162</f>
        <v>0.15287109868854931</v>
      </c>
      <c r="J39" s="654">
        <f>'Forecasted FS'!G162</f>
        <v>0.12861953103069607</v>
      </c>
      <c r="K39" s="654">
        <f>'Forecasted FS'!H162</f>
        <v>0.10617107892955703</v>
      </c>
      <c r="L39" s="654">
        <f>'Forecasted FS'!I162</f>
        <v>8.7412590378154922E-2</v>
      </c>
      <c r="M39" s="654">
        <f>'Forecasted FS'!J162</f>
        <v>7.2423427425689677E-2</v>
      </c>
    </row>
    <row r="40" spans="2:14" ht="4.75" customHeight="1">
      <c r="C40" s="204"/>
      <c r="D40" s="213"/>
      <c r="E40" s="213"/>
      <c r="F40" s="213"/>
      <c r="G40" s="214"/>
      <c r="H40" s="214"/>
      <c r="I40" s="214"/>
      <c r="J40" s="214"/>
      <c r="K40" s="214"/>
      <c r="L40" s="214"/>
      <c r="M40" s="214"/>
    </row>
    <row r="41" spans="2:14">
      <c r="B41" s="557">
        <f>B32+1</f>
        <v>5</v>
      </c>
      <c r="C41" s="467" t="s">
        <v>230</v>
      </c>
      <c r="D41" s="558"/>
      <c r="E41" s="558"/>
      <c r="F41" s="558"/>
      <c r="G41" s="558"/>
      <c r="H41" s="558"/>
      <c r="I41" s="559"/>
      <c r="J41" s="559"/>
      <c r="K41" s="559"/>
      <c r="L41" s="559"/>
      <c r="M41" s="559"/>
      <c r="N41" s="559"/>
    </row>
    <row r="42" spans="2:14">
      <c r="B42" s="118" t="s">
        <v>232</v>
      </c>
      <c r="C42" s="1" t="s">
        <v>239</v>
      </c>
      <c r="D42" s="105">
        <f>'Actuals FS'!H137</f>
        <v>5.5252496995316841E-2</v>
      </c>
      <c r="E42" s="105">
        <f>'Actuals FS'!G137</f>
        <v>7.1014128755145567E-2</v>
      </c>
      <c r="F42" s="105">
        <f>'Actuals FS'!F137</f>
        <v>-5.2958950004183018E-3</v>
      </c>
      <c r="G42" s="105">
        <f>'Actuals FS'!E137</f>
        <v>5.2932835755978319E-2</v>
      </c>
      <c r="H42" s="105">
        <f>'Forecasted FS'!E164</f>
        <v>9.2871171971866534E-2</v>
      </c>
      <c r="I42" s="105">
        <f>'Forecasted FS'!F164</f>
        <v>9.7783913487124952E-2</v>
      </c>
      <c r="J42" s="105">
        <f>'Forecasted FS'!G164</f>
        <v>0.11338584195255</v>
      </c>
      <c r="K42" s="105">
        <f>'Forecasted FS'!H164</f>
        <v>0.12449094396512481</v>
      </c>
      <c r="L42" s="105">
        <f>'Forecasted FS'!I164</f>
        <v>0.13458979125912887</v>
      </c>
      <c r="M42" s="105">
        <f>'Forecasted FS'!J164</f>
        <v>0.14206970961904047</v>
      </c>
    </row>
    <row r="43" spans="2:14">
      <c r="B43" s="118" t="s">
        <v>233</v>
      </c>
      <c r="C43" s="1" t="s">
        <v>247</v>
      </c>
      <c r="D43" s="654">
        <f>'Actuals FS'!H138</f>
        <v>1.2019614253023865</v>
      </c>
      <c r="E43" s="654">
        <f>'Actuals FS'!G138</f>
        <v>1.1171635172120253</v>
      </c>
      <c r="F43" s="654">
        <f>'Actuals FS'!F138</f>
        <v>1.1108942562273734</v>
      </c>
      <c r="G43" s="654">
        <f>'Actuals FS'!E138</f>
        <v>1.0889090543976174</v>
      </c>
      <c r="H43" s="654">
        <f>'Forecasted FS'!E165</f>
        <v>1.0209075459197881</v>
      </c>
      <c r="I43" s="654">
        <f>'Forecasted FS'!F165</f>
        <v>1.0024304000458162</v>
      </c>
      <c r="J43" s="654">
        <f>'Forecasted FS'!G165</f>
        <v>0.92382937476714833</v>
      </c>
      <c r="K43" s="654">
        <f>'Forecasted FS'!H165</f>
        <v>0.8531867065124572</v>
      </c>
      <c r="L43" s="654">
        <f>'Forecasted FS'!I165</f>
        <v>0.79915803390854956</v>
      </c>
      <c r="M43" s="654">
        <f>'Forecasted FS'!J165</f>
        <v>0.75174379929509572</v>
      </c>
    </row>
    <row r="44" spans="2:14">
      <c r="B44" s="118" t="s">
        <v>234</v>
      </c>
      <c r="C44" s="1" t="s">
        <v>246</v>
      </c>
      <c r="D44" s="654">
        <f>'Actuals FS'!H139</f>
        <v>3.4387713588283155</v>
      </c>
      <c r="E44" s="654">
        <f>'Actuals FS'!G139</f>
        <v>3.0420557705522802</v>
      </c>
      <c r="F44" s="654">
        <f>'Actuals FS'!F139</f>
        <v>3.1680737864875415</v>
      </c>
      <c r="G44" s="654">
        <f>'Actuals FS'!E139</f>
        <v>2.6147566563467493</v>
      </c>
      <c r="H44" s="654">
        <f>'Forecasted FS'!E166</f>
        <v>2.1851732699234185</v>
      </c>
      <c r="I44" s="654">
        <f>'Forecasted FS'!F166</f>
        <v>1.9692788031326141</v>
      </c>
      <c r="J44" s="654">
        <f>'Forecasted FS'!G166</f>
        <v>1.8183633574788201</v>
      </c>
      <c r="K44" s="654">
        <f>'Forecasted FS'!H166</f>
        <v>1.7016647821618693</v>
      </c>
      <c r="L44" s="654">
        <f>'Forecasted FS'!I166</f>
        <v>1.6146896885248792</v>
      </c>
      <c r="M44" s="654">
        <f>'Forecasted FS'!J166</f>
        <v>1.5465014369264818</v>
      </c>
    </row>
    <row r="45" spans="2:14">
      <c r="B45" s="118" t="s">
        <v>235</v>
      </c>
      <c r="C45" s="1" t="s">
        <v>240</v>
      </c>
      <c r="D45" s="105">
        <f>'Actuals FS'!H140</f>
        <v>0.22837351719412446</v>
      </c>
      <c r="E45" s="105">
        <f>'Actuals FS'!G140</f>
        <v>0.2413396506202756</v>
      </c>
      <c r="F45" s="105">
        <f>'Actuals FS'!F140</f>
        <v>-1.8638346240490815E-2</v>
      </c>
      <c r="G45" s="105">
        <f>'Actuals FS'!E140</f>
        <v>0.15071207430340555</v>
      </c>
      <c r="H45" s="105">
        <f>'Forecasted FS'!E167</f>
        <v>0.20718257159841941</v>
      </c>
      <c r="I45" s="105">
        <f>'Forecasted FS'!F167</f>
        <v>0.19303179515701194</v>
      </c>
      <c r="J45" s="105">
        <f>'Forecasted FS'!G167</f>
        <v>0.19047205514271712</v>
      </c>
      <c r="K45" s="105">
        <f>'Forecasted FS'!H167</f>
        <v>0.1807406546060869</v>
      </c>
      <c r="L45" s="105">
        <f>'Forecasted FS'!I167</f>
        <v>0.17367362180057361</v>
      </c>
      <c r="M45" s="105">
        <f>'Forecasted FS'!J167</f>
        <v>0.16516638945666468</v>
      </c>
    </row>
    <row r="46" spans="2:14" ht="4.75" customHeight="1">
      <c r="C46" s="204"/>
      <c r="D46" s="213"/>
      <c r="E46" s="213"/>
      <c r="F46" s="213"/>
      <c r="G46" s="214"/>
      <c r="H46" s="214"/>
      <c r="I46" s="214"/>
      <c r="J46" s="214"/>
      <c r="K46" s="214"/>
      <c r="L46" s="214"/>
      <c r="M46" s="214"/>
    </row>
    <row r="47" spans="2:14">
      <c r="B47" s="557">
        <f>B41+1</f>
        <v>6</v>
      </c>
      <c r="C47" s="467" t="s">
        <v>278</v>
      </c>
      <c r="D47" s="558"/>
      <c r="E47" s="558"/>
      <c r="F47" s="558"/>
      <c r="G47" s="558"/>
      <c r="H47" s="558"/>
      <c r="I47" s="559"/>
      <c r="J47" s="559"/>
      <c r="K47" s="559"/>
      <c r="L47" s="559"/>
      <c r="M47" s="559"/>
      <c r="N47" s="559"/>
    </row>
    <row r="48" spans="2:14">
      <c r="B48" s="118" t="s">
        <v>232</v>
      </c>
      <c r="C48" s="1" t="s">
        <v>414</v>
      </c>
      <c r="D48" s="654">
        <f>'Actuals FS'!H142</f>
        <v>201.16000399999999</v>
      </c>
      <c r="E48" s="654">
        <f>'Actuals FS'!G142</f>
        <v>42.67</v>
      </c>
      <c r="F48" s="654">
        <f>'Actuals FS'!F142</f>
        <v>100.55</v>
      </c>
      <c r="G48" s="654">
        <f>'Actuals FS'!D142</f>
        <v>228.97</v>
      </c>
      <c r="H48" s="656">
        <f>'Forecasted FS'!E169</f>
        <v>228.97</v>
      </c>
      <c r="I48" s="656">
        <f>'Forecasted FS'!F169</f>
        <v>241.10198452875937</v>
      </c>
      <c r="J48" s="656">
        <f>'Forecasted FS'!G169</f>
        <v>284.82009873947243</v>
      </c>
      <c r="K48" s="656">
        <f>'Forecasted FS'!H169</f>
        <v>318.58696026646982</v>
      </c>
      <c r="L48" s="656">
        <f>'Forecasted FS'!I169</f>
        <v>354.11716259930097</v>
      </c>
      <c r="M48" s="656">
        <f>'Forecasted FS'!J169</f>
        <v>384.30936616834674</v>
      </c>
    </row>
    <row r="49" spans="2:16">
      <c r="B49" s="114" t="s">
        <v>233</v>
      </c>
      <c r="C49" s="1" t="s">
        <v>241</v>
      </c>
      <c r="D49" s="654">
        <f>'Actuals FS'!H143</f>
        <v>41.825490196078434</v>
      </c>
      <c r="E49" s="654">
        <f>'Actuals FS'!G143</f>
        <v>64.784466019417479</v>
      </c>
      <c r="F49" s="654">
        <f>'Actuals FS'!F143</f>
        <v>-0.2671508489547551</v>
      </c>
      <c r="G49" s="654">
        <f>'Actuals FS'!E143</f>
        <v>2.8998284407167367</v>
      </c>
      <c r="H49" s="656">
        <f>'Forecasted FS'!E170</f>
        <v>5.5263501539035538</v>
      </c>
      <c r="I49" s="656">
        <f>'Forecasted FS'!F170</f>
        <v>6.1254358272950569</v>
      </c>
      <c r="J49" s="656">
        <f>'Forecasted FS'!G170</f>
        <v>7.6169873903751268</v>
      </c>
      <c r="K49" s="656">
        <f>'Forecasted FS'!H170</f>
        <v>8.9684418148688163</v>
      </c>
      <c r="L49" s="656">
        <f>'Forecasted FS'!I170</f>
        <v>10.493306759328849</v>
      </c>
      <c r="M49" s="656">
        <f>'Forecasted FS'!J170</f>
        <v>11.987338166441667</v>
      </c>
    </row>
    <row r="50" spans="2:16">
      <c r="B50" s="114" t="s">
        <v>234</v>
      </c>
      <c r="C50" s="1" t="s">
        <v>259</v>
      </c>
      <c r="D50" s="654">
        <f>'Actuals FS'!H144</f>
        <v>4.8095073854952881</v>
      </c>
      <c r="E50" s="654">
        <f>'Actuals FS'!G144</f>
        <v>0.65864554609759018</v>
      </c>
      <c r="F50" s="654">
        <f>'Actuals FS'!F144</f>
        <v>-376.37911462160179</v>
      </c>
      <c r="G50" s="654">
        <f>'Actuals FS'!E144</f>
        <v>50.858181101068197</v>
      </c>
      <c r="H50" s="656">
        <f>'Forecasted FS'!E171</f>
        <v>41.432409026465031</v>
      </c>
      <c r="I50" s="656">
        <f>'Forecasted FS'!F171</f>
        <v>39.360788575141775</v>
      </c>
      <c r="J50" s="656">
        <f>'Forecasted FS'!G171</f>
        <v>37.392749146384688</v>
      </c>
      <c r="K50" s="656">
        <f>'Forecasted FS'!H171</f>
        <v>35.523111689065452</v>
      </c>
      <c r="L50" s="656">
        <f>'Forecasted FS'!I171</f>
        <v>33.746956104612181</v>
      </c>
      <c r="M50" s="656">
        <f>'Forecasted FS'!J171</f>
        <v>32.059608299381573</v>
      </c>
    </row>
    <row r="51" spans="2:16">
      <c r="B51" s="118" t="s">
        <v>235</v>
      </c>
      <c r="C51" s="1" t="s">
        <v>243</v>
      </c>
      <c r="D51" s="654">
        <f>'Actuals FS'!H145</f>
        <v>0</v>
      </c>
      <c r="E51" s="654">
        <f>'Actuals FS'!G145</f>
        <v>0</v>
      </c>
      <c r="F51" s="654">
        <f>'Actuals FS'!F145</f>
        <v>0</v>
      </c>
      <c r="G51" s="654">
        <f>'Actuals FS'!E145</f>
        <v>0</v>
      </c>
      <c r="H51" s="656">
        <f>'Forecasted FS'!E172</f>
        <v>0</v>
      </c>
      <c r="I51" s="656">
        <f>'Forecasted FS'!F172</f>
        <v>0</v>
      </c>
      <c r="J51" s="656">
        <f>'Forecasted FS'!G172</f>
        <v>0</v>
      </c>
      <c r="K51" s="656">
        <f>'Forecasted FS'!H172</f>
        <v>0</v>
      </c>
      <c r="L51" s="656">
        <f>'Forecasted FS'!I172</f>
        <v>0</v>
      </c>
      <c r="M51" s="656">
        <f>'Forecasted FS'!J172</f>
        <v>0</v>
      </c>
    </row>
    <row r="52" spans="2:16">
      <c r="B52" s="114" t="s">
        <v>260</v>
      </c>
      <c r="C52" s="1" t="s">
        <v>265</v>
      </c>
      <c r="D52" s="49">
        <f>'Actuals FS'!H146</f>
        <v>0</v>
      </c>
      <c r="E52" s="49">
        <f>'Actuals FS'!G146</f>
        <v>0</v>
      </c>
      <c r="F52" s="49">
        <f>'Actuals FS'!F146</f>
        <v>0</v>
      </c>
      <c r="G52" s="49">
        <f>'Actuals FS'!E146</f>
        <v>0</v>
      </c>
      <c r="H52" s="49">
        <f>'Forecasted FS'!E173</f>
        <v>0</v>
      </c>
      <c r="I52" s="49">
        <f>'Forecasted FS'!F173</f>
        <v>0</v>
      </c>
      <c r="J52" s="49">
        <f>'Forecasted FS'!G173</f>
        <v>0</v>
      </c>
      <c r="K52" s="49">
        <f>'Forecasted FS'!H173</f>
        <v>0</v>
      </c>
      <c r="L52" s="49">
        <f>'Forecasted FS'!I173</f>
        <v>0</v>
      </c>
      <c r="M52" s="49">
        <f>'Forecasted FS'!J173</f>
        <v>0</v>
      </c>
      <c r="P52" s="266"/>
    </row>
    <row r="53" spans="2:16">
      <c r="B53" s="114" t="s">
        <v>261</v>
      </c>
      <c r="C53" s="1" t="s">
        <v>16</v>
      </c>
      <c r="D53" s="49">
        <f>'Actuals FS'!H147</f>
        <v>0</v>
      </c>
      <c r="E53" s="49">
        <f>'Actuals FS'!G147</f>
        <v>0</v>
      </c>
      <c r="F53" s="49">
        <f>'Actuals FS'!F147</f>
        <v>0</v>
      </c>
      <c r="G53" s="49">
        <f>'Actuals FS'!E147</f>
        <v>0</v>
      </c>
      <c r="H53" s="49">
        <f>'Forecasted FS'!E174</f>
        <v>0</v>
      </c>
      <c r="I53" s="49">
        <f>'Forecasted FS'!F174</f>
        <v>0</v>
      </c>
      <c r="J53" s="49">
        <f>'Forecasted FS'!G174</f>
        <v>0</v>
      </c>
      <c r="K53" s="49">
        <f>'Forecasted FS'!H174</f>
        <v>0</v>
      </c>
      <c r="L53" s="49">
        <f>'Forecasted FS'!I174</f>
        <v>0</v>
      </c>
      <c r="M53" s="49">
        <f>'Forecasted FS'!J174</f>
        <v>0</v>
      </c>
    </row>
    <row r="54" spans="2:16" ht="4.75" customHeight="1">
      <c r="C54" s="204"/>
      <c r="D54" s="213"/>
      <c r="E54" s="213"/>
      <c r="F54" s="213"/>
      <c r="G54" s="214"/>
      <c r="H54" s="214"/>
      <c r="I54" s="214"/>
      <c r="J54" s="214"/>
      <c r="K54" s="214"/>
      <c r="L54" s="214"/>
      <c r="M54" s="214"/>
    </row>
    <row r="55" spans="2:16">
      <c r="B55" s="557">
        <f>B47+1</f>
        <v>7</v>
      </c>
      <c r="C55" s="467" t="s">
        <v>277</v>
      </c>
      <c r="D55" s="558"/>
      <c r="E55" s="558"/>
      <c r="F55" s="558"/>
      <c r="G55" s="558"/>
      <c r="H55" s="558"/>
      <c r="I55" s="559"/>
      <c r="J55" s="559"/>
      <c r="K55" s="559"/>
      <c r="L55" s="559"/>
      <c r="M55" s="559"/>
      <c r="N55" s="559"/>
    </row>
    <row r="56" spans="2:16">
      <c r="B56" s="114" t="s">
        <v>232</v>
      </c>
      <c r="C56" s="1" t="s">
        <v>69</v>
      </c>
      <c r="D56" s="49" t="str">
        <f>'Actuals FS'!H149</f>
        <v>n.a</v>
      </c>
      <c r="E56" s="49">
        <f>'Actuals FS'!G149</f>
        <v>0.21695366571345676</v>
      </c>
      <c r="F56" s="49">
        <f>'Actuals FS'!F149</f>
        <v>9.399517263985091E-2</v>
      </c>
      <c r="G56" s="49">
        <f>'Actuals FS'!E149</f>
        <v>0.1182957412988368</v>
      </c>
      <c r="H56" s="49">
        <f>'Forecasted FS'!E176</f>
        <v>0.1099089224666614</v>
      </c>
      <c r="I56" s="49">
        <f>'Forecasted FS'!F176</f>
        <v>7.0000000000000007E-2</v>
      </c>
      <c r="J56" s="49">
        <f>'Forecasted FS'!G176</f>
        <v>9.0000000000000135E-2</v>
      </c>
      <c r="K56" s="49">
        <f>'Forecasted FS'!H176</f>
        <v>9.0000000000000149E-2</v>
      </c>
      <c r="L56" s="49">
        <f>'Forecasted FS'!I176</f>
        <v>0.10000000000000016</v>
      </c>
      <c r="M56" s="49">
        <f>'Forecasted FS'!J176</f>
        <v>0.10000000000000014</v>
      </c>
    </row>
    <row r="57" spans="2:16">
      <c r="B57" s="114" t="s">
        <v>233</v>
      </c>
      <c r="C57" s="1" t="s">
        <v>275</v>
      </c>
      <c r="D57" s="49">
        <f>'Actuals FS'!H150</f>
        <v>0.53909973475900363</v>
      </c>
      <c r="E57" s="49">
        <f>'Actuals FS'!G150</f>
        <v>0.50638539702270224</v>
      </c>
      <c r="F57" s="49">
        <f>'Actuals FS'!F150</f>
        <v>0.48038553804308703</v>
      </c>
      <c r="G57" s="49">
        <f>'Actuals FS'!E150</f>
        <v>0.44551614951677582</v>
      </c>
      <c r="H57" s="49">
        <f>'Forecasted FS'!E177</f>
        <v>0.42869996347727674</v>
      </c>
      <c r="I57" s="49">
        <f>'Forecasted FS'!F177</f>
        <v>-0.59332395965708828</v>
      </c>
      <c r="J57" s="49">
        <f>'Forecasted FS'!G177</f>
        <v>-0.58686816793213814</v>
      </c>
      <c r="K57" s="49">
        <f>'Forecasted FS'!H177</f>
        <v>-0.5799977688146607</v>
      </c>
      <c r="L57" s="49">
        <f>'Forecasted FS'!I177</f>
        <v>-0.57202908079512893</v>
      </c>
      <c r="M57" s="49">
        <f>'Forecasted FS'!J177</f>
        <v>-0.56379382128522459</v>
      </c>
    </row>
    <row r="58" spans="2:16">
      <c r="B58" s="114" t="s">
        <v>234</v>
      </c>
      <c r="C58" s="1" t="s">
        <v>276</v>
      </c>
      <c r="D58" s="655">
        <f>'Actuals FS'!H151</f>
        <v>152757</v>
      </c>
      <c r="E58" s="655">
        <f>'Actuals FS'!G151</f>
        <v>197478</v>
      </c>
      <c r="F58" s="655">
        <f>'Actuals FS'!F151</f>
        <v>225152</v>
      </c>
      <c r="G58" s="655">
        <f>'Actuals FS'!E151</f>
        <v>270046</v>
      </c>
      <c r="H58" s="655">
        <f>'Forecasted FS'!E178</f>
        <v>311671</v>
      </c>
      <c r="I58" s="655">
        <f>'Forecasted FS'!F178</f>
        <v>334481.90370000002</v>
      </c>
      <c r="J58" s="655">
        <f>'Forecasted FS'!G178</f>
        <v>368305.53294150002</v>
      </c>
      <c r="K58" s="655">
        <f>'Forecasted FS'!H178</f>
        <v>405508.11202650011</v>
      </c>
      <c r="L58" s="655">
        <f>'Forecasted FS'!I178</f>
        <v>450519.51246144169</v>
      </c>
      <c r="M58" s="655">
        <f>'Forecasted FS'!J178</f>
        <v>500478.11186310661</v>
      </c>
    </row>
    <row r="59" spans="2:16">
      <c r="B59" s="114" t="s">
        <v>235</v>
      </c>
      <c r="C59" s="1" t="s">
        <v>270</v>
      </c>
      <c r="D59" s="49">
        <f>'Actuals FS'!H152</f>
        <v>0.3956779186870571</v>
      </c>
      <c r="E59" s="49">
        <f>'Actuals FS'!G152</f>
        <v>0.42032514441639601</v>
      </c>
      <c r="F59" s="49">
        <f>'Actuals FS'!F152</f>
        <v>0.43805339865326287</v>
      </c>
      <c r="G59" s="49">
        <f>'Actuals FS'!E152</f>
        <v>0.46982088955000567</v>
      </c>
      <c r="H59" s="49">
        <f>'Forecasted FS'!E179</f>
        <v>0.48854393464156787</v>
      </c>
      <c r="I59" s="49">
        <f>'Forecasted FS'!F179</f>
        <v>0.49000000000000005</v>
      </c>
      <c r="J59" s="49">
        <f>'Forecasted FS'!G179</f>
        <v>0.49499999999999994</v>
      </c>
      <c r="K59" s="49">
        <f>'Forecasted FS'!H179</f>
        <v>0.5</v>
      </c>
      <c r="L59" s="49">
        <f>'Forecasted FS'!I179</f>
        <v>0.505</v>
      </c>
      <c r="M59" s="49">
        <f>'Forecasted FS'!J179</f>
        <v>0.51</v>
      </c>
    </row>
    <row r="60" spans="2:16">
      <c r="B60" s="114" t="s">
        <v>260</v>
      </c>
      <c r="C60" s="1" t="s">
        <v>271</v>
      </c>
      <c r="D60" s="49">
        <f>'Actuals FS'!H153</f>
        <v>0.33655818724356584</v>
      </c>
      <c r="E60" s="49">
        <f>'Actuals FS'!G153</f>
        <v>0.36723908203532402</v>
      </c>
      <c r="F60" s="49">
        <f>'Actuals FS'!F153</f>
        <v>0.41176653702554367</v>
      </c>
      <c r="G60" s="49">
        <f>'Actuals FS'!E153</f>
        <v>0.40437206955644284</v>
      </c>
      <c r="H60" s="49">
        <f>'Forecasted FS'!E180</f>
        <v>0.37982848427563526</v>
      </c>
      <c r="I60" s="49">
        <f>'Forecasted FS'!F180</f>
        <v>0.36543823246602741</v>
      </c>
      <c r="J60" s="49">
        <f>'Forecasted FS'!G180</f>
        <v>0.35067693862816496</v>
      </c>
      <c r="K60" s="49">
        <f>'Forecasted FS'!H180</f>
        <v>0.34160632558925819</v>
      </c>
      <c r="L60" s="49">
        <f>'Forecasted FS'!I180</f>
        <v>0.33377613208663459</v>
      </c>
      <c r="M60" s="49">
        <f>'Forecasted FS'!J180</f>
        <v>0.32926541726498659</v>
      </c>
    </row>
    <row r="61" spans="2:16">
      <c r="B61" s="114" t="s">
        <v>261</v>
      </c>
      <c r="C61" s="1" t="s">
        <v>272</v>
      </c>
      <c r="D61" s="49">
        <f>'Actuals FS'!H154</f>
        <v>0.11070703303079282</v>
      </c>
      <c r="E61" s="49">
        <f>'Actuals FS'!G154</f>
        <v>0.11930475797216818</v>
      </c>
      <c r="F61" s="49">
        <f>'Actuals FS'!F154</f>
        <v>0.14244245432241923</v>
      </c>
      <c r="G61" s="49">
        <f>'Actuals FS'!E154</f>
        <v>0.14896352549214054</v>
      </c>
      <c r="H61" s="49">
        <f>'Forecasted FS'!E181</f>
        <v>0.13879261833440706</v>
      </c>
      <c r="I61" s="49">
        <f>'Forecasted FS'!F181</f>
        <v>0.22633547334716389</v>
      </c>
      <c r="J61" s="49">
        <f>'Forecasted FS'!G181</f>
        <v>0.17574505895430323</v>
      </c>
      <c r="K61" s="49">
        <f>'Forecasted FS'!H181</f>
        <v>0.13727462678320526</v>
      </c>
      <c r="L61" s="49">
        <f>'Forecasted FS'!I181</f>
        <v>0.1068789848492102</v>
      </c>
      <c r="M61" s="49">
        <f>'Forecasted FS'!J181</f>
        <v>8.3702819952763796E-2</v>
      </c>
    </row>
    <row r="62" spans="2:16">
      <c r="B62" s="114" t="s">
        <v>262</v>
      </c>
      <c r="C62" s="1" t="s">
        <v>381</v>
      </c>
      <c r="D62" s="49">
        <f>'Actuals FS'!H155</f>
        <v>6.141468772017075E-3</v>
      </c>
      <c r="E62" s="49">
        <f>'Actuals FS'!G155</f>
        <v>3.1145838211067169E-2</v>
      </c>
      <c r="F62" s="49">
        <f>'Actuals FS'!F155</f>
        <v>-3.2697579491928724E-2</v>
      </c>
      <c r="G62" s="49">
        <f>'Actuals FS'!E155</f>
        <v>1.6319145419591674E-3</v>
      </c>
      <c r="H62" s="49">
        <f>'Forecasted FS'!E182</f>
        <v>-3.5268724165659548E-3</v>
      </c>
      <c r="I62" s="49">
        <f>'Forecasted FS'!F182</f>
        <v>-2.9959737400286745E-3</v>
      </c>
      <c r="J62" s="49">
        <f>'Forecasted FS'!G182</f>
        <v>-2.716263293711912E-3</v>
      </c>
      <c r="K62" s="49">
        <f>'Forecasted FS'!H182</f>
        <v>-2.4623181889262629E-3</v>
      </c>
      <c r="L62" s="49">
        <f>'Forecasted FS'!I182</f>
        <v>-2.2384710808420567E-3</v>
      </c>
      <c r="M62" s="49">
        <f>'Forecasted FS'!J182</f>
        <v>-2.0349737098564152E-3</v>
      </c>
    </row>
    <row r="63" spans="2:16">
      <c r="B63" s="114" t="s">
        <v>263</v>
      </c>
      <c r="C63" s="1" t="s">
        <v>95</v>
      </c>
      <c r="D63" s="655">
        <f>'Actuals FS'!H156</f>
        <v>42001</v>
      </c>
      <c r="E63" s="655">
        <f>'Actuals FS'!G156</f>
        <v>61197</v>
      </c>
      <c r="F63" s="655">
        <f>'Actuals FS'!F156</f>
        <v>40049</v>
      </c>
      <c r="G63" s="655">
        <f>'Actuals FS'!E156</f>
        <v>68786</v>
      </c>
      <c r="H63" s="655">
        <f>'Forecasted FS'!E183</f>
        <v>100372</v>
      </c>
      <c r="I63" s="655">
        <f>'Forecasted FS'!F183</f>
        <v>103809.95574889764</v>
      </c>
      <c r="J63" s="655">
        <f>'Forecasted FS'!G183</f>
        <v>120800.58528935187</v>
      </c>
      <c r="K63" s="655">
        <f>'Forecasted FS'!H183</f>
        <v>136973.97434976354</v>
      </c>
      <c r="L63" s="655">
        <f>'Forecasted FS'!I183</f>
        <v>154837.11845206271</v>
      </c>
      <c r="M63" s="655">
        <f>'Forecasted FS'!J183</f>
        <v>172734.72797765583</v>
      </c>
    </row>
    <row r="64" spans="2:16">
      <c r="B64" s="114" t="s">
        <v>264</v>
      </c>
      <c r="C64" s="1" t="s">
        <v>273</v>
      </c>
      <c r="D64" s="49">
        <f>'Actuals FS'!H157</f>
        <v>0.10879284263749016</v>
      </c>
      <c r="E64" s="49">
        <f>'Actuals FS'!G157</f>
        <v>0.13025571386610249</v>
      </c>
      <c r="F64" s="49">
        <f>'Actuals FS'!F157</f>
        <v>7.7918919497337466E-2</v>
      </c>
      <c r="G64" s="49">
        <f>'Actuals FS'!E157</f>
        <v>0.11967257322303122</v>
      </c>
      <c r="H64" s="49">
        <f>'Forecasted FS'!E184</f>
        <v>0.15733299475358134</v>
      </c>
      <c r="I64" s="49">
        <f>'Forecasted FS'!F184</f>
        <v>0.15207662284349718</v>
      </c>
      <c r="J64" s="49">
        <f>'Forecasted FS'!G184</f>
        <v>0.16235512195720109</v>
      </c>
      <c r="K64" s="49">
        <f>'Forecasted FS'!H184</f>
        <v>0.16889178081450099</v>
      </c>
      <c r="L64" s="49">
        <f>'Forecasted FS'!I184</f>
        <v>0.17356128348599309</v>
      </c>
      <c r="M64" s="49">
        <f>'Forecasted FS'!J184</f>
        <v>0.1760211069784019</v>
      </c>
    </row>
    <row r="65" spans="2:13">
      <c r="B65" s="114" t="s">
        <v>266</v>
      </c>
      <c r="C65" s="1" t="s">
        <v>99</v>
      </c>
      <c r="D65" s="654">
        <f>'Actuals FS'!H158</f>
        <v>18090.21</v>
      </c>
      <c r="E65" s="654">
        <f>'Actuals FS'!G158</f>
        <v>19654.41</v>
      </c>
      <c r="F65" s="654">
        <f>'Actuals FS'!F158</f>
        <v>9675.92</v>
      </c>
      <c r="G65" s="654">
        <f>'Actuals FS'!E158</f>
        <v>29113.08</v>
      </c>
      <c r="H65" s="654">
        <f>'Forecasted FS'!E185</f>
        <v>54188.47</v>
      </c>
      <c r="I65" s="654">
        <f>'Forecasted FS'!F185</f>
        <v>66527.054743000044</v>
      </c>
      <c r="J65" s="654">
        <f>'Forecasted FS'!G185</f>
        <v>84130.192999705032</v>
      </c>
      <c r="K65" s="654">
        <f>'Forecasted FS'!H185</f>
        <v>100716.99178064932</v>
      </c>
      <c r="L65" s="654">
        <f>'Forecasted FS'!I185</f>
        <v>119831.06619050527</v>
      </c>
      <c r="M65" s="654">
        <f>'Forecasted FS'!J185</f>
        <v>139187.35836085278</v>
      </c>
    </row>
    <row r="66" spans="2:13">
      <c r="B66" s="114" t="s">
        <v>267</v>
      </c>
      <c r="C66" s="1" t="s">
        <v>274</v>
      </c>
      <c r="D66" s="49">
        <f>'Actuals FS'!H159</f>
        <v>-0.1184134337000579</v>
      </c>
      <c r="E66" s="49">
        <f>'Actuals FS'!G159</f>
        <v>-0.12557993237398757</v>
      </c>
      <c r="F66" s="49">
        <f>'Actuals FS'!F159</f>
        <v>-0.54194743935309975</v>
      </c>
      <c r="G66" s="49">
        <f>'Actuals FS'!E159</f>
        <v>-0.18957850733551668</v>
      </c>
      <c r="H66" s="49">
        <f>'Forecasted FS'!E186</f>
        <v>-0.13503075174162707</v>
      </c>
      <c r="I66" s="49">
        <f>'Forecasted FS'!F186</f>
        <v>-0.21</v>
      </c>
      <c r="J66" s="49">
        <f>'Forecasted FS'!G186</f>
        <v>-0.21</v>
      </c>
      <c r="K66" s="49">
        <f>'Forecasted FS'!H186</f>
        <v>-0.21</v>
      </c>
      <c r="L66" s="49">
        <f>'Forecasted FS'!I186</f>
        <v>-0.21</v>
      </c>
      <c r="M66" s="49">
        <f>'Forecasted FS'!J186</f>
        <v>-0.21</v>
      </c>
    </row>
    <row r="67" spans="2:13">
      <c r="B67" s="114" t="s">
        <v>752</v>
      </c>
      <c r="C67" s="1" t="s">
        <v>86</v>
      </c>
      <c r="D67" s="49">
        <f>'Actuals FS'!H160</f>
        <v>-0.10397239835882134</v>
      </c>
      <c r="E67" s="49">
        <f>'Actuals FS'!G160</f>
        <v>-0.12994921480901278</v>
      </c>
      <c r="F67" s="49">
        <f>'Actuals FS'!F160</f>
        <v>-0.12382705264571008</v>
      </c>
      <c r="G67" s="49">
        <f>'Actuals FS'!E160</f>
        <v>-9.1736910322990334E-2</v>
      </c>
      <c r="H67" s="49">
        <f>'Forecasted FS'!E187</f>
        <v>-0.13010083720113674</v>
      </c>
      <c r="I67" s="49">
        <f>'Forecasted FS'!F187</f>
        <v>-0.12853962715472311</v>
      </c>
      <c r="J67" s="49">
        <f>'Forecasted FS'!G187</f>
        <v>-0.12699715162886643</v>
      </c>
      <c r="K67" s="49">
        <f>'Forecasted FS'!H187</f>
        <v>-0.12547318580932004</v>
      </c>
      <c r="L67" s="49">
        <f>'Forecasted FS'!I187</f>
        <v>-0.1239675075796082</v>
      </c>
      <c r="M67" s="49">
        <f>'Forecasted FS'!J187</f>
        <v>-0.1224798974886529</v>
      </c>
    </row>
    <row r="68" spans="2:13">
      <c r="B68" s="114" t="s">
        <v>753</v>
      </c>
      <c r="C68" s="1" t="s">
        <v>673</v>
      </c>
      <c r="D68" s="49">
        <f>'Actuals FS'!H161</f>
        <v>0.15157331426913673</v>
      </c>
      <c r="E68" s="49">
        <f>'Actuals FS'!G161</f>
        <v>0.15987118525739535</v>
      </c>
      <c r="F68" s="49">
        <f>'Actuals FS'!F161</f>
        <v>0.16401126107283703</v>
      </c>
      <c r="G68" s="49">
        <f>'Actuals FS'!E161</f>
        <v>0.1576572109571405</v>
      </c>
      <c r="H68" s="49">
        <f>'Forecasted FS'!E188</f>
        <v>0.15440647439725749</v>
      </c>
      <c r="I68" s="49">
        <f>'Forecasted FS'!F188</f>
        <v>0.16652810416302349</v>
      </c>
      <c r="J68" s="49">
        <f>'Forecasted FS'!G188</f>
        <v>0.176000344950278</v>
      </c>
      <c r="K68" s="49">
        <f>'Forecasted FS'!H188</f>
        <v>0.18568843733286208</v>
      </c>
      <c r="L68" s="49">
        <f>'Forecasted FS'!I188</f>
        <v>0.19379120550738696</v>
      </c>
      <c r="M68" s="49">
        <f>'Forecasted FS'!J188</f>
        <v>0.20189520137405945</v>
      </c>
    </row>
    <row r="69" spans="2:13">
      <c r="B69" s="114"/>
      <c r="I69" s="105"/>
      <c r="J69" s="105"/>
      <c r="K69" s="105"/>
      <c r="L69" s="105"/>
      <c r="M69" s="105"/>
    </row>
    <row r="70" spans="2:13">
      <c r="I70" s="105"/>
      <c r="J70" s="105"/>
      <c r="K70" s="105"/>
      <c r="L70" s="105"/>
      <c r="M70" s="105"/>
    </row>
    <row r="71" spans="2:13">
      <c r="I71" s="105"/>
      <c r="J71" s="105"/>
      <c r="K71" s="105"/>
      <c r="L71" s="105"/>
      <c r="M71" s="105"/>
    </row>
    <row r="72" spans="2:13">
      <c r="I72" s="105"/>
      <c r="J72" s="105"/>
      <c r="K72" s="105"/>
      <c r="L72" s="105"/>
      <c r="M72" s="105"/>
    </row>
    <row r="73" spans="2:13">
      <c r="I73" s="105"/>
      <c r="J73" s="105"/>
      <c r="K73" s="105"/>
      <c r="L73" s="105"/>
      <c r="M73" s="105"/>
    </row>
    <row r="74" spans="2:13">
      <c r="I74" s="105"/>
      <c r="J74" s="105"/>
      <c r="K74" s="105"/>
      <c r="L74" s="105"/>
      <c r="M74" s="105"/>
    </row>
    <row r="75" spans="2:13">
      <c r="I75" s="105"/>
      <c r="J75" s="105"/>
      <c r="K75" s="105"/>
      <c r="L75" s="105"/>
      <c r="M75" s="105"/>
    </row>
    <row r="76" spans="2:13">
      <c r="I76" s="105"/>
      <c r="J76" s="105"/>
      <c r="K76" s="105"/>
      <c r="L76" s="105"/>
      <c r="M76" s="105"/>
    </row>
    <row r="77" spans="2:13">
      <c r="I77" s="105"/>
      <c r="J77" s="105"/>
      <c r="K77" s="105"/>
      <c r="L77" s="105"/>
      <c r="M77" s="105"/>
    </row>
    <row r="78" spans="2:13">
      <c r="I78" s="105"/>
      <c r="J78" s="105"/>
      <c r="K78" s="105"/>
      <c r="L78" s="105"/>
      <c r="M78" s="105"/>
    </row>
    <row r="79" spans="2:13">
      <c r="I79" s="105"/>
      <c r="J79" s="105"/>
      <c r="K79" s="105"/>
      <c r="L79" s="105"/>
      <c r="M79" s="105"/>
    </row>
    <row r="80" spans="2:13">
      <c r="I80" s="105"/>
      <c r="J80" s="105"/>
      <c r="K80" s="105"/>
      <c r="L80" s="105"/>
      <c r="M80" s="105"/>
    </row>
    <row r="81" spans="9:13">
      <c r="I81" s="105"/>
      <c r="J81" s="105"/>
      <c r="K81" s="105"/>
      <c r="L81" s="105"/>
      <c r="M81" s="105"/>
    </row>
    <row r="82" spans="9:13">
      <c r="I82" s="105"/>
      <c r="J82" s="105"/>
      <c r="K82" s="105"/>
      <c r="L82" s="105"/>
      <c r="M82" s="105"/>
    </row>
    <row r="83" spans="9:13">
      <c r="I83" s="105"/>
      <c r="J83" s="105"/>
      <c r="K83" s="105"/>
      <c r="L83" s="105"/>
      <c r="M83" s="105"/>
    </row>
    <row r="84" spans="9:13">
      <c r="I84" s="105"/>
      <c r="J84" s="105"/>
      <c r="K84" s="105"/>
      <c r="L84" s="105"/>
      <c r="M84" s="105"/>
    </row>
  </sheetData>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xr2:uid="{45B44DAB-1C69-471B-9129-2E5C4FCA9CDB}">
          <x14:colorSeries rgb="FF376092"/>
          <x14:colorNegative rgb="FFD00000"/>
          <x14:colorAxis rgb="FF000000"/>
          <x14:colorMarkers rgb="FFD00000"/>
          <x14:colorFirst rgb="FFD00000"/>
          <x14:colorLast rgb="FFD00000"/>
          <x14:colorHigh rgb="FFD00000"/>
          <x14:colorLow rgb="FFD00000"/>
          <x14:sparklines>
            <x14:sparkline>
              <xm:f>Ratios!D11:M11</xm:f>
              <xm:sqref>N11</xm:sqref>
            </x14:sparkline>
            <x14:sparkline>
              <xm:f>Ratios!D12:M12</xm:f>
              <xm:sqref>N12</xm:sqref>
            </x14:sparkline>
            <x14:sparkline>
              <xm:f>Ratios!D13:M13</xm:f>
              <xm:sqref>N13</xm:sqref>
            </x14:sparkline>
            <x14:sparkline>
              <xm:f>Ratios!D14:M14</xm:f>
              <xm:sqref>N14</xm:sqref>
            </x14:sparkline>
          </x14:sparklines>
        </x14:sparklineGroup>
        <x14:sparklineGroup displayEmptyCellsAs="gap" xr2:uid="{B9F645C7-5CF9-42C7-83F8-42F9F1C75438}">
          <x14:colorSeries rgb="FF376092"/>
          <x14:colorNegative rgb="FFD00000"/>
          <x14:colorAxis rgb="FF000000"/>
          <x14:colorMarkers rgb="FFD00000"/>
          <x14:colorFirst rgb="FFD00000"/>
          <x14:colorLast rgb="FFD00000"/>
          <x14:colorHigh rgb="FFD00000"/>
          <x14:colorLow rgb="FFD00000"/>
          <x14:sparklines>
            <x14:sparkline>
              <xm:f>Ratios!D17:M17</xm:f>
              <xm:sqref>N17</xm:sqref>
            </x14:sparkline>
            <x14:sparkline>
              <xm:f>Ratios!D18:M18</xm:f>
              <xm:sqref>N18</xm:sqref>
            </x14:sparkline>
            <x14:sparkline>
              <xm:f>Ratios!D19:M19</xm:f>
              <xm:sqref>N19</xm:sqref>
            </x14:sparkline>
            <x14:sparkline>
              <xm:f>Ratios!D20:M20</xm:f>
              <xm:sqref>N20</xm:sqref>
            </x14:sparkline>
            <x14:sparkline>
              <xm:f>Ratios!D21:M21</xm:f>
              <xm:sqref>N21</xm:sqref>
            </x14:sparkline>
            <x14:sparkline>
              <xm:f>Ratios!D22:M22</xm:f>
              <xm:sqref>N22</xm:sqref>
            </x14:sparkline>
          </x14:sparklines>
        </x14:sparklineGroup>
        <x14:sparklineGroup displayEmptyCellsAs="gap" xr2:uid="{C58420DB-411C-4532-AE33-65A06877028C}">
          <x14:colorSeries rgb="FF376092"/>
          <x14:colorNegative rgb="FFD00000"/>
          <x14:colorAxis rgb="FF000000"/>
          <x14:colorMarkers rgb="FFD00000"/>
          <x14:colorFirst rgb="FFD00000"/>
          <x14:colorLast rgb="FFD00000"/>
          <x14:colorHigh rgb="FFD00000"/>
          <x14:colorLow rgb="FFD00000"/>
          <x14:sparklines>
            <x14:sparkline>
              <xm:f>Ratios!D25:M25</xm:f>
              <xm:sqref>N25</xm:sqref>
            </x14:sparkline>
            <x14:sparkline>
              <xm:f>Ratios!D26:M26</xm:f>
              <xm:sqref>N26</xm:sqref>
            </x14:sparkline>
            <x14:sparkline>
              <xm:f>Ratios!D27:M27</xm:f>
              <xm:sqref>N27</xm:sqref>
            </x14:sparkline>
            <x14:sparkline>
              <xm:f>Ratios!D28:M28</xm:f>
              <xm:sqref>N28</xm:sqref>
            </x14:sparkline>
            <x14:sparkline>
              <xm:f>Ratios!D29:M29</xm:f>
              <xm:sqref>N29</xm:sqref>
            </x14:sparkline>
            <x14:sparkline>
              <xm:f>Ratios!D30:M30</xm:f>
              <xm:sqref>N30</xm:sqref>
            </x14:sparkline>
          </x14:sparklines>
        </x14:sparklineGroup>
        <x14:sparklineGroup displayEmptyCellsAs="gap" xr2:uid="{FE0CBB3A-9318-42D9-A93E-456DCBF8FFE3}">
          <x14:colorSeries rgb="FF376092"/>
          <x14:colorNegative rgb="FFD00000"/>
          <x14:colorAxis rgb="FF000000"/>
          <x14:colorMarkers rgb="FFD00000"/>
          <x14:colorFirst rgb="FFD00000"/>
          <x14:colorLast rgb="FFD00000"/>
          <x14:colorHigh rgb="FFD00000"/>
          <x14:colorLow rgb="FFD00000"/>
          <x14:sparklines>
            <x14:sparkline>
              <xm:f>Ratios!D33:M33</xm:f>
              <xm:sqref>N33</xm:sqref>
            </x14:sparkline>
            <x14:sparkline>
              <xm:f>Ratios!D34:M34</xm:f>
              <xm:sqref>N34</xm:sqref>
            </x14:sparkline>
            <x14:sparkline>
              <xm:f>Ratios!D35:M35</xm:f>
              <xm:sqref>N35</xm:sqref>
            </x14:sparkline>
            <x14:sparkline>
              <xm:f>Ratios!D36:M36</xm:f>
              <xm:sqref>N36</xm:sqref>
            </x14:sparkline>
            <x14:sparkline>
              <xm:f>Ratios!D37:M37</xm:f>
              <xm:sqref>N37</xm:sqref>
            </x14:sparkline>
            <x14:sparkline>
              <xm:f>Ratios!D38:M38</xm:f>
              <xm:sqref>N38</xm:sqref>
            </x14:sparkline>
            <x14:sparkline>
              <xm:f>Ratios!D39:M39</xm:f>
              <xm:sqref>N39</xm:sqref>
            </x14:sparkline>
          </x14:sparklines>
        </x14:sparklineGroup>
        <x14:sparklineGroup displayEmptyCellsAs="gap" xr2:uid="{611FCAF6-542F-4F43-A007-24FBC487D757}">
          <x14:colorSeries rgb="FF376092"/>
          <x14:colorNegative rgb="FFD00000"/>
          <x14:colorAxis rgb="FF000000"/>
          <x14:colorMarkers rgb="FFD00000"/>
          <x14:colorFirst rgb="FFD00000"/>
          <x14:colorLast rgb="FFD00000"/>
          <x14:colorHigh rgb="FFD00000"/>
          <x14:colorLow rgb="FFD00000"/>
          <x14:sparklines>
            <x14:sparkline>
              <xm:f>Ratios!D42:M42</xm:f>
              <xm:sqref>N42</xm:sqref>
            </x14:sparkline>
            <x14:sparkline>
              <xm:f>Ratios!D43:M43</xm:f>
              <xm:sqref>N43</xm:sqref>
            </x14:sparkline>
            <x14:sparkline>
              <xm:f>Ratios!D44:M44</xm:f>
              <xm:sqref>N44</xm:sqref>
            </x14:sparkline>
            <x14:sparkline>
              <xm:f>Ratios!D45:M45</xm:f>
              <xm:sqref>N45</xm:sqref>
            </x14:sparkline>
          </x14:sparklines>
        </x14:sparklineGroup>
        <x14:sparklineGroup displayEmptyCellsAs="gap" xr2:uid="{737FB55B-A9CC-4B7F-82B2-294AD7E17150}">
          <x14:colorSeries rgb="FF376092"/>
          <x14:colorNegative rgb="FFD00000"/>
          <x14:colorAxis rgb="FF000000"/>
          <x14:colorMarkers rgb="FFD00000"/>
          <x14:colorFirst rgb="FFD00000"/>
          <x14:colorLast rgb="FFD00000"/>
          <x14:colorHigh rgb="FFD00000"/>
          <x14:colorLow rgb="FFD00000"/>
          <x14:sparklines>
            <x14:sparkline>
              <xm:f>Ratios!D48:M48</xm:f>
              <xm:sqref>N48</xm:sqref>
            </x14:sparkline>
            <x14:sparkline>
              <xm:f>Ratios!D49:M49</xm:f>
              <xm:sqref>N49</xm:sqref>
            </x14:sparkline>
            <x14:sparkline>
              <xm:f>Ratios!D50:M50</xm:f>
              <xm:sqref>N50</xm:sqref>
            </x14:sparkline>
            <x14:sparkline>
              <xm:f>Ratios!D51:M51</xm:f>
              <xm:sqref>N51</xm:sqref>
            </x14:sparkline>
            <x14:sparkline>
              <xm:f>Ratios!D52:M52</xm:f>
              <xm:sqref>N52</xm:sqref>
            </x14:sparkline>
            <x14:sparkline>
              <xm:f>Ratios!D53:M53</xm:f>
              <xm:sqref>N53</xm:sqref>
            </x14:sparkline>
          </x14:sparklines>
        </x14:sparklineGroup>
        <x14:sparklineGroup displayEmptyCellsAs="gap" xr2:uid="{F1C23389-DFEA-409B-8197-D6ADCE1CA0DF}">
          <x14:colorSeries rgb="FF376092"/>
          <x14:colorNegative rgb="FFD00000"/>
          <x14:colorAxis rgb="FF000000"/>
          <x14:colorMarkers rgb="FFD00000"/>
          <x14:colorFirst rgb="FFD00000"/>
          <x14:colorLast rgb="FFD00000"/>
          <x14:colorHigh rgb="FFD00000"/>
          <x14:colorLow rgb="FFD00000"/>
          <x14:sparklines>
            <x14:sparkline>
              <xm:f>Ratios!D56:M56</xm:f>
              <xm:sqref>N56</xm:sqref>
            </x14:sparkline>
            <x14:sparkline>
              <xm:f>Ratios!D57:M57</xm:f>
              <xm:sqref>N57</xm:sqref>
            </x14:sparkline>
            <x14:sparkline>
              <xm:f>Ratios!D58:M58</xm:f>
              <xm:sqref>N58</xm:sqref>
            </x14:sparkline>
            <x14:sparkline>
              <xm:f>Ratios!D59:M59</xm:f>
              <xm:sqref>N59</xm:sqref>
            </x14:sparkline>
            <x14:sparkline>
              <xm:f>Ratios!D60:M60</xm:f>
              <xm:sqref>N60</xm:sqref>
            </x14:sparkline>
            <x14:sparkline>
              <xm:f>Ratios!D61:M61</xm:f>
              <xm:sqref>N61</xm:sqref>
            </x14:sparkline>
            <x14:sparkline>
              <xm:f>Ratios!D62:M62</xm:f>
              <xm:sqref>N62</xm:sqref>
            </x14:sparkline>
            <x14:sparkline>
              <xm:f>Ratios!D63:M63</xm:f>
              <xm:sqref>N63</xm:sqref>
            </x14:sparkline>
            <x14:sparkline>
              <xm:f>Ratios!D64:M64</xm:f>
              <xm:sqref>N64</xm:sqref>
            </x14:sparkline>
            <x14:sparkline>
              <xm:f>Ratios!D65:M65</xm:f>
              <xm:sqref>N65</xm:sqref>
            </x14:sparkline>
            <x14:sparkline>
              <xm:f>Ratios!D66:M66</xm:f>
              <xm:sqref>N66</xm:sqref>
            </x14:sparkline>
          </x14:sparklines>
        </x14:sparklineGroup>
      </x14:sparklineGroup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5F368-3837-48F3-8360-A65ADC613E27}">
  <sheetPr>
    <tabColor rgb="FFAFDEFF"/>
  </sheetPr>
  <dimension ref="B1:I39"/>
  <sheetViews>
    <sheetView showGridLines="0" topLeftCell="A2" zoomScale="106" zoomScaleNormal="96" workbookViewId="0">
      <selection activeCell="V54" sqref="V54"/>
    </sheetView>
  </sheetViews>
  <sheetFormatPr baseColWidth="10" defaultColWidth="8.83203125" defaultRowHeight="12"/>
  <cols>
    <col min="1" max="2" width="3.1640625" style="1" customWidth="1"/>
    <col min="3" max="3" width="10.1640625" style="1" customWidth="1"/>
    <col min="4" max="16384" width="8.83203125" style="1"/>
  </cols>
  <sheetData>
    <row r="1" spans="2:9" s="518" customFormat="1"/>
    <row r="2" spans="2:9" s="518" customFormat="1" ht="18">
      <c r="B2" s="541"/>
    </row>
    <row r="3" spans="2:9" s="518" customFormat="1" ht="13">
      <c r="B3" s="542"/>
      <c r="C3" s="461" t="s">
        <v>500</v>
      </c>
    </row>
    <row r="4" spans="2:9" s="518" customFormat="1">
      <c r="B4" s="542"/>
      <c r="C4" s="460" t="s">
        <v>501</v>
      </c>
    </row>
    <row r="5" spans="2:9" s="518" customFormat="1" ht="7.75" customHeight="1">
      <c r="B5" s="542"/>
    </row>
    <row r="6" spans="2:9">
      <c r="B6" s="4"/>
    </row>
    <row r="7" spans="2:9">
      <c r="B7" s="4"/>
    </row>
    <row r="8" spans="2:9">
      <c r="B8" s="4"/>
      <c r="C8" s="6" t="s">
        <v>344</v>
      </c>
      <c r="D8" s="480" t="str">
        <f>DCF!E10</f>
        <v>Base Case</v>
      </c>
    </row>
    <row r="9" spans="2:9">
      <c r="B9" s="4"/>
    </row>
    <row r="10" spans="2:9">
      <c r="C10" s="293" t="s">
        <v>524</v>
      </c>
      <c r="D10" s="743" t="s">
        <v>499</v>
      </c>
      <c r="E10" s="743"/>
    </row>
    <row r="11" spans="2:9">
      <c r="C11" s="396" t="s">
        <v>91</v>
      </c>
      <c r="D11" s="397" t="s">
        <v>212</v>
      </c>
      <c r="E11" s="397" t="s">
        <v>211</v>
      </c>
    </row>
    <row r="12" spans="2:9">
      <c r="C12" s="670">
        <f t="shared" ref="C12:E13" si="0">C17</f>
        <v>386.06400000000002</v>
      </c>
      <c r="D12" s="671">
        <f>D17</f>
        <v>0.11</v>
      </c>
      <c r="E12" s="671">
        <f t="shared" si="0"/>
        <v>0.11</v>
      </c>
    </row>
    <row r="13" spans="2:9">
      <c r="C13" s="670">
        <f t="shared" si="0"/>
        <v>469.822</v>
      </c>
      <c r="D13" s="671">
        <f t="shared" si="0"/>
        <v>0.1125</v>
      </c>
      <c r="E13" s="671">
        <f t="shared" si="0"/>
        <v>0.11749999999999999</v>
      </c>
    </row>
    <row r="15" spans="2:9" ht="14.5" customHeight="1">
      <c r="B15" s="4"/>
      <c r="C15" s="396"/>
      <c r="D15" s="744" t="s">
        <v>499</v>
      </c>
      <c r="E15" s="744"/>
      <c r="F15" s="395"/>
      <c r="G15" s="743" t="s">
        <v>61</v>
      </c>
      <c r="H15" s="743"/>
      <c r="I15" s="743"/>
    </row>
    <row r="16" spans="2:9">
      <c r="B16" s="4"/>
      <c r="C16" s="396" t="s">
        <v>91</v>
      </c>
      <c r="D16" s="397" t="s">
        <v>212</v>
      </c>
      <c r="E16" s="397" t="s">
        <v>211</v>
      </c>
      <c r="F16" s="408"/>
      <c r="G16" s="397" t="s">
        <v>73</v>
      </c>
      <c r="H16" s="397" t="s">
        <v>91</v>
      </c>
      <c r="I16" s="397" t="s">
        <v>523</v>
      </c>
    </row>
    <row r="17" spans="3:9">
      <c r="C17" s="670">
        <f>H17</f>
        <v>386.06400000000002</v>
      </c>
      <c r="D17" s="105">
        <v>0.11</v>
      </c>
      <c r="E17" s="105">
        <v>0.11</v>
      </c>
      <c r="F17" s="49"/>
      <c r="G17" s="1">
        <v>2020</v>
      </c>
      <c r="H17" s="407">
        <f>'Actuals FS'!H47/1000</f>
        <v>386.06400000000002</v>
      </c>
      <c r="I17" s="390">
        <f>'Actuals FS'!H56/'Actuals FS'!H47</f>
        <v>5.9313999751336569E-2</v>
      </c>
    </row>
    <row r="18" spans="3:9">
      <c r="C18" s="670">
        <f t="shared" ref="C18:C26" si="1">H18</f>
        <v>469.822</v>
      </c>
      <c r="D18" s="105">
        <f>D17+0.25%</f>
        <v>0.1125</v>
      </c>
      <c r="E18" s="105">
        <f>E17+0.75%</f>
        <v>0.11749999999999999</v>
      </c>
      <c r="F18" s="49"/>
      <c r="G18" s="1">
        <v>2021</v>
      </c>
      <c r="H18" s="407">
        <f>'Actuals FS'!G47/1000</f>
        <v>469.822</v>
      </c>
      <c r="I18" s="390">
        <f>'Actuals FS'!G56/'Actuals FS'!G47</f>
        <v>5.2954097509269465E-2</v>
      </c>
    </row>
    <row r="19" spans="3:9">
      <c r="C19" s="670">
        <f t="shared" si="1"/>
        <v>513.98299999999995</v>
      </c>
      <c r="D19" s="105">
        <f t="shared" ref="D19:D26" si="2">D18+0.25%</f>
        <v>0.115</v>
      </c>
      <c r="E19" s="105">
        <f t="shared" ref="E19:E26" si="3">E18+0.75%</f>
        <v>0.125</v>
      </c>
      <c r="F19" s="49"/>
      <c r="G19" s="1">
        <v>2022</v>
      </c>
      <c r="H19" s="407">
        <f>'Actuals FS'!F47/1000</f>
        <v>513.98299999999995</v>
      </c>
      <c r="I19" s="390">
        <f>'Actuals FS'!F56/'Actuals FS'!F47</f>
        <v>2.3829581912242232E-2</v>
      </c>
    </row>
    <row r="20" spans="3:9">
      <c r="C20" s="670">
        <f t="shared" si="1"/>
        <v>574.78499999999997</v>
      </c>
      <c r="D20" s="105">
        <f t="shared" si="2"/>
        <v>0.11750000000000001</v>
      </c>
      <c r="E20" s="105">
        <f t="shared" si="3"/>
        <v>0.13250000000000001</v>
      </c>
      <c r="F20" s="49"/>
      <c r="G20" s="1">
        <v>2023</v>
      </c>
      <c r="H20" s="407">
        <f>'Actuals FS'!E47/1000</f>
        <v>574.78499999999997</v>
      </c>
      <c r="I20" s="390">
        <f>'Actuals FS'!E56/'Actuals FS'!E47</f>
        <v>6.4114407996033296E-2</v>
      </c>
    </row>
    <row r="21" spans="3:9">
      <c r="C21" s="670">
        <f t="shared" si="1"/>
        <v>637.95899999999995</v>
      </c>
      <c r="D21" s="105">
        <f t="shared" si="2"/>
        <v>0.12000000000000001</v>
      </c>
      <c r="E21" s="105">
        <f t="shared" si="3"/>
        <v>0.14000000000000001</v>
      </c>
      <c r="F21" s="49"/>
      <c r="G21" s="1">
        <v>2024</v>
      </c>
      <c r="H21" s="407" cm="1">
        <f t="array" ref="H21:H26">TRANSPOSE(DCF!E27:J27)/1000</f>
        <v>637.95899999999995</v>
      </c>
      <c r="I21" s="390" cm="1">
        <f t="array" ref="I21:I26">TRANSPOSE(DCF!E28:J28)</f>
        <v>0.1099089224666614</v>
      </c>
    </row>
    <row r="22" spans="3:9">
      <c r="C22" s="670">
        <f t="shared" si="1"/>
        <v>682.61613</v>
      </c>
      <c r="D22" s="105">
        <f t="shared" si="2"/>
        <v>0.12250000000000001</v>
      </c>
      <c r="E22" s="105">
        <f t="shared" si="3"/>
        <v>0.14750000000000002</v>
      </c>
      <c r="F22" s="49"/>
      <c r="G22" s="1">
        <v>2025</v>
      </c>
      <c r="H22" s="407">
        <v>682.61613</v>
      </c>
      <c r="I22" s="390">
        <v>7.0000000000000062E-2</v>
      </c>
    </row>
    <row r="23" spans="3:9">
      <c r="C23" s="670">
        <f t="shared" si="1"/>
        <v>744.05158170000004</v>
      </c>
      <c r="D23" s="105">
        <f t="shared" si="2"/>
        <v>0.125</v>
      </c>
      <c r="E23" s="105">
        <f t="shared" si="3"/>
        <v>0.15500000000000003</v>
      </c>
      <c r="F23" s="49"/>
      <c r="G23" s="1">
        <v>2026</v>
      </c>
      <c r="H23" s="407">
        <v>744.05158170000004</v>
      </c>
      <c r="I23" s="390">
        <v>9.000000000000008E-2</v>
      </c>
    </row>
    <row r="24" spans="3:9">
      <c r="C24" s="670">
        <f t="shared" si="1"/>
        <v>811.0162240530002</v>
      </c>
      <c r="D24" s="105">
        <f t="shared" si="2"/>
        <v>0.1275</v>
      </c>
      <c r="E24" s="105">
        <f t="shared" si="3"/>
        <v>0.16250000000000003</v>
      </c>
      <c r="F24" s="49"/>
      <c r="G24" s="1">
        <v>2027</v>
      </c>
      <c r="H24" s="407">
        <v>811.0162240530002</v>
      </c>
      <c r="I24" s="390">
        <v>9.000000000000008E-2</v>
      </c>
    </row>
    <row r="25" spans="3:9">
      <c r="C25" s="670">
        <f t="shared" si="1"/>
        <v>892.11784645830039</v>
      </c>
      <c r="D25" s="105">
        <f t="shared" si="2"/>
        <v>0.13</v>
      </c>
      <c r="E25" s="105">
        <f t="shared" si="3"/>
        <v>0.17000000000000004</v>
      </c>
      <c r="F25" s="49"/>
      <c r="G25" s="1">
        <v>2028</v>
      </c>
      <c r="H25" s="407">
        <v>892.11784645830039</v>
      </c>
      <c r="I25" s="390">
        <v>0.10000000000000009</v>
      </c>
    </row>
    <row r="26" spans="3:9">
      <c r="C26" s="670">
        <f t="shared" si="1"/>
        <v>981.3296311041305</v>
      </c>
      <c r="D26" s="105">
        <f t="shared" si="2"/>
        <v>0.13250000000000001</v>
      </c>
      <c r="E26" s="105">
        <f t="shared" si="3"/>
        <v>0.17750000000000005</v>
      </c>
      <c r="F26" s="49"/>
      <c r="G26" s="1">
        <v>2029</v>
      </c>
      <c r="H26" s="407">
        <v>981.3296311041305</v>
      </c>
      <c r="I26" s="390">
        <v>0.02</v>
      </c>
    </row>
    <row r="27" spans="3:9">
      <c r="C27" s="670"/>
      <c r="D27" s="670"/>
      <c r="E27" s="670"/>
      <c r="F27" s="49"/>
    </row>
    <row r="28" spans="3:9">
      <c r="C28" s="48"/>
      <c r="D28" s="49"/>
      <c r="E28" s="49"/>
      <c r="F28" s="49"/>
    </row>
    <row r="29" spans="3:9">
      <c r="C29" s="48"/>
      <c r="D29" s="49"/>
      <c r="E29" s="49"/>
      <c r="F29" s="49"/>
    </row>
    <row r="30" spans="3:9">
      <c r="C30" s="48"/>
      <c r="D30" s="49"/>
      <c r="E30" s="49"/>
      <c r="F30" s="49"/>
    </row>
    <row r="31" spans="3:9">
      <c r="C31" s="48"/>
      <c r="D31" s="49"/>
      <c r="E31" s="49"/>
      <c r="F31" s="49"/>
    </row>
    <row r="32" spans="3:9">
      <c r="C32" s="48"/>
      <c r="D32" s="49"/>
      <c r="E32" s="49"/>
      <c r="F32" s="49"/>
    </row>
    <row r="33" spans="3:6">
      <c r="C33" s="48"/>
      <c r="D33" s="49"/>
      <c r="E33" s="49"/>
      <c r="F33" s="49"/>
    </row>
    <row r="34" spans="3:6">
      <c r="C34" s="48"/>
      <c r="D34" s="49"/>
      <c r="E34" s="49"/>
      <c r="F34" s="49"/>
    </row>
    <row r="35" spans="3:6">
      <c r="C35" s="48"/>
      <c r="D35" s="49"/>
      <c r="E35" s="49"/>
      <c r="F35" s="49"/>
    </row>
    <row r="36" spans="3:6">
      <c r="C36" s="48"/>
      <c r="D36" s="49"/>
      <c r="E36" s="49"/>
      <c r="F36" s="49"/>
    </row>
    <row r="37" spans="3:6">
      <c r="C37" s="48"/>
      <c r="D37" s="49"/>
      <c r="E37" s="49"/>
      <c r="F37" s="49"/>
    </row>
    <row r="38" spans="3:6">
      <c r="C38" s="48"/>
      <c r="D38" s="49"/>
      <c r="E38" s="49"/>
      <c r="F38" s="49"/>
    </row>
    <row r="39" spans="3:6">
      <c r="C39" s="48"/>
      <c r="D39" s="49"/>
      <c r="E39" s="49"/>
      <c r="F39" s="49"/>
    </row>
  </sheetData>
  <mergeCells count="3">
    <mergeCell ref="D10:E10"/>
    <mergeCell ref="D15:E15"/>
    <mergeCell ref="G15:I1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AEDB-F1DB-4E7F-BFC4-D59B5C6AEACD}">
  <sheetPr>
    <tabColor rgb="FFAFDEFF"/>
  </sheetPr>
  <dimension ref="B1:L31"/>
  <sheetViews>
    <sheetView showGridLines="0" zoomScale="136" workbookViewId="0">
      <selection activeCell="F15" sqref="F15"/>
    </sheetView>
  </sheetViews>
  <sheetFormatPr baseColWidth="10" defaultColWidth="8.83203125" defaultRowHeight="12"/>
  <cols>
    <col min="1" max="2" width="3.1640625" style="1" customWidth="1"/>
    <col min="3" max="3" width="21.33203125" style="1" customWidth="1"/>
    <col min="4" max="16384" width="8.83203125" style="1"/>
  </cols>
  <sheetData>
    <row r="1" spans="2:12" s="518" customFormat="1"/>
    <row r="2" spans="2:12" s="518" customFormat="1" ht="18">
      <c r="B2" s="541"/>
      <c r="C2" s="457"/>
    </row>
    <row r="3" spans="2:12" s="518" customFormat="1" ht="13">
      <c r="B3" s="542"/>
      <c r="C3" s="461" t="s">
        <v>2</v>
      </c>
    </row>
    <row r="4" spans="2:12" s="518" customFormat="1">
      <c r="B4" s="542"/>
      <c r="C4" s="460" t="s">
        <v>23</v>
      </c>
    </row>
    <row r="5" spans="2:12" s="518" customFormat="1" ht="7.75" customHeight="1">
      <c r="B5" s="542"/>
    </row>
    <row r="6" spans="2:12">
      <c r="B6" s="4"/>
    </row>
    <row r="7" spans="2:12">
      <c r="B7" s="4"/>
    </row>
    <row r="8" spans="2:12">
      <c r="B8" s="4"/>
      <c r="C8" s="292" t="s">
        <v>2</v>
      </c>
      <c r="D8" s="292"/>
      <c r="E8" s="292"/>
      <c r="F8" s="292"/>
      <c r="G8" s="292"/>
      <c r="H8" s="292"/>
      <c r="I8" s="292"/>
      <c r="J8" s="292"/>
    </row>
    <row r="9" spans="2:12" ht="5.5" customHeight="1">
      <c r="C9" s="143"/>
      <c r="D9" s="143"/>
      <c r="E9" s="143"/>
      <c r="F9" s="143"/>
      <c r="G9" s="143"/>
      <c r="H9" s="143"/>
      <c r="I9" s="143"/>
      <c r="J9" s="143"/>
    </row>
    <row r="10" spans="2:12">
      <c r="C10" s="467" t="s">
        <v>636</v>
      </c>
      <c r="D10" s="502"/>
      <c r="E10" s="502">
        <v>2024</v>
      </c>
      <c r="F10" s="486">
        <v>2025</v>
      </c>
      <c r="G10" s="486">
        <f>F10+1</f>
        <v>2026</v>
      </c>
      <c r="H10" s="486">
        <f>G10+1</f>
        <v>2027</v>
      </c>
      <c r="I10" s="486">
        <f>H10+1</f>
        <v>2028</v>
      </c>
      <c r="J10" s="486">
        <f>I10+1</f>
        <v>2029</v>
      </c>
      <c r="L10" s="228" t="s">
        <v>78</v>
      </c>
    </row>
    <row r="11" spans="2:12" ht="26">
      <c r="C11" s="51" t="s">
        <v>80</v>
      </c>
      <c r="D11" s="651" t="s">
        <v>748</v>
      </c>
      <c r="E11" s="363"/>
      <c r="F11" s="33"/>
      <c r="L11" s="228"/>
    </row>
    <row r="12" spans="2:12">
      <c r="B12" s="4"/>
      <c r="C12" s="745" t="s">
        <v>747</v>
      </c>
      <c r="D12" s="652">
        <f>'Forecasted FS'!E102/'Forecasted FS'!E37</f>
        <v>8.2756101881155369E-2</v>
      </c>
      <c r="E12" s="363"/>
      <c r="L12" s="228" t="s">
        <v>398</v>
      </c>
    </row>
    <row r="13" spans="2:12">
      <c r="B13" s="4"/>
      <c r="C13" s="746"/>
      <c r="D13" s="52" cm="1">
        <f t="array" ref="D13:D18">TRANSPOSE(E10:J10)</f>
        <v>2024</v>
      </c>
      <c r="E13" s="364">
        <f>'Forecasted FS'!E102</f>
        <v>52795</v>
      </c>
      <c r="F13" s="58">
        <f>E13*(1+$D$12)</f>
        <v>57164.108398815595</v>
      </c>
      <c r="G13" s="58">
        <f>F13*(1+$D$12)</f>
        <v>61894.787177413389</v>
      </c>
      <c r="H13" s="58">
        <f t="shared" ref="H13:J13" si="0">G13*(1+$D$12)</f>
        <v>67016.958490979843</v>
      </c>
      <c r="I13" s="58">
        <f t="shared" si="0"/>
        <v>72563.020735624523</v>
      </c>
      <c r="J13" s="58">
        <f t="shared" si="0"/>
        <v>78568.053472426254</v>
      </c>
      <c r="L13" s="228"/>
    </row>
    <row r="14" spans="2:12">
      <c r="C14" s="54" t="s">
        <v>84</v>
      </c>
      <c r="D14" s="54">
        <v>2025</v>
      </c>
      <c r="E14" s="366">
        <f t="shared" ref="E14:J14" si="1">SUM(E13:E13)</f>
        <v>52795</v>
      </c>
      <c r="F14" s="59">
        <f t="shared" si="1"/>
        <v>57164.108398815595</v>
      </c>
      <c r="G14" s="59">
        <f t="shared" si="1"/>
        <v>61894.787177413389</v>
      </c>
      <c r="H14" s="59">
        <f t="shared" si="1"/>
        <v>67016.958490979843</v>
      </c>
      <c r="I14" s="59">
        <f t="shared" si="1"/>
        <v>72563.020735624523</v>
      </c>
      <c r="J14" s="59">
        <f t="shared" si="1"/>
        <v>78568.053472426254</v>
      </c>
      <c r="L14" s="228"/>
    </row>
    <row r="15" spans="2:12">
      <c r="C15" s="1" t="s">
        <v>85</v>
      </c>
      <c r="D15" s="1">
        <v>2026</v>
      </c>
      <c r="E15" s="365">
        <f>-('Actuals FS'!D87+'Actuals FS'!D88)</f>
        <v>77658</v>
      </c>
      <c r="F15" s="27">
        <f>'Forecasted FS'!F37*F16</f>
        <v>-95566.258200000011</v>
      </c>
      <c r="G15" s="27">
        <f>'Forecasted FS'!G37*G16</f>
        <v>-107887.47934650003</v>
      </c>
      <c r="H15" s="27">
        <f>'Forecasted FS'!H37*H16</f>
        <v>-117597.35248768504</v>
      </c>
      <c r="I15" s="27">
        <f>'Forecasted FS'!I37*I16</f>
        <v>-120435.90927187055</v>
      </c>
      <c r="J15" s="27">
        <f>'Forecasted FS'!J37*J16</f>
        <v>-127572.85204353697</v>
      </c>
      <c r="L15" s="228"/>
    </row>
    <row r="16" spans="2:12">
      <c r="C16" s="209" t="s">
        <v>86</v>
      </c>
      <c r="D16" s="56">
        <v>2027</v>
      </c>
      <c r="E16" s="367">
        <f>E15/'Actuals FS'!D47</f>
        <v>0.12172882583363508</v>
      </c>
      <c r="F16" s="265">
        <f>Scenarios!E57</f>
        <v>-0.14000000000000001</v>
      </c>
      <c r="G16" s="265">
        <f>Scenarios!F57</f>
        <v>-0.14500000000000002</v>
      </c>
      <c r="H16" s="265">
        <f>Scenarios!G57</f>
        <v>-0.14500000000000002</v>
      </c>
      <c r="I16" s="265">
        <f>Scenarios!H57</f>
        <v>-0.13500000000000001</v>
      </c>
      <c r="J16" s="265">
        <f>Scenarios!I57</f>
        <v>-0.13</v>
      </c>
      <c r="L16" s="228" t="s">
        <v>79</v>
      </c>
    </row>
    <row r="17" spans="3:12">
      <c r="C17" s="1" t="s">
        <v>82</v>
      </c>
      <c r="D17" s="1">
        <v>2028</v>
      </c>
      <c r="E17" s="365">
        <f>'Actuals FS'!D87</f>
        <v>-82999</v>
      </c>
      <c r="F17" s="27">
        <f>E17+F15</f>
        <v>-178565.25820000001</v>
      </c>
      <c r="G17" s="27">
        <f>F17+G15</f>
        <v>-286452.73754650005</v>
      </c>
      <c r="H17" s="27">
        <f>G17+H15</f>
        <v>-404050.09003418509</v>
      </c>
      <c r="I17" s="27">
        <f>H17+I15</f>
        <v>-524485.9993060556</v>
      </c>
      <c r="J17" s="27">
        <f>I17+J15</f>
        <v>-652058.85134959256</v>
      </c>
      <c r="L17" s="228"/>
    </row>
    <row r="18" spans="3:12">
      <c r="C18" s="1" t="s">
        <v>83</v>
      </c>
      <c r="D18" s="1">
        <v>2029</v>
      </c>
      <c r="E18" s="365">
        <f>'Actuals FS'!D75</f>
        <v>52795</v>
      </c>
      <c r="F18" s="27">
        <f>E18-F14</f>
        <v>-4369.1083988155951</v>
      </c>
      <c r="G18" s="27">
        <f>F18-G14</f>
        <v>-66263.895576228984</v>
      </c>
      <c r="H18" s="27">
        <f>G18-H14</f>
        <v>-133280.85406720883</v>
      </c>
      <c r="I18" s="27">
        <f>H18-I14</f>
        <v>-205843.87480283336</v>
      </c>
      <c r="J18" s="27">
        <f>I18-J14</f>
        <v>-284411.92827525962</v>
      </c>
      <c r="L18" s="228"/>
    </row>
    <row r="19" spans="3:12">
      <c r="C19" s="40" t="s">
        <v>81</v>
      </c>
      <c r="D19" s="40"/>
      <c r="E19" s="368">
        <f t="shared" ref="E19:J19" si="2">E17+E18</f>
        <v>-30204</v>
      </c>
      <c r="F19" s="53">
        <f>F17+F18</f>
        <v>-182934.3665988156</v>
      </c>
      <c r="G19" s="53">
        <f t="shared" si="2"/>
        <v>-352716.63312272902</v>
      </c>
      <c r="H19" s="53">
        <f t="shared" si="2"/>
        <v>-537330.94410139392</v>
      </c>
      <c r="I19" s="53">
        <f t="shared" si="2"/>
        <v>-730329.87410888891</v>
      </c>
      <c r="J19" s="53">
        <f t="shared" si="2"/>
        <v>-936470.77962485212</v>
      </c>
      <c r="L19" s="228"/>
    </row>
    <row r="20" spans="3:12" ht="6.5" customHeight="1">
      <c r="C20" s="55"/>
      <c r="D20" s="38"/>
      <c r="E20" s="369"/>
      <c r="F20" s="38"/>
      <c r="G20" s="38"/>
      <c r="H20" s="38"/>
      <c r="I20" s="38"/>
      <c r="J20" s="38"/>
      <c r="L20" s="228"/>
    </row>
    <row r="21" spans="3:12" ht="4.75" customHeight="1" thickBot="1">
      <c r="C21" s="206"/>
      <c r="D21" s="207"/>
      <c r="E21" s="370"/>
      <c r="F21" s="208"/>
      <c r="G21" s="208"/>
      <c r="H21" s="208"/>
      <c r="I21" s="208"/>
      <c r="J21" s="208"/>
    </row>
    <row r="22" spans="3:12" ht="13" thickBot="1">
      <c r="C22" s="521" t="s">
        <v>399</v>
      </c>
      <c r="D22" s="522"/>
      <c r="E22" s="569">
        <f>E14</f>
        <v>52795</v>
      </c>
      <c r="F22" s="569">
        <f>F14</f>
        <v>57164.108398815595</v>
      </c>
      <c r="G22" s="569">
        <f t="shared" ref="G22:I22" si="3">G14</f>
        <v>61894.787177413389</v>
      </c>
      <c r="H22" s="569">
        <f t="shared" si="3"/>
        <v>67016.958490979843</v>
      </c>
      <c r="I22" s="569">
        <f t="shared" si="3"/>
        <v>72563.020735624523</v>
      </c>
      <c r="J22" s="569">
        <f>J14</f>
        <v>78568.053472426254</v>
      </c>
    </row>
    <row r="23" spans="3:12">
      <c r="C23" s="55"/>
      <c r="D23" s="38"/>
      <c r="E23" s="38"/>
      <c r="F23" s="38"/>
      <c r="G23" s="38"/>
      <c r="H23" s="38"/>
      <c r="I23" s="38"/>
      <c r="J23" s="38"/>
    </row>
    <row r="24" spans="3:12">
      <c r="C24" s="292" t="s">
        <v>405</v>
      </c>
      <c r="D24" s="292"/>
      <c r="E24" s="292"/>
    </row>
    <row r="25" spans="3:12" ht="5.5" customHeight="1">
      <c r="C25" s="143"/>
      <c r="D25" s="143"/>
      <c r="E25" s="143"/>
      <c r="F25" s="143"/>
      <c r="G25" s="143"/>
      <c r="H25" s="143"/>
      <c r="I25" s="143"/>
      <c r="J25" s="143"/>
    </row>
    <row r="26" spans="3:12">
      <c r="C26" s="467"/>
      <c r="D26" s="502">
        <v>2023</v>
      </c>
      <c r="E26" s="502">
        <v>2024</v>
      </c>
    </row>
    <row r="27" spans="3:12">
      <c r="C27" s="1" t="s">
        <v>88</v>
      </c>
      <c r="D27" s="35">
        <f>'Actuals FS'!E17</f>
        <v>204177</v>
      </c>
      <c r="E27" s="35">
        <f>'Actuals FS'!D17</f>
        <v>252665</v>
      </c>
    </row>
    <row r="28" spans="3:12">
      <c r="C28" s="40" t="s">
        <v>575</v>
      </c>
      <c r="D28" s="53"/>
      <c r="E28" s="215">
        <f>AVERAGE(D27:E27)/E14</f>
        <v>4.3265650156264801</v>
      </c>
    </row>
    <row r="29" spans="3:12">
      <c r="E29" s="57"/>
    </row>
    <row r="30" spans="3:12">
      <c r="C30" s="42" t="s">
        <v>63</v>
      </c>
    </row>
    <row r="31" spans="3:12">
      <c r="C31" s="43" t="s">
        <v>62</v>
      </c>
    </row>
  </sheetData>
  <mergeCells count="1">
    <mergeCell ref="C12:C1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D89C-D06E-43F8-BF64-5AE3589C1E87}">
  <sheetPr>
    <tabColor rgb="FFAFDEFF"/>
  </sheetPr>
  <dimension ref="B1:Q89"/>
  <sheetViews>
    <sheetView showGridLines="0" zoomScale="81" workbookViewId="0">
      <selection activeCell="C50" sqref="C50"/>
    </sheetView>
  </sheetViews>
  <sheetFormatPr baseColWidth="10" defaultColWidth="8.83203125" defaultRowHeight="12"/>
  <cols>
    <col min="1" max="2" width="3.1640625" style="1" customWidth="1"/>
    <col min="3" max="3" width="43.1640625" style="1" customWidth="1"/>
    <col min="4" max="4" width="13.5" style="1" bestFit="1" customWidth="1"/>
    <col min="5" max="5" width="11.1640625" style="1" bestFit="1" customWidth="1"/>
    <col min="6" max="6" width="13" style="1" bestFit="1" customWidth="1"/>
    <col min="7" max="7" width="17.33203125" style="1" bestFit="1" customWidth="1"/>
    <col min="8" max="8" width="14.1640625" style="1" bestFit="1" customWidth="1"/>
    <col min="9" max="9" width="7.6640625" style="1" bestFit="1" customWidth="1"/>
    <col min="10" max="10" width="17" style="1" bestFit="1" customWidth="1"/>
    <col min="11" max="11" width="14.1640625" style="1" bestFit="1" customWidth="1"/>
    <col min="12" max="12" width="10.33203125" style="1" bestFit="1" customWidth="1"/>
    <col min="13" max="13" width="9.1640625" style="1" bestFit="1" customWidth="1"/>
    <col min="14" max="14" width="14.33203125" style="1" bestFit="1" customWidth="1"/>
    <col min="15" max="15" width="11.5" style="1" bestFit="1" customWidth="1"/>
    <col min="16" max="16384" width="8.83203125" style="1"/>
  </cols>
  <sheetData>
    <row r="1" spans="2:17" s="457" customFormat="1"/>
    <row r="2" spans="2:17" s="457" customFormat="1" ht="18">
      <c r="B2" s="462"/>
    </row>
    <row r="3" spans="2:17" s="457" customFormat="1" ht="13">
      <c r="B3" s="459"/>
      <c r="C3" s="461" t="s">
        <v>349</v>
      </c>
    </row>
    <row r="4" spans="2:17" s="457" customFormat="1">
      <c r="B4" s="459"/>
      <c r="C4" s="460" t="s">
        <v>23</v>
      </c>
    </row>
    <row r="5" spans="2:17" s="457" customFormat="1" ht="7.75" customHeight="1">
      <c r="B5" s="459"/>
    </row>
    <row r="6" spans="2:17">
      <c r="B6" s="4"/>
    </row>
    <row r="7" spans="2:17">
      <c r="B7" s="4"/>
    </row>
    <row r="8" spans="2:17">
      <c r="C8" s="226" t="s">
        <v>176</v>
      </c>
      <c r="D8" s="107">
        <v>46003</v>
      </c>
    </row>
    <row r="9" spans="2:17">
      <c r="C9" s="4"/>
    </row>
    <row r="10" spans="2:17">
      <c r="B10" s="4"/>
      <c r="C10" s="292" t="s">
        <v>408</v>
      </c>
      <c r="D10" s="292"/>
      <c r="E10" s="292"/>
      <c r="F10" s="292"/>
      <c r="G10" s="292"/>
      <c r="H10" s="292"/>
      <c r="I10" s="292"/>
      <c r="J10" s="292"/>
      <c r="K10" s="292"/>
      <c r="L10" s="292"/>
      <c r="M10" s="292"/>
      <c r="N10" s="292"/>
      <c r="O10" s="292"/>
      <c r="P10" s="292"/>
      <c r="Q10" s="292"/>
    </row>
    <row r="11" spans="2:17" ht="5.5" customHeight="1">
      <c r="C11" s="143"/>
      <c r="D11" s="143"/>
      <c r="E11" s="143"/>
      <c r="F11" s="143"/>
      <c r="G11" s="143"/>
      <c r="H11" s="143"/>
      <c r="I11" s="143"/>
      <c r="J11" s="143"/>
    </row>
    <row r="12" spans="2:17">
      <c r="C12" s="712" t="s">
        <v>409</v>
      </c>
      <c r="D12" s="471" t="s">
        <v>174</v>
      </c>
      <c r="E12" s="471" t="s">
        <v>175</v>
      </c>
      <c r="F12" s="471" t="s">
        <v>180</v>
      </c>
      <c r="G12" s="471" t="s">
        <v>184</v>
      </c>
      <c r="H12" s="471" t="s">
        <v>181</v>
      </c>
      <c r="I12" s="471" t="s">
        <v>177</v>
      </c>
      <c r="J12" s="471" t="s">
        <v>182</v>
      </c>
      <c r="K12" s="471" t="s">
        <v>183</v>
      </c>
      <c r="L12" s="471" t="s">
        <v>178</v>
      </c>
      <c r="M12" s="471" t="s">
        <v>179</v>
      </c>
      <c r="N12" s="471" t="s">
        <v>185</v>
      </c>
      <c r="O12" s="471" t="s">
        <v>109</v>
      </c>
      <c r="P12" s="704" t="s">
        <v>429</v>
      </c>
      <c r="Q12" s="704" t="s">
        <v>483</v>
      </c>
    </row>
    <row r="13" spans="2:17" ht="15">
      <c r="B13" s="713">
        <v>1</v>
      </c>
      <c r="C13" s="714" t="s">
        <v>828</v>
      </c>
      <c r="D13" s="715">
        <v>45642</v>
      </c>
      <c r="E13" s="715">
        <v>51882</v>
      </c>
      <c r="F13" s="702">
        <v>17</v>
      </c>
      <c r="G13" s="716">
        <f>(E13-$D$8)/365</f>
        <v>16.106849315068494</v>
      </c>
      <c r="H13" s="717">
        <v>6.0339999999999998E-2</v>
      </c>
      <c r="I13" s="702">
        <v>1000</v>
      </c>
      <c r="J13" s="717">
        <f>H13</f>
        <v>6.0339999999999998E-2</v>
      </c>
      <c r="K13" s="717">
        <v>5.8200000000000002E-2</v>
      </c>
      <c r="L13" s="701">
        <v>100</v>
      </c>
      <c r="M13" s="702">
        <v>4</v>
      </c>
      <c r="N13" s="718">
        <f t="shared" ref="N13:N43" si="0">PRICE(D13,E13,H13,J13,L13,M13)</f>
        <v>99.997488390314302</v>
      </c>
      <c r="O13" s="718">
        <f t="shared" ref="O13:O43" si="1">PRICE($D$8,E13,H13,K13,L13,M13)</f>
        <v>102.22357284360412</v>
      </c>
      <c r="P13" s="718">
        <f>DURATION($D$8,E13,H13,K13,M13)</f>
        <v>10.380605147605607</v>
      </c>
      <c r="Q13" s="719">
        <f>MDURATION($D$8,E13,H13,K13,M13)</f>
        <v>10.231733426253616</v>
      </c>
    </row>
    <row r="14" spans="2:17" ht="15">
      <c r="B14" s="720">
        <v>2</v>
      </c>
      <c r="C14" s="721" t="s">
        <v>829</v>
      </c>
      <c r="D14" s="106">
        <v>42957</v>
      </c>
      <c r="E14" s="106">
        <v>53926</v>
      </c>
      <c r="F14" s="29">
        <v>30</v>
      </c>
      <c r="G14" s="27">
        <f t="shared" ref="G14:G26" si="2">(E14-$D$8)/365</f>
        <v>21.706849315068492</v>
      </c>
      <c r="H14" s="722">
        <v>4.0500000000000001E-2</v>
      </c>
      <c r="I14" s="29">
        <v>1000</v>
      </c>
      <c r="J14" s="722">
        <v>4.0899999999999999E-2</v>
      </c>
      <c r="K14" s="722">
        <v>5.4800000000000001E-2</v>
      </c>
      <c r="L14" s="48">
        <v>100</v>
      </c>
      <c r="M14" s="29">
        <v>2</v>
      </c>
      <c r="N14" s="109">
        <f t="shared" ref="N14:N26" si="3">PRICE(D14,E14,H14,J14,L14,M14)</f>
        <v>99.310624843161875</v>
      </c>
      <c r="O14" s="109">
        <f t="shared" ref="O14:O26" si="4">PRICE($D$8,E14,H14,K14,L14,M14)</f>
        <v>81.974461867245793</v>
      </c>
      <c r="P14" s="109">
        <f t="shared" ref="P14:P26" si="5">DURATION($D$8,E14,H14,K14,M14)</f>
        <v>13.604965147140174</v>
      </c>
      <c r="Q14" s="723">
        <f t="shared" ref="Q14:Q26" si="6">MDURATION($D$8,E14,H14,K14,M14)</f>
        <v>13.242130764201063</v>
      </c>
    </row>
    <row r="15" spans="2:17" ht="15">
      <c r="B15" s="720">
        <v>3</v>
      </c>
      <c r="C15" s="721" t="s">
        <v>830</v>
      </c>
      <c r="D15" s="106">
        <v>44664</v>
      </c>
      <c r="E15" s="106">
        <v>46490</v>
      </c>
      <c r="F15" s="29">
        <v>5</v>
      </c>
      <c r="G15" s="27">
        <f t="shared" si="2"/>
        <v>1.3342465753424657</v>
      </c>
      <c r="H15" s="722">
        <v>3.3000000000000002E-2</v>
      </c>
      <c r="I15" s="29">
        <v>1000</v>
      </c>
      <c r="J15" s="722">
        <v>3.3500000000000002E-2</v>
      </c>
      <c r="K15" s="722">
        <v>3.6999999999999998E-2</v>
      </c>
      <c r="L15" s="48">
        <v>100</v>
      </c>
      <c r="M15" s="29">
        <v>2</v>
      </c>
      <c r="N15" s="109">
        <f t="shared" si="3"/>
        <v>99.771568377590725</v>
      </c>
      <c r="O15" s="109">
        <f t="shared" si="4"/>
        <v>99.479871254328231</v>
      </c>
      <c r="P15" s="109">
        <f t="shared" si="5"/>
        <v>1.3118172684734377</v>
      </c>
      <c r="Q15" s="723">
        <f t="shared" si="6"/>
        <v>1.287989463400528</v>
      </c>
    </row>
    <row r="16" spans="2:17" ht="15">
      <c r="B16" s="720">
        <v>4</v>
      </c>
      <c r="C16" s="721" t="s">
        <v>831</v>
      </c>
      <c r="D16" s="106">
        <v>44896</v>
      </c>
      <c r="E16" s="106">
        <v>47453</v>
      </c>
      <c r="F16" s="29">
        <v>7</v>
      </c>
      <c r="G16" s="27">
        <f t="shared" si="2"/>
        <v>3.9726027397260273</v>
      </c>
      <c r="H16" s="722">
        <v>4.65E-2</v>
      </c>
      <c r="I16" s="29">
        <v>1000</v>
      </c>
      <c r="J16" s="722">
        <v>4.6600000000000003E-2</v>
      </c>
      <c r="K16" s="722">
        <v>3.9199999999999999E-2</v>
      </c>
      <c r="L16" s="48">
        <v>100</v>
      </c>
      <c r="M16" s="29">
        <v>2</v>
      </c>
      <c r="N16" s="109">
        <f t="shared" si="3"/>
        <v>99.940851182070332</v>
      </c>
      <c r="O16" s="109">
        <f t="shared" si="4"/>
        <v>102.65820131019801</v>
      </c>
      <c r="P16" s="109">
        <f t="shared" si="5"/>
        <v>3.6701999370140772</v>
      </c>
      <c r="Q16" s="723">
        <f t="shared" si="6"/>
        <v>3.5996468585857953</v>
      </c>
    </row>
    <row r="17" spans="2:17" ht="15">
      <c r="B17" s="720">
        <v>5</v>
      </c>
      <c r="C17" s="721" t="s">
        <v>832</v>
      </c>
      <c r="D17" s="106">
        <v>42969</v>
      </c>
      <c r="E17" s="106">
        <v>57579</v>
      </c>
      <c r="F17" s="29">
        <v>40</v>
      </c>
      <c r="G17" s="27">
        <f t="shared" si="2"/>
        <v>31.715068493150685</v>
      </c>
      <c r="H17" s="722">
        <v>4.2500000000000003E-2</v>
      </c>
      <c r="I17" s="29">
        <v>1000</v>
      </c>
      <c r="J17" s="722">
        <v>4.2900000000000001E-2</v>
      </c>
      <c r="K17" s="722">
        <v>5.5E-2</v>
      </c>
      <c r="L17" s="48">
        <v>100</v>
      </c>
      <c r="M17" s="29">
        <v>2</v>
      </c>
      <c r="N17" s="109">
        <f t="shared" si="3"/>
        <v>99.238299129262899</v>
      </c>
      <c r="O17" s="109">
        <f t="shared" si="4"/>
        <v>81.336955347367336</v>
      </c>
      <c r="P17" s="109">
        <f t="shared" si="5"/>
        <v>15.903132973541087</v>
      </c>
      <c r="Q17" s="723">
        <f t="shared" si="6"/>
        <v>15.477501677412249</v>
      </c>
    </row>
    <row r="18" spans="2:17" ht="15">
      <c r="B18" s="720">
        <v>6</v>
      </c>
      <c r="C18" s="721" t="s">
        <v>833</v>
      </c>
      <c r="D18" s="106">
        <v>43985</v>
      </c>
      <c r="E18" s="106">
        <v>47637</v>
      </c>
      <c r="F18" s="29">
        <v>10</v>
      </c>
      <c r="G18" s="27">
        <f t="shared" si="2"/>
        <v>4.4767123287671229</v>
      </c>
      <c r="H18" s="722">
        <v>1.4999999999999999E-2</v>
      </c>
      <c r="I18" s="29">
        <v>1000</v>
      </c>
      <c r="J18" s="722">
        <v>1.5100000000000001E-2</v>
      </c>
      <c r="K18" s="722">
        <v>0.04</v>
      </c>
      <c r="L18" s="48">
        <v>100</v>
      </c>
      <c r="M18" s="29">
        <v>2</v>
      </c>
      <c r="N18" s="109">
        <f t="shared" si="3"/>
        <v>99.907506965923162</v>
      </c>
      <c r="O18" s="109">
        <f t="shared" si="4"/>
        <v>89.848659176639529</v>
      </c>
      <c r="P18" s="109">
        <f t="shared" si="5"/>
        <v>4.3341579424427819</v>
      </c>
      <c r="Q18" s="723">
        <f t="shared" si="6"/>
        <v>4.249174453375276</v>
      </c>
    </row>
    <row r="19" spans="2:17" ht="15">
      <c r="B19" s="720">
        <v>7</v>
      </c>
      <c r="C19" s="721" t="s">
        <v>834</v>
      </c>
      <c r="D19" s="106">
        <v>44328</v>
      </c>
      <c r="E19" s="106">
        <v>46885</v>
      </c>
      <c r="F19" s="29">
        <v>7</v>
      </c>
      <c r="G19" s="27">
        <f t="shared" si="2"/>
        <v>2.4164383561643836</v>
      </c>
      <c r="H19" s="722">
        <v>1.6500000000000001E-2</v>
      </c>
      <c r="I19" s="29">
        <v>1000</v>
      </c>
      <c r="J19" s="722">
        <v>1.66E-2</v>
      </c>
      <c r="K19" s="722">
        <v>3.85E-2</v>
      </c>
      <c r="L19" s="48">
        <v>100</v>
      </c>
      <c r="M19" s="29">
        <v>2</v>
      </c>
      <c r="N19" s="109">
        <f t="shared" si="3"/>
        <v>99.934171214173546</v>
      </c>
      <c r="O19" s="109">
        <f t="shared" si="4"/>
        <v>94.968140325784447</v>
      </c>
      <c r="P19" s="109">
        <f t="shared" si="5"/>
        <v>2.3747762191174351</v>
      </c>
      <c r="Q19" s="723">
        <f t="shared" si="6"/>
        <v>2.3299251597914497</v>
      </c>
    </row>
    <row r="20" spans="2:17" ht="15">
      <c r="B20" s="720">
        <v>8</v>
      </c>
      <c r="C20" s="721" t="s">
        <v>835</v>
      </c>
      <c r="D20" s="106">
        <v>44328</v>
      </c>
      <c r="E20" s="106">
        <v>46154</v>
      </c>
      <c r="F20" s="29">
        <v>5</v>
      </c>
      <c r="G20" s="730">
        <f>(E20-$D$8)/365</f>
        <v>0.41369863013698632</v>
      </c>
      <c r="H20" s="722">
        <v>0.01</v>
      </c>
      <c r="I20" s="29">
        <v>1000</v>
      </c>
      <c r="J20" s="722">
        <v>1.09E-2</v>
      </c>
      <c r="K20" s="722">
        <v>3.7999999999999999E-2</v>
      </c>
      <c r="L20" s="48">
        <v>100</v>
      </c>
      <c r="M20" s="29">
        <v>2</v>
      </c>
      <c r="N20" s="109">
        <f t="shared" si="3"/>
        <v>99.563199825283519</v>
      </c>
      <c r="O20" s="109">
        <f t="shared" si="4"/>
        <v>98.850218758545253</v>
      </c>
      <c r="P20" s="109">
        <f t="shared" si="5"/>
        <v>0.41666666666666674</v>
      </c>
      <c r="Q20" s="723">
        <f t="shared" si="6"/>
        <v>0.40889761203794583</v>
      </c>
    </row>
    <row r="21" spans="2:17" ht="15">
      <c r="B21" s="720">
        <v>9</v>
      </c>
      <c r="C21" s="721" t="s">
        <v>836</v>
      </c>
      <c r="D21" s="106">
        <v>43985</v>
      </c>
      <c r="E21" s="106">
        <v>54942</v>
      </c>
      <c r="F21" s="29">
        <v>30</v>
      </c>
      <c r="G21" s="27">
        <f t="shared" si="2"/>
        <v>24.490410958904111</v>
      </c>
      <c r="H21" s="722">
        <v>2.5000000000000001E-2</v>
      </c>
      <c r="I21" s="29">
        <v>1000</v>
      </c>
      <c r="J21" s="722">
        <v>2.5499999999999998E-2</v>
      </c>
      <c r="K21" s="722">
        <v>5.4800000000000001E-2</v>
      </c>
      <c r="L21" s="48">
        <v>100</v>
      </c>
      <c r="M21" s="29">
        <v>2</v>
      </c>
      <c r="N21" s="109">
        <f t="shared" si="3"/>
        <v>98.956058135322422</v>
      </c>
      <c r="O21" s="109">
        <f t="shared" si="4"/>
        <v>60.100159314367396</v>
      </c>
      <c r="P21" s="109">
        <f t="shared" si="5"/>
        <v>16.321933928547633</v>
      </c>
      <c r="Q21" s="723">
        <f t="shared" si="6"/>
        <v>15.88663999274638</v>
      </c>
    </row>
    <row r="22" spans="2:17" ht="15">
      <c r="B22" s="720">
        <v>10</v>
      </c>
      <c r="C22" s="721" t="s">
        <v>837</v>
      </c>
      <c r="D22" s="106">
        <v>44664</v>
      </c>
      <c r="E22" s="106">
        <v>59274</v>
      </c>
      <c r="F22" s="29">
        <v>40</v>
      </c>
      <c r="G22" s="27">
        <f t="shared" si="2"/>
        <v>36.358904109589041</v>
      </c>
      <c r="H22" s="722">
        <v>4.1000000000000002E-2</v>
      </c>
      <c r="I22" s="29">
        <v>1000</v>
      </c>
      <c r="J22" s="722">
        <v>4.1200000000000001E-2</v>
      </c>
      <c r="K22" s="722">
        <v>5.4800000000000001E-2</v>
      </c>
      <c r="L22" s="48">
        <v>100</v>
      </c>
      <c r="M22" s="29">
        <v>2</v>
      </c>
      <c r="N22" s="109">
        <f t="shared" si="3"/>
        <v>99.609555244234144</v>
      </c>
      <c r="O22" s="109">
        <f t="shared" si="4"/>
        <v>78.342917164835939</v>
      </c>
      <c r="P22" s="109">
        <f t="shared" si="5"/>
        <v>16.888179406509913</v>
      </c>
      <c r="Q22" s="723">
        <f t="shared" si="6"/>
        <v>16.437784121578655</v>
      </c>
    </row>
    <row r="23" spans="2:17" ht="15">
      <c r="B23" s="720">
        <v>11</v>
      </c>
      <c r="C23" s="721" t="s">
        <v>838</v>
      </c>
      <c r="D23" s="106">
        <v>44664</v>
      </c>
      <c r="E23" s="106">
        <v>48317</v>
      </c>
      <c r="F23" s="29">
        <v>10</v>
      </c>
      <c r="G23" s="27">
        <f t="shared" si="2"/>
        <v>6.3397260273972602</v>
      </c>
      <c r="H23" s="722">
        <v>3.5999999999999997E-2</v>
      </c>
      <c r="I23" s="29">
        <v>1000</v>
      </c>
      <c r="J23" s="722">
        <v>3.6200000000000003E-2</v>
      </c>
      <c r="K23" s="722">
        <v>4.2599999999999999E-2</v>
      </c>
      <c r="L23" s="48">
        <v>100</v>
      </c>
      <c r="M23" s="29">
        <v>2</v>
      </c>
      <c r="N23" s="109">
        <f t="shared" si="3"/>
        <v>99.833447488238349</v>
      </c>
      <c r="O23" s="109">
        <f t="shared" si="4"/>
        <v>96.364413328111027</v>
      </c>
      <c r="P23" s="109">
        <f t="shared" si="5"/>
        <v>5.6740932844655569</v>
      </c>
      <c r="Q23" s="723">
        <f t="shared" si="6"/>
        <v>5.555755688304667</v>
      </c>
    </row>
    <row r="24" spans="2:17" ht="15">
      <c r="B24" s="720">
        <v>12</v>
      </c>
      <c r="C24" s="721" t="s">
        <v>839</v>
      </c>
      <c r="D24" s="106">
        <v>42969</v>
      </c>
      <c r="E24" s="106">
        <v>46621</v>
      </c>
      <c r="F24" s="29">
        <v>10</v>
      </c>
      <c r="G24" s="27">
        <f t="shared" si="2"/>
        <v>1.6931506849315068</v>
      </c>
      <c r="H24" s="722">
        <v>3.15E-2</v>
      </c>
      <c r="I24" s="29">
        <v>1000</v>
      </c>
      <c r="J24" s="722">
        <v>3.1699999999999999E-2</v>
      </c>
      <c r="K24" s="722">
        <v>3.6799999999999999E-2</v>
      </c>
      <c r="L24" s="48">
        <v>100</v>
      </c>
      <c r="M24" s="29">
        <v>2</v>
      </c>
      <c r="N24" s="109">
        <f t="shared" si="3"/>
        <v>99.829743615851015</v>
      </c>
      <c r="O24" s="109">
        <f t="shared" si="4"/>
        <v>99.133627116902019</v>
      </c>
      <c r="P24" s="109">
        <f t="shared" si="5"/>
        <v>1.6481353565733829</v>
      </c>
      <c r="Q24" s="723">
        <f t="shared" si="6"/>
        <v>1.6183575771537539</v>
      </c>
    </row>
    <row r="25" spans="2:17" ht="15">
      <c r="B25" s="720">
        <v>13</v>
      </c>
      <c r="C25" s="721" t="s">
        <v>840</v>
      </c>
      <c r="D25" s="106">
        <v>42969</v>
      </c>
      <c r="E25" s="106">
        <v>50274</v>
      </c>
      <c r="F25" s="29">
        <v>20</v>
      </c>
      <c r="G25" s="27">
        <f t="shared" si="2"/>
        <v>11.701369863013699</v>
      </c>
      <c r="H25" s="722">
        <v>3.875E-2</v>
      </c>
      <c r="I25" s="29">
        <v>1000</v>
      </c>
      <c r="J25" s="722">
        <v>3.8899999999999997E-2</v>
      </c>
      <c r="K25" s="722">
        <v>4.7600000000000003E-2</v>
      </c>
      <c r="L25" s="48">
        <v>100</v>
      </c>
      <c r="M25" s="29">
        <v>2</v>
      </c>
      <c r="N25" s="109">
        <f t="shared" si="3"/>
        <v>99.792840913966046</v>
      </c>
      <c r="O25" s="109">
        <f t="shared" si="4"/>
        <v>92.127602195266348</v>
      </c>
      <c r="P25" s="109">
        <f t="shared" si="5"/>
        <v>9.2852082074788758</v>
      </c>
      <c r="Q25" s="723">
        <f t="shared" si="6"/>
        <v>9.0693574990026136</v>
      </c>
    </row>
    <row r="26" spans="2:17" ht="15">
      <c r="B26" s="720">
        <v>14</v>
      </c>
      <c r="C26" s="721" t="s">
        <v>841</v>
      </c>
      <c r="D26" s="106">
        <v>41978</v>
      </c>
      <c r="E26" s="106">
        <v>52936</v>
      </c>
      <c r="F26" s="29">
        <v>30</v>
      </c>
      <c r="G26" s="27">
        <f t="shared" si="2"/>
        <v>18.994520547945207</v>
      </c>
      <c r="H26" s="722">
        <v>4.9500000000000002E-2</v>
      </c>
      <c r="I26" s="29">
        <v>1000</v>
      </c>
      <c r="J26" s="722">
        <v>5.0500000000000003E-2</v>
      </c>
      <c r="K26" s="722">
        <v>5.1799999999999999E-2</v>
      </c>
      <c r="L26" s="48">
        <v>100</v>
      </c>
      <c r="M26" s="29">
        <v>2</v>
      </c>
      <c r="N26" s="109">
        <f t="shared" si="3"/>
        <v>98.463330901570927</v>
      </c>
      <c r="O26" s="109">
        <f t="shared" si="4"/>
        <v>97.240717125474717</v>
      </c>
      <c r="P26" s="109">
        <f t="shared" si="5"/>
        <v>12.405970324107944</v>
      </c>
      <c r="Q26" s="723">
        <f t="shared" si="6"/>
        <v>12.092767642175597</v>
      </c>
    </row>
    <row r="27" spans="2:17" ht="15">
      <c r="B27" s="720">
        <v>15</v>
      </c>
      <c r="C27" s="721" t="s">
        <v>842</v>
      </c>
      <c r="D27" s="106">
        <v>44328</v>
      </c>
      <c r="E27" s="106">
        <v>55285</v>
      </c>
      <c r="F27" s="29">
        <v>30</v>
      </c>
      <c r="G27" s="27">
        <f t="shared" ref="G27:G43" si="7">(E27-$D$8)/365</f>
        <v>25.43013698630137</v>
      </c>
      <c r="H27" s="722">
        <v>3.1E-2</v>
      </c>
      <c r="I27" s="29">
        <v>1000</v>
      </c>
      <c r="J27" s="722">
        <v>3.1399999999999997E-2</v>
      </c>
      <c r="K27" s="722">
        <v>5.4300000000000001E-2</v>
      </c>
      <c r="L27" s="48">
        <v>100</v>
      </c>
      <c r="M27" s="29">
        <v>2</v>
      </c>
      <c r="N27" s="109">
        <f t="shared" si="0"/>
        <v>99.226383193751616</v>
      </c>
      <c r="O27" s="109">
        <f t="shared" si="1"/>
        <v>68.081666910336921</v>
      </c>
      <c r="P27" s="109">
        <f t="shared" ref="P27:P43" si="8">DURATION($D$8,E27,H27,K27,M27)</f>
        <v>15.843193147166749</v>
      </c>
      <c r="Q27" s="723">
        <f t="shared" ref="Q27:Q43" si="9">MDURATION($D$8,E27,H27,K27,M27)</f>
        <v>15.424420140356082</v>
      </c>
    </row>
    <row r="28" spans="2:17" ht="15">
      <c r="B28" s="720">
        <v>16</v>
      </c>
      <c r="C28" s="721" t="s">
        <v>838</v>
      </c>
      <c r="D28" s="106">
        <v>44896</v>
      </c>
      <c r="E28" s="106">
        <v>48549</v>
      </c>
      <c r="F28" s="29">
        <v>10</v>
      </c>
      <c r="G28" s="27">
        <f t="shared" si="7"/>
        <v>6.9753424657534246</v>
      </c>
      <c r="H28" s="722">
        <v>4.7E-2</v>
      </c>
      <c r="I28" s="29">
        <v>1000</v>
      </c>
      <c r="J28" s="722">
        <v>4.7E-2</v>
      </c>
      <c r="K28" s="722">
        <v>4.2500000000000003E-2</v>
      </c>
      <c r="L28" s="48">
        <v>100</v>
      </c>
      <c r="M28" s="29">
        <v>2</v>
      </c>
      <c r="N28" s="109">
        <f t="shared" si="0"/>
        <v>99.999999999999901</v>
      </c>
      <c r="O28" s="109">
        <f t="shared" si="1"/>
        <v>102.68853922177269</v>
      </c>
      <c r="P28" s="109">
        <f t="shared" si="8"/>
        <v>6.0301627453793678</v>
      </c>
      <c r="Q28" s="723">
        <f t="shared" si="9"/>
        <v>5.9046881227704953</v>
      </c>
    </row>
    <row r="29" spans="2:17" ht="15">
      <c r="B29" s="720">
        <v>17</v>
      </c>
      <c r="C29" s="721" t="s">
        <v>831</v>
      </c>
      <c r="D29" s="106">
        <v>44664</v>
      </c>
      <c r="E29" s="106">
        <v>47221</v>
      </c>
      <c r="F29" s="29">
        <v>7</v>
      </c>
      <c r="G29" s="27">
        <f t="shared" si="7"/>
        <v>3.3369863013698629</v>
      </c>
      <c r="H29" s="722">
        <v>3.4500000000000003E-2</v>
      </c>
      <c r="I29" s="29">
        <v>1000</v>
      </c>
      <c r="J29" s="722">
        <v>3.49E-2</v>
      </c>
      <c r="K29" s="722">
        <v>3.8699999999999998E-2</v>
      </c>
      <c r="L29" s="48">
        <v>100</v>
      </c>
      <c r="M29" s="29">
        <v>2</v>
      </c>
      <c r="N29" s="109">
        <f t="shared" si="0"/>
        <v>99.753472445201368</v>
      </c>
      <c r="O29" s="109">
        <f t="shared" si="1"/>
        <v>98.693645675872858</v>
      </c>
      <c r="P29" s="109">
        <f t="shared" si="8"/>
        <v>3.1615621994378094</v>
      </c>
      <c r="Q29" s="723">
        <f t="shared" si="9"/>
        <v>3.1015472599576293</v>
      </c>
    </row>
    <row r="30" spans="2:17" ht="15">
      <c r="B30" s="720">
        <v>19</v>
      </c>
      <c r="C30" s="721" t="s">
        <v>843</v>
      </c>
      <c r="D30" s="106">
        <v>45981</v>
      </c>
      <c r="E30" s="106">
        <v>47807</v>
      </c>
      <c r="F30" s="29">
        <v>5</v>
      </c>
      <c r="G30" s="27">
        <f t="shared" si="7"/>
        <v>4.9424657534246572</v>
      </c>
      <c r="H30" s="722">
        <v>4.1000000000000002E-2</v>
      </c>
      <c r="I30" s="29">
        <v>1000</v>
      </c>
      <c r="J30" s="722">
        <v>4.1200000000000001E-2</v>
      </c>
      <c r="K30" s="722">
        <v>4.0500000000000001E-2</v>
      </c>
      <c r="L30" s="48">
        <v>100</v>
      </c>
      <c r="M30" s="29">
        <v>2</v>
      </c>
      <c r="N30" s="109">
        <f t="shared" si="0"/>
        <v>99.910455484049123</v>
      </c>
      <c r="O30" s="109">
        <f t="shared" si="1"/>
        <v>100.21959364127231</v>
      </c>
      <c r="P30" s="109">
        <f t="shared" si="8"/>
        <v>4.5108706495163586</v>
      </c>
      <c r="Q30" s="723">
        <f t="shared" si="9"/>
        <v>4.421338544000351</v>
      </c>
    </row>
    <row r="31" spans="2:17" ht="15">
      <c r="B31" s="720">
        <v>20</v>
      </c>
      <c r="C31" s="721" t="s">
        <v>844</v>
      </c>
      <c r="D31" s="106">
        <v>45981</v>
      </c>
      <c r="E31" s="106">
        <v>47077</v>
      </c>
      <c r="F31" s="29">
        <v>3</v>
      </c>
      <c r="G31" s="27">
        <f t="shared" si="7"/>
        <v>2.9424657534246577</v>
      </c>
      <c r="H31" s="722">
        <v>3.9E-2</v>
      </c>
      <c r="I31" s="29">
        <v>1000</v>
      </c>
      <c r="J31" s="722">
        <v>3.9100000000000003E-2</v>
      </c>
      <c r="K31" s="722">
        <v>3.85E-2</v>
      </c>
      <c r="L31" s="48">
        <v>100</v>
      </c>
      <c r="M31" s="29">
        <v>2</v>
      </c>
      <c r="N31" s="109">
        <f>PRICE(D31,E31,H31,J31,L31,M31)</f>
        <v>99.971950263020616</v>
      </c>
      <c r="O31" s="109">
        <f>PRICE($D$8,E31,H31,K31,L31,M31)</f>
        <v>100.1356987521353</v>
      </c>
      <c r="P31" s="109">
        <f t="shared" si="8"/>
        <v>2.7991596999567747</v>
      </c>
      <c r="Q31" s="723">
        <f t="shared" si="9"/>
        <v>2.7462935491359084</v>
      </c>
    </row>
    <row r="32" spans="2:17" ht="15">
      <c r="B32" s="720">
        <v>21</v>
      </c>
      <c r="C32" s="721" t="s">
        <v>845</v>
      </c>
      <c r="D32" s="106">
        <v>43985</v>
      </c>
      <c r="E32" s="106">
        <v>58595</v>
      </c>
      <c r="F32" s="29">
        <v>40</v>
      </c>
      <c r="G32" s="27">
        <f t="shared" si="7"/>
        <v>34.4986301369863</v>
      </c>
      <c r="H32" s="722">
        <v>2.7E-2</v>
      </c>
      <c r="I32" s="29">
        <v>1000</v>
      </c>
      <c r="J32" s="722">
        <v>2.75E-2</v>
      </c>
      <c r="K32" s="722">
        <v>5.4699999999999999E-2</v>
      </c>
      <c r="L32" s="48">
        <v>100</v>
      </c>
      <c r="M32" s="29">
        <v>2</v>
      </c>
      <c r="N32" s="109">
        <f>PRICE(D32,E32,H32,J32,L32,M32)</f>
        <v>98.791590820330967</v>
      </c>
      <c r="O32" s="109">
        <f t="shared" si="1"/>
        <v>57.238936317845024</v>
      </c>
      <c r="P32" s="109">
        <f t="shared" si="8"/>
        <v>18.400623342343586</v>
      </c>
      <c r="Q32" s="723">
        <f t="shared" si="9"/>
        <v>17.910763948356049</v>
      </c>
    </row>
    <row r="33" spans="2:17" ht="15">
      <c r="B33" s="720">
        <v>22</v>
      </c>
      <c r="C33" s="721" t="s">
        <v>846</v>
      </c>
      <c r="D33" s="106">
        <v>44663</v>
      </c>
      <c r="E33" s="106">
        <v>55622</v>
      </c>
      <c r="F33" s="29">
        <v>30</v>
      </c>
      <c r="G33" s="27">
        <f t="shared" si="7"/>
        <v>26.353424657534248</v>
      </c>
      <c r="H33" s="722">
        <v>3.95E-2</v>
      </c>
      <c r="I33" s="29">
        <v>1000</v>
      </c>
      <c r="J33" s="722">
        <v>3.9699999999999999E-2</v>
      </c>
      <c r="K33" s="722">
        <v>5.3900000000000003E-2</v>
      </c>
      <c r="L33" s="48">
        <v>100</v>
      </c>
      <c r="M33" s="29">
        <v>2</v>
      </c>
      <c r="N33" s="109">
        <f t="shared" si="0"/>
        <v>99.651000754635703</v>
      </c>
      <c r="O33" s="109">
        <f t="shared" si="1"/>
        <v>79.861424423394112</v>
      </c>
      <c r="P33" s="109">
        <f t="shared" si="8"/>
        <v>15.224307147936679</v>
      </c>
      <c r="Q33" s="723">
        <f t="shared" si="9"/>
        <v>14.824779344599717</v>
      </c>
    </row>
    <row r="34" spans="2:17" ht="15">
      <c r="B34" s="720">
        <v>23</v>
      </c>
      <c r="C34" s="721" t="s">
        <v>847</v>
      </c>
      <c r="D34" s="106">
        <v>45981</v>
      </c>
      <c r="E34" s="106">
        <v>49633</v>
      </c>
      <c r="F34" s="29">
        <v>10</v>
      </c>
      <c r="G34" s="27">
        <f t="shared" si="7"/>
        <v>9.9452054794520546</v>
      </c>
      <c r="H34" s="722">
        <v>4.65E-2</v>
      </c>
      <c r="I34" s="29">
        <v>1000</v>
      </c>
      <c r="J34" s="722">
        <v>4.6800000000000001E-2</v>
      </c>
      <c r="K34" s="722">
        <v>4.65E-2</v>
      </c>
      <c r="L34" s="48">
        <v>100</v>
      </c>
      <c r="M34" s="29">
        <v>2</v>
      </c>
      <c r="N34" s="109">
        <f t="shared" si="0"/>
        <v>99.762589220390765</v>
      </c>
      <c r="O34" s="109">
        <f t="shared" si="1"/>
        <v>99.997141821064218</v>
      </c>
      <c r="P34" s="109">
        <f t="shared" si="8"/>
        <v>8.0481395287332909</v>
      </c>
      <c r="Q34" s="723">
        <f t="shared" si="9"/>
        <v>7.8652719557618287</v>
      </c>
    </row>
    <row r="35" spans="2:17" ht="15">
      <c r="B35" s="720">
        <v>24</v>
      </c>
      <c r="C35" s="721" t="s">
        <v>848</v>
      </c>
      <c r="D35" s="106">
        <v>44328</v>
      </c>
      <c r="E35" s="106">
        <v>58938</v>
      </c>
      <c r="F35" s="29">
        <v>40</v>
      </c>
      <c r="G35" s="27">
        <f t="shared" si="7"/>
        <v>35.438356164383563</v>
      </c>
      <c r="H35" s="722">
        <v>3.2500000000000001E-2</v>
      </c>
      <c r="I35" s="29">
        <v>1000</v>
      </c>
      <c r="J35" s="722">
        <v>3.2800000000000003E-2</v>
      </c>
      <c r="K35" s="722">
        <v>5.45E-2</v>
      </c>
      <c r="L35" s="48">
        <v>100</v>
      </c>
      <c r="M35" s="29">
        <v>2</v>
      </c>
      <c r="N35" s="109">
        <f t="shared" si="0"/>
        <v>99.334294513348354</v>
      </c>
      <c r="O35" s="109">
        <f t="shared" si="1"/>
        <v>65.641263308863941</v>
      </c>
      <c r="P35" s="109">
        <f t="shared" si="8"/>
        <v>17.744459190869449</v>
      </c>
      <c r="Q35" s="723">
        <f t="shared" si="9"/>
        <v>17.273749516543635</v>
      </c>
    </row>
    <row r="36" spans="2:17" ht="15">
      <c r="B36" s="720">
        <v>25</v>
      </c>
      <c r="C36" s="721" t="s">
        <v>830</v>
      </c>
      <c r="D36" s="106">
        <v>44896</v>
      </c>
      <c r="E36" s="106">
        <v>46722</v>
      </c>
      <c r="F36" s="29">
        <v>5</v>
      </c>
      <c r="G36" s="27">
        <f t="shared" si="7"/>
        <v>1.9698630136986301</v>
      </c>
      <c r="H36" s="722">
        <v>4.5499999999999999E-2</v>
      </c>
      <c r="I36" s="29">
        <v>1000</v>
      </c>
      <c r="J36" s="722">
        <v>4.5600000000000002E-2</v>
      </c>
      <c r="K36" s="722">
        <v>3.7499999999999999E-2</v>
      </c>
      <c r="L36" s="48">
        <v>100</v>
      </c>
      <c r="M36" s="29">
        <v>2</v>
      </c>
      <c r="N36" s="109">
        <f t="shared" si="0"/>
        <v>99.955737989644064</v>
      </c>
      <c r="O36" s="109">
        <f t="shared" si="1"/>
        <v>101.50401723891224</v>
      </c>
      <c r="P36" s="109">
        <f t="shared" si="8"/>
        <v>1.9042645755583119</v>
      </c>
      <c r="Q36" s="723">
        <f t="shared" si="9"/>
        <v>1.8692167612842323</v>
      </c>
    </row>
    <row r="37" spans="2:17" ht="15">
      <c r="B37" s="720">
        <v>26</v>
      </c>
      <c r="C37" s="721" t="s">
        <v>849</v>
      </c>
      <c r="D37" s="106">
        <v>45981</v>
      </c>
      <c r="E37" s="106">
        <v>56938</v>
      </c>
      <c r="F37" s="29">
        <v>30</v>
      </c>
      <c r="G37" s="27">
        <f t="shared" si="7"/>
        <v>29.958904109589042</v>
      </c>
      <c r="H37" s="722">
        <v>5.45E-2</v>
      </c>
      <c r="I37" s="29">
        <v>1000</v>
      </c>
      <c r="J37" s="722">
        <v>5.4800000000000001E-2</v>
      </c>
      <c r="K37" s="722">
        <v>5.45E-2</v>
      </c>
      <c r="L37" s="48">
        <v>100</v>
      </c>
      <c r="M37" s="29">
        <v>2</v>
      </c>
      <c r="N37" s="109">
        <f t="shared" si="0"/>
        <v>99.560689925879032</v>
      </c>
      <c r="O37" s="109">
        <f t="shared" si="1"/>
        <v>99.996083383914154</v>
      </c>
      <c r="P37" s="109">
        <f t="shared" si="8"/>
        <v>15.031641879177513</v>
      </c>
      <c r="Q37" s="723">
        <f t="shared" si="9"/>
        <v>14.632895477417877</v>
      </c>
    </row>
    <row r="38" spans="2:17" ht="15">
      <c r="B38" s="720">
        <v>27</v>
      </c>
      <c r="C38" s="721" t="s">
        <v>850</v>
      </c>
      <c r="D38" s="106">
        <v>45981</v>
      </c>
      <c r="E38" s="106">
        <v>48658</v>
      </c>
      <c r="F38" s="29">
        <v>8</v>
      </c>
      <c r="G38" s="27">
        <f t="shared" si="7"/>
        <v>7.2739726027397262</v>
      </c>
      <c r="H38" s="722">
        <v>4.3499999999999997E-2</v>
      </c>
      <c r="I38" s="29">
        <v>1000</v>
      </c>
      <c r="J38" s="722">
        <v>4.3700000000000003E-2</v>
      </c>
      <c r="K38" s="722">
        <v>4.3499999999999997E-2</v>
      </c>
      <c r="L38" s="48">
        <v>100</v>
      </c>
      <c r="M38" s="29">
        <v>2</v>
      </c>
      <c r="N38" s="109">
        <f t="shared" si="0"/>
        <v>99.870443763527248</v>
      </c>
      <c r="O38" s="109">
        <f t="shared" si="1"/>
        <v>99.994198235086259</v>
      </c>
      <c r="P38" s="109">
        <f t="shared" si="8"/>
        <v>6.2514572403151201</v>
      </c>
      <c r="Q38" s="723">
        <f t="shared" si="9"/>
        <v>6.1183824226230685</v>
      </c>
    </row>
    <row r="39" spans="2:17" ht="15">
      <c r="B39" s="720">
        <v>28</v>
      </c>
      <c r="C39" s="721" t="s">
        <v>851</v>
      </c>
      <c r="D39" s="106">
        <v>43985</v>
      </c>
      <c r="E39" s="106">
        <v>46541</v>
      </c>
      <c r="F39" s="29">
        <v>7</v>
      </c>
      <c r="G39" s="27">
        <f t="shared" ref="G39:G40" si="10">(E39-$D$8)/365</f>
        <v>1.473972602739726</v>
      </c>
      <c r="H39" s="722">
        <v>1.2E-2</v>
      </c>
      <c r="I39" s="29">
        <v>1000</v>
      </c>
      <c r="J39" s="722">
        <v>1.2E-2</v>
      </c>
      <c r="K39" s="722">
        <v>3.6900000000000002E-2</v>
      </c>
      <c r="L39" s="48">
        <v>100</v>
      </c>
      <c r="M39" s="29">
        <v>2</v>
      </c>
      <c r="N39" s="109">
        <f t="shared" ref="N39:N40" si="11">PRICE(D39,E39,H39,J39,L39,M39)</f>
        <v>100</v>
      </c>
      <c r="O39" s="109">
        <f t="shared" ref="O39:O40" si="12">PRICE($D$8,E39,H39,K39,L39,M39)</f>
        <v>96.456855497750439</v>
      </c>
      <c r="P39" s="109">
        <f t="shared" ref="P39:P40" si="13">DURATION($D$8,E39,H39,K39,M39)</f>
        <v>1.4658882634603656</v>
      </c>
      <c r="Q39" s="723">
        <f t="shared" ref="Q39:Q40" si="14">MDURATION($D$8,E39,H39,K39,M39)</f>
        <v>1.4393325774072026</v>
      </c>
    </row>
    <row r="40" spans="2:17" ht="15">
      <c r="B40" s="720">
        <v>29</v>
      </c>
      <c r="C40" s="721" t="s">
        <v>852</v>
      </c>
      <c r="D40" s="106">
        <v>41978</v>
      </c>
      <c r="E40" s="106">
        <v>49283</v>
      </c>
      <c r="F40" s="29">
        <v>20</v>
      </c>
      <c r="G40" s="27">
        <f t="shared" si="10"/>
        <v>8.9863013698630141</v>
      </c>
      <c r="H40" s="722">
        <v>4.8000000000000001E-2</v>
      </c>
      <c r="I40" s="29">
        <v>1000</v>
      </c>
      <c r="J40" s="722">
        <v>4.8599999999999997E-2</v>
      </c>
      <c r="K40" s="722">
        <v>4.5499999999999999E-2</v>
      </c>
      <c r="L40" s="48">
        <v>100</v>
      </c>
      <c r="M40" s="29">
        <v>2</v>
      </c>
      <c r="N40" s="109">
        <f t="shared" si="11"/>
        <v>99.237960669318085</v>
      </c>
      <c r="O40" s="109">
        <f t="shared" si="12"/>
        <v>101.8252599778215</v>
      </c>
      <c r="P40" s="109">
        <f t="shared" si="13"/>
        <v>7.4103795589491774</v>
      </c>
      <c r="Q40" s="723">
        <f t="shared" si="14"/>
        <v>7.2455434455626273</v>
      </c>
    </row>
    <row r="41" spans="2:17" ht="15">
      <c r="B41" s="720">
        <v>30</v>
      </c>
      <c r="C41" s="721" t="s">
        <v>853</v>
      </c>
      <c r="D41" s="106">
        <v>44328</v>
      </c>
      <c r="E41" s="106">
        <v>47980</v>
      </c>
      <c r="F41" s="29">
        <v>10</v>
      </c>
      <c r="G41" s="27">
        <f t="shared" si="7"/>
        <v>5.4164383561643836</v>
      </c>
      <c r="H41" s="722">
        <v>2.1000000000000001E-2</v>
      </c>
      <c r="I41" s="29">
        <v>1000</v>
      </c>
      <c r="J41" s="722">
        <v>2.1000000000000001E-2</v>
      </c>
      <c r="K41" s="722">
        <v>4.1300000000000003E-2</v>
      </c>
      <c r="L41" s="48">
        <v>100</v>
      </c>
      <c r="M41" s="29">
        <v>2</v>
      </c>
      <c r="N41" s="109">
        <f t="shared" si="0"/>
        <v>99.999999999999986</v>
      </c>
      <c r="O41" s="109">
        <f t="shared" si="1"/>
        <v>90.235448187109711</v>
      </c>
      <c r="P41" s="109">
        <f t="shared" si="8"/>
        <v>5.1209917094940733</v>
      </c>
      <c r="Q41" s="723">
        <f t="shared" si="9"/>
        <v>5.0173827555911164</v>
      </c>
    </row>
    <row r="42" spans="2:17" ht="15">
      <c r="B42" s="720">
        <v>31</v>
      </c>
      <c r="C42" s="721" t="s">
        <v>854</v>
      </c>
      <c r="D42" s="106">
        <v>44328</v>
      </c>
      <c r="E42" s="106">
        <v>51633</v>
      </c>
      <c r="F42" s="29">
        <v>20</v>
      </c>
      <c r="G42" s="27">
        <f t="shared" si="7"/>
        <v>15.424657534246576</v>
      </c>
      <c r="H42" s="722">
        <v>2.8750000000000001E-2</v>
      </c>
      <c r="I42" s="29">
        <v>1000</v>
      </c>
      <c r="J42" s="722">
        <v>2.9000000000000001E-2</v>
      </c>
      <c r="K42" s="722">
        <v>5.7500000000000002E-2</v>
      </c>
      <c r="L42" s="48">
        <v>100</v>
      </c>
      <c r="M42" s="29">
        <v>2</v>
      </c>
      <c r="N42" s="109">
        <f t="shared" si="0"/>
        <v>99.622616454762735</v>
      </c>
      <c r="O42" s="109">
        <f t="shared" si="1"/>
        <v>70.862081490477266</v>
      </c>
      <c r="P42" s="109">
        <f t="shared" si="8"/>
        <v>11.85600567867011</v>
      </c>
      <c r="Q42" s="723">
        <f t="shared" si="9"/>
        <v>11.524671376593059</v>
      </c>
    </row>
    <row r="43" spans="2:17" ht="15">
      <c r="B43" s="433">
        <v>32</v>
      </c>
      <c r="C43" s="724" t="s">
        <v>855</v>
      </c>
      <c r="D43" s="725">
        <v>45981</v>
      </c>
      <c r="E43" s="725">
        <v>60591</v>
      </c>
      <c r="F43" s="621">
        <v>40</v>
      </c>
      <c r="G43" s="726">
        <f t="shared" si="7"/>
        <v>39.967123287671235</v>
      </c>
      <c r="H43" s="727">
        <v>5.5500000000000001E-2</v>
      </c>
      <c r="I43" s="621">
        <v>1000</v>
      </c>
      <c r="J43" s="727">
        <v>5.5800000000000002E-2</v>
      </c>
      <c r="K43" s="727">
        <v>5.5800000000000002E-2</v>
      </c>
      <c r="L43" s="703">
        <v>100</v>
      </c>
      <c r="M43" s="621">
        <v>2</v>
      </c>
      <c r="N43" s="728">
        <f t="shared" si="0"/>
        <v>99.521852002897901</v>
      </c>
      <c r="O43" s="728">
        <f t="shared" si="1"/>
        <v>99.517970416273371</v>
      </c>
      <c r="P43" s="728">
        <f t="shared" si="8"/>
        <v>16.335949532717066</v>
      </c>
      <c r="Q43" s="729">
        <f t="shared" si="9"/>
        <v>15.892547458621525</v>
      </c>
    </row>
    <row r="44" spans="2:17">
      <c r="C44" s="480" t="s">
        <v>169</v>
      </c>
      <c r="D44" s="480"/>
      <c r="E44" s="480"/>
      <c r="F44" s="482">
        <f t="shared" ref="F44:K44" si="15">MIN(F13:F43)</f>
        <v>3</v>
      </c>
      <c r="G44" s="482">
        <f t="shared" si="15"/>
        <v>0.41369863013698632</v>
      </c>
      <c r="H44" s="570">
        <f t="shared" si="15"/>
        <v>0.01</v>
      </c>
      <c r="I44" s="482">
        <f t="shared" si="15"/>
        <v>1000</v>
      </c>
      <c r="J44" s="570">
        <f t="shared" si="15"/>
        <v>1.09E-2</v>
      </c>
      <c r="K44" s="570">
        <f t="shared" si="15"/>
        <v>3.6799999999999999E-2</v>
      </c>
      <c r="L44" s="480"/>
      <c r="M44" s="480"/>
      <c r="N44" s="481">
        <f>MIN(N13:N43)</f>
        <v>98.463330901570927</v>
      </c>
      <c r="O44" s="481">
        <f>MIN(O13:O43)</f>
        <v>57.238936317845024</v>
      </c>
      <c r="P44" s="481">
        <f>MIN(P13:P43)</f>
        <v>0.41666666666666674</v>
      </c>
      <c r="Q44" s="481">
        <f>MIN(Q13:Q43)</f>
        <v>0.40889761203794583</v>
      </c>
    </row>
    <row r="45" spans="2:17">
      <c r="C45" s="480" t="s">
        <v>170</v>
      </c>
      <c r="D45" s="480"/>
      <c r="E45" s="480"/>
      <c r="F45" s="482">
        <f t="shared" ref="F45:K45" si="16">MAX(F13:F43)</f>
        <v>40</v>
      </c>
      <c r="G45" s="482">
        <f t="shared" si="16"/>
        <v>39.967123287671235</v>
      </c>
      <c r="H45" s="570">
        <f t="shared" si="16"/>
        <v>6.0339999999999998E-2</v>
      </c>
      <c r="I45" s="482">
        <f t="shared" si="16"/>
        <v>1000</v>
      </c>
      <c r="J45" s="570">
        <f t="shared" si="16"/>
        <v>6.0339999999999998E-2</v>
      </c>
      <c r="K45" s="570">
        <f t="shared" si="16"/>
        <v>5.8200000000000002E-2</v>
      </c>
      <c r="L45" s="480"/>
      <c r="M45" s="480"/>
      <c r="N45" s="481">
        <f>MAX(N13:N43)</f>
        <v>100</v>
      </c>
      <c r="O45" s="481">
        <f>MAX(O13:O43)</f>
        <v>102.68853922177269</v>
      </c>
      <c r="P45" s="481">
        <f>MAX(P13:P43)</f>
        <v>18.400623342343586</v>
      </c>
      <c r="Q45" s="481">
        <f>MAX(Q13:Q43)</f>
        <v>17.910763948356049</v>
      </c>
    </row>
    <row r="46" spans="2:17">
      <c r="C46" s="480" t="s">
        <v>171</v>
      </c>
      <c r="D46" s="480"/>
      <c r="E46" s="480"/>
      <c r="F46" s="482">
        <f t="shared" ref="F46:K46" si="17">MEDIAN(F13:F43)</f>
        <v>10</v>
      </c>
      <c r="G46" s="482">
        <f t="shared" si="17"/>
        <v>8.9863013698630141</v>
      </c>
      <c r="H46" s="570">
        <f t="shared" si="17"/>
        <v>3.9E-2</v>
      </c>
      <c r="I46" s="482">
        <f t="shared" si="17"/>
        <v>1000</v>
      </c>
      <c r="J46" s="570">
        <f t="shared" si="17"/>
        <v>3.9100000000000003E-2</v>
      </c>
      <c r="K46" s="570">
        <f t="shared" si="17"/>
        <v>4.5499999999999999E-2</v>
      </c>
      <c r="L46" s="480"/>
      <c r="M46" s="480"/>
      <c r="N46" s="481">
        <f>MEDIAN(N13:N43)</f>
        <v>99.762589220390765</v>
      </c>
      <c r="O46" s="481">
        <f>MEDIAN(O13:O43)</f>
        <v>97.240717125474717</v>
      </c>
      <c r="P46" s="481">
        <f>MEDIAN(P13:P43)</f>
        <v>7.4103795589491774</v>
      </c>
      <c r="Q46" s="481">
        <f>MEDIAN(Q13:Q43)</f>
        <v>7.2455434455626273</v>
      </c>
    </row>
    <row r="47" spans="2:17">
      <c r="C47" s="480" t="s">
        <v>172</v>
      </c>
      <c r="D47" s="480"/>
      <c r="E47" s="480"/>
      <c r="F47" s="482">
        <f t="shared" ref="F47:K47" si="18">AVERAGE(F13:F43)</f>
        <v>18.580645161290324</v>
      </c>
      <c r="G47" s="482">
        <f t="shared" si="18"/>
        <v>14.259832081308002</v>
      </c>
      <c r="H47" s="570">
        <f t="shared" si="18"/>
        <v>3.6543225806451612E-2</v>
      </c>
      <c r="I47" s="482">
        <f t="shared" si="18"/>
        <v>1000</v>
      </c>
      <c r="J47" s="570">
        <f t="shared" si="18"/>
        <v>3.6830322580645163E-2</v>
      </c>
      <c r="K47" s="570">
        <f t="shared" si="18"/>
        <v>4.6635483870967741E-2</v>
      </c>
      <c r="L47" s="480"/>
      <c r="M47" s="480"/>
      <c r="N47" s="481">
        <f>AVERAGE(N13:N43)</f>
        <v>99.623216894442621</v>
      </c>
      <c r="O47" s="481">
        <f>AVERAGE(O13:O43)</f>
        <v>90.567720697695862</v>
      </c>
      <c r="P47" s="481">
        <f>AVERAGE(P13:P43)</f>
        <v>8.7535128354634306</v>
      </c>
      <c r="Q47" s="481">
        <f>AVERAGE(Q13:Q43)</f>
        <v>8.5387253739549038</v>
      </c>
    </row>
    <row r="49" spans="3:11">
      <c r="C49" s="42" t="s">
        <v>223</v>
      </c>
    </row>
    <row r="50" spans="3:11">
      <c r="C50" s="43" t="s">
        <v>224</v>
      </c>
    </row>
    <row r="51" spans="3:11">
      <c r="K51" s="105"/>
    </row>
    <row r="55" spans="3:11" ht="17">
      <c r="H55" s="711"/>
      <c r="I55" s="711"/>
      <c r="J55" s="711"/>
      <c r="K55"/>
    </row>
    <row r="56" spans="3:11" ht="17">
      <c r="I56" s="710"/>
      <c r="J56" s="710"/>
      <c r="K56" s="709"/>
    </row>
    <row r="57" spans="3:11" ht="17">
      <c r="I57" s="710"/>
      <c r="J57" s="710"/>
      <c r="K57" s="709"/>
    </row>
    <row r="58" spans="3:11" ht="17">
      <c r="I58" s="710"/>
      <c r="J58" s="710"/>
      <c r="K58" s="709"/>
    </row>
    <row r="59" spans="3:11" ht="17">
      <c r="I59" s="710"/>
      <c r="J59" s="710"/>
      <c r="K59" s="709"/>
    </row>
    <row r="60" spans="3:11" ht="17">
      <c r="I60" s="710"/>
      <c r="J60" s="710"/>
      <c r="K60" s="709"/>
    </row>
    <row r="61" spans="3:11" ht="17">
      <c r="I61" s="710"/>
      <c r="J61" s="710"/>
      <c r="K61" s="709"/>
    </row>
    <row r="62" spans="3:11" ht="17">
      <c r="I62" s="710"/>
      <c r="J62" s="710"/>
      <c r="K62" s="709"/>
    </row>
    <row r="63" spans="3:11" ht="17">
      <c r="I63" s="710"/>
      <c r="J63" s="710"/>
      <c r="K63" s="709"/>
    </row>
    <row r="64" spans="3:11" ht="17">
      <c r="I64" s="710"/>
      <c r="J64" s="710"/>
      <c r="K64" s="709"/>
    </row>
    <row r="65" spans="9:11" ht="17">
      <c r="I65" s="710"/>
      <c r="J65" s="710"/>
      <c r="K65" s="709"/>
    </row>
    <row r="66" spans="9:11" ht="17">
      <c r="I66" s="710"/>
      <c r="J66" s="710"/>
      <c r="K66" s="709"/>
    </row>
    <row r="67" spans="9:11" ht="17">
      <c r="I67" s="710"/>
      <c r="J67" s="710"/>
      <c r="K67" s="709"/>
    </row>
    <row r="68" spans="9:11" ht="17">
      <c r="I68" s="710"/>
      <c r="J68" s="710"/>
      <c r="K68" s="709"/>
    </row>
    <row r="69" spans="9:11" ht="17">
      <c r="I69" s="710"/>
      <c r="J69" s="710"/>
      <c r="K69" s="709"/>
    </row>
    <row r="70" spans="9:11" ht="17">
      <c r="I70" s="710"/>
      <c r="J70" s="710"/>
      <c r="K70" s="709"/>
    </row>
    <row r="71" spans="9:11" ht="17">
      <c r="I71" s="710"/>
      <c r="J71" s="710"/>
      <c r="K71" s="709"/>
    </row>
    <row r="72" spans="9:11" ht="17">
      <c r="I72" s="710"/>
      <c r="J72" s="710"/>
      <c r="K72" s="709"/>
    </row>
    <row r="73" spans="9:11" ht="17">
      <c r="I73" s="710"/>
      <c r="J73" s="710"/>
      <c r="K73" s="709"/>
    </row>
    <row r="74" spans="9:11" ht="17">
      <c r="I74" s="710"/>
      <c r="J74" s="710"/>
      <c r="K74" s="709"/>
    </row>
    <row r="75" spans="9:11" ht="17">
      <c r="I75" s="710"/>
      <c r="J75" s="710"/>
      <c r="K75" s="709"/>
    </row>
    <row r="76" spans="9:11" ht="17">
      <c r="I76" s="710"/>
      <c r="J76" s="710"/>
      <c r="K76" s="709"/>
    </row>
    <row r="77" spans="9:11" ht="17">
      <c r="I77" s="710"/>
      <c r="J77" s="710"/>
      <c r="K77" s="709"/>
    </row>
    <row r="78" spans="9:11" ht="17">
      <c r="I78" s="710"/>
      <c r="J78" s="710"/>
      <c r="K78" s="709"/>
    </row>
    <row r="79" spans="9:11" ht="17">
      <c r="I79" s="710"/>
      <c r="J79" s="710"/>
      <c r="K79" s="709"/>
    </row>
    <row r="80" spans="9:11" ht="17">
      <c r="I80" s="710"/>
      <c r="J80" s="710"/>
      <c r="K80" s="709"/>
    </row>
    <row r="81" spans="9:11" ht="17">
      <c r="I81" s="710"/>
      <c r="J81" s="710"/>
      <c r="K81" s="709"/>
    </row>
    <row r="82" spans="9:11" ht="17">
      <c r="I82" s="710"/>
      <c r="J82" s="710"/>
      <c r="K82" s="709"/>
    </row>
    <row r="83" spans="9:11" ht="17">
      <c r="I83" s="710"/>
      <c r="J83" s="710"/>
      <c r="K83" s="709"/>
    </row>
    <row r="84" spans="9:11" ht="17">
      <c r="I84" s="710"/>
      <c r="J84" s="710"/>
      <c r="K84" s="709"/>
    </row>
    <row r="85" spans="9:11" ht="17">
      <c r="I85" s="710"/>
      <c r="J85" s="710"/>
      <c r="K85" s="709"/>
    </row>
    <row r="88" spans="9:11" ht="17">
      <c r="I88" s="710"/>
      <c r="J88" s="710"/>
      <c r="K88" s="709"/>
    </row>
    <row r="89" spans="9:11" ht="15">
      <c r="I89"/>
      <c r="J89"/>
      <c r="K89"/>
    </row>
  </sheetData>
  <hyperlinks>
    <hyperlink ref="C13" r:id="rId1" display="https://markets.businessinsider.com/bonds/amazon_conservation_dacdl-notes_202433-42_regs-Bond-2042-usg0248jaa19" xr:uid="{BB7AD4F5-4CE5-6041-8789-05382D63CEBA}"/>
    <hyperlink ref="C14" r:id="rId2" display="https://markets.businessinsider.com/bonds/amazoncom_incdl-notes_201717-47-Bond-2047-us023135bj40" xr:uid="{1689DD16-1E79-3049-8072-3115727467E2}"/>
    <hyperlink ref="C15" r:id="rId3" display="https://markets.businessinsider.com/bonds/amazoncom_incdl-notes_202222-27-Bond-2027-us023135cf19" xr:uid="{0B5B6BB8-5772-1A47-A777-F29235BE8B31}"/>
    <hyperlink ref="C16" r:id="rId4" display="https://markets.businessinsider.com/bonds/amazoncom_incdl-notes_202222-29-Bond-2029-us023135cq73" xr:uid="{EFE4CA24-6EDE-8B4C-A322-E19E8DFB5B1F}"/>
    <hyperlink ref="C17" r:id="rId5" display="https://markets.businessinsider.com/bonds/amazoncom_incdl-notes_201717-57-Bond-2057-us023135bm78" xr:uid="{368A4405-6932-CD41-B779-35F415E22C76}"/>
    <hyperlink ref="C18" r:id="rId6" display="https://markets.businessinsider.com/bonds/amazoncom_incdl-notes_202020-30-Bond-2030-us023135bs49" xr:uid="{FC673B7A-9B89-DE44-AFC7-DFDDF7B1E269}"/>
    <hyperlink ref="C19" r:id="rId7" display="https://markets.businessinsider.com/bonds/amazoncom_incdl-notes_202121-28-Bond-2028-us023135by17" xr:uid="{B12012E1-C69F-044F-AE3D-3AB16F0D8A88}"/>
    <hyperlink ref="C20" r:id="rId8" display="https://markets.businessinsider.com/bonds/amazoncom_incdl-notes_202121-26-Bond-2026-us023135bx34" xr:uid="{23369F86-17E3-CF4B-89A6-95A9A57567F3}"/>
    <hyperlink ref="C21" r:id="rId9" display="https://markets.businessinsider.com/bonds/amazoncom_incdl-notes_202020-50-Bond-2050-us023135bt22" xr:uid="{42902182-CE40-C943-90A1-DB1439C478AA}"/>
    <hyperlink ref="C22" r:id="rId10" display="https://markets.businessinsider.com/bonds/amazoncom_incdl-notes_202222-62-Bond-2062-us023135ck04" xr:uid="{FF926652-69AB-1A46-BE58-9AF847DB44A1}"/>
    <hyperlink ref="C23" r:id="rId11" display="https://markets.businessinsider.com/bonds/amazoncom_incdl-notes_202222-32-Bond-2032-us023135ch74" xr:uid="{73677153-2599-5545-B46B-26A0B583912E}"/>
    <hyperlink ref="C24" r:id="rId12" display="https://markets.businessinsider.com/bonds/amazoncom_incdl-notes_201717-27-Bond-2027-us023135bc96" xr:uid="{AF609D2E-B97D-D940-B5CD-69C8755FD1E4}"/>
    <hyperlink ref="C25" r:id="rId13" display="https://markets.businessinsider.com/bonds/amazoncom_incdl-notes_201717-37-Bond-2037-us023135bf28" xr:uid="{E93A44A4-52C8-5145-8CD8-4F017EDBC0C8}"/>
    <hyperlink ref="C26" r:id="rId14" display="https://markets.businessinsider.com/bonds/amazoncom_incdl-notes_201414-44-Bond-2044-us023135aq91" xr:uid="{BF811027-77EF-AF41-A27C-7B8BC07FD42D}"/>
    <hyperlink ref="C27" r:id="rId15" display="https://markets.businessinsider.com/bonds/amazoncom_incdl-notes_202121-51-Bond-2051-us023135cb05" xr:uid="{25C51DE3-0311-294A-839F-2FE90240B96A}"/>
    <hyperlink ref="C28" r:id="rId16" display="https://markets.businessinsider.com/bonds/amazoncom_incdl-notes_202222-32-Bond-2032-us023135cr56" xr:uid="{654401C0-97FB-1D44-B930-CD520603E100}"/>
    <hyperlink ref="C29" r:id="rId17" display="https://markets.businessinsider.com/bonds/amazoncom_incdl-notes_202222-29-Bond-2029-us023135cg91" xr:uid="{7AD9AE3F-0702-6C4E-B79A-CAFD55F034AF}"/>
    <hyperlink ref="C30" r:id="rId18" display="https://markets.businessinsider.com/bonds/amazoncom_incdl-notes_202525-30-Bond-2030-us023135ct13" xr:uid="{7BA748BB-DA60-284C-894B-87632353D14C}"/>
    <hyperlink ref="C31" r:id="rId19" display="https://markets.businessinsider.com/bonds/amazoncom_incdl-notes_202525-28-Bond-2028-us023135cs30" xr:uid="{9B4F349D-4A7F-284C-9BBB-79183A8A68BF}"/>
    <hyperlink ref="C32" r:id="rId20" display="https://markets.businessinsider.com/bonds/amazoncom_incdl-notes_202020-60-Bond-2060-us023135bu94" xr:uid="{DEBA4F27-A83A-E142-84D7-6107385D5253}"/>
    <hyperlink ref="C33" r:id="rId21" display="https://markets.businessinsider.com/bonds/amazoncom_incdl-notes_202222-52-Bond-2052-us023135cj31" xr:uid="{6DA3E3B8-388C-404A-ABFA-998B165D02DC}"/>
    <hyperlink ref="C34" r:id="rId22" display="https://markets.businessinsider.com/bonds/amazoncom_incdl-notes_202525-35-Bond-2035-us023135cv68" xr:uid="{F18A4D95-D22F-B943-B6CF-D16150CF5037}"/>
    <hyperlink ref="C35" r:id="rId23" display="https://markets.businessinsider.com/bonds/amazoncom_incdl-notes_202121-61-Bond-2061-us023135cc87" xr:uid="{6AF09311-7B51-5D4B-86C1-CA14C79530B6}"/>
    <hyperlink ref="C36" r:id="rId24" display="https://markets.businessinsider.com/bonds/amazoncom_incdl-notes_202222-27-Bond-2027-us023135cp90" xr:uid="{625C74D7-248A-A540-9D24-925C6E602E20}"/>
    <hyperlink ref="C37" r:id="rId25" display="https://markets.businessinsider.com/bonds/amazoncom_incdl-notes_202525-55-Bond-2055-us023135cw42" xr:uid="{1938476D-A5F1-6F48-BE17-2E203E6B8B7D}"/>
    <hyperlink ref="C38" r:id="rId26" display="https://markets.businessinsider.com/bonds/amazoncom_incdl-notes_202525-33-Bond-2033-us023135cu85" xr:uid="{BCC97854-FA36-5644-8E36-77AAFCA85608}"/>
    <hyperlink ref="C39" r:id="rId27" display="https://markets.businessinsider.com/bonds/amazoncom_incdl-notes_202020-27-Bond-2027-us023135br65" xr:uid="{8FB1306B-3822-2C4F-9D4D-190A90DB7FD0}"/>
    <hyperlink ref="C40" r:id="rId28" display="https://markets.businessinsider.com/bonds/amazoncom_incdl-notes_201414-34-Bond-2034-us023135ap19" xr:uid="{509F33FB-A5DA-8946-AF8F-90EA705BF830}"/>
    <hyperlink ref="C41" r:id="rId29" display="https://markets.businessinsider.com/bonds/amazoncom_incdl-notes_202121-31-Bond-2031-us023135bz81" xr:uid="{DEC21D11-F825-0F48-8491-D47BFF0A6664}"/>
    <hyperlink ref="C42" r:id="rId30" display="https://markets.businessinsider.com/bonds/amazoncom_incdl-notes_202121-41-Bond-2041-us023135ca22" xr:uid="{30BAD646-3C74-5C4A-8AFB-07706E26DF5D}"/>
    <hyperlink ref="C43" r:id="rId31" display="https://markets.businessinsider.com/bonds/amazoncom_incdl-notes_202525-65-Bond-2065-us023135cy08" xr:uid="{6397601A-E134-6747-9EC8-A020258EE307}"/>
  </hyperlinks>
  <pageMargins left="0.7" right="0.7" top="0.75" bottom="0.75" header="0.3" footer="0.3"/>
  <drawing r:id="rId3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E4229-80B4-44D3-B9AA-0A32329DA250}">
  <sheetPr>
    <tabColor rgb="FFAFDEFF"/>
  </sheetPr>
  <dimension ref="B1:V20"/>
  <sheetViews>
    <sheetView showGridLines="0" zoomScale="157" workbookViewId="0">
      <selection activeCell="Q21" sqref="Q21"/>
    </sheetView>
  </sheetViews>
  <sheetFormatPr baseColWidth="10" defaultColWidth="8.83203125" defaultRowHeight="12"/>
  <cols>
    <col min="1" max="2" width="3.1640625" style="1" customWidth="1"/>
    <col min="3" max="3" width="3" style="1" customWidth="1"/>
    <col min="4" max="4" width="21.5" style="1" customWidth="1"/>
    <col min="5" max="9" width="7.1640625" style="1" customWidth="1"/>
    <col min="10" max="10" width="2.6640625" style="1" customWidth="1"/>
    <col min="11" max="15" width="7.1640625" style="1" customWidth="1"/>
    <col min="16" max="16" width="2.6640625" style="1" customWidth="1"/>
    <col min="17" max="21" width="7.1640625" style="1" customWidth="1"/>
    <col min="22" max="22" width="2.6640625" style="1" customWidth="1"/>
    <col min="23" max="16384" width="8.83203125" style="1"/>
  </cols>
  <sheetData>
    <row r="1" spans="2:22" s="457" customFormat="1"/>
    <row r="2" spans="2:22" s="457" customFormat="1" ht="18">
      <c r="B2" s="462"/>
    </row>
    <row r="3" spans="2:22" s="457" customFormat="1" ht="13">
      <c r="B3" s="459"/>
      <c r="C3" s="461" t="s">
        <v>557</v>
      </c>
      <c r="D3" s="461"/>
    </row>
    <row r="4" spans="2:22" s="457" customFormat="1">
      <c r="B4" s="459"/>
      <c r="C4" s="460" t="s">
        <v>23</v>
      </c>
      <c r="D4" s="460"/>
    </row>
    <row r="5" spans="2:22" s="457" customFormat="1" ht="7.75" customHeight="1">
      <c r="B5" s="459"/>
    </row>
    <row r="6" spans="2:22">
      <c r="B6" s="4"/>
    </row>
    <row r="7" spans="2:22">
      <c r="B7" s="4"/>
    </row>
    <row r="8" spans="2:22">
      <c r="B8" s="4"/>
      <c r="C8" s="288" t="s">
        <v>564</v>
      </c>
      <c r="D8" s="289"/>
      <c r="E8" s="290"/>
      <c r="F8" s="290"/>
      <c r="G8" s="290"/>
      <c r="H8" s="290"/>
      <c r="I8" s="290"/>
      <c r="J8" s="290"/>
      <c r="K8" s="290"/>
      <c r="L8" s="290"/>
      <c r="M8" s="290"/>
      <c r="N8" s="290"/>
      <c r="O8" s="290"/>
      <c r="P8" s="290"/>
      <c r="Q8" s="290"/>
      <c r="R8" s="290"/>
      <c r="S8" s="290"/>
      <c r="T8" s="290"/>
      <c r="U8" s="290"/>
      <c r="V8" s="290"/>
    </row>
    <row r="9" spans="2:22" ht="4.75" customHeight="1">
      <c r="B9" s="4"/>
      <c r="C9" s="204"/>
      <c r="D9" s="213"/>
      <c r="E9" s="214"/>
      <c r="F9" s="214"/>
      <c r="G9" s="214"/>
      <c r="H9" s="214"/>
      <c r="I9" s="214"/>
      <c r="K9" s="214"/>
    </row>
    <row r="10" spans="2:22" ht="14">
      <c r="B10" s="4"/>
      <c r="C10" s="471"/>
      <c r="D10" s="471"/>
      <c r="E10" s="472" t="s">
        <v>558</v>
      </c>
      <c r="F10" s="473"/>
      <c r="G10" s="473"/>
      <c r="H10" s="473"/>
      <c r="I10" s="473"/>
      <c r="J10" s="472"/>
      <c r="K10" s="472" t="s">
        <v>66</v>
      </c>
      <c r="L10" s="473"/>
      <c r="M10" s="473"/>
      <c r="N10" s="473"/>
      <c r="O10" s="472"/>
      <c r="P10" s="472"/>
      <c r="Q10" s="472" t="s">
        <v>559</v>
      </c>
      <c r="R10" s="473"/>
      <c r="S10" s="473"/>
      <c r="T10" s="473"/>
      <c r="U10" s="472"/>
      <c r="V10" s="472"/>
    </row>
    <row r="11" spans="2:22" ht="14">
      <c r="B11" s="4"/>
      <c r="C11" s="471"/>
      <c r="D11" s="471"/>
      <c r="E11" s="474">
        <v>2025</v>
      </c>
      <c r="F11" s="474">
        <f>E11+1</f>
        <v>2026</v>
      </c>
      <c r="G11" s="474">
        <f t="shared" ref="G11:I11" si="0">F11+1</f>
        <v>2027</v>
      </c>
      <c r="H11" s="474">
        <f t="shared" si="0"/>
        <v>2028</v>
      </c>
      <c r="I11" s="474">
        <f t="shared" si="0"/>
        <v>2029</v>
      </c>
      <c r="J11" s="475"/>
      <c r="K11" s="474">
        <v>2025</v>
      </c>
      <c r="L11" s="474">
        <f t="shared" ref="L11:O11" si="1">K11+1</f>
        <v>2026</v>
      </c>
      <c r="M11" s="474">
        <f t="shared" si="1"/>
        <v>2027</v>
      </c>
      <c r="N11" s="474">
        <f t="shared" si="1"/>
        <v>2028</v>
      </c>
      <c r="O11" s="474">
        <f t="shared" si="1"/>
        <v>2029</v>
      </c>
      <c r="P11" s="475"/>
      <c r="Q11" s="474">
        <v>2025</v>
      </c>
      <c r="R11" s="474">
        <f t="shared" ref="R11:U11" si="2">Q11+1</f>
        <v>2026</v>
      </c>
      <c r="S11" s="474">
        <f t="shared" si="2"/>
        <v>2027</v>
      </c>
      <c r="T11" s="474">
        <f t="shared" si="2"/>
        <v>2028</v>
      </c>
      <c r="U11" s="474">
        <f t="shared" si="2"/>
        <v>2029</v>
      </c>
      <c r="V11" s="475"/>
    </row>
    <row r="12" spans="2:22">
      <c r="C12" s="4"/>
      <c r="D12" s="1" t="s">
        <v>391</v>
      </c>
      <c r="E12" s="212">
        <f>Scenarios!E20</f>
        <v>0.05</v>
      </c>
      <c r="F12" s="212">
        <f>Scenarios!F20</f>
        <v>0.06</v>
      </c>
      <c r="G12" s="212">
        <f>Scenarios!G20</f>
        <v>0.06</v>
      </c>
      <c r="H12" s="212">
        <f>Scenarios!H20</f>
        <v>7.0000000000000007E-2</v>
      </c>
      <c r="I12" s="212">
        <f>Scenarios!I20</f>
        <v>7.0000000000000007E-2</v>
      </c>
      <c r="J12" s="431"/>
      <c r="K12" s="212">
        <f>Scenarios!E18</f>
        <v>7.0000000000000007E-2</v>
      </c>
      <c r="L12" s="212">
        <f>Scenarios!F18</f>
        <v>0.09</v>
      </c>
      <c r="M12" s="212">
        <f>Scenarios!G18</f>
        <v>0.09</v>
      </c>
      <c r="N12" s="212">
        <f>Scenarios!H18</f>
        <v>0.1</v>
      </c>
      <c r="O12" s="212">
        <f>Scenarios!I18</f>
        <v>0.1</v>
      </c>
      <c r="P12" s="431"/>
      <c r="Q12" s="212">
        <f>Scenarios!E19</f>
        <v>0.11000000000000001</v>
      </c>
      <c r="R12" s="212">
        <f>Scenarios!F19</f>
        <v>0.14000000000000001</v>
      </c>
      <c r="S12" s="212">
        <f>Scenarios!G19</f>
        <v>0.14000000000000001</v>
      </c>
      <c r="T12" s="212">
        <f>Scenarios!H19</f>
        <v>0.13</v>
      </c>
      <c r="U12" s="212">
        <f>Scenarios!I19</f>
        <v>0.13</v>
      </c>
      <c r="V12" s="29"/>
    </row>
    <row r="13" spans="2:22">
      <c r="C13" s="4"/>
      <c r="D13" s="440" t="s">
        <v>374</v>
      </c>
      <c r="E13" s="212">
        <f>Scenarios!E24</f>
        <v>0.51500000000000001</v>
      </c>
      <c r="F13" s="212">
        <f>Scenarios!F24</f>
        <v>0.52</v>
      </c>
      <c r="G13" s="212">
        <f>Scenarios!G24</f>
        <v>0.52500000000000002</v>
      </c>
      <c r="H13" s="212">
        <f>Scenarios!H24</f>
        <v>0.53</v>
      </c>
      <c r="I13" s="212">
        <f>Scenarios!I24</f>
        <v>0.53500000000000003</v>
      </c>
      <c r="J13" s="432"/>
      <c r="K13" s="212">
        <f>Scenarios!E22</f>
        <v>0.51</v>
      </c>
      <c r="L13" s="212">
        <f>Scenarios!F22</f>
        <v>0.505</v>
      </c>
      <c r="M13" s="212">
        <f>Scenarios!G22</f>
        <v>0.5</v>
      </c>
      <c r="N13" s="212">
        <f>Scenarios!H22</f>
        <v>0.495</v>
      </c>
      <c r="O13" s="212">
        <f>Scenarios!I22</f>
        <v>0.49</v>
      </c>
      <c r="P13" s="432"/>
      <c r="Q13" s="212">
        <f>Scenarios!E23</f>
        <v>0.505</v>
      </c>
      <c r="R13" s="212">
        <f>Scenarios!F23</f>
        <v>0.49</v>
      </c>
      <c r="S13" s="212">
        <f>Scenarios!G23</f>
        <v>0.48</v>
      </c>
      <c r="T13" s="212">
        <f>Scenarios!H23</f>
        <v>0.47</v>
      </c>
      <c r="U13" s="212">
        <f>Scenarios!I23</f>
        <v>0.46</v>
      </c>
      <c r="V13" s="29"/>
    </row>
    <row r="14" spans="2:22">
      <c r="C14" s="4"/>
      <c r="D14" s="1" t="s">
        <v>673</v>
      </c>
      <c r="E14" s="212">
        <f>Scenarios!E28</f>
        <v>0.16</v>
      </c>
      <c r="F14" s="212">
        <f>Scenarios!F28</f>
        <v>0.16500000000000001</v>
      </c>
      <c r="G14" s="212">
        <f>Scenarios!G28</f>
        <v>0.16500000000000001</v>
      </c>
      <c r="H14" s="212">
        <f>Scenarios!H28</f>
        <v>0.17</v>
      </c>
      <c r="I14" s="212">
        <f>Scenarios!I28</f>
        <v>0.17</v>
      </c>
      <c r="J14" s="432"/>
      <c r="K14" s="212">
        <f>Scenarios!E26</f>
        <v>0.154</v>
      </c>
      <c r="L14" s="212">
        <f>Scenarios!F26</f>
        <v>0.152</v>
      </c>
      <c r="M14" s="212">
        <f>Scenarios!G26</f>
        <v>0.15</v>
      </c>
      <c r="N14" s="212">
        <f>Scenarios!H26</f>
        <v>0.14799999999999999</v>
      </c>
      <c r="O14" s="212">
        <f>Scenarios!I26</f>
        <v>0.14599999999999999</v>
      </c>
      <c r="P14" s="432"/>
      <c r="Q14" s="212">
        <f>Scenarios!E27</f>
        <v>0.15</v>
      </c>
      <c r="R14" s="212">
        <f>Scenarios!F27</f>
        <v>0.14499999999999999</v>
      </c>
      <c r="S14" s="212">
        <f>Scenarios!G27</f>
        <v>0.14000000000000001</v>
      </c>
      <c r="T14" s="212">
        <f>Scenarios!H27</f>
        <v>0.13500000000000001</v>
      </c>
      <c r="U14" s="212">
        <f>Scenarios!I27</f>
        <v>0.13</v>
      </c>
      <c r="V14" s="29"/>
    </row>
    <row r="15" spans="2:22">
      <c r="C15" s="4"/>
      <c r="D15" s="1" t="s">
        <v>680</v>
      </c>
      <c r="E15" s="212">
        <f>Scenarios!E32</f>
        <v>-0.15</v>
      </c>
      <c r="F15" s="212">
        <f>Scenarios!F32</f>
        <v>-0.155</v>
      </c>
      <c r="G15" s="212">
        <f>Scenarios!G32</f>
        <v>-0.16</v>
      </c>
      <c r="H15" s="212">
        <f>Scenarios!H32</f>
        <v>-0.16</v>
      </c>
      <c r="I15" s="212">
        <f>Scenarios!I32</f>
        <v>-0.16</v>
      </c>
      <c r="J15" s="432"/>
      <c r="K15" s="212">
        <f>Scenarios!E30</f>
        <v>-0.14499999999999999</v>
      </c>
      <c r="L15" s="212">
        <f>Scenarios!F30</f>
        <v>-0.14499999999999999</v>
      </c>
      <c r="M15" s="212">
        <f>Scenarios!G30</f>
        <v>-0.14000000000000001</v>
      </c>
      <c r="N15" s="212">
        <f>Scenarios!H30</f>
        <v>-0.13500000000000001</v>
      </c>
      <c r="O15" s="212">
        <f>Scenarios!I30</f>
        <v>-0.13</v>
      </c>
      <c r="P15" s="432"/>
      <c r="Q15" s="212">
        <f>Scenarios!E31</f>
        <v>-0.13500000000000001</v>
      </c>
      <c r="R15" s="212">
        <f>Scenarios!F31</f>
        <v>-0.13</v>
      </c>
      <c r="S15" s="212">
        <f>Scenarios!G31</f>
        <v>-0.125</v>
      </c>
      <c r="T15" s="212">
        <f>Scenarios!H31</f>
        <v>-0.12</v>
      </c>
      <c r="U15" s="212">
        <f>Scenarios!I31</f>
        <v>-0.115</v>
      </c>
      <c r="V15" s="29"/>
    </row>
    <row r="16" spans="2:22">
      <c r="C16" s="4"/>
      <c r="D16" s="1" t="s">
        <v>681</v>
      </c>
      <c r="E16" s="212">
        <f>Scenarios!E36</f>
        <v>0.09</v>
      </c>
      <c r="F16" s="212">
        <f>Scenarios!F36</f>
        <v>9.5000000000000001E-2</v>
      </c>
      <c r="G16" s="212">
        <f>Scenarios!G36</f>
        <v>9.5000000000000001E-2</v>
      </c>
      <c r="H16" s="212">
        <f>Scenarios!H36</f>
        <v>0.1</v>
      </c>
      <c r="I16" s="212">
        <f>Scenarios!I36</f>
        <v>0.1</v>
      </c>
      <c r="J16" s="432"/>
      <c r="K16" s="212">
        <f>Scenarios!E34</f>
        <v>8.6999999999999994E-2</v>
      </c>
      <c r="L16" s="212">
        <f>Scenarios!F34</f>
        <v>8.5999999999999993E-2</v>
      </c>
      <c r="M16" s="212">
        <f>Scenarios!G34</f>
        <v>8.4999999999999992E-2</v>
      </c>
      <c r="N16" s="212">
        <f>Scenarios!H34</f>
        <v>8.3999999999999991E-2</v>
      </c>
      <c r="O16" s="212">
        <f>Scenarios!I34</f>
        <v>8.299999999999999E-2</v>
      </c>
      <c r="P16" s="432"/>
      <c r="Q16" s="212">
        <f>Scenarios!E35</f>
        <v>8.5000000000000006E-2</v>
      </c>
      <c r="R16" s="212">
        <f>Scenarios!F35</f>
        <v>0.08</v>
      </c>
      <c r="S16" s="212">
        <f>Scenarios!G35</f>
        <v>7.4999999999999997E-2</v>
      </c>
      <c r="T16" s="212">
        <f>Scenarios!H35</f>
        <v>6.9999999999999993E-2</v>
      </c>
      <c r="U16" s="212">
        <f>Scenarios!I35</f>
        <v>6.4999999999999988E-2</v>
      </c>
      <c r="V16" s="29"/>
    </row>
    <row r="17" spans="3:22">
      <c r="C17" s="4"/>
      <c r="D17" s="1" t="s">
        <v>688</v>
      </c>
      <c r="E17" s="212">
        <f>Scenarios!E40</f>
        <v>-0.18</v>
      </c>
      <c r="F17" s="212">
        <f>Scenarios!F40</f>
        <v>-0.19</v>
      </c>
      <c r="G17" s="212">
        <f>Scenarios!G40</f>
        <v>-0.2</v>
      </c>
      <c r="H17" s="212">
        <f>Scenarios!H40</f>
        <v>-0.21000000000000002</v>
      </c>
      <c r="I17" s="212">
        <f>Scenarios!I40</f>
        <v>-0.21000000000000002</v>
      </c>
      <c r="J17" s="432"/>
      <c r="K17" s="212">
        <f>Scenarios!E38</f>
        <v>-0.15</v>
      </c>
      <c r="L17" s="212">
        <f>Scenarios!F38</f>
        <v>-0.16</v>
      </c>
      <c r="M17" s="212">
        <f>Scenarios!G38</f>
        <v>-0.17</v>
      </c>
      <c r="N17" s="212">
        <f>Scenarios!H38</f>
        <v>-0.17</v>
      </c>
      <c r="O17" s="212">
        <f>Scenarios!I38</f>
        <v>-0.17</v>
      </c>
      <c r="P17" s="432"/>
      <c r="Q17" s="212">
        <f>Scenarios!E39</f>
        <v>-0.12</v>
      </c>
      <c r="R17" s="212">
        <f>Scenarios!F39</f>
        <v>-0.125</v>
      </c>
      <c r="S17" s="212">
        <f>Scenarios!G39</f>
        <v>-0.13</v>
      </c>
      <c r="T17" s="212">
        <f>Scenarios!H39</f>
        <v>-0.13500000000000001</v>
      </c>
      <c r="U17" s="212">
        <f>Scenarios!I39</f>
        <v>-0.14000000000000001</v>
      </c>
      <c r="V17" s="29"/>
    </row>
    <row r="18" spans="3:22">
      <c r="C18" s="4"/>
      <c r="D18" s="28" t="s">
        <v>380</v>
      </c>
      <c r="E18" s="212">
        <f>Scenarios!E60</f>
        <v>-0.12</v>
      </c>
      <c r="F18" s="212">
        <f>Scenarios!F60</f>
        <v>-0.11</v>
      </c>
      <c r="G18" s="212">
        <f>Scenarios!G60</f>
        <v>-0.11</v>
      </c>
      <c r="H18" s="212">
        <f>Scenarios!H60</f>
        <v>-0.1</v>
      </c>
      <c r="I18" s="212">
        <f>Scenarios!I60</f>
        <v>-0.1</v>
      </c>
      <c r="J18" s="29"/>
      <c r="K18" s="212">
        <f>Scenarios!E58</f>
        <v>-0.14000000000000001</v>
      </c>
      <c r="L18" s="212">
        <f>Scenarios!F58</f>
        <v>-0.14500000000000002</v>
      </c>
      <c r="M18" s="212">
        <f>Scenarios!G58</f>
        <v>-0.14500000000000002</v>
      </c>
      <c r="N18" s="212">
        <f>Scenarios!H58</f>
        <v>-0.13500000000000001</v>
      </c>
      <c r="O18" s="212">
        <f>Scenarios!I58</f>
        <v>-0.13</v>
      </c>
      <c r="P18" s="29"/>
      <c r="Q18" s="212">
        <f>Scenarios!E59</f>
        <v>-0.16</v>
      </c>
      <c r="R18" s="212">
        <f>Scenarios!F59</f>
        <v>-0.17</v>
      </c>
      <c r="S18" s="212">
        <f>Scenarios!G59</f>
        <v>-0.17</v>
      </c>
      <c r="T18" s="212">
        <f>Scenarios!H59</f>
        <v>-0.16</v>
      </c>
      <c r="U18" s="212">
        <f>Scenarios!I59</f>
        <v>-0.15</v>
      </c>
      <c r="V18" s="29"/>
    </row>
    <row r="19" spans="3:22">
      <c r="C19" s="560"/>
      <c r="D19" s="480" t="s">
        <v>560</v>
      </c>
      <c r="E19" s="747">
        <f>Summary!G29</f>
        <v>212.05018855225799</v>
      </c>
      <c r="F19" s="747"/>
      <c r="G19" s="747"/>
      <c r="H19" s="747"/>
      <c r="I19" s="747"/>
      <c r="J19" s="561"/>
      <c r="K19" s="747">
        <f>Summary!G27</f>
        <v>292.99441807564335</v>
      </c>
      <c r="L19" s="747"/>
      <c r="M19" s="747"/>
      <c r="N19" s="747"/>
      <c r="O19" s="747"/>
      <c r="P19" s="561"/>
      <c r="Q19" s="748">
        <f>Summary!G28</f>
        <v>291.61808764265766</v>
      </c>
      <c r="R19" s="748"/>
      <c r="S19" s="748"/>
      <c r="T19" s="748"/>
      <c r="U19" s="748"/>
      <c r="V19" s="561"/>
    </row>
    <row r="20" spans="3:22">
      <c r="C20" s="459"/>
      <c r="D20" s="480" t="s">
        <v>395</v>
      </c>
      <c r="E20" s="749">
        <f>E19/Summary!$E$10-1</f>
        <v>-6.2512982217348245E-2</v>
      </c>
      <c r="F20" s="749"/>
      <c r="G20" s="749"/>
      <c r="H20" s="749"/>
      <c r="I20" s="749"/>
      <c r="J20" s="562"/>
      <c r="K20" s="749">
        <f>K19/Summary!$E$10-1</f>
        <v>0.29534647011646564</v>
      </c>
      <c r="L20" s="749"/>
      <c r="M20" s="749"/>
      <c r="N20" s="749"/>
      <c r="O20" s="749"/>
      <c r="P20" s="562"/>
      <c r="Q20" s="749">
        <f>Q19/Summary!$E$10-1</f>
        <v>0.28926162802359823</v>
      </c>
      <c r="R20" s="749"/>
      <c r="S20" s="749"/>
      <c r="T20" s="749"/>
      <c r="U20" s="749"/>
      <c r="V20" s="562"/>
    </row>
  </sheetData>
  <mergeCells count="6">
    <mergeCell ref="E19:I19"/>
    <mergeCell ref="K19:O19"/>
    <mergeCell ref="Q19:U19"/>
    <mergeCell ref="E20:I20"/>
    <mergeCell ref="K20:O20"/>
    <mergeCell ref="Q20:U2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F1EC5-0AAF-4E4D-AA40-8C8026DC72AD}">
  <sheetPr>
    <tabColor rgb="FFAFDEFF"/>
  </sheetPr>
  <dimension ref="B1:S33"/>
  <sheetViews>
    <sheetView showGridLines="0" workbookViewId="0">
      <selection activeCell="C27" sqref="C27"/>
    </sheetView>
  </sheetViews>
  <sheetFormatPr baseColWidth="10" defaultColWidth="8.83203125" defaultRowHeight="12"/>
  <cols>
    <col min="1" max="2" width="3.1640625" style="1" customWidth="1"/>
    <col min="3" max="3" width="43.5" style="1" customWidth="1"/>
    <col min="4" max="4" width="13.5" style="1" bestFit="1" customWidth="1"/>
    <col min="5" max="5" width="19.1640625" style="1" bestFit="1" customWidth="1"/>
    <col min="6" max="6" width="9.83203125" style="1" customWidth="1"/>
    <col min="7" max="8" width="9.83203125" style="1" bestFit="1" customWidth="1"/>
    <col min="9" max="9" width="8.83203125" style="1"/>
    <col min="10" max="10" width="14.83203125" style="1" bestFit="1" customWidth="1"/>
    <col min="11" max="11" width="8.83203125" style="1" customWidth="1"/>
    <col min="12" max="12" width="14.83203125" style="1" bestFit="1" customWidth="1"/>
    <col min="13" max="13" width="10.6640625" style="1" bestFit="1" customWidth="1"/>
    <col min="14" max="14" width="10.6640625" style="1" customWidth="1"/>
    <col min="15" max="16384" width="8.83203125" style="1"/>
  </cols>
  <sheetData>
    <row r="1" spans="2:19" s="518" customFormat="1"/>
    <row r="2" spans="2:19" s="518" customFormat="1" ht="18">
      <c r="B2" s="541"/>
    </row>
    <row r="3" spans="2:19" s="518" customFormat="1" ht="13">
      <c r="B3" s="542"/>
      <c r="C3" s="461" t="s">
        <v>208</v>
      </c>
      <c r="D3" s="458"/>
    </row>
    <row r="4" spans="2:19" s="518" customFormat="1">
      <c r="B4" s="542"/>
      <c r="C4" s="460" t="s">
        <v>793</v>
      </c>
      <c r="D4" s="463"/>
    </row>
    <row r="5" spans="2:19" s="518" customFormat="1" ht="7.75" customHeight="1">
      <c r="B5" s="542"/>
    </row>
    <row r="6" spans="2:19">
      <c r="B6" s="4"/>
    </row>
    <row r="7" spans="2:19">
      <c r="B7" s="292" t="s">
        <v>420</v>
      </c>
      <c r="C7" s="292"/>
      <c r="D7" s="292"/>
      <c r="E7" s="292"/>
      <c r="F7" s="292"/>
      <c r="G7" s="292"/>
      <c r="H7" s="292"/>
      <c r="I7" s="292"/>
      <c r="J7" s="292"/>
      <c r="K7" s="292"/>
      <c r="L7" s="292"/>
      <c r="M7" s="292"/>
      <c r="N7" s="292"/>
      <c r="O7" s="220"/>
      <c r="P7" s="220"/>
      <c r="Q7" s="220"/>
      <c r="R7" s="220"/>
      <c r="S7" s="220"/>
    </row>
    <row r="8" spans="2:19" ht="5.5" customHeight="1">
      <c r="C8" s="143"/>
      <c r="D8" s="143"/>
      <c r="E8" s="143"/>
      <c r="F8" s="143"/>
      <c r="G8" s="143"/>
      <c r="H8" s="143"/>
      <c r="I8" s="143"/>
      <c r="J8" s="143"/>
      <c r="K8" s="143"/>
      <c r="L8" s="143"/>
      <c r="M8" s="143"/>
      <c r="N8" s="143"/>
    </row>
    <row r="9" spans="2:19">
      <c r="B9" s="681"/>
      <c r="C9" s="682" t="s">
        <v>428</v>
      </c>
      <c r="D9" s="682" t="s">
        <v>217</v>
      </c>
      <c r="E9" s="682" t="s">
        <v>209</v>
      </c>
      <c r="F9" s="682" t="s">
        <v>173</v>
      </c>
      <c r="G9" s="683" t="s">
        <v>218</v>
      </c>
      <c r="H9" s="683" t="s">
        <v>214</v>
      </c>
      <c r="I9" s="683" t="s">
        <v>220</v>
      </c>
      <c r="J9" s="683" t="s">
        <v>221</v>
      </c>
      <c r="K9" s="683" t="s">
        <v>205</v>
      </c>
      <c r="L9" s="683" t="s">
        <v>445</v>
      </c>
      <c r="M9" s="683" t="s">
        <v>446</v>
      </c>
      <c r="N9" s="684" t="s">
        <v>423</v>
      </c>
    </row>
    <row r="10" spans="2:19">
      <c r="B10" s="685">
        <v>1</v>
      </c>
      <c r="C10" s="1" t="s">
        <v>794</v>
      </c>
      <c r="D10" s="1" t="s">
        <v>798</v>
      </c>
      <c r="E10" s="1" t="s">
        <v>799</v>
      </c>
      <c r="F10" s="1" t="s">
        <v>192</v>
      </c>
      <c r="G10" s="34">
        <v>483.47</v>
      </c>
      <c r="H10" s="686">
        <v>1.03</v>
      </c>
      <c r="I10" s="29">
        <f>7432</f>
        <v>7432</v>
      </c>
      <c r="J10" s="687">
        <v>1</v>
      </c>
      <c r="K10" s="688" t="s">
        <v>30</v>
      </c>
      <c r="L10" s="224">
        <v>1</v>
      </c>
      <c r="M10" s="224">
        <f>G10/L10</f>
        <v>483.47</v>
      </c>
      <c r="N10" s="689">
        <f>M10*I10*J10</f>
        <v>3593149.04</v>
      </c>
      <c r="O10" s="1" t="s">
        <v>800</v>
      </c>
    </row>
    <row r="11" spans="2:19">
      <c r="B11" s="685">
        <f t="shared" ref="B11:B19" si="0">B10+1</f>
        <v>2</v>
      </c>
      <c r="C11" s="1" t="s">
        <v>795</v>
      </c>
      <c r="D11" s="1" t="s">
        <v>798</v>
      </c>
      <c r="E11" s="1" t="s">
        <v>801</v>
      </c>
      <c r="F11" s="1" t="s">
        <v>192</v>
      </c>
      <c r="G11" s="34">
        <v>312.43</v>
      </c>
      <c r="H11" s="686">
        <v>0.93</v>
      </c>
      <c r="I11" s="29">
        <v>5818</v>
      </c>
      <c r="J11" s="687">
        <v>1</v>
      </c>
      <c r="K11" s="688" t="s">
        <v>30</v>
      </c>
      <c r="L11" s="224">
        <v>1</v>
      </c>
      <c r="M11" s="224">
        <f>G11/L11</f>
        <v>312.43</v>
      </c>
      <c r="N11" s="689">
        <f t="shared" ref="N11:N19" si="1">M11*I11*J11</f>
        <v>1817717.74</v>
      </c>
      <c r="O11" s="1" t="s">
        <v>802</v>
      </c>
    </row>
    <row r="12" spans="2:19">
      <c r="B12" s="685">
        <f t="shared" si="0"/>
        <v>3</v>
      </c>
      <c r="C12" s="1" t="s">
        <v>796</v>
      </c>
      <c r="D12" s="1" t="s">
        <v>798</v>
      </c>
      <c r="E12" s="1" t="s">
        <v>803</v>
      </c>
      <c r="F12" s="1" t="s">
        <v>192</v>
      </c>
      <c r="G12" s="34">
        <v>652.71</v>
      </c>
      <c r="H12" s="686">
        <v>1.48</v>
      </c>
      <c r="I12" s="29">
        <v>2178</v>
      </c>
      <c r="J12" s="687">
        <v>1</v>
      </c>
      <c r="K12" s="688" t="s">
        <v>30</v>
      </c>
      <c r="L12" s="224">
        <v>1</v>
      </c>
      <c r="M12" s="224">
        <f t="shared" ref="M12:M19" si="2">G12/L12</f>
        <v>652.71</v>
      </c>
      <c r="N12" s="689">
        <f t="shared" si="1"/>
        <v>1421602.3800000001</v>
      </c>
      <c r="O12" s="1" t="s">
        <v>804</v>
      </c>
    </row>
    <row r="13" spans="2:19">
      <c r="B13" s="685">
        <f t="shared" si="0"/>
        <v>4</v>
      </c>
      <c r="C13" s="1" t="s">
        <v>797</v>
      </c>
      <c r="D13" s="1" t="s">
        <v>216</v>
      </c>
      <c r="E13" s="1" t="s">
        <v>805</v>
      </c>
      <c r="F13" s="1" t="s">
        <v>192</v>
      </c>
      <c r="G13" s="34">
        <v>198.85</v>
      </c>
      <c r="H13" s="686">
        <v>1.86</v>
      </c>
      <c r="I13" s="29">
        <v>2851</v>
      </c>
      <c r="J13" s="687">
        <v>1</v>
      </c>
      <c r="K13" s="688" t="s">
        <v>30</v>
      </c>
      <c r="L13" s="224">
        <v>1</v>
      </c>
      <c r="M13" s="224">
        <f t="shared" si="2"/>
        <v>198.85</v>
      </c>
      <c r="N13" s="689">
        <f t="shared" si="1"/>
        <v>566921.35</v>
      </c>
      <c r="O13" s="1" t="s">
        <v>806</v>
      </c>
    </row>
    <row r="14" spans="2:19">
      <c r="B14" s="685">
        <f t="shared" si="0"/>
        <v>5</v>
      </c>
      <c r="C14" s="1" t="s">
        <v>807</v>
      </c>
      <c r="D14" s="1" t="s">
        <v>216</v>
      </c>
      <c r="E14" s="1" t="s">
        <v>808</v>
      </c>
      <c r="F14" s="1" t="s">
        <v>192</v>
      </c>
      <c r="G14" s="34">
        <v>115.52</v>
      </c>
      <c r="H14" s="686">
        <v>2.86</v>
      </c>
      <c r="I14" s="691">
        <v>7970</v>
      </c>
      <c r="J14" s="687">
        <v>1</v>
      </c>
      <c r="K14" s="688" t="s">
        <v>30</v>
      </c>
      <c r="L14" s="224">
        <v>1</v>
      </c>
      <c r="M14" s="224">
        <f t="shared" si="2"/>
        <v>115.52</v>
      </c>
      <c r="N14" s="689">
        <f t="shared" si="1"/>
        <v>920694.4</v>
      </c>
      <c r="O14" s="1" t="s">
        <v>809</v>
      </c>
    </row>
    <row r="15" spans="2:19">
      <c r="B15" s="685">
        <f t="shared" si="0"/>
        <v>6</v>
      </c>
      <c r="C15" s="1" t="s">
        <v>810</v>
      </c>
      <c r="D15" s="1" t="s">
        <v>798</v>
      </c>
      <c r="E15" s="1" t="s">
        <v>811</v>
      </c>
      <c r="F15" s="1" t="s">
        <v>192</v>
      </c>
      <c r="G15" s="34">
        <v>888.48</v>
      </c>
      <c r="H15" s="686">
        <v>1.1200000000000001</v>
      </c>
      <c r="I15" s="691">
        <v>443</v>
      </c>
      <c r="J15" s="687">
        <v>1</v>
      </c>
      <c r="K15" s="688" t="s">
        <v>30</v>
      </c>
      <c r="L15" s="224">
        <v>1</v>
      </c>
      <c r="M15" s="224">
        <f t="shared" si="2"/>
        <v>888.48</v>
      </c>
      <c r="N15" s="689">
        <f t="shared" si="1"/>
        <v>393596.64</v>
      </c>
      <c r="O15" s="1" t="s">
        <v>812</v>
      </c>
    </row>
    <row r="16" spans="2:19">
      <c r="B16" s="685">
        <f>B15+1</f>
        <v>7</v>
      </c>
      <c r="C16" s="1" t="s">
        <v>813</v>
      </c>
      <c r="D16" s="1" t="s">
        <v>216</v>
      </c>
      <c r="E16" s="1" t="s">
        <v>814</v>
      </c>
      <c r="F16" s="1" t="s">
        <v>192</v>
      </c>
      <c r="G16" s="34">
        <v>96.97</v>
      </c>
      <c r="H16" s="686">
        <v>1.46</v>
      </c>
      <c r="I16" s="29">
        <v>452</v>
      </c>
      <c r="J16" s="687">
        <v>1</v>
      </c>
      <c r="K16" s="688" t="s">
        <v>30</v>
      </c>
      <c r="L16" s="224">
        <v>1</v>
      </c>
      <c r="M16" s="224">
        <f t="shared" si="2"/>
        <v>96.97</v>
      </c>
      <c r="N16" s="689">
        <f t="shared" si="1"/>
        <v>43830.44</v>
      </c>
      <c r="O16" s="1" t="s">
        <v>815</v>
      </c>
    </row>
    <row r="17" spans="2:15">
      <c r="B17" s="685">
        <f t="shared" si="0"/>
        <v>8</v>
      </c>
      <c r="C17" s="1" t="s">
        <v>816</v>
      </c>
      <c r="D17" s="1" t="s">
        <v>216</v>
      </c>
      <c r="E17" s="1" t="s">
        <v>817</v>
      </c>
      <c r="F17" s="1" t="s">
        <v>194</v>
      </c>
      <c r="G17" s="34">
        <v>156.9</v>
      </c>
      <c r="H17" s="686">
        <v>0.32</v>
      </c>
      <c r="I17" s="29">
        <f>374369/G17</f>
        <v>2386.0356915232633</v>
      </c>
      <c r="J17" s="687">
        <v>1</v>
      </c>
      <c r="K17" s="690" t="s">
        <v>30</v>
      </c>
      <c r="L17" s="224">
        <v>1</v>
      </c>
      <c r="M17" s="224">
        <f t="shared" si="2"/>
        <v>156.9</v>
      </c>
      <c r="N17" s="689">
        <f t="shared" si="1"/>
        <v>374369</v>
      </c>
      <c r="O17" s="1" t="s">
        <v>818</v>
      </c>
    </row>
    <row r="18" spans="2:15">
      <c r="B18" s="685">
        <f t="shared" si="0"/>
        <v>9</v>
      </c>
      <c r="C18" s="1" t="s">
        <v>819</v>
      </c>
      <c r="D18" s="1" t="s">
        <v>798</v>
      </c>
      <c r="E18" s="1" t="s">
        <v>820</v>
      </c>
      <c r="F18" s="1" t="s">
        <v>192</v>
      </c>
      <c r="G18" s="34">
        <v>278.02999999999997</v>
      </c>
      <c r="H18" s="686">
        <v>1.03</v>
      </c>
      <c r="I18" s="29">
        <v>14776</v>
      </c>
      <c r="J18" s="687">
        <v>1</v>
      </c>
      <c r="K18" s="688" t="s">
        <v>30</v>
      </c>
      <c r="L18" s="224">
        <v>1</v>
      </c>
      <c r="M18" s="224">
        <f t="shared" si="2"/>
        <v>278.02999999999997</v>
      </c>
      <c r="N18" s="689">
        <f t="shared" si="1"/>
        <v>4108171.28</v>
      </c>
      <c r="O18" s="1" t="s">
        <v>823</v>
      </c>
    </row>
    <row r="19" spans="2:15">
      <c r="B19" s="692">
        <f t="shared" si="0"/>
        <v>10</v>
      </c>
      <c r="C19" s="28" t="s">
        <v>821</v>
      </c>
      <c r="D19" s="28" t="s">
        <v>798</v>
      </c>
      <c r="E19" s="28" t="s">
        <v>822</v>
      </c>
      <c r="F19" s="28" t="s">
        <v>192</v>
      </c>
      <c r="G19" s="693">
        <v>94.09</v>
      </c>
      <c r="H19" s="698">
        <v>1.38</v>
      </c>
      <c r="I19" s="621">
        <v>4242</v>
      </c>
      <c r="J19" s="697">
        <v>1</v>
      </c>
      <c r="K19" s="696" t="s">
        <v>30</v>
      </c>
      <c r="L19" s="694">
        <v>1</v>
      </c>
      <c r="M19" s="694">
        <f t="shared" si="2"/>
        <v>94.09</v>
      </c>
      <c r="N19" s="695">
        <f t="shared" si="1"/>
        <v>399129.78</v>
      </c>
      <c r="O19" s="1" t="s">
        <v>824</v>
      </c>
    </row>
    <row r="20" spans="2:15">
      <c r="B20" s="4"/>
      <c r="G20" s="34"/>
      <c r="H20" s="117"/>
      <c r="I20" s="29"/>
      <c r="J20" s="49"/>
      <c r="K20" s="223"/>
      <c r="L20" s="224"/>
      <c r="M20" s="224"/>
      <c r="N20" s="58"/>
    </row>
    <row r="21" spans="2:15">
      <c r="B21" s="264" t="s">
        <v>462</v>
      </c>
      <c r="G21" s="34"/>
      <c r="H21" s="117"/>
      <c r="I21" s="29"/>
      <c r="J21" s="49"/>
      <c r="K21" s="223"/>
      <c r="L21" s="224"/>
      <c r="M21" s="224"/>
      <c r="N21" s="58"/>
    </row>
    <row r="22" spans="2:15">
      <c r="I22" s="29"/>
      <c r="J22" s="49"/>
    </row>
    <row r="23" spans="2:15">
      <c r="B23" s="42" t="s">
        <v>459</v>
      </c>
    </row>
    <row r="24" spans="2:15" ht="14">
      <c r="B24" s="42" t="s">
        <v>576</v>
      </c>
      <c r="G24" s="614"/>
      <c r="H24" s="614"/>
    </row>
    <row r="25" spans="2:15" ht="14">
      <c r="B25" s="43" t="s">
        <v>460</v>
      </c>
      <c r="G25" s="614"/>
      <c r="H25" s="614"/>
    </row>
    <row r="26" spans="2:15" ht="14">
      <c r="B26" s="42" t="s">
        <v>437</v>
      </c>
      <c r="G26" s="614"/>
      <c r="H26" s="614"/>
    </row>
    <row r="27" spans="2:15" ht="14">
      <c r="B27" s="43" t="s">
        <v>219</v>
      </c>
      <c r="D27" s="614"/>
      <c r="E27" s="614"/>
      <c r="F27" s="614"/>
      <c r="G27" s="614"/>
      <c r="H27" s="614"/>
    </row>
    <row r="28" spans="2:15" ht="14">
      <c r="D28" s="614"/>
      <c r="E28" s="617"/>
      <c r="F28" s="614"/>
      <c r="G28" s="614"/>
      <c r="H28" s="614"/>
    </row>
    <row r="29" spans="2:15" ht="14">
      <c r="D29" s="614"/>
      <c r="E29" s="617"/>
      <c r="F29" s="614"/>
      <c r="G29" s="614"/>
      <c r="H29" s="614"/>
    </row>
    <row r="30" spans="2:15" ht="14">
      <c r="D30" s="614"/>
      <c r="E30" s="617"/>
      <c r="F30" s="614"/>
      <c r="G30" s="614"/>
      <c r="H30" s="614"/>
    </row>
    <row r="31" spans="2:15" ht="14">
      <c r="D31" s="614"/>
      <c r="E31" s="617"/>
      <c r="F31" s="614"/>
      <c r="G31" s="614"/>
      <c r="H31" s="614"/>
    </row>
    <row r="32" spans="2:15" ht="14">
      <c r="D32" s="614"/>
      <c r="E32" s="617"/>
      <c r="G32" s="614"/>
      <c r="H32" s="614"/>
    </row>
    <row r="33" spans="7:8" ht="14">
      <c r="G33" s="614"/>
      <c r="H33" s="614"/>
    </row>
  </sheetData>
  <sortState xmlns:xlrd2="http://schemas.microsoft.com/office/spreadsheetml/2017/richdata2" ref="I10:J19">
    <sortCondition ref="I10:I19"/>
  </sortState>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1D511-38D8-460F-B1CE-1804CCAC2896}">
  <sheetPr>
    <tabColor rgb="FFAFDEFF"/>
  </sheetPr>
  <dimension ref="B1:X83"/>
  <sheetViews>
    <sheetView showGridLines="0" zoomScale="110" workbookViewId="0">
      <selection activeCell="U47" sqref="U47"/>
    </sheetView>
  </sheetViews>
  <sheetFormatPr baseColWidth="10" defaultColWidth="8.83203125" defaultRowHeight="12"/>
  <cols>
    <col min="1" max="2" width="3.1640625" style="1" customWidth="1"/>
    <col min="3" max="3" width="3" style="1" customWidth="1"/>
    <col min="4" max="4" width="16.1640625" style="1" customWidth="1"/>
    <col min="5" max="5" width="11.83203125" style="1" bestFit="1" customWidth="1"/>
    <col min="6" max="6" width="7.1640625" style="1" bestFit="1" customWidth="1"/>
    <col min="7" max="7" width="8.83203125" style="1" bestFit="1" customWidth="1"/>
    <col min="8" max="8" width="8.5" style="1" bestFit="1" customWidth="1"/>
    <col min="9" max="10" width="7.1640625" style="1" bestFit="1" customWidth="1"/>
    <col min="11" max="11" width="9.5" style="1" bestFit="1" customWidth="1"/>
    <col min="12" max="12" width="11.5" style="1" bestFit="1" customWidth="1"/>
    <col min="13" max="13" width="8.83203125" style="1" bestFit="1" customWidth="1"/>
    <col min="14" max="14" width="13.33203125" style="1" bestFit="1" customWidth="1"/>
    <col min="15" max="15" width="10.5" style="1" bestFit="1" customWidth="1"/>
    <col min="16" max="16" width="8.5" style="1" bestFit="1" customWidth="1"/>
    <col min="17" max="17" width="9.5" style="1" bestFit="1" customWidth="1"/>
    <col min="18" max="18" width="8.5" style="1" bestFit="1" customWidth="1"/>
    <col min="19" max="19" width="4.6640625" style="1" bestFit="1" customWidth="1"/>
    <col min="20" max="20" width="8.83203125" style="1"/>
    <col min="21" max="21" width="3.33203125" style="1" bestFit="1" customWidth="1"/>
    <col min="22" max="22" width="16" style="1" bestFit="1" customWidth="1"/>
    <col min="23" max="23" width="8.83203125" style="1"/>
    <col min="24" max="24" width="9.6640625" style="1" bestFit="1" customWidth="1"/>
    <col min="25" max="16384" width="8.83203125" style="1"/>
  </cols>
  <sheetData>
    <row r="1" spans="2:20" s="457" customFormat="1"/>
    <row r="2" spans="2:20" s="457" customFormat="1" ht="18">
      <c r="B2" s="462"/>
    </row>
    <row r="3" spans="2:20" s="457" customFormat="1" ht="13">
      <c r="B3" s="459"/>
      <c r="C3" s="461" t="s">
        <v>440</v>
      </c>
      <c r="D3" s="461"/>
      <c r="E3" s="461"/>
      <c r="F3" s="461"/>
      <c r="G3" s="461"/>
    </row>
    <row r="4" spans="2:20" s="457" customFormat="1">
      <c r="B4" s="459"/>
      <c r="C4" s="460" t="s">
        <v>23</v>
      </c>
      <c r="D4" s="460"/>
      <c r="E4" s="460"/>
      <c r="F4" s="460"/>
      <c r="G4" s="460"/>
    </row>
    <row r="5" spans="2:20" s="457" customFormat="1" ht="7.75" customHeight="1">
      <c r="B5" s="459"/>
    </row>
    <row r="6" spans="2:20">
      <c r="B6" s="4"/>
    </row>
    <row r="7" spans="2:20">
      <c r="B7" s="4"/>
    </row>
    <row r="8" spans="2:20">
      <c r="B8" s="4"/>
      <c r="D8" s="288" t="s">
        <v>565</v>
      </c>
      <c r="E8" s="289"/>
      <c r="F8" s="289"/>
      <c r="G8" s="289"/>
      <c r="H8" s="290"/>
      <c r="I8" s="290"/>
      <c r="J8" s="290"/>
      <c r="K8" s="290"/>
      <c r="L8" s="290"/>
      <c r="M8" s="290"/>
      <c r="N8" s="290"/>
      <c r="O8" s="290"/>
      <c r="P8" s="290"/>
      <c r="Q8" s="290"/>
      <c r="R8" s="290"/>
      <c r="S8" s="290"/>
    </row>
    <row r="9" spans="2:20" ht="4.75" customHeight="1">
      <c r="B9" s="4"/>
      <c r="C9" s="204"/>
      <c r="D9" s="213"/>
      <c r="E9" s="213"/>
      <c r="F9" s="213"/>
      <c r="G9" s="214"/>
    </row>
    <row r="10" spans="2:20">
      <c r="B10" s="4"/>
      <c r="C10" s="471"/>
      <c r="D10" s="471" t="s">
        <v>428</v>
      </c>
      <c r="E10" s="471" t="s">
        <v>215</v>
      </c>
      <c r="F10" s="471" t="s">
        <v>173</v>
      </c>
      <c r="G10" s="471" t="s">
        <v>191</v>
      </c>
      <c r="H10" s="704" t="s">
        <v>91</v>
      </c>
      <c r="I10" s="704" t="s">
        <v>97</v>
      </c>
      <c r="J10" s="704" t="s">
        <v>95</v>
      </c>
      <c r="K10" s="704" t="s">
        <v>162</v>
      </c>
      <c r="L10" s="704" t="s">
        <v>439</v>
      </c>
      <c r="M10" s="704" t="s">
        <v>163</v>
      </c>
      <c r="N10" s="704" t="s">
        <v>77</v>
      </c>
      <c r="O10" s="704" t="s">
        <v>222</v>
      </c>
      <c r="P10" s="704" t="s">
        <v>165</v>
      </c>
      <c r="Q10" s="704" t="s">
        <v>423</v>
      </c>
      <c r="R10" s="704" t="s">
        <v>164</v>
      </c>
      <c r="S10" s="704" t="s">
        <v>168</v>
      </c>
    </row>
    <row r="11" spans="2:20">
      <c r="C11" s="699">
        <v>1</v>
      </c>
      <c r="D11" s="33" t="s">
        <v>794</v>
      </c>
      <c r="E11" s="700" t="s">
        <v>799</v>
      </c>
      <c r="F11" s="700" t="s">
        <v>192</v>
      </c>
      <c r="G11" s="701" t="s">
        <v>825</v>
      </c>
      <c r="H11" s="702">
        <v>293812</v>
      </c>
      <c r="I11" s="702">
        <v>127218</v>
      </c>
      <c r="J11" s="702">
        <v>167049</v>
      </c>
      <c r="K11" s="702">
        <v>104912</v>
      </c>
      <c r="L11" s="702">
        <v>102005</v>
      </c>
      <c r="M11" s="702">
        <v>60556</v>
      </c>
      <c r="N11" s="702">
        <v>0</v>
      </c>
      <c r="O11" s="702">
        <v>0</v>
      </c>
      <c r="P11" s="702">
        <v>363076</v>
      </c>
      <c r="Q11" s="702">
        <v>3556616</v>
      </c>
      <c r="R11" s="702">
        <f>Q11+M11-L11</f>
        <v>3515167</v>
      </c>
      <c r="S11" s="706">
        <f t="shared" ref="S11:S19" si="0">M11/P11</f>
        <v>0.16678601725258624</v>
      </c>
      <c r="T11" s="27"/>
    </row>
    <row r="12" spans="2:20">
      <c r="C12" s="685">
        <f t="shared" ref="C12:C20" si="1">C11+1</f>
        <v>2</v>
      </c>
      <c r="D12" s="1" t="s">
        <v>795</v>
      </c>
      <c r="E12" s="440" t="s">
        <v>801</v>
      </c>
      <c r="F12" s="440" t="s">
        <v>192</v>
      </c>
      <c r="G12" s="48" t="s">
        <v>825</v>
      </c>
      <c r="H12" s="29">
        <v>385476</v>
      </c>
      <c r="I12" s="29">
        <v>148227</v>
      </c>
      <c r="J12" s="29">
        <v>167528</v>
      </c>
      <c r="K12" s="29">
        <v>124251</v>
      </c>
      <c r="L12" s="29">
        <v>98496</v>
      </c>
      <c r="M12" s="29">
        <v>33713</v>
      </c>
      <c r="N12" s="29">
        <v>0</v>
      </c>
      <c r="O12" s="29">
        <v>0</v>
      </c>
      <c r="P12" s="29">
        <v>386867</v>
      </c>
      <c r="Q12" s="29">
        <v>3732202</v>
      </c>
      <c r="R12" s="29">
        <f t="shared" ref="R12:R18" si="2">Q12+M12-L12</f>
        <v>3667419</v>
      </c>
      <c r="S12" s="707">
        <f t="shared" si="0"/>
        <v>8.7143643681161745E-2</v>
      </c>
    </row>
    <row r="13" spans="2:20">
      <c r="C13" s="685">
        <f t="shared" si="1"/>
        <v>3</v>
      </c>
      <c r="D13" s="1" t="s">
        <v>796</v>
      </c>
      <c r="E13" s="440" t="s">
        <v>803</v>
      </c>
      <c r="F13" s="440" t="s">
        <v>192</v>
      </c>
      <c r="G13" s="48" t="s">
        <v>825</v>
      </c>
      <c r="H13" s="29">
        <v>189458</v>
      </c>
      <c r="I13" s="29">
        <v>82861</v>
      </c>
      <c r="J13" s="29">
        <v>100526</v>
      </c>
      <c r="K13" s="29">
        <v>58528</v>
      </c>
      <c r="L13" s="29">
        <v>44448</v>
      </c>
      <c r="M13" s="29">
        <v>51060</v>
      </c>
      <c r="N13" s="29">
        <v>0</v>
      </c>
      <c r="O13" s="29">
        <v>0</v>
      </c>
      <c r="P13" s="29">
        <v>194066</v>
      </c>
      <c r="Q13" s="29">
        <v>1623799</v>
      </c>
      <c r="R13" s="29">
        <f t="shared" si="2"/>
        <v>1630411</v>
      </c>
      <c r="S13" s="707">
        <f t="shared" si="0"/>
        <v>0.26310636587552688</v>
      </c>
    </row>
    <row r="14" spans="2:20">
      <c r="C14" s="685">
        <f t="shared" si="1"/>
        <v>4</v>
      </c>
      <c r="D14" s="1" t="s">
        <v>797</v>
      </c>
      <c r="E14" s="440" t="s">
        <v>805</v>
      </c>
      <c r="F14" s="440" t="s">
        <v>192</v>
      </c>
      <c r="G14" s="48" t="s">
        <v>825</v>
      </c>
      <c r="H14" s="29">
        <v>61016</v>
      </c>
      <c r="I14" s="29">
        <v>20629</v>
      </c>
      <c r="J14" s="29">
        <v>22757</v>
      </c>
      <c r="K14" s="29">
        <v>15425</v>
      </c>
      <c r="L14" s="29">
        <v>19766</v>
      </c>
      <c r="M14" s="29">
        <v>124386</v>
      </c>
      <c r="N14" s="29">
        <v>0</v>
      </c>
      <c r="O14" s="29">
        <v>0</v>
      </c>
      <c r="P14" s="29">
        <v>30457</v>
      </c>
      <c r="Q14" s="29">
        <v>541565</v>
      </c>
      <c r="R14" s="29">
        <f t="shared" si="2"/>
        <v>646185</v>
      </c>
      <c r="S14" s="707">
        <f t="shared" si="0"/>
        <v>4.0839872607282395</v>
      </c>
    </row>
    <row r="15" spans="2:20">
      <c r="C15" s="685">
        <f t="shared" si="1"/>
        <v>5</v>
      </c>
      <c r="D15" s="1" t="s">
        <v>807</v>
      </c>
      <c r="E15" s="440" t="s">
        <v>808</v>
      </c>
      <c r="F15" s="440" t="s">
        <v>192</v>
      </c>
      <c r="G15" s="48" t="s">
        <v>825</v>
      </c>
      <c r="H15" s="29">
        <v>703061</v>
      </c>
      <c r="I15" s="29">
        <v>32874</v>
      </c>
      <c r="J15" s="29">
        <v>46710</v>
      </c>
      <c r="K15" s="29">
        <v>23303</v>
      </c>
      <c r="L15" s="29">
        <v>10582</v>
      </c>
      <c r="M15" s="29">
        <v>68424</v>
      </c>
      <c r="N15" s="29">
        <v>0</v>
      </c>
      <c r="O15" s="29">
        <v>0</v>
      </c>
      <c r="P15" s="29">
        <v>102512</v>
      </c>
      <c r="Q15" s="29">
        <v>930118</v>
      </c>
      <c r="R15" s="29">
        <f t="shared" si="2"/>
        <v>987960</v>
      </c>
      <c r="S15" s="707">
        <f t="shared" si="0"/>
        <v>0.66747307632277197</v>
      </c>
    </row>
    <row r="16" spans="2:20">
      <c r="C16" s="685">
        <f t="shared" si="1"/>
        <v>6</v>
      </c>
      <c r="D16" s="1" t="s">
        <v>810</v>
      </c>
      <c r="E16" s="440" t="s">
        <v>811</v>
      </c>
      <c r="F16" s="440" t="s">
        <v>192</v>
      </c>
      <c r="G16" s="48" t="s">
        <v>825</v>
      </c>
      <c r="H16" s="29">
        <v>208391</v>
      </c>
      <c r="I16" s="29">
        <v>10691</v>
      </c>
      <c r="J16" s="29">
        <v>13166</v>
      </c>
      <c r="K16" s="29">
        <v>8302</v>
      </c>
      <c r="L16" s="29">
        <v>15284</v>
      </c>
      <c r="M16" s="29">
        <v>8173</v>
      </c>
      <c r="N16" s="29">
        <v>0</v>
      </c>
      <c r="O16" s="29">
        <v>0</v>
      </c>
      <c r="P16" s="29">
        <v>29164</v>
      </c>
      <c r="Q16" s="29">
        <v>392667</v>
      </c>
      <c r="R16" s="29">
        <f t="shared" si="2"/>
        <v>385556</v>
      </c>
      <c r="S16" s="707">
        <f t="shared" si="0"/>
        <v>0.28024276505280482</v>
      </c>
    </row>
    <row r="17" spans="3:24">
      <c r="C17" s="685">
        <f>C16+1</f>
        <v>7</v>
      </c>
      <c r="D17" s="1" t="s">
        <v>813</v>
      </c>
      <c r="E17" s="440" t="s">
        <v>814</v>
      </c>
      <c r="F17" s="440" t="s">
        <v>192</v>
      </c>
      <c r="G17" s="48" t="s">
        <v>825</v>
      </c>
      <c r="H17" s="29">
        <v>105242</v>
      </c>
      <c r="I17" s="29">
        <v>5301</v>
      </c>
      <c r="J17" s="29">
        <v>8398</v>
      </c>
      <c r="K17" s="29">
        <v>3763</v>
      </c>
      <c r="L17" s="29">
        <v>3822</v>
      </c>
      <c r="M17" s="29">
        <v>20041</v>
      </c>
      <c r="N17" s="29">
        <v>0</v>
      </c>
      <c r="O17" s="29">
        <v>0</v>
      </c>
      <c r="P17" s="29">
        <v>15501</v>
      </c>
      <c r="Q17" s="29">
        <v>43909</v>
      </c>
      <c r="R17" s="29">
        <f t="shared" si="2"/>
        <v>60128</v>
      </c>
      <c r="S17" s="707">
        <f t="shared" si="0"/>
        <v>1.2928843300432231</v>
      </c>
    </row>
    <row r="18" spans="3:24">
      <c r="C18" s="685">
        <f t="shared" si="1"/>
        <v>8</v>
      </c>
      <c r="D18" s="1" t="s">
        <v>816</v>
      </c>
      <c r="E18" s="440" t="s">
        <v>817</v>
      </c>
      <c r="F18" s="440" t="s">
        <v>194</v>
      </c>
      <c r="G18" s="48" t="s">
        <v>825</v>
      </c>
      <c r="H18" s="29">
        <f>1012055000/1000</f>
        <v>1012055</v>
      </c>
      <c r="I18" s="29">
        <v>157058</v>
      </c>
      <c r="J18" s="29">
        <v>161586</v>
      </c>
      <c r="K18" s="29">
        <v>123354</v>
      </c>
      <c r="L18" s="29">
        <v>428093</v>
      </c>
      <c r="M18" s="29">
        <v>248110</v>
      </c>
      <c r="N18" s="29">
        <v>0</v>
      </c>
      <c r="O18" s="29">
        <v>0</v>
      </c>
      <c r="P18" s="29">
        <v>1009858</v>
      </c>
      <c r="Q18" s="29">
        <v>374369</v>
      </c>
      <c r="R18" s="29">
        <f t="shared" si="2"/>
        <v>194386</v>
      </c>
      <c r="S18" s="707">
        <f t="shared" si="0"/>
        <v>0.24568800762087342</v>
      </c>
    </row>
    <row r="19" spans="3:24">
      <c r="C19" s="685">
        <f t="shared" si="1"/>
        <v>9</v>
      </c>
      <c r="D19" s="1" t="s">
        <v>819</v>
      </c>
      <c r="E19" s="440" t="s">
        <v>820</v>
      </c>
      <c r="F19" s="440" t="s">
        <v>192</v>
      </c>
      <c r="G19" s="48" t="s">
        <v>825</v>
      </c>
      <c r="H19" s="29">
        <v>416161</v>
      </c>
      <c r="I19" s="29">
        <v>132729</v>
      </c>
      <c r="J19" s="29">
        <v>144427</v>
      </c>
      <c r="K19" s="29">
        <v>112010</v>
      </c>
      <c r="L19" s="29">
        <v>54697</v>
      </c>
      <c r="M19" s="29">
        <v>98657</v>
      </c>
      <c r="N19" s="29">
        <v>0</v>
      </c>
      <c r="O19" s="29">
        <v>0</v>
      </c>
      <c r="P19" s="29">
        <v>73733</v>
      </c>
      <c r="Q19" s="29">
        <v>4108269</v>
      </c>
      <c r="R19" s="29">
        <f>Q19+M19-L19</f>
        <v>4152229</v>
      </c>
      <c r="S19" s="707">
        <f t="shared" si="0"/>
        <v>1.3380304612588665</v>
      </c>
    </row>
    <row r="20" spans="3:24">
      <c r="C20" s="692">
        <f t="shared" si="1"/>
        <v>10</v>
      </c>
      <c r="D20" s="28" t="s">
        <v>821</v>
      </c>
      <c r="E20" s="669" t="s">
        <v>822</v>
      </c>
      <c r="F20" s="669" t="s">
        <v>192</v>
      </c>
      <c r="G20" s="703" t="s">
        <v>825</v>
      </c>
      <c r="H20" s="621">
        <f>39000966/1000</f>
        <v>39000.966</v>
      </c>
      <c r="I20" s="621">
        <f>12642706/1000</f>
        <v>12642.706</v>
      </c>
      <c r="J20" s="621">
        <f>25926506/1000</f>
        <v>25926.506000000001</v>
      </c>
      <c r="K20" s="621">
        <f>8615615/1000</f>
        <v>8615.6149999999998</v>
      </c>
      <c r="L20" s="621">
        <f>9287287/1000</f>
        <v>9287.2870000000003</v>
      </c>
      <c r="M20" s="621">
        <f>14463020/1000</f>
        <v>14463.02</v>
      </c>
      <c r="N20" s="621">
        <v>0</v>
      </c>
      <c r="O20" s="621">
        <v>0</v>
      </c>
      <c r="P20" s="621">
        <f>25954035/1000</f>
        <v>25954.035</v>
      </c>
      <c r="Q20" s="621">
        <v>399119</v>
      </c>
      <c r="R20" s="621">
        <f>Q20+M20-L20</f>
        <v>404294.73300000001</v>
      </c>
      <c r="S20" s="705">
        <f>M20/P20</f>
        <v>0.55725516282920939</v>
      </c>
    </row>
    <row r="21" spans="3:24">
      <c r="C21" s="6"/>
      <c r="D21" s="6"/>
      <c r="E21" s="6"/>
      <c r="F21" s="6"/>
      <c r="G21" s="6"/>
      <c r="H21" s="6"/>
      <c r="I21" s="6"/>
      <c r="J21" s="6"/>
      <c r="K21" s="6"/>
      <c r="L21" s="45"/>
      <c r="M21" s="45"/>
      <c r="N21" s="6"/>
      <c r="O21" s="6"/>
      <c r="P21" s="6"/>
      <c r="Q21" s="6"/>
      <c r="R21" s="29"/>
    </row>
    <row r="22" spans="3:24">
      <c r="C22" s="245"/>
      <c r="D22" s="42" t="s">
        <v>438</v>
      </c>
      <c r="F22" s="6"/>
      <c r="G22" s="6"/>
      <c r="H22" s="6"/>
      <c r="I22" s="6"/>
    </row>
    <row r="23" spans="3:24">
      <c r="C23" s="246"/>
      <c r="D23" s="43" t="s">
        <v>219</v>
      </c>
      <c r="F23" s="6"/>
      <c r="G23" s="6"/>
      <c r="H23" s="6"/>
      <c r="I23" s="6"/>
      <c r="U23" s="757" t="s">
        <v>908</v>
      </c>
      <c r="V23" s="757"/>
      <c r="W23" s="756" t="s">
        <v>91</v>
      </c>
      <c r="X23" s="756" t="s">
        <v>423</v>
      </c>
    </row>
    <row r="24" spans="3:24">
      <c r="C24" s="246"/>
      <c r="U24" s="699">
        <v>1</v>
      </c>
      <c r="V24" s="33" t="s">
        <v>816</v>
      </c>
      <c r="W24" s="702">
        <f>1012055000/1000</f>
        <v>1012055</v>
      </c>
      <c r="X24" s="753">
        <v>374369</v>
      </c>
    </row>
    <row r="25" spans="3:24">
      <c r="U25" s="685">
        <v>2</v>
      </c>
      <c r="V25" s="751" t="s">
        <v>807</v>
      </c>
      <c r="W25" s="752">
        <v>703061</v>
      </c>
      <c r="X25" s="754">
        <v>930118</v>
      </c>
    </row>
    <row r="26" spans="3:24">
      <c r="C26" s="42"/>
      <c r="U26" s="685">
        <v>3</v>
      </c>
      <c r="V26" s="751" t="s">
        <v>907</v>
      </c>
      <c r="W26" s="752">
        <v>637959</v>
      </c>
      <c r="X26" s="754">
        <v>2418.02</v>
      </c>
    </row>
    <row r="27" spans="3:24">
      <c r="U27" s="685">
        <v>4</v>
      </c>
      <c r="V27" s="751" t="s">
        <v>819</v>
      </c>
      <c r="W27" s="752">
        <v>416161</v>
      </c>
      <c r="X27" s="754">
        <v>4108269</v>
      </c>
    </row>
    <row r="28" spans="3:24">
      <c r="U28" s="685">
        <v>5</v>
      </c>
      <c r="V28" s="751" t="s">
        <v>795</v>
      </c>
      <c r="W28" s="752">
        <v>385476</v>
      </c>
      <c r="X28" s="754">
        <v>3732202</v>
      </c>
    </row>
    <row r="29" spans="3:24">
      <c r="U29" s="685">
        <v>6</v>
      </c>
      <c r="V29" s="751" t="s">
        <v>794</v>
      </c>
      <c r="W29" s="752">
        <v>293812</v>
      </c>
      <c r="X29" s="754">
        <v>3556616</v>
      </c>
    </row>
    <row r="30" spans="3:24">
      <c r="K30" s="1" t="s">
        <v>826</v>
      </c>
      <c r="U30" s="685">
        <v>7</v>
      </c>
      <c r="V30" s="751" t="s">
        <v>810</v>
      </c>
      <c r="W30" s="752">
        <v>208391</v>
      </c>
      <c r="X30" s="754">
        <v>392667</v>
      </c>
    </row>
    <row r="31" spans="3:24">
      <c r="K31" s="268">
        <v>637959</v>
      </c>
      <c r="U31" s="685">
        <v>8</v>
      </c>
      <c r="V31" s="751" t="s">
        <v>796</v>
      </c>
      <c r="W31" s="752">
        <v>189458</v>
      </c>
      <c r="X31" s="754">
        <v>1623799</v>
      </c>
    </row>
    <row r="32" spans="3:24">
      <c r="P32" s="114" t="s">
        <v>827</v>
      </c>
      <c r="U32" s="685">
        <v>9</v>
      </c>
      <c r="V32" s="751" t="s">
        <v>813</v>
      </c>
      <c r="W32" s="752">
        <v>105242</v>
      </c>
      <c r="X32" s="754">
        <v>43909</v>
      </c>
    </row>
    <row r="33" spans="16:24">
      <c r="P33" s="27">
        <v>2391864</v>
      </c>
      <c r="U33" s="685">
        <v>10</v>
      </c>
      <c r="V33" s="751" t="s">
        <v>797</v>
      </c>
      <c r="W33" s="752">
        <v>61016</v>
      </c>
      <c r="X33" s="754">
        <v>541565</v>
      </c>
    </row>
    <row r="34" spans="16:24">
      <c r="U34" s="692">
        <v>11</v>
      </c>
      <c r="V34" s="28" t="s">
        <v>821</v>
      </c>
      <c r="W34" s="621">
        <f>39000966/1000</f>
        <v>39000.966</v>
      </c>
      <c r="X34" s="755">
        <v>399119</v>
      </c>
    </row>
    <row r="80" spans="3:3">
      <c r="C80" s="1" t="s">
        <v>186</v>
      </c>
    </row>
    <row r="81" spans="3:3">
      <c r="C81" s="1" t="s">
        <v>187</v>
      </c>
    </row>
    <row r="82" spans="3:3">
      <c r="C82" s="1" t="s">
        <v>188</v>
      </c>
    </row>
    <row r="83" spans="3:3">
      <c r="C83" s="1" t="s">
        <v>189</v>
      </c>
    </row>
  </sheetData>
  <sortState xmlns:xlrd2="http://schemas.microsoft.com/office/spreadsheetml/2017/richdata2" ref="V24:X34">
    <sortCondition descending="1" ref="W24:W34"/>
  </sortState>
  <mergeCells count="1">
    <mergeCell ref="U23:V23"/>
  </mergeCells>
  <phoneticPr fontId="60"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948A-FF7E-BC44-BAB2-6F5458B0700C}">
  <sheetPr>
    <tabColor rgb="FFAFDEFF"/>
  </sheetPr>
  <dimension ref="A1:P2704"/>
  <sheetViews>
    <sheetView showGridLines="0" workbookViewId="0">
      <selection activeCell="F13" sqref="F13"/>
    </sheetView>
  </sheetViews>
  <sheetFormatPr baseColWidth="10" defaultColWidth="8.83203125" defaultRowHeight="13"/>
  <cols>
    <col min="1" max="2" width="3.1640625" style="1" customWidth="1"/>
    <col min="3" max="3" width="12.83203125" style="132" customWidth="1"/>
    <col min="4" max="4" width="29.33203125" style="132" customWidth="1"/>
    <col min="5" max="5" width="13.6640625" style="132" customWidth="1"/>
    <col min="6" max="6" width="12" style="132" customWidth="1"/>
    <col min="7" max="7" width="12.1640625" style="132" customWidth="1"/>
    <col min="8" max="256" width="8.83203125" style="132"/>
    <col min="257" max="257" width="20.83203125" style="132" customWidth="1"/>
    <col min="258" max="258" width="23.1640625" style="132" customWidth="1"/>
    <col min="259" max="259" width="21.5" style="132" customWidth="1"/>
    <col min="260" max="260" width="18.5" style="132" customWidth="1"/>
    <col min="261" max="261" width="19.5" style="132" customWidth="1"/>
    <col min="262" max="262" width="20.5" style="132" customWidth="1"/>
    <col min="263" max="263" width="18.6640625" style="132" customWidth="1"/>
    <col min="264" max="512" width="8.83203125" style="132"/>
    <col min="513" max="513" width="20.83203125" style="132" customWidth="1"/>
    <col min="514" max="514" width="23.1640625" style="132" customWidth="1"/>
    <col min="515" max="515" width="21.5" style="132" customWidth="1"/>
    <col min="516" max="516" width="18.5" style="132" customWidth="1"/>
    <col min="517" max="517" width="19.5" style="132" customWidth="1"/>
    <col min="518" max="518" width="20.5" style="132" customWidth="1"/>
    <col min="519" max="519" width="18.6640625" style="132" customWidth="1"/>
    <col min="520" max="768" width="8.83203125" style="132"/>
    <col min="769" max="769" width="20.83203125" style="132" customWidth="1"/>
    <col min="770" max="770" width="23.1640625" style="132" customWidth="1"/>
    <col min="771" max="771" width="21.5" style="132" customWidth="1"/>
    <col min="772" max="772" width="18.5" style="132" customWidth="1"/>
    <col min="773" max="773" width="19.5" style="132" customWidth="1"/>
    <col min="774" max="774" width="20.5" style="132" customWidth="1"/>
    <col min="775" max="775" width="18.6640625" style="132" customWidth="1"/>
    <col min="776" max="1024" width="8.83203125" style="132"/>
    <col min="1025" max="1025" width="20.83203125" style="132" customWidth="1"/>
    <col min="1026" max="1026" width="23.1640625" style="132" customWidth="1"/>
    <col min="1027" max="1027" width="21.5" style="132" customWidth="1"/>
    <col min="1028" max="1028" width="18.5" style="132" customWidth="1"/>
    <col min="1029" max="1029" width="19.5" style="132" customWidth="1"/>
    <col min="1030" max="1030" width="20.5" style="132" customWidth="1"/>
    <col min="1031" max="1031" width="18.6640625" style="132" customWidth="1"/>
    <col min="1032" max="1280" width="8.83203125" style="132"/>
    <col min="1281" max="1281" width="20.83203125" style="132" customWidth="1"/>
    <col min="1282" max="1282" width="23.1640625" style="132" customWidth="1"/>
    <col min="1283" max="1283" width="21.5" style="132" customWidth="1"/>
    <col min="1284" max="1284" width="18.5" style="132" customWidth="1"/>
    <col min="1285" max="1285" width="19.5" style="132" customWidth="1"/>
    <col min="1286" max="1286" width="20.5" style="132" customWidth="1"/>
    <col min="1287" max="1287" width="18.6640625" style="132" customWidth="1"/>
    <col min="1288" max="1536" width="8.83203125" style="132"/>
    <col min="1537" max="1537" width="20.83203125" style="132" customWidth="1"/>
    <col min="1538" max="1538" width="23.1640625" style="132" customWidth="1"/>
    <col min="1539" max="1539" width="21.5" style="132" customWidth="1"/>
    <col min="1540" max="1540" width="18.5" style="132" customWidth="1"/>
    <col min="1541" max="1541" width="19.5" style="132" customWidth="1"/>
    <col min="1542" max="1542" width="20.5" style="132" customWidth="1"/>
    <col min="1543" max="1543" width="18.6640625" style="132" customWidth="1"/>
    <col min="1544" max="1792" width="8.83203125" style="132"/>
    <col min="1793" max="1793" width="20.83203125" style="132" customWidth="1"/>
    <col min="1794" max="1794" width="23.1640625" style="132" customWidth="1"/>
    <col min="1795" max="1795" width="21.5" style="132" customWidth="1"/>
    <col min="1796" max="1796" width="18.5" style="132" customWidth="1"/>
    <col min="1797" max="1797" width="19.5" style="132" customWidth="1"/>
    <col min="1798" max="1798" width="20.5" style="132" customWidth="1"/>
    <col min="1799" max="1799" width="18.6640625" style="132" customWidth="1"/>
    <col min="1800" max="2048" width="8.83203125" style="132"/>
    <col min="2049" max="2049" width="20.83203125" style="132" customWidth="1"/>
    <col min="2050" max="2050" width="23.1640625" style="132" customWidth="1"/>
    <col min="2051" max="2051" width="21.5" style="132" customWidth="1"/>
    <col min="2052" max="2052" width="18.5" style="132" customWidth="1"/>
    <col min="2053" max="2053" width="19.5" style="132" customWidth="1"/>
    <col min="2054" max="2054" width="20.5" style="132" customWidth="1"/>
    <col min="2055" max="2055" width="18.6640625" style="132" customWidth="1"/>
    <col min="2056" max="2304" width="8.83203125" style="132"/>
    <col min="2305" max="2305" width="20.83203125" style="132" customWidth="1"/>
    <col min="2306" max="2306" width="23.1640625" style="132" customWidth="1"/>
    <col min="2307" max="2307" width="21.5" style="132" customWidth="1"/>
    <col min="2308" max="2308" width="18.5" style="132" customWidth="1"/>
    <col min="2309" max="2309" width="19.5" style="132" customWidth="1"/>
    <col min="2310" max="2310" width="20.5" style="132" customWidth="1"/>
    <col min="2311" max="2311" width="18.6640625" style="132" customWidth="1"/>
    <col min="2312" max="2560" width="8.83203125" style="132"/>
    <col min="2561" max="2561" width="20.83203125" style="132" customWidth="1"/>
    <col min="2562" max="2562" width="23.1640625" style="132" customWidth="1"/>
    <col min="2563" max="2563" width="21.5" style="132" customWidth="1"/>
    <col min="2564" max="2564" width="18.5" style="132" customWidth="1"/>
    <col min="2565" max="2565" width="19.5" style="132" customWidth="1"/>
    <col min="2566" max="2566" width="20.5" style="132" customWidth="1"/>
    <col min="2567" max="2567" width="18.6640625" style="132" customWidth="1"/>
    <col min="2568" max="2816" width="8.83203125" style="132"/>
    <col min="2817" max="2817" width="20.83203125" style="132" customWidth="1"/>
    <col min="2818" max="2818" width="23.1640625" style="132" customWidth="1"/>
    <col min="2819" max="2819" width="21.5" style="132" customWidth="1"/>
    <col min="2820" max="2820" width="18.5" style="132" customWidth="1"/>
    <col min="2821" max="2821" width="19.5" style="132" customWidth="1"/>
    <col min="2822" max="2822" width="20.5" style="132" customWidth="1"/>
    <col min="2823" max="2823" width="18.6640625" style="132" customWidth="1"/>
    <col min="2824" max="3072" width="8.83203125" style="132"/>
    <col min="3073" max="3073" width="20.83203125" style="132" customWidth="1"/>
    <col min="3074" max="3074" width="23.1640625" style="132" customWidth="1"/>
    <col min="3075" max="3075" width="21.5" style="132" customWidth="1"/>
    <col min="3076" max="3076" width="18.5" style="132" customWidth="1"/>
    <col min="3077" max="3077" width="19.5" style="132" customWidth="1"/>
    <col min="3078" max="3078" width="20.5" style="132" customWidth="1"/>
    <col min="3079" max="3079" width="18.6640625" style="132" customWidth="1"/>
    <col min="3080" max="3328" width="8.83203125" style="132"/>
    <col min="3329" max="3329" width="20.83203125" style="132" customWidth="1"/>
    <col min="3330" max="3330" width="23.1640625" style="132" customWidth="1"/>
    <col min="3331" max="3331" width="21.5" style="132" customWidth="1"/>
    <col min="3332" max="3332" width="18.5" style="132" customWidth="1"/>
    <col min="3333" max="3333" width="19.5" style="132" customWidth="1"/>
    <col min="3334" max="3334" width="20.5" style="132" customWidth="1"/>
    <col min="3335" max="3335" width="18.6640625" style="132" customWidth="1"/>
    <col min="3336" max="3584" width="8.83203125" style="132"/>
    <col min="3585" max="3585" width="20.83203125" style="132" customWidth="1"/>
    <col min="3586" max="3586" width="23.1640625" style="132" customWidth="1"/>
    <col min="3587" max="3587" width="21.5" style="132" customWidth="1"/>
    <col min="3588" max="3588" width="18.5" style="132" customWidth="1"/>
    <col min="3589" max="3589" width="19.5" style="132" customWidth="1"/>
    <col min="3590" max="3590" width="20.5" style="132" customWidth="1"/>
    <col min="3591" max="3591" width="18.6640625" style="132" customWidth="1"/>
    <col min="3592" max="3840" width="8.83203125" style="132"/>
    <col min="3841" max="3841" width="20.83203125" style="132" customWidth="1"/>
    <col min="3842" max="3842" width="23.1640625" style="132" customWidth="1"/>
    <col min="3843" max="3843" width="21.5" style="132" customWidth="1"/>
    <col min="3844" max="3844" width="18.5" style="132" customWidth="1"/>
    <col min="3845" max="3845" width="19.5" style="132" customWidth="1"/>
    <col min="3846" max="3846" width="20.5" style="132" customWidth="1"/>
    <col min="3847" max="3847" width="18.6640625" style="132" customWidth="1"/>
    <col min="3848" max="4096" width="8.83203125" style="132"/>
    <col min="4097" max="4097" width="20.83203125" style="132" customWidth="1"/>
    <col min="4098" max="4098" width="23.1640625" style="132" customWidth="1"/>
    <col min="4099" max="4099" width="21.5" style="132" customWidth="1"/>
    <col min="4100" max="4100" width="18.5" style="132" customWidth="1"/>
    <col min="4101" max="4101" width="19.5" style="132" customWidth="1"/>
    <col min="4102" max="4102" width="20.5" style="132" customWidth="1"/>
    <col min="4103" max="4103" width="18.6640625" style="132" customWidth="1"/>
    <col min="4104" max="4352" width="8.83203125" style="132"/>
    <col min="4353" max="4353" width="20.83203125" style="132" customWidth="1"/>
    <col min="4354" max="4354" width="23.1640625" style="132" customWidth="1"/>
    <col min="4355" max="4355" width="21.5" style="132" customWidth="1"/>
    <col min="4356" max="4356" width="18.5" style="132" customWidth="1"/>
    <col min="4357" max="4357" width="19.5" style="132" customWidth="1"/>
    <col min="4358" max="4358" width="20.5" style="132" customWidth="1"/>
    <col min="4359" max="4359" width="18.6640625" style="132" customWidth="1"/>
    <col min="4360" max="4608" width="8.83203125" style="132"/>
    <col min="4609" max="4609" width="20.83203125" style="132" customWidth="1"/>
    <col min="4610" max="4610" width="23.1640625" style="132" customWidth="1"/>
    <col min="4611" max="4611" width="21.5" style="132" customWidth="1"/>
    <col min="4612" max="4612" width="18.5" style="132" customWidth="1"/>
    <col min="4613" max="4613" width="19.5" style="132" customWidth="1"/>
    <col min="4614" max="4614" width="20.5" style="132" customWidth="1"/>
    <col min="4615" max="4615" width="18.6640625" style="132" customWidth="1"/>
    <col min="4616" max="4864" width="8.83203125" style="132"/>
    <col min="4865" max="4865" width="20.83203125" style="132" customWidth="1"/>
    <col min="4866" max="4866" width="23.1640625" style="132" customWidth="1"/>
    <col min="4867" max="4867" width="21.5" style="132" customWidth="1"/>
    <col min="4868" max="4868" width="18.5" style="132" customWidth="1"/>
    <col min="4869" max="4869" width="19.5" style="132" customWidth="1"/>
    <col min="4870" max="4870" width="20.5" style="132" customWidth="1"/>
    <col min="4871" max="4871" width="18.6640625" style="132" customWidth="1"/>
    <col min="4872" max="5120" width="8.83203125" style="132"/>
    <col min="5121" max="5121" width="20.83203125" style="132" customWidth="1"/>
    <col min="5122" max="5122" width="23.1640625" style="132" customWidth="1"/>
    <col min="5123" max="5123" width="21.5" style="132" customWidth="1"/>
    <col min="5124" max="5124" width="18.5" style="132" customWidth="1"/>
    <col min="5125" max="5125" width="19.5" style="132" customWidth="1"/>
    <col min="5126" max="5126" width="20.5" style="132" customWidth="1"/>
    <col min="5127" max="5127" width="18.6640625" style="132" customWidth="1"/>
    <col min="5128" max="5376" width="8.83203125" style="132"/>
    <col min="5377" max="5377" width="20.83203125" style="132" customWidth="1"/>
    <col min="5378" max="5378" width="23.1640625" style="132" customWidth="1"/>
    <col min="5379" max="5379" width="21.5" style="132" customWidth="1"/>
    <col min="5380" max="5380" width="18.5" style="132" customWidth="1"/>
    <col min="5381" max="5381" width="19.5" style="132" customWidth="1"/>
    <col min="5382" max="5382" width="20.5" style="132" customWidth="1"/>
    <col min="5383" max="5383" width="18.6640625" style="132" customWidth="1"/>
    <col min="5384" max="5632" width="8.83203125" style="132"/>
    <col min="5633" max="5633" width="20.83203125" style="132" customWidth="1"/>
    <col min="5634" max="5634" width="23.1640625" style="132" customWidth="1"/>
    <col min="5635" max="5635" width="21.5" style="132" customWidth="1"/>
    <col min="5636" max="5636" width="18.5" style="132" customWidth="1"/>
    <col min="5637" max="5637" width="19.5" style="132" customWidth="1"/>
    <col min="5638" max="5638" width="20.5" style="132" customWidth="1"/>
    <col min="5639" max="5639" width="18.6640625" style="132" customWidth="1"/>
    <col min="5640" max="5888" width="8.83203125" style="132"/>
    <col min="5889" max="5889" width="20.83203125" style="132" customWidth="1"/>
    <col min="5890" max="5890" width="23.1640625" style="132" customWidth="1"/>
    <col min="5891" max="5891" width="21.5" style="132" customWidth="1"/>
    <col min="5892" max="5892" width="18.5" style="132" customWidth="1"/>
    <col min="5893" max="5893" width="19.5" style="132" customWidth="1"/>
    <col min="5894" max="5894" width="20.5" style="132" customWidth="1"/>
    <col min="5895" max="5895" width="18.6640625" style="132" customWidth="1"/>
    <col min="5896" max="6144" width="8.83203125" style="132"/>
    <col min="6145" max="6145" width="20.83203125" style="132" customWidth="1"/>
    <col min="6146" max="6146" width="23.1640625" style="132" customWidth="1"/>
    <col min="6147" max="6147" width="21.5" style="132" customWidth="1"/>
    <col min="6148" max="6148" width="18.5" style="132" customWidth="1"/>
    <col min="6149" max="6149" width="19.5" style="132" customWidth="1"/>
    <col min="6150" max="6150" width="20.5" style="132" customWidth="1"/>
    <col min="6151" max="6151" width="18.6640625" style="132" customWidth="1"/>
    <col min="6152" max="6400" width="8.83203125" style="132"/>
    <col min="6401" max="6401" width="20.83203125" style="132" customWidth="1"/>
    <col min="6402" max="6402" width="23.1640625" style="132" customWidth="1"/>
    <col min="6403" max="6403" width="21.5" style="132" customWidth="1"/>
    <col min="6404" max="6404" width="18.5" style="132" customWidth="1"/>
    <col min="6405" max="6405" width="19.5" style="132" customWidth="1"/>
    <col min="6406" max="6406" width="20.5" style="132" customWidth="1"/>
    <col min="6407" max="6407" width="18.6640625" style="132" customWidth="1"/>
    <col min="6408" max="6656" width="8.83203125" style="132"/>
    <col min="6657" max="6657" width="20.83203125" style="132" customWidth="1"/>
    <col min="6658" max="6658" width="23.1640625" style="132" customWidth="1"/>
    <col min="6659" max="6659" width="21.5" style="132" customWidth="1"/>
    <col min="6660" max="6660" width="18.5" style="132" customWidth="1"/>
    <col min="6661" max="6661" width="19.5" style="132" customWidth="1"/>
    <col min="6662" max="6662" width="20.5" style="132" customWidth="1"/>
    <col min="6663" max="6663" width="18.6640625" style="132" customWidth="1"/>
    <col min="6664" max="6912" width="8.83203125" style="132"/>
    <col min="6913" max="6913" width="20.83203125" style="132" customWidth="1"/>
    <col min="6914" max="6914" width="23.1640625" style="132" customWidth="1"/>
    <col min="6915" max="6915" width="21.5" style="132" customWidth="1"/>
    <col min="6916" max="6916" width="18.5" style="132" customWidth="1"/>
    <col min="6917" max="6917" width="19.5" style="132" customWidth="1"/>
    <col min="6918" max="6918" width="20.5" style="132" customWidth="1"/>
    <col min="6919" max="6919" width="18.6640625" style="132" customWidth="1"/>
    <col min="6920" max="7168" width="8.83203125" style="132"/>
    <col min="7169" max="7169" width="20.83203125" style="132" customWidth="1"/>
    <col min="7170" max="7170" width="23.1640625" style="132" customWidth="1"/>
    <col min="7171" max="7171" width="21.5" style="132" customWidth="1"/>
    <col min="7172" max="7172" width="18.5" style="132" customWidth="1"/>
    <col min="7173" max="7173" width="19.5" style="132" customWidth="1"/>
    <col min="7174" max="7174" width="20.5" style="132" customWidth="1"/>
    <col min="7175" max="7175" width="18.6640625" style="132" customWidth="1"/>
    <col min="7176" max="7424" width="8.83203125" style="132"/>
    <col min="7425" max="7425" width="20.83203125" style="132" customWidth="1"/>
    <col min="7426" max="7426" width="23.1640625" style="132" customWidth="1"/>
    <col min="7427" max="7427" width="21.5" style="132" customWidth="1"/>
    <col min="7428" max="7428" width="18.5" style="132" customWidth="1"/>
    <col min="7429" max="7429" width="19.5" style="132" customWidth="1"/>
    <col min="7430" max="7430" width="20.5" style="132" customWidth="1"/>
    <col min="7431" max="7431" width="18.6640625" style="132" customWidth="1"/>
    <col min="7432" max="7680" width="8.83203125" style="132"/>
    <col min="7681" max="7681" width="20.83203125" style="132" customWidth="1"/>
    <col min="7682" max="7682" width="23.1640625" style="132" customWidth="1"/>
    <col min="7683" max="7683" width="21.5" style="132" customWidth="1"/>
    <col min="7684" max="7684" width="18.5" style="132" customWidth="1"/>
    <col min="7685" max="7685" width="19.5" style="132" customWidth="1"/>
    <col min="7686" max="7686" width="20.5" style="132" customWidth="1"/>
    <col min="7687" max="7687" width="18.6640625" style="132" customWidth="1"/>
    <col min="7688" max="7936" width="8.83203125" style="132"/>
    <col min="7937" max="7937" width="20.83203125" style="132" customWidth="1"/>
    <col min="7938" max="7938" width="23.1640625" style="132" customWidth="1"/>
    <col min="7939" max="7939" width="21.5" style="132" customWidth="1"/>
    <col min="7940" max="7940" width="18.5" style="132" customWidth="1"/>
    <col min="7941" max="7941" width="19.5" style="132" customWidth="1"/>
    <col min="7942" max="7942" width="20.5" style="132" customWidth="1"/>
    <col min="7943" max="7943" width="18.6640625" style="132" customWidth="1"/>
    <col min="7944" max="8192" width="8.83203125" style="132"/>
    <col min="8193" max="8193" width="20.83203125" style="132" customWidth="1"/>
    <col min="8194" max="8194" width="23.1640625" style="132" customWidth="1"/>
    <col min="8195" max="8195" width="21.5" style="132" customWidth="1"/>
    <col min="8196" max="8196" width="18.5" style="132" customWidth="1"/>
    <col min="8197" max="8197" width="19.5" style="132" customWidth="1"/>
    <col min="8198" max="8198" width="20.5" style="132" customWidth="1"/>
    <col min="8199" max="8199" width="18.6640625" style="132" customWidth="1"/>
    <col min="8200" max="8448" width="8.83203125" style="132"/>
    <col min="8449" max="8449" width="20.83203125" style="132" customWidth="1"/>
    <col min="8450" max="8450" width="23.1640625" style="132" customWidth="1"/>
    <col min="8451" max="8451" width="21.5" style="132" customWidth="1"/>
    <col min="8452" max="8452" width="18.5" style="132" customWidth="1"/>
    <col min="8453" max="8453" width="19.5" style="132" customWidth="1"/>
    <col min="8454" max="8454" width="20.5" style="132" customWidth="1"/>
    <col min="8455" max="8455" width="18.6640625" style="132" customWidth="1"/>
    <col min="8456" max="8704" width="8.83203125" style="132"/>
    <col min="8705" max="8705" width="20.83203125" style="132" customWidth="1"/>
    <col min="8706" max="8706" width="23.1640625" style="132" customWidth="1"/>
    <col min="8707" max="8707" width="21.5" style="132" customWidth="1"/>
    <col min="8708" max="8708" width="18.5" style="132" customWidth="1"/>
    <col min="8709" max="8709" width="19.5" style="132" customWidth="1"/>
    <col min="8710" max="8710" width="20.5" style="132" customWidth="1"/>
    <col min="8711" max="8711" width="18.6640625" style="132" customWidth="1"/>
    <col min="8712" max="8960" width="8.83203125" style="132"/>
    <col min="8961" max="8961" width="20.83203125" style="132" customWidth="1"/>
    <col min="8962" max="8962" width="23.1640625" style="132" customWidth="1"/>
    <col min="8963" max="8963" width="21.5" style="132" customWidth="1"/>
    <col min="8964" max="8964" width="18.5" style="132" customWidth="1"/>
    <col min="8965" max="8965" width="19.5" style="132" customWidth="1"/>
    <col min="8966" max="8966" width="20.5" style="132" customWidth="1"/>
    <col min="8967" max="8967" width="18.6640625" style="132" customWidth="1"/>
    <col min="8968" max="9216" width="8.83203125" style="132"/>
    <col min="9217" max="9217" width="20.83203125" style="132" customWidth="1"/>
    <col min="9218" max="9218" width="23.1640625" style="132" customWidth="1"/>
    <col min="9219" max="9219" width="21.5" style="132" customWidth="1"/>
    <col min="9220" max="9220" width="18.5" style="132" customWidth="1"/>
    <col min="9221" max="9221" width="19.5" style="132" customWidth="1"/>
    <col min="9222" max="9222" width="20.5" style="132" customWidth="1"/>
    <col min="9223" max="9223" width="18.6640625" style="132" customWidth="1"/>
    <col min="9224" max="9472" width="8.83203125" style="132"/>
    <col min="9473" max="9473" width="20.83203125" style="132" customWidth="1"/>
    <col min="9474" max="9474" width="23.1640625" style="132" customWidth="1"/>
    <col min="9475" max="9475" width="21.5" style="132" customWidth="1"/>
    <col min="9476" max="9476" width="18.5" style="132" customWidth="1"/>
    <col min="9477" max="9477" width="19.5" style="132" customWidth="1"/>
    <col min="9478" max="9478" width="20.5" style="132" customWidth="1"/>
    <col min="9479" max="9479" width="18.6640625" style="132" customWidth="1"/>
    <col min="9480" max="9728" width="8.83203125" style="132"/>
    <col min="9729" max="9729" width="20.83203125" style="132" customWidth="1"/>
    <col min="9730" max="9730" width="23.1640625" style="132" customWidth="1"/>
    <col min="9731" max="9731" width="21.5" style="132" customWidth="1"/>
    <col min="9732" max="9732" width="18.5" style="132" customWidth="1"/>
    <col min="9733" max="9733" width="19.5" style="132" customWidth="1"/>
    <col min="9734" max="9734" width="20.5" style="132" customWidth="1"/>
    <col min="9735" max="9735" width="18.6640625" style="132" customWidth="1"/>
    <col min="9736" max="9984" width="8.83203125" style="132"/>
    <col min="9985" max="9985" width="20.83203125" style="132" customWidth="1"/>
    <col min="9986" max="9986" width="23.1640625" style="132" customWidth="1"/>
    <col min="9987" max="9987" width="21.5" style="132" customWidth="1"/>
    <col min="9988" max="9988" width="18.5" style="132" customWidth="1"/>
    <col min="9989" max="9989" width="19.5" style="132" customWidth="1"/>
    <col min="9990" max="9990" width="20.5" style="132" customWidth="1"/>
    <col min="9991" max="9991" width="18.6640625" style="132" customWidth="1"/>
    <col min="9992" max="10240" width="8.83203125" style="132"/>
    <col min="10241" max="10241" width="20.83203125" style="132" customWidth="1"/>
    <col min="10242" max="10242" width="23.1640625" style="132" customWidth="1"/>
    <col min="10243" max="10243" width="21.5" style="132" customWidth="1"/>
    <col min="10244" max="10244" width="18.5" style="132" customWidth="1"/>
    <col min="10245" max="10245" width="19.5" style="132" customWidth="1"/>
    <col min="10246" max="10246" width="20.5" style="132" customWidth="1"/>
    <col min="10247" max="10247" width="18.6640625" style="132" customWidth="1"/>
    <col min="10248" max="10496" width="8.83203125" style="132"/>
    <col min="10497" max="10497" width="20.83203125" style="132" customWidth="1"/>
    <col min="10498" max="10498" width="23.1640625" style="132" customWidth="1"/>
    <col min="10499" max="10499" width="21.5" style="132" customWidth="1"/>
    <col min="10500" max="10500" width="18.5" style="132" customWidth="1"/>
    <col min="10501" max="10501" width="19.5" style="132" customWidth="1"/>
    <col min="10502" max="10502" width="20.5" style="132" customWidth="1"/>
    <col min="10503" max="10503" width="18.6640625" style="132" customWidth="1"/>
    <col min="10504" max="10752" width="8.83203125" style="132"/>
    <col min="10753" max="10753" width="20.83203125" style="132" customWidth="1"/>
    <col min="10754" max="10754" width="23.1640625" style="132" customWidth="1"/>
    <col min="10755" max="10755" width="21.5" style="132" customWidth="1"/>
    <col min="10756" max="10756" width="18.5" style="132" customWidth="1"/>
    <col min="10757" max="10757" width="19.5" style="132" customWidth="1"/>
    <col min="10758" max="10758" width="20.5" style="132" customWidth="1"/>
    <col min="10759" max="10759" width="18.6640625" style="132" customWidth="1"/>
    <col min="10760" max="11008" width="8.83203125" style="132"/>
    <col min="11009" max="11009" width="20.83203125" style="132" customWidth="1"/>
    <col min="11010" max="11010" width="23.1640625" style="132" customWidth="1"/>
    <col min="11011" max="11011" width="21.5" style="132" customWidth="1"/>
    <col min="11012" max="11012" width="18.5" style="132" customWidth="1"/>
    <col min="11013" max="11013" width="19.5" style="132" customWidth="1"/>
    <col min="11014" max="11014" width="20.5" style="132" customWidth="1"/>
    <col min="11015" max="11015" width="18.6640625" style="132" customWidth="1"/>
    <col min="11016" max="11264" width="8.83203125" style="132"/>
    <col min="11265" max="11265" width="20.83203125" style="132" customWidth="1"/>
    <col min="11266" max="11266" width="23.1640625" style="132" customWidth="1"/>
    <col min="11267" max="11267" width="21.5" style="132" customWidth="1"/>
    <col min="11268" max="11268" width="18.5" style="132" customWidth="1"/>
    <col min="11269" max="11269" width="19.5" style="132" customWidth="1"/>
    <col min="11270" max="11270" width="20.5" style="132" customWidth="1"/>
    <col min="11271" max="11271" width="18.6640625" style="132" customWidth="1"/>
    <col min="11272" max="11520" width="8.83203125" style="132"/>
    <col min="11521" max="11521" width="20.83203125" style="132" customWidth="1"/>
    <col min="11522" max="11522" width="23.1640625" style="132" customWidth="1"/>
    <col min="11523" max="11523" width="21.5" style="132" customWidth="1"/>
    <col min="11524" max="11524" width="18.5" style="132" customWidth="1"/>
    <col min="11525" max="11525" width="19.5" style="132" customWidth="1"/>
    <col min="11526" max="11526" width="20.5" style="132" customWidth="1"/>
    <col min="11527" max="11527" width="18.6640625" style="132" customWidth="1"/>
    <col min="11528" max="11776" width="8.83203125" style="132"/>
    <col min="11777" max="11777" width="20.83203125" style="132" customWidth="1"/>
    <col min="11778" max="11778" width="23.1640625" style="132" customWidth="1"/>
    <col min="11779" max="11779" width="21.5" style="132" customWidth="1"/>
    <col min="11780" max="11780" width="18.5" style="132" customWidth="1"/>
    <col min="11781" max="11781" width="19.5" style="132" customWidth="1"/>
    <col min="11782" max="11782" width="20.5" style="132" customWidth="1"/>
    <col min="11783" max="11783" width="18.6640625" style="132" customWidth="1"/>
    <col min="11784" max="12032" width="8.83203125" style="132"/>
    <col min="12033" max="12033" width="20.83203125" style="132" customWidth="1"/>
    <col min="12034" max="12034" width="23.1640625" style="132" customWidth="1"/>
    <col min="12035" max="12035" width="21.5" style="132" customWidth="1"/>
    <col min="12036" max="12036" width="18.5" style="132" customWidth="1"/>
    <col min="12037" max="12037" width="19.5" style="132" customWidth="1"/>
    <col min="12038" max="12038" width="20.5" style="132" customWidth="1"/>
    <col min="12039" max="12039" width="18.6640625" style="132" customWidth="1"/>
    <col min="12040" max="12288" width="8.83203125" style="132"/>
    <col min="12289" max="12289" width="20.83203125" style="132" customWidth="1"/>
    <col min="12290" max="12290" width="23.1640625" style="132" customWidth="1"/>
    <col min="12291" max="12291" width="21.5" style="132" customWidth="1"/>
    <col min="12292" max="12292" width="18.5" style="132" customWidth="1"/>
    <col min="12293" max="12293" width="19.5" style="132" customWidth="1"/>
    <col min="12294" max="12294" width="20.5" style="132" customWidth="1"/>
    <col min="12295" max="12295" width="18.6640625" style="132" customWidth="1"/>
    <col min="12296" max="12544" width="8.83203125" style="132"/>
    <col min="12545" max="12545" width="20.83203125" style="132" customWidth="1"/>
    <col min="12546" max="12546" width="23.1640625" style="132" customWidth="1"/>
    <col min="12547" max="12547" width="21.5" style="132" customWidth="1"/>
    <col min="12548" max="12548" width="18.5" style="132" customWidth="1"/>
    <col min="12549" max="12549" width="19.5" style="132" customWidth="1"/>
    <col min="12550" max="12550" width="20.5" style="132" customWidth="1"/>
    <col min="12551" max="12551" width="18.6640625" style="132" customWidth="1"/>
    <col min="12552" max="12800" width="8.83203125" style="132"/>
    <col min="12801" max="12801" width="20.83203125" style="132" customWidth="1"/>
    <col min="12802" max="12802" width="23.1640625" style="132" customWidth="1"/>
    <col min="12803" max="12803" width="21.5" style="132" customWidth="1"/>
    <col min="12804" max="12804" width="18.5" style="132" customWidth="1"/>
    <col min="12805" max="12805" width="19.5" style="132" customWidth="1"/>
    <col min="12806" max="12806" width="20.5" style="132" customWidth="1"/>
    <col min="12807" max="12807" width="18.6640625" style="132" customWidth="1"/>
    <col min="12808" max="13056" width="8.83203125" style="132"/>
    <col min="13057" max="13057" width="20.83203125" style="132" customWidth="1"/>
    <col min="13058" max="13058" width="23.1640625" style="132" customWidth="1"/>
    <col min="13059" max="13059" width="21.5" style="132" customWidth="1"/>
    <col min="13060" max="13060" width="18.5" style="132" customWidth="1"/>
    <col min="13061" max="13061" width="19.5" style="132" customWidth="1"/>
    <col min="13062" max="13062" width="20.5" style="132" customWidth="1"/>
    <col min="13063" max="13063" width="18.6640625" style="132" customWidth="1"/>
    <col min="13064" max="13312" width="8.83203125" style="132"/>
    <col min="13313" max="13313" width="20.83203125" style="132" customWidth="1"/>
    <col min="13314" max="13314" width="23.1640625" style="132" customWidth="1"/>
    <col min="13315" max="13315" width="21.5" style="132" customWidth="1"/>
    <col min="13316" max="13316" width="18.5" style="132" customWidth="1"/>
    <col min="13317" max="13317" width="19.5" style="132" customWidth="1"/>
    <col min="13318" max="13318" width="20.5" style="132" customWidth="1"/>
    <col min="13319" max="13319" width="18.6640625" style="132" customWidth="1"/>
    <col min="13320" max="13568" width="8.83203125" style="132"/>
    <col min="13569" max="13569" width="20.83203125" style="132" customWidth="1"/>
    <col min="13570" max="13570" width="23.1640625" style="132" customWidth="1"/>
    <col min="13571" max="13571" width="21.5" style="132" customWidth="1"/>
    <col min="13572" max="13572" width="18.5" style="132" customWidth="1"/>
    <col min="13573" max="13573" width="19.5" style="132" customWidth="1"/>
    <col min="13574" max="13574" width="20.5" style="132" customWidth="1"/>
    <col min="13575" max="13575" width="18.6640625" style="132" customWidth="1"/>
    <col min="13576" max="13824" width="8.83203125" style="132"/>
    <col min="13825" max="13825" width="20.83203125" style="132" customWidth="1"/>
    <col min="13826" max="13826" width="23.1640625" style="132" customWidth="1"/>
    <col min="13827" max="13827" width="21.5" style="132" customWidth="1"/>
    <col min="13828" max="13828" width="18.5" style="132" customWidth="1"/>
    <col min="13829" max="13829" width="19.5" style="132" customWidth="1"/>
    <col min="13830" max="13830" width="20.5" style="132" customWidth="1"/>
    <col min="13831" max="13831" width="18.6640625" style="132" customWidth="1"/>
    <col min="13832" max="14080" width="8.83203125" style="132"/>
    <col min="14081" max="14081" width="20.83203125" style="132" customWidth="1"/>
    <col min="14082" max="14082" width="23.1640625" style="132" customWidth="1"/>
    <col min="14083" max="14083" width="21.5" style="132" customWidth="1"/>
    <col min="14084" max="14084" width="18.5" style="132" customWidth="1"/>
    <col min="14085" max="14085" width="19.5" style="132" customWidth="1"/>
    <col min="14086" max="14086" width="20.5" style="132" customWidth="1"/>
    <col min="14087" max="14087" width="18.6640625" style="132" customWidth="1"/>
    <col min="14088" max="14336" width="8.83203125" style="132"/>
    <col min="14337" max="14337" width="20.83203125" style="132" customWidth="1"/>
    <col min="14338" max="14338" width="23.1640625" style="132" customWidth="1"/>
    <col min="14339" max="14339" width="21.5" style="132" customWidth="1"/>
    <col min="14340" max="14340" width="18.5" style="132" customWidth="1"/>
    <col min="14341" max="14341" width="19.5" style="132" customWidth="1"/>
    <col min="14342" max="14342" width="20.5" style="132" customWidth="1"/>
    <col min="14343" max="14343" width="18.6640625" style="132" customWidth="1"/>
    <col min="14344" max="14592" width="8.83203125" style="132"/>
    <col min="14593" max="14593" width="20.83203125" style="132" customWidth="1"/>
    <col min="14594" max="14594" width="23.1640625" style="132" customWidth="1"/>
    <col min="14595" max="14595" width="21.5" style="132" customWidth="1"/>
    <col min="14596" max="14596" width="18.5" style="132" customWidth="1"/>
    <col min="14597" max="14597" width="19.5" style="132" customWidth="1"/>
    <col min="14598" max="14598" width="20.5" style="132" customWidth="1"/>
    <col min="14599" max="14599" width="18.6640625" style="132" customWidth="1"/>
    <col min="14600" max="14848" width="8.83203125" style="132"/>
    <col min="14849" max="14849" width="20.83203125" style="132" customWidth="1"/>
    <col min="14850" max="14850" width="23.1640625" style="132" customWidth="1"/>
    <col min="14851" max="14851" width="21.5" style="132" customWidth="1"/>
    <col min="14852" max="14852" width="18.5" style="132" customWidth="1"/>
    <col min="14853" max="14853" width="19.5" style="132" customWidth="1"/>
    <col min="14854" max="14854" width="20.5" style="132" customWidth="1"/>
    <col min="14855" max="14855" width="18.6640625" style="132" customWidth="1"/>
    <col min="14856" max="15104" width="8.83203125" style="132"/>
    <col min="15105" max="15105" width="20.83203125" style="132" customWidth="1"/>
    <col min="15106" max="15106" width="23.1640625" style="132" customWidth="1"/>
    <col min="15107" max="15107" width="21.5" style="132" customWidth="1"/>
    <col min="15108" max="15108" width="18.5" style="132" customWidth="1"/>
    <col min="15109" max="15109" width="19.5" style="132" customWidth="1"/>
    <col min="15110" max="15110" width="20.5" style="132" customWidth="1"/>
    <col min="15111" max="15111" width="18.6640625" style="132" customWidth="1"/>
    <col min="15112" max="15360" width="8.83203125" style="132"/>
    <col min="15361" max="15361" width="20.83203125" style="132" customWidth="1"/>
    <col min="15362" max="15362" width="23.1640625" style="132" customWidth="1"/>
    <col min="15363" max="15363" width="21.5" style="132" customWidth="1"/>
    <col min="15364" max="15364" width="18.5" style="132" customWidth="1"/>
    <col min="15365" max="15365" width="19.5" style="132" customWidth="1"/>
    <col min="15366" max="15366" width="20.5" style="132" customWidth="1"/>
    <col min="15367" max="15367" width="18.6640625" style="132" customWidth="1"/>
    <col min="15368" max="15616" width="8.83203125" style="132"/>
    <col min="15617" max="15617" width="20.83203125" style="132" customWidth="1"/>
    <col min="15618" max="15618" width="23.1640625" style="132" customWidth="1"/>
    <col min="15619" max="15619" width="21.5" style="132" customWidth="1"/>
    <col min="15620" max="15620" width="18.5" style="132" customWidth="1"/>
    <col min="15621" max="15621" width="19.5" style="132" customWidth="1"/>
    <col min="15622" max="15622" width="20.5" style="132" customWidth="1"/>
    <col min="15623" max="15623" width="18.6640625" style="132" customWidth="1"/>
    <col min="15624" max="15872" width="8.83203125" style="132"/>
    <col min="15873" max="15873" width="20.83203125" style="132" customWidth="1"/>
    <col min="15874" max="15874" width="23.1640625" style="132" customWidth="1"/>
    <col min="15875" max="15875" width="21.5" style="132" customWidth="1"/>
    <col min="15876" max="15876" width="18.5" style="132" customWidth="1"/>
    <col min="15877" max="15877" width="19.5" style="132" customWidth="1"/>
    <col min="15878" max="15878" width="20.5" style="132" customWidth="1"/>
    <col min="15879" max="15879" width="18.6640625" style="132" customWidth="1"/>
    <col min="15880" max="16128" width="8.83203125" style="132"/>
    <col min="16129" max="16129" width="20.83203125" style="132" customWidth="1"/>
    <col min="16130" max="16130" width="23.1640625" style="132" customWidth="1"/>
    <col min="16131" max="16131" width="21.5" style="132" customWidth="1"/>
    <col min="16132" max="16132" width="18.5" style="132" customWidth="1"/>
    <col min="16133" max="16133" width="19.5" style="132" customWidth="1"/>
    <col min="16134" max="16134" width="20.5" style="132" customWidth="1"/>
    <col min="16135" max="16135" width="18.6640625" style="132" customWidth="1"/>
    <col min="16136" max="16384" width="8.83203125" style="132"/>
  </cols>
  <sheetData>
    <row r="1" spans="1:16" s="518" customFormat="1" ht="12"/>
    <row r="2" spans="1:16" s="518" customFormat="1" ht="18">
      <c r="B2" s="541"/>
    </row>
    <row r="3" spans="1:16" s="518" customFormat="1">
      <c r="B3" s="542"/>
      <c r="C3" s="461" t="s">
        <v>325</v>
      </c>
    </row>
    <row r="4" spans="1:16" s="518" customFormat="1" ht="12">
      <c r="B4" s="542"/>
      <c r="C4" s="460" t="s">
        <v>326</v>
      </c>
    </row>
    <row r="5" spans="1:16" s="518" customFormat="1" ht="7.75" customHeight="1">
      <c r="B5" s="542"/>
      <c r="C5" s="457"/>
    </row>
    <row r="6" spans="1:16" ht="14.25" customHeight="1">
      <c r="B6" s="4"/>
      <c r="C6" s="131"/>
    </row>
    <row r="7" spans="1:16" s="133" customFormat="1" ht="12">
      <c r="A7" s="1"/>
      <c r="B7" s="566"/>
      <c r="C7" s="574" t="s">
        <v>323</v>
      </c>
      <c r="D7" s="574" t="s">
        <v>324</v>
      </c>
    </row>
    <row r="8" spans="1:16" s="133" customFormat="1" ht="15" customHeight="1" thickBot="1">
      <c r="A8" s="1"/>
      <c r="B8" s="4"/>
      <c r="C8" s="134">
        <v>42338</v>
      </c>
      <c r="D8" s="135">
        <v>85.99</v>
      </c>
    </row>
    <row r="9" spans="1:16" s="133" customFormat="1" ht="16" thickBot="1">
      <c r="A9" s="1"/>
      <c r="B9" s="4"/>
      <c r="C9" s="134">
        <v>42339</v>
      </c>
      <c r="D9" s="135">
        <v>85.8</v>
      </c>
      <c r="F9" s="572" t="s">
        <v>328</v>
      </c>
      <c r="G9" s="573">
        <f>RATE(2025-2015,,D8,-D2534)</f>
        <v>0.14052674823758726</v>
      </c>
      <c r="O9" s="733"/>
      <c r="P9" s="622"/>
    </row>
    <row r="10" spans="1:16" s="133" customFormat="1" ht="15" customHeight="1">
      <c r="A10" s="1"/>
      <c r="B10" s="4"/>
      <c r="C10" s="134">
        <v>42340</v>
      </c>
      <c r="D10" s="135">
        <v>84.9</v>
      </c>
      <c r="O10" s="134"/>
      <c r="P10" s="135"/>
    </row>
    <row r="11" spans="1:16" s="133" customFormat="1" ht="15" customHeight="1">
      <c r="A11" s="1"/>
      <c r="B11" s="4"/>
      <c r="C11" s="134">
        <v>42341</v>
      </c>
      <c r="D11" s="135">
        <v>85.85</v>
      </c>
      <c r="E11" s="136"/>
      <c r="O11" s="134"/>
      <c r="P11" s="135"/>
    </row>
    <row r="12" spans="1:16" s="133" customFormat="1" ht="15" customHeight="1">
      <c r="A12" s="1"/>
      <c r="B12" s="4"/>
      <c r="C12" s="134">
        <v>42342</v>
      </c>
      <c r="D12" s="135">
        <v>86.45</v>
      </c>
      <c r="F12" s="137" t="s">
        <v>327</v>
      </c>
      <c r="O12" s="134"/>
      <c r="P12" s="135"/>
    </row>
    <row r="13" spans="1:16" s="133" customFormat="1" ht="15" customHeight="1">
      <c r="A13" s="1"/>
      <c r="B13" s="4"/>
      <c r="C13" s="134">
        <v>42345</v>
      </c>
      <c r="D13" s="135">
        <v>85.3</v>
      </c>
      <c r="F13" s="734" t="s">
        <v>18</v>
      </c>
      <c r="O13" s="134"/>
      <c r="P13" s="135"/>
    </row>
    <row r="14" spans="1:16" s="133" customFormat="1" ht="15" customHeight="1">
      <c r="A14" s="1"/>
      <c r="B14" s="4"/>
      <c r="C14" s="134">
        <v>42346</v>
      </c>
      <c r="D14" s="135">
        <v>84.63</v>
      </c>
      <c r="O14" s="134"/>
      <c r="P14" s="135"/>
    </row>
    <row r="15" spans="1:16" s="133" customFormat="1" ht="15" customHeight="1">
      <c r="A15" s="1"/>
      <c r="B15" s="1"/>
      <c r="C15" s="134">
        <v>42347</v>
      </c>
      <c r="D15" s="135">
        <v>83.6</v>
      </c>
      <c r="O15" s="134"/>
      <c r="P15" s="135"/>
    </row>
    <row r="16" spans="1:16" s="133" customFormat="1" ht="15" customHeight="1">
      <c r="A16" s="1"/>
      <c r="B16" s="1"/>
      <c r="C16" s="134">
        <v>42348</v>
      </c>
      <c r="D16" s="135">
        <v>84.08</v>
      </c>
      <c r="O16" s="134"/>
      <c r="P16" s="135"/>
    </row>
    <row r="17" spans="1:16" s="133" customFormat="1" ht="15" customHeight="1">
      <c r="A17" s="1"/>
      <c r="B17" s="1"/>
      <c r="C17" s="134">
        <v>42349</v>
      </c>
      <c r="D17" s="135">
        <v>81.33</v>
      </c>
      <c r="O17" s="134"/>
      <c r="P17" s="135"/>
    </row>
    <row r="18" spans="1:16" s="133" customFormat="1" ht="15" customHeight="1">
      <c r="A18" s="1"/>
      <c r="B18" s="1"/>
      <c r="C18" s="134">
        <v>42352</v>
      </c>
      <c r="D18" s="135">
        <v>82.59</v>
      </c>
      <c r="O18" s="134"/>
      <c r="P18" s="135"/>
    </row>
    <row r="19" spans="1:16" s="133" customFormat="1" ht="15" customHeight="1">
      <c r="A19" s="1"/>
      <c r="B19" s="1"/>
      <c r="C19" s="134">
        <v>42353</v>
      </c>
      <c r="D19" s="135">
        <v>84.1</v>
      </c>
      <c r="O19" s="134"/>
      <c r="P19" s="135"/>
    </row>
    <row r="20" spans="1:16" s="133" customFormat="1" ht="15" customHeight="1">
      <c r="A20" s="1"/>
      <c r="B20" s="1"/>
      <c r="C20" s="134">
        <v>42354</v>
      </c>
      <c r="D20" s="135">
        <v>85.31</v>
      </c>
      <c r="O20" s="134"/>
      <c r="P20" s="135"/>
    </row>
    <row r="21" spans="1:16" s="133" customFormat="1" ht="15" customHeight="1">
      <c r="A21" s="1"/>
      <c r="B21" s="1"/>
      <c r="C21" s="134">
        <v>42355</v>
      </c>
      <c r="D21" s="135">
        <v>82.94</v>
      </c>
      <c r="O21" s="134"/>
      <c r="P21" s="135"/>
    </row>
    <row r="22" spans="1:16" s="133" customFormat="1" ht="15" customHeight="1">
      <c r="A22" s="1"/>
      <c r="B22" s="1"/>
      <c r="C22" s="134">
        <v>42356</v>
      </c>
      <c r="D22" s="135">
        <v>81.349999999999994</v>
      </c>
      <c r="O22" s="134"/>
      <c r="P22" s="135"/>
    </row>
    <row r="23" spans="1:16" s="133" customFormat="1" ht="15" customHeight="1">
      <c r="A23" s="1"/>
      <c r="B23" s="1"/>
      <c r="C23" s="134">
        <v>42359</v>
      </c>
      <c r="D23" s="135">
        <v>82.45</v>
      </c>
      <c r="O23" s="134"/>
      <c r="P23" s="135"/>
    </row>
    <row r="24" spans="1:16" s="133" customFormat="1" ht="15" customHeight="1">
      <c r="A24" s="1"/>
      <c r="B24" s="1"/>
      <c r="C24" s="134">
        <v>42360</v>
      </c>
      <c r="D24" s="135">
        <v>83.84</v>
      </c>
      <c r="O24" s="134"/>
      <c r="P24" s="135"/>
    </row>
    <row r="25" spans="1:16" s="133" customFormat="1" ht="15" customHeight="1">
      <c r="A25" s="1"/>
      <c r="B25" s="1"/>
      <c r="C25" s="134">
        <v>42361</v>
      </c>
      <c r="D25" s="135">
        <v>84.98</v>
      </c>
      <c r="O25" s="134"/>
      <c r="P25" s="135"/>
    </row>
    <row r="26" spans="1:16" s="133" customFormat="1" ht="15" customHeight="1">
      <c r="A26" s="1"/>
      <c r="B26" s="1"/>
      <c r="C26" s="134">
        <v>42362</v>
      </c>
      <c r="D26" s="135">
        <v>84.46</v>
      </c>
      <c r="O26" s="134"/>
      <c r="P26" s="135"/>
    </row>
    <row r="27" spans="1:16" s="133" customFormat="1" ht="15" customHeight="1">
      <c r="A27" s="1"/>
      <c r="B27" s="1"/>
      <c r="C27" s="134">
        <v>42366</v>
      </c>
      <c r="D27" s="135">
        <v>84.05</v>
      </c>
      <c r="O27" s="134"/>
      <c r="P27" s="135"/>
    </row>
    <row r="28" spans="1:16" s="133" customFormat="1" ht="15" customHeight="1">
      <c r="A28" s="1"/>
      <c r="B28" s="1"/>
      <c r="C28" s="134">
        <v>42367</v>
      </c>
      <c r="D28" s="135">
        <v>86.3</v>
      </c>
      <c r="O28" s="134"/>
      <c r="P28" s="135"/>
    </row>
    <row r="29" spans="1:16" s="133" customFormat="1" ht="15" customHeight="1">
      <c r="A29" s="1"/>
      <c r="B29" s="1"/>
      <c r="C29" s="134">
        <v>42368</v>
      </c>
      <c r="D29" s="135">
        <v>85.56</v>
      </c>
      <c r="O29" s="134"/>
      <c r="P29" s="135"/>
    </row>
    <row r="30" spans="1:16" s="133" customFormat="1" ht="15" customHeight="1">
      <c r="A30" s="1"/>
      <c r="B30" s="1"/>
      <c r="C30" s="134">
        <v>42369</v>
      </c>
      <c r="D30" s="135">
        <v>84.49</v>
      </c>
      <c r="O30" s="134"/>
      <c r="P30" s="135"/>
    </row>
    <row r="31" spans="1:16" s="133" customFormat="1" ht="15" customHeight="1">
      <c r="A31" s="1"/>
      <c r="B31" s="1"/>
      <c r="C31" s="134">
        <v>42373</v>
      </c>
      <c r="D31" s="135">
        <v>83.12</v>
      </c>
      <c r="O31" s="134"/>
      <c r="P31" s="135"/>
    </row>
    <row r="32" spans="1:16" s="133" customFormat="1" ht="15" customHeight="1">
      <c r="A32" s="1"/>
      <c r="B32" s="1"/>
      <c r="C32" s="134">
        <v>42374</v>
      </c>
      <c r="D32" s="135">
        <v>83.54</v>
      </c>
      <c r="O32" s="134"/>
      <c r="P32" s="135"/>
    </row>
    <row r="33" spans="1:16" s="133" customFormat="1" ht="15" customHeight="1">
      <c r="A33" s="1"/>
      <c r="B33" s="1"/>
      <c r="C33" s="134">
        <v>42375</v>
      </c>
      <c r="D33" s="135">
        <v>81.430000000000007</v>
      </c>
      <c r="O33" s="134"/>
      <c r="P33" s="135"/>
    </row>
    <row r="34" spans="1:16" s="133" customFormat="1" ht="15" customHeight="1">
      <c r="A34" s="1"/>
      <c r="B34" s="1"/>
      <c r="C34" s="134">
        <v>42376</v>
      </c>
      <c r="D34" s="135">
        <v>79.05</v>
      </c>
      <c r="O34" s="134"/>
      <c r="P34" s="135"/>
    </row>
    <row r="35" spans="1:16" s="133" customFormat="1" ht="15" customHeight="1">
      <c r="A35" s="1"/>
      <c r="B35" s="1"/>
      <c r="C35" s="134">
        <v>42377</v>
      </c>
      <c r="D35" s="135">
        <v>77.98</v>
      </c>
      <c r="O35" s="134"/>
      <c r="P35" s="135"/>
    </row>
    <row r="36" spans="1:16" s="133" customFormat="1" ht="15" customHeight="1">
      <c r="A36" s="1"/>
      <c r="B36" s="1"/>
      <c r="C36" s="134">
        <v>42380</v>
      </c>
      <c r="D36" s="135">
        <v>78.39</v>
      </c>
      <c r="O36" s="134"/>
      <c r="P36" s="135"/>
    </row>
    <row r="37" spans="1:16" s="133" customFormat="1" ht="15" customHeight="1">
      <c r="A37" s="1"/>
      <c r="B37" s="1"/>
      <c r="C37" s="134">
        <v>42381</v>
      </c>
      <c r="D37" s="135">
        <v>77.930000000000007</v>
      </c>
      <c r="O37" s="134"/>
      <c r="P37" s="135"/>
    </row>
    <row r="38" spans="1:16" s="133" customFormat="1" ht="15" customHeight="1">
      <c r="A38" s="1"/>
      <c r="B38" s="1"/>
      <c r="C38" s="134">
        <v>42382</v>
      </c>
      <c r="D38" s="135">
        <v>75.69</v>
      </c>
      <c r="O38" s="134"/>
      <c r="P38" s="135"/>
    </row>
    <row r="39" spans="1:16" s="133" customFormat="1" ht="15" customHeight="1">
      <c r="A39" s="1"/>
      <c r="B39" s="1"/>
      <c r="C39" s="134">
        <v>42383</v>
      </c>
      <c r="D39" s="135">
        <v>77.53</v>
      </c>
      <c r="O39" s="134"/>
      <c r="P39" s="135"/>
    </row>
    <row r="40" spans="1:16" s="133" customFormat="1" ht="15" customHeight="1">
      <c r="A40" s="1"/>
      <c r="B40" s="1"/>
      <c r="C40" s="134">
        <v>42384</v>
      </c>
      <c r="D40" s="135">
        <v>75.11</v>
      </c>
      <c r="O40" s="134"/>
      <c r="P40" s="135"/>
    </row>
    <row r="41" spans="1:16" s="133" customFormat="1" ht="15" customHeight="1">
      <c r="A41" s="1"/>
      <c r="B41" s="1"/>
      <c r="C41" s="134">
        <v>42388</v>
      </c>
      <c r="D41" s="135">
        <v>74.92</v>
      </c>
      <c r="O41" s="134"/>
      <c r="P41" s="135"/>
    </row>
    <row r="42" spans="1:16" s="133" customFormat="1" ht="15" customHeight="1">
      <c r="A42" s="1"/>
      <c r="B42" s="1"/>
      <c r="C42" s="134">
        <v>42389</v>
      </c>
      <c r="D42" s="135">
        <v>73.7</v>
      </c>
      <c r="O42" s="134"/>
      <c r="P42" s="135"/>
    </row>
    <row r="43" spans="1:16" s="133" customFormat="1" ht="15" customHeight="1">
      <c r="A43" s="1"/>
      <c r="B43" s="1"/>
      <c r="C43" s="134">
        <v>42390</v>
      </c>
      <c r="D43" s="135">
        <v>74.34</v>
      </c>
      <c r="O43" s="134"/>
      <c r="P43" s="135"/>
    </row>
    <row r="44" spans="1:16" s="133" customFormat="1" ht="15" customHeight="1">
      <c r="A44" s="1"/>
      <c r="B44" s="1"/>
      <c r="C44" s="134">
        <v>42391</v>
      </c>
      <c r="D44" s="135">
        <v>76.11</v>
      </c>
      <c r="O44" s="134"/>
      <c r="P44" s="135"/>
    </row>
    <row r="45" spans="1:16" s="133" customFormat="1" ht="15" customHeight="1">
      <c r="A45" s="1"/>
      <c r="B45" s="1"/>
      <c r="C45" s="134">
        <v>42394</v>
      </c>
      <c r="D45" s="135">
        <v>74.67</v>
      </c>
      <c r="O45" s="134"/>
      <c r="P45" s="135"/>
    </row>
    <row r="46" spans="1:16" s="133" customFormat="1" ht="15" customHeight="1">
      <c r="A46" s="1"/>
      <c r="B46" s="1"/>
      <c r="C46" s="134">
        <v>42395</v>
      </c>
      <c r="D46" s="135">
        <v>75.45</v>
      </c>
      <c r="O46" s="134"/>
      <c r="P46" s="135"/>
    </row>
    <row r="47" spans="1:16" s="133" customFormat="1" ht="15" customHeight="1">
      <c r="A47" s="1"/>
      <c r="B47" s="1"/>
      <c r="C47" s="134">
        <v>42396</v>
      </c>
      <c r="D47" s="135">
        <v>74.69</v>
      </c>
      <c r="O47" s="134"/>
      <c r="P47" s="135"/>
    </row>
    <row r="48" spans="1:16" s="133" customFormat="1" ht="15" customHeight="1">
      <c r="A48" s="1"/>
      <c r="B48" s="1"/>
      <c r="C48" s="134">
        <v>42397</v>
      </c>
      <c r="D48" s="135">
        <v>74.89</v>
      </c>
      <c r="O48" s="134"/>
      <c r="P48" s="135"/>
    </row>
    <row r="49" spans="1:16" s="133" customFormat="1" ht="15" customHeight="1">
      <c r="A49" s="1"/>
      <c r="B49" s="1"/>
      <c r="C49" s="134">
        <v>42398</v>
      </c>
      <c r="D49" s="135">
        <v>76.400000000000006</v>
      </c>
      <c r="O49" s="134"/>
      <c r="P49" s="135"/>
    </row>
    <row r="50" spans="1:16" s="133" customFormat="1" ht="15" customHeight="1">
      <c r="A50" s="1"/>
      <c r="B50" s="1"/>
      <c r="C50" s="134">
        <v>42401</v>
      </c>
      <c r="D50" s="135">
        <v>76.680000000000007</v>
      </c>
      <c r="O50" s="134"/>
      <c r="P50" s="135"/>
    </row>
    <row r="51" spans="1:16" s="133" customFormat="1" ht="15" customHeight="1">
      <c r="A51" s="1"/>
      <c r="B51" s="1"/>
      <c r="C51" s="134">
        <v>42402</v>
      </c>
      <c r="D51" s="135">
        <v>74.150000000000006</v>
      </c>
      <c r="O51" s="134"/>
      <c r="P51" s="135"/>
    </row>
    <row r="52" spans="1:16" s="133" customFormat="1" ht="15" customHeight="1">
      <c r="A52" s="1"/>
      <c r="B52" s="1"/>
      <c r="C52" s="134">
        <v>42403</v>
      </c>
      <c r="D52" s="135">
        <v>74.88</v>
      </c>
      <c r="O52" s="134"/>
      <c r="P52" s="135"/>
    </row>
    <row r="53" spans="1:16" s="133" customFormat="1" ht="15" customHeight="1">
      <c r="A53" s="1"/>
      <c r="B53" s="1"/>
      <c r="C53" s="134">
        <v>42404</v>
      </c>
      <c r="D53" s="135">
        <v>74.680000000000007</v>
      </c>
      <c r="O53" s="134"/>
      <c r="P53" s="135"/>
    </row>
    <row r="54" spans="1:16" s="133" customFormat="1" ht="15" customHeight="1">
      <c r="A54" s="1"/>
      <c r="B54" s="1"/>
      <c r="C54" s="134">
        <v>42405</v>
      </c>
      <c r="D54" s="135">
        <v>73.180000000000007</v>
      </c>
      <c r="O54" s="134"/>
      <c r="P54" s="135"/>
    </row>
    <row r="55" spans="1:16" s="133" customFormat="1" ht="15" customHeight="1">
      <c r="A55" s="1"/>
      <c r="B55" s="1"/>
      <c r="C55" s="134">
        <v>42408</v>
      </c>
      <c r="D55" s="135">
        <v>71.03</v>
      </c>
      <c r="O55" s="134"/>
      <c r="P55" s="135"/>
    </row>
    <row r="56" spans="1:16" s="133" customFormat="1" ht="15" customHeight="1">
      <c r="A56" s="1"/>
      <c r="B56" s="1"/>
      <c r="C56" s="134">
        <v>42409</v>
      </c>
      <c r="D56" s="135">
        <v>70.84</v>
      </c>
      <c r="O56" s="134"/>
      <c r="P56" s="135"/>
    </row>
    <row r="57" spans="1:16" s="133" customFormat="1" ht="15" customHeight="1">
      <c r="A57" s="1"/>
      <c r="B57" s="1"/>
      <c r="C57" s="134">
        <v>42410</v>
      </c>
      <c r="D57" s="135">
        <v>70.39</v>
      </c>
      <c r="O57" s="134"/>
      <c r="P57" s="135"/>
    </row>
    <row r="58" spans="1:16" s="133" customFormat="1" ht="15" customHeight="1">
      <c r="A58" s="1"/>
      <c r="B58" s="1"/>
      <c r="C58" s="134">
        <v>42411</v>
      </c>
      <c r="D58" s="135">
        <v>69</v>
      </c>
      <c r="O58" s="134"/>
      <c r="P58" s="135"/>
    </row>
    <row r="59" spans="1:16" s="133" customFormat="1" ht="15" customHeight="1">
      <c r="A59" s="1"/>
      <c r="B59" s="1"/>
      <c r="C59" s="134">
        <v>42412</v>
      </c>
      <c r="D59" s="135">
        <v>71.040000000000006</v>
      </c>
      <c r="O59" s="134"/>
      <c r="P59" s="135"/>
    </row>
    <row r="60" spans="1:16" s="133" customFormat="1" ht="15" customHeight="1">
      <c r="A60" s="1"/>
      <c r="B60" s="1"/>
      <c r="C60" s="134">
        <v>42416</v>
      </c>
      <c r="D60" s="135">
        <v>72.53</v>
      </c>
      <c r="O60" s="134"/>
      <c r="P60" s="135"/>
    </row>
    <row r="61" spans="1:16" s="133" customFormat="1" ht="15" customHeight="1">
      <c r="A61" s="1"/>
      <c r="B61" s="1"/>
      <c r="C61" s="134">
        <v>42417</v>
      </c>
      <c r="D61" s="135">
        <v>74.34</v>
      </c>
      <c r="O61" s="134"/>
      <c r="P61" s="135"/>
    </row>
    <row r="62" spans="1:16" s="133" customFormat="1" ht="15" customHeight="1">
      <c r="A62" s="1"/>
      <c r="B62" s="1"/>
      <c r="C62" s="134">
        <v>42418</v>
      </c>
      <c r="D62" s="135">
        <v>73.41</v>
      </c>
      <c r="O62" s="134"/>
      <c r="P62" s="135"/>
    </row>
    <row r="63" spans="1:16" s="133" customFormat="1" ht="15" customHeight="1">
      <c r="A63" s="1"/>
      <c r="B63" s="1"/>
      <c r="C63" s="134">
        <v>42419</v>
      </c>
      <c r="D63" s="135">
        <v>73.12</v>
      </c>
      <c r="O63" s="134"/>
      <c r="P63" s="135"/>
    </row>
    <row r="64" spans="1:16" s="133" customFormat="1" ht="15" customHeight="1">
      <c r="A64" s="1"/>
      <c r="B64" s="1"/>
      <c r="C64" s="134">
        <v>42422</v>
      </c>
      <c r="D64" s="135">
        <v>74.13</v>
      </c>
      <c r="O64" s="134"/>
      <c r="P64" s="135"/>
    </row>
    <row r="65" spans="1:16" s="133" customFormat="1" ht="15" customHeight="1">
      <c r="A65" s="1"/>
      <c r="B65" s="1"/>
      <c r="C65" s="134">
        <v>42423</v>
      </c>
      <c r="D65" s="135">
        <v>73.099999999999994</v>
      </c>
      <c r="O65" s="134"/>
      <c r="P65" s="135"/>
    </row>
    <row r="66" spans="1:16" s="133" customFormat="1" ht="15" customHeight="1">
      <c r="A66" s="1"/>
      <c r="B66" s="1"/>
      <c r="C66" s="134">
        <v>42424</v>
      </c>
      <c r="D66" s="135">
        <v>73.67</v>
      </c>
      <c r="O66" s="134"/>
      <c r="P66" s="135"/>
    </row>
    <row r="67" spans="1:16" s="133" customFormat="1" ht="15" customHeight="1">
      <c r="A67" s="1"/>
      <c r="B67" s="1"/>
      <c r="C67" s="134">
        <v>42425</v>
      </c>
      <c r="D67" s="135">
        <v>74.16</v>
      </c>
      <c r="O67" s="134"/>
      <c r="P67" s="135"/>
    </row>
    <row r="68" spans="1:16" s="133" customFormat="1" ht="15" customHeight="1">
      <c r="A68" s="1"/>
      <c r="B68" s="1"/>
      <c r="C68" s="134">
        <v>42426</v>
      </c>
      <c r="D68" s="135">
        <v>74.63</v>
      </c>
      <c r="O68" s="134"/>
      <c r="P68" s="135"/>
    </row>
    <row r="69" spans="1:16" s="133" customFormat="1" ht="15" customHeight="1">
      <c r="A69" s="1"/>
      <c r="B69" s="1"/>
      <c r="C69" s="134">
        <v>42429</v>
      </c>
      <c r="D69" s="135">
        <v>74.010000000000005</v>
      </c>
      <c r="O69" s="134"/>
      <c r="P69" s="135"/>
    </row>
    <row r="70" spans="1:16" s="133" customFormat="1" ht="15" customHeight="1">
      <c r="A70" s="1"/>
      <c r="B70" s="1"/>
      <c r="C70" s="134">
        <v>42430</v>
      </c>
      <c r="D70" s="135">
        <v>76.849999999999994</v>
      </c>
      <c r="O70" s="134"/>
      <c r="P70" s="135"/>
    </row>
    <row r="71" spans="1:16" s="133" customFormat="1" ht="15" customHeight="1">
      <c r="A71" s="1"/>
      <c r="B71" s="1"/>
      <c r="C71" s="134">
        <v>42431</v>
      </c>
      <c r="D71" s="135">
        <v>76.92</v>
      </c>
      <c r="O71" s="134"/>
      <c r="P71" s="135"/>
    </row>
    <row r="72" spans="1:16" s="133" customFormat="1" ht="15" customHeight="1">
      <c r="A72" s="1"/>
      <c r="B72" s="1"/>
      <c r="C72" s="134">
        <v>42432</v>
      </c>
      <c r="D72" s="135">
        <v>76.81</v>
      </c>
      <c r="O72" s="134"/>
      <c r="P72" s="135"/>
    </row>
    <row r="73" spans="1:16" s="133" customFormat="1" ht="15" customHeight="1">
      <c r="A73" s="1"/>
      <c r="B73" s="1"/>
      <c r="C73" s="134">
        <v>42433</v>
      </c>
      <c r="D73" s="135">
        <v>77.56</v>
      </c>
      <c r="O73" s="134"/>
      <c r="P73" s="135"/>
    </row>
    <row r="74" spans="1:16" s="133" customFormat="1" ht="15" customHeight="1">
      <c r="A74" s="1"/>
      <c r="B74" s="1"/>
      <c r="C74" s="134">
        <v>42436</v>
      </c>
      <c r="D74" s="135">
        <v>77.680000000000007</v>
      </c>
      <c r="O74" s="134"/>
      <c r="P74" s="135"/>
    </row>
    <row r="75" spans="1:16" s="133" customFormat="1" ht="15" customHeight="1">
      <c r="A75" s="1"/>
      <c r="B75" s="1"/>
      <c r="C75" s="134">
        <v>42437</v>
      </c>
      <c r="D75" s="135">
        <v>76.209999999999994</v>
      </c>
      <c r="O75" s="134"/>
      <c r="P75" s="135"/>
    </row>
    <row r="76" spans="1:16" s="133" customFormat="1" ht="15" customHeight="1">
      <c r="A76" s="1"/>
      <c r="B76" s="1"/>
      <c r="C76" s="134">
        <v>42438</v>
      </c>
      <c r="D76" s="135">
        <v>77.02</v>
      </c>
      <c r="O76" s="134"/>
      <c r="P76" s="135"/>
    </row>
    <row r="77" spans="1:16" s="133" customFormat="1" ht="15" customHeight="1">
      <c r="A77" s="1"/>
      <c r="B77" s="1"/>
      <c r="C77" s="134">
        <v>42439</v>
      </c>
      <c r="D77" s="135">
        <v>77.239999999999995</v>
      </c>
      <c r="O77" s="134"/>
      <c r="P77" s="135"/>
    </row>
    <row r="78" spans="1:16" s="133" customFormat="1" ht="15" customHeight="1">
      <c r="A78" s="1"/>
      <c r="B78" s="1"/>
      <c r="C78" s="134">
        <v>42440</v>
      </c>
      <c r="D78" s="135">
        <v>79</v>
      </c>
      <c r="O78" s="134"/>
      <c r="P78" s="135"/>
    </row>
    <row r="79" spans="1:16" s="133" customFormat="1" ht="15" customHeight="1">
      <c r="A79" s="1"/>
      <c r="B79" s="1"/>
      <c r="C79" s="134">
        <v>42443</v>
      </c>
      <c r="D79" s="135">
        <v>78.83</v>
      </c>
      <c r="O79" s="134"/>
      <c r="P79" s="135"/>
    </row>
    <row r="80" spans="1:16" s="133" customFormat="1" ht="15" customHeight="1">
      <c r="A80" s="1"/>
      <c r="B80" s="1"/>
      <c r="C80" s="134">
        <v>42444</v>
      </c>
      <c r="D80" s="135">
        <v>78.62</v>
      </c>
      <c r="O80" s="134"/>
      <c r="P80" s="135"/>
    </row>
    <row r="81" spans="1:16" s="133" customFormat="1" ht="15" customHeight="1">
      <c r="A81" s="1"/>
      <c r="B81" s="1"/>
      <c r="C81" s="134">
        <v>42445</v>
      </c>
      <c r="D81" s="135">
        <v>79.13</v>
      </c>
      <c r="O81" s="134"/>
      <c r="P81" s="135"/>
    </row>
    <row r="82" spans="1:16" s="133" customFormat="1" ht="15" customHeight="1">
      <c r="A82" s="1"/>
      <c r="B82" s="1"/>
      <c r="C82" s="134">
        <v>42446</v>
      </c>
      <c r="D82" s="135">
        <v>79.040000000000006</v>
      </c>
      <c r="O82" s="134"/>
      <c r="P82" s="135"/>
    </row>
    <row r="83" spans="1:16" s="133" customFormat="1" ht="15" customHeight="1">
      <c r="A83" s="1"/>
      <c r="B83" s="1"/>
      <c r="C83" s="134">
        <v>42447</v>
      </c>
      <c r="D83" s="135">
        <v>79.08</v>
      </c>
      <c r="O83" s="134"/>
      <c r="P83" s="135"/>
    </row>
    <row r="84" spans="1:16" s="133" customFormat="1" ht="15" customHeight="1">
      <c r="A84" s="1"/>
      <c r="B84" s="1"/>
      <c r="C84" s="134">
        <v>42450</v>
      </c>
      <c r="D84" s="135">
        <v>80.02</v>
      </c>
      <c r="O84" s="134"/>
      <c r="P84" s="135"/>
    </row>
    <row r="85" spans="1:16" s="133" customFormat="1" ht="15" customHeight="1">
      <c r="A85" s="1"/>
      <c r="B85" s="1"/>
      <c r="C85" s="134">
        <v>42451</v>
      </c>
      <c r="D85" s="135">
        <v>79.91</v>
      </c>
      <c r="O85" s="134"/>
      <c r="P85" s="135"/>
    </row>
    <row r="86" spans="1:16" s="133" customFormat="1" ht="15" customHeight="1">
      <c r="A86" s="1"/>
      <c r="B86" s="1"/>
      <c r="C86" s="134">
        <v>42452</v>
      </c>
      <c r="D86" s="135">
        <v>78.59</v>
      </c>
      <c r="O86" s="134"/>
      <c r="P86" s="135"/>
    </row>
    <row r="87" spans="1:16" s="133" customFormat="1" ht="15" customHeight="1">
      <c r="A87" s="1"/>
      <c r="B87" s="1"/>
      <c r="C87" s="134">
        <v>42453</v>
      </c>
      <c r="D87" s="135">
        <v>78.81</v>
      </c>
      <c r="O87" s="134"/>
      <c r="P87" s="135"/>
    </row>
    <row r="88" spans="1:16" s="133" customFormat="1" ht="15" customHeight="1">
      <c r="A88" s="1"/>
      <c r="B88" s="1"/>
      <c r="C88" s="134">
        <v>42457</v>
      </c>
      <c r="D88" s="135">
        <v>78.55</v>
      </c>
      <c r="O88" s="134"/>
      <c r="P88" s="135"/>
    </row>
    <row r="89" spans="1:16" s="133" customFormat="1" ht="15" customHeight="1">
      <c r="A89" s="1"/>
      <c r="B89" s="1"/>
      <c r="C89" s="134">
        <v>42458</v>
      </c>
      <c r="D89" s="135">
        <v>78.84</v>
      </c>
      <c r="O89" s="134"/>
      <c r="P89" s="135"/>
    </row>
    <row r="90" spans="1:16" s="133" customFormat="1" ht="15" customHeight="1">
      <c r="A90" s="1"/>
      <c r="B90" s="1"/>
      <c r="C90" s="134">
        <v>42459</v>
      </c>
      <c r="D90" s="135">
        <v>79.63</v>
      </c>
      <c r="O90" s="134"/>
      <c r="P90" s="135"/>
    </row>
    <row r="91" spans="1:16" s="133" customFormat="1" ht="15" customHeight="1">
      <c r="A91" s="1"/>
      <c r="B91" s="1"/>
      <c r="C91" s="134">
        <v>42460</v>
      </c>
      <c r="D91" s="135">
        <v>79.02</v>
      </c>
      <c r="O91" s="134"/>
      <c r="P91" s="135"/>
    </row>
    <row r="92" spans="1:16" s="133" customFormat="1" ht="15" customHeight="1">
      <c r="A92" s="1"/>
      <c r="B92" s="1"/>
      <c r="C92" s="134">
        <v>42461</v>
      </c>
      <c r="D92" s="135">
        <v>79.569999999999993</v>
      </c>
      <c r="O92" s="134"/>
      <c r="P92" s="135"/>
    </row>
    <row r="93" spans="1:16" s="133" customFormat="1" ht="15" customHeight="1">
      <c r="A93" s="1"/>
      <c r="B93" s="1"/>
      <c r="C93" s="134">
        <v>42464</v>
      </c>
      <c r="D93" s="135">
        <v>79.14</v>
      </c>
      <c r="O93" s="134"/>
      <c r="P93" s="135"/>
    </row>
    <row r="94" spans="1:16" s="133" customFormat="1" ht="15" customHeight="1">
      <c r="A94" s="1"/>
      <c r="B94" s="1"/>
      <c r="C94" s="134">
        <v>42465</v>
      </c>
      <c r="D94" s="135">
        <v>77.67</v>
      </c>
      <c r="O94" s="134"/>
      <c r="P94" s="135"/>
    </row>
    <row r="95" spans="1:16" s="133" customFormat="1" ht="15" customHeight="1">
      <c r="A95" s="1"/>
      <c r="B95" s="1"/>
      <c r="C95" s="134">
        <v>42466</v>
      </c>
      <c r="D95" s="135">
        <v>78.900000000000006</v>
      </c>
      <c r="O95" s="134"/>
      <c r="P95" s="135"/>
    </row>
    <row r="96" spans="1:16" s="133" customFormat="1" ht="15" customHeight="1">
      <c r="A96" s="1"/>
      <c r="B96" s="1"/>
      <c r="C96" s="134">
        <v>42467</v>
      </c>
      <c r="D96" s="135">
        <v>77.14</v>
      </c>
      <c r="O96" s="134"/>
      <c r="P96" s="135"/>
    </row>
    <row r="97" spans="1:16" s="133" customFormat="1" ht="15" customHeight="1">
      <c r="A97" s="1"/>
      <c r="B97" s="1"/>
      <c r="C97" s="134">
        <v>42468</v>
      </c>
      <c r="D97" s="135">
        <v>77.739999999999995</v>
      </c>
      <c r="O97" s="134"/>
      <c r="P97" s="135"/>
    </row>
    <row r="98" spans="1:16" s="133" customFormat="1" ht="15" customHeight="1">
      <c r="A98" s="1"/>
      <c r="B98" s="1"/>
      <c r="C98" s="134">
        <v>42471</v>
      </c>
      <c r="D98" s="135">
        <v>77.540000000000006</v>
      </c>
      <c r="O98" s="134"/>
      <c r="P98" s="135"/>
    </row>
    <row r="99" spans="1:16" s="133" customFormat="1" ht="15" customHeight="1">
      <c r="A99" s="1"/>
      <c r="B99" s="1"/>
      <c r="C99" s="134">
        <v>42472</v>
      </c>
      <c r="D99" s="135">
        <v>78.849999999999994</v>
      </c>
      <c r="O99" s="134"/>
      <c r="P99" s="135"/>
    </row>
    <row r="100" spans="1:16" s="133" customFormat="1" ht="15" customHeight="1">
      <c r="A100" s="1"/>
      <c r="B100" s="1"/>
      <c r="C100" s="134">
        <v>42473</v>
      </c>
      <c r="D100" s="135">
        <v>79.22</v>
      </c>
      <c r="O100" s="134"/>
      <c r="P100" s="135"/>
    </row>
    <row r="101" spans="1:16" s="133" customFormat="1" ht="15" customHeight="1">
      <c r="A101" s="1"/>
      <c r="B101" s="1"/>
      <c r="C101" s="134">
        <v>42474</v>
      </c>
      <c r="D101" s="135">
        <v>79.510000000000005</v>
      </c>
      <c r="O101" s="134"/>
      <c r="P101" s="135"/>
    </row>
    <row r="102" spans="1:16" s="133" customFormat="1" ht="15" customHeight="1">
      <c r="A102" s="1"/>
      <c r="B102" s="1"/>
      <c r="C102" s="134">
        <v>42475</v>
      </c>
      <c r="D102" s="135">
        <v>79.069999999999993</v>
      </c>
      <c r="O102" s="134"/>
      <c r="P102" s="135"/>
    </row>
    <row r="103" spans="1:16" s="133" customFormat="1" ht="15" customHeight="1">
      <c r="A103" s="1"/>
      <c r="B103" s="1"/>
      <c r="C103" s="134">
        <v>42478</v>
      </c>
      <c r="D103" s="135">
        <v>79.87</v>
      </c>
      <c r="O103" s="134"/>
      <c r="P103" s="135"/>
    </row>
    <row r="104" spans="1:16" s="133" customFormat="1" ht="15" customHeight="1">
      <c r="A104" s="1"/>
      <c r="B104" s="1"/>
      <c r="C104" s="134">
        <v>42479</v>
      </c>
      <c r="D104" s="135">
        <v>80.290000000000006</v>
      </c>
      <c r="O104" s="134"/>
      <c r="P104" s="135"/>
    </row>
    <row r="105" spans="1:16" s="133" customFormat="1" ht="15" customHeight="1">
      <c r="A105" s="1"/>
      <c r="B105" s="1"/>
      <c r="C105" s="134">
        <v>42480</v>
      </c>
      <c r="D105" s="135">
        <v>81.260000000000005</v>
      </c>
      <c r="O105" s="134"/>
      <c r="P105" s="135"/>
    </row>
    <row r="106" spans="1:16" s="133" customFormat="1" ht="15" customHeight="1">
      <c r="A106" s="1"/>
      <c r="B106" s="1"/>
      <c r="C106" s="134">
        <v>42481</v>
      </c>
      <c r="D106" s="135">
        <v>81.03</v>
      </c>
      <c r="O106" s="134"/>
      <c r="P106" s="135"/>
    </row>
    <row r="107" spans="1:16" s="133" customFormat="1" ht="15" customHeight="1">
      <c r="A107" s="1"/>
      <c r="B107" s="1"/>
      <c r="C107" s="134">
        <v>42482</v>
      </c>
      <c r="D107" s="135">
        <v>81.260000000000005</v>
      </c>
      <c r="O107" s="134"/>
      <c r="P107" s="135"/>
    </row>
    <row r="108" spans="1:16" s="133" customFormat="1" ht="15" customHeight="1">
      <c r="A108" s="1"/>
      <c r="B108" s="1"/>
      <c r="C108" s="134">
        <v>42485</v>
      </c>
      <c r="D108" s="135">
        <v>81.42</v>
      </c>
      <c r="O108" s="134"/>
      <c r="P108" s="135"/>
    </row>
    <row r="109" spans="1:16" s="133" customFormat="1" ht="15" customHeight="1">
      <c r="A109" s="1"/>
      <c r="B109" s="1"/>
      <c r="C109" s="134">
        <v>42486</v>
      </c>
      <c r="D109" s="135">
        <v>81.99</v>
      </c>
      <c r="O109" s="134"/>
      <c r="P109" s="135"/>
    </row>
    <row r="110" spans="1:16" s="133" customFormat="1" ht="15" customHeight="1">
      <c r="A110" s="1"/>
      <c r="B110" s="1"/>
      <c r="C110" s="134">
        <v>42487</v>
      </c>
      <c r="D110" s="135">
        <v>81.33</v>
      </c>
      <c r="O110" s="134"/>
      <c r="P110" s="135"/>
    </row>
    <row r="111" spans="1:16" s="133" customFormat="1" ht="15" customHeight="1">
      <c r="A111" s="1"/>
      <c r="B111" s="1"/>
      <c r="C111" s="134">
        <v>42488</v>
      </c>
      <c r="D111" s="135">
        <v>80.59</v>
      </c>
      <c r="O111" s="134"/>
      <c r="P111" s="135"/>
    </row>
    <row r="112" spans="1:16" s="133" customFormat="1" ht="15" customHeight="1">
      <c r="A112" s="1"/>
      <c r="B112" s="1"/>
      <c r="C112" s="134">
        <v>42489</v>
      </c>
      <c r="D112" s="135">
        <v>79.790000000000006</v>
      </c>
      <c r="O112" s="134"/>
      <c r="P112" s="135"/>
    </row>
    <row r="113" spans="1:16" s="133" customFormat="1" ht="15" customHeight="1">
      <c r="A113" s="1"/>
      <c r="B113" s="1"/>
      <c r="C113" s="134">
        <v>42492</v>
      </c>
      <c r="D113" s="135">
        <v>80.930000000000007</v>
      </c>
      <c r="O113" s="134"/>
      <c r="P113" s="135"/>
    </row>
    <row r="114" spans="1:16" s="133" customFormat="1" ht="15" customHeight="1">
      <c r="A114" s="1"/>
      <c r="B114" s="1"/>
      <c r="C114" s="134">
        <v>42493</v>
      </c>
      <c r="D114" s="135">
        <v>79.430000000000007</v>
      </c>
      <c r="O114" s="134"/>
      <c r="P114" s="135"/>
    </row>
    <row r="115" spans="1:16" s="133" customFormat="1" ht="15" customHeight="1">
      <c r="A115" s="1"/>
      <c r="B115" s="1"/>
      <c r="C115" s="134">
        <v>42494</v>
      </c>
      <c r="D115" s="135">
        <v>78.790000000000006</v>
      </c>
      <c r="O115" s="134"/>
      <c r="P115" s="135"/>
    </row>
    <row r="116" spans="1:16" s="133" customFormat="1" ht="15" customHeight="1">
      <c r="A116" s="1"/>
      <c r="B116" s="1"/>
      <c r="C116" s="134">
        <v>42495</v>
      </c>
      <c r="D116" s="135">
        <v>78.180000000000007</v>
      </c>
      <c r="O116" s="134"/>
      <c r="P116" s="135"/>
    </row>
    <row r="117" spans="1:16" s="133" customFormat="1" ht="15" customHeight="1">
      <c r="A117" s="1"/>
      <c r="B117" s="1"/>
      <c r="C117" s="134">
        <v>42496</v>
      </c>
      <c r="D117" s="135">
        <v>78.69</v>
      </c>
      <c r="O117" s="134"/>
      <c r="P117" s="135"/>
    </row>
    <row r="118" spans="1:16" s="133" customFormat="1" ht="15" customHeight="1">
      <c r="A118" s="1"/>
      <c r="B118" s="1"/>
      <c r="C118" s="134">
        <v>42499</v>
      </c>
      <c r="D118" s="135">
        <v>78.540000000000006</v>
      </c>
      <c r="O118" s="134"/>
      <c r="P118" s="135"/>
    </row>
    <row r="119" spans="1:16" s="133" customFormat="1" ht="15" customHeight="1">
      <c r="A119" s="1"/>
      <c r="B119" s="1"/>
      <c r="C119" s="134">
        <v>42500</v>
      </c>
      <c r="D119" s="135">
        <v>79.39</v>
      </c>
      <c r="O119" s="134"/>
      <c r="P119" s="135"/>
    </row>
    <row r="120" spans="1:16" s="133" customFormat="1" ht="15" customHeight="1">
      <c r="A120" s="1"/>
      <c r="B120" s="1"/>
      <c r="C120" s="134">
        <v>42501</v>
      </c>
      <c r="D120" s="135">
        <v>78.34</v>
      </c>
      <c r="O120" s="134"/>
      <c r="P120" s="135"/>
    </row>
    <row r="121" spans="1:16" s="133" customFormat="1" ht="15" customHeight="1">
      <c r="A121" s="1"/>
      <c r="B121" s="1"/>
      <c r="C121" s="134">
        <v>42502</v>
      </c>
      <c r="D121" s="135">
        <v>78.73</v>
      </c>
      <c r="O121" s="134"/>
      <c r="P121" s="135"/>
    </row>
    <row r="122" spans="1:16" s="133" customFormat="1" ht="15" customHeight="1">
      <c r="A122" s="1"/>
      <c r="B122" s="1"/>
      <c r="C122" s="134">
        <v>42503</v>
      </c>
      <c r="D122" s="135">
        <v>77.53</v>
      </c>
      <c r="O122" s="134"/>
      <c r="P122" s="135"/>
    </row>
    <row r="123" spans="1:16" s="133" customFormat="1" ht="15" customHeight="1">
      <c r="A123" s="1"/>
      <c r="B123" s="1"/>
      <c r="C123" s="134">
        <v>42506</v>
      </c>
      <c r="D123" s="135">
        <v>78.8</v>
      </c>
      <c r="O123" s="134"/>
      <c r="P123" s="135"/>
    </row>
    <row r="124" spans="1:16" s="133" customFormat="1" ht="15" customHeight="1">
      <c r="A124" s="1"/>
      <c r="B124" s="1"/>
      <c r="C124" s="134">
        <v>42507</v>
      </c>
      <c r="D124" s="135">
        <v>77.98</v>
      </c>
      <c r="O124" s="134"/>
      <c r="P124" s="135"/>
    </row>
    <row r="125" spans="1:16" s="133" customFormat="1" ht="15" customHeight="1">
      <c r="A125" s="1"/>
      <c r="B125" s="1"/>
      <c r="C125" s="134">
        <v>42508</v>
      </c>
      <c r="D125" s="135">
        <v>79.08</v>
      </c>
      <c r="O125" s="134"/>
      <c r="P125" s="135"/>
    </row>
    <row r="126" spans="1:16" s="133" customFormat="1" ht="15" customHeight="1">
      <c r="A126" s="1"/>
      <c r="B126" s="1"/>
      <c r="C126" s="134">
        <v>42509</v>
      </c>
      <c r="D126" s="135">
        <v>78.44</v>
      </c>
      <c r="O126" s="134"/>
      <c r="P126" s="135"/>
    </row>
    <row r="127" spans="1:16" s="133" customFormat="1" ht="15" customHeight="1">
      <c r="A127" s="1"/>
      <c r="B127" s="1"/>
      <c r="C127" s="134">
        <v>42510</v>
      </c>
      <c r="D127" s="135">
        <v>78.92</v>
      </c>
      <c r="O127" s="134"/>
      <c r="P127" s="135"/>
    </row>
    <row r="128" spans="1:16" s="133" customFormat="1" ht="15" customHeight="1">
      <c r="A128" s="1"/>
      <c r="B128" s="1"/>
      <c r="C128" s="134">
        <v>42513</v>
      </c>
      <c r="D128" s="135">
        <v>78.64</v>
      </c>
      <c r="O128" s="134"/>
      <c r="P128" s="135"/>
    </row>
    <row r="129" spans="1:16" s="133" customFormat="1" ht="15" customHeight="1">
      <c r="A129" s="1"/>
      <c r="B129" s="1"/>
      <c r="C129" s="134">
        <v>42514</v>
      </c>
      <c r="D129" s="135">
        <v>79.97</v>
      </c>
      <c r="O129" s="134"/>
      <c r="P129" s="135"/>
    </row>
    <row r="130" spans="1:16" s="133" customFormat="1" ht="15" customHeight="1">
      <c r="A130" s="1"/>
      <c r="B130" s="1"/>
      <c r="C130" s="134">
        <v>42515</v>
      </c>
      <c r="D130" s="135">
        <v>80.680000000000007</v>
      </c>
      <c r="O130" s="134"/>
      <c r="P130" s="135"/>
    </row>
    <row r="131" spans="1:16" s="133" customFormat="1" ht="15" customHeight="1">
      <c r="A131" s="1"/>
      <c r="B131" s="1"/>
      <c r="C131" s="134">
        <v>42516</v>
      </c>
      <c r="D131" s="135">
        <v>80.3</v>
      </c>
      <c r="O131" s="134"/>
      <c r="P131" s="135"/>
    </row>
    <row r="132" spans="1:16" s="133" customFormat="1" ht="15" customHeight="1">
      <c r="A132" s="1"/>
      <c r="B132" s="1"/>
      <c r="C132" s="134">
        <v>42517</v>
      </c>
      <c r="D132" s="135">
        <v>80.709999999999994</v>
      </c>
      <c r="O132" s="134"/>
      <c r="P132" s="135"/>
    </row>
    <row r="133" spans="1:16" s="133" customFormat="1" ht="15" customHeight="1">
      <c r="A133" s="1"/>
      <c r="B133" s="1"/>
      <c r="C133" s="134">
        <v>42521</v>
      </c>
      <c r="D133" s="135">
        <v>80.44</v>
      </c>
      <c r="O133" s="134"/>
      <c r="P133" s="135"/>
    </row>
    <row r="134" spans="1:16" s="133" customFormat="1" ht="15" customHeight="1">
      <c r="A134" s="1"/>
      <c r="B134" s="1"/>
      <c r="C134" s="134">
        <v>42522</v>
      </c>
      <c r="D134" s="135">
        <v>80.45</v>
      </c>
      <c r="O134" s="134"/>
      <c r="P134" s="135"/>
    </row>
    <row r="135" spans="1:16" s="133" customFormat="1" ht="15" customHeight="1">
      <c r="A135" s="1"/>
      <c r="B135" s="1"/>
      <c r="C135" s="134">
        <v>42523</v>
      </c>
      <c r="D135" s="135">
        <v>80.11</v>
      </c>
      <c r="O135" s="134"/>
      <c r="P135" s="135"/>
    </row>
    <row r="136" spans="1:16" s="133" customFormat="1" ht="15" customHeight="1">
      <c r="A136" s="1"/>
      <c r="B136" s="1"/>
      <c r="C136" s="134">
        <v>42524</v>
      </c>
      <c r="D136" s="135">
        <v>78.94</v>
      </c>
      <c r="O136" s="134"/>
      <c r="P136" s="135"/>
    </row>
    <row r="137" spans="1:16" s="133" customFormat="1" ht="15" customHeight="1">
      <c r="A137" s="1"/>
      <c r="B137" s="1"/>
      <c r="C137" s="134">
        <v>42527</v>
      </c>
      <c r="D137" s="135">
        <v>79.58</v>
      </c>
      <c r="O137" s="134"/>
      <c r="P137" s="135"/>
    </row>
    <row r="138" spans="1:16" s="133" customFormat="1" ht="15" customHeight="1">
      <c r="A138" s="1"/>
      <c r="B138" s="1"/>
      <c r="C138" s="134">
        <v>42528</v>
      </c>
      <c r="D138" s="135">
        <v>79.47</v>
      </c>
      <c r="O138" s="134"/>
      <c r="P138" s="135"/>
    </row>
    <row r="139" spans="1:16" s="133" customFormat="1" ht="15" customHeight="1">
      <c r="A139" s="1"/>
      <c r="B139" s="1"/>
      <c r="C139" s="134">
        <v>42529</v>
      </c>
      <c r="D139" s="135">
        <v>79.59</v>
      </c>
      <c r="O139" s="134"/>
      <c r="P139" s="135"/>
    </row>
    <row r="140" spans="1:16" s="133" customFormat="1" ht="15" customHeight="1">
      <c r="A140" s="1"/>
      <c r="B140" s="1"/>
      <c r="C140" s="134">
        <v>42530</v>
      </c>
      <c r="D140" s="135">
        <v>79.12</v>
      </c>
      <c r="O140" s="134"/>
      <c r="P140" s="135"/>
    </row>
    <row r="141" spans="1:16" s="133" customFormat="1" ht="15" customHeight="1">
      <c r="A141" s="1"/>
      <c r="B141" s="1"/>
      <c r="C141" s="134">
        <v>42531</v>
      </c>
      <c r="D141" s="135">
        <v>78.06</v>
      </c>
      <c r="O141" s="134"/>
      <c r="P141" s="135"/>
    </row>
    <row r="142" spans="1:16" s="133" customFormat="1" ht="15" customHeight="1">
      <c r="A142" s="1"/>
      <c r="B142" s="1"/>
      <c r="C142" s="134">
        <v>42534</v>
      </c>
      <c r="D142" s="135">
        <v>77.209999999999994</v>
      </c>
      <c r="O142" s="134"/>
      <c r="P142" s="135"/>
    </row>
    <row r="143" spans="1:16" s="133" customFormat="1" ht="15" customHeight="1">
      <c r="A143" s="1"/>
      <c r="B143" s="1"/>
      <c r="C143" s="134">
        <v>42535</v>
      </c>
      <c r="D143" s="135">
        <v>77</v>
      </c>
      <c r="O143" s="134"/>
      <c r="P143" s="135"/>
    </row>
    <row r="144" spans="1:16" s="133" customFormat="1" ht="15" customHeight="1">
      <c r="A144" s="1"/>
      <c r="B144" s="1"/>
      <c r="C144" s="134">
        <v>42536</v>
      </c>
      <c r="D144" s="135">
        <v>76.78</v>
      </c>
      <c r="O144" s="134"/>
      <c r="P144" s="135"/>
    </row>
    <row r="145" spans="1:16" s="133" customFormat="1" ht="15" customHeight="1">
      <c r="A145" s="1"/>
      <c r="B145" s="1"/>
      <c r="C145" s="134">
        <v>42537</v>
      </c>
      <c r="D145" s="135">
        <v>76.599999999999994</v>
      </c>
      <c r="O145" s="134"/>
      <c r="P145" s="135"/>
    </row>
    <row r="146" spans="1:16" s="133" customFormat="1" ht="15" customHeight="1">
      <c r="A146" s="1"/>
      <c r="B146" s="1"/>
      <c r="C146" s="134">
        <v>42538</v>
      </c>
      <c r="D146" s="135">
        <v>76.64</v>
      </c>
      <c r="O146" s="134"/>
      <c r="P146" s="135"/>
    </row>
    <row r="147" spans="1:16" s="133" customFormat="1" ht="15" customHeight="1">
      <c r="A147" s="1"/>
      <c r="B147" s="1"/>
      <c r="C147" s="134">
        <v>42541</v>
      </c>
      <c r="D147" s="135">
        <v>77.72</v>
      </c>
      <c r="O147" s="134"/>
      <c r="P147" s="135"/>
    </row>
    <row r="148" spans="1:16" s="133" customFormat="1" ht="15" customHeight="1">
      <c r="A148" s="1"/>
      <c r="B148" s="1"/>
      <c r="C148" s="134">
        <v>42542</v>
      </c>
      <c r="D148" s="135">
        <v>78.150000000000006</v>
      </c>
      <c r="O148" s="134"/>
      <c r="P148" s="135"/>
    </row>
    <row r="149" spans="1:16" s="133" customFormat="1" ht="15" customHeight="1">
      <c r="A149" s="1"/>
      <c r="B149" s="1"/>
      <c r="C149" s="134">
        <v>42543</v>
      </c>
      <c r="D149" s="135">
        <v>77.95</v>
      </c>
      <c r="O149" s="134"/>
      <c r="P149" s="135"/>
    </row>
    <row r="150" spans="1:16" s="133" customFormat="1" ht="15" customHeight="1">
      <c r="A150" s="1"/>
      <c r="B150" s="1"/>
      <c r="C150" s="134">
        <v>42544</v>
      </c>
      <c r="D150" s="135">
        <v>79.8</v>
      </c>
      <c r="O150" s="134"/>
      <c r="P150" s="135"/>
    </row>
    <row r="151" spans="1:16" s="133" customFormat="1" ht="15" customHeight="1">
      <c r="A151" s="1"/>
      <c r="B151" s="1"/>
      <c r="C151" s="134">
        <v>42545</v>
      </c>
      <c r="D151" s="135">
        <v>74.63</v>
      </c>
      <c r="O151" s="134"/>
      <c r="P151" s="135"/>
    </row>
    <row r="152" spans="1:16" s="133" customFormat="1" ht="15" customHeight="1">
      <c r="A152" s="1"/>
      <c r="B152" s="1"/>
      <c r="C152" s="134">
        <v>42548</v>
      </c>
      <c r="D152" s="135">
        <v>71.989999999999995</v>
      </c>
      <c r="O152" s="134"/>
      <c r="P152" s="135"/>
    </row>
    <row r="153" spans="1:16" s="133" customFormat="1" ht="15" customHeight="1">
      <c r="A153" s="1"/>
      <c r="B153" s="1"/>
      <c r="C153" s="134">
        <v>42549</v>
      </c>
      <c r="D153" s="135">
        <v>73.599999999999994</v>
      </c>
      <c r="O153" s="134"/>
      <c r="P153" s="135"/>
    </row>
    <row r="154" spans="1:16" s="133" customFormat="1" ht="15" customHeight="1">
      <c r="A154" s="1"/>
      <c r="B154" s="1"/>
      <c r="C154" s="134">
        <v>42550</v>
      </c>
      <c r="D154" s="135">
        <v>75.03</v>
      </c>
      <c r="O154" s="134"/>
      <c r="P154" s="135"/>
    </row>
    <row r="155" spans="1:16" s="133" customFormat="1" ht="15" customHeight="1">
      <c r="A155" s="1"/>
      <c r="B155" s="1"/>
      <c r="C155" s="134">
        <v>42551</v>
      </c>
      <c r="D155" s="135">
        <v>76.17</v>
      </c>
      <c r="O155" s="134"/>
      <c r="P155" s="135"/>
    </row>
    <row r="156" spans="1:16" s="133" customFormat="1" ht="15" customHeight="1">
      <c r="A156" s="1"/>
      <c r="B156" s="1"/>
      <c r="C156" s="134">
        <v>42552</v>
      </c>
      <c r="D156" s="135">
        <v>75.790000000000006</v>
      </c>
      <c r="O156" s="134"/>
      <c r="P156" s="135"/>
    </row>
    <row r="157" spans="1:16" s="133" customFormat="1" ht="15" customHeight="1">
      <c r="A157" s="1"/>
      <c r="B157" s="1"/>
      <c r="C157" s="134">
        <v>42556</v>
      </c>
      <c r="D157" s="135">
        <v>74.19</v>
      </c>
      <c r="O157" s="134"/>
      <c r="P157" s="135"/>
    </row>
    <row r="158" spans="1:16" s="133" customFormat="1" ht="15" customHeight="1">
      <c r="A158" s="1"/>
      <c r="B158" s="1"/>
      <c r="C158" s="134">
        <v>42557</v>
      </c>
      <c r="D158" s="135">
        <v>74.75</v>
      </c>
      <c r="O158" s="134"/>
      <c r="P158" s="135"/>
    </row>
    <row r="159" spans="1:16" s="133" customFormat="1" ht="15" customHeight="1">
      <c r="A159" s="1"/>
      <c r="B159" s="1"/>
      <c r="C159" s="134">
        <v>42558</v>
      </c>
      <c r="D159" s="135">
        <v>74.52</v>
      </c>
      <c r="O159" s="134"/>
      <c r="P159" s="135"/>
    </row>
    <row r="160" spans="1:16" s="133" customFormat="1" ht="15" customHeight="1">
      <c r="A160" s="1"/>
      <c r="B160" s="1"/>
      <c r="C160" s="134">
        <v>42559</v>
      </c>
      <c r="D160" s="135">
        <v>75.239999999999995</v>
      </c>
      <c r="O160" s="134"/>
      <c r="P160" s="135"/>
    </row>
    <row r="161" spans="1:16" s="133" customFormat="1" ht="15" customHeight="1">
      <c r="A161" s="1"/>
      <c r="B161" s="1"/>
      <c r="C161" s="134">
        <v>42562</v>
      </c>
      <c r="D161" s="135">
        <v>76.12</v>
      </c>
      <c r="O161" s="134"/>
      <c r="P161" s="135"/>
    </row>
    <row r="162" spans="1:16" s="133" customFormat="1" ht="15" customHeight="1">
      <c r="A162" s="1"/>
      <c r="B162" s="1"/>
      <c r="C162" s="134">
        <v>42563</v>
      </c>
      <c r="D162" s="135">
        <v>77.489999999999995</v>
      </c>
      <c r="O162" s="134"/>
      <c r="P162" s="135"/>
    </row>
    <row r="163" spans="1:16" s="133" customFormat="1" ht="15" customHeight="1">
      <c r="A163" s="1"/>
      <c r="B163" s="1"/>
      <c r="C163" s="134">
        <v>42564</v>
      </c>
      <c r="D163" s="135">
        <v>76.98</v>
      </c>
      <c r="O163" s="134"/>
      <c r="P163" s="135"/>
    </row>
    <row r="164" spans="1:16" s="133" customFormat="1" ht="15" customHeight="1">
      <c r="A164" s="1"/>
      <c r="B164" s="1"/>
      <c r="C164" s="134">
        <v>42565</v>
      </c>
      <c r="D164" s="135">
        <v>78.25</v>
      </c>
      <c r="O164" s="134"/>
      <c r="P164" s="135"/>
    </row>
    <row r="165" spans="1:16" s="133" customFormat="1" ht="15" customHeight="1">
      <c r="A165" s="1"/>
      <c r="B165" s="1"/>
      <c r="C165" s="134">
        <v>42566</v>
      </c>
      <c r="D165" s="135">
        <v>78.7</v>
      </c>
      <c r="O165" s="134"/>
      <c r="P165" s="135"/>
    </row>
    <row r="166" spans="1:16" s="133" customFormat="1" ht="15" customHeight="1">
      <c r="A166" s="1"/>
      <c r="B166" s="1"/>
      <c r="C166" s="134">
        <v>42569</v>
      </c>
      <c r="D166" s="135">
        <v>79.010000000000005</v>
      </c>
      <c r="O166" s="134"/>
      <c r="P166" s="135"/>
    </row>
    <row r="167" spans="1:16" s="133" customFormat="1" ht="15" customHeight="1">
      <c r="A167" s="1"/>
      <c r="B167" s="1"/>
      <c r="C167" s="134">
        <v>42570</v>
      </c>
      <c r="D167" s="135">
        <v>78.66</v>
      </c>
      <c r="O167" s="134"/>
      <c r="P167" s="135"/>
    </row>
    <row r="168" spans="1:16" s="133" customFormat="1" ht="15" customHeight="1">
      <c r="A168" s="1"/>
      <c r="B168" s="1"/>
      <c r="C168" s="134">
        <v>42571</v>
      </c>
      <c r="D168" s="135">
        <v>79.319999999999993</v>
      </c>
      <c r="O168" s="134"/>
      <c r="P168" s="135"/>
    </row>
    <row r="169" spans="1:16" s="133" customFormat="1" ht="15" customHeight="1">
      <c r="A169" s="1"/>
      <c r="B169" s="1"/>
      <c r="C169" s="134">
        <v>42572</v>
      </c>
      <c r="D169" s="135">
        <v>78.97</v>
      </c>
      <c r="O169" s="134"/>
      <c r="P169" s="135"/>
    </row>
    <row r="170" spans="1:16" s="133" customFormat="1" ht="15" customHeight="1">
      <c r="A170" s="1"/>
      <c r="B170" s="1"/>
      <c r="C170" s="134">
        <v>42573</v>
      </c>
      <c r="D170" s="135">
        <v>79.25</v>
      </c>
      <c r="O170" s="134"/>
      <c r="P170" s="135"/>
    </row>
    <row r="171" spans="1:16" s="133" customFormat="1" ht="15" customHeight="1">
      <c r="A171" s="1"/>
      <c r="B171" s="1"/>
      <c r="C171" s="134">
        <v>42576</v>
      </c>
      <c r="D171" s="135">
        <v>79.09</v>
      </c>
      <c r="O171" s="134"/>
      <c r="P171" s="135"/>
    </row>
    <row r="172" spans="1:16" s="133" customFormat="1" ht="15" customHeight="1">
      <c r="A172" s="1"/>
      <c r="B172" s="1"/>
      <c r="C172" s="134">
        <v>42577</v>
      </c>
      <c r="D172" s="135">
        <v>78.98</v>
      </c>
      <c r="O172" s="134"/>
      <c r="P172" s="135"/>
    </row>
    <row r="173" spans="1:16" s="133" customFormat="1" ht="15" customHeight="1">
      <c r="A173" s="1"/>
      <c r="B173" s="1"/>
      <c r="C173" s="134">
        <v>42578</v>
      </c>
      <c r="D173" s="135">
        <v>78.27</v>
      </c>
      <c r="O173" s="134"/>
      <c r="P173" s="135"/>
    </row>
    <row r="174" spans="1:16" s="133" customFormat="1" ht="15" customHeight="1">
      <c r="A174" s="1"/>
      <c r="B174" s="1"/>
      <c r="C174" s="134">
        <v>42579</v>
      </c>
      <c r="D174" s="135">
        <v>78.36</v>
      </c>
      <c r="O174" s="134"/>
      <c r="P174" s="135"/>
    </row>
    <row r="175" spans="1:16" s="133" customFormat="1" ht="15" customHeight="1">
      <c r="A175" s="1"/>
      <c r="B175" s="1"/>
      <c r="C175" s="134">
        <v>42580</v>
      </c>
      <c r="D175" s="135">
        <v>78</v>
      </c>
      <c r="O175" s="134"/>
      <c r="P175" s="135"/>
    </row>
    <row r="176" spans="1:16" s="133" customFormat="1" ht="15" customHeight="1">
      <c r="A176" s="1"/>
      <c r="B176" s="1"/>
      <c r="C176" s="134">
        <v>42583</v>
      </c>
      <c r="D176" s="135">
        <v>78.239999999999995</v>
      </c>
      <c r="O176" s="134"/>
      <c r="P176" s="135"/>
    </row>
    <row r="177" spans="1:16" s="133" customFormat="1" ht="15" customHeight="1">
      <c r="A177" s="1"/>
      <c r="B177" s="1"/>
      <c r="C177" s="134">
        <v>42584</v>
      </c>
      <c r="D177" s="135">
        <v>78.38</v>
      </c>
      <c r="O177" s="134"/>
      <c r="P177" s="135"/>
    </row>
    <row r="178" spans="1:16" s="133" customFormat="1" ht="15" customHeight="1">
      <c r="A178" s="1"/>
      <c r="B178" s="1"/>
      <c r="C178" s="134">
        <v>42585</v>
      </c>
      <c r="D178" s="135">
        <v>78.62</v>
      </c>
      <c r="O178" s="134"/>
      <c r="P178" s="135"/>
    </row>
    <row r="179" spans="1:16" s="133" customFormat="1" ht="15" customHeight="1">
      <c r="A179" s="1"/>
      <c r="B179" s="1"/>
      <c r="C179" s="134">
        <v>42586</v>
      </c>
      <c r="D179" s="135">
        <v>78.25</v>
      </c>
      <c r="O179" s="134"/>
      <c r="P179" s="135"/>
    </row>
    <row r="180" spans="1:16" s="133" customFormat="1" ht="15" customHeight="1">
      <c r="A180" s="1"/>
      <c r="B180" s="1"/>
      <c r="C180" s="134">
        <v>42587</v>
      </c>
      <c r="D180" s="135">
        <v>79.599999999999994</v>
      </c>
      <c r="O180" s="134"/>
      <c r="P180" s="135"/>
    </row>
    <row r="181" spans="1:16" s="133" customFormat="1" ht="15" customHeight="1">
      <c r="A181" s="1"/>
      <c r="B181" s="1"/>
      <c r="C181" s="134">
        <v>42590</v>
      </c>
      <c r="D181" s="135">
        <v>79.510000000000005</v>
      </c>
      <c r="O181" s="134"/>
      <c r="P181" s="135"/>
    </row>
    <row r="182" spans="1:16" s="133" customFormat="1" ht="15" customHeight="1">
      <c r="A182" s="1"/>
      <c r="B182" s="1"/>
      <c r="C182" s="134">
        <v>42591</v>
      </c>
      <c r="D182" s="135">
        <v>79.099999999999994</v>
      </c>
      <c r="O182" s="134"/>
      <c r="P182" s="135"/>
    </row>
    <row r="183" spans="1:16" s="133" customFormat="1" ht="15" customHeight="1">
      <c r="A183" s="1"/>
      <c r="B183" s="1"/>
      <c r="C183" s="134">
        <v>42592</v>
      </c>
      <c r="D183" s="135">
        <v>78.58</v>
      </c>
      <c r="O183" s="134"/>
      <c r="P183" s="135"/>
    </row>
    <row r="184" spans="1:16" s="133" customFormat="1" ht="15" customHeight="1">
      <c r="A184" s="1"/>
      <c r="B184" s="1"/>
      <c r="C184" s="134">
        <v>42593</v>
      </c>
      <c r="D184" s="135">
        <v>79.67</v>
      </c>
      <c r="O184" s="134"/>
      <c r="P184" s="135"/>
    </row>
    <row r="185" spans="1:16" s="133" customFormat="1" ht="15" customHeight="1">
      <c r="A185" s="1"/>
      <c r="B185" s="1"/>
      <c r="C185" s="134">
        <v>42594</v>
      </c>
      <c r="D185" s="135">
        <v>79.069999999999993</v>
      </c>
      <c r="O185" s="134"/>
      <c r="P185" s="135"/>
    </row>
    <row r="186" spans="1:16" s="133" customFormat="1" ht="15" customHeight="1">
      <c r="A186" s="1"/>
      <c r="B186" s="1"/>
      <c r="C186" s="134">
        <v>42597</v>
      </c>
      <c r="D186" s="135">
        <v>79.83</v>
      </c>
      <c r="O186" s="134"/>
      <c r="P186" s="135"/>
    </row>
    <row r="187" spans="1:16" s="133" customFormat="1" ht="15" customHeight="1">
      <c r="A187" s="1"/>
      <c r="B187" s="1"/>
      <c r="C187" s="134">
        <v>42598</v>
      </c>
      <c r="D187" s="135">
        <v>79.8</v>
      </c>
      <c r="O187" s="134"/>
      <c r="P187" s="135"/>
    </row>
    <row r="188" spans="1:16" s="133" customFormat="1" ht="15" customHeight="1">
      <c r="A188" s="1"/>
      <c r="B188" s="1"/>
      <c r="C188" s="134">
        <v>42599</v>
      </c>
      <c r="D188" s="135">
        <v>79.680000000000007</v>
      </c>
      <c r="O188" s="134"/>
      <c r="P188" s="135"/>
    </row>
    <row r="189" spans="1:16" s="133" customFormat="1" ht="15" customHeight="1">
      <c r="A189" s="1"/>
      <c r="B189" s="1"/>
      <c r="C189" s="134">
        <v>42600</v>
      </c>
      <c r="D189" s="135">
        <v>79.680000000000007</v>
      </c>
      <c r="O189" s="134"/>
      <c r="P189" s="135"/>
    </row>
    <row r="190" spans="1:16" s="133" customFormat="1" ht="15" customHeight="1">
      <c r="A190" s="1"/>
      <c r="B190" s="1"/>
      <c r="C190" s="134">
        <v>42601</v>
      </c>
      <c r="D190" s="135">
        <v>79.98</v>
      </c>
      <c r="O190" s="134"/>
      <c r="P190" s="135"/>
    </row>
    <row r="191" spans="1:16" s="133" customFormat="1" ht="15" customHeight="1">
      <c r="A191" s="1"/>
      <c r="B191" s="1"/>
      <c r="C191" s="134">
        <v>42604</v>
      </c>
      <c r="D191" s="135">
        <v>79.38</v>
      </c>
      <c r="O191" s="134"/>
      <c r="P191" s="135"/>
    </row>
    <row r="192" spans="1:16" s="133" customFormat="1" ht="15" customHeight="1">
      <c r="A192" s="1"/>
      <c r="B192" s="1"/>
      <c r="C192" s="134">
        <v>42605</v>
      </c>
      <c r="D192" s="135">
        <v>79.489999999999995</v>
      </c>
      <c r="O192" s="134"/>
      <c r="P192" s="135"/>
    </row>
    <row r="193" spans="1:16" s="133" customFormat="1" ht="15" customHeight="1">
      <c r="A193" s="1"/>
      <c r="B193" s="1"/>
      <c r="C193" s="134">
        <v>42606</v>
      </c>
      <c r="D193" s="135">
        <v>79.2</v>
      </c>
      <c r="O193" s="134"/>
      <c r="P193" s="135"/>
    </row>
    <row r="194" spans="1:16" s="133" customFormat="1" ht="15" customHeight="1">
      <c r="A194" s="1"/>
      <c r="B194" s="1"/>
      <c r="C194" s="134">
        <v>42607</v>
      </c>
      <c r="D194" s="135">
        <v>79.400000000000006</v>
      </c>
      <c r="O194" s="134"/>
      <c r="P194" s="135"/>
    </row>
    <row r="195" spans="1:16" s="133" customFormat="1" ht="15" customHeight="1">
      <c r="A195" s="1"/>
      <c r="B195" s="1"/>
      <c r="C195" s="134">
        <v>42608</v>
      </c>
      <c r="D195" s="135">
        <v>79.86</v>
      </c>
      <c r="O195" s="134"/>
      <c r="P195" s="135"/>
    </row>
    <row r="196" spans="1:16" s="133" customFormat="1" ht="15" customHeight="1">
      <c r="A196" s="1"/>
      <c r="B196" s="1"/>
      <c r="C196" s="134">
        <v>42611</v>
      </c>
      <c r="D196" s="135">
        <v>79.400000000000006</v>
      </c>
      <c r="O196" s="134"/>
      <c r="P196" s="135"/>
    </row>
    <row r="197" spans="1:16" s="133" customFormat="1" ht="15" customHeight="1">
      <c r="A197" s="1"/>
      <c r="B197" s="1"/>
      <c r="C197" s="134">
        <v>42612</v>
      </c>
      <c r="D197" s="135">
        <v>79.41</v>
      </c>
      <c r="O197" s="134"/>
      <c r="P197" s="135"/>
    </row>
    <row r="198" spans="1:16" s="133" customFormat="1" ht="15" customHeight="1">
      <c r="A198" s="1"/>
      <c r="B198" s="1"/>
      <c r="C198" s="134">
        <v>42613</v>
      </c>
      <c r="D198" s="135">
        <v>79.180000000000007</v>
      </c>
      <c r="O198" s="134"/>
      <c r="P198" s="135"/>
    </row>
    <row r="199" spans="1:16" s="133" customFormat="1" ht="15" customHeight="1">
      <c r="A199" s="1"/>
      <c r="B199" s="1"/>
      <c r="C199" s="134">
        <v>42614</v>
      </c>
      <c r="D199" s="135">
        <v>79.06</v>
      </c>
      <c r="O199" s="134"/>
      <c r="P199" s="135"/>
    </row>
    <row r="200" spans="1:16" s="133" customFormat="1" ht="15" customHeight="1">
      <c r="A200" s="1"/>
      <c r="B200" s="1"/>
      <c r="C200" s="134">
        <v>42615</v>
      </c>
      <c r="D200" s="135">
        <v>79.900000000000006</v>
      </c>
      <c r="O200" s="134"/>
      <c r="P200" s="135"/>
    </row>
    <row r="201" spans="1:16" s="133" customFormat="1" ht="15" customHeight="1">
      <c r="A201" s="1"/>
      <c r="B201" s="1"/>
      <c r="C201" s="134">
        <v>42619</v>
      </c>
      <c r="D201" s="135">
        <v>79.59</v>
      </c>
      <c r="O201" s="134"/>
      <c r="P201" s="135"/>
    </row>
    <row r="202" spans="1:16" s="133" customFormat="1" ht="15" customHeight="1">
      <c r="A202" s="1"/>
      <c r="B202" s="1"/>
      <c r="C202" s="134">
        <v>42620</v>
      </c>
      <c r="D202" s="135">
        <v>79.569999999999993</v>
      </c>
      <c r="O202" s="134"/>
      <c r="P202" s="135"/>
    </row>
    <row r="203" spans="1:16" s="133" customFormat="1" ht="15" customHeight="1">
      <c r="A203" s="1"/>
      <c r="B203" s="1"/>
      <c r="C203" s="134">
        <v>42621</v>
      </c>
      <c r="D203" s="135">
        <v>80.37</v>
      </c>
      <c r="O203" s="134"/>
      <c r="P203" s="135"/>
    </row>
    <row r="204" spans="1:16" s="133" customFormat="1" ht="15" customHeight="1">
      <c r="A204" s="1"/>
      <c r="B204" s="1"/>
      <c r="C204" s="134">
        <v>42622</v>
      </c>
      <c r="D204" s="135">
        <v>79.11</v>
      </c>
      <c r="O204" s="134"/>
      <c r="P204" s="135"/>
    </row>
    <row r="205" spans="1:16" s="133" customFormat="1" ht="15" customHeight="1">
      <c r="A205" s="1"/>
      <c r="B205" s="1"/>
      <c r="C205" s="134">
        <v>42625</v>
      </c>
      <c r="D205" s="135">
        <v>80.489999999999995</v>
      </c>
      <c r="O205" s="134"/>
      <c r="P205" s="135"/>
    </row>
    <row r="206" spans="1:16" s="133" customFormat="1" ht="15" customHeight="1">
      <c r="A206" s="1"/>
      <c r="B206" s="1"/>
      <c r="C206" s="134">
        <v>42626</v>
      </c>
      <c r="D206" s="135">
        <v>80.099999999999994</v>
      </c>
      <c r="O206" s="134"/>
      <c r="P206" s="135"/>
    </row>
    <row r="207" spans="1:16" s="133" customFormat="1" ht="15" customHeight="1">
      <c r="A207" s="1"/>
      <c r="B207" s="1"/>
      <c r="C207" s="134">
        <v>42627</v>
      </c>
      <c r="D207" s="135">
        <v>79.48</v>
      </c>
      <c r="O207" s="134"/>
      <c r="P207" s="135"/>
    </row>
    <row r="208" spans="1:16" s="133" customFormat="1" ht="15" customHeight="1">
      <c r="A208" s="1"/>
      <c r="B208" s="1"/>
      <c r="C208" s="134">
        <v>42628</v>
      </c>
      <c r="D208" s="135">
        <v>80.63</v>
      </c>
      <c r="O208" s="134"/>
      <c r="P208" s="135"/>
    </row>
    <row r="209" spans="1:16" s="133" customFormat="1" ht="15" customHeight="1">
      <c r="A209" s="1"/>
      <c r="B209" s="1"/>
      <c r="C209" s="134">
        <v>42629</v>
      </c>
      <c r="D209" s="135">
        <v>80.3</v>
      </c>
      <c r="O209" s="134"/>
      <c r="P209" s="135"/>
    </row>
    <row r="210" spans="1:16" s="133" customFormat="1" ht="15" customHeight="1">
      <c r="A210" s="1"/>
      <c r="B210" s="1"/>
      <c r="C210" s="134">
        <v>42632</v>
      </c>
      <c r="D210" s="135">
        <v>80.290000000000006</v>
      </c>
      <c r="O210" s="134"/>
      <c r="P210" s="135"/>
    </row>
    <row r="211" spans="1:16" s="133" customFormat="1" ht="15" customHeight="1">
      <c r="A211" s="1"/>
      <c r="B211" s="1"/>
      <c r="C211" s="134">
        <v>42633</v>
      </c>
      <c r="D211" s="135">
        <v>80.09</v>
      </c>
      <c r="O211" s="134"/>
      <c r="P211" s="135"/>
    </row>
    <row r="212" spans="1:16" s="133" customFormat="1" ht="15" customHeight="1">
      <c r="A212" s="1"/>
      <c r="B212" s="1"/>
      <c r="C212" s="134">
        <v>42634</v>
      </c>
      <c r="D212" s="135">
        <v>80.739999999999995</v>
      </c>
      <c r="O212" s="134"/>
      <c r="P212" s="135"/>
    </row>
    <row r="213" spans="1:16" s="133" customFormat="1" ht="15" customHeight="1">
      <c r="A213" s="1"/>
      <c r="B213" s="1"/>
      <c r="C213" s="134">
        <v>42635</v>
      </c>
      <c r="D213" s="135">
        <v>80.760000000000005</v>
      </c>
      <c r="O213" s="134"/>
      <c r="P213" s="135"/>
    </row>
    <row r="214" spans="1:16" s="133" customFormat="1" ht="15" customHeight="1">
      <c r="A214" s="1"/>
      <c r="B214" s="1"/>
      <c r="C214" s="134">
        <v>42636</v>
      </c>
      <c r="D214" s="135">
        <v>80.23</v>
      </c>
      <c r="O214" s="134"/>
      <c r="P214" s="135"/>
    </row>
    <row r="215" spans="1:16" s="133" customFormat="1" ht="15" customHeight="1">
      <c r="A215" s="1"/>
      <c r="B215" s="1"/>
      <c r="C215" s="134">
        <v>42639</v>
      </c>
      <c r="D215" s="135">
        <v>79.34</v>
      </c>
      <c r="O215" s="134"/>
      <c r="P215" s="135"/>
    </row>
    <row r="216" spans="1:16" s="133" customFormat="1" ht="15" customHeight="1">
      <c r="A216" s="1"/>
      <c r="B216" s="1"/>
      <c r="C216" s="134">
        <v>42640</v>
      </c>
      <c r="D216" s="135">
        <v>79.260000000000005</v>
      </c>
      <c r="O216" s="134"/>
      <c r="P216" s="135"/>
    </row>
    <row r="217" spans="1:16" s="133" customFormat="1" ht="15" customHeight="1">
      <c r="A217" s="1"/>
      <c r="B217" s="1"/>
      <c r="C217" s="134">
        <v>42641</v>
      </c>
      <c r="D217" s="135">
        <v>79.73</v>
      </c>
      <c r="O217" s="134"/>
      <c r="P217" s="135"/>
    </row>
    <row r="218" spans="1:16" s="133" customFormat="1" ht="15" customHeight="1">
      <c r="A218" s="1"/>
      <c r="B218" s="1"/>
      <c r="C218" s="134">
        <v>42642</v>
      </c>
      <c r="D218" s="135">
        <v>79.02</v>
      </c>
      <c r="O218" s="134"/>
      <c r="P218" s="135"/>
    </row>
    <row r="219" spans="1:16" s="133" customFormat="1" ht="15" customHeight="1">
      <c r="A219" s="1"/>
      <c r="B219" s="1"/>
      <c r="C219" s="134">
        <v>42643</v>
      </c>
      <c r="D219" s="135">
        <v>80.14</v>
      </c>
      <c r="O219" s="134"/>
      <c r="P219" s="135"/>
    </row>
    <row r="220" spans="1:16" s="133" customFormat="1" ht="15" customHeight="1">
      <c r="A220" s="1"/>
      <c r="B220" s="1"/>
      <c r="C220" s="134">
        <v>42646</v>
      </c>
      <c r="D220" s="135">
        <v>79.92</v>
      </c>
      <c r="O220" s="134"/>
      <c r="P220" s="135"/>
    </row>
    <row r="221" spans="1:16" s="133" customFormat="1" ht="15" customHeight="1">
      <c r="A221" s="1"/>
      <c r="B221" s="1"/>
      <c r="C221" s="134">
        <v>42647</v>
      </c>
      <c r="D221" s="135">
        <v>80.38</v>
      </c>
      <c r="O221" s="134"/>
      <c r="P221" s="135"/>
    </row>
    <row r="222" spans="1:16" s="133" customFormat="1" ht="15" customHeight="1">
      <c r="A222" s="1"/>
      <c r="B222" s="1"/>
      <c r="C222" s="134">
        <v>42648</v>
      </c>
      <c r="D222" s="135">
        <v>81.05</v>
      </c>
      <c r="O222" s="134"/>
      <c r="P222" s="135"/>
    </row>
    <row r="223" spans="1:16" s="133" customFormat="1" ht="15" customHeight="1">
      <c r="A223" s="1"/>
      <c r="B223" s="1"/>
      <c r="C223" s="134">
        <v>42649</v>
      </c>
      <c r="D223" s="135">
        <v>81.489999999999995</v>
      </c>
      <c r="O223" s="134"/>
      <c r="P223" s="135"/>
    </row>
    <row r="224" spans="1:16" s="133" customFormat="1" ht="15" customHeight="1">
      <c r="A224" s="1"/>
      <c r="B224" s="1"/>
      <c r="C224" s="134">
        <v>42650</v>
      </c>
      <c r="D224" s="135">
        <v>81.19</v>
      </c>
      <c r="O224" s="134"/>
      <c r="P224" s="135"/>
    </row>
    <row r="225" spans="1:16" s="133" customFormat="1" ht="15" customHeight="1">
      <c r="A225" s="1"/>
      <c r="B225" s="1"/>
      <c r="C225" s="134">
        <v>42653</v>
      </c>
      <c r="D225" s="135">
        <v>82.04</v>
      </c>
      <c r="O225" s="134"/>
      <c r="P225" s="135"/>
    </row>
    <row r="226" spans="1:16" s="133" customFormat="1" ht="15" customHeight="1">
      <c r="A226" s="1"/>
      <c r="B226" s="1"/>
      <c r="C226" s="134">
        <v>42654</v>
      </c>
      <c r="D226" s="135">
        <v>81</v>
      </c>
      <c r="O226" s="134"/>
      <c r="P226" s="135"/>
    </row>
    <row r="227" spans="1:16" s="133" customFormat="1" ht="15" customHeight="1">
      <c r="A227" s="1"/>
      <c r="B227" s="1"/>
      <c r="C227" s="134">
        <v>42655</v>
      </c>
      <c r="D227" s="135">
        <v>81.02</v>
      </c>
      <c r="O227" s="134"/>
      <c r="P227" s="135"/>
    </row>
    <row r="228" spans="1:16" s="133" customFormat="1" ht="15" customHeight="1">
      <c r="A228" s="1"/>
      <c r="B228" s="1"/>
      <c r="C228" s="134">
        <v>42656</v>
      </c>
      <c r="D228" s="135">
        <v>80.39</v>
      </c>
      <c r="O228" s="134"/>
      <c r="P228" s="135"/>
    </row>
    <row r="229" spans="1:16" s="133" customFormat="1" ht="15" customHeight="1">
      <c r="A229" s="1"/>
      <c r="B229" s="1"/>
      <c r="C229" s="134">
        <v>42657</v>
      </c>
      <c r="D229" s="135">
        <v>81.27</v>
      </c>
      <c r="O229" s="134"/>
      <c r="P229" s="135"/>
    </row>
    <row r="230" spans="1:16" s="133" customFormat="1" ht="15" customHeight="1">
      <c r="A230" s="1"/>
      <c r="B230" s="1"/>
      <c r="C230" s="134">
        <v>42660</v>
      </c>
      <c r="D230" s="135">
        <v>80.77</v>
      </c>
      <c r="O230" s="134"/>
      <c r="P230" s="135"/>
    </row>
    <row r="231" spans="1:16" s="133" customFormat="1" ht="15" customHeight="1">
      <c r="A231" s="1"/>
      <c r="B231" s="1"/>
      <c r="C231" s="134">
        <v>42661</v>
      </c>
      <c r="D231" s="135">
        <v>80.930000000000007</v>
      </c>
      <c r="O231" s="134"/>
      <c r="P231" s="135"/>
    </row>
    <row r="232" spans="1:16" s="133" customFormat="1" ht="15" customHeight="1">
      <c r="A232" s="1"/>
      <c r="B232" s="1"/>
      <c r="C232" s="134">
        <v>42662</v>
      </c>
      <c r="D232" s="135">
        <v>81.2</v>
      </c>
      <c r="O232" s="134"/>
      <c r="P232" s="135"/>
    </row>
    <row r="233" spans="1:16" s="133" customFormat="1" ht="15" customHeight="1">
      <c r="A233" s="1"/>
      <c r="B233" s="1"/>
      <c r="C233" s="134">
        <v>42663</v>
      </c>
      <c r="D233" s="135">
        <v>80.94</v>
      </c>
      <c r="O233" s="134"/>
      <c r="P233" s="135"/>
    </row>
    <row r="234" spans="1:16" s="133" customFormat="1" ht="15" customHeight="1">
      <c r="A234" s="1"/>
      <c r="B234" s="1"/>
      <c r="C234" s="134">
        <v>42664</v>
      </c>
      <c r="D234" s="135">
        <v>80.78</v>
      </c>
      <c r="O234" s="134"/>
      <c r="P234" s="135"/>
    </row>
    <row r="235" spans="1:16" s="133" customFormat="1" ht="15" customHeight="1">
      <c r="A235" s="1"/>
      <c r="B235" s="1"/>
      <c r="C235" s="134">
        <v>42667</v>
      </c>
      <c r="D235" s="135">
        <v>81.39</v>
      </c>
      <c r="O235" s="134"/>
      <c r="P235" s="135"/>
    </row>
    <row r="236" spans="1:16" s="133" customFormat="1" ht="15" customHeight="1">
      <c r="A236" s="1"/>
      <c r="B236" s="1"/>
      <c r="C236" s="134">
        <v>42668</v>
      </c>
      <c r="D236" s="135">
        <v>80.959999999999994</v>
      </c>
      <c r="O236" s="134"/>
      <c r="P236" s="135"/>
    </row>
    <row r="237" spans="1:16" s="133" customFormat="1" ht="15" customHeight="1">
      <c r="A237" s="1"/>
      <c r="B237" s="1"/>
      <c r="C237" s="134">
        <v>42669</v>
      </c>
      <c r="D237" s="135">
        <v>81.19</v>
      </c>
      <c r="O237" s="134"/>
      <c r="P237" s="135"/>
    </row>
    <row r="238" spans="1:16" s="133" customFormat="1" ht="15" customHeight="1">
      <c r="A238" s="1"/>
      <c r="B238" s="1"/>
      <c r="C238" s="134">
        <v>42670</v>
      </c>
      <c r="D238" s="135">
        <v>81.52</v>
      </c>
      <c r="O238" s="134"/>
      <c r="P238" s="135"/>
    </row>
    <row r="239" spans="1:16" s="133" customFormat="1" ht="15" customHeight="1">
      <c r="A239" s="1"/>
      <c r="B239" s="1"/>
      <c r="C239" s="134">
        <v>42671</v>
      </c>
      <c r="D239" s="135">
        <v>81.66</v>
      </c>
      <c r="O239" s="134"/>
      <c r="P239" s="135"/>
    </row>
    <row r="240" spans="1:16" s="133" customFormat="1" ht="15" customHeight="1">
      <c r="A240" s="1"/>
      <c r="B240" s="1"/>
      <c r="C240" s="134">
        <v>42674</v>
      </c>
      <c r="D240" s="135">
        <v>81.260000000000005</v>
      </c>
      <c r="O240" s="134"/>
      <c r="P240" s="135"/>
    </row>
    <row r="241" spans="1:16" s="133" customFormat="1" ht="15" customHeight="1">
      <c r="A241" s="1"/>
      <c r="B241" s="1"/>
      <c r="C241" s="134">
        <v>42675</v>
      </c>
      <c r="D241" s="135">
        <v>80.459999999999994</v>
      </c>
      <c r="O241" s="134"/>
      <c r="P241" s="135"/>
    </row>
    <row r="242" spans="1:16" s="133" customFormat="1" ht="15" customHeight="1">
      <c r="A242" s="1"/>
      <c r="B242" s="1"/>
      <c r="C242" s="134">
        <v>42676</v>
      </c>
      <c r="D242" s="135">
        <v>79.930000000000007</v>
      </c>
      <c r="O242" s="134"/>
      <c r="P242" s="135"/>
    </row>
    <row r="243" spans="1:16" s="133" customFormat="1" ht="15" customHeight="1">
      <c r="A243" s="1"/>
      <c r="B243" s="1"/>
      <c r="C243" s="134">
        <v>42677</v>
      </c>
      <c r="D243" s="135">
        <v>79.86</v>
      </c>
      <c r="O243" s="134"/>
      <c r="P243" s="135"/>
    </row>
    <row r="244" spans="1:16" s="133" customFormat="1" ht="15" customHeight="1">
      <c r="A244" s="1"/>
      <c r="B244" s="1"/>
      <c r="C244" s="134">
        <v>42678</v>
      </c>
      <c r="D244" s="135">
        <v>79.41</v>
      </c>
      <c r="O244" s="134"/>
      <c r="P244" s="135"/>
    </row>
    <row r="245" spans="1:16" s="133" customFormat="1" ht="15" customHeight="1">
      <c r="A245" s="1"/>
      <c r="B245" s="1"/>
      <c r="C245" s="134">
        <v>42681</v>
      </c>
      <c r="D245" s="135">
        <v>81.66</v>
      </c>
      <c r="O245" s="134"/>
      <c r="P245" s="135"/>
    </row>
    <row r="246" spans="1:16" s="133" customFormat="1" ht="15" customHeight="1">
      <c r="A246" s="1"/>
      <c r="B246" s="1"/>
      <c r="C246" s="134">
        <v>42682</v>
      </c>
      <c r="D246" s="135">
        <v>82.15</v>
      </c>
      <c r="O246" s="134"/>
      <c r="P246" s="135"/>
    </row>
    <row r="247" spans="1:16" s="133" customFormat="1" ht="15" customHeight="1">
      <c r="A247" s="1"/>
      <c r="B247" s="1"/>
      <c r="C247" s="134">
        <v>42683</v>
      </c>
      <c r="D247" s="135">
        <v>85.71</v>
      </c>
      <c r="O247" s="134"/>
      <c r="P247" s="135"/>
    </row>
    <row r="248" spans="1:16" s="133" customFormat="1" ht="15" customHeight="1">
      <c r="A248" s="1"/>
      <c r="B248" s="1"/>
      <c r="C248" s="134">
        <v>42684</v>
      </c>
      <c r="D248" s="135">
        <v>86.39</v>
      </c>
      <c r="O248" s="134"/>
      <c r="P248" s="135"/>
    </row>
    <row r="249" spans="1:16" s="133" customFormat="1" ht="15" customHeight="1">
      <c r="A249" s="1"/>
      <c r="B249" s="1"/>
      <c r="C249" s="134">
        <v>42685</v>
      </c>
      <c r="D249" s="135">
        <v>86.76</v>
      </c>
      <c r="O249" s="134"/>
      <c r="P249" s="135"/>
    </row>
    <row r="250" spans="1:16" s="133" customFormat="1" ht="15" customHeight="1">
      <c r="A250" s="1"/>
      <c r="B250" s="1"/>
      <c r="C250" s="134">
        <v>42688</v>
      </c>
      <c r="D250" s="135">
        <v>87.13</v>
      </c>
      <c r="O250" s="134"/>
      <c r="P250" s="135"/>
    </row>
    <row r="251" spans="1:16" s="133" customFormat="1" ht="15" customHeight="1">
      <c r="A251" s="1"/>
      <c r="B251" s="1"/>
      <c r="C251" s="134">
        <v>42689</v>
      </c>
      <c r="D251" s="135">
        <v>87.96</v>
      </c>
      <c r="O251" s="134"/>
      <c r="P251" s="135"/>
    </row>
    <row r="252" spans="1:16" s="133" customFormat="1" ht="15" customHeight="1">
      <c r="A252" s="1"/>
      <c r="B252" s="1"/>
      <c r="C252" s="134">
        <v>42690</v>
      </c>
      <c r="D252" s="135">
        <v>87.28</v>
      </c>
      <c r="O252" s="134"/>
      <c r="P252" s="135"/>
    </row>
    <row r="253" spans="1:16" s="133" customFormat="1" ht="15" customHeight="1">
      <c r="A253" s="1"/>
      <c r="B253" s="1"/>
      <c r="C253" s="134">
        <v>42691</v>
      </c>
      <c r="D253" s="135">
        <v>88.44</v>
      </c>
      <c r="O253" s="134"/>
      <c r="P253" s="135"/>
    </row>
    <row r="254" spans="1:16" s="133" customFormat="1" ht="15" customHeight="1">
      <c r="A254" s="1"/>
      <c r="B254" s="1"/>
      <c r="C254" s="134">
        <v>42692</v>
      </c>
      <c r="D254" s="135">
        <v>88.66</v>
      </c>
      <c r="O254" s="134"/>
      <c r="P254" s="135"/>
    </row>
    <row r="255" spans="1:16" s="133" customFormat="1" ht="15" customHeight="1">
      <c r="A255" s="1"/>
      <c r="B255" s="1"/>
      <c r="C255" s="134">
        <v>42695</v>
      </c>
      <c r="D255" s="135">
        <v>89.14</v>
      </c>
      <c r="O255" s="134"/>
      <c r="P255" s="135"/>
    </row>
    <row r="256" spans="1:16" s="133" customFormat="1" ht="15" customHeight="1">
      <c r="A256" s="1"/>
      <c r="B256" s="1"/>
      <c r="C256" s="134">
        <v>42696</v>
      </c>
      <c r="D256" s="135">
        <v>89.4</v>
      </c>
      <c r="O256" s="134"/>
      <c r="P256" s="135"/>
    </row>
    <row r="257" spans="1:16" s="133" customFormat="1" ht="15" customHeight="1">
      <c r="A257" s="1"/>
      <c r="B257" s="1"/>
      <c r="C257" s="134">
        <v>42697</v>
      </c>
      <c r="D257" s="135">
        <v>89.63</v>
      </c>
      <c r="O257" s="134"/>
      <c r="P257" s="135"/>
    </row>
    <row r="258" spans="1:16" s="133" customFormat="1" ht="15" customHeight="1">
      <c r="A258" s="1"/>
      <c r="B258" s="1"/>
      <c r="C258" s="134">
        <v>42699</v>
      </c>
      <c r="D258" s="135">
        <v>90.11</v>
      </c>
      <c r="O258" s="134"/>
      <c r="P258" s="135"/>
    </row>
    <row r="259" spans="1:16" s="133" customFormat="1" ht="15" customHeight="1">
      <c r="A259" s="1"/>
      <c r="B259" s="1"/>
      <c r="C259" s="134">
        <v>42702</v>
      </c>
      <c r="D259" s="135">
        <v>89.17</v>
      </c>
      <c r="O259" s="134"/>
      <c r="P259" s="135"/>
    </row>
    <row r="260" spans="1:16" s="133" customFormat="1" ht="15" customHeight="1">
      <c r="A260" s="1"/>
      <c r="B260" s="1"/>
      <c r="C260" s="134">
        <v>42703</v>
      </c>
      <c r="D260" s="135">
        <v>89.04</v>
      </c>
      <c r="O260" s="134"/>
      <c r="P260" s="135"/>
    </row>
    <row r="261" spans="1:16" s="133" customFormat="1" ht="15" customHeight="1">
      <c r="A261" s="1"/>
      <c r="B261" s="1"/>
      <c r="C261" s="134">
        <v>42704</v>
      </c>
      <c r="D261" s="135">
        <v>89.71</v>
      </c>
      <c r="O261" s="134"/>
      <c r="P261" s="135"/>
    </row>
    <row r="262" spans="1:16" s="133" customFormat="1" ht="15" customHeight="1">
      <c r="A262" s="1"/>
      <c r="B262" s="1"/>
      <c r="C262" s="134">
        <v>42705</v>
      </c>
      <c r="D262" s="135">
        <v>90.5</v>
      </c>
      <c r="O262" s="134"/>
      <c r="P262" s="135"/>
    </row>
    <row r="263" spans="1:16" s="133" customFormat="1" ht="15" customHeight="1">
      <c r="A263" s="1"/>
      <c r="B263" s="1"/>
      <c r="C263" s="134">
        <v>42706</v>
      </c>
      <c r="D263" s="135">
        <v>89.89</v>
      </c>
      <c r="O263" s="134"/>
      <c r="P263" s="135"/>
    </row>
    <row r="264" spans="1:16" s="133" customFormat="1" ht="15" customHeight="1">
      <c r="A264" s="1"/>
      <c r="B264" s="1"/>
      <c r="C264" s="134">
        <v>42709</v>
      </c>
      <c r="D264" s="135">
        <v>90.24</v>
      </c>
      <c r="O264" s="134"/>
      <c r="P264" s="135"/>
    </row>
    <row r="265" spans="1:16" s="133" customFormat="1" ht="15" customHeight="1">
      <c r="A265" s="1"/>
      <c r="B265" s="1"/>
      <c r="C265" s="134">
        <v>42710</v>
      </c>
      <c r="D265" s="135">
        <v>90.77</v>
      </c>
      <c r="O265" s="134"/>
      <c r="P265" s="135"/>
    </row>
    <row r="266" spans="1:16" s="133" customFormat="1" ht="15" customHeight="1">
      <c r="A266" s="1"/>
      <c r="B266" s="1"/>
      <c r="C266" s="134">
        <v>42711</v>
      </c>
      <c r="D266" s="135">
        <v>91.31</v>
      </c>
      <c r="O266" s="134"/>
      <c r="P266" s="135"/>
    </row>
    <row r="267" spans="1:16" s="133" customFormat="1" ht="15" customHeight="1">
      <c r="A267" s="1"/>
      <c r="B267" s="1"/>
      <c r="C267" s="134">
        <v>42712</v>
      </c>
      <c r="D267" s="135">
        <v>92.5</v>
      </c>
      <c r="O267" s="134"/>
      <c r="P267" s="135"/>
    </row>
    <row r="268" spans="1:16" s="133" customFormat="1" ht="15" customHeight="1">
      <c r="A268" s="1"/>
      <c r="B268" s="1"/>
      <c r="C268" s="134">
        <v>42713</v>
      </c>
      <c r="D268" s="135">
        <v>93.92</v>
      </c>
      <c r="O268" s="134"/>
      <c r="P268" s="135"/>
    </row>
    <row r="269" spans="1:16" s="133" customFormat="1" ht="15" customHeight="1">
      <c r="A269" s="1"/>
      <c r="B269" s="1"/>
      <c r="C269" s="134">
        <v>42716</v>
      </c>
      <c r="D269" s="135">
        <v>93.68</v>
      </c>
      <c r="O269" s="134"/>
      <c r="P269" s="135"/>
    </row>
    <row r="270" spans="1:16" s="133" customFormat="1" ht="15" customHeight="1">
      <c r="A270" s="1"/>
      <c r="B270" s="1"/>
      <c r="C270" s="134">
        <v>42717</v>
      </c>
      <c r="D270" s="135">
        <v>94.27</v>
      </c>
      <c r="O270" s="134"/>
      <c r="P270" s="135"/>
    </row>
    <row r="271" spans="1:16" s="133" customFormat="1" ht="15" customHeight="1">
      <c r="A271" s="1"/>
      <c r="B271" s="1"/>
      <c r="C271" s="134">
        <v>42718</v>
      </c>
      <c r="D271" s="135">
        <v>93.83</v>
      </c>
      <c r="O271" s="134"/>
      <c r="P271" s="135"/>
    </row>
    <row r="272" spans="1:16" s="133" customFormat="1" ht="15" customHeight="1">
      <c r="A272" s="1"/>
      <c r="B272" s="1"/>
      <c r="C272" s="134">
        <v>42719</v>
      </c>
      <c r="D272" s="135">
        <v>94.06</v>
      </c>
      <c r="O272" s="134"/>
      <c r="P272" s="135"/>
    </row>
    <row r="273" spans="1:16" s="133" customFormat="1" ht="15" customHeight="1">
      <c r="A273" s="1"/>
      <c r="B273" s="1"/>
      <c r="C273" s="134">
        <v>42720</v>
      </c>
      <c r="D273" s="135">
        <v>94.49</v>
      </c>
      <c r="O273" s="134"/>
      <c r="P273" s="135"/>
    </row>
    <row r="274" spans="1:16" s="133" customFormat="1" ht="15" customHeight="1">
      <c r="A274" s="1"/>
      <c r="B274" s="1"/>
      <c r="C274" s="134">
        <v>42723</v>
      </c>
      <c r="D274" s="135">
        <v>93.87</v>
      </c>
      <c r="O274" s="134"/>
      <c r="P274" s="135"/>
    </row>
    <row r="275" spans="1:16" s="133" customFormat="1" ht="15" customHeight="1">
      <c r="A275" s="1"/>
      <c r="B275" s="1"/>
      <c r="C275" s="134">
        <v>42724</v>
      </c>
      <c r="D275" s="135">
        <v>94.47</v>
      </c>
      <c r="O275" s="134"/>
      <c r="P275" s="135"/>
    </row>
    <row r="276" spans="1:16" s="133" customFormat="1" ht="15" customHeight="1">
      <c r="A276" s="1"/>
      <c r="B276" s="1"/>
      <c r="C276" s="134">
        <v>42725</v>
      </c>
      <c r="D276" s="135">
        <v>93.88</v>
      </c>
      <c r="O276" s="134"/>
      <c r="P276" s="135"/>
    </row>
    <row r="277" spans="1:16" s="133" customFormat="1" ht="15" customHeight="1">
      <c r="A277" s="1"/>
      <c r="B277" s="1"/>
      <c r="C277" s="134">
        <v>42726</v>
      </c>
      <c r="D277" s="135">
        <v>93.89</v>
      </c>
      <c r="O277" s="134"/>
      <c r="P277" s="135"/>
    </row>
    <row r="278" spans="1:16" s="133" customFormat="1" ht="15" customHeight="1">
      <c r="A278" s="1"/>
      <c r="B278" s="1"/>
      <c r="C278" s="134">
        <v>42727</v>
      </c>
      <c r="D278" s="135">
        <v>93.75</v>
      </c>
      <c r="O278" s="134"/>
      <c r="P278" s="135"/>
    </row>
    <row r="279" spans="1:16" s="133" customFormat="1" ht="15" customHeight="1">
      <c r="A279" s="1"/>
      <c r="B279" s="1"/>
      <c r="C279" s="134">
        <v>42731</v>
      </c>
      <c r="D279" s="135">
        <v>94.15</v>
      </c>
      <c r="O279" s="134"/>
      <c r="P279" s="135"/>
    </row>
    <row r="280" spans="1:16" s="133" customFormat="1" ht="15" customHeight="1">
      <c r="A280" s="1"/>
      <c r="B280" s="1"/>
      <c r="C280" s="134">
        <v>42732</v>
      </c>
      <c r="D280" s="135">
        <v>92.77</v>
      </c>
      <c r="O280" s="134"/>
      <c r="P280" s="135"/>
    </row>
    <row r="281" spans="1:16" s="133" customFormat="1" ht="15" customHeight="1">
      <c r="A281" s="1"/>
      <c r="B281" s="1"/>
      <c r="C281" s="134">
        <v>42733</v>
      </c>
      <c r="D281" s="135">
        <v>92.64</v>
      </c>
      <c r="O281" s="134"/>
      <c r="P281" s="135"/>
    </row>
    <row r="282" spans="1:16" s="133" customFormat="1" ht="15" customHeight="1">
      <c r="A282" s="1"/>
      <c r="B282" s="1"/>
      <c r="C282" s="134">
        <v>42734</v>
      </c>
      <c r="D282" s="135">
        <v>91.81</v>
      </c>
      <c r="O282" s="134"/>
      <c r="P282" s="135"/>
    </row>
    <row r="283" spans="1:16" s="133" customFormat="1" ht="15" customHeight="1">
      <c r="A283" s="1"/>
      <c r="B283" s="1"/>
      <c r="C283" s="134">
        <v>42738</v>
      </c>
      <c r="D283" s="135">
        <v>92.55</v>
      </c>
      <c r="O283" s="134"/>
      <c r="P283" s="135"/>
    </row>
    <row r="284" spans="1:16" s="133" customFormat="1" ht="15" customHeight="1">
      <c r="A284" s="1"/>
      <c r="B284" s="1"/>
      <c r="C284" s="134">
        <v>42739</v>
      </c>
      <c r="D284" s="135">
        <v>92.95</v>
      </c>
      <c r="O284" s="134"/>
      <c r="P284" s="135"/>
    </row>
    <row r="285" spans="1:16" s="133" customFormat="1" ht="15" customHeight="1">
      <c r="A285" s="1"/>
      <c r="B285" s="1"/>
      <c r="C285" s="134">
        <v>42740</v>
      </c>
      <c r="D285" s="135">
        <v>91.84</v>
      </c>
      <c r="O285" s="134"/>
      <c r="P285" s="135"/>
    </row>
    <row r="286" spans="1:16" s="133" customFormat="1" ht="15" customHeight="1">
      <c r="A286" s="1"/>
      <c r="B286" s="1"/>
      <c r="C286" s="134">
        <v>42741</v>
      </c>
      <c r="D286" s="135">
        <v>92.56</v>
      </c>
      <c r="O286" s="134"/>
      <c r="P286" s="135"/>
    </row>
    <row r="287" spans="1:16" s="133" customFormat="1" ht="15" customHeight="1">
      <c r="A287" s="1"/>
      <c r="B287" s="1"/>
      <c r="C287" s="134">
        <v>42744</v>
      </c>
      <c r="D287" s="135">
        <v>91.73</v>
      </c>
      <c r="O287" s="134"/>
      <c r="P287" s="135"/>
    </row>
    <row r="288" spans="1:16" s="133" customFormat="1" ht="15" customHeight="1">
      <c r="A288" s="1"/>
      <c r="B288" s="1"/>
      <c r="C288" s="134">
        <v>42745</v>
      </c>
      <c r="D288" s="135">
        <v>91.79</v>
      </c>
      <c r="O288" s="134"/>
      <c r="P288" s="135"/>
    </row>
    <row r="289" spans="1:16" s="133" customFormat="1" ht="15" customHeight="1">
      <c r="A289" s="1"/>
      <c r="B289" s="1"/>
      <c r="C289" s="134">
        <v>42746</v>
      </c>
      <c r="D289" s="135">
        <v>91.9</v>
      </c>
      <c r="O289" s="134"/>
      <c r="P289" s="135"/>
    </row>
    <row r="290" spans="1:16" s="133" customFormat="1" ht="15" customHeight="1">
      <c r="A290" s="1"/>
      <c r="B290" s="1"/>
      <c r="C290" s="134">
        <v>42747</v>
      </c>
      <c r="D290" s="135">
        <v>91.75</v>
      </c>
      <c r="O290" s="134"/>
      <c r="P290" s="135"/>
    </row>
    <row r="291" spans="1:16" s="133" customFormat="1" ht="15" customHeight="1">
      <c r="A291" s="1"/>
      <c r="B291" s="1"/>
      <c r="C291" s="134">
        <v>42748</v>
      </c>
      <c r="D291" s="135">
        <v>92.3</v>
      </c>
      <c r="O291" s="134"/>
      <c r="P291" s="135"/>
    </row>
    <row r="292" spans="1:16" s="133" customFormat="1" ht="15" customHeight="1">
      <c r="A292" s="1"/>
      <c r="B292" s="1"/>
      <c r="C292" s="134">
        <v>42752</v>
      </c>
      <c r="D292" s="135">
        <v>91.29</v>
      </c>
      <c r="O292" s="134"/>
      <c r="P292" s="135"/>
    </row>
    <row r="293" spans="1:16" s="133" customFormat="1" ht="15" customHeight="1">
      <c r="A293" s="1"/>
      <c r="B293" s="1"/>
      <c r="C293" s="134">
        <v>42753</v>
      </c>
      <c r="D293" s="135">
        <v>92.21</v>
      </c>
      <c r="O293" s="134"/>
      <c r="P293" s="135"/>
    </row>
    <row r="294" spans="1:16" s="133" customFormat="1" ht="15" customHeight="1">
      <c r="A294" s="1"/>
      <c r="B294" s="1"/>
      <c r="C294" s="134">
        <v>42754</v>
      </c>
      <c r="D294" s="135">
        <v>92.59</v>
      </c>
      <c r="O294" s="134"/>
      <c r="P294" s="135"/>
    </row>
    <row r="295" spans="1:16" s="133" customFormat="1" ht="15" customHeight="1">
      <c r="A295" s="1"/>
      <c r="B295" s="1"/>
      <c r="C295" s="134">
        <v>42755</v>
      </c>
      <c r="D295" s="135">
        <v>92.94</v>
      </c>
      <c r="O295" s="134"/>
      <c r="P295" s="135"/>
    </row>
    <row r="296" spans="1:16" s="133" customFormat="1" ht="15" customHeight="1">
      <c r="A296" s="1"/>
      <c r="B296" s="1"/>
      <c r="C296" s="134">
        <v>42758</v>
      </c>
      <c r="D296" s="135">
        <v>92.04</v>
      </c>
      <c r="O296" s="134"/>
      <c r="P296" s="135"/>
    </row>
    <row r="297" spans="1:16" s="133" customFormat="1" ht="15" customHeight="1">
      <c r="A297" s="1"/>
      <c r="B297" s="1"/>
      <c r="C297" s="134">
        <v>42759</v>
      </c>
      <c r="D297" s="135">
        <v>93.4</v>
      </c>
      <c r="O297" s="134"/>
      <c r="P297" s="135"/>
    </row>
    <row r="298" spans="1:16" s="133" customFormat="1" ht="15" customHeight="1">
      <c r="A298" s="1"/>
      <c r="B298" s="1"/>
      <c r="C298" s="134">
        <v>42760</v>
      </c>
      <c r="D298" s="135">
        <v>94.89</v>
      </c>
      <c r="O298" s="134"/>
      <c r="P298" s="135"/>
    </row>
    <row r="299" spans="1:16" s="133" customFormat="1" ht="15" customHeight="1">
      <c r="A299" s="1"/>
      <c r="B299" s="1"/>
      <c r="C299" s="134">
        <v>42761</v>
      </c>
      <c r="D299" s="135">
        <v>94.7</v>
      </c>
      <c r="O299" s="134"/>
      <c r="P299" s="135"/>
    </row>
    <row r="300" spans="1:16" s="133" customFormat="1" ht="15" customHeight="1">
      <c r="A300" s="1"/>
      <c r="B300" s="1"/>
      <c r="C300" s="134">
        <v>42762</v>
      </c>
      <c r="D300" s="135">
        <v>94.12</v>
      </c>
      <c r="O300" s="134"/>
      <c r="P300" s="135"/>
    </row>
    <row r="301" spans="1:16" s="133" customFormat="1" ht="15" customHeight="1">
      <c r="A301" s="1"/>
      <c r="B301" s="1"/>
      <c r="C301" s="134">
        <v>42765</v>
      </c>
      <c r="D301" s="135">
        <v>93.67</v>
      </c>
      <c r="O301" s="134"/>
      <c r="P301" s="135"/>
    </row>
    <row r="302" spans="1:16" s="133" customFormat="1" ht="15" customHeight="1">
      <c r="A302" s="1"/>
      <c r="B302" s="1"/>
      <c r="C302" s="134">
        <v>42766</v>
      </c>
      <c r="D302" s="135">
        <v>93.24</v>
      </c>
      <c r="O302" s="134"/>
      <c r="P302" s="135"/>
    </row>
    <row r="303" spans="1:16" s="133" customFormat="1" ht="15" customHeight="1">
      <c r="A303" s="1"/>
      <c r="B303" s="1"/>
      <c r="C303" s="134">
        <v>42767</v>
      </c>
      <c r="D303" s="135">
        <v>93.49</v>
      </c>
      <c r="O303" s="134"/>
      <c r="P303" s="135"/>
    </row>
    <row r="304" spans="1:16" s="133" customFormat="1" ht="15" customHeight="1">
      <c r="A304" s="1"/>
      <c r="B304" s="1"/>
      <c r="C304" s="134">
        <v>42768</v>
      </c>
      <c r="D304" s="135">
        <v>93.45</v>
      </c>
      <c r="O304" s="134"/>
      <c r="P304" s="135"/>
    </row>
    <row r="305" spans="1:16" s="133" customFormat="1" ht="15" customHeight="1">
      <c r="A305" s="1"/>
      <c r="B305" s="1"/>
      <c r="C305" s="134">
        <v>42769</v>
      </c>
      <c r="D305" s="135">
        <v>94.42</v>
      </c>
      <c r="O305" s="134"/>
      <c r="P305" s="135"/>
    </row>
    <row r="306" spans="1:16" s="133" customFormat="1" ht="15" customHeight="1">
      <c r="A306" s="1"/>
      <c r="B306" s="1"/>
      <c r="C306" s="134">
        <v>42772</v>
      </c>
      <c r="D306" s="135">
        <v>93.3</v>
      </c>
      <c r="O306" s="134"/>
      <c r="P306" s="135"/>
    </row>
    <row r="307" spans="1:16" s="133" customFormat="1" ht="15" customHeight="1">
      <c r="A307" s="1"/>
      <c r="B307" s="1"/>
      <c r="C307" s="134">
        <v>42773</v>
      </c>
      <c r="D307" s="135">
        <v>92.97</v>
      </c>
      <c r="O307" s="134"/>
      <c r="P307" s="135"/>
    </row>
    <row r="308" spans="1:16" s="133" customFormat="1" ht="15" customHeight="1">
      <c r="A308" s="1"/>
      <c r="B308" s="1"/>
      <c r="C308" s="134">
        <v>42774</v>
      </c>
      <c r="D308" s="135">
        <v>92.38</v>
      </c>
      <c r="O308" s="134"/>
      <c r="P308" s="135"/>
    </row>
    <row r="309" spans="1:16" s="133" customFormat="1" ht="15" customHeight="1">
      <c r="A309" s="1"/>
      <c r="B309" s="1"/>
      <c r="C309" s="134">
        <v>42775</v>
      </c>
      <c r="D309" s="135">
        <v>93.61</v>
      </c>
      <c r="O309" s="134"/>
      <c r="P309" s="135"/>
    </row>
    <row r="310" spans="1:16" s="133" customFormat="1" ht="15" customHeight="1">
      <c r="A310" s="1"/>
      <c r="B310" s="1"/>
      <c r="C310" s="134">
        <v>42776</v>
      </c>
      <c r="D310" s="135">
        <v>94.12</v>
      </c>
      <c r="O310" s="134"/>
      <c r="P310" s="135"/>
    </row>
    <row r="311" spans="1:16" s="133" customFormat="1" ht="15" customHeight="1">
      <c r="A311" s="1"/>
      <c r="B311" s="1"/>
      <c r="C311" s="134">
        <v>42779</v>
      </c>
      <c r="D311" s="135">
        <v>95.01</v>
      </c>
      <c r="O311" s="134"/>
      <c r="P311" s="135"/>
    </row>
    <row r="312" spans="1:16" s="133" customFormat="1" ht="15" customHeight="1">
      <c r="A312" s="1"/>
      <c r="B312" s="1"/>
      <c r="C312" s="134">
        <v>42780</v>
      </c>
      <c r="D312" s="135">
        <v>95.92</v>
      </c>
      <c r="O312" s="134"/>
      <c r="P312" s="135"/>
    </row>
    <row r="313" spans="1:16" s="133" customFormat="1" ht="15" customHeight="1">
      <c r="A313" s="1"/>
      <c r="B313" s="1"/>
      <c r="C313" s="134">
        <v>42781</v>
      </c>
      <c r="D313" s="135">
        <v>96.91</v>
      </c>
      <c r="O313" s="134"/>
      <c r="P313" s="135"/>
    </row>
    <row r="314" spans="1:16" s="133" customFormat="1" ht="15" customHeight="1">
      <c r="A314" s="1"/>
      <c r="B314" s="1"/>
      <c r="C314" s="134">
        <v>42782</v>
      </c>
      <c r="D314" s="135">
        <v>96.15</v>
      </c>
      <c r="O314" s="134"/>
      <c r="P314" s="135"/>
    </row>
    <row r="315" spans="1:16" s="133" customFormat="1" ht="15" customHeight="1">
      <c r="A315" s="1"/>
      <c r="B315" s="1"/>
      <c r="C315" s="134">
        <v>42783</v>
      </c>
      <c r="D315" s="135">
        <v>95.96</v>
      </c>
      <c r="O315" s="134"/>
      <c r="P315" s="135"/>
    </row>
    <row r="316" spans="1:16" s="133" customFormat="1" ht="15" customHeight="1">
      <c r="A316" s="1"/>
      <c r="B316" s="1"/>
      <c r="C316" s="134">
        <v>42787</v>
      </c>
      <c r="D316" s="135">
        <v>96.42</v>
      </c>
      <c r="O316" s="134"/>
      <c r="P316" s="135"/>
    </row>
    <row r="317" spans="1:16" s="133" customFormat="1" ht="15" customHeight="1">
      <c r="A317" s="1"/>
      <c r="B317" s="1"/>
      <c r="C317" s="134">
        <v>42788</v>
      </c>
      <c r="D317" s="135">
        <v>96.42</v>
      </c>
      <c r="O317" s="134"/>
      <c r="P317" s="135"/>
    </row>
    <row r="318" spans="1:16" s="133" customFormat="1" ht="15" customHeight="1">
      <c r="A318" s="1"/>
      <c r="B318" s="1"/>
      <c r="C318" s="134">
        <v>42789</v>
      </c>
      <c r="D318" s="135">
        <v>96.22</v>
      </c>
      <c r="O318" s="134"/>
      <c r="P318" s="135"/>
    </row>
    <row r="319" spans="1:16" s="133" customFormat="1" ht="15" customHeight="1">
      <c r="A319" s="1"/>
      <c r="B319" s="1"/>
      <c r="C319" s="134">
        <v>42790</v>
      </c>
      <c r="D319" s="135">
        <v>95.42</v>
      </c>
      <c r="O319" s="134"/>
      <c r="P319" s="135"/>
    </row>
    <row r="320" spans="1:16" s="133" customFormat="1" ht="15" customHeight="1">
      <c r="A320" s="1"/>
      <c r="B320" s="1"/>
      <c r="C320" s="134">
        <v>42793</v>
      </c>
      <c r="D320" s="135">
        <v>95.93</v>
      </c>
      <c r="O320" s="134"/>
      <c r="P320" s="135"/>
    </row>
    <row r="321" spans="1:16" s="133" customFormat="1" ht="15" customHeight="1">
      <c r="A321" s="1"/>
      <c r="B321" s="1"/>
      <c r="C321" s="134">
        <v>42794</v>
      </c>
      <c r="D321" s="135">
        <v>95.53</v>
      </c>
      <c r="O321" s="134"/>
      <c r="P321" s="135"/>
    </row>
    <row r="322" spans="1:16" s="133" customFormat="1" ht="15" customHeight="1">
      <c r="A322" s="1"/>
      <c r="B322" s="1"/>
      <c r="C322" s="134">
        <v>42795</v>
      </c>
      <c r="D322" s="135">
        <v>98.17</v>
      </c>
      <c r="O322" s="134"/>
      <c r="P322" s="135"/>
    </row>
    <row r="323" spans="1:16" s="133" customFormat="1" ht="15" customHeight="1">
      <c r="A323" s="1"/>
      <c r="B323" s="1"/>
      <c r="C323" s="134">
        <v>42796</v>
      </c>
      <c r="D323" s="135">
        <v>97.92</v>
      </c>
      <c r="O323" s="134"/>
      <c r="P323" s="135"/>
    </row>
    <row r="324" spans="1:16" s="133" customFormat="1" ht="15" customHeight="1">
      <c r="A324" s="1"/>
      <c r="B324" s="1"/>
      <c r="C324" s="134">
        <v>42797</v>
      </c>
      <c r="D324" s="135">
        <v>97.79</v>
      </c>
      <c r="O324" s="134"/>
      <c r="P324" s="135"/>
    </row>
    <row r="325" spans="1:16" s="133" customFormat="1" ht="15" customHeight="1">
      <c r="A325" s="1"/>
      <c r="B325" s="1"/>
      <c r="C325" s="134">
        <v>42800</v>
      </c>
      <c r="D325" s="135">
        <v>97.68</v>
      </c>
      <c r="O325" s="134"/>
      <c r="P325" s="135"/>
    </row>
    <row r="326" spans="1:16" s="133" customFormat="1" ht="15" customHeight="1">
      <c r="A326" s="1"/>
      <c r="B326" s="1"/>
      <c r="C326" s="134">
        <v>42801</v>
      </c>
      <c r="D326" s="135">
        <v>97.46</v>
      </c>
      <c r="O326" s="134"/>
      <c r="P326" s="135"/>
    </row>
    <row r="327" spans="1:16" s="133" customFormat="1" ht="15" customHeight="1">
      <c r="A327" s="1"/>
      <c r="B327" s="1"/>
      <c r="C327" s="134">
        <v>42802</v>
      </c>
      <c r="D327" s="135">
        <v>97.98</v>
      </c>
      <c r="O327" s="134"/>
      <c r="P327" s="135"/>
    </row>
    <row r="328" spans="1:16" s="133" customFormat="1" ht="15" customHeight="1">
      <c r="A328" s="1"/>
      <c r="B328" s="1"/>
      <c r="C328" s="134">
        <v>42803</v>
      </c>
      <c r="D328" s="135">
        <v>98.8</v>
      </c>
      <c r="O328" s="134"/>
      <c r="P328" s="135"/>
    </row>
    <row r="329" spans="1:16" s="133" customFormat="1" ht="15" customHeight="1">
      <c r="A329" s="1"/>
      <c r="B329" s="1"/>
      <c r="C329" s="134">
        <v>42804</v>
      </c>
      <c r="D329" s="135">
        <v>99.01</v>
      </c>
      <c r="O329" s="134"/>
      <c r="P329" s="135"/>
    </row>
    <row r="330" spans="1:16" s="133" customFormat="1" ht="15" customHeight="1">
      <c r="A330" s="1"/>
      <c r="B330" s="1"/>
      <c r="C330" s="134">
        <v>42807</v>
      </c>
      <c r="D330" s="135">
        <v>99.46</v>
      </c>
      <c r="O330" s="134"/>
      <c r="P330" s="135"/>
    </row>
    <row r="331" spans="1:16" s="133" customFormat="1" ht="15" customHeight="1">
      <c r="A331" s="1"/>
      <c r="B331" s="1"/>
      <c r="C331" s="134">
        <v>42808</v>
      </c>
      <c r="D331" s="135">
        <v>98.78</v>
      </c>
      <c r="O331" s="134"/>
      <c r="P331" s="135"/>
    </row>
    <row r="332" spans="1:16" s="133" customFormat="1" ht="15" customHeight="1">
      <c r="A332" s="1"/>
      <c r="B332" s="1"/>
      <c r="C332" s="134">
        <v>42809</v>
      </c>
      <c r="D332" s="135">
        <v>98.55</v>
      </c>
      <c r="O332" s="134"/>
      <c r="P332" s="135"/>
    </row>
    <row r="333" spans="1:16" s="133" customFormat="1" ht="15" customHeight="1">
      <c r="A333" s="1"/>
      <c r="B333" s="1"/>
      <c r="C333" s="134">
        <v>42810</v>
      </c>
      <c r="D333" s="135">
        <v>98.76</v>
      </c>
      <c r="O333" s="134"/>
      <c r="P333" s="135"/>
    </row>
    <row r="334" spans="1:16" s="133" customFormat="1" ht="15" customHeight="1">
      <c r="A334" s="1"/>
      <c r="B334" s="1"/>
      <c r="C334" s="134">
        <v>42811</v>
      </c>
      <c r="D334" s="135">
        <v>98.22</v>
      </c>
      <c r="O334" s="134"/>
      <c r="P334" s="135"/>
    </row>
    <row r="335" spans="1:16" s="133" customFormat="1" ht="15" customHeight="1">
      <c r="A335" s="1"/>
      <c r="B335" s="1"/>
      <c r="C335" s="134">
        <v>42814</v>
      </c>
      <c r="D335" s="135">
        <v>97.65</v>
      </c>
      <c r="O335" s="134"/>
      <c r="P335" s="135"/>
    </row>
    <row r="336" spans="1:16" s="133" customFormat="1" ht="15" customHeight="1">
      <c r="A336" s="1"/>
      <c r="B336" s="1"/>
      <c r="C336" s="134">
        <v>42815</v>
      </c>
      <c r="D336" s="135">
        <v>95.91</v>
      </c>
      <c r="O336" s="134"/>
      <c r="P336" s="135"/>
    </row>
    <row r="337" spans="1:16" s="133" customFormat="1" ht="15" customHeight="1">
      <c r="A337" s="1"/>
      <c r="B337" s="1"/>
      <c r="C337" s="134">
        <v>42816</v>
      </c>
      <c r="D337" s="135">
        <v>95.36</v>
      </c>
      <c r="O337" s="134"/>
      <c r="P337" s="135"/>
    </row>
    <row r="338" spans="1:16" s="133" customFormat="1" ht="15" customHeight="1">
      <c r="A338" s="1"/>
      <c r="B338" s="1"/>
      <c r="C338" s="134">
        <v>42817</v>
      </c>
      <c r="D338" s="135">
        <v>95.42</v>
      </c>
      <c r="O338" s="134"/>
      <c r="P338" s="135"/>
    </row>
    <row r="339" spans="1:16" s="133" customFormat="1" ht="15" customHeight="1">
      <c r="A339" s="1"/>
      <c r="B339" s="1"/>
      <c r="C339" s="134">
        <v>42818</v>
      </c>
      <c r="D339" s="135">
        <v>95.26</v>
      </c>
      <c r="O339" s="134"/>
      <c r="P339" s="135"/>
    </row>
    <row r="340" spans="1:16" s="133" customFormat="1" ht="15" customHeight="1">
      <c r="A340" s="1"/>
      <c r="B340" s="1"/>
      <c r="C340" s="134">
        <v>42821</v>
      </c>
      <c r="D340" s="135">
        <v>94.77</v>
      </c>
      <c r="O340" s="134"/>
      <c r="P340" s="135"/>
    </row>
    <row r="341" spans="1:16" s="133" customFormat="1" ht="15" customHeight="1">
      <c r="A341" s="1"/>
      <c r="B341" s="1"/>
      <c r="C341" s="134">
        <v>42822</v>
      </c>
      <c r="D341" s="135">
        <v>95.73</v>
      </c>
      <c r="O341" s="134"/>
      <c r="P341" s="135"/>
    </row>
    <row r="342" spans="1:16" s="133" customFormat="1" ht="15" customHeight="1">
      <c r="A342" s="1"/>
      <c r="B342" s="1"/>
      <c r="C342" s="134">
        <v>42823</v>
      </c>
      <c r="D342" s="135">
        <v>95.68</v>
      </c>
      <c r="O342" s="134"/>
      <c r="P342" s="135"/>
    </row>
    <row r="343" spans="1:16" s="133" customFormat="1" ht="15" customHeight="1">
      <c r="A343" s="1"/>
      <c r="B343" s="1"/>
      <c r="C343" s="134">
        <v>42824</v>
      </c>
      <c r="D343" s="135">
        <v>96.43</v>
      </c>
      <c r="O343" s="134"/>
      <c r="P343" s="135"/>
    </row>
    <row r="344" spans="1:16" s="133" customFormat="1" ht="15" customHeight="1">
      <c r="A344" s="1"/>
      <c r="B344" s="1"/>
      <c r="C344" s="134">
        <v>42825</v>
      </c>
      <c r="D344" s="135">
        <v>96.01</v>
      </c>
      <c r="O344" s="134"/>
      <c r="P344" s="135"/>
    </row>
    <row r="345" spans="1:16" s="133" customFormat="1" ht="15" customHeight="1">
      <c r="A345" s="1"/>
      <c r="B345" s="1"/>
      <c r="C345" s="134">
        <v>42828</v>
      </c>
      <c r="D345" s="135">
        <v>95.31</v>
      </c>
      <c r="O345" s="134"/>
      <c r="P345" s="135"/>
    </row>
    <row r="346" spans="1:16" s="133" customFormat="1" ht="15" customHeight="1">
      <c r="A346" s="1"/>
      <c r="B346" s="1"/>
      <c r="C346" s="134">
        <v>42829</v>
      </c>
      <c r="D346" s="135">
        <v>95.39</v>
      </c>
      <c r="O346" s="134"/>
      <c r="P346" s="135"/>
    </row>
    <row r="347" spans="1:16" s="133" customFormat="1" ht="15" customHeight="1">
      <c r="A347" s="1"/>
      <c r="B347" s="1"/>
      <c r="C347" s="134">
        <v>42830</v>
      </c>
      <c r="D347" s="135">
        <v>95.09</v>
      </c>
      <c r="O347" s="134"/>
      <c r="P347" s="135"/>
    </row>
    <row r="348" spans="1:16" s="133" customFormat="1" ht="15" customHeight="1">
      <c r="A348" s="1"/>
      <c r="B348" s="1"/>
      <c r="C348" s="134">
        <v>42831</v>
      </c>
      <c r="D348" s="135">
        <v>95.24</v>
      </c>
      <c r="O348" s="134"/>
      <c r="P348" s="135"/>
    </row>
    <row r="349" spans="1:16" s="133" customFormat="1" ht="15" customHeight="1">
      <c r="A349" s="1"/>
      <c r="B349" s="1"/>
      <c r="C349" s="134">
        <v>42832</v>
      </c>
      <c r="D349" s="135">
        <v>95.32</v>
      </c>
      <c r="O349" s="134"/>
      <c r="P349" s="135"/>
    </row>
    <row r="350" spans="1:16" s="133" customFormat="1" ht="15" customHeight="1">
      <c r="A350" s="1"/>
      <c r="B350" s="1"/>
      <c r="C350" s="134">
        <v>42835</v>
      </c>
      <c r="D350" s="135">
        <v>95.16</v>
      </c>
      <c r="O350" s="134"/>
      <c r="P350" s="135"/>
    </row>
    <row r="351" spans="1:16" s="133" customFormat="1" ht="15" customHeight="1">
      <c r="A351" s="1"/>
      <c r="B351" s="1"/>
      <c r="C351" s="134">
        <v>42836</v>
      </c>
      <c r="D351" s="135">
        <v>94.36</v>
      </c>
      <c r="O351" s="134"/>
      <c r="P351" s="135"/>
    </row>
    <row r="352" spans="1:16" s="133" customFormat="1" ht="15" customHeight="1">
      <c r="A352" s="1"/>
      <c r="B352" s="1"/>
      <c r="C352" s="134">
        <v>42837</v>
      </c>
      <c r="D352" s="135">
        <v>93.93</v>
      </c>
      <c r="O352" s="134"/>
      <c r="P352" s="135"/>
    </row>
    <row r="353" spans="1:16" s="133" customFormat="1" ht="15" customHeight="1">
      <c r="A353" s="1"/>
      <c r="B353" s="1"/>
      <c r="C353" s="134">
        <v>42838</v>
      </c>
      <c r="D353" s="135">
        <v>92.78</v>
      </c>
      <c r="O353" s="134"/>
      <c r="P353" s="135"/>
    </row>
    <row r="354" spans="1:16" s="133" customFormat="1" ht="15" customHeight="1">
      <c r="A354" s="1"/>
      <c r="B354" s="1"/>
      <c r="C354" s="134">
        <v>42842</v>
      </c>
      <c r="D354" s="135">
        <v>93.81</v>
      </c>
      <c r="O354" s="134"/>
      <c r="P354" s="135"/>
    </row>
    <row r="355" spans="1:16" s="133" customFormat="1" ht="15" customHeight="1">
      <c r="A355" s="1"/>
      <c r="B355" s="1"/>
      <c r="C355" s="134">
        <v>42843</v>
      </c>
      <c r="D355" s="135">
        <v>92.47</v>
      </c>
      <c r="O355" s="134"/>
      <c r="P355" s="135"/>
    </row>
    <row r="356" spans="1:16" s="133" customFormat="1" ht="15" customHeight="1">
      <c r="A356" s="1"/>
      <c r="B356" s="1"/>
      <c r="C356" s="134">
        <v>42844</v>
      </c>
      <c r="D356" s="135">
        <v>92.58</v>
      </c>
      <c r="O356" s="134"/>
      <c r="P356" s="135"/>
    </row>
    <row r="357" spans="1:16" s="133" customFormat="1" ht="15" customHeight="1">
      <c r="A357" s="1"/>
      <c r="B357" s="1"/>
      <c r="C357" s="134">
        <v>42845</v>
      </c>
      <c r="D357" s="135">
        <v>93.66</v>
      </c>
      <c r="O357" s="134"/>
      <c r="P357" s="135"/>
    </row>
    <row r="358" spans="1:16" s="133" customFormat="1" ht="15" customHeight="1">
      <c r="A358" s="1"/>
      <c r="B358" s="1"/>
      <c r="C358" s="134">
        <v>42846</v>
      </c>
      <c r="D358" s="135">
        <v>93.48</v>
      </c>
      <c r="O358" s="134"/>
      <c r="P358" s="135"/>
    </row>
    <row r="359" spans="1:16" s="133" customFormat="1" ht="15" customHeight="1">
      <c r="A359" s="1"/>
      <c r="B359" s="1"/>
      <c r="C359" s="134">
        <v>42849</v>
      </c>
      <c r="D359" s="135">
        <v>94.82</v>
      </c>
      <c r="O359" s="134"/>
      <c r="P359" s="135"/>
    </row>
    <row r="360" spans="1:16" s="133" customFormat="1" ht="15" customHeight="1">
      <c r="A360" s="1"/>
      <c r="B360" s="1"/>
      <c r="C360" s="134">
        <v>42850</v>
      </c>
      <c r="D360" s="135">
        <v>96.06</v>
      </c>
      <c r="O360" s="134"/>
      <c r="P360" s="135"/>
    </row>
    <row r="361" spans="1:16" s="133" customFormat="1" ht="15" customHeight="1">
      <c r="A361" s="1"/>
      <c r="B361" s="1"/>
      <c r="C361" s="134">
        <v>42851</v>
      </c>
      <c r="D361" s="135">
        <v>95.79</v>
      </c>
      <c r="O361" s="134"/>
      <c r="P361" s="135"/>
    </row>
    <row r="362" spans="1:16" s="133" customFormat="1" ht="15" customHeight="1">
      <c r="A362" s="1"/>
      <c r="B362" s="1"/>
      <c r="C362" s="134">
        <v>42852</v>
      </c>
      <c r="D362" s="135">
        <v>95.91</v>
      </c>
      <c r="O362" s="134"/>
      <c r="P362" s="135"/>
    </row>
    <row r="363" spans="1:16" s="133" customFormat="1" ht="15" customHeight="1">
      <c r="A363" s="1"/>
      <c r="B363" s="1"/>
      <c r="C363" s="134">
        <v>42853</v>
      </c>
      <c r="D363" s="135">
        <v>95.53</v>
      </c>
      <c r="O363" s="134"/>
      <c r="P363" s="135"/>
    </row>
    <row r="364" spans="1:16" s="133" customFormat="1" ht="15" customHeight="1">
      <c r="A364" s="1"/>
      <c r="B364" s="1"/>
      <c r="C364" s="134">
        <v>42856</v>
      </c>
      <c r="D364" s="135">
        <v>96.4</v>
      </c>
      <c r="O364" s="134"/>
      <c r="P364" s="135"/>
    </row>
    <row r="365" spans="1:16" s="133" customFormat="1" ht="15" customHeight="1">
      <c r="A365" s="1"/>
      <c r="B365" s="1"/>
      <c r="C365" s="134">
        <v>42857</v>
      </c>
      <c r="D365" s="135">
        <v>95.88</v>
      </c>
      <c r="O365" s="134"/>
      <c r="P365" s="135"/>
    </row>
    <row r="366" spans="1:16" s="133" customFormat="1" ht="15" customHeight="1">
      <c r="A366" s="1"/>
      <c r="B366" s="1"/>
      <c r="C366" s="134">
        <v>42858</v>
      </c>
      <c r="D366" s="135">
        <v>95.74</v>
      </c>
      <c r="O366" s="134"/>
      <c r="P366" s="135"/>
    </row>
    <row r="367" spans="1:16" s="133" customFormat="1" ht="15" customHeight="1">
      <c r="A367" s="1"/>
      <c r="B367" s="1"/>
      <c r="C367" s="134">
        <v>42859</v>
      </c>
      <c r="D367" s="135">
        <v>96.52</v>
      </c>
      <c r="O367" s="134"/>
      <c r="P367" s="135"/>
    </row>
    <row r="368" spans="1:16" s="133" customFormat="1" ht="15" customHeight="1">
      <c r="A368" s="1"/>
      <c r="B368" s="1"/>
      <c r="C368" s="134">
        <v>42860</v>
      </c>
      <c r="D368" s="135">
        <v>96.96</v>
      </c>
      <c r="O368" s="134"/>
      <c r="P368" s="135"/>
    </row>
    <row r="369" spans="1:16" s="133" customFormat="1" ht="15" customHeight="1">
      <c r="A369" s="1"/>
      <c r="B369" s="1"/>
      <c r="C369" s="134">
        <v>42863</v>
      </c>
      <c r="D369" s="135">
        <v>97.17</v>
      </c>
      <c r="O369" s="134"/>
      <c r="P369" s="135"/>
    </row>
    <row r="370" spans="1:16" s="133" customFormat="1" ht="15" customHeight="1">
      <c r="A370" s="1"/>
      <c r="B370" s="1"/>
      <c r="C370" s="134">
        <v>42864</v>
      </c>
      <c r="D370" s="135">
        <v>97.47</v>
      </c>
      <c r="O370" s="134"/>
      <c r="P370" s="135"/>
    </row>
    <row r="371" spans="1:16" s="133" customFormat="1" ht="15" customHeight="1">
      <c r="A371" s="1"/>
      <c r="B371" s="1"/>
      <c r="C371" s="134">
        <v>42865</v>
      </c>
      <c r="D371" s="135">
        <v>97.69</v>
      </c>
      <c r="O371" s="134"/>
      <c r="P371" s="135"/>
    </row>
    <row r="372" spans="1:16" s="133" customFormat="1" ht="15" customHeight="1">
      <c r="A372" s="1"/>
      <c r="B372" s="1"/>
      <c r="C372" s="134">
        <v>42866</v>
      </c>
      <c r="D372" s="135">
        <v>97.46</v>
      </c>
      <c r="O372" s="134"/>
      <c r="P372" s="135"/>
    </row>
    <row r="373" spans="1:16" s="133" customFormat="1" ht="15" customHeight="1">
      <c r="A373" s="1"/>
      <c r="B373" s="1"/>
      <c r="C373" s="134">
        <v>42867</v>
      </c>
      <c r="D373" s="135">
        <v>96.84</v>
      </c>
      <c r="O373" s="134"/>
      <c r="P373" s="135"/>
    </row>
    <row r="374" spans="1:16" s="133" customFormat="1" ht="15" customHeight="1">
      <c r="A374" s="1"/>
      <c r="B374" s="1"/>
      <c r="C374" s="134">
        <v>42870</v>
      </c>
      <c r="D374" s="135">
        <v>97.34</v>
      </c>
      <c r="O374" s="134"/>
      <c r="P374" s="135"/>
    </row>
    <row r="375" spans="1:16" s="133" customFormat="1" ht="15" customHeight="1">
      <c r="A375" s="1"/>
      <c r="B375" s="1"/>
      <c r="C375" s="134">
        <v>42871</v>
      </c>
      <c r="D375" s="135">
        <v>97.09</v>
      </c>
      <c r="O375" s="134"/>
      <c r="P375" s="135"/>
    </row>
    <row r="376" spans="1:16" s="133" customFormat="1" ht="15" customHeight="1">
      <c r="A376" s="1"/>
      <c r="B376" s="1"/>
      <c r="C376" s="134">
        <v>42872</v>
      </c>
      <c r="D376" s="135">
        <v>94.09</v>
      </c>
      <c r="O376" s="134"/>
      <c r="P376" s="135"/>
    </row>
    <row r="377" spans="1:16" s="133" customFormat="1" ht="15" customHeight="1">
      <c r="A377" s="1"/>
      <c r="B377" s="1"/>
      <c r="C377" s="134">
        <v>42873</v>
      </c>
      <c r="D377" s="135">
        <v>94.32</v>
      </c>
      <c r="O377" s="134"/>
      <c r="P377" s="135"/>
    </row>
    <row r="378" spans="1:16" s="133" customFormat="1" ht="15" customHeight="1">
      <c r="A378" s="1"/>
      <c r="B378" s="1"/>
      <c r="C378" s="134">
        <v>42874</v>
      </c>
      <c r="D378" s="135">
        <v>95.01</v>
      </c>
      <c r="O378" s="134"/>
      <c r="P378" s="135"/>
    </row>
    <row r="379" spans="1:16" s="133" customFormat="1" ht="15" customHeight="1">
      <c r="A379" s="1"/>
      <c r="B379" s="1"/>
      <c r="C379" s="134">
        <v>42877</v>
      </c>
      <c r="D379" s="135">
        <v>95.51</v>
      </c>
      <c r="O379" s="134"/>
      <c r="P379" s="135"/>
    </row>
    <row r="380" spans="1:16" s="133" customFormat="1" ht="15" customHeight="1">
      <c r="A380" s="1"/>
      <c r="B380" s="1"/>
      <c r="C380" s="134">
        <v>42878</v>
      </c>
      <c r="D380" s="135">
        <v>96.03</v>
      </c>
      <c r="O380" s="134"/>
      <c r="P380" s="135"/>
    </row>
    <row r="381" spans="1:16" s="133" customFormat="1" ht="15" customHeight="1">
      <c r="A381" s="1"/>
      <c r="B381" s="1"/>
      <c r="C381" s="134">
        <v>42879</v>
      </c>
      <c r="D381" s="135">
        <v>96.04</v>
      </c>
      <c r="O381" s="134"/>
      <c r="P381" s="135"/>
    </row>
    <row r="382" spans="1:16" s="133" customFormat="1" ht="15" customHeight="1">
      <c r="A382" s="1"/>
      <c r="B382" s="1"/>
      <c r="C382" s="134">
        <v>42880</v>
      </c>
      <c r="D382" s="135">
        <v>96.3</v>
      </c>
      <c r="O382" s="134"/>
      <c r="P382" s="135"/>
    </row>
    <row r="383" spans="1:16" s="133" customFormat="1" ht="15" customHeight="1">
      <c r="A383" s="1"/>
      <c r="B383" s="1"/>
      <c r="C383" s="134">
        <v>42881</v>
      </c>
      <c r="D383" s="135">
        <v>96.28</v>
      </c>
      <c r="O383" s="134"/>
      <c r="P383" s="135"/>
    </row>
    <row r="384" spans="1:16" s="133" customFormat="1" ht="15" customHeight="1">
      <c r="A384" s="1"/>
      <c r="B384" s="1"/>
      <c r="C384" s="134">
        <v>42885</v>
      </c>
      <c r="D384" s="135">
        <v>95.73</v>
      </c>
      <c r="O384" s="134"/>
      <c r="P384" s="135"/>
    </row>
    <row r="385" spans="1:16" s="133" customFormat="1" ht="15" customHeight="1">
      <c r="A385" s="1"/>
      <c r="B385" s="1"/>
      <c r="C385" s="134">
        <v>42886</v>
      </c>
      <c r="D385" s="135">
        <v>95.43</v>
      </c>
      <c r="O385" s="134"/>
      <c r="P385" s="135"/>
    </row>
    <row r="386" spans="1:16" s="133" customFormat="1" ht="15" customHeight="1">
      <c r="A386" s="1"/>
      <c r="B386" s="1"/>
      <c r="C386" s="134">
        <v>42887</v>
      </c>
      <c r="D386" s="135">
        <v>96.34</v>
      </c>
      <c r="O386" s="134"/>
      <c r="P386" s="135"/>
    </row>
    <row r="387" spans="1:16" s="133" customFormat="1" ht="15" customHeight="1">
      <c r="A387" s="1"/>
      <c r="B387" s="1"/>
      <c r="C387" s="134">
        <v>42888</v>
      </c>
      <c r="D387" s="135">
        <v>95.85</v>
      </c>
      <c r="O387" s="134"/>
      <c r="P387" s="135"/>
    </row>
    <row r="388" spans="1:16" s="133" customFormat="1" ht="15" customHeight="1">
      <c r="A388" s="1"/>
      <c r="B388" s="1"/>
      <c r="C388" s="134">
        <v>42891</v>
      </c>
      <c r="D388" s="135">
        <v>96.04</v>
      </c>
      <c r="O388" s="134"/>
      <c r="P388" s="135"/>
    </row>
    <row r="389" spans="1:16" s="133" customFormat="1" ht="15" customHeight="1">
      <c r="A389" s="1"/>
      <c r="B389" s="1"/>
      <c r="C389" s="134">
        <v>42892</v>
      </c>
      <c r="D389" s="135">
        <v>95.5</v>
      </c>
      <c r="O389" s="134"/>
      <c r="P389" s="135"/>
    </row>
    <row r="390" spans="1:16" s="133" customFormat="1" ht="15" customHeight="1">
      <c r="A390" s="1"/>
      <c r="B390" s="1"/>
      <c r="C390" s="134">
        <v>42893</v>
      </c>
      <c r="D390" s="135">
        <v>95.84</v>
      </c>
      <c r="O390" s="134"/>
      <c r="P390" s="135"/>
    </row>
    <row r="391" spans="1:16" s="133" customFormat="1" ht="15" customHeight="1">
      <c r="A391" s="1"/>
      <c r="B391" s="1"/>
      <c r="C391" s="134">
        <v>42894</v>
      </c>
      <c r="D391" s="135">
        <v>96.04</v>
      </c>
      <c r="O391" s="134"/>
      <c r="P391" s="135"/>
    </row>
    <row r="392" spans="1:16" s="133" customFormat="1" ht="15" customHeight="1">
      <c r="A392" s="1"/>
      <c r="B392" s="1"/>
      <c r="C392" s="134">
        <v>42895</v>
      </c>
      <c r="D392" s="135">
        <v>95.97</v>
      </c>
      <c r="O392" s="134"/>
      <c r="P392" s="135"/>
    </row>
    <row r="393" spans="1:16" s="133" customFormat="1" ht="15" customHeight="1">
      <c r="A393" s="1"/>
      <c r="B393" s="1"/>
      <c r="C393" s="134">
        <v>42898</v>
      </c>
      <c r="D393" s="135">
        <v>96.06</v>
      </c>
      <c r="O393" s="134"/>
      <c r="P393" s="135"/>
    </row>
    <row r="394" spans="1:16" s="133" customFormat="1" ht="15" customHeight="1">
      <c r="A394" s="1"/>
      <c r="B394" s="1"/>
      <c r="C394" s="134">
        <v>42899</v>
      </c>
      <c r="D394" s="135">
        <v>96.48</v>
      </c>
      <c r="O394" s="134"/>
      <c r="P394" s="135"/>
    </row>
    <row r="395" spans="1:16" s="133" customFormat="1" ht="15" customHeight="1">
      <c r="A395" s="1"/>
      <c r="B395" s="1"/>
      <c r="C395" s="134">
        <v>42900</v>
      </c>
      <c r="D395" s="135">
        <v>95.37</v>
      </c>
      <c r="O395" s="134"/>
      <c r="P395" s="135"/>
    </row>
    <row r="396" spans="1:16" s="133" customFormat="1" ht="15" customHeight="1">
      <c r="A396" s="1"/>
      <c r="B396" s="1"/>
      <c r="C396" s="134">
        <v>42901</v>
      </c>
      <c r="D396" s="135">
        <v>95.35</v>
      </c>
      <c r="O396" s="134"/>
      <c r="P396" s="135"/>
    </row>
    <row r="397" spans="1:16" s="133" customFormat="1" ht="15" customHeight="1">
      <c r="A397" s="1"/>
      <c r="B397" s="1"/>
      <c r="C397" s="134">
        <v>42902</v>
      </c>
      <c r="D397" s="135">
        <v>95.21</v>
      </c>
      <c r="O397" s="134"/>
      <c r="P397" s="135"/>
    </row>
    <row r="398" spans="1:16" s="133" customFormat="1" ht="15" customHeight="1">
      <c r="A398" s="1"/>
      <c r="B398" s="1"/>
      <c r="C398" s="134">
        <v>42905</v>
      </c>
      <c r="D398" s="135">
        <v>95.98</v>
      </c>
      <c r="O398" s="134"/>
      <c r="P398" s="135"/>
    </row>
    <row r="399" spans="1:16" s="133" customFormat="1" ht="15" customHeight="1">
      <c r="A399" s="1"/>
      <c r="B399" s="1"/>
      <c r="C399" s="134">
        <v>42906</v>
      </c>
      <c r="D399" s="135">
        <v>94.99</v>
      </c>
      <c r="O399" s="134"/>
      <c r="P399" s="135"/>
    </row>
    <row r="400" spans="1:16" s="133" customFormat="1" ht="15" customHeight="1">
      <c r="A400" s="1"/>
      <c r="B400" s="1"/>
      <c r="C400" s="134">
        <v>42907</v>
      </c>
      <c r="D400" s="135">
        <v>94.78</v>
      </c>
      <c r="O400" s="134"/>
      <c r="P400" s="135"/>
    </row>
    <row r="401" spans="1:16" s="133" customFormat="1" ht="15" customHeight="1">
      <c r="A401" s="1"/>
      <c r="B401" s="1"/>
      <c r="C401" s="134">
        <v>42908</v>
      </c>
      <c r="D401" s="135">
        <v>94.74</v>
      </c>
      <c r="O401" s="134"/>
      <c r="P401" s="135"/>
    </row>
    <row r="402" spans="1:16" s="133" customFormat="1" ht="15" customHeight="1">
      <c r="A402" s="1"/>
      <c r="B402" s="1"/>
      <c r="C402" s="134">
        <v>42909</v>
      </c>
      <c r="D402" s="135">
        <v>94.77</v>
      </c>
      <c r="O402" s="134"/>
      <c r="P402" s="135"/>
    </row>
    <row r="403" spans="1:16" s="133" customFormat="1" ht="15" customHeight="1">
      <c r="A403" s="1"/>
      <c r="B403" s="1"/>
      <c r="C403" s="134">
        <v>42912</v>
      </c>
      <c r="D403" s="135">
        <v>94.65</v>
      </c>
      <c r="O403" s="134"/>
      <c r="P403" s="135"/>
    </row>
    <row r="404" spans="1:16" s="133" customFormat="1" ht="15" customHeight="1">
      <c r="A404" s="1"/>
      <c r="B404" s="1"/>
      <c r="C404" s="134">
        <v>42913</v>
      </c>
      <c r="D404" s="135">
        <v>94.78</v>
      </c>
      <c r="O404" s="134"/>
      <c r="P404" s="135"/>
    </row>
    <row r="405" spans="1:16" s="133" customFormat="1" ht="15" customHeight="1">
      <c r="A405" s="1"/>
      <c r="B405" s="1"/>
      <c r="C405" s="134">
        <v>42914</v>
      </c>
      <c r="D405" s="135">
        <v>95.91</v>
      </c>
      <c r="O405" s="134"/>
      <c r="P405" s="135"/>
    </row>
    <row r="406" spans="1:16" s="133" customFormat="1" ht="15" customHeight="1">
      <c r="A406" s="1"/>
      <c r="B406" s="1"/>
      <c r="C406" s="134">
        <v>42915</v>
      </c>
      <c r="D406" s="135">
        <v>95.65</v>
      </c>
      <c r="O406" s="134"/>
      <c r="P406" s="135"/>
    </row>
    <row r="407" spans="1:16" s="133" customFormat="1" ht="15" customHeight="1">
      <c r="A407" s="1"/>
      <c r="B407" s="1"/>
      <c r="C407" s="134">
        <v>42916</v>
      </c>
      <c r="D407" s="135">
        <v>96.04</v>
      </c>
      <c r="O407" s="134"/>
      <c r="P407" s="135"/>
    </row>
    <row r="408" spans="1:16" s="133" customFormat="1" ht="15" customHeight="1">
      <c r="A408" s="1"/>
      <c r="B408" s="1"/>
      <c r="C408" s="134">
        <v>42919</v>
      </c>
      <c r="D408" s="135">
        <v>96.6</v>
      </c>
      <c r="O408" s="134"/>
      <c r="P408" s="135"/>
    </row>
    <row r="409" spans="1:16" s="133" customFormat="1" ht="15" customHeight="1">
      <c r="A409" s="1"/>
      <c r="B409" s="1"/>
      <c r="C409" s="134">
        <v>42921</v>
      </c>
      <c r="D409" s="135">
        <v>96.55</v>
      </c>
      <c r="O409" s="134"/>
      <c r="P409" s="135"/>
    </row>
    <row r="410" spans="1:16" s="133" customFormat="1" ht="15" customHeight="1">
      <c r="A410" s="1"/>
      <c r="B410" s="1"/>
      <c r="C410" s="134">
        <v>42922</v>
      </c>
      <c r="D410" s="135">
        <v>96.44</v>
      </c>
      <c r="O410" s="134"/>
      <c r="P410" s="135"/>
    </row>
    <row r="411" spans="1:16" s="133" customFormat="1" ht="15" customHeight="1">
      <c r="A411" s="1"/>
      <c r="B411" s="1"/>
      <c r="C411" s="134">
        <v>42923</v>
      </c>
      <c r="D411" s="135">
        <v>97.4</v>
      </c>
      <c r="O411" s="134"/>
      <c r="P411" s="135"/>
    </row>
    <row r="412" spans="1:16" s="133" customFormat="1" ht="15" customHeight="1">
      <c r="A412" s="1"/>
      <c r="B412" s="1"/>
      <c r="C412" s="134">
        <v>42926</v>
      </c>
      <c r="D412" s="135">
        <v>97.27</v>
      </c>
      <c r="O412" s="134"/>
      <c r="P412" s="135"/>
    </row>
    <row r="413" spans="1:16" s="133" customFormat="1" ht="15" customHeight="1">
      <c r="A413" s="1"/>
      <c r="B413" s="1"/>
      <c r="C413" s="134">
        <v>42927</v>
      </c>
      <c r="D413" s="135">
        <v>97.23</v>
      </c>
      <c r="O413" s="134"/>
      <c r="P413" s="135"/>
    </row>
    <row r="414" spans="1:16" s="133" customFormat="1" ht="15" customHeight="1">
      <c r="A414" s="1"/>
      <c r="B414" s="1"/>
      <c r="C414" s="134">
        <v>42928</v>
      </c>
      <c r="D414" s="135">
        <v>97.4</v>
      </c>
      <c r="O414" s="134"/>
      <c r="P414" s="135"/>
    </row>
    <row r="415" spans="1:16" s="133" customFormat="1" ht="15" customHeight="1">
      <c r="A415" s="1"/>
      <c r="B415" s="1"/>
      <c r="C415" s="134">
        <v>42929</v>
      </c>
      <c r="D415" s="135">
        <v>98</v>
      </c>
      <c r="O415" s="134"/>
      <c r="P415" s="135"/>
    </row>
    <row r="416" spans="1:16" s="133" customFormat="1" ht="15" customHeight="1">
      <c r="A416" s="1"/>
      <c r="B416" s="1"/>
      <c r="C416" s="134">
        <v>42930</v>
      </c>
      <c r="D416" s="135">
        <v>98.14</v>
      </c>
      <c r="O416" s="134"/>
      <c r="P416" s="135"/>
    </row>
    <row r="417" spans="1:16" s="133" customFormat="1" ht="15" customHeight="1">
      <c r="A417" s="1"/>
      <c r="B417" s="1"/>
      <c r="C417" s="134">
        <v>42933</v>
      </c>
      <c r="D417" s="135">
        <v>98.09</v>
      </c>
      <c r="O417" s="134"/>
      <c r="P417" s="135"/>
    </row>
    <row r="418" spans="1:16" s="133" customFormat="1" ht="15" customHeight="1">
      <c r="A418" s="1"/>
      <c r="B418" s="1"/>
      <c r="C418" s="134">
        <v>42934</v>
      </c>
      <c r="D418" s="135">
        <v>97.44</v>
      </c>
      <c r="O418" s="134"/>
      <c r="P418" s="135"/>
    </row>
    <row r="419" spans="1:16" s="133" customFormat="1" ht="15" customHeight="1">
      <c r="A419" s="1"/>
      <c r="B419" s="1"/>
      <c r="C419" s="134">
        <v>42935</v>
      </c>
      <c r="D419" s="135">
        <v>97.92</v>
      </c>
      <c r="O419" s="134"/>
      <c r="P419" s="135"/>
    </row>
    <row r="420" spans="1:16" s="133" customFormat="1" ht="15" customHeight="1">
      <c r="A420" s="1"/>
      <c r="B420" s="1"/>
      <c r="C420" s="134">
        <v>42936</v>
      </c>
      <c r="D420" s="135">
        <v>97.84</v>
      </c>
      <c r="O420" s="134"/>
      <c r="P420" s="135"/>
    </row>
    <row r="421" spans="1:16" s="133" customFormat="1" ht="15" customHeight="1">
      <c r="A421" s="1"/>
      <c r="B421" s="1"/>
      <c r="C421" s="134">
        <v>42937</v>
      </c>
      <c r="D421" s="135">
        <v>97.31</v>
      </c>
      <c r="O421" s="134"/>
      <c r="P421" s="135"/>
    </row>
    <row r="422" spans="1:16" s="133" customFormat="1" ht="15" customHeight="1">
      <c r="A422" s="1"/>
      <c r="B422" s="1"/>
      <c r="C422" s="134">
        <v>42940</v>
      </c>
      <c r="D422" s="135">
        <v>97.62</v>
      </c>
      <c r="O422" s="134"/>
      <c r="P422" s="135"/>
    </row>
    <row r="423" spans="1:16" s="133" customFormat="1" ht="15" customHeight="1">
      <c r="A423" s="1"/>
      <c r="B423" s="1"/>
      <c r="C423" s="134">
        <v>42941</v>
      </c>
      <c r="D423" s="135">
        <v>98.87</v>
      </c>
      <c r="O423" s="134"/>
      <c r="P423" s="135"/>
    </row>
    <row r="424" spans="1:16" s="133" customFormat="1" ht="15" customHeight="1">
      <c r="A424" s="1"/>
      <c r="B424" s="1"/>
      <c r="C424" s="134">
        <v>42942</v>
      </c>
      <c r="D424" s="135">
        <v>98.5</v>
      </c>
      <c r="O424" s="134"/>
      <c r="P424" s="135"/>
    </row>
    <row r="425" spans="1:16" s="133" customFormat="1" ht="15" customHeight="1">
      <c r="A425" s="1"/>
      <c r="B425" s="1"/>
      <c r="C425" s="134">
        <v>42943</v>
      </c>
      <c r="D425" s="135">
        <v>98.81</v>
      </c>
      <c r="O425" s="134"/>
      <c r="P425" s="135"/>
    </row>
    <row r="426" spans="1:16" s="133" customFormat="1" ht="15" customHeight="1">
      <c r="A426" s="1"/>
      <c r="B426" s="1"/>
      <c r="C426" s="134">
        <v>42944</v>
      </c>
      <c r="D426" s="135">
        <v>98.36</v>
      </c>
      <c r="O426" s="134"/>
      <c r="P426" s="135"/>
    </row>
    <row r="427" spans="1:16" s="133" customFormat="1" ht="15" customHeight="1">
      <c r="A427" s="1"/>
      <c r="B427" s="1"/>
      <c r="C427" s="134">
        <v>42947</v>
      </c>
      <c r="D427" s="135">
        <v>98.42</v>
      </c>
      <c r="O427" s="134"/>
      <c r="P427" s="135"/>
    </row>
    <row r="428" spans="1:16" s="133" customFormat="1" ht="15" customHeight="1">
      <c r="A428" s="1"/>
      <c r="B428" s="1"/>
      <c r="C428" s="134">
        <v>42948</v>
      </c>
      <c r="D428" s="135">
        <v>97.91</v>
      </c>
      <c r="O428" s="134"/>
      <c r="P428" s="135"/>
    </row>
    <row r="429" spans="1:16" s="133" customFormat="1" ht="15" customHeight="1">
      <c r="A429" s="1"/>
      <c r="B429" s="1"/>
      <c r="C429" s="134">
        <v>42949</v>
      </c>
      <c r="D429" s="135">
        <v>97.85</v>
      </c>
      <c r="O429" s="134"/>
      <c r="P429" s="135"/>
    </row>
    <row r="430" spans="1:16" s="133" customFormat="1" ht="15" customHeight="1">
      <c r="A430" s="1"/>
      <c r="B430" s="1"/>
      <c r="C430" s="134">
        <v>42950</v>
      </c>
      <c r="D430" s="135">
        <v>97.28</v>
      </c>
      <c r="O430" s="134"/>
      <c r="P430" s="135"/>
    </row>
    <row r="431" spans="1:16" s="133" customFormat="1" ht="15" customHeight="1">
      <c r="A431" s="1"/>
      <c r="B431" s="1"/>
      <c r="C431" s="134">
        <v>42951</v>
      </c>
      <c r="D431" s="135">
        <v>97.87</v>
      </c>
      <c r="O431" s="134"/>
      <c r="P431" s="135"/>
    </row>
    <row r="432" spans="1:16" s="133" customFormat="1" ht="15" customHeight="1">
      <c r="A432" s="1"/>
      <c r="B432" s="1"/>
      <c r="C432" s="134">
        <v>42954</v>
      </c>
      <c r="D432" s="135">
        <v>97.95</v>
      </c>
      <c r="O432" s="134"/>
      <c r="P432" s="135"/>
    </row>
    <row r="433" spans="1:16" s="133" customFormat="1" ht="15" customHeight="1">
      <c r="A433" s="1"/>
      <c r="B433" s="1"/>
      <c r="C433" s="134">
        <v>42955</v>
      </c>
      <c r="D433" s="135">
        <v>98.15</v>
      </c>
      <c r="O433" s="134"/>
      <c r="P433" s="135"/>
    </row>
    <row r="434" spans="1:16" s="133" customFormat="1" ht="15" customHeight="1">
      <c r="A434" s="1"/>
      <c r="B434" s="1"/>
      <c r="C434" s="134">
        <v>42956</v>
      </c>
      <c r="D434" s="135">
        <v>97.52</v>
      </c>
      <c r="O434" s="134"/>
      <c r="P434" s="135"/>
    </row>
    <row r="435" spans="1:16" s="133" customFormat="1" ht="15" customHeight="1">
      <c r="A435" s="1"/>
      <c r="B435" s="1"/>
      <c r="C435" s="134">
        <v>42957</v>
      </c>
      <c r="D435" s="135">
        <v>95.73</v>
      </c>
      <c r="O435" s="134"/>
      <c r="P435" s="135"/>
    </row>
    <row r="436" spans="1:16" s="133" customFormat="1" ht="15" customHeight="1">
      <c r="A436" s="1"/>
      <c r="B436" s="1"/>
      <c r="C436" s="134">
        <v>42958</v>
      </c>
      <c r="D436" s="135">
        <v>95.76</v>
      </c>
      <c r="O436" s="134"/>
      <c r="P436" s="135"/>
    </row>
    <row r="437" spans="1:16" s="133" customFormat="1" ht="15" customHeight="1">
      <c r="A437" s="1"/>
      <c r="B437" s="1"/>
      <c r="C437" s="134">
        <v>42961</v>
      </c>
      <c r="D437" s="135">
        <v>96.87</v>
      </c>
      <c r="O437" s="134"/>
      <c r="P437" s="135"/>
    </row>
    <row r="438" spans="1:16" s="133" customFormat="1" ht="15" customHeight="1">
      <c r="A438" s="1"/>
      <c r="B438" s="1"/>
      <c r="C438" s="134">
        <v>42962</v>
      </c>
      <c r="D438" s="135">
        <v>97.35</v>
      </c>
      <c r="O438" s="134"/>
      <c r="P438" s="135"/>
    </row>
    <row r="439" spans="1:16" s="133" customFormat="1" ht="15" customHeight="1">
      <c r="A439" s="1"/>
      <c r="B439" s="1"/>
      <c r="C439" s="134">
        <v>42963</v>
      </c>
      <c r="D439" s="135">
        <v>97.09</v>
      </c>
      <c r="O439" s="134"/>
      <c r="P439" s="135"/>
    </row>
    <row r="440" spans="1:16" s="133" customFormat="1" ht="15" customHeight="1">
      <c r="A440" s="1"/>
      <c r="B440" s="1"/>
      <c r="C440" s="134">
        <v>42964</v>
      </c>
      <c r="D440" s="135">
        <v>95.21</v>
      </c>
      <c r="O440" s="134"/>
      <c r="P440" s="135"/>
    </row>
    <row r="441" spans="1:16" s="133" customFormat="1" ht="15" customHeight="1">
      <c r="A441" s="1"/>
      <c r="B441" s="1"/>
      <c r="C441" s="134">
        <v>42965</v>
      </c>
      <c r="D441" s="135">
        <v>95.01</v>
      </c>
      <c r="O441" s="134"/>
      <c r="P441" s="135"/>
    </row>
    <row r="442" spans="1:16" s="133" customFormat="1" ht="15" customHeight="1">
      <c r="A442" s="1"/>
      <c r="B442" s="1"/>
      <c r="C442" s="134">
        <v>42968</v>
      </c>
      <c r="D442" s="135">
        <v>94.87</v>
      </c>
      <c r="O442" s="134"/>
      <c r="P442" s="135"/>
    </row>
    <row r="443" spans="1:16" s="133" customFormat="1" ht="15" customHeight="1">
      <c r="A443" s="1"/>
      <c r="B443" s="1"/>
      <c r="C443" s="134">
        <v>42969</v>
      </c>
      <c r="D443" s="135">
        <v>96.19</v>
      </c>
      <c r="O443" s="134"/>
      <c r="P443" s="135"/>
    </row>
    <row r="444" spans="1:16" s="133" customFormat="1" ht="15" customHeight="1">
      <c r="A444" s="1"/>
      <c r="B444" s="1"/>
      <c r="C444" s="134">
        <v>42970</v>
      </c>
      <c r="D444" s="135">
        <v>95.19</v>
      </c>
      <c r="O444" s="134"/>
      <c r="P444" s="135"/>
    </row>
    <row r="445" spans="1:16" s="133" customFormat="1" ht="15" customHeight="1">
      <c r="A445" s="1"/>
      <c r="B445" s="1"/>
      <c r="C445" s="134">
        <v>42971</v>
      </c>
      <c r="D445" s="135">
        <v>95.41</v>
      </c>
      <c r="O445" s="134"/>
      <c r="P445" s="135"/>
    </row>
    <row r="446" spans="1:16" s="133" customFormat="1" ht="15" customHeight="1">
      <c r="A446" s="1"/>
      <c r="B446" s="1"/>
      <c r="C446" s="134">
        <v>42972</v>
      </c>
      <c r="D446" s="135">
        <v>95.21</v>
      </c>
      <c r="O446" s="134"/>
      <c r="P446" s="135"/>
    </row>
    <row r="447" spans="1:16" s="133" customFormat="1" ht="15" customHeight="1">
      <c r="A447" s="1"/>
      <c r="B447" s="1"/>
      <c r="C447" s="134">
        <v>42975</v>
      </c>
      <c r="D447" s="135">
        <v>95.14</v>
      </c>
      <c r="O447" s="134"/>
      <c r="P447" s="135"/>
    </row>
    <row r="448" spans="1:16" s="133" customFormat="1" ht="15" customHeight="1">
      <c r="A448" s="1"/>
      <c r="B448" s="1"/>
      <c r="C448" s="134">
        <v>42976</v>
      </c>
      <c r="D448" s="135">
        <v>95.15</v>
      </c>
      <c r="O448" s="134"/>
      <c r="P448" s="135"/>
    </row>
    <row r="449" spans="1:16" s="133" customFormat="1" ht="15" customHeight="1">
      <c r="A449" s="1"/>
      <c r="B449" s="1"/>
      <c r="C449" s="134">
        <v>42977</v>
      </c>
      <c r="D449" s="135">
        <v>95.51</v>
      </c>
      <c r="O449" s="134"/>
      <c r="P449" s="135"/>
    </row>
    <row r="450" spans="1:16" s="133" customFormat="1" ht="15" customHeight="1">
      <c r="A450" s="1"/>
      <c r="B450" s="1"/>
      <c r="C450" s="134">
        <v>42978</v>
      </c>
      <c r="D450" s="135">
        <v>95.78</v>
      </c>
      <c r="O450" s="134"/>
      <c r="P450" s="135"/>
    </row>
    <row r="451" spans="1:16" s="133" customFormat="1" ht="15" customHeight="1">
      <c r="A451" s="1"/>
      <c r="B451" s="1"/>
      <c r="C451" s="134">
        <v>42979</v>
      </c>
      <c r="D451" s="135">
        <v>96.5</v>
      </c>
      <c r="O451" s="134"/>
      <c r="P451" s="135"/>
    </row>
    <row r="452" spans="1:16" s="133" customFormat="1" ht="15" customHeight="1">
      <c r="A452" s="1"/>
      <c r="B452" s="1"/>
      <c r="C452" s="134">
        <v>42983</v>
      </c>
      <c r="D452" s="135">
        <v>94.83</v>
      </c>
      <c r="O452" s="134"/>
      <c r="P452" s="135"/>
    </row>
    <row r="453" spans="1:16" s="133" customFormat="1" ht="15" customHeight="1">
      <c r="A453" s="1"/>
      <c r="B453" s="1"/>
      <c r="C453" s="134">
        <v>42984</v>
      </c>
      <c r="D453" s="135">
        <v>95.45</v>
      </c>
      <c r="O453" s="134"/>
      <c r="P453" s="135"/>
    </row>
    <row r="454" spans="1:16" s="133" customFormat="1" ht="15" customHeight="1">
      <c r="A454" s="1"/>
      <c r="B454" s="1"/>
      <c r="C454" s="134">
        <v>42985</v>
      </c>
      <c r="D454" s="135">
        <v>94.86</v>
      </c>
      <c r="O454" s="134"/>
      <c r="P454" s="135"/>
    </row>
    <row r="455" spans="1:16" s="133" customFormat="1" ht="15" customHeight="1">
      <c r="A455" s="1"/>
      <c r="B455" s="1"/>
      <c r="C455" s="134">
        <v>42986</v>
      </c>
      <c r="D455" s="135">
        <v>94.77</v>
      </c>
      <c r="O455" s="134"/>
      <c r="P455" s="135"/>
    </row>
    <row r="456" spans="1:16" s="133" customFormat="1" ht="15" customHeight="1">
      <c r="A456" s="1"/>
      <c r="B456" s="1"/>
      <c r="C456" s="134">
        <v>42989</v>
      </c>
      <c r="D456" s="135">
        <v>96.5</v>
      </c>
      <c r="O456" s="134"/>
      <c r="P456" s="135"/>
    </row>
    <row r="457" spans="1:16" s="133" customFormat="1" ht="15" customHeight="1">
      <c r="A457" s="1"/>
      <c r="B457" s="1"/>
      <c r="C457" s="134">
        <v>42990</v>
      </c>
      <c r="D457" s="135">
        <v>97.29</v>
      </c>
      <c r="O457" s="134"/>
      <c r="P457" s="135"/>
    </row>
    <row r="458" spans="1:16" s="133" customFormat="1" ht="15" customHeight="1">
      <c r="A458" s="1"/>
      <c r="B458" s="1"/>
      <c r="C458" s="134">
        <v>42991</v>
      </c>
      <c r="D458" s="135">
        <v>97.58</v>
      </c>
      <c r="O458" s="134"/>
      <c r="P458" s="135"/>
    </row>
    <row r="459" spans="1:16" s="133" customFormat="1" ht="15" customHeight="1">
      <c r="A459" s="1"/>
      <c r="B459" s="1"/>
      <c r="C459" s="134">
        <v>42992</v>
      </c>
      <c r="D459" s="135">
        <v>97.47</v>
      </c>
      <c r="O459" s="134"/>
      <c r="P459" s="135"/>
    </row>
    <row r="460" spans="1:16" s="133" customFormat="1" ht="15" customHeight="1">
      <c r="A460" s="1"/>
      <c r="B460" s="1"/>
      <c r="C460" s="134">
        <v>42993</v>
      </c>
      <c r="D460" s="135">
        <v>97.55</v>
      </c>
      <c r="O460" s="134"/>
      <c r="P460" s="135"/>
    </row>
    <row r="461" spans="1:16" s="133" customFormat="1" ht="15" customHeight="1">
      <c r="A461" s="1"/>
      <c r="B461" s="1"/>
      <c r="C461" s="134">
        <v>42996</v>
      </c>
      <c r="D461" s="135">
        <v>98.2</v>
      </c>
      <c r="O461" s="134"/>
      <c r="P461" s="135"/>
    </row>
    <row r="462" spans="1:16" s="133" customFormat="1" ht="15" customHeight="1">
      <c r="A462" s="1"/>
      <c r="B462" s="1"/>
      <c r="C462" s="134">
        <v>42997</v>
      </c>
      <c r="D462" s="135">
        <v>98.42</v>
      </c>
      <c r="O462" s="134"/>
      <c r="P462" s="135"/>
    </row>
    <row r="463" spans="1:16" s="133" customFormat="1" ht="15" customHeight="1">
      <c r="A463" s="1"/>
      <c r="B463" s="1"/>
      <c r="C463" s="134">
        <v>42998</v>
      </c>
      <c r="D463" s="135">
        <v>98.48</v>
      </c>
      <c r="O463" s="134"/>
      <c r="P463" s="135"/>
    </row>
    <row r="464" spans="1:16" s="133" customFormat="1" ht="15" customHeight="1">
      <c r="A464" s="1"/>
      <c r="B464" s="1"/>
      <c r="C464" s="134">
        <v>42999</v>
      </c>
      <c r="D464" s="135">
        <v>98.32</v>
      </c>
      <c r="O464" s="134"/>
      <c r="P464" s="135"/>
    </row>
    <row r="465" spans="1:16" s="133" customFormat="1" ht="15" customHeight="1">
      <c r="A465" s="1"/>
      <c r="B465" s="1"/>
      <c r="C465" s="134">
        <v>43000</v>
      </c>
      <c r="D465" s="135">
        <v>98.26</v>
      </c>
      <c r="O465" s="134"/>
      <c r="P465" s="135"/>
    </row>
    <row r="466" spans="1:16" s="133" customFormat="1" ht="15" customHeight="1">
      <c r="A466" s="1"/>
      <c r="B466" s="1"/>
      <c r="C466" s="134">
        <v>43003</v>
      </c>
      <c r="D466" s="135">
        <v>97.66</v>
      </c>
      <c r="O466" s="134"/>
      <c r="P466" s="135"/>
    </row>
    <row r="467" spans="1:16" s="133" customFormat="1" ht="15" customHeight="1">
      <c r="A467" s="1"/>
      <c r="B467" s="1"/>
      <c r="C467" s="134">
        <v>43004</v>
      </c>
      <c r="D467" s="135">
        <v>97.68</v>
      </c>
      <c r="O467" s="134"/>
      <c r="P467" s="135"/>
    </row>
    <row r="468" spans="1:16" s="133" customFormat="1" ht="15" customHeight="1">
      <c r="A468" s="1"/>
      <c r="B468" s="1"/>
      <c r="C468" s="134">
        <v>43005</v>
      </c>
      <c r="D468" s="135">
        <v>99.2</v>
      </c>
      <c r="O468" s="134"/>
      <c r="P468" s="135"/>
    </row>
    <row r="469" spans="1:16" s="133" customFormat="1" ht="15" customHeight="1">
      <c r="A469" s="1"/>
      <c r="B469" s="1"/>
      <c r="C469" s="134">
        <v>43006</v>
      </c>
      <c r="D469" s="135">
        <v>99.43</v>
      </c>
      <c r="O469" s="134"/>
      <c r="P469" s="135"/>
    </row>
    <row r="470" spans="1:16" s="133" customFormat="1" ht="15" customHeight="1">
      <c r="A470" s="1"/>
      <c r="B470" s="1"/>
      <c r="C470" s="134">
        <v>43007</v>
      </c>
      <c r="D470" s="135">
        <v>99.74</v>
      </c>
      <c r="O470" s="134"/>
      <c r="P470" s="135"/>
    </row>
    <row r="471" spans="1:16" s="133" customFormat="1" ht="15" customHeight="1">
      <c r="A471" s="1"/>
      <c r="B471" s="1"/>
      <c r="C471" s="134">
        <v>43010</v>
      </c>
      <c r="D471" s="135">
        <v>100.24</v>
      </c>
      <c r="O471" s="134"/>
      <c r="P471" s="135"/>
    </row>
    <row r="472" spans="1:16" s="133" customFormat="1" ht="15" customHeight="1">
      <c r="A472" s="1"/>
      <c r="B472" s="1"/>
      <c r="C472" s="134">
        <v>43011</v>
      </c>
      <c r="D472" s="135">
        <v>100.54</v>
      </c>
      <c r="O472" s="134"/>
      <c r="P472" s="135"/>
    </row>
    <row r="473" spans="1:16" s="133" customFormat="1" ht="15" customHeight="1">
      <c r="A473" s="1"/>
      <c r="B473" s="1"/>
      <c r="C473" s="134">
        <v>43012</v>
      </c>
      <c r="D473" s="135">
        <v>100.72</v>
      </c>
      <c r="O473" s="134"/>
      <c r="P473" s="135"/>
    </row>
    <row r="474" spans="1:16" s="133" customFormat="1" ht="15" customHeight="1">
      <c r="A474" s="1"/>
      <c r="B474" s="1"/>
      <c r="C474" s="134">
        <v>43013</v>
      </c>
      <c r="D474" s="135">
        <v>101.48</v>
      </c>
      <c r="O474" s="134"/>
      <c r="P474" s="135"/>
    </row>
    <row r="475" spans="1:16" s="133" customFormat="1" ht="15" customHeight="1">
      <c r="A475" s="1"/>
      <c r="B475" s="1"/>
      <c r="C475" s="134">
        <v>43014</v>
      </c>
      <c r="D475" s="135">
        <v>101.51</v>
      </c>
      <c r="O475" s="134"/>
      <c r="P475" s="135"/>
    </row>
    <row r="476" spans="1:16" s="133" customFormat="1" ht="15" customHeight="1">
      <c r="A476" s="1"/>
      <c r="B476" s="1"/>
      <c r="C476" s="134">
        <v>43017</v>
      </c>
      <c r="D476" s="135">
        <v>101.35</v>
      </c>
      <c r="O476" s="134"/>
      <c r="P476" s="135"/>
    </row>
    <row r="477" spans="1:16" s="133" customFormat="1" ht="15" customHeight="1">
      <c r="A477" s="1"/>
      <c r="B477" s="1"/>
      <c r="C477" s="134">
        <v>43018</v>
      </c>
      <c r="D477" s="135">
        <v>101.27</v>
      </c>
      <c r="O477" s="134"/>
      <c r="P477" s="135"/>
    </row>
    <row r="478" spans="1:16" s="133" customFormat="1" ht="15" customHeight="1">
      <c r="A478" s="1"/>
      <c r="B478" s="1"/>
      <c r="C478" s="134">
        <v>43019</v>
      </c>
      <c r="D478" s="135">
        <v>101.41</v>
      </c>
      <c r="O478" s="134"/>
      <c r="P478" s="135"/>
    </row>
    <row r="479" spans="1:16" s="133" customFormat="1" ht="15" customHeight="1">
      <c r="A479" s="1"/>
      <c r="B479" s="1"/>
      <c r="C479" s="134">
        <v>43020</v>
      </c>
      <c r="D479" s="135">
        <v>100.92</v>
      </c>
      <c r="O479" s="134"/>
      <c r="P479" s="135"/>
    </row>
    <row r="480" spans="1:16" s="133" customFormat="1" ht="15" customHeight="1">
      <c r="A480" s="1"/>
      <c r="B480" s="1"/>
      <c r="C480" s="134">
        <v>43021</v>
      </c>
      <c r="D480" s="135">
        <v>100.45</v>
      </c>
      <c r="O480" s="134"/>
      <c r="P480" s="135"/>
    </row>
    <row r="481" spans="1:16" s="133" customFormat="1" ht="15" customHeight="1">
      <c r="A481" s="1"/>
      <c r="B481" s="1"/>
      <c r="C481" s="134">
        <v>43024</v>
      </c>
      <c r="D481" s="135">
        <v>100.78</v>
      </c>
      <c r="O481" s="134"/>
      <c r="P481" s="135"/>
    </row>
    <row r="482" spans="1:16" s="133" customFormat="1" ht="15" customHeight="1">
      <c r="A482" s="1"/>
      <c r="B482" s="1"/>
      <c r="C482" s="134">
        <v>43025</v>
      </c>
      <c r="D482" s="135">
        <v>100.59</v>
      </c>
      <c r="O482" s="134"/>
      <c r="P482" s="135"/>
    </row>
    <row r="483" spans="1:16" s="133" customFormat="1" ht="15" customHeight="1">
      <c r="A483" s="1"/>
      <c r="B483" s="1"/>
      <c r="C483" s="134">
        <v>43026</v>
      </c>
      <c r="D483" s="135">
        <v>101.38</v>
      </c>
      <c r="O483" s="134"/>
      <c r="P483" s="135"/>
    </row>
    <row r="484" spans="1:16" s="133" customFormat="1" ht="15" customHeight="1">
      <c r="A484" s="1"/>
      <c r="B484" s="1"/>
      <c r="C484" s="134">
        <v>43027</v>
      </c>
      <c r="D484" s="135">
        <v>101.08</v>
      </c>
      <c r="O484" s="134"/>
      <c r="P484" s="135"/>
    </row>
    <row r="485" spans="1:16" s="133" customFormat="1" ht="15" customHeight="1">
      <c r="A485" s="1"/>
      <c r="B485" s="1"/>
      <c r="C485" s="134">
        <v>43028</v>
      </c>
      <c r="D485" s="135">
        <v>102.5</v>
      </c>
      <c r="O485" s="134"/>
      <c r="P485" s="135"/>
    </row>
    <row r="486" spans="1:16" s="133" customFormat="1" ht="15" customHeight="1">
      <c r="A486" s="1"/>
      <c r="B486" s="1"/>
      <c r="C486" s="134">
        <v>43031</v>
      </c>
      <c r="D486" s="135">
        <v>101.98</v>
      </c>
      <c r="O486" s="134"/>
      <c r="P486" s="135"/>
    </row>
    <row r="487" spans="1:16" s="133" customFormat="1" ht="15" customHeight="1">
      <c r="A487" s="1"/>
      <c r="B487" s="1"/>
      <c r="C487" s="134">
        <v>43032</v>
      </c>
      <c r="D487" s="135">
        <v>102.58</v>
      </c>
      <c r="O487" s="134"/>
      <c r="P487" s="135"/>
    </row>
    <row r="488" spans="1:16" s="133" customFormat="1" ht="15" customHeight="1">
      <c r="A488" s="1"/>
      <c r="B488" s="1"/>
      <c r="C488" s="134">
        <v>43033</v>
      </c>
      <c r="D488" s="135">
        <v>102.76</v>
      </c>
      <c r="O488" s="134"/>
      <c r="P488" s="135"/>
    </row>
    <row r="489" spans="1:16" s="133" customFormat="1" ht="15" customHeight="1">
      <c r="A489" s="1"/>
      <c r="B489" s="1"/>
      <c r="C489" s="134">
        <v>43034</v>
      </c>
      <c r="D489" s="135">
        <v>103.01</v>
      </c>
      <c r="O489" s="134"/>
      <c r="P489" s="135"/>
    </row>
    <row r="490" spans="1:16" s="133" customFormat="1" ht="15" customHeight="1">
      <c r="A490" s="1"/>
      <c r="B490" s="1"/>
      <c r="C490" s="134">
        <v>43035</v>
      </c>
      <c r="D490" s="135">
        <v>103.37</v>
      </c>
      <c r="O490" s="134"/>
      <c r="P490" s="135"/>
    </row>
    <row r="491" spans="1:16" s="133" customFormat="1" ht="15" customHeight="1">
      <c r="A491" s="1"/>
      <c r="B491" s="1"/>
      <c r="C491" s="134">
        <v>43038</v>
      </c>
      <c r="D491" s="135">
        <v>102.16</v>
      </c>
      <c r="O491" s="134"/>
      <c r="P491" s="135"/>
    </row>
    <row r="492" spans="1:16" s="133" customFormat="1" ht="15" customHeight="1">
      <c r="A492" s="1"/>
      <c r="B492" s="1"/>
      <c r="C492" s="134">
        <v>43039</v>
      </c>
      <c r="D492" s="135">
        <v>102.28</v>
      </c>
      <c r="O492" s="134"/>
      <c r="P492" s="135"/>
    </row>
    <row r="493" spans="1:16" s="133" customFormat="1" ht="15" customHeight="1">
      <c r="A493" s="1"/>
      <c r="B493" s="1"/>
      <c r="C493" s="134">
        <v>43040</v>
      </c>
      <c r="D493" s="135">
        <v>102.17</v>
      </c>
      <c r="O493" s="134"/>
      <c r="P493" s="135"/>
    </row>
    <row r="494" spans="1:16" s="133" customFormat="1" ht="15" customHeight="1">
      <c r="A494" s="1"/>
      <c r="B494" s="1"/>
      <c r="C494" s="134">
        <v>43041</v>
      </c>
      <c r="D494" s="135">
        <v>101.77</v>
      </c>
      <c r="O494" s="134"/>
      <c r="P494" s="135"/>
    </row>
    <row r="495" spans="1:16" s="133" customFormat="1" ht="15" customHeight="1">
      <c r="A495" s="1"/>
      <c r="B495" s="1"/>
      <c r="C495" s="134">
        <v>43042</v>
      </c>
      <c r="D495" s="135">
        <v>101.89</v>
      </c>
      <c r="O495" s="134"/>
      <c r="P495" s="135"/>
    </row>
    <row r="496" spans="1:16" s="133" customFormat="1" ht="15" customHeight="1">
      <c r="A496" s="1"/>
      <c r="B496" s="1"/>
      <c r="C496" s="134">
        <v>43045</v>
      </c>
      <c r="D496" s="135">
        <v>101.76</v>
      </c>
      <c r="O496" s="134"/>
      <c r="P496" s="135"/>
    </row>
    <row r="497" spans="1:16" s="133" customFormat="1" ht="15" customHeight="1">
      <c r="A497" s="1"/>
      <c r="B497" s="1"/>
      <c r="C497" s="134">
        <v>43046</v>
      </c>
      <c r="D497" s="135">
        <v>101.38</v>
      </c>
      <c r="O497" s="134"/>
      <c r="P497" s="135"/>
    </row>
    <row r="498" spans="1:16" s="133" customFormat="1" ht="15" customHeight="1">
      <c r="A498" s="1"/>
      <c r="B498" s="1"/>
      <c r="C498" s="134">
        <v>43047</v>
      </c>
      <c r="D498" s="135">
        <v>101.77</v>
      </c>
      <c r="O498" s="134"/>
      <c r="P498" s="135"/>
    </row>
    <row r="499" spans="1:16" s="133" customFormat="1" ht="15" customHeight="1">
      <c r="A499" s="1"/>
      <c r="B499" s="1"/>
      <c r="C499" s="134">
        <v>43048</v>
      </c>
      <c r="D499" s="135">
        <v>101.81</v>
      </c>
      <c r="O499" s="134"/>
      <c r="P499" s="135"/>
    </row>
    <row r="500" spans="1:16" s="133" customFormat="1" ht="15" customHeight="1">
      <c r="A500" s="1"/>
      <c r="B500" s="1"/>
      <c r="C500" s="134">
        <v>43049</v>
      </c>
      <c r="D500" s="135">
        <v>102.68</v>
      </c>
      <c r="O500" s="134"/>
      <c r="P500" s="135"/>
    </row>
    <row r="501" spans="1:16" s="133" customFormat="1" ht="15" customHeight="1">
      <c r="A501" s="1"/>
      <c r="B501" s="1"/>
      <c r="C501" s="134">
        <v>43052</v>
      </c>
      <c r="D501" s="135">
        <v>102.72</v>
      </c>
      <c r="O501" s="134"/>
      <c r="P501" s="135"/>
    </row>
    <row r="502" spans="1:16" s="133" customFormat="1" ht="15" customHeight="1">
      <c r="A502" s="1"/>
      <c r="B502" s="1"/>
      <c r="C502" s="134">
        <v>43053</v>
      </c>
      <c r="D502" s="135">
        <v>102.25</v>
      </c>
      <c r="O502" s="134"/>
      <c r="P502" s="135"/>
    </row>
    <row r="503" spans="1:16" s="133" customFormat="1" ht="15" customHeight="1">
      <c r="A503" s="1"/>
      <c r="B503" s="1"/>
      <c r="C503" s="134">
        <v>43054</v>
      </c>
      <c r="D503" s="135">
        <v>100.99</v>
      </c>
      <c r="O503" s="134"/>
      <c r="P503" s="135"/>
    </row>
    <row r="504" spans="1:16" s="133" customFormat="1" ht="15" customHeight="1">
      <c r="A504" s="1"/>
      <c r="B504" s="1"/>
      <c r="C504" s="134">
        <v>43055</v>
      </c>
      <c r="D504" s="135">
        <v>102.06</v>
      </c>
      <c r="O504" s="134"/>
      <c r="P504" s="135"/>
    </row>
    <row r="505" spans="1:16" s="133" customFormat="1" ht="15" customHeight="1">
      <c r="A505" s="1"/>
      <c r="B505" s="1"/>
      <c r="C505" s="134">
        <v>43056</v>
      </c>
      <c r="D505" s="135">
        <v>101.57</v>
      </c>
      <c r="O505" s="134"/>
      <c r="P505" s="135"/>
    </row>
    <row r="506" spans="1:16" s="133" customFormat="1" ht="15" customHeight="1">
      <c r="A506" s="1"/>
      <c r="B506" s="1"/>
      <c r="C506" s="134">
        <v>43059</v>
      </c>
      <c r="D506" s="135">
        <v>101.89</v>
      </c>
      <c r="O506" s="134"/>
      <c r="P506" s="135"/>
    </row>
    <row r="507" spans="1:16" s="133" customFormat="1" ht="15" customHeight="1">
      <c r="A507" s="1"/>
      <c r="B507" s="1"/>
      <c r="C507" s="134">
        <v>43060</v>
      </c>
      <c r="D507" s="135">
        <v>102.17</v>
      </c>
      <c r="O507" s="134"/>
      <c r="P507" s="135"/>
    </row>
    <row r="508" spans="1:16" s="133" customFormat="1" ht="15" customHeight="1">
      <c r="A508" s="1"/>
      <c r="B508" s="1"/>
      <c r="C508" s="134">
        <v>43061</v>
      </c>
      <c r="D508" s="135">
        <v>101.84</v>
      </c>
      <c r="O508" s="134"/>
      <c r="P508" s="135"/>
    </row>
    <row r="509" spans="1:16" s="133" customFormat="1" ht="15" customHeight="1">
      <c r="A509" s="1"/>
      <c r="B509" s="1"/>
      <c r="C509" s="134">
        <v>43063</v>
      </c>
      <c r="D509" s="135">
        <v>102.26</v>
      </c>
      <c r="O509" s="134"/>
      <c r="P509" s="135"/>
    </row>
    <row r="510" spans="1:16" s="133" customFormat="1" ht="15" customHeight="1">
      <c r="A510" s="1"/>
      <c r="B510" s="1"/>
      <c r="C510" s="134">
        <v>43066</v>
      </c>
      <c r="D510" s="135">
        <v>102.24</v>
      </c>
      <c r="O510" s="134"/>
      <c r="P510" s="135"/>
    </row>
    <row r="511" spans="1:16" s="133" customFormat="1" ht="15" customHeight="1">
      <c r="A511" s="1"/>
      <c r="B511" s="1"/>
      <c r="C511" s="134">
        <v>43067</v>
      </c>
      <c r="D511" s="135">
        <v>103.24</v>
      </c>
      <c r="O511" s="134"/>
      <c r="P511" s="135"/>
    </row>
    <row r="512" spans="1:16" s="133" customFormat="1" ht="15" customHeight="1">
      <c r="A512" s="1"/>
      <c r="B512" s="1"/>
      <c r="C512" s="134">
        <v>43068</v>
      </c>
      <c r="D512" s="135">
        <v>103.88</v>
      </c>
      <c r="O512" s="134"/>
      <c r="P512" s="135"/>
    </row>
    <row r="513" spans="1:16" s="133" customFormat="1" ht="15" customHeight="1">
      <c r="A513" s="1"/>
      <c r="B513" s="1"/>
      <c r="C513" s="134">
        <v>43069</v>
      </c>
      <c r="D513" s="135">
        <v>105.11</v>
      </c>
      <c r="O513" s="134"/>
      <c r="P513" s="135"/>
    </row>
    <row r="514" spans="1:16" s="133" customFormat="1" ht="15" customHeight="1">
      <c r="A514" s="1"/>
      <c r="B514" s="1"/>
      <c r="C514" s="134">
        <v>43070</v>
      </c>
      <c r="D514" s="135">
        <v>103.89</v>
      </c>
      <c r="O514" s="134"/>
      <c r="P514" s="135"/>
    </row>
    <row r="515" spans="1:16" s="133" customFormat="1" ht="15" customHeight="1">
      <c r="A515" s="1"/>
      <c r="B515" s="1"/>
      <c r="C515" s="134">
        <v>43073</v>
      </c>
      <c r="D515" s="135">
        <v>103.83</v>
      </c>
      <c r="O515" s="134"/>
      <c r="P515" s="135"/>
    </row>
    <row r="516" spans="1:16" s="133" customFormat="1" ht="15" customHeight="1">
      <c r="A516" s="1"/>
      <c r="B516" s="1"/>
      <c r="C516" s="134">
        <v>43074</v>
      </c>
      <c r="D516" s="135">
        <v>102.97</v>
      </c>
      <c r="O516" s="134"/>
      <c r="P516" s="135"/>
    </row>
    <row r="517" spans="1:16" s="133" customFormat="1" ht="15" customHeight="1">
      <c r="A517" s="1"/>
      <c r="B517" s="1"/>
      <c r="C517" s="134">
        <v>43075</v>
      </c>
      <c r="D517" s="135">
        <v>102.78</v>
      </c>
      <c r="O517" s="134"/>
      <c r="P517" s="135"/>
    </row>
    <row r="518" spans="1:16" s="133" customFormat="1" ht="15" customHeight="1">
      <c r="A518" s="1"/>
      <c r="B518" s="1"/>
      <c r="C518" s="134">
        <v>43076</v>
      </c>
      <c r="D518" s="135">
        <v>103.98</v>
      </c>
      <c r="O518" s="134"/>
      <c r="P518" s="135"/>
    </row>
    <row r="519" spans="1:16" s="133" customFormat="1" ht="15" customHeight="1">
      <c r="A519" s="1"/>
      <c r="B519" s="1"/>
      <c r="C519" s="134">
        <v>43077</v>
      </c>
      <c r="D519" s="135">
        <v>104.44</v>
      </c>
      <c r="O519" s="134"/>
      <c r="P519" s="135"/>
    </row>
    <row r="520" spans="1:16" s="133" customFormat="1" ht="15" customHeight="1">
      <c r="A520" s="1"/>
      <c r="B520" s="1"/>
      <c r="C520" s="134">
        <v>43080</v>
      </c>
      <c r="D520" s="135">
        <v>104.75</v>
      </c>
      <c r="O520" s="134"/>
      <c r="P520" s="135"/>
    </row>
    <row r="521" spans="1:16" s="133" customFormat="1" ht="15" customHeight="1">
      <c r="A521" s="1"/>
      <c r="B521" s="1"/>
      <c r="C521" s="134">
        <v>43081</v>
      </c>
      <c r="D521" s="135">
        <v>105.15</v>
      </c>
      <c r="O521" s="134"/>
      <c r="P521" s="135"/>
    </row>
    <row r="522" spans="1:16" s="133" customFormat="1" ht="15" customHeight="1">
      <c r="A522" s="1"/>
      <c r="B522" s="1"/>
      <c r="C522" s="134">
        <v>43082</v>
      </c>
      <c r="D522" s="135">
        <v>104.49</v>
      </c>
      <c r="O522" s="134"/>
      <c r="P522" s="135"/>
    </row>
    <row r="523" spans="1:16" s="133" customFormat="1" ht="15" customHeight="1">
      <c r="A523" s="1"/>
      <c r="B523" s="1"/>
      <c r="C523" s="134">
        <v>43083</v>
      </c>
      <c r="D523" s="135">
        <v>103.7</v>
      </c>
      <c r="O523" s="134"/>
      <c r="P523" s="135"/>
    </row>
    <row r="524" spans="1:16" s="133" customFormat="1" ht="15" customHeight="1">
      <c r="A524" s="1"/>
      <c r="B524" s="1"/>
      <c r="C524" s="134">
        <v>43084</v>
      </c>
      <c r="D524" s="135">
        <v>104.6</v>
      </c>
      <c r="O524" s="134"/>
      <c r="P524" s="135"/>
    </row>
    <row r="525" spans="1:16" s="133" customFormat="1" ht="15" customHeight="1">
      <c r="A525" s="1"/>
      <c r="B525" s="1"/>
      <c r="C525" s="134">
        <v>43087</v>
      </c>
      <c r="D525" s="135">
        <v>105.83</v>
      </c>
      <c r="O525" s="134"/>
      <c r="P525" s="135"/>
    </row>
    <row r="526" spans="1:16" s="133" customFormat="1" ht="15" customHeight="1">
      <c r="A526" s="1"/>
      <c r="B526" s="1"/>
      <c r="C526" s="134">
        <v>43088</v>
      </c>
      <c r="D526" s="135">
        <v>106.6</v>
      </c>
      <c r="O526" s="134"/>
      <c r="P526" s="135"/>
    </row>
    <row r="527" spans="1:16" s="133" customFormat="1" ht="15" customHeight="1">
      <c r="A527" s="1"/>
      <c r="B527" s="1"/>
      <c r="C527" s="134">
        <v>43089</v>
      </c>
      <c r="D527" s="135">
        <v>107.16</v>
      </c>
      <c r="O527" s="134"/>
      <c r="P527" s="135"/>
    </row>
    <row r="528" spans="1:16" s="133" customFormat="1" ht="15" customHeight="1">
      <c r="A528" s="1"/>
      <c r="B528" s="1"/>
      <c r="C528" s="134">
        <v>43090</v>
      </c>
      <c r="D528" s="135">
        <v>106.97</v>
      </c>
      <c r="O528" s="134"/>
      <c r="P528" s="135"/>
    </row>
    <row r="529" spans="1:16" s="133" customFormat="1" ht="15" customHeight="1">
      <c r="A529" s="1"/>
      <c r="B529" s="1"/>
      <c r="C529" s="134">
        <v>43091</v>
      </c>
      <c r="D529" s="135">
        <v>107.04</v>
      </c>
      <c r="O529" s="134"/>
      <c r="P529" s="135"/>
    </row>
    <row r="530" spans="1:16" s="133" customFormat="1" ht="15" customHeight="1">
      <c r="A530" s="1"/>
      <c r="B530" s="1"/>
      <c r="C530" s="134">
        <v>43095</v>
      </c>
      <c r="D530" s="135">
        <v>106.65</v>
      </c>
      <c r="O530" s="134"/>
      <c r="P530" s="135"/>
    </row>
    <row r="531" spans="1:16" s="133" customFormat="1" ht="15" customHeight="1">
      <c r="A531" s="1"/>
      <c r="B531" s="1"/>
      <c r="C531" s="134">
        <v>43096</v>
      </c>
      <c r="D531" s="135">
        <v>105.67</v>
      </c>
      <c r="O531" s="134"/>
      <c r="P531" s="135"/>
    </row>
    <row r="532" spans="1:16" s="133" customFormat="1" ht="15" customHeight="1">
      <c r="A532" s="1"/>
      <c r="B532" s="1"/>
      <c r="C532" s="134">
        <v>43097</v>
      </c>
      <c r="D532" s="135">
        <v>105.83</v>
      </c>
      <c r="O532" s="134"/>
      <c r="P532" s="135"/>
    </row>
    <row r="533" spans="1:16" s="133" customFormat="1" ht="15" customHeight="1">
      <c r="A533" s="1"/>
      <c r="B533" s="1"/>
      <c r="C533" s="134">
        <v>43098</v>
      </c>
      <c r="D533" s="135">
        <v>105.26</v>
      </c>
      <c r="O533" s="134"/>
      <c r="P533" s="135"/>
    </row>
    <row r="534" spans="1:16" s="133" customFormat="1" ht="15" customHeight="1">
      <c r="A534" s="1"/>
      <c r="B534" s="1"/>
      <c r="C534" s="134">
        <v>43102</v>
      </c>
      <c r="D534" s="135">
        <v>106.8</v>
      </c>
      <c r="O534" s="134"/>
      <c r="P534" s="135"/>
    </row>
    <row r="535" spans="1:16" s="133" customFormat="1" ht="15" customHeight="1">
      <c r="A535" s="1"/>
      <c r="B535" s="1"/>
      <c r="C535" s="134">
        <v>43103</v>
      </c>
      <c r="D535" s="135">
        <v>107.12</v>
      </c>
      <c r="O535" s="134"/>
      <c r="P535" s="135"/>
    </row>
    <row r="536" spans="1:16" s="133" customFormat="1" ht="15" customHeight="1">
      <c r="A536" s="1"/>
      <c r="B536" s="1"/>
      <c r="C536" s="134">
        <v>43104</v>
      </c>
      <c r="D536" s="135">
        <v>107.64</v>
      </c>
      <c r="O536" s="134"/>
      <c r="P536" s="135"/>
    </row>
    <row r="537" spans="1:16" s="133" customFormat="1" ht="15" customHeight="1">
      <c r="A537" s="1"/>
      <c r="B537" s="1"/>
      <c r="C537" s="134">
        <v>43105</v>
      </c>
      <c r="D537" s="135">
        <v>108.74</v>
      </c>
      <c r="O537" s="134"/>
      <c r="P537" s="135"/>
    </row>
    <row r="538" spans="1:16" s="133" customFormat="1" ht="15" customHeight="1">
      <c r="A538" s="1"/>
      <c r="B538" s="1"/>
      <c r="C538" s="134">
        <v>43108</v>
      </c>
      <c r="D538" s="135">
        <v>108.99</v>
      </c>
      <c r="O538" s="134"/>
      <c r="P538" s="135"/>
    </row>
    <row r="539" spans="1:16" s="133" customFormat="1" ht="15" customHeight="1">
      <c r="A539" s="1"/>
      <c r="B539" s="1"/>
      <c r="C539" s="134">
        <v>43109</v>
      </c>
      <c r="D539" s="135">
        <v>110.29</v>
      </c>
      <c r="O539" s="134"/>
      <c r="P539" s="135"/>
    </row>
    <row r="540" spans="1:16" s="133" customFormat="1" ht="15" customHeight="1">
      <c r="A540" s="1"/>
      <c r="B540" s="1"/>
      <c r="C540" s="134">
        <v>43110</v>
      </c>
      <c r="D540" s="135">
        <v>110.34</v>
      </c>
      <c r="O540" s="134"/>
      <c r="P540" s="135"/>
    </row>
    <row r="541" spans="1:16" s="133" customFormat="1" ht="15" customHeight="1">
      <c r="A541" s="1"/>
      <c r="B541" s="1"/>
      <c r="C541" s="134">
        <v>43111</v>
      </c>
      <c r="D541" s="135">
        <v>110.82</v>
      </c>
      <c r="O541" s="134"/>
      <c r="P541" s="135"/>
    </row>
    <row r="542" spans="1:16" s="133" customFormat="1" ht="15" customHeight="1">
      <c r="A542" s="1"/>
      <c r="B542" s="1"/>
      <c r="C542" s="134">
        <v>43112</v>
      </c>
      <c r="D542" s="135">
        <v>111.55</v>
      </c>
      <c r="O542" s="134"/>
      <c r="P542" s="135"/>
    </row>
    <row r="543" spans="1:16" s="133" customFormat="1" ht="15" customHeight="1">
      <c r="A543" s="1"/>
      <c r="B543" s="1"/>
      <c r="C543" s="134">
        <v>43116</v>
      </c>
      <c r="D543" s="135">
        <v>111.09</v>
      </c>
      <c r="O543" s="134"/>
      <c r="P543" s="135"/>
    </row>
    <row r="544" spans="1:16" s="133" customFormat="1" ht="15" customHeight="1">
      <c r="A544" s="1"/>
      <c r="B544" s="1"/>
      <c r="C544" s="134">
        <v>43117</v>
      </c>
      <c r="D544" s="135">
        <v>112.31</v>
      </c>
      <c r="O544" s="134"/>
      <c r="P544" s="135"/>
    </row>
    <row r="545" spans="1:16" s="133" customFormat="1" ht="15" customHeight="1">
      <c r="A545" s="1"/>
      <c r="B545" s="1"/>
      <c r="C545" s="134">
        <v>43118</v>
      </c>
      <c r="D545" s="135">
        <v>112.67</v>
      </c>
      <c r="O545" s="134"/>
      <c r="P545" s="135"/>
    </row>
    <row r="546" spans="1:16" s="133" customFormat="1" ht="15" customHeight="1">
      <c r="A546" s="1"/>
      <c r="B546" s="1"/>
      <c r="C546" s="134">
        <v>43119</v>
      </c>
      <c r="D546" s="135">
        <v>113.6</v>
      </c>
      <c r="O546" s="134"/>
      <c r="P546" s="135"/>
    </row>
    <row r="547" spans="1:16" s="133" customFormat="1" ht="15" customHeight="1">
      <c r="A547" s="1"/>
      <c r="B547" s="1"/>
      <c r="C547" s="134">
        <v>43122</v>
      </c>
      <c r="D547" s="135">
        <v>114.83</v>
      </c>
      <c r="O547" s="134"/>
      <c r="P547" s="135"/>
    </row>
    <row r="548" spans="1:16" s="133" customFormat="1" ht="15" customHeight="1">
      <c r="A548" s="1"/>
      <c r="B548" s="1"/>
      <c r="C548" s="134">
        <v>43123</v>
      </c>
      <c r="D548" s="135">
        <v>114.59</v>
      </c>
      <c r="O548" s="134"/>
      <c r="P548" s="135"/>
    </row>
    <row r="549" spans="1:16" s="133" customFormat="1" ht="15" customHeight="1">
      <c r="A549" s="1"/>
      <c r="B549" s="1"/>
      <c r="C549" s="134">
        <v>43124</v>
      </c>
      <c r="D549" s="135">
        <v>115.24</v>
      </c>
      <c r="O549" s="134"/>
      <c r="P549" s="135"/>
    </row>
    <row r="550" spans="1:16" s="133" customFormat="1" ht="15" customHeight="1">
      <c r="A550" s="1"/>
      <c r="B550" s="1"/>
      <c r="C550" s="134">
        <v>43125</v>
      </c>
      <c r="D550" s="135">
        <v>114.52</v>
      </c>
      <c r="O550" s="134"/>
      <c r="P550" s="135"/>
    </row>
    <row r="551" spans="1:16" s="133" customFormat="1" ht="15" customHeight="1">
      <c r="A551" s="1"/>
      <c r="B551" s="1"/>
      <c r="C551" s="134">
        <v>43126</v>
      </c>
      <c r="D551" s="135">
        <v>116.37</v>
      </c>
      <c r="O551" s="134"/>
      <c r="P551" s="135"/>
    </row>
    <row r="552" spans="1:16" s="133" customFormat="1" ht="15" customHeight="1">
      <c r="A552" s="1"/>
      <c r="B552" s="1"/>
      <c r="C552" s="134">
        <v>43129</v>
      </c>
      <c r="D552" s="135">
        <v>116.03</v>
      </c>
      <c r="O552" s="134"/>
      <c r="P552" s="135"/>
    </row>
    <row r="553" spans="1:16" s="133" customFormat="1" ht="15" customHeight="1">
      <c r="A553" s="1"/>
      <c r="B553" s="1"/>
      <c r="C553" s="134">
        <v>43130</v>
      </c>
      <c r="D553" s="135">
        <v>115.44</v>
      </c>
      <c r="O553" s="134"/>
      <c r="P553" s="135"/>
    </row>
    <row r="554" spans="1:16" s="133" customFormat="1" ht="15" customHeight="1">
      <c r="A554" s="1"/>
      <c r="B554" s="1"/>
      <c r="C554" s="134">
        <v>43131</v>
      </c>
      <c r="D554" s="135">
        <v>115.15</v>
      </c>
      <c r="O554" s="134"/>
      <c r="P554" s="135"/>
    </row>
    <row r="555" spans="1:16" s="133" customFormat="1" ht="15" customHeight="1">
      <c r="A555" s="1"/>
      <c r="B555" s="1"/>
      <c r="C555" s="134">
        <v>43132</v>
      </c>
      <c r="D555" s="135">
        <v>115.99</v>
      </c>
      <c r="O555" s="134"/>
      <c r="P555" s="135"/>
    </row>
    <row r="556" spans="1:16" s="133" customFormat="1" ht="15" customHeight="1">
      <c r="A556" s="1"/>
      <c r="B556" s="1"/>
      <c r="C556" s="134">
        <v>43133</v>
      </c>
      <c r="D556" s="135">
        <v>114.71</v>
      </c>
      <c r="O556" s="134"/>
      <c r="P556" s="135"/>
    </row>
    <row r="557" spans="1:16" s="133" customFormat="1" ht="15" customHeight="1">
      <c r="A557" s="1"/>
      <c r="B557" s="1"/>
      <c r="C557" s="134">
        <v>43136</v>
      </c>
      <c r="D557" s="135">
        <v>107.8</v>
      </c>
      <c r="O557" s="134"/>
      <c r="P557" s="135"/>
    </row>
    <row r="558" spans="1:16" s="133" customFormat="1" ht="15" customHeight="1">
      <c r="A558" s="1"/>
      <c r="B558" s="1"/>
      <c r="C558" s="134">
        <v>43137</v>
      </c>
      <c r="D558" s="135">
        <v>111.13</v>
      </c>
      <c r="O558" s="134"/>
      <c r="P558" s="135"/>
    </row>
    <row r="559" spans="1:16" s="133" customFormat="1" ht="15" customHeight="1">
      <c r="A559" s="1"/>
      <c r="B559" s="1"/>
      <c r="C559" s="134">
        <v>43138</v>
      </c>
      <c r="D559" s="135">
        <v>111.13</v>
      </c>
      <c r="O559" s="134"/>
      <c r="P559" s="135"/>
    </row>
    <row r="560" spans="1:16" s="133" customFormat="1" ht="15" customHeight="1">
      <c r="A560" s="1"/>
      <c r="B560" s="1"/>
      <c r="C560" s="134">
        <v>43139</v>
      </c>
      <c r="D560" s="135">
        <v>108.43</v>
      </c>
      <c r="O560" s="134"/>
      <c r="P560" s="135"/>
    </row>
    <row r="561" spans="1:16" s="133" customFormat="1" ht="15" customHeight="1">
      <c r="A561" s="1"/>
      <c r="B561" s="1"/>
      <c r="C561" s="134">
        <v>43140</v>
      </c>
      <c r="D561" s="135">
        <v>109.45</v>
      </c>
      <c r="O561" s="134"/>
      <c r="P561" s="135"/>
    </row>
    <row r="562" spans="1:16" s="133" customFormat="1" ht="15" customHeight="1">
      <c r="A562" s="1"/>
      <c r="B562" s="1"/>
      <c r="C562" s="134">
        <v>43143</v>
      </c>
      <c r="D562" s="135">
        <v>110.79</v>
      </c>
      <c r="O562" s="134"/>
      <c r="P562" s="135"/>
    </row>
    <row r="563" spans="1:16" s="133" customFormat="1" ht="15" customHeight="1">
      <c r="A563" s="1"/>
      <c r="B563" s="1"/>
      <c r="C563" s="134">
        <v>43144</v>
      </c>
      <c r="D563" s="135">
        <v>110.95</v>
      </c>
      <c r="O563" s="134"/>
      <c r="P563" s="135"/>
    </row>
    <row r="564" spans="1:16" s="133" customFormat="1" ht="15" customHeight="1">
      <c r="A564" s="1"/>
      <c r="B564" s="1"/>
      <c r="C564" s="134">
        <v>43145</v>
      </c>
      <c r="D564" s="135">
        <v>113.34</v>
      </c>
      <c r="O564" s="134"/>
      <c r="P564" s="135"/>
    </row>
    <row r="565" spans="1:16" s="133" customFormat="1" ht="15" customHeight="1">
      <c r="A565" s="1"/>
      <c r="B565" s="1"/>
      <c r="C565" s="134">
        <v>43146</v>
      </c>
      <c r="D565" s="135">
        <v>114.4</v>
      </c>
      <c r="O565" s="134"/>
      <c r="P565" s="135"/>
    </row>
    <row r="566" spans="1:16" s="133" customFormat="1" ht="15" customHeight="1">
      <c r="A566" s="1"/>
      <c r="B566" s="1"/>
      <c r="C566" s="134">
        <v>43147</v>
      </c>
      <c r="D566" s="135">
        <v>114.27</v>
      </c>
      <c r="O566" s="134"/>
      <c r="P566" s="135"/>
    </row>
    <row r="567" spans="1:16" s="133" customFormat="1" ht="15" customHeight="1">
      <c r="A567" s="1"/>
      <c r="B567" s="1"/>
      <c r="C567" s="134">
        <v>43151</v>
      </c>
      <c r="D567" s="135">
        <v>113.69</v>
      </c>
      <c r="O567" s="134"/>
      <c r="P567" s="135"/>
    </row>
    <row r="568" spans="1:16" s="133" customFormat="1" ht="15" customHeight="1">
      <c r="A568" s="1"/>
      <c r="B568" s="1"/>
      <c r="C568" s="134">
        <v>43152</v>
      </c>
      <c r="D568" s="135">
        <v>113.99</v>
      </c>
      <c r="O568" s="134"/>
      <c r="P568" s="135"/>
    </row>
    <row r="569" spans="1:16" s="133" customFormat="1" ht="15" customHeight="1">
      <c r="A569" s="1"/>
      <c r="B569" s="1"/>
      <c r="C569" s="134">
        <v>43153</v>
      </c>
      <c r="D569" s="135">
        <v>114.19</v>
      </c>
      <c r="O569" s="134"/>
      <c r="P569" s="135"/>
    </row>
    <row r="570" spans="1:16" s="133" customFormat="1" ht="15" customHeight="1">
      <c r="A570" s="1"/>
      <c r="B570" s="1"/>
      <c r="C570" s="134">
        <v>43154</v>
      </c>
      <c r="D570" s="135">
        <v>115.01</v>
      </c>
      <c r="O570" s="134"/>
      <c r="P570" s="135"/>
    </row>
    <row r="571" spans="1:16" s="133" customFormat="1" ht="15" customHeight="1">
      <c r="A571" s="1"/>
      <c r="B571" s="1"/>
      <c r="C571" s="134">
        <v>43157</v>
      </c>
      <c r="D571" s="135">
        <v>116.4</v>
      </c>
      <c r="O571" s="134"/>
      <c r="P571" s="135"/>
    </row>
    <row r="572" spans="1:16" s="133" customFormat="1" ht="15" customHeight="1">
      <c r="A572" s="1"/>
      <c r="B572" s="1"/>
      <c r="C572" s="134">
        <v>43158</v>
      </c>
      <c r="D572" s="135">
        <v>115.39</v>
      </c>
      <c r="O572" s="134"/>
      <c r="P572" s="135"/>
    </row>
    <row r="573" spans="1:16" s="133" customFormat="1" ht="15" customHeight="1">
      <c r="A573" s="1"/>
      <c r="B573" s="1"/>
      <c r="C573" s="134">
        <v>43159</v>
      </c>
      <c r="D573" s="135">
        <v>113.3</v>
      </c>
      <c r="O573" s="134"/>
      <c r="P573" s="135"/>
    </row>
    <row r="574" spans="1:16" s="133" customFormat="1" ht="15" customHeight="1">
      <c r="A574" s="1"/>
      <c r="B574" s="1"/>
      <c r="C574" s="134">
        <v>43160</v>
      </c>
      <c r="D574" s="135">
        <v>111.08</v>
      </c>
      <c r="O574" s="134"/>
      <c r="P574" s="135"/>
    </row>
    <row r="575" spans="1:16" s="133" customFormat="1" ht="15" customHeight="1">
      <c r="A575" s="1"/>
      <c r="B575" s="1"/>
      <c r="C575" s="134">
        <v>43161</v>
      </c>
      <c r="D575" s="135">
        <v>112.28</v>
      </c>
      <c r="O575" s="134"/>
      <c r="P575" s="135"/>
    </row>
    <row r="576" spans="1:16" s="133" customFormat="1" ht="15" customHeight="1">
      <c r="A576" s="1"/>
      <c r="B576" s="1"/>
      <c r="C576" s="134">
        <v>43164</v>
      </c>
      <c r="D576" s="135">
        <v>113.74</v>
      </c>
      <c r="O576" s="134"/>
      <c r="P576" s="135"/>
    </row>
    <row r="577" spans="1:16" s="133" customFormat="1" ht="15" customHeight="1">
      <c r="A577" s="1"/>
      <c r="B577" s="1"/>
      <c r="C577" s="134">
        <v>43165</v>
      </c>
      <c r="D577" s="135">
        <v>113.75</v>
      </c>
      <c r="O577" s="134"/>
      <c r="P577" s="135"/>
    </row>
    <row r="578" spans="1:16" s="133" customFormat="1" ht="15" customHeight="1">
      <c r="A578" s="1"/>
      <c r="B578" s="1"/>
      <c r="C578" s="134">
        <v>43166</v>
      </c>
      <c r="D578" s="135">
        <v>113.95</v>
      </c>
      <c r="O578" s="134"/>
      <c r="P578" s="135"/>
    </row>
    <row r="579" spans="1:16" s="133" customFormat="1" ht="15" customHeight="1">
      <c r="A579" s="1"/>
      <c r="B579" s="1"/>
      <c r="C579" s="134">
        <v>43167</v>
      </c>
      <c r="D579" s="135">
        <v>114.28</v>
      </c>
      <c r="O579" s="134"/>
      <c r="P579" s="135"/>
    </row>
    <row r="580" spans="1:16" s="133" customFormat="1" ht="15" customHeight="1">
      <c r="A580" s="1"/>
      <c r="B580" s="1"/>
      <c r="C580" s="134">
        <v>43168</v>
      </c>
      <c r="D580" s="135">
        <v>116.47</v>
      </c>
      <c r="O580" s="134"/>
      <c r="P580" s="135"/>
    </row>
    <row r="581" spans="1:16" s="133" customFormat="1" ht="15" customHeight="1">
      <c r="A581" s="1"/>
      <c r="B581" s="1"/>
      <c r="C581" s="134">
        <v>43171</v>
      </c>
      <c r="D581" s="135">
        <v>116.02</v>
      </c>
      <c r="O581" s="134"/>
      <c r="P581" s="135"/>
    </row>
    <row r="582" spans="1:16" s="133" customFormat="1" ht="15" customHeight="1">
      <c r="A582" s="1"/>
      <c r="B582" s="1"/>
      <c r="C582" s="134">
        <v>43172</v>
      </c>
      <c r="D582" s="135">
        <v>115.02</v>
      </c>
      <c r="O582" s="134"/>
      <c r="P582" s="135"/>
    </row>
    <row r="583" spans="1:16" s="133" customFormat="1" ht="15" customHeight="1">
      <c r="A583" s="1"/>
      <c r="B583" s="1"/>
      <c r="C583" s="134">
        <v>43173</v>
      </c>
      <c r="D583" s="135">
        <v>113.65</v>
      </c>
      <c r="O583" s="134"/>
      <c r="P583" s="135"/>
    </row>
    <row r="584" spans="1:16" s="133" customFormat="1" ht="15" customHeight="1">
      <c r="A584" s="1"/>
      <c r="B584" s="1"/>
      <c r="C584" s="134">
        <v>43174</v>
      </c>
      <c r="D584" s="135">
        <v>113.76</v>
      </c>
      <c r="O584" s="134"/>
      <c r="P584" s="135"/>
    </row>
    <row r="585" spans="1:16" s="133" customFormat="1" ht="15" customHeight="1">
      <c r="A585" s="1"/>
      <c r="B585" s="1"/>
      <c r="C585" s="134">
        <v>43175</v>
      </c>
      <c r="D585" s="135">
        <v>114.08</v>
      </c>
      <c r="O585" s="134"/>
      <c r="P585" s="135"/>
    </row>
    <row r="586" spans="1:16" s="133" customFormat="1" ht="15" customHeight="1">
      <c r="A586" s="1"/>
      <c r="B586" s="1"/>
      <c r="C586" s="134">
        <v>43178</v>
      </c>
      <c r="D586" s="135">
        <v>112.65</v>
      </c>
      <c r="O586" s="134"/>
      <c r="P586" s="135"/>
    </row>
    <row r="587" spans="1:16" s="133" customFormat="1" ht="15" customHeight="1">
      <c r="A587" s="1"/>
      <c r="B587" s="1"/>
      <c r="C587" s="134">
        <v>43179</v>
      </c>
      <c r="D587" s="135">
        <v>113.22</v>
      </c>
      <c r="O587" s="134"/>
      <c r="P587" s="135"/>
    </row>
    <row r="588" spans="1:16" s="133" customFormat="1" ht="15" customHeight="1">
      <c r="A588" s="1"/>
      <c r="B588" s="1"/>
      <c r="C588" s="134">
        <v>43180</v>
      </c>
      <c r="D588" s="135">
        <v>113.28</v>
      </c>
      <c r="O588" s="134"/>
      <c r="P588" s="135"/>
    </row>
    <row r="589" spans="1:16" s="133" customFormat="1" ht="15" customHeight="1">
      <c r="A589" s="1"/>
      <c r="B589" s="1"/>
      <c r="C589" s="134">
        <v>43181</v>
      </c>
      <c r="D589" s="135">
        <v>109.17</v>
      </c>
      <c r="O589" s="134"/>
      <c r="P589" s="135"/>
    </row>
    <row r="590" spans="1:16" s="133" customFormat="1" ht="15" customHeight="1">
      <c r="A590" s="1"/>
      <c r="B590" s="1"/>
      <c r="C590" s="134">
        <v>43182</v>
      </c>
      <c r="D590" s="135">
        <v>107.32</v>
      </c>
      <c r="O590" s="134"/>
      <c r="P590" s="135"/>
    </row>
    <row r="591" spans="1:16" s="133" customFormat="1" ht="15" customHeight="1">
      <c r="A591" s="1"/>
      <c r="B591" s="1"/>
      <c r="C591" s="134">
        <v>43185</v>
      </c>
      <c r="D591" s="135">
        <v>109.89</v>
      </c>
      <c r="O591" s="134"/>
      <c r="P591" s="135"/>
    </row>
    <row r="592" spans="1:16" s="133" customFormat="1" ht="15" customHeight="1">
      <c r="A592" s="1"/>
      <c r="B592" s="1"/>
      <c r="C592" s="134">
        <v>43186</v>
      </c>
      <c r="D592" s="135">
        <v>107.4</v>
      </c>
      <c r="O592" s="134"/>
      <c r="P592" s="135"/>
    </row>
    <row r="593" spans="1:16" s="133" customFormat="1" ht="15" customHeight="1">
      <c r="A593" s="1"/>
      <c r="B593" s="1"/>
      <c r="C593" s="134">
        <v>43187</v>
      </c>
      <c r="D593" s="135">
        <v>106.88</v>
      </c>
      <c r="O593" s="134"/>
      <c r="P593" s="135"/>
    </row>
    <row r="594" spans="1:16" s="133" customFormat="1" ht="15" customHeight="1">
      <c r="A594" s="1"/>
      <c r="B594" s="1"/>
      <c r="C594" s="134">
        <v>43188</v>
      </c>
      <c r="D594" s="135">
        <v>107.79</v>
      </c>
      <c r="O594" s="134"/>
      <c r="P594" s="135"/>
    </row>
    <row r="595" spans="1:16" s="133" customFormat="1" ht="15" customHeight="1">
      <c r="A595" s="1"/>
      <c r="B595" s="1"/>
      <c r="C595" s="134">
        <v>43192</v>
      </c>
      <c r="D595" s="135">
        <v>104.95</v>
      </c>
      <c r="O595" s="134"/>
      <c r="P595" s="135"/>
    </row>
    <row r="596" spans="1:16" s="133" customFormat="1" ht="15" customHeight="1">
      <c r="A596" s="1"/>
      <c r="B596" s="1"/>
      <c r="C596" s="134">
        <v>43193</v>
      </c>
      <c r="D596" s="135">
        <v>107.14</v>
      </c>
      <c r="O596" s="134"/>
      <c r="P596" s="135"/>
    </row>
    <row r="597" spans="1:16" s="133" customFormat="1" ht="15" customHeight="1">
      <c r="A597" s="1"/>
      <c r="B597" s="1"/>
      <c r="C597" s="134">
        <v>43194</v>
      </c>
      <c r="D597" s="135">
        <v>108.64</v>
      </c>
      <c r="O597" s="134"/>
      <c r="P597" s="135"/>
    </row>
    <row r="598" spans="1:16" s="133" customFormat="1" ht="15" customHeight="1">
      <c r="A598" s="1"/>
      <c r="B598" s="1"/>
      <c r="C598" s="134">
        <v>43195</v>
      </c>
      <c r="D598" s="135">
        <v>109.86</v>
      </c>
      <c r="O598" s="134"/>
      <c r="P598" s="135"/>
    </row>
    <row r="599" spans="1:16" s="133" customFormat="1" ht="15" customHeight="1">
      <c r="A599" s="1"/>
      <c r="B599" s="1"/>
      <c r="C599" s="134">
        <v>43196</v>
      </c>
      <c r="D599" s="135">
        <v>106.7</v>
      </c>
      <c r="O599" s="134"/>
      <c r="P599" s="135"/>
    </row>
    <row r="600" spans="1:16" s="133" customFormat="1" ht="15" customHeight="1">
      <c r="A600" s="1"/>
      <c r="B600" s="1"/>
      <c r="C600" s="134">
        <v>43199</v>
      </c>
      <c r="D600" s="135">
        <v>107.23</v>
      </c>
      <c r="O600" s="134"/>
      <c r="P600" s="135"/>
    </row>
    <row r="601" spans="1:16" s="133" customFormat="1" ht="15" customHeight="1">
      <c r="A601" s="1"/>
      <c r="B601" s="1"/>
      <c r="C601" s="134">
        <v>43200</v>
      </c>
      <c r="D601" s="135">
        <v>108.81</v>
      </c>
      <c r="O601" s="134"/>
      <c r="P601" s="135"/>
    </row>
    <row r="602" spans="1:16" s="133" customFormat="1" ht="15" customHeight="1">
      <c r="A602" s="1"/>
      <c r="B602" s="1"/>
      <c r="C602" s="134">
        <v>43201</v>
      </c>
      <c r="D602" s="135">
        <v>108.1</v>
      </c>
      <c r="O602" s="134"/>
      <c r="P602" s="135"/>
    </row>
    <row r="603" spans="1:16" s="133" customFormat="1" ht="15" customHeight="1">
      <c r="A603" s="1"/>
      <c r="B603" s="1"/>
      <c r="C603" s="134">
        <v>43202</v>
      </c>
      <c r="D603" s="135">
        <v>109.6</v>
      </c>
      <c r="O603" s="134"/>
      <c r="P603" s="135"/>
    </row>
    <row r="604" spans="1:16" s="133" customFormat="1" ht="15" customHeight="1">
      <c r="A604" s="1"/>
      <c r="B604" s="1"/>
      <c r="C604" s="134">
        <v>43203</v>
      </c>
      <c r="D604" s="135">
        <v>109.3</v>
      </c>
      <c r="O604" s="134"/>
      <c r="P604" s="135"/>
    </row>
    <row r="605" spans="1:16" s="133" customFormat="1" ht="15" customHeight="1">
      <c r="A605" s="1"/>
      <c r="B605" s="1"/>
      <c r="C605" s="134">
        <v>43206</v>
      </c>
      <c r="D605" s="135">
        <v>110.28</v>
      </c>
      <c r="O605" s="134"/>
      <c r="P605" s="135"/>
    </row>
    <row r="606" spans="1:16" s="133" customFormat="1" ht="15" customHeight="1">
      <c r="A606" s="1"/>
      <c r="B606" s="1"/>
      <c r="C606" s="134">
        <v>43207</v>
      </c>
      <c r="D606" s="135">
        <v>110.88</v>
      </c>
      <c r="O606" s="134"/>
      <c r="P606" s="135"/>
    </row>
    <row r="607" spans="1:16" s="133" customFormat="1" ht="15" customHeight="1">
      <c r="A607" s="1"/>
      <c r="B607" s="1"/>
      <c r="C607" s="134">
        <v>43208</v>
      </c>
      <c r="D607" s="135">
        <v>111.84</v>
      </c>
      <c r="O607" s="134"/>
      <c r="P607" s="135"/>
    </row>
    <row r="608" spans="1:16" s="133" customFormat="1" ht="15" customHeight="1">
      <c r="A608" s="1"/>
      <c r="B608" s="1"/>
      <c r="C608" s="134">
        <v>43209</v>
      </c>
      <c r="D608" s="135">
        <v>112.05</v>
      </c>
      <c r="O608" s="134"/>
      <c r="P608" s="135"/>
    </row>
    <row r="609" spans="1:16" s="133" customFormat="1" ht="15" customHeight="1">
      <c r="A609" s="1"/>
      <c r="B609" s="1"/>
      <c r="C609" s="134">
        <v>43210</v>
      </c>
      <c r="D609" s="135">
        <v>111.7</v>
      </c>
      <c r="O609" s="134"/>
      <c r="P609" s="135"/>
    </row>
    <row r="610" spans="1:16" s="133" customFormat="1" ht="15" customHeight="1">
      <c r="A610" s="1"/>
      <c r="B610" s="1"/>
      <c r="C610" s="134">
        <v>43213</v>
      </c>
      <c r="D610" s="135">
        <v>111.8</v>
      </c>
      <c r="O610" s="134"/>
      <c r="P610" s="135"/>
    </row>
    <row r="611" spans="1:16" s="133" customFormat="1" ht="15" customHeight="1">
      <c r="A611" s="1"/>
      <c r="B611" s="1"/>
      <c r="C611" s="134">
        <v>43214</v>
      </c>
      <c r="D611" s="135">
        <v>110.64</v>
      </c>
      <c r="O611" s="134"/>
      <c r="P611" s="135"/>
    </row>
    <row r="612" spans="1:16" s="133" customFormat="1" ht="15" customHeight="1">
      <c r="A612" s="1"/>
      <c r="B612" s="1"/>
      <c r="C612" s="134">
        <v>43215</v>
      </c>
      <c r="D612" s="135">
        <v>111.64</v>
      </c>
      <c r="O612" s="134"/>
      <c r="P612" s="135"/>
    </row>
    <row r="613" spans="1:16" s="133" customFormat="1" ht="15" customHeight="1">
      <c r="A613" s="1"/>
      <c r="B613" s="1"/>
      <c r="C613" s="134">
        <v>43216</v>
      </c>
      <c r="D613" s="135">
        <v>112.42</v>
      </c>
      <c r="O613" s="134"/>
      <c r="P613" s="135"/>
    </row>
    <row r="614" spans="1:16" s="133" customFormat="1" ht="15" customHeight="1">
      <c r="A614" s="1"/>
      <c r="B614" s="1"/>
      <c r="C614" s="134">
        <v>43217</v>
      </c>
      <c r="D614" s="135">
        <v>111.61</v>
      </c>
      <c r="O614" s="134"/>
      <c r="P614" s="135"/>
    </row>
    <row r="615" spans="1:16" s="133" customFormat="1" ht="15" customHeight="1">
      <c r="A615" s="1"/>
      <c r="B615" s="1"/>
      <c r="C615" s="134">
        <v>43220</v>
      </c>
      <c r="D615" s="135">
        <v>110.14</v>
      </c>
      <c r="O615" s="134"/>
      <c r="P615" s="135"/>
    </row>
    <row r="616" spans="1:16" s="133" customFormat="1" ht="15" customHeight="1">
      <c r="A616" s="1"/>
      <c r="B616" s="1"/>
      <c r="C616" s="134">
        <v>43221</v>
      </c>
      <c r="D616" s="135">
        <v>110.89</v>
      </c>
      <c r="O616" s="134"/>
      <c r="P616" s="135"/>
    </row>
    <row r="617" spans="1:16" s="133" customFormat="1" ht="15" customHeight="1">
      <c r="A617" s="1"/>
      <c r="B617" s="1"/>
      <c r="C617" s="134">
        <v>43222</v>
      </c>
      <c r="D617" s="135">
        <v>109.79</v>
      </c>
      <c r="O617" s="134"/>
      <c r="P617" s="135"/>
    </row>
    <row r="618" spans="1:16" s="133" customFormat="1" ht="15" customHeight="1">
      <c r="A618" s="1"/>
      <c r="B618" s="1"/>
      <c r="C618" s="134">
        <v>43223</v>
      </c>
      <c r="D618" s="135">
        <v>109.74</v>
      </c>
      <c r="O618" s="134"/>
      <c r="P618" s="135"/>
    </row>
    <row r="619" spans="1:16" s="133" customFormat="1" ht="15" customHeight="1">
      <c r="A619" s="1"/>
      <c r="B619" s="1"/>
      <c r="C619" s="134">
        <v>43224</v>
      </c>
      <c r="D619" s="135">
        <v>110.97</v>
      </c>
      <c r="O619" s="134"/>
      <c r="P619" s="135"/>
    </row>
    <row r="620" spans="1:16" s="133" customFormat="1" ht="15" customHeight="1">
      <c r="A620" s="1"/>
      <c r="B620" s="1"/>
      <c r="C620" s="134">
        <v>43227</v>
      </c>
      <c r="D620" s="135">
        <v>111.35</v>
      </c>
      <c r="O620" s="134"/>
      <c r="P620" s="135"/>
    </row>
    <row r="621" spans="1:16" s="133" customFormat="1" ht="15" customHeight="1">
      <c r="A621" s="1"/>
      <c r="B621" s="1"/>
      <c r="C621" s="134">
        <v>43228</v>
      </c>
      <c r="D621" s="135">
        <v>111.51</v>
      </c>
      <c r="O621" s="134"/>
      <c r="P621" s="135"/>
    </row>
    <row r="622" spans="1:16" s="133" customFormat="1" ht="15" customHeight="1">
      <c r="A622" s="1"/>
      <c r="B622" s="1"/>
      <c r="C622" s="134">
        <v>43229</v>
      </c>
      <c r="D622" s="135">
        <v>113.15</v>
      </c>
      <c r="O622" s="134"/>
      <c r="P622" s="135"/>
    </row>
    <row r="623" spans="1:16" s="133" customFormat="1" ht="15" customHeight="1">
      <c r="A623" s="1"/>
      <c r="B623" s="1"/>
      <c r="C623" s="134">
        <v>43230</v>
      </c>
      <c r="D623" s="135">
        <v>113.69</v>
      </c>
      <c r="O623" s="134"/>
      <c r="P623" s="135"/>
    </row>
    <row r="624" spans="1:16" s="133" customFormat="1" ht="15" customHeight="1">
      <c r="A624" s="1"/>
      <c r="B624" s="1"/>
      <c r="C624" s="134">
        <v>43231</v>
      </c>
      <c r="D624" s="135">
        <v>114.2</v>
      </c>
      <c r="O624" s="134"/>
      <c r="P624" s="135"/>
    </row>
    <row r="625" spans="1:16" s="133" customFormat="1" ht="15" customHeight="1">
      <c r="A625" s="1"/>
      <c r="B625" s="1"/>
      <c r="C625" s="134">
        <v>43234</v>
      </c>
      <c r="D625" s="135">
        <v>114.58</v>
      </c>
      <c r="O625" s="134"/>
      <c r="P625" s="135"/>
    </row>
    <row r="626" spans="1:16" s="133" customFormat="1" ht="15" customHeight="1">
      <c r="A626" s="1"/>
      <c r="B626" s="1"/>
      <c r="C626" s="134">
        <v>43235</v>
      </c>
      <c r="D626" s="135">
        <v>115.02</v>
      </c>
      <c r="O626" s="134"/>
      <c r="P626" s="135"/>
    </row>
    <row r="627" spans="1:16" s="133" customFormat="1" ht="15" customHeight="1">
      <c r="A627" s="1"/>
      <c r="B627" s="1"/>
      <c r="C627" s="134">
        <v>43236</v>
      </c>
      <c r="D627" s="135">
        <v>115.72</v>
      </c>
      <c r="O627" s="134"/>
      <c r="P627" s="135"/>
    </row>
    <row r="628" spans="1:16" s="133" customFormat="1" ht="15" customHeight="1">
      <c r="A628" s="1"/>
      <c r="B628" s="1"/>
      <c r="C628" s="134">
        <v>43237</v>
      </c>
      <c r="D628" s="135">
        <v>115.95</v>
      </c>
      <c r="O628" s="134"/>
      <c r="P628" s="135"/>
    </row>
    <row r="629" spans="1:16" s="133" customFormat="1" ht="15" customHeight="1">
      <c r="A629" s="1"/>
      <c r="B629" s="1"/>
      <c r="C629" s="134">
        <v>43238</v>
      </c>
      <c r="D629" s="135">
        <v>115.1</v>
      </c>
      <c r="O629" s="134"/>
      <c r="P629" s="135"/>
    </row>
    <row r="630" spans="1:16" s="133" customFormat="1" ht="15" customHeight="1">
      <c r="A630" s="1"/>
      <c r="B630" s="1"/>
      <c r="C630" s="134">
        <v>43241</v>
      </c>
      <c r="D630" s="135">
        <v>115.89</v>
      </c>
      <c r="O630" s="134"/>
      <c r="P630" s="135"/>
    </row>
    <row r="631" spans="1:16" s="133" customFormat="1" ht="15" customHeight="1">
      <c r="A631" s="1"/>
      <c r="B631" s="1"/>
      <c r="C631" s="134">
        <v>43242</v>
      </c>
      <c r="D631" s="135">
        <v>115.62</v>
      </c>
      <c r="O631" s="134"/>
      <c r="P631" s="135"/>
    </row>
    <row r="632" spans="1:16" s="133" customFormat="1" ht="15" customHeight="1">
      <c r="A632" s="1"/>
      <c r="B632" s="1"/>
      <c r="C632" s="134">
        <v>43243</v>
      </c>
      <c r="D632" s="135">
        <v>115.04</v>
      </c>
      <c r="O632" s="134"/>
      <c r="P632" s="135"/>
    </row>
    <row r="633" spans="1:16" s="133" customFormat="1" ht="15" customHeight="1">
      <c r="A633" s="1"/>
      <c r="B633" s="1"/>
      <c r="C633" s="134">
        <v>43244</v>
      </c>
      <c r="D633" s="135">
        <v>114.45</v>
      </c>
      <c r="O633" s="134"/>
      <c r="P633" s="135"/>
    </row>
    <row r="634" spans="1:16" s="133" customFormat="1" ht="15" customHeight="1">
      <c r="A634" s="1"/>
      <c r="B634" s="1"/>
      <c r="C634" s="134">
        <v>43245</v>
      </c>
      <c r="D634" s="135">
        <v>113.34</v>
      </c>
      <c r="O634" s="134"/>
      <c r="P634" s="135"/>
    </row>
    <row r="635" spans="1:16" s="133" customFormat="1" ht="15" customHeight="1">
      <c r="A635" s="1"/>
      <c r="B635" s="1"/>
      <c r="C635" s="134">
        <v>43249</v>
      </c>
      <c r="D635" s="135">
        <v>110.25</v>
      </c>
      <c r="O635" s="134"/>
      <c r="P635" s="135"/>
    </row>
    <row r="636" spans="1:16" s="133" customFormat="1" ht="15" customHeight="1">
      <c r="A636" s="1"/>
      <c r="B636" s="1"/>
      <c r="C636" s="134">
        <v>43250</v>
      </c>
      <c r="D636" s="135">
        <v>112.19</v>
      </c>
      <c r="O636" s="134"/>
      <c r="P636" s="135"/>
    </row>
    <row r="637" spans="1:16" s="133" customFormat="1" ht="15" customHeight="1">
      <c r="A637" s="1"/>
      <c r="B637" s="1"/>
      <c r="C637" s="134">
        <v>43251</v>
      </c>
      <c r="D637" s="135">
        <v>111</v>
      </c>
      <c r="O637" s="134"/>
      <c r="P637" s="135"/>
    </row>
    <row r="638" spans="1:16" s="133" customFormat="1" ht="15" customHeight="1">
      <c r="A638" s="1"/>
      <c r="B638" s="1"/>
      <c r="C638" s="134">
        <v>43252</v>
      </c>
      <c r="D638" s="135">
        <v>113.08</v>
      </c>
      <c r="O638" s="134"/>
      <c r="P638" s="135"/>
    </row>
    <row r="639" spans="1:16" s="133" customFormat="1" ht="15" customHeight="1">
      <c r="A639" s="1"/>
      <c r="B639" s="1"/>
      <c r="C639" s="134">
        <v>43255</v>
      </c>
      <c r="D639" s="135">
        <v>114.12</v>
      </c>
      <c r="O639" s="134"/>
      <c r="P639" s="135"/>
    </row>
    <row r="640" spans="1:16" s="133" customFormat="1" ht="15" customHeight="1">
      <c r="A640" s="1"/>
      <c r="B640" s="1"/>
      <c r="C640" s="134">
        <v>43256</v>
      </c>
      <c r="D640" s="135">
        <v>114.2</v>
      </c>
      <c r="O640" s="134"/>
      <c r="P640" s="135"/>
    </row>
    <row r="641" spans="1:16" s="133" customFormat="1" ht="15" customHeight="1">
      <c r="A641" s="1"/>
      <c r="B641" s="1"/>
      <c r="C641" s="134">
        <v>43257</v>
      </c>
      <c r="D641" s="135">
        <v>115.91</v>
      </c>
      <c r="O641" s="134"/>
      <c r="P641" s="135"/>
    </row>
    <row r="642" spans="1:16" s="133" customFormat="1" ht="15" customHeight="1">
      <c r="A642" s="1"/>
      <c r="B642" s="1"/>
      <c r="C642" s="134">
        <v>43258</v>
      </c>
      <c r="D642" s="135">
        <v>115.21</v>
      </c>
      <c r="O642" s="134"/>
      <c r="P642" s="135"/>
    </row>
    <row r="643" spans="1:16" s="133" customFormat="1" ht="15" customHeight="1">
      <c r="A643" s="1"/>
      <c r="B643" s="1"/>
      <c r="C643" s="134">
        <v>43259</v>
      </c>
      <c r="D643" s="135">
        <v>115.56</v>
      </c>
      <c r="O643" s="134"/>
      <c r="P643" s="135"/>
    </row>
    <row r="644" spans="1:16" s="133" customFormat="1" ht="15" customHeight="1">
      <c r="A644" s="1"/>
      <c r="B644" s="1"/>
      <c r="C644" s="134">
        <v>43262</v>
      </c>
      <c r="D644" s="135">
        <v>116.06</v>
      </c>
      <c r="O644" s="134"/>
      <c r="P644" s="135"/>
    </row>
    <row r="645" spans="1:16" s="133" customFormat="1" ht="15" customHeight="1">
      <c r="A645" s="1"/>
      <c r="B645" s="1"/>
      <c r="C645" s="134">
        <v>43263</v>
      </c>
      <c r="D645" s="135">
        <v>116.05</v>
      </c>
      <c r="O645" s="134"/>
      <c r="P645" s="135"/>
    </row>
    <row r="646" spans="1:16" s="133" customFormat="1" ht="15" customHeight="1">
      <c r="A646" s="1"/>
      <c r="B646" s="1"/>
      <c r="C646" s="134">
        <v>43264</v>
      </c>
      <c r="D646" s="135">
        <v>115.92</v>
      </c>
      <c r="O646" s="134"/>
      <c r="P646" s="135"/>
    </row>
    <row r="647" spans="1:16" s="133" customFormat="1" ht="15" customHeight="1">
      <c r="A647" s="1"/>
      <c r="B647" s="1"/>
      <c r="C647" s="134">
        <v>43265</v>
      </c>
      <c r="D647" s="135">
        <v>115.77</v>
      </c>
      <c r="O647" s="134"/>
      <c r="P647" s="135"/>
    </row>
    <row r="648" spans="1:16" s="133" customFormat="1" ht="15" customHeight="1">
      <c r="A648" s="1"/>
      <c r="B648" s="1"/>
      <c r="C648" s="134">
        <v>43266</v>
      </c>
      <c r="D648" s="135">
        <v>115.3</v>
      </c>
      <c r="O648" s="134"/>
      <c r="P648" s="135"/>
    </row>
    <row r="649" spans="1:16" s="133" customFormat="1" ht="15" customHeight="1">
      <c r="A649" s="1"/>
      <c r="B649" s="1"/>
      <c r="C649" s="134">
        <v>43269</v>
      </c>
      <c r="D649" s="135">
        <v>115.2</v>
      </c>
      <c r="O649" s="134"/>
      <c r="P649" s="135"/>
    </row>
    <row r="650" spans="1:16" s="133" customFormat="1" ht="15" customHeight="1">
      <c r="A650" s="1"/>
      <c r="B650" s="1"/>
      <c r="C650" s="134">
        <v>43270</v>
      </c>
      <c r="D650" s="135">
        <v>114.22</v>
      </c>
      <c r="O650" s="134"/>
      <c r="P650" s="135"/>
    </row>
    <row r="651" spans="1:16" s="133" customFormat="1" ht="15" customHeight="1">
      <c r="A651" s="1"/>
      <c r="B651" s="1"/>
      <c r="C651" s="134">
        <v>43271</v>
      </c>
      <c r="D651" s="135">
        <v>114.94</v>
      </c>
      <c r="O651" s="134"/>
      <c r="P651" s="135"/>
    </row>
    <row r="652" spans="1:16" s="133" customFormat="1" ht="15" customHeight="1">
      <c r="A652" s="1"/>
      <c r="B652" s="1"/>
      <c r="C652" s="134">
        <v>43272</v>
      </c>
      <c r="D652" s="135">
        <v>113.76</v>
      </c>
      <c r="O652" s="134"/>
      <c r="P652" s="135"/>
    </row>
    <row r="653" spans="1:16" s="133" customFormat="1" ht="15" customHeight="1">
      <c r="A653" s="1"/>
      <c r="B653" s="1"/>
      <c r="C653" s="134">
        <v>43273</v>
      </c>
      <c r="D653" s="135">
        <v>114.05</v>
      </c>
      <c r="O653" s="134"/>
      <c r="P653" s="135"/>
    </row>
    <row r="654" spans="1:16" s="133" customFormat="1" ht="15" customHeight="1">
      <c r="A654" s="1"/>
      <c r="B654" s="1"/>
      <c r="C654" s="134">
        <v>43276</v>
      </c>
      <c r="D654" s="135">
        <v>112.23</v>
      </c>
      <c r="O654" s="134"/>
      <c r="P654" s="135"/>
    </row>
    <row r="655" spans="1:16" s="133" customFormat="1" ht="15" customHeight="1">
      <c r="A655" s="1"/>
      <c r="B655" s="1"/>
      <c r="C655" s="134">
        <v>43277</v>
      </c>
      <c r="D655" s="135">
        <v>112.57</v>
      </c>
      <c r="O655" s="134"/>
      <c r="P655" s="135"/>
    </row>
    <row r="656" spans="1:16" s="133" customFormat="1" ht="15" customHeight="1">
      <c r="A656" s="1"/>
      <c r="B656" s="1"/>
      <c r="C656" s="134">
        <v>43278</v>
      </c>
      <c r="D656" s="135">
        <v>110.8</v>
      </c>
      <c r="O656" s="134"/>
      <c r="P656" s="135"/>
    </row>
    <row r="657" spans="1:16" s="133" customFormat="1" ht="15" customHeight="1">
      <c r="A657" s="1"/>
      <c r="B657" s="1"/>
      <c r="C657" s="134">
        <v>43279</v>
      </c>
      <c r="D657" s="135">
        <v>111.64</v>
      </c>
      <c r="O657" s="134"/>
      <c r="P657" s="135"/>
    </row>
    <row r="658" spans="1:16" s="133" customFormat="1" ht="15" customHeight="1">
      <c r="A658" s="1"/>
      <c r="B658" s="1"/>
      <c r="C658" s="134">
        <v>43280</v>
      </c>
      <c r="D658" s="135">
        <v>111.7</v>
      </c>
      <c r="O658" s="134"/>
      <c r="P658" s="135"/>
    </row>
    <row r="659" spans="1:16" s="133" customFormat="1" ht="15" customHeight="1">
      <c r="A659" s="1"/>
      <c r="B659" s="1"/>
      <c r="C659" s="134">
        <v>43283</v>
      </c>
      <c r="D659" s="135">
        <v>112.15</v>
      </c>
      <c r="O659" s="134"/>
      <c r="P659" s="135"/>
    </row>
    <row r="660" spans="1:16" s="133" customFormat="1" ht="15" customHeight="1">
      <c r="A660" s="1"/>
      <c r="B660" s="1"/>
      <c r="C660" s="134">
        <v>43284</v>
      </c>
      <c r="D660" s="135">
        <v>111.12</v>
      </c>
      <c r="O660" s="134"/>
      <c r="P660" s="135"/>
    </row>
    <row r="661" spans="1:16" s="133" customFormat="1" ht="15" customHeight="1">
      <c r="A661" s="1"/>
      <c r="B661" s="1"/>
      <c r="C661" s="134">
        <v>43286</v>
      </c>
      <c r="D661" s="135">
        <v>112.05</v>
      </c>
      <c r="O661" s="134"/>
      <c r="P661" s="135"/>
    </row>
    <row r="662" spans="1:16" s="133" customFormat="1" ht="15" customHeight="1">
      <c r="A662" s="1"/>
      <c r="B662" s="1"/>
      <c r="C662" s="134">
        <v>43287</v>
      </c>
      <c r="D662" s="135">
        <v>112.94</v>
      </c>
      <c r="O662" s="134"/>
      <c r="P662" s="135"/>
    </row>
    <row r="663" spans="1:16" s="133" customFormat="1" ht="15" customHeight="1">
      <c r="A663" s="1"/>
      <c r="B663" s="1"/>
      <c r="C663" s="134">
        <v>43290</v>
      </c>
      <c r="D663" s="135">
        <v>114.37</v>
      </c>
      <c r="O663" s="134"/>
      <c r="P663" s="135"/>
    </row>
    <row r="664" spans="1:16" s="133" customFormat="1" ht="15" customHeight="1">
      <c r="A664" s="1"/>
      <c r="B664" s="1"/>
      <c r="C664" s="134">
        <v>43291</v>
      </c>
      <c r="D664" s="135">
        <v>114.85</v>
      </c>
      <c r="O664" s="134"/>
      <c r="P664" s="135"/>
    </row>
    <row r="665" spans="1:16" s="133" customFormat="1" ht="15" customHeight="1">
      <c r="A665" s="1"/>
      <c r="B665" s="1"/>
      <c r="C665" s="134">
        <v>43292</v>
      </c>
      <c r="D665" s="135">
        <v>113.55</v>
      </c>
      <c r="O665" s="134"/>
      <c r="P665" s="135"/>
    </row>
    <row r="666" spans="1:16" s="133" customFormat="1" ht="15" customHeight="1">
      <c r="A666" s="1"/>
      <c r="B666" s="1"/>
      <c r="C666" s="134">
        <v>43293</v>
      </c>
      <c r="D666" s="135">
        <v>114.71</v>
      </c>
      <c r="O666" s="134"/>
      <c r="P666" s="135"/>
    </row>
    <row r="667" spans="1:16" s="133" customFormat="1" ht="15" customHeight="1">
      <c r="A667" s="1"/>
      <c r="B667" s="1"/>
      <c r="C667" s="134">
        <v>43294</v>
      </c>
      <c r="D667" s="135">
        <v>114.59</v>
      </c>
      <c r="O667" s="134"/>
      <c r="P667" s="135"/>
    </row>
    <row r="668" spans="1:16" s="133" customFormat="1" ht="15" customHeight="1">
      <c r="A668" s="1"/>
      <c r="B668" s="1"/>
      <c r="C668" s="134">
        <v>43297</v>
      </c>
      <c r="D668" s="135">
        <v>114.77</v>
      </c>
      <c r="O668" s="134"/>
      <c r="P668" s="135"/>
    </row>
    <row r="669" spans="1:16" s="133" customFormat="1" ht="15" customHeight="1">
      <c r="A669" s="1"/>
      <c r="B669" s="1"/>
      <c r="C669" s="134">
        <v>43298</v>
      </c>
      <c r="D669" s="135">
        <v>115.46</v>
      </c>
      <c r="O669" s="134"/>
      <c r="P669" s="135"/>
    </row>
    <row r="670" spans="1:16" s="133" customFormat="1" ht="15" customHeight="1">
      <c r="A670" s="1"/>
      <c r="B670" s="1"/>
      <c r="C670" s="134">
        <v>43299</v>
      </c>
      <c r="D670" s="135">
        <v>115.91</v>
      </c>
      <c r="O670" s="134"/>
      <c r="P670" s="135"/>
    </row>
    <row r="671" spans="1:16" s="133" customFormat="1" ht="15" customHeight="1">
      <c r="A671" s="1"/>
      <c r="B671" s="1"/>
      <c r="C671" s="134">
        <v>43300</v>
      </c>
      <c r="D671" s="135">
        <v>115.02</v>
      </c>
      <c r="O671" s="134"/>
      <c r="P671" s="135"/>
    </row>
    <row r="672" spans="1:16" s="133" customFormat="1" ht="15" customHeight="1">
      <c r="A672" s="1"/>
      <c r="B672" s="1"/>
      <c r="C672" s="134">
        <v>43301</v>
      </c>
      <c r="D672" s="135">
        <v>115.71</v>
      </c>
      <c r="O672" s="134"/>
      <c r="P672" s="135"/>
    </row>
    <row r="673" spans="1:16" s="133" customFormat="1" ht="15" customHeight="1">
      <c r="A673" s="1"/>
      <c r="B673" s="1"/>
      <c r="C673" s="134">
        <v>43304</v>
      </c>
      <c r="D673" s="135">
        <v>117.3</v>
      </c>
      <c r="O673" s="134"/>
      <c r="P673" s="135"/>
    </row>
    <row r="674" spans="1:16" s="133" customFormat="1" ht="15" customHeight="1">
      <c r="A674" s="1"/>
      <c r="B674" s="1"/>
      <c r="C674" s="134">
        <v>43305</v>
      </c>
      <c r="D674" s="135">
        <v>117.37</v>
      </c>
      <c r="O674" s="134"/>
      <c r="P674" s="135"/>
    </row>
    <row r="675" spans="1:16" s="133" customFormat="1" ht="15" customHeight="1">
      <c r="A675" s="1"/>
      <c r="B675" s="1"/>
      <c r="C675" s="134">
        <v>43306</v>
      </c>
      <c r="D675" s="135">
        <v>118.04</v>
      </c>
      <c r="O675" s="134"/>
      <c r="P675" s="135"/>
    </row>
    <row r="676" spans="1:16" s="133" customFormat="1" ht="15" customHeight="1">
      <c r="A676" s="1"/>
      <c r="B676" s="1"/>
      <c r="C676" s="134">
        <v>43307</v>
      </c>
      <c r="D676" s="135">
        <v>118.69</v>
      </c>
      <c r="O676" s="134"/>
      <c r="P676" s="135"/>
    </row>
    <row r="677" spans="1:16" s="133" customFormat="1" ht="15" customHeight="1">
      <c r="A677" s="1"/>
      <c r="B677" s="1"/>
      <c r="C677" s="134">
        <v>43308</v>
      </c>
      <c r="D677" s="135">
        <v>117.45</v>
      </c>
      <c r="O677" s="134"/>
      <c r="P677" s="135"/>
    </row>
    <row r="678" spans="1:16" s="133" customFormat="1" ht="15" customHeight="1">
      <c r="A678" s="1"/>
      <c r="B678" s="1"/>
      <c r="C678" s="134">
        <v>43311</v>
      </c>
      <c r="D678" s="135">
        <v>117.13</v>
      </c>
      <c r="O678" s="134"/>
      <c r="P678" s="135"/>
    </row>
    <row r="679" spans="1:16" s="133" customFormat="1" ht="15" customHeight="1">
      <c r="A679" s="1"/>
      <c r="B679" s="1"/>
      <c r="C679" s="134">
        <v>43312</v>
      </c>
      <c r="D679" s="135">
        <v>117.43</v>
      </c>
      <c r="O679" s="134"/>
      <c r="P679" s="135"/>
    </row>
    <row r="680" spans="1:16" s="133" customFormat="1" ht="15" customHeight="1">
      <c r="A680" s="1"/>
      <c r="B680" s="1"/>
      <c r="C680" s="134">
        <v>43313</v>
      </c>
      <c r="D680" s="135">
        <v>117.79</v>
      </c>
      <c r="O680" s="134"/>
      <c r="P680" s="135"/>
    </row>
    <row r="681" spans="1:16" s="133" customFormat="1" ht="15" customHeight="1">
      <c r="A681" s="1"/>
      <c r="B681" s="1"/>
      <c r="C681" s="134">
        <v>43314</v>
      </c>
      <c r="D681" s="135">
        <v>118.36</v>
      </c>
      <c r="O681" s="134"/>
      <c r="P681" s="135"/>
    </row>
    <row r="682" spans="1:16" s="133" customFormat="1" ht="15" customHeight="1">
      <c r="A682" s="1"/>
      <c r="B682" s="1"/>
      <c r="C682" s="134">
        <v>43315</v>
      </c>
      <c r="D682" s="135">
        <v>118.38</v>
      </c>
      <c r="O682" s="134"/>
      <c r="P682" s="135"/>
    </row>
    <row r="683" spans="1:16" s="133" customFormat="1" ht="15" customHeight="1">
      <c r="A683" s="1"/>
      <c r="B683" s="1"/>
      <c r="C683" s="134">
        <v>43318</v>
      </c>
      <c r="D683" s="135">
        <v>118.61</v>
      </c>
      <c r="O683" s="134"/>
      <c r="P683" s="135"/>
    </row>
    <row r="684" spans="1:16" s="133" customFormat="1" ht="15" customHeight="1">
      <c r="A684" s="1"/>
      <c r="B684" s="1"/>
      <c r="C684" s="134">
        <v>43319</v>
      </c>
      <c r="D684" s="135">
        <v>119.56</v>
      </c>
      <c r="O684" s="134"/>
      <c r="P684" s="135"/>
    </row>
    <row r="685" spans="1:16" s="133" customFormat="1" ht="15" customHeight="1">
      <c r="A685" s="1"/>
      <c r="B685" s="1"/>
      <c r="C685" s="134">
        <v>43320</v>
      </c>
      <c r="D685" s="135">
        <v>119.36</v>
      </c>
      <c r="O685" s="134"/>
      <c r="P685" s="135"/>
    </row>
    <row r="686" spans="1:16" s="133" customFormat="1" ht="15" customHeight="1">
      <c r="A686" s="1"/>
      <c r="B686" s="1"/>
      <c r="C686" s="134">
        <v>43321</v>
      </c>
      <c r="D686" s="135">
        <v>118.75</v>
      </c>
      <c r="O686" s="134"/>
      <c r="P686" s="135"/>
    </row>
    <row r="687" spans="1:16" s="133" customFormat="1" ht="15" customHeight="1">
      <c r="A687" s="1"/>
      <c r="B687" s="1"/>
      <c r="C687" s="134">
        <v>43322</v>
      </c>
      <c r="D687" s="135">
        <v>116.91</v>
      </c>
      <c r="O687" s="134"/>
      <c r="P687" s="135"/>
    </row>
    <row r="688" spans="1:16" s="133" customFormat="1" ht="15" customHeight="1">
      <c r="A688" s="1"/>
      <c r="B688" s="1"/>
      <c r="C688" s="134">
        <v>43325</v>
      </c>
      <c r="D688" s="135">
        <v>116.75</v>
      </c>
      <c r="O688" s="134"/>
      <c r="P688" s="135"/>
    </row>
    <row r="689" spans="1:16" s="133" customFormat="1" ht="15" customHeight="1">
      <c r="A689" s="1"/>
      <c r="B689" s="1"/>
      <c r="C689" s="134">
        <v>43326</v>
      </c>
      <c r="D689" s="135">
        <v>117.62</v>
      </c>
      <c r="O689" s="134"/>
      <c r="P689" s="135"/>
    </row>
    <row r="690" spans="1:16" s="133" customFormat="1" ht="15" customHeight="1">
      <c r="A690" s="1"/>
      <c r="B690" s="1"/>
      <c r="C690" s="134">
        <v>43327</v>
      </c>
      <c r="D690" s="135">
        <v>116.22</v>
      </c>
      <c r="O690" s="134"/>
      <c r="P690" s="135"/>
    </row>
    <row r="691" spans="1:16" s="133" customFormat="1" ht="15" customHeight="1">
      <c r="A691" s="1"/>
      <c r="B691" s="1"/>
      <c r="C691" s="134">
        <v>43328</v>
      </c>
      <c r="D691" s="135">
        <v>117.37</v>
      </c>
      <c r="O691" s="134"/>
      <c r="P691" s="135"/>
    </row>
    <row r="692" spans="1:16" s="133" customFormat="1" ht="15" customHeight="1">
      <c r="A692" s="1"/>
      <c r="B692" s="1"/>
      <c r="C692" s="134">
        <v>43329</v>
      </c>
      <c r="D692" s="135">
        <v>117.69</v>
      </c>
      <c r="O692" s="134"/>
      <c r="P692" s="135"/>
    </row>
    <row r="693" spans="1:16" s="133" customFormat="1" ht="15" customHeight="1">
      <c r="A693" s="1"/>
      <c r="B693" s="1"/>
      <c r="C693" s="134">
        <v>43332</v>
      </c>
      <c r="D693" s="135">
        <v>117.2</v>
      </c>
      <c r="O693" s="134"/>
      <c r="P693" s="135"/>
    </row>
    <row r="694" spans="1:16" s="133" customFormat="1" ht="15" customHeight="1">
      <c r="A694" s="1"/>
      <c r="B694" s="1"/>
      <c r="C694" s="134">
        <v>43333</v>
      </c>
      <c r="D694" s="135">
        <v>117.62</v>
      </c>
      <c r="O694" s="134"/>
      <c r="P694" s="135"/>
    </row>
    <row r="695" spans="1:16" s="133" customFormat="1" ht="15" customHeight="1">
      <c r="A695" s="1"/>
      <c r="B695" s="1"/>
      <c r="C695" s="134">
        <v>43334</v>
      </c>
      <c r="D695" s="135">
        <v>117.33</v>
      </c>
      <c r="O695" s="134"/>
      <c r="P695" s="135"/>
    </row>
    <row r="696" spans="1:16" s="133" customFormat="1" ht="15" customHeight="1">
      <c r="A696" s="1"/>
      <c r="B696" s="1"/>
      <c r="C696" s="134">
        <v>43335</v>
      </c>
      <c r="D696" s="135">
        <v>117.05</v>
      </c>
      <c r="O696" s="134"/>
      <c r="P696" s="135"/>
    </row>
    <row r="697" spans="1:16" s="133" customFormat="1" ht="15" customHeight="1">
      <c r="A697" s="1"/>
      <c r="B697" s="1"/>
      <c r="C697" s="134">
        <v>43336</v>
      </c>
      <c r="D697" s="135">
        <v>117.87</v>
      </c>
      <c r="O697" s="134"/>
      <c r="P697" s="135"/>
    </row>
    <row r="698" spans="1:16" s="133" customFormat="1" ht="15" customHeight="1">
      <c r="A698" s="1"/>
      <c r="B698" s="1"/>
      <c r="C698" s="134">
        <v>43339</v>
      </c>
      <c r="D698" s="135">
        <v>119.16</v>
      </c>
      <c r="O698" s="134"/>
      <c r="P698" s="135"/>
    </row>
    <row r="699" spans="1:16" s="133" customFormat="1" ht="15" customHeight="1">
      <c r="A699" s="1"/>
      <c r="B699" s="1"/>
      <c r="C699" s="134">
        <v>43340</v>
      </c>
      <c r="D699" s="135">
        <v>119.77</v>
      </c>
      <c r="O699" s="134"/>
      <c r="P699" s="135"/>
    </row>
    <row r="700" spans="1:16" s="133" customFormat="1" ht="15" customHeight="1">
      <c r="A700" s="1"/>
      <c r="B700" s="1"/>
      <c r="C700" s="134">
        <v>43341</v>
      </c>
      <c r="D700" s="135">
        <v>120.28</v>
      </c>
      <c r="O700" s="134"/>
      <c r="P700" s="135"/>
    </row>
    <row r="701" spans="1:16" s="133" customFormat="1" ht="15" customHeight="1">
      <c r="A701" s="1"/>
      <c r="B701" s="1"/>
      <c r="C701" s="134">
        <v>43342</v>
      </c>
      <c r="D701" s="135">
        <v>119.45</v>
      </c>
      <c r="O701" s="134"/>
      <c r="P701" s="135"/>
    </row>
    <row r="702" spans="1:16" s="133" customFormat="1" ht="15" customHeight="1">
      <c r="A702" s="1"/>
      <c r="B702" s="1"/>
      <c r="C702" s="134">
        <v>43343</v>
      </c>
      <c r="D702" s="135">
        <v>119.46</v>
      </c>
      <c r="O702" s="134"/>
      <c r="P702" s="135"/>
    </row>
    <row r="703" spans="1:16" s="133" customFormat="1" ht="15" customHeight="1">
      <c r="A703" s="1"/>
      <c r="B703" s="1"/>
      <c r="C703" s="134">
        <v>43347</v>
      </c>
      <c r="D703" s="135">
        <v>120.24</v>
      </c>
      <c r="O703" s="134"/>
      <c r="P703" s="135"/>
    </row>
    <row r="704" spans="1:16" s="133" customFormat="1" ht="15" customHeight="1">
      <c r="A704" s="1"/>
      <c r="B704" s="1"/>
      <c r="C704" s="134">
        <v>43348</v>
      </c>
      <c r="D704" s="135">
        <v>119.83</v>
      </c>
      <c r="O704" s="134"/>
      <c r="P704" s="135"/>
    </row>
    <row r="705" spans="1:16" s="133" customFormat="1" ht="15" customHeight="1">
      <c r="A705" s="1"/>
      <c r="B705" s="1"/>
      <c r="C705" s="134">
        <v>43349</v>
      </c>
      <c r="D705" s="135">
        <v>119.03</v>
      </c>
      <c r="O705" s="134"/>
      <c r="P705" s="135"/>
    </row>
    <row r="706" spans="1:16" s="133" customFormat="1" ht="15" customHeight="1">
      <c r="A706" s="1"/>
      <c r="B706" s="1"/>
      <c r="C706" s="134">
        <v>43350</v>
      </c>
      <c r="D706" s="135">
        <v>119.75</v>
      </c>
      <c r="O706" s="134"/>
      <c r="P706" s="135"/>
    </row>
    <row r="707" spans="1:16" s="133" customFormat="1" ht="15" customHeight="1">
      <c r="A707" s="1"/>
      <c r="B707" s="1"/>
      <c r="C707" s="134">
        <v>43353</v>
      </c>
      <c r="D707" s="135">
        <v>119.86</v>
      </c>
      <c r="O707" s="134"/>
      <c r="P707" s="135"/>
    </row>
    <row r="708" spans="1:16" s="133" customFormat="1" ht="15" customHeight="1">
      <c r="A708" s="1"/>
      <c r="B708" s="1"/>
      <c r="C708" s="134">
        <v>43354</v>
      </c>
      <c r="D708" s="135">
        <v>120.9</v>
      </c>
      <c r="O708" s="134"/>
      <c r="P708" s="135"/>
    </row>
    <row r="709" spans="1:16" s="133" customFormat="1" ht="15" customHeight="1">
      <c r="A709" s="1"/>
      <c r="B709" s="1"/>
      <c r="C709" s="134">
        <v>43355</v>
      </c>
      <c r="D709" s="135">
        <v>120.59</v>
      </c>
      <c r="O709" s="134"/>
      <c r="P709" s="135"/>
    </row>
    <row r="710" spans="1:16" s="133" customFormat="1" ht="15" customHeight="1">
      <c r="A710" s="1"/>
      <c r="B710" s="1"/>
      <c r="C710" s="134">
        <v>43356</v>
      </c>
      <c r="D710" s="135">
        <v>121.21</v>
      </c>
      <c r="O710" s="134"/>
      <c r="P710" s="135"/>
    </row>
    <row r="711" spans="1:16" s="133" customFormat="1" ht="15" customHeight="1">
      <c r="A711" s="1"/>
      <c r="B711" s="1"/>
      <c r="C711" s="134">
        <v>43357</v>
      </c>
      <c r="D711" s="135">
        <v>121.79</v>
      </c>
      <c r="O711" s="134"/>
      <c r="P711" s="135"/>
    </row>
    <row r="712" spans="1:16" s="133" customFormat="1" ht="15" customHeight="1">
      <c r="A712" s="1"/>
      <c r="B712" s="1"/>
      <c r="C712" s="134">
        <v>43360</v>
      </c>
      <c r="D712" s="135">
        <v>121.27</v>
      </c>
      <c r="O712" s="134"/>
      <c r="P712" s="135"/>
    </row>
    <row r="713" spans="1:16" s="133" customFormat="1" ht="15" customHeight="1">
      <c r="A713" s="1"/>
      <c r="B713" s="1"/>
      <c r="C713" s="134">
        <v>43361</v>
      </c>
      <c r="D713" s="135">
        <v>122.8</v>
      </c>
      <c r="O713" s="134"/>
      <c r="P713" s="135"/>
    </row>
    <row r="714" spans="1:16" s="133" customFormat="1" ht="15" customHeight="1">
      <c r="A714" s="1"/>
      <c r="B714" s="1"/>
      <c r="C714" s="134">
        <v>43362</v>
      </c>
      <c r="D714" s="135">
        <v>123.57</v>
      </c>
      <c r="O714" s="134"/>
      <c r="P714" s="135"/>
    </row>
    <row r="715" spans="1:16" s="133" customFormat="1" ht="15" customHeight="1">
      <c r="A715" s="1"/>
      <c r="B715" s="1"/>
      <c r="C715" s="134">
        <v>43363</v>
      </c>
      <c r="D715" s="135">
        <v>124.31</v>
      </c>
      <c r="O715" s="134"/>
      <c r="P715" s="135"/>
    </row>
    <row r="716" spans="1:16" s="133" customFormat="1" ht="15" customHeight="1">
      <c r="A716" s="1"/>
      <c r="B716" s="1"/>
      <c r="C716" s="134">
        <v>43364</v>
      </c>
      <c r="D716" s="135">
        <v>123.99</v>
      </c>
      <c r="O716" s="134"/>
      <c r="P716" s="135"/>
    </row>
    <row r="717" spans="1:16" s="133" customFormat="1" ht="15" customHeight="1">
      <c r="A717" s="1"/>
      <c r="B717" s="1"/>
      <c r="C717" s="134">
        <v>43367</v>
      </c>
      <c r="D717" s="135">
        <v>123.75</v>
      </c>
      <c r="O717" s="134"/>
      <c r="P717" s="135"/>
    </row>
    <row r="718" spans="1:16" s="133" customFormat="1" ht="15" customHeight="1">
      <c r="A718" s="1"/>
      <c r="B718" s="1"/>
      <c r="C718" s="134">
        <v>43368</v>
      </c>
      <c r="D718" s="135">
        <v>123.99</v>
      </c>
      <c r="O718" s="134"/>
      <c r="P718" s="135"/>
    </row>
    <row r="719" spans="1:16" s="133" customFormat="1" ht="15" customHeight="1">
      <c r="A719" s="1"/>
      <c r="B719" s="1"/>
      <c r="C719" s="134">
        <v>43369</v>
      </c>
      <c r="D719" s="135">
        <v>122.92</v>
      </c>
      <c r="O719" s="134"/>
      <c r="P719" s="135"/>
    </row>
    <row r="720" spans="1:16" s="133" customFormat="1" ht="15" customHeight="1">
      <c r="A720" s="1"/>
      <c r="B720" s="1"/>
      <c r="C720" s="134">
        <v>43370</v>
      </c>
      <c r="D720" s="135">
        <v>123.18</v>
      </c>
      <c r="O720" s="134"/>
      <c r="P720" s="135"/>
    </row>
    <row r="721" spans="1:16" s="133" customFormat="1" ht="15" customHeight="1">
      <c r="A721" s="1"/>
      <c r="B721" s="1"/>
      <c r="C721" s="134">
        <v>43371</v>
      </c>
      <c r="D721" s="135">
        <v>123.28</v>
      </c>
      <c r="O721" s="134"/>
      <c r="P721" s="135"/>
    </row>
    <row r="722" spans="1:16" s="133" customFormat="1" ht="15" customHeight="1">
      <c r="A722" s="1"/>
      <c r="B722" s="1"/>
      <c r="C722" s="134">
        <v>43374</v>
      </c>
      <c r="D722" s="135">
        <v>124.23</v>
      </c>
      <c r="O722" s="134"/>
      <c r="P722" s="135"/>
    </row>
    <row r="723" spans="1:16" s="133" customFormat="1" ht="15" customHeight="1">
      <c r="A723" s="1"/>
      <c r="B723" s="1"/>
      <c r="C723" s="134">
        <v>43375</v>
      </c>
      <c r="D723" s="135">
        <v>123.7</v>
      </c>
      <c r="O723" s="134"/>
      <c r="P723" s="135"/>
    </row>
    <row r="724" spans="1:16" s="133" customFormat="1" ht="15" customHeight="1">
      <c r="A724" s="1"/>
      <c r="B724" s="1"/>
      <c r="C724" s="134">
        <v>43376</v>
      </c>
      <c r="D724" s="135">
        <v>125.6</v>
      </c>
      <c r="O724" s="134"/>
      <c r="P724" s="135"/>
    </row>
    <row r="725" spans="1:16" s="133" customFormat="1" ht="15" customHeight="1">
      <c r="A725" s="1"/>
      <c r="B725" s="1"/>
      <c r="C725" s="134">
        <v>43377</v>
      </c>
      <c r="D725" s="135">
        <v>125.13</v>
      </c>
      <c r="O725" s="134"/>
      <c r="P725" s="135"/>
    </row>
    <row r="726" spans="1:16" s="133" customFormat="1" ht="15" customHeight="1">
      <c r="A726" s="1"/>
      <c r="B726" s="1"/>
      <c r="C726" s="134">
        <v>43378</v>
      </c>
      <c r="D726" s="135">
        <v>125.11</v>
      </c>
      <c r="O726" s="134"/>
      <c r="P726" s="135"/>
    </row>
    <row r="727" spans="1:16" s="133" customFormat="1" ht="15" customHeight="1">
      <c r="A727" s="1"/>
      <c r="B727" s="1"/>
      <c r="C727" s="134">
        <v>43381</v>
      </c>
      <c r="D727" s="135">
        <v>125.35</v>
      </c>
      <c r="O727" s="134"/>
      <c r="P727" s="135"/>
    </row>
    <row r="728" spans="1:16" s="133" customFormat="1" ht="15" customHeight="1">
      <c r="A728" s="1"/>
      <c r="B728" s="1"/>
      <c r="C728" s="134">
        <v>43382</v>
      </c>
      <c r="D728" s="135">
        <v>124.49</v>
      </c>
      <c r="O728" s="134"/>
      <c r="P728" s="135"/>
    </row>
    <row r="729" spans="1:16" s="133" customFormat="1" ht="15" customHeight="1">
      <c r="A729" s="1"/>
      <c r="B729" s="1"/>
      <c r="C729" s="134">
        <v>43383</v>
      </c>
      <c r="D729" s="135">
        <v>120.3</v>
      </c>
      <c r="O729" s="134"/>
      <c r="P729" s="135"/>
    </row>
    <row r="730" spans="1:16" s="133" customFormat="1" ht="15" customHeight="1">
      <c r="A730" s="1"/>
      <c r="B730" s="1"/>
      <c r="C730" s="134">
        <v>43384</v>
      </c>
      <c r="D730" s="135">
        <v>117.37</v>
      </c>
      <c r="O730" s="134"/>
      <c r="P730" s="135"/>
    </row>
    <row r="731" spans="1:16" s="133" customFormat="1" ht="15" customHeight="1">
      <c r="A731" s="1"/>
      <c r="B731" s="1"/>
      <c r="C731" s="134">
        <v>43385</v>
      </c>
      <c r="D731" s="135">
        <v>118.47</v>
      </c>
      <c r="O731" s="134"/>
      <c r="P731" s="135"/>
    </row>
    <row r="732" spans="1:16" s="133" customFormat="1" ht="15" customHeight="1">
      <c r="A732" s="1"/>
      <c r="B732" s="1"/>
      <c r="C732" s="134">
        <v>43388</v>
      </c>
      <c r="D732" s="135">
        <v>118.03</v>
      </c>
      <c r="O732" s="134"/>
      <c r="P732" s="135"/>
    </row>
    <row r="733" spans="1:16" s="133" customFormat="1" ht="15" customHeight="1">
      <c r="A733" s="1"/>
      <c r="B733" s="1"/>
      <c r="C733" s="134">
        <v>43389</v>
      </c>
      <c r="D733" s="135">
        <v>120.8</v>
      </c>
      <c r="O733" s="134"/>
      <c r="P733" s="135"/>
    </row>
    <row r="734" spans="1:16" s="133" customFormat="1" ht="15" customHeight="1">
      <c r="A734" s="1"/>
      <c r="B734" s="1"/>
      <c r="C734" s="134">
        <v>43390</v>
      </c>
      <c r="D734" s="135">
        <v>121.05</v>
      </c>
      <c r="O734" s="134"/>
      <c r="P734" s="135"/>
    </row>
    <row r="735" spans="1:16" s="133" customFormat="1" ht="15" customHeight="1">
      <c r="A735" s="1"/>
      <c r="B735" s="1"/>
      <c r="C735" s="134">
        <v>43391</v>
      </c>
      <c r="D735" s="135">
        <v>119.19</v>
      </c>
      <c r="O735" s="134"/>
      <c r="P735" s="135"/>
    </row>
    <row r="736" spans="1:16" s="133" customFormat="1" ht="15" customHeight="1">
      <c r="A736" s="1"/>
      <c r="B736" s="1"/>
      <c r="C736" s="134">
        <v>43392</v>
      </c>
      <c r="D736" s="135">
        <v>119.34</v>
      </c>
      <c r="O736" s="134"/>
      <c r="P736" s="135"/>
    </row>
    <row r="737" spans="1:16" s="133" customFormat="1" ht="15" customHeight="1">
      <c r="A737" s="1"/>
      <c r="B737" s="1"/>
      <c r="C737" s="134">
        <v>43395</v>
      </c>
      <c r="D737" s="135">
        <v>118.81</v>
      </c>
      <c r="O737" s="134"/>
      <c r="P737" s="135"/>
    </row>
    <row r="738" spans="1:16" s="133" customFormat="1" ht="15" customHeight="1">
      <c r="A738" s="1"/>
      <c r="B738" s="1"/>
      <c r="C738" s="134">
        <v>43396</v>
      </c>
      <c r="D738" s="135">
        <v>118.05</v>
      </c>
      <c r="O738" s="134"/>
      <c r="P738" s="135"/>
    </row>
    <row r="739" spans="1:16" s="133" customFormat="1" ht="15" customHeight="1">
      <c r="A739" s="1"/>
      <c r="B739" s="1"/>
      <c r="C739" s="134">
        <v>43397</v>
      </c>
      <c r="D739" s="135">
        <v>114.03</v>
      </c>
      <c r="O739" s="134"/>
      <c r="P739" s="135"/>
    </row>
    <row r="740" spans="1:16" s="133" customFormat="1" ht="15" customHeight="1">
      <c r="A740" s="1"/>
      <c r="B740" s="1"/>
      <c r="C740" s="134">
        <v>43398</v>
      </c>
      <c r="D740" s="135">
        <v>115.11</v>
      </c>
      <c r="O740" s="134"/>
      <c r="P740" s="135"/>
    </row>
    <row r="741" spans="1:16" s="133" customFormat="1" ht="15" customHeight="1">
      <c r="A741" s="1"/>
      <c r="B741" s="1"/>
      <c r="C741" s="134">
        <v>43399</v>
      </c>
      <c r="D741" s="135">
        <v>113.72</v>
      </c>
      <c r="O741" s="134"/>
      <c r="P741" s="135"/>
    </row>
    <row r="742" spans="1:16" s="133" customFormat="1" ht="15" customHeight="1">
      <c r="A742" s="1"/>
      <c r="B742" s="1"/>
      <c r="C742" s="134">
        <v>43402</v>
      </c>
      <c r="D742" s="135">
        <v>112.71</v>
      </c>
      <c r="O742" s="134"/>
      <c r="P742" s="135"/>
    </row>
    <row r="743" spans="1:16" s="133" customFormat="1" ht="15" customHeight="1">
      <c r="A743" s="1"/>
      <c r="B743" s="1"/>
      <c r="C743" s="134">
        <v>43403</v>
      </c>
      <c r="D743" s="135">
        <v>114.85</v>
      </c>
      <c r="O743" s="134"/>
      <c r="P743" s="135"/>
    </row>
    <row r="744" spans="1:16" s="133" customFormat="1" ht="15" customHeight="1">
      <c r="A744" s="1"/>
      <c r="B744" s="1"/>
      <c r="C744" s="134">
        <v>43404</v>
      </c>
      <c r="D744" s="135">
        <v>116.61</v>
      </c>
      <c r="O744" s="134"/>
      <c r="P744" s="135"/>
    </row>
    <row r="745" spans="1:16" s="133" customFormat="1" ht="15" customHeight="1">
      <c r="A745" s="1"/>
      <c r="B745" s="1"/>
      <c r="C745" s="134">
        <v>43405</v>
      </c>
      <c r="D745" s="135">
        <v>117.51</v>
      </c>
      <c r="O745" s="134"/>
      <c r="P745" s="135"/>
    </row>
    <row r="746" spans="1:16" s="133" customFormat="1" ht="15" customHeight="1">
      <c r="A746" s="1"/>
      <c r="B746" s="1"/>
      <c r="C746" s="134">
        <v>43406</v>
      </c>
      <c r="D746" s="135">
        <v>118.02</v>
      </c>
      <c r="O746" s="134"/>
      <c r="P746" s="135"/>
    </row>
    <row r="747" spans="1:16" s="133" customFormat="1" ht="15" customHeight="1">
      <c r="A747" s="1"/>
      <c r="B747" s="1"/>
      <c r="C747" s="134">
        <v>43409</v>
      </c>
      <c r="D747" s="135">
        <v>118.35</v>
      </c>
      <c r="O747" s="134"/>
      <c r="P747" s="135"/>
    </row>
    <row r="748" spans="1:16" s="133" customFormat="1" ht="15" customHeight="1">
      <c r="A748" s="1"/>
      <c r="B748" s="1"/>
      <c r="C748" s="134">
        <v>43410</v>
      </c>
      <c r="D748" s="135">
        <v>119.31</v>
      </c>
      <c r="O748" s="134"/>
      <c r="P748" s="135"/>
    </row>
    <row r="749" spans="1:16" s="133" customFormat="1" ht="15" customHeight="1">
      <c r="A749" s="1"/>
      <c r="B749" s="1"/>
      <c r="C749" s="134">
        <v>43411</v>
      </c>
      <c r="D749" s="135">
        <v>121.86</v>
      </c>
      <c r="O749" s="134"/>
      <c r="P749" s="135"/>
    </row>
    <row r="750" spans="1:16" s="133" customFormat="1" ht="15" customHeight="1">
      <c r="A750" s="1"/>
      <c r="B750" s="1"/>
      <c r="C750" s="134">
        <v>43412</v>
      </c>
      <c r="D750" s="135">
        <v>121.7</v>
      </c>
      <c r="O750" s="134"/>
      <c r="P750" s="135"/>
    </row>
    <row r="751" spans="1:16" s="133" customFormat="1" ht="15" customHeight="1">
      <c r="A751" s="1"/>
      <c r="B751" s="1"/>
      <c r="C751" s="134">
        <v>43413</v>
      </c>
      <c r="D751" s="135">
        <v>119.78</v>
      </c>
      <c r="O751" s="134"/>
      <c r="P751" s="135"/>
    </row>
    <row r="752" spans="1:16" s="133" customFormat="1" ht="15" customHeight="1">
      <c r="A752" s="1"/>
      <c r="B752" s="1"/>
      <c r="C752" s="134">
        <v>43416</v>
      </c>
      <c r="D752" s="135">
        <v>117.11</v>
      </c>
      <c r="O752" s="134"/>
      <c r="P752" s="135"/>
    </row>
    <row r="753" spans="1:16" s="133" customFormat="1" ht="15" customHeight="1">
      <c r="A753" s="1"/>
      <c r="B753" s="1"/>
      <c r="C753" s="134">
        <v>43417</v>
      </c>
      <c r="D753" s="135">
        <v>117</v>
      </c>
      <c r="O753" s="134"/>
      <c r="P753" s="135"/>
    </row>
    <row r="754" spans="1:16" s="133" customFormat="1" ht="15" customHeight="1">
      <c r="A754" s="1"/>
      <c r="B754" s="1"/>
      <c r="C754" s="134">
        <v>43418</v>
      </c>
      <c r="D754" s="135">
        <v>115.52</v>
      </c>
      <c r="O754" s="134"/>
      <c r="P754" s="135"/>
    </row>
    <row r="755" spans="1:16" s="133" customFormat="1" ht="15" customHeight="1">
      <c r="A755" s="1"/>
      <c r="B755" s="1"/>
      <c r="C755" s="134">
        <v>43419</v>
      </c>
      <c r="D755" s="135">
        <v>117.15</v>
      </c>
      <c r="O755" s="134"/>
      <c r="P755" s="135"/>
    </row>
    <row r="756" spans="1:16" s="133" customFormat="1" ht="15" customHeight="1">
      <c r="A756" s="1"/>
      <c r="B756" s="1"/>
      <c r="C756" s="134">
        <v>43420</v>
      </c>
      <c r="D756" s="135">
        <v>116.86</v>
      </c>
      <c r="O756" s="134"/>
      <c r="P756" s="135"/>
    </row>
    <row r="757" spans="1:16" s="133" customFormat="1" ht="15" customHeight="1">
      <c r="A757" s="1"/>
      <c r="B757" s="1"/>
      <c r="C757" s="134">
        <v>43423</v>
      </c>
      <c r="D757" s="135">
        <v>114.71</v>
      </c>
      <c r="O757" s="134"/>
      <c r="P757" s="135"/>
    </row>
    <row r="758" spans="1:16" s="133" customFormat="1" ht="15" customHeight="1">
      <c r="A758" s="1"/>
      <c r="B758" s="1"/>
      <c r="C758" s="134">
        <v>43424</v>
      </c>
      <c r="D758" s="135">
        <v>112.12</v>
      </c>
      <c r="O758" s="134"/>
      <c r="P758" s="135"/>
    </row>
    <row r="759" spans="1:16" s="133" customFormat="1" ht="15" customHeight="1">
      <c r="A759" s="1"/>
      <c r="B759" s="1"/>
      <c r="C759" s="134">
        <v>43425</v>
      </c>
      <c r="D759" s="135">
        <v>112.61</v>
      </c>
      <c r="O759" s="134"/>
      <c r="P759" s="135"/>
    </row>
    <row r="760" spans="1:16" s="133" customFormat="1" ht="15" customHeight="1">
      <c r="A760" s="1"/>
      <c r="B760" s="1"/>
      <c r="C760" s="134">
        <v>43427</v>
      </c>
      <c r="D760" s="135">
        <v>111.72</v>
      </c>
      <c r="O760" s="134"/>
      <c r="P760" s="135"/>
    </row>
    <row r="761" spans="1:16" s="133" customFormat="1" ht="15" customHeight="1">
      <c r="A761" s="1"/>
      <c r="B761" s="1"/>
      <c r="C761" s="134">
        <v>43430</v>
      </c>
      <c r="D761" s="135">
        <v>113.64</v>
      </c>
      <c r="O761" s="134"/>
      <c r="P761" s="135"/>
    </row>
    <row r="762" spans="1:16" s="133" customFormat="1" ht="15" customHeight="1">
      <c r="A762" s="1"/>
      <c r="B762" s="1"/>
      <c r="C762" s="134">
        <v>43431</v>
      </c>
      <c r="D762" s="135">
        <v>114.12</v>
      </c>
      <c r="O762" s="134"/>
      <c r="P762" s="135"/>
    </row>
    <row r="763" spans="1:16" s="133" customFormat="1" ht="15" customHeight="1">
      <c r="A763" s="1"/>
      <c r="B763" s="1"/>
      <c r="C763" s="134">
        <v>43432</v>
      </c>
      <c r="D763" s="135">
        <v>116.57</v>
      </c>
      <c r="O763" s="134"/>
      <c r="P763" s="135"/>
    </row>
    <row r="764" spans="1:16" s="133" customFormat="1" ht="15" customHeight="1">
      <c r="A764" s="1"/>
      <c r="B764" s="1"/>
      <c r="C764" s="134">
        <v>43433</v>
      </c>
      <c r="D764" s="135">
        <v>116.53</v>
      </c>
      <c r="O764" s="134"/>
      <c r="P764" s="135"/>
    </row>
    <row r="765" spans="1:16" s="133" customFormat="1" ht="15" customHeight="1">
      <c r="A765" s="1"/>
      <c r="B765" s="1"/>
      <c r="C765" s="134">
        <v>43434</v>
      </c>
      <c r="D765" s="135">
        <v>116.8</v>
      </c>
      <c r="O765" s="134"/>
      <c r="P765" s="135"/>
    </row>
    <row r="766" spans="1:16" s="133" customFormat="1" ht="15" customHeight="1">
      <c r="A766" s="1"/>
      <c r="B766" s="1"/>
      <c r="C766" s="134">
        <v>43437</v>
      </c>
      <c r="D766" s="135">
        <v>117.67</v>
      </c>
      <c r="O766" s="134"/>
      <c r="P766" s="135"/>
    </row>
    <row r="767" spans="1:16" s="133" customFormat="1" ht="15" customHeight="1">
      <c r="A767" s="1"/>
      <c r="B767" s="1"/>
      <c r="C767" s="134">
        <v>43438</v>
      </c>
      <c r="D767" s="135">
        <v>112.57</v>
      </c>
      <c r="O767" s="134"/>
      <c r="P767" s="135"/>
    </row>
    <row r="768" spans="1:16" s="133" customFormat="1" ht="15" customHeight="1">
      <c r="A768" s="1"/>
      <c r="B768" s="1"/>
      <c r="C768" s="134">
        <v>43439</v>
      </c>
      <c r="D768" s="135">
        <v>112.57</v>
      </c>
      <c r="O768" s="134"/>
      <c r="P768" s="135"/>
    </row>
    <row r="769" spans="1:16" s="133" customFormat="1" ht="15" customHeight="1">
      <c r="A769" s="1"/>
      <c r="B769" s="1"/>
      <c r="C769" s="134">
        <v>43440</v>
      </c>
      <c r="D769" s="135">
        <v>111.32</v>
      </c>
      <c r="O769" s="134"/>
      <c r="P769" s="135"/>
    </row>
    <row r="770" spans="1:16" s="133" customFormat="1" ht="15" customHeight="1">
      <c r="A770" s="1"/>
      <c r="B770" s="1"/>
      <c r="C770" s="134">
        <v>43441</v>
      </c>
      <c r="D770" s="135">
        <v>108.93</v>
      </c>
      <c r="O770" s="134"/>
      <c r="P770" s="135"/>
    </row>
    <row r="771" spans="1:16" s="133" customFormat="1" ht="15" customHeight="1">
      <c r="A771" s="1"/>
      <c r="B771" s="1"/>
      <c r="C771" s="134">
        <v>43444</v>
      </c>
      <c r="D771" s="135">
        <v>109.12</v>
      </c>
      <c r="O771" s="134"/>
      <c r="P771" s="135"/>
    </row>
    <row r="772" spans="1:16" s="133" customFormat="1" ht="15" customHeight="1">
      <c r="A772" s="1"/>
      <c r="B772" s="1"/>
      <c r="C772" s="134">
        <v>43445</v>
      </c>
      <c r="D772" s="135">
        <v>109.27</v>
      </c>
      <c r="O772" s="134"/>
      <c r="P772" s="135"/>
    </row>
    <row r="773" spans="1:16" s="133" customFormat="1" ht="15" customHeight="1">
      <c r="A773" s="1"/>
      <c r="B773" s="1"/>
      <c r="C773" s="134">
        <v>43446</v>
      </c>
      <c r="D773" s="135">
        <v>110.12</v>
      </c>
      <c r="O773" s="134"/>
      <c r="P773" s="135"/>
    </row>
    <row r="774" spans="1:16" s="133" customFormat="1" ht="15" customHeight="1">
      <c r="A774" s="1"/>
      <c r="B774" s="1"/>
      <c r="C774" s="134">
        <v>43447</v>
      </c>
      <c r="D774" s="135">
        <v>110.06</v>
      </c>
      <c r="O774" s="134"/>
      <c r="P774" s="135"/>
    </row>
    <row r="775" spans="1:16" s="133" customFormat="1" ht="15" customHeight="1">
      <c r="A775" s="1"/>
      <c r="B775" s="1"/>
      <c r="C775" s="134">
        <v>43448</v>
      </c>
      <c r="D775" s="135">
        <v>108.04</v>
      </c>
      <c r="O775" s="134"/>
      <c r="P775" s="135"/>
    </row>
    <row r="776" spans="1:16" s="133" customFormat="1" ht="15" customHeight="1">
      <c r="A776" s="1"/>
      <c r="B776" s="1"/>
      <c r="C776" s="134">
        <v>43451</v>
      </c>
      <c r="D776" s="135">
        <v>105.62</v>
      </c>
      <c r="O776" s="134"/>
      <c r="P776" s="135"/>
    </row>
    <row r="777" spans="1:16" s="133" customFormat="1" ht="15" customHeight="1">
      <c r="A777" s="1"/>
      <c r="B777" s="1"/>
      <c r="C777" s="134">
        <v>43452</v>
      </c>
      <c r="D777" s="135">
        <v>104.41</v>
      </c>
      <c r="O777" s="134"/>
      <c r="P777" s="135"/>
    </row>
    <row r="778" spans="1:16" s="133" customFormat="1" ht="15" customHeight="1">
      <c r="A778" s="1"/>
      <c r="B778" s="1"/>
      <c r="C778" s="134">
        <v>43453</v>
      </c>
      <c r="D778" s="135">
        <v>102.2</v>
      </c>
      <c r="O778" s="134"/>
      <c r="P778" s="135"/>
    </row>
    <row r="779" spans="1:16" s="133" customFormat="1" ht="15" customHeight="1">
      <c r="A779" s="1"/>
      <c r="B779" s="1"/>
      <c r="C779" s="134">
        <v>43454</v>
      </c>
      <c r="D779" s="135">
        <v>101.61</v>
      </c>
      <c r="O779" s="134"/>
      <c r="P779" s="135"/>
    </row>
    <row r="780" spans="1:16" s="133" customFormat="1" ht="15" customHeight="1">
      <c r="A780" s="1"/>
      <c r="B780" s="1"/>
      <c r="C780" s="134">
        <v>43455</v>
      </c>
      <c r="D780" s="135">
        <v>98.65</v>
      </c>
      <c r="O780" s="134"/>
      <c r="P780" s="135"/>
    </row>
    <row r="781" spans="1:16" s="133" customFormat="1" ht="15" customHeight="1">
      <c r="A781" s="1"/>
      <c r="B781" s="1"/>
      <c r="C781" s="134">
        <v>43458</v>
      </c>
      <c r="D781" s="135">
        <v>95.31</v>
      </c>
      <c r="O781" s="134"/>
      <c r="P781" s="135"/>
    </row>
    <row r="782" spans="1:16" s="133" customFormat="1" ht="15" customHeight="1">
      <c r="A782" s="1"/>
      <c r="B782" s="1"/>
      <c r="C782" s="134">
        <v>43460</v>
      </c>
      <c r="D782" s="135">
        <v>101.03</v>
      </c>
      <c r="O782" s="134"/>
      <c r="P782" s="135"/>
    </row>
    <row r="783" spans="1:16" s="133" customFormat="1" ht="15" customHeight="1">
      <c r="A783" s="1"/>
      <c r="B783" s="1"/>
      <c r="C783" s="134">
        <v>43461</v>
      </c>
      <c r="D783" s="135">
        <v>101.47</v>
      </c>
      <c r="O783" s="134"/>
      <c r="P783" s="135"/>
    </row>
    <row r="784" spans="1:16" s="133" customFormat="1" ht="15" customHeight="1">
      <c r="A784" s="1"/>
      <c r="B784" s="1"/>
      <c r="C784" s="134">
        <v>43462</v>
      </c>
      <c r="D784" s="135">
        <v>101.11</v>
      </c>
      <c r="O784" s="134"/>
      <c r="P784" s="135"/>
    </row>
    <row r="785" spans="1:16" s="133" customFormat="1" ht="15" customHeight="1">
      <c r="A785" s="1"/>
      <c r="B785" s="1"/>
      <c r="C785" s="134">
        <v>43465</v>
      </c>
      <c r="D785" s="135">
        <v>101.59</v>
      </c>
      <c r="O785" s="134"/>
      <c r="P785" s="135"/>
    </row>
    <row r="786" spans="1:16" s="133" customFormat="1" ht="15" customHeight="1">
      <c r="A786" s="1"/>
      <c r="B786" s="1"/>
      <c r="C786" s="134">
        <v>43467</v>
      </c>
      <c r="D786" s="135">
        <v>101.32</v>
      </c>
      <c r="O786" s="134"/>
      <c r="P786" s="135"/>
    </row>
    <row r="787" spans="1:16" s="133" customFormat="1" ht="15" customHeight="1">
      <c r="A787" s="1"/>
      <c r="B787" s="1"/>
      <c r="C787" s="134">
        <v>43468</v>
      </c>
      <c r="D787" s="135">
        <v>97.46</v>
      </c>
      <c r="O787" s="134"/>
      <c r="P787" s="135"/>
    </row>
    <row r="788" spans="1:16" s="133" customFormat="1" ht="15" customHeight="1">
      <c r="A788" s="1"/>
      <c r="B788" s="1"/>
      <c r="C788" s="134">
        <v>43469</v>
      </c>
      <c r="D788" s="135">
        <v>101.96</v>
      </c>
      <c r="O788" s="134"/>
      <c r="P788" s="135"/>
    </row>
    <row r="789" spans="1:16" s="133" customFormat="1" ht="15" customHeight="1">
      <c r="A789" s="1"/>
      <c r="B789" s="1"/>
      <c r="C789" s="134">
        <v>43472</v>
      </c>
      <c r="D789" s="135">
        <v>103.01</v>
      </c>
      <c r="O789" s="134"/>
      <c r="P789" s="135"/>
    </row>
    <row r="790" spans="1:16" s="133" customFormat="1" ht="15" customHeight="1">
      <c r="A790" s="1"/>
      <c r="B790" s="1"/>
      <c r="C790" s="134">
        <v>43473</v>
      </c>
      <c r="D790" s="135">
        <v>104.24</v>
      </c>
      <c r="O790" s="134"/>
      <c r="P790" s="135"/>
    </row>
    <row r="791" spans="1:16" s="133" customFormat="1" ht="15" customHeight="1">
      <c r="A791" s="1"/>
      <c r="B791" s="1"/>
      <c r="C791" s="134">
        <v>43474</v>
      </c>
      <c r="D791" s="135">
        <v>104.98</v>
      </c>
      <c r="O791" s="134"/>
      <c r="P791" s="135"/>
    </row>
    <row r="792" spans="1:16" s="133" customFormat="1" ht="15" customHeight="1">
      <c r="A792" s="1"/>
      <c r="B792" s="1"/>
      <c r="C792" s="134">
        <v>43475</v>
      </c>
      <c r="D792" s="135">
        <v>105.66</v>
      </c>
      <c r="O792" s="134"/>
      <c r="P792" s="135"/>
    </row>
    <row r="793" spans="1:16" s="133" customFormat="1" ht="15" customHeight="1">
      <c r="A793" s="1"/>
      <c r="B793" s="1"/>
      <c r="C793" s="134">
        <v>43476</v>
      </c>
      <c r="D793" s="135">
        <v>105.37</v>
      </c>
      <c r="O793" s="134"/>
      <c r="P793" s="135"/>
    </row>
    <row r="794" spans="1:16" s="133" customFormat="1" ht="15" customHeight="1">
      <c r="A794" s="1"/>
      <c r="B794" s="1"/>
      <c r="C794" s="134">
        <v>43479</v>
      </c>
      <c r="D794" s="135">
        <v>105.05</v>
      </c>
      <c r="O794" s="134"/>
      <c r="P794" s="135"/>
    </row>
    <row r="795" spans="1:16" s="133" customFormat="1" ht="15" customHeight="1">
      <c r="A795" s="1"/>
      <c r="B795" s="1"/>
      <c r="C795" s="134">
        <v>43480</v>
      </c>
      <c r="D795" s="135">
        <v>106.07</v>
      </c>
      <c r="O795" s="134"/>
      <c r="P795" s="135"/>
    </row>
    <row r="796" spans="1:16" s="133" customFormat="1" ht="15" customHeight="1">
      <c r="A796" s="1"/>
      <c r="B796" s="1"/>
      <c r="C796" s="134">
        <v>43481</v>
      </c>
      <c r="D796" s="135">
        <v>106.56</v>
      </c>
      <c r="O796" s="134"/>
      <c r="P796" s="135"/>
    </row>
    <row r="797" spans="1:16" s="133" customFormat="1" ht="15" customHeight="1">
      <c r="A797" s="1"/>
      <c r="B797" s="1"/>
      <c r="C797" s="134">
        <v>43482</v>
      </c>
      <c r="D797" s="135">
        <v>107.58</v>
      </c>
      <c r="O797" s="134"/>
      <c r="P797" s="135"/>
    </row>
    <row r="798" spans="1:16" s="133" customFormat="1" ht="15" customHeight="1">
      <c r="A798" s="1"/>
      <c r="B798" s="1"/>
      <c r="C798" s="134">
        <v>43483</v>
      </c>
      <c r="D798" s="135">
        <v>109.43</v>
      </c>
      <c r="O798" s="134"/>
      <c r="P798" s="135"/>
    </row>
    <row r="799" spans="1:16" s="133" customFormat="1" ht="15" customHeight="1">
      <c r="A799" s="1"/>
      <c r="B799" s="1"/>
      <c r="C799" s="134">
        <v>43487</v>
      </c>
      <c r="D799" s="135">
        <v>107.18</v>
      </c>
      <c r="O799" s="134"/>
      <c r="P799" s="135"/>
    </row>
    <row r="800" spans="1:16" s="133" customFormat="1" ht="15" customHeight="1">
      <c r="A800" s="1"/>
      <c r="B800" s="1"/>
      <c r="C800" s="134">
        <v>43488</v>
      </c>
      <c r="D800" s="135">
        <v>107.77</v>
      </c>
      <c r="O800" s="134"/>
      <c r="P800" s="135"/>
    </row>
    <row r="801" spans="1:16" s="133" customFormat="1" ht="15" customHeight="1">
      <c r="A801" s="1"/>
      <c r="B801" s="1"/>
      <c r="C801" s="134">
        <v>43489</v>
      </c>
      <c r="D801" s="135">
        <v>107</v>
      </c>
      <c r="O801" s="134"/>
      <c r="P801" s="135"/>
    </row>
    <row r="802" spans="1:16" s="133" customFormat="1" ht="15" customHeight="1">
      <c r="A802" s="1"/>
      <c r="B802" s="1"/>
      <c r="C802" s="134">
        <v>43490</v>
      </c>
      <c r="D802" s="135">
        <v>108.71</v>
      </c>
      <c r="O802" s="134"/>
      <c r="P802" s="135"/>
    </row>
    <row r="803" spans="1:16" s="133" customFormat="1" ht="15" customHeight="1">
      <c r="A803" s="1"/>
      <c r="B803" s="1"/>
      <c r="C803" s="134">
        <v>43493</v>
      </c>
      <c r="D803" s="135">
        <v>107.85</v>
      </c>
      <c r="O803" s="134"/>
      <c r="P803" s="135"/>
    </row>
    <row r="804" spans="1:16" s="133" customFormat="1" ht="15" customHeight="1">
      <c r="A804" s="1"/>
      <c r="B804" s="1"/>
      <c r="C804" s="134">
        <v>43494</v>
      </c>
      <c r="D804" s="135">
        <v>107.37</v>
      </c>
      <c r="O804" s="134"/>
      <c r="P804" s="135"/>
    </row>
    <row r="805" spans="1:16" s="133" customFormat="1" ht="15" customHeight="1">
      <c r="A805" s="1"/>
      <c r="B805" s="1"/>
      <c r="C805" s="134">
        <v>43495</v>
      </c>
      <c r="D805" s="135">
        <v>109.07</v>
      </c>
      <c r="O805" s="134"/>
      <c r="P805" s="135"/>
    </row>
    <row r="806" spans="1:16" s="133" customFormat="1" ht="15" customHeight="1">
      <c r="A806" s="1"/>
      <c r="B806" s="1"/>
      <c r="C806" s="134">
        <v>43496</v>
      </c>
      <c r="D806" s="135">
        <v>109.22</v>
      </c>
      <c r="O806" s="134"/>
      <c r="P806" s="135"/>
    </row>
    <row r="807" spans="1:16" s="133" customFormat="1" ht="15" customHeight="1">
      <c r="A807" s="1"/>
      <c r="B807" s="1"/>
      <c r="C807" s="134">
        <v>43497</v>
      </c>
      <c r="D807" s="135">
        <v>109.78</v>
      </c>
      <c r="O807" s="134"/>
      <c r="P807" s="135"/>
    </row>
    <row r="808" spans="1:16" s="133" customFormat="1" ht="15" customHeight="1">
      <c r="A808" s="1"/>
      <c r="B808" s="1"/>
      <c r="C808" s="134">
        <v>43500</v>
      </c>
      <c r="D808" s="135">
        <v>111.01</v>
      </c>
      <c r="O808" s="134"/>
      <c r="P808" s="135"/>
    </row>
    <row r="809" spans="1:16" s="133" customFormat="1" ht="15" customHeight="1">
      <c r="A809" s="1"/>
      <c r="B809" s="1"/>
      <c r="C809" s="134">
        <v>43501</v>
      </c>
      <c r="D809" s="135">
        <v>111.08</v>
      </c>
      <c r="O809" s="134"/>
      <c r="P809" s="135"/>
    </row>
    <row r="810" spans="1:16" s="133" customFormat="1" ht="15" customHeight="1">
      <c r="A810" s="1"/>
      <c r="B810" s="1"/>
      <c r="C810" s="134">
        <v>43502</v>
      </c>
      <c r="D810" s="135">
        <v>111.05</v>
      </c>
      <c r="O810" s="134"/>
      <c r="P810" s="135"/>
    </row>
    <row r="811" spans="1:16" s="133" customFormat="1" ht="15" customHeight="1">
      <c r="A811" s="1"/>
      <c r="B811" s="1"/>
      <c r="C811" s="134">
        <v>43503</v>
      </c>
      <c r="D811" s="135">
        <v>109.38</v>
      </c>
      <c r="O811" s="134"/>
      <c r="P811" s="135"/>
    </row>
    <row r="812" spans="1:16" s="133" customFormat="1" ht="15" customHeight="1">
      <c r="A812" s="1"/>
      <c r="B812" s="1"/>
      <c r="C812" s="134">
        <v>43504</v>
      </c>
      <c r="D812" s="135">
        <v>109.19</v>
      </c>
      <c r="O812" s="134"/>
      <c r="P812" s="135"/>
    </row>
    <row r="813" spans="1:16" s="133" customFormat="1" ht="15" customHeight="1">
      <c r="A813" s="1"/>
      <c r="B813" s="1"/>
      <c r="C813" s="134">
        <v>43507</v>
      </c>
      <c r="D813" s="135">
        <v>109.67</v>
      </c>
      <c r="O813" s="134"/>
      <c r="P813" s="135"/>
    </row>
    <row r="814" spans="1:16" s="133" customFormat="1" ht="15" customHeight="1">
      <c r="A814" s="1"/>
      <c r="B814" s="1"/>
      <c r="C814" s="134">
        <v>43508</v>
      </c>
      <c r="D814" s="135">
        <v>111.46</v>
      </c>
      <c r="O814" s="134"/>
      <c r="P814" s="135"/>
    </row>
    <row r="815" spans="1:16" s="133" customFormat="1" ht="15" customHeight="1">
      <c r="A815" s="1"/>
      <c r="B815" s="1"/>
      <c r="C815" s="134">
        <v>43509</v>
      </c>
      <c r="D815" s="135">
        <v>111.82</v>
      </c>
      <c r="O815" s="134"/>
      <c r="P815" s="135"/>
    </row>
    <row r="816" spans="1:16" s="133" customFormat="1" ht="15" customHeight="1">
      <c r="A816" s="1"/>
      <c r="B816" s="1"/>
      <c r="C816" s="134">
        <v>43510</v>
      </c>
      <c r="D816" s="135">
        <v>111.01</v>
      </c>
      <c r="O816" s="134"/>
      <c r="P816" s="135"/>
    </row>
    <row r="817" spans="1:16" s="133" customFormat="1" ht="15" customHeight="1">
      <c r="A817" s="1"/>
      <c r="B817" s="1"/>
      <c r="C817" s="134">
        <v>43511</v>
      </c>
      <c r="D817" s="135">
        <v>112.33</v>
      </c>
      <c r="O817" s="134"/>
      <c r="P817" s="135"/>
    </row>
    <row r="818" spans="1:16" s="133" customFormat="1" ht="15" customHeight="1">
      <c r="A818" s="1"/>
      <c r="B818" s="1"/>
      <c r="C818" s="134">
        <v>43515</v>
      </c>
      <c r="D818" s="135">
        <v>112.21</v>
      </c>
      <c r="O818" s="134"/>
      <c r="P818" s="135"/>
    </row>
    <row r="819" spans="1:16" s="133" customFormat="1" ht="15" customHeight="1">
      <c r="A819" s="1"/>
      <c r="B819" s="1"/>
      <c r="C819" s="134">
        <v>43516</v>
      </c>
      <c r="D819" s="135">
        <v>112.75</v>
      </c>
      <c r="O819" s="134"/>
      <c r="P819" s="135"/>
    </row>
    <row r="820" spans="1:16" s="133" customFormat="1" ht="15" customHeight="1">
      <c r="A820" s="1"/>
      <c r="B820" s="1"/>
      <c r="C820" s="134">
        <v>43517</v>
      </c>
      <c r="D820" s="135">
        <v>112.86</v>
      </c>
      <c r="O820" s="134"/>
      <c r="P820" s="135"/>
    </row>
    <row r="821" spans="1:16" s="133" customFormat="1" ht="15" customHeight="1">
      <c r="A821" s="1"/>
      <c r="B821" s="1"/>
      <c r="C821" s="134">
        <v>43518</v>
      </c>
      <c r="D821" s="135">
        <v>113.08</v>
      </c>
      <c r="O821" s="134"/>
      <c r="P821" s="135"/>
    </row>
    <row r="822" spans="1:16" s="133" customFormat="1" ht="15" customHeight="1">
      <c r="A822" s="1"/>
      <c r="B822" s="1"/>
      <c r="C822" s="134">
        <v>43521</v>
      </c>
      <c r="D822" s="135">
        <v>113.55</v>
      </c>
      <c r="O822" s="134"/>
      <c r="P822" s="135"/>
    </row>
    <row r="823" spans="1:16" s="133" customFormat="1" ht="15" customHeight="1">
      <c r="A823" s="1"/>
      <c r="B823" s="1"/>
      <c r="C823" s="134">
        <v>43522</v>
      </c>
      <c r="D823" s="135">
        <v>112.8</v>
      </c>
      <c r="O823" s="134"/>
      <c r="P823" s="135"/>
    </row>
    <row r="824" spans="1:16" s="133" customFormat="1" ht="15" customHeight="1">
      <c r="A824" s="1"/>
      <c r="B824" s="1"/>
      <c r="C824" s="134">
        <v>43523</v>
      </c>
      <c r="D824" s="135">
        <v>113.94</v>
      </c>
      <c r="O824" s="134"/>
      <c r="P824" s="135"/>
    </row>
    <row r="825" spans="1:16" s="133" customFormat="1" ht="15" customHeight="1">
      <c r="A825" s="1"/>
      <c r="B825" s="1"/>
      <c r="C825" s="134">
        <v>43524</v>
      </c>
      <c r="D825" s="135">
        <v>113.87</v>
      </c>
      <c r="O825" s="134"/>
      <c r="P825" s="135"/>
    </row>
    <row r="826" spans="1:16" s="133" customFormat="1" ht="15" customHeight="1">
      <c r="A826" s="1"/>
      <c r="B826" s="1"/>
      <c r="C826" s="134">
        <v>43525</v>
      </c>
      <c r="D826" s="135">
        <v>115.22</v>
      </c>
      <c r="O826" s="134"/>
      <c r="P826" s="135"/>
    </row>
    <row r="827" spans="1:16" s="133" customFormat="1" ht="15" customHeight="1">
      <c r="A827" s="1"/>
      <c r="B827" s="1"/>
      <c r="C827" s="134">
        <v>43528</v>
      </c>
      <c r="D827" s="135">
        <v>114.21</v>
      </c>
      <c r="O827" s="134"/>
      <c r="P827" s="135"/>
    </row>
    <row r="828" spans="1:16" s="133" customFormat="1" ht="15" customHeight="1">
      <c r="A828" s="1"/>
      <c r="B828" s="1"/>
      <c r="C828" s="134">
        <v>43529</v>
      </c>
      <c r="D828" s="135">
        <v>114.22</v>
      </c>
      <c r="O828" s="134"/>
      <c r="P828" s="135"/>
    </row>
    <row r="829" spans="1:16" s="133" customFormat="1" ht="15" customHeight="1">
      <c r="A829" s="1"/>
      <c r="B829" s="1"/>
      <c r="C829" s="134">
        <v>43530</v>
      </c>
      <c r="D829" s="135">
        <v>113.04</v>
      </c>
      <c r="O829" s="134"/>
      <c r="P829" s="135"/>
    </row>
    <row r="830" spans="1:16" s="133" customFormat="1" ht="15" customHeight="1">
      <c r="A830" s="1"/>
      <c r="B830" s="1"/>
      <c r="C830" s="134">
        <v>43531</v>
      </c>
      <c r="D830" s="135">
        <v>111.46</v>
      </c>
      <c r="O830" s="134"/>
      <c r="P830" s="135"/>
    </row>
    <row r="831" spans="1:16" s="133" customFormat="1" ht="15" customHeight="1">
      <c r="A831" s="1"/>
      <c r="B831" s="1"/>
      <c r="C831" s="134">
        <v>43532</v>
      </c>
      <c r="D831" s="135">
        <v>111.21</v>
      </c>
      <c r="O831" s="134"/>
      <c r="P831" s="135"/>
    </row>
    <row r="832" spans="1:16" s="133" customFormat="1" ht="15" customHeight="1">
      <c r="A832" s="1"/>
      <c r="B832" s="1"/>
      <c r="C832" s="134">
        <v>43535</v>
      </c>
      <c r="D832" s="135">
        <v>112.99</v>
      </c>
      <c r="O832" s="134"/>
      <c r="P832" s="135"/>
    </row>
    <row r="833" spans="1:16" s="133" customFormat="1" ht="15" customHeight="1">
      <c r="A833" s="1"/>
      <c r="B833" s="1"/>
      <c r="C833" s="134">
        <v>43536</v>
      </c>
      <c r="D833" s="135">
        <v>112.72</v>
      </c>
      <c r="O833" s="134"/>
      <c r="P833" s="135"/>
    </row>
    <row r="834" spans="1:16" s="133" customFormat="1" ht="15" customHeight="1">
      <c r="A834" s="1"/>
      <c r="B834" s="1"/>
      <c r="C834" s="134">
        <v>43537</v>
      </c>
      <c r="D834" s="135">
        <v>113.84</v>
      </c>
      <c r="O834" s="134"/>
      <c r="P834" s="135"/>
    </row>
    <row r="835" spans="1:16" s="133" customFormat="1" ht="15" customHeight="1">
      <c r="A835" s="1"/>
      <c r="B835" s="1"/>
      <c r="C835" s="134">
        <v>43538</v>
      </c>
      <c r="D835" s="135">
        <v>114.04</v>
      </c>
      <c r="O835" s="134"/>
      <c r="P835" s="135"/>
    </row>
    <row r="836" spans="1:16" s="133" customFormat="1" ht="15" customHeight="1">
      <c r="A836" s="1"/>
      <c r="B836" s="1"/>
      <c r="C836" s="134">
        <v>43539</v>
      </c>
      <c r="D836" s="135">
        <v>114.22</v>
      </c>
      <c r="O836" s="134"/>
      <c r="P836" s="135"/>
    </row>
    <row r="837" spans="1:16" s="133" customFormat="1" ht="15" customHeight="1">
      <c r="A837" s="1"/>
      <c r="B837" s="1"/>
      <c r="C837" s="134">
        <v>43542</v>
      </c>
      <c r="D837" s="135">
        <v>114.73</v>
      </c>
      <c r="O837" s="134"/>
      <c r="P837" s="135"/>
    </row>
    <row r="838" spans="1:16" s="133" customFormat="1" ht="15" customHeight="1">
      <c r="A838" s="1"/>
      <c r="B838" s="1"/>
      <c r="C838" s="134">
        <v>43543</v>
      </c>
      <c r="D838" s="135">
        <v>114.85</v>
      </c>
      <c r="O838" s="134"/>
      <c r="P838" s="135"/>
    </row>
    <row r="839" spans="1:16" s="133" customFormat="1" ht="15" customHeight="1">
      <c r="A839" s="1"/>
      <c r="B839" s="1"/>
      <c r="C839" s="134">
        <v>43544</v>
      </c>
      <c r="D839" s="135">
        <v>113.53</v>
      </c>
      <c r="O839" s="134"/>
      <c r="P839" s="135"/>
    </row>
    <row r="840" spans="1:16" s="133" customFormat="1" ht="15" customHeight="1">
      <c r="A840" s="1"/>
      <c r="B840" s="1"/>
      <c r="C840" s="134">
        <v>43545</v>
      </c>
      <c r="D840" s="135">
        <v>114.85</v>
      </c>
      <c r="O840" s="134"/>
      <c r="P840" s="135"/>
    </row>
    <row r="841" spans="1:16" s="133" customFormat="1" ht="15" customHeight="1">
      <c r="A841" s="1"/>
      <c r="B841" s="1"/>
      <c r="C841" s="134">
        <v>43546</v>
      </c>
      <c r="D841" s="135">
        <v>111.68</v>
      </c>
      <c r="O841" s="134"/>
      <c r="P841" s="135"/>
    </row>
    <row r="842" spans="1:16" s="133" customFormat="1" ht="15" customHeight="1">
      <c r="A842" s="1"/>
      <c r="B842" s="1"/>
      <c r="C842" s="134">
        <v>43549</v>
      </c>
      <c r="D842" s="135">
        <v>111.2</v>
      </c>
      <c r="O842" s="134"/>
      <c r="P842" s="135"/>
    </row>
    <row r="843" spans="1:16" s="133" customFormat="1" ht="15" customHeight="1">
      <c r="A843" s="1"/>
      <c r="B843" s="1"/>
      <c r="C843" s="134">
        <v>43550</v>
      </c>
      <c r="D843" s="135">
        <v>111.77</v>
      </c>
      <c r="O843" s="134"/>
      <c r="P843" s="135"/>
    </row>
    <row r="844" spans="1:16" s="133" customFormat="1" ht="15" customHeight="1">
      <c r="A844" s="1"/>
      <c r="B844" s="1"/>
      <c r="C844" s="134">
        <v>43551</v>
      </c>
      <c r="D844" s="135">
        <v>110.56</v>
      </c>
      <c r="O844" s="134"/>
      <c r="P844" s="135"/>
    </row>
    <row r="845" spans="1:16" s="133" customFormat="1" ht="15" customHeight="1">
      <c r="A845" s="1"/>
      <c r="B845" s="1"/>
      <c r="C845" s="134">
        <v>43552</v>
      </c>
      <c r="D845" s="135">
        <v>111</v>
      </c>
      <c r="O845" s="134"/>
      <c r="P845" s="135"/>
    </row>
    <row r="846" spans="1:16" s="133" customFormat="1" ht="15" customHeight="1">
      <c r="A846" s="1"/>
      <c r="B846" s="1"/>
      <c r="C846" s="134">
        <v>43553</v>
      </c>
      <c r="D846" s="135">
        <v>111.95</v>
      </c>
      <c r="O846" s="134"/>
      <c r="P846" s="135"/>
    </row>
    <row r="847" spans="1:16" s="133" customFormat="1" ht="15" customHeight="1">
      <c r="A847" s="1"/>
      <c r="B847" s="1"/>
      <c r="C847" s="134">
        <v>43556</v>
      </c>
      <c r="D847" s="135">
        <v>114.33</v>
      </c>
      <c r="O847" s="134"/>
      <c r="P847" s="135"/>
    </row>
    <row r="848" spans="1:16" s="133" customFormat="1" ht="15" customHeight="1">
      <c r="A848" s="1"/>
      <c r="B848" s="1"/>
      <c r="C848" s="134">
        <v>43557</v>
      </c>
      <c r="D848" s="135">
        <v>114.13</v>
      </c>
      <c r="O848" s="134"/>
      <c r="P848" s="135"/>
    </row>
    <row r="849" spans="1:16" s="133" customFormat="1" ht="15" customHeight="1">
      <c r="A849" s="1"/>
      <c r="B849" s="1"/>
      <c r="C849" s="134">
        <v>43558</v>
      </c>
      <c r="D849" s="135">
        <v>115.27</v>
      </c>
      <c r="O849" s="134"/>
      <c r="P849" s="135"/>
    </row>
    <row r="850" spans="1:16" s="133" customFormat="1" ht="15" customHeight="1">
      <c r="A850" s="1"/>
      <c r="B850" s="1"/>
      <c r="C850" s="134">
        <v>43559</v>
      </c>
      <c r="D850" s="135">
        <v>115.25</v>
      </c>
      <c r="O850" s="134"/>
      <c r="P850" s="135"/>
    </row>
    <row r="851" spans="1:16" s="133" customFormat="1" ht="15" customHeight="1">
      <c r="A851" s="1"/>
      <c r="B851" s="1"/>
      <c r="C851" s="134">
        <v>43560</v>
      </c>
      <c r="D851" s="135">
        <v>115.59</v>
      </c>
      <c r="O851" s="134"/>
      <c r="P851" s="135"/>
    </row>
    <row r="852" spans="1:16" s="133" customFormat="1" ht="15" customHeight="1">
      <c r="A852" s="1"/>
      <c r="B852" s="1"/>
      <c r="C852" s="134">
        <v>43563</v>
      </c>
      <c r="D852" s="135">
        <v>115.95</v>
      </c>
      <c r="O852" s="134"/>
      <c r="P852" s="135"/>
    </row>
    <row r="853" spans="1:16" s="133" customFormat="1" ht="15" customHeight="1">
      <c r="A853" s="1"/>
      <c r="B853" s="1"/>
      <c r="C853" s="134">
        <v>43564</v>
      </c>
      <c r="D853" s="135">
        <v>115.03</v>
      </c>
      <c r="O853" s="134"/>
      <c r="P853" s="135"/>
    </row>
    <row r="854" spans="1:16" s="133" customFormat="1" ht="15" customHeight="1">
      <c r="A854" s="1"/>
      <c r="B854" s="1"/>
      <c r="C854" s="134">
        <v>43565</v>
      </c>
      <c r="D854" s="135">
        <v>115.35</v>
      </c>
      <c r="O854" s="134"/>
      <c r="P854" s="135"/>
    </row>
    <row r="855" spans="1:16" s="133" customFormat="1" ht="15" customHeight="1">
      <c r="A855" s="1"/>
      <c r="B855" s="1"/>
      <c r="C855" s="134">
        <v>43566</v>
      </c>
      <c r="D855" s="135">
        <v>115.64</v>
      </c>
      <c r="O855" s="134"/>
      <c r="P855" s="135"/>
    </row>
    <row r="856" spans="1:16" s="133" customFormat="1" ht="15" customHeight="1">
      <c r="A856" s="1"/>
      <c r="B856" s="1"/>
      <c r="C856" s="134">
        <v>43567</v>
      </c>
      <c r="D856" s="135">
        <v>117.11</v>
      </c>
      <c r="O856" s="134"/>
      <c r="P856" s="135"/>
    </row>
    <row r="857" spans="1:16" s="133" customFormat="1" ht="15" customHeight="1">
      <c r="A857" s="1"/>
      <c r="B857" s="1"/>
      <c r="C857" s="134">
        <v>43570</v>
      </c>
      <c r="D857" s="135">
        <v>116.89</v>
      </c>
      <c r="O857" s="134"/>
      <c r="P857" s="135"/>
    </row>
    <row r="858" spans="1:16" s="133" customFormat="1" ht="15" customHeight="1">
      <c r="A858" s="1"/>
      <c r="B858" s="1"/>
      <c r="C858" s="134">
        <v>43571</v>
      </c>
      <c r="D858" s="135">
        <v>117.55</v>
      </c>
      <c r="O858" s="134"/>
      <c r="P858" s="135"/>
    </row>
    <row r="859" spans="1:16" s="133" customFormat="1" ht="15" customHeight="1">
      <c r="A859" s="1"/>
      <c r="B859" s="1"/>
      <c r="C859" s="134">
        <v>43572</v>
      </c>
      <c r="D859" s="135">
        <v>117.14</v>
      </c>
      <c r="O859" s="134"/>
      <c r="P859" s="135"/>
    </row>
    <row r="860" spans="1:16" s="133" customFormat="1" ht="15" customHeight="1">
      <c r="A860" s="1"/>
      <c r="B860" s="1"/>
      <c r="C860" s="134">
        <v>43573</v>
      </c>
      <c r="D860" s="135">
        <v>117.1</v>
      </c>
      <c r="O860" s="134"/>
      <c r="P860" s="135"/>
    </row>
    <row r="861" spans="1:16" s="133" customFormat="1" ht="15" customHeight="1">
      <c r="A861" s="1"/>
      <c r="B861" s="1"/>
      <c r="C861" s="134">
        <v>43577</v>
      </c>
      <c r="D861" s="135">
        <v>117.73</v>
      </c>
      <c r="O861" s="134"/>
      <c r="P861" s="135"/>
    </row>
    <row r="862" spans="1:16" s="133" customFormat="1" ht="15" customHeight="1">
      <c r="A862" s="1"/>
      <c r="B862" s="1"/>
      <c r="C862" s="134">
        <v>43578</v>
      </c>
      <c r="D862" s="135">
        <v>118.55</v>
      </c>
      <c r="O862" s="134"/>
      <c r="P862" s="135"/>
    </row>
    <row r="863" spans="1:16" s="133" customFormat="1" ht="15" customHeight="1">
      <c r="A863" s="1"/>
      <c r="B863" s="1"/>
      <c r="C863" s="134">
        <v>43579</v>
      </c>
      <c r="D863" s="135">
        <v>117.58</v>
      </c>
      <c r="O863" s="134"/>
      <c r="P863" s="135"/>
    </row>
    <row r="864" spans="1:16" s="133" customFormat="1" ht="15" customHeight="1">
      <c r="A864" s="1"/>
      <c r="B864" s="1"/>
      <c r="C864" s="134">
        <v>43580</v>
      </c>
      <c r="D864" s="135">
        <v>117.56</v>
      </c>
      <c r="O864" s="134"/>
      <c r="P864" s="135"/>
    </row>
    <row r="865" spans="1:16" s="133" customFormat="1" ht="15" customHeight="1">
      <c r="A865" s="1"/>
      <c r="B865" s="1"/>
      <c r="C865" s="134">
        <v>43581</v>
      </c>
      <c r="D865" s="135">
        <v>117.83</v>
      </c>
      <c r="O865" s="134"/>
      <c r="P865" s="135"/>
    </row>
    <row r="866" spans="1:16" s="133" customFormat="1" ht="15" customHeight="1">
      <c r="A866" s="1"/>
      <c r="B866" s="1"/>
      <c r="C866" s="134">
        <v>43584</v>
      </c>
      <c r="D866" s="135">
        <v>118.41</v>
      </c>
      <c r="O866" s="134"/>
      <c r="P866" s="135"/>
    </row>
    <row r="867" spans="1:16" s="133" customFormat="1" ht="15" customHeight="1">
      <c r="A867" s="1"/>
      <c r="B867" s="1"/>
      <c r="C867" s="134">
        <v>43585</v>
      </c>
      <c r="D867" s="135">
        <v>118.24</v>
      </c>
      <c r="O867" s="134"/>
      <c r="P867" s="135"/>
    </row>
    <row r="868" spans="1:16" s="133" customFormat="1" ht="15" customHeight="1">
      <c r="A868" s="1"/>
      <c r="B868" s="1"/>
      <c r="C868" s="134">
        <v>43586</v>
      </c>
      <c r="D868" s="135">
        <v>117.12</v>
      </c>
      <c r="O868" s="134"/>
      <c r="P868" s="135"/>
    </row>
    <row r="869" spans="1:16" s="133" customFormat="1" ht="15" customHeight="1">
      <c r="A869" s="1"/>
      <c r="B869" s="1"/>
      <c r="C869" s="134">
        <v>43587</v>
      </c>
      <c r="D869" s="135">
        <v>117.43</v>
      </c>
      <c r="O869" s="134"/>
      <c r="P869" s="135"/>
    </row>
    <row r="870" spans="1:16" s="133" customFormat="1" ht="15" customHeight="1">
      <c r="A870" s="1"/>
      <c r="B870" s="1"/>
      <c r="C870" s="134">
        <v>43588</v>
      </c>
      <c r="D870" s="135">
        <v>118.29</v>
      </c>
      <c r="O870" s="134"/>
      <c r="P870" s="135"/>
    </row>
    <row r="871" spans="1:16" s="133" customFormat="1" ht="15" customHeight="1">
      <c r="A871" s="1"/>
      <c r="B871" s="1"/>
      <c r="C871" s="134">
        <v>43591</v>
      </c>
      <c r="D871" s="135">
        <v>117.37</v>
      </c>
      <c r="O871" s="134"/>
      <c r="P871" s="135"/>
    </row>
    <row r="872" spans="1:16" s="133" customFormat="1" ht="15" customHeight="1">
      <c r="A872" s="1"/>
      <c r="B872" s="1"/>
      <c r="C872" s="134">
        <v>43592</v>
      </c>
      <c r="D872" s="135">
        <v>114.96</v>
      </c>
      <c r="O872" s="134"/>
      <c r="P872" s="135"/>
    </row>
    <row r="873" spans="1:16" s="133" customFormat="1" ht="15" customHeight="1">
      <c r="A873" s="1"/>
      <c r="B873" s="1"/>
      <c r="C873" s="134">
        <v>43593</v>
      </c>
      <c r="D873" s="135">
        <v>115.24</v>
      </c>
      <c r="O873" s="134"/>
      <c r="P873" s="135"/>
    </row>
    <row r="874" spans="1:16" s="133" customFormat="1" ht="15" customHeight="1">
      <c r="A874" s="1"/>
      <c r="B874" s="1"/>
      <c r="C874" s="134">
        <v>43594</v>
      </c>
      <c r="D874" s="135">
        <v>114.3</v>
      </c>
      <c r="O874" s="134"/>
      <c r="P874" s="135"/>
    </row>
    <row r="875" spans="1:16" s="133" customFormat="1" ht="15" customHeight="1">
      <c r="A875" s="1"/>
      <c r="B875" s="1"/>
      <c r="C875" s="134">
        <v>43595</v>
      </c>
      <c r="D875" s="135">
        <v>114.9</v>
      </c>
      <c r="O875" s="134"/>
      <c r="P875" s="135"/>
    </row>
    <row r="876" spans="1:16" s="133" customFormat="1" ht="15" customHeight="1">
      <c r="A876" s="1"/>
      <c r="B876" s="1"/>
      <c r="C876" s="134">
        <v>43598</v>
      </c>
      <c r="D876" s="135">
        <v>111.11</v>
      </c>
      <c r="O876" s="134"/>
      <c r="P876" s="135"/>
    </row>
    <row r="877" spans="1:16" s="133" customFormat="1" ht="15" customHeight="1">
      <c r="A877" s="1"/>
      <c r="B877" s="1"/>
      <c r="C877" s="134">
        <v>43599</v>
      </c>
      <c r="D877" s="135">
        <v>112.6</v>
      </c>
      <c r="O877" s="134"/>
      <c r="P877" s="135"/>
    </row>
    <row r="878" spans="1:16" s="133" customFormat="1" ht="15" customHeight="1">
      <c r="A878" s="1"/>
      <c r="B878" s="1"/>
      <c r="C878" s="134">
        <v>43600</v>
      </c>
      <c r="D878" s="135">
        <v>112.72</v>
      </c>
      <c r="O878" s="134"/>
      <c r="P878" s="135"/>
    </row>
    <row r="879" spans="1:16" s="133" customFormat="1" ht="15" customHeight="1">
      <c r="A879" s="1"/>
      <c r="B879" s="1"/>
      <c r="C879" s="134">
        <v>43601</v>
      </c>
      <c r="D879" s="135">
        <v>113.98</v>
      </c>
      <c r="O879" s="134"/>
      <c r="P879" s="135"/>
    </row>
    <row r="880" spans="1:16" s="133" customFormat="1" ht="15" customHeight="1">
      <c r="A880" s="1"/>
      <c r="B880" s="1"/>
      <c r="C880" s="134">
        <v>43602</v>
      </c>
      <c r="D880" s="135">
        <v>113.14</v>
      </c>
      <c r="O880" s="134"/>
      <c r="P880" s="135"/>
    </row>
    <row r="881" spans="1:16" s="133" customFormat="1" ht="15" customHeight="1">
      <c r="A881" s="1"/>
      <c r="B881" s="1"/>
      <c r="C881" s="134">
        <v>43605</v>
      </c>
      <c r="D881" s="135">
        <v>112.69</v>
      </c>
      <c r="O881" s="134"/>
      <c r="P881" s="135"/>
    </row>
    <row r="882" spans="1:16" s="133" customFormat="1" ht="15" customHeight="1">
      <c r="A882" s="1"/>
      <c r="B882" s="1"/>
      <c r="C882" s="134">
        <v>43606</v>
      </c>
      <c r="D882" s="135">
        <v>113.71</v>
      </c>
      <c r="O882" s="134"/>
      <c r="P882" s="135"/>
    </row>
    <row r="883" spans="1:16" s="133" customFormat="1" ht="15" customHeight="1">
      <c r="A883" s="1"/>
      <c r="B883" s="1"/>
      <c r="C883" s="134">
        <v>43607</v>
      </c>
      <c r="D883" s="135">
        <v>112.98</v>
      </c>
      <c r="O883" s="134"/>
      <c r="P883" s="135"/>
    </row>
    <row r="884" spans="1:16" s="133" customFormat="1" ht="15" customHeight="1">
      <c r="A884" s="1"/>
      <c r="B884" s="1"/>
      <c r="C884" s="134">
        <v>43608</v>
      </c>
      <c r="D884" s="135">
        <v>110.19</v>
      </c>
      <c r="O884" s="134"/>
      <c r="P884" s="135"/>
    </row>
    <row r="885" spans="1:16" s="133" customFormat="1" ht="15" customHeight="1">
      <c r="A885" s="1"/>
      <c r="B885" s="1"/>
      <c r="C885" s="134">
        <v>43609</v>
      </c>
      <c r="D885" s="135">
        <v>111.01</v>
      </c>
      <c r="O885" s="134"/>
      <c r="P885" s="135"/>
    </row>
    <row r="886" spans="1:16" s="133" customFormat="1" ht="15" customHeight="1">
      <c r="A886" s="1"/>
      <c r="B886" s="1"/>
      <c r="C886" s="134">
        <v>43613</v>
      </c>
      <c r="D886" s="135">
        <v>109.21</v>
      </c>
      <c r="O886" s="134"/>
      <c r="P886" s="135"/>
    </row>
    <row r="887" spans="1:16" s="133" customFormat="1" ht="15" customHeight="1">
      <c r="A887" s="1"/>
      <c r="B887" s="1"/>
      <c r="C887" s="134">
        <v>43614</v>
      </c>
      <c r="D887" s="135">
        <v>107.73</v>
      </c>
      <c r="O887" s="134"/>
      <c r="P887" s="135"/>
    </row>
    <row r="888" spans="1:16" s="133" customFormat="1" ht="15" customHeight="1">
      <c r="A888" s="1"/>
      <c r="B888" s="1"/>
      <c r="C888" s="134">
        <v>43615</v>
      </c>
      <c r="D888" s="135">
        <v>107.92</v>
      </c>
      <c r="O888" s="134"/>
      <c r="P888" s="135"/>
    </row>
    <row r="889" spans="1:16" s="133" customFormat="1" ht="15" customHeight="1">
      <c r="A889" s="1"/>
      <c r="B889" s="1"/>
      <c r="C889" s="134">
        <v>43616</v>
      </c>
      <c r="D889" s="135">
        <v>105.55</v>
      </c>
      <c r="O889" s="134"/>
      <c r="P889" s="135"/>
    </row>
    <row r="890" spans="1:16" s="133" customFormat="1" ht="15" customHeight="1">
      <c r="A890" s="1"/>
      <c r="B890" s="1"/>
      <c r="C890" s="134">
        <v>43619</v>
      </c>
      <c r="D890" s="135">
        <v>104.85</v>
      </c>
      <c r="O890" s="134"/>
      <c r="P890" s="135"/>
    </row>
    <row r="891" spans="1:16" s="133" customFormat="1" ht="15" customHeight="1">
      <c r="A891" s="1"/>
      <c r="B891" s="1"/>
      <c r="C891" s="134">
        <v>43620</v>
      </c>
      <c r="D891" s="135">
        <v>107.59</v>
      </c>
      <c r="O891" s="134"/>
      <c r="P891" s="135"/>
    </row>
    <row r="892" spans="1:16" s="133" customFormat="1" ht="15" customHeight="1">
      <c r="A892" s="1"/>
      <c r="B892" s="1"/>
      <c r="C892" s="134">
        <v>43621</v>
      </c>
      <c r="D892" s="135">
        <v>108.67</v>
      </c>
      <c r="O892" s="134"/>
      <c r="P892" s="135"/>
    </row>
    <row r="893" spans="1:16" s="133" customFormat="1" ht="15" customHeight="1">
      <c r="A893" s="1"/>
      <c r="B893" s="1"/>
      <c r="C893" s="134">
        <v>43622</v>
      </c>
      <c r="D893" s="135">
        <v>109.28</v>
      </c>
      <c r="O893" s="134"/>
      <c r="P893" s="135"/>
    </row>
    <row r="894" spans="1:16" s="133" customFormat="1" ht="15" customHeight="1">
      <c r="A894" s="1"/>
      <c r="B894" s="1"/>
      <c r="C894" s="134">
        <v>43623</v>
      </c>
      <c r="D894" s="135">
        <v>109.7</v>
      </c>
      <c r="O894" s="134"/>
      <c r="P894" s="135"/>
    </row>
    <row r="895" spans="1:16" s="133" customFormat="1" ht="15" customHeight="1">
      <c r="A895" s="1"/>
      <c r="B895" s="1"/>
      <c r="C895" s="134">
        <v>43626</v>
      </c>
      <c r="D895" s="135">
        <v>111.02</v>
      </c>
      <c r="O895" s="134"/>
      <c r="P895" s="135"/>
    </row>
    <row r="896" spans="1:16" s="133" customFormat="1" ht="15" customHeight="1">
      <c r="A896" s="1"/>
      <c r="B896" s="1"/>
      <c r="C896" s="134">
        <v>43627</v>
      </c>
      <c r="D896" s="135">
        <v>110.85</v>
      </c>
      <c r="O896" s="134"/>
      <c r="P896" s="135"/>
    </row>
    <row r="897" spans="1:16" s="133" customFormat="1" ht="15" customHeight="1">
      <c r="A897" s="1"/>
      <c r="B897" s="1"/>
      <c r="C897" s="134">
        <v>43628</v>
      </c>
      <c r="D897" s="135">
        <v>110.62</v>
      </c>
      <c r="O897" s="134"/>
      <c r="P897" s="135"/>
    </row>
    <row r="898" spans="1:16" s="133" customFormat="1" ht="15" customHeight="1">
      <c r="A898" s="1"/>
      <c r="B898" s="1"/>
      <c r="C898" s="134">
        <v>43629</v>
      </c>
      <c r="D898" s="135">
        <v>110.67</v>
      </c>
      <c r="O898" s="134"/>
      <c r="P898" s="135"/>
    </row>
    <row r="899" spans="1:16" s="133" customFormat="1" ht="15" customHeight="1">
      <c r="A899" s="1"/>
      <c r="B899" s="1"/>
      <c r="C899" s="134">
        <v>43630</v>
      </c>
      <c r="D899" s="135">
        <v>110.46</v>
      </c>
      <c r="O899" s="134"/>
      <c r="P899" s="135"/>
    </row>
    <row r="900" spans="1:16" s="133" customFormat="1" ht="15" customHeight="1">
      <c r="A900" s="1"/>
      <c r="B900" s="1"/>
      <c r="C900" s="134">
        <v>43633</v>
      </c>
      <c r="D900" s="135">
        <v>110.34</v>
      </c>
      <c r="O900" s="134"/>
      <c r="P900" s="135"/>
    </row>
    <row r="901" spans="1:16" s="133" customFormat="1" ht="15" customHeight="1">
      <c r="A901" s="1"/>
      <c r="B901" s="1"/>
      <c r="C901" s="134">
        <v>43634</v>
      </c>
      <c r="D901" s="135">
        <v>111.22</v>
      </c>
      <c r="O901" s="134"/>
      <c r="P901" s="135"/>
    </row>
    <row r="902" spans="1:16" s="133" customFormat="1" ht="15" customHeight="1">
      <c r="A902" s="1"/>
      <c r="B902" s="1"/>
      <c r="C902" s="134">
        <v>43635</v>
      </c>
      <c r="D902" s="135">
        <v>111.19</v>
      </c>
      <c r="O902" s="134"/>
      <c r="P902" s="135"/>
    </row>
    <row r="903" spans="1:16" s="133" customFormat="1" ht="15" customHeight="1">
      <c r="A903" s="1"/>
      <c r="B903" s="1"/>
      <c r="C903" s="134">
        <v>43636</v>
      </c>
      <c r="D903" s="135">
        <v>112</v>
      </c>
      <c r="O903" s="134"/>
      <c r="P903" s="135"/>
    </row>
    <row r="904" spans="1:16" s="133" customFormat="1" ht="15" customHeight="1">
      <c r="A904" s="1"/>
      <c r="B904" s="1"/>
      <c r="C904" s="134">
        <v>43637</v>
      </c>
      <c r="D904" s="135">
        <v>112.45</v>
      </c>
      <c r="O904" s="134"/>
      <c r="P904" s="135"/>
    </row>
    <row r="905" spans="1:16" s="133" customFormat="1" ht="15" customHeight="1">
      <c r="A905" s="1"/>
      <c r="B905" s="1"/>
      <c r="C905" s="134">
        <v>43640</v>
      </c>
      <c r="D905" s="135">
        <v>111.94</v>
      </c>
      <c r="O905" s="134"/>
      <c r="P905" s="135"/>
    </row>
    <row r="906" spans="1:16" s="133" customFormat="1" ht="15" customHeight="1">
      <c r="A906" s="1"/>
      <c r="B906" s="1"/>
      <c r="C906" s="134">
        <v>43641</v>
      </c>
      <c r="D906" s="135">
        <v>110.45</v>
      </c>
      <c r="O906" s="134"/>
      <c r="P906" s="135"/>
    </row>
    <row r="907" spans="1:16" s="133" customFormat="1" ht="15" customHeight="1">
      <c r="A907" s="1"/>
      <c r="B907" s="1"/>
      <c r="C907" s="134">
        <v>43642</v>
      </c>
      <c r="D907" s="135">
        <v>110.97</v>
      </c>
      <c r="O907" s="134"/>
      <c r="P907" s="135"/>
    </row>
    <row r="908" spans="1:16" s="133" customFormat="1" ht="15" customHeight="1">
      <c r="A908" s="1"/>
      <c r="B908" s="1"/>
      <c r="C908" s="134">
        <v>43643</v>
      </c>
      <c r="D908" s="135">
        <v>110.93</v>
      </c>
      <c r="O908" s="134"/>
      <c r="P908" s="135"/>
    </row>
    <row r="909" spans="1:16" s="133" customFormat="1" ht="15" customHeight="1">
      <c r="A909" s="1"/>
      <c r="B909" s="1"/>
      <c r="C909" s="134">
        <v>43644</v>
      </c>
      <c r="D909" s="135">
        <v>111.53</v>
      </c>
      <c r="O909" s="134"/>
      <c r="P909" s="135"/>
    </row>
    <row r="910" spans="1:16" s="133" customFormat="1" ht="15" customHeight="1">
      <c r="A910" s="1"/>
      <c r="B910" s="1"/>
      <c r="C910" s="134">
        <v>43647</v>
      </c>
      <c r="D910" s="135">
        <v>112.87</v>
      </c>
      <c r="O910" s="134"/>
      <c r="P910" s="135"/>
    </row>
    <row r="911" spans="1:16" s="133" customFormat="1" ht="15" customHeight="1">
      <c r="A911" s="1"/>
      <c r="B911" s="1"/>
      <c r="C911" s="134">
        <v>43648</v>
      </c>
      <c r="D911" s="135">
        <v>112.52</v>
      </c>
      <c r="O911" s="134"/>
      <c r="P911" s="135"/>
    </row>
    <row r="912" spans="1:16" s="133" customFormat="1" ht="15" customHeight="1">
      <c r="A912" s="1"/>
      <c r="B912" s="1"/>
      <c r="C912" s="134">
        <v>43649</v>
      </c>
      <c r="D912" s="135">
        <v>112.91</v>
      </c>
      <c r="O912" s="134"/>
      <c r="P912" s="135"/>
    </row>
    <row r="913" spans="1:16" s="133" customFormat="1" ht="15" customHeight="1">
      <c r="A913" s="1"/>
      <c r="B913" s="1"/>
      <c r="C913" s="134">
        <v>43651</v>
      </c>
      <c r="D913" s="135">
        <v>113.77</v>
      </c>
      <c r="O913" s="134"/>
      <c r="P913" s="135"/>
    </row>
    <row r="914" spans="1:16" s="133" customFormat="1" ht="15" customHeight="1">
      <c r="A914" s="1"/>
      <c r="B914" s="1"/>
      <c r="C914" s="134">
        <v>43654</v>
      </c>
      <c r="D914" s="135">
        <v>113.01</v>
      </c>
      <c r="O914" s="134"/>
      <c r="P914" s="135"/>
    </row>
    <row r="915" spans="1:16" s="133" customFormat="1" ht="15" customHeight="1">
      <c r="A915" s="1"/>
      <c r="B915" s="1"/>
      <c r="C915" s="134">
        <v>43655</v>
      </c>
      <c r="D915" s="135">
        <v>113.38</v>
      </c>
      <c r="O915" s="134"/>
      <c r="P915" s="135"/>
    </row>
    <row r="916" spans="1:16" s="133" customFormat="1" ht="15" customHeight="1">
      <c r="A916" s="1"/>
      <c r="B916" s="1"/>
      <c r="C916" s="134">
        <v>43656</v>
      </c>
      <c r="D916" s="135">
        <v>114.3</v>
      </c>
      <c r="O916" s="134"/>
      <c r="P916" s="135"/>
    </row>
    <row r="917" spans="1:16" s="133" customFormat="1" ht="15" customHeight="1">
      <c r="A917" s="1"/>
      <c r="B917" s="1"/>
      <c r="C917" s="134">
        <v>43657</v>
      </c>
      <c r="D917" s="135">
        <v>115.38</v>
      </c>
      <c r="O917" s="134"/>
      <c r="P917" s="135"/>
    </row>
    <row r="918" spans="1:16" s="133" customFormat="1" ht="15" customHeight="1">
      <c r="A918" s="1"/>
      <c r="B918" s="1"/>
      <c r="C918" s="134">
        <v>43658</v>
      </c>
      <c r="D918" s="135">
        <v>115.69</v>
      </c>
      <c r="O918" s="134"/>
      <c r="P918" s="135"/>
    </row>
    <row r="919" spans="1:16" s="133" customFormat="1" ht="15" customHeight="1">
      <c r="A919" s="1"/>
      <c r="B919" s="1"/>
      <c r="C919" s="134">
        <v>43661</v>
      </c>
      <c r="D919" s="135">
        <v>115.52</v>
      </c>
      <c r="O919" s="134"/>
      <c r="P919" s="135"/>
    </row>
    <row r="920" spans="1:16" s="133" customFormat="1" ht="15" customHeight="1">
      <c r="A920" s="1"/>
      <c r="B920" s="1"/>
      <c r="C920" s="134">
        <v>43662</v>
      </c>
      <c r="D920" s="135">
        <v>115.46</v>
      </c>
      <c r="O920" s="134"/>
      <c r="P920" s="135"/>
    </row>
    <row r="921" spans="1:16" s="133" customFormat="1" ht="15" customHeight="1">
      <c r="A921" s="1"/>
      <c r="B921" s="1"/>
      <c r="C921" s="134">
        <v>43663</v>
      </c>
      <c r="D921" s="135">
        <v>113.78</v>
      </c>
      <c r="O921" s="134"/>
      <c r="P921" s="135"/>
    </row>
    <row r="922" spans="1:16" s="133" customFormat="1" ht="15" customHeight="1">
      <c r="A922" s="1"/>
      <c r="B922" s="1"/>
      <c r="C922" s="134">
        <v>43664</v>
      </c>
      <c r="D922" s="135">
        <v>114.1</v>
      </c>
      <c r="O922" s="134"/>
      <c r="P922" s="135"/>
    </row>
    <row r="923" spans="1:16" s="133" customFormat="1" ht="15" customHeight="1">
      <c r="A923" s="1"/>
      <c r="B923" s="1"/>
      <c r="C923" s="134">
        <v>43665</v>
      </c>
      <c r="D923" s="135">
        <v>113.49</v>
      </c>
      <c r="O923" s="134"/>
      <c r="P923" s="135"/>
    </row>
    <row r="924" spans="1:16" s="133" customFormat="1" ht="15" customHeight="1">
      <c r="A924" s="1"/>
      <c r="B924" s="1"/>
      <c r="C924" s="134">
        <v>43668</v>
      </c>
      <c r="D924" s="135">
        <v>113.83</v>
      </c>
      <c r="O924" s="134"/>
      <c r="P924" s="135"/>
    </row>
    <row r="925" spans="1:16" s="133" customFormat="1" ht="15" customHeight="1">
      <c r="A925" s="1"/>
      <c r="B925" s="1"/>
      <c r="C925" s="134">
        <v>43669</v>
      </c>
      <c r="D925" s="135">
        <v>115.04</v>
      </c>
      <c r="O925" s="134"/>
      <c r="P925" s="135"/>
    </row>
    <row r="926" spans="1:16" s="133" customFormat="1" ht="15" customHeight="1">
      <c r="A926" s="1"/>
      <c r="B926" s="1"/>
      <c r="C926" s="134">
        <v>43670</v>
      </c>
      <c r="D926" s="135">
        <v>115.17</v>
      </c>
      <c r="O926" s="134"/>
      <c r="P926" s="135"/>
    </row>
    <row r="927" spans="1:16" s="133" customFormat="1" ht="15" customHeight="1">
      <c r="A927" s="1"/>
      <c r="B927" s="1"/>
      <c r="C927" s="134">
        <v>43671</v>
      </c>
      <c r="D927" s="135">
        <v>114.97</v>
      </c>
      <c r="O927" s="134"/>
      <c r="P927" s="135"/>
    </row>
    <row r="928" spans="1:16" s="133" customFormat="1" ht="15" customHeight="1">
      <c r="A928" s="1"/>
      <c r="B928" s="1"/>
      <c r="C928" s="134">
        <v>43672</v>
      </c>
      <c r="D928" s="135">
        <v>115.65</v>
      </c>
      <c r="O928" s="134"/>
      <c r="P928" s="135"/>
    </row>
    <row r="929" spans="1:16" s="133" customFormat="1" ht="15" customHeight="1">
      <c r="A929" s="1"/>
      <c r="B929" s="1"/>
      <c r="C929" s="134">
        <v>43675</v>
      </c>
      <c r="D929" s="135">
        <v>115.23</v>
      </c>
      <c r="O929" s="134"/>
      <c r="P929" s="135"/>
    </row>
    <row r="930" spans="1:16" s="133" customFormat="1" ht="15" customHeight="1">
      <c r="A930" s="1"/>
      <c r="B930" s="1"/>
      <c r="C930" s="134">
        <v>43676</v>
      </c>
      <c r="D930" s="135">
        <v>114.99</v>
      </c>
      <c r="O930" s="134"/>
      <c r="P930" s="135"/>
    </row>
    <row r="931" spans="1:16" s="133" customFormat="1" ht="15" customHeight="1">
      <c r="A931" s="1"/>
      <c r="B931" s="1"/>
      <c r="C931" s="134">
        <v>43677</v>
      </c>
      <c r="D931" s="135">
        <v>113.13</v>
      </c>
      <c r="O931" s="134"/>
      <c r="P931" s="135"/>
    </row>
    <row r="932" spans="1:16" s="133" customFormat="1" ht="15" customHeight="1">
      <c r="A932" s="1"/>
      <c r="B932" s="1"/>
      <c r="C932" s="134">
        <v>43678</v>
      </c>
      <c r="D932" s="135">
        <v>110.47</v>
      </c>
      <c r="O932" s="134"/>
      <c r="P932" s="135"/>
    </row>
    <row r="933" spans="1:16" s="133" customFormat="1" ht="15" customHeight="1">
      <c r="A933" s="1"/>
      <c r="B933" s="1"/>
      <c r="C933" s="134">
        <v>43679</v>
      </c>
      <c r="D933" s="135">
        <v>109.11</v>
      </c>
      <c r="O933" s="134"/>
      <c r="P933" s="135"/>
    </row>
    <row r="934" spans="1:16" s="133" customFormat="1" ht="15" customHeight="1">
      <c r="A934" s="1"/>
      <c r="B934" s="1"/>
      <c r="C934" s="134">
        <v>43682</v>
      </c>
      <c r="D934" s="135">
        <v>103.86</v>
      </c>
      <c r="O934" s="134"/>
      <c r="P934" s="135"/>
    </row>
    <row r="935" spans="1:16" s="133" customFormat="1" ht="15" customHeight="1">
      <c r="A935" s="1"/>
      <c r="B935" s="1"/>
      <c r="C935" s="134">
        <v>43683</v>
      </c>
      <c r="D935" s="135">
        <v>105.37</v>
      </c>
      <c r="O935" s="134"/>
      <c r="P935" s="135"/>
    </row>
    <row r="936" spans="1:16" s="133" customFormat="1" ht="15" customHeight="1">
      <c r="A936" s="1"/>
      <c r="B936" s="1"/>
      <c r="C936" s="134">
        <v>43684</v>
      </c>
      <c r="D936" s="135">
        <v>104.74</v>
      </c>
      <c r="O936" s="134"/>
      <c r="P936" s="135"/>
    </row>
    <row r="937" spans="1:16" s="133" customFormat="1" ht="15" customHeight="1">
      <c r="A937" s="1"/>
      <c r="B937" s="1"/>
      <c r="C937" s="134">
        <v>43685</v>
      </c>
      <c r="D937" s="135">
        <v>107.33</v>
      </c>
      <c r="O937" s="134"/>
      <c r="P937" s="135"/>
    </row>
    <row r="938" spans="1:16" s="133" customFormat="1" ht="15" customHeight="1">
      <c r="A938" s="1"/>
      <c r="B938" s="1"/>
      <c r="C938" s="134">
        <v>43686</v>
      </c>
      <c r="D938" s="135">
        <v>106.79</v>
      </c>
      <c r="O938" s="134"/>
      <c r="P938" s="135"/>
    </row>
    <row r="939" spans="1:16" s="133" customFormat="1" ht="15" customHeight="1">
      <c r="A939" s="1"/>
      <c r="B939" s="1"/>
      <c r="C939" s="134">
        <v>43689</v>
      </c>
      <c r="D939" s="135">
        <v>103.93</v>
      </c>
      <c r="O939" s="134"/>
      <c r="P939" s="135"/>
    </row>
    <row r="940" spans="1:16" s="133" customFormat="1" ht="15" customHeight="1">
      <c r="A940" s="1"/>
      <c r="B940" s="1"/>
      <c r="C940" s="134">
        <v>43690</v>
      </c>
      <c r="D940" s="135">
        <v>106.12</v>
      </c>
      <c r="O940" s="134"/>
      <c r="P940" s="135"/>
    </row>
    <row r="941" spans="1:16" s="133" customFormat="1" ht="15" customHeight="1">
      <c r="A941" s="1"/>
      <c r="B941" s="1"/>
      <c r="C941" s="134">
        <v>43691</v>
      </c>
      <c r="D941" s="135">
        <v>101.54</v>
      </c>
      <c r="O941" s="134"/>
      <c r="P941" s="135"/>
    </row>
    <row r="942" spans="1:16" s="133" customFormat="1" ht="15" customHeight="1">
      <c r="A942" s="1"/>
      <c r="B942" s="1"/>
      <c r="C942" s="134">
        <v>43692</v>
      </c>
      <c r="D942" s="135">
        <v>101.33</v>
      </c>
      <c r="O942" s="134"/>
      <c r="P942" s="135"/>
    </row>
    <row r="943" spans="1:16" s="133" customFormat="1" ht="15" customHeight="1">
      <c r="A943" s="1"/>
      <c r="B943" s="1"/>
      <c r="C943" s="134">
        <v>43693</v>
      </c>
      <c r="D943" s="135">
        <v>102.96</v>
      </c>
      <c r="O943" s="134"/>
      <c r="P943" s="135"/>
    </row>
    <row r="944" spans="1:16" s="133" customFormat="1" ht="15" customHeight="1">
      <c r="A944" s="1"/>
      <c r="B944" s="1"/>
      <c r="C944" s="134">
        <v>43696</v>
      </c>
      <c r="D944" s="135">
        <v>104.94</v>
      </c>
      <c r="O944" s="134"/>
      <c r="P944" s="135"/>
    </row>
    <row r="945" spans="1:16" s="133" customFormat="1" ht="15" customHeight="1">
      <c r="A945" s="1"/>
      <c r="B945" s="1"/>
      <c r="C945" s="134">
        <v>43697</v>
      </c>
      <c r="D945" s="135">
        <v>103.55</v>
      </c>
      <c r="O945" s="134"/>
      <c r="P945" s="135"/>
    </row>
    <row r="946" spans="1:16" s="133" customFormat="1" ht="15" customHeight="1">
      <c r="A946" s="1"/>
      <c r="B946" s="1"/>
      <c r="C946" s="134">
        <v>43698</v>
      </c>
      <c r="D946" s="135">
        <v>104.78</v>
      </c>
      <c r="O946" s="134"/>
      <c r="P946" s="135"/>
    </row>
    <row r="947" spans="1:16" s="133" customFormat="1" ht="15" customHeight="1">
      <c r="A947" s="1"/>
      <c r="B947" s="1"/>
      <c r="C947" s="134">
        <v>43699</v>
      </c>
      <c r="D947" s="135">
        <v>104.99</v>
      </c>
      <c r="O947" s="134"/>
      <c r="P947" s="135"/>
    </row>
    <row r="948" spans="1:16" s="133" customFormat="1" ht="15" customHeight="1">
      <c r="A948" s="1"/>
      <c r="B948" s="1"/>
      <c r="C948" s="134">
        <v>43700</v>
      </c>
      <c r="D948" s="135">
        <v>101.68</v>
      </c>
      <c r="O948" s="134"/>
      <c r="P948" s="135"/>
    </row>
    <row r="949" spans="1:16" s="133" customFormat="1" ht="15" customHeight="1">
      <c r="A949" s="1"/>
      <c r="B949" s="1"/>
      <c r="C949" s="134">
        <v>43703</v>
      </c>
      <c r="D949" s="135">
        <v>102.95</v>
      </c>
      <c r="O949" s="134"/>
      <c r="P949" s="135"/>
    </row>
    <row r="950" spans="1:16" s="133" customFormat="1" ht="15" customHeight="1">
      <c r="A950" s="1"/>
      <c r="B950" s="1"/>
      <c r="C950" s="134">
        <v>43704</v>
      </c>
      <c r="D950" s="135">
        <v>101.45</v>
      </c>
      <c r="O950" s="134"/>
      <c r="P950" s="135"/>
    </row>
    <row r="951" spans="1:16" s="133" customFormat="1" ht="15" customHeight="1">
      <c r="A951" s="1"/>
      <c r="B951" s="1"/>
      <c r="C951" s="134">
        <v>43705</v>
      </c>
      <c r="D951" s="135">
        <v>102.06</v>
      </c>
      <c r="O951" s="134"/>
      <c r="P951" s="135"/>
    </row>
    <row r="952" spans="1:16" s="133" customFormat="1" ht="15" customHeight="1">
      <c r="A952" s="1"/>
      <c r="B952" s="1"/>
      <c r="C952" s="134">
        <v>43706</v>
      </c>
      <c r="D952" s="135">
        <v>103.91</v>
      </c>
      <c r="O952" s="134"/>
      <c r="P952" s="135"/>
    </row>
    <row r="953" spans="1:16" s="133" customFormat="1" ht="15" customHeight="1">
      <c r="A953" s="1"/>
      <c r="B953" s="1"/>
      <c r="C953" s="134">
        <v>43707</v>
      </c>
      <c r="D953" s="135">
        <v>103.85</v>
      </c>
      <c r="O953" s="134"/>
      <c r="P953" s="135"/>
    </row>
    <row r="954" spans="1:16" s="133" customFormat="1" ht="15" customHeight="1">
      <c r="A954" s="1"/>
      <c r="B954" s="1"/>
      <c r="C954" s="134">
        <v>43711</v>
      </c>
      <c r="D954" s="135">
        <v>102.79</v>
      </c>
      <c r="O954" s="134"/>
      <c r="P954" s="135"/>
    </row>
    <row r="955" spans="1:16" s="133" customFormat="1" ht="15" customHeight="1">
      <c r="A955" s="1"/>
      <c r="B955" s="1"/>
      <c r="C955" s="134">
        <v>43712</v>
      </c>
      <c r="D955" s="135">
        <v>103.93</v>
      </c>
      <c r="O955" s="134"/>
      <c r="P955" s="135"/>
    </row>
    <row r="956" spans="1:16" s="133" customFormat="1" ht="15" customHeight="1">
      <c r="A956" s="1"/>
      <c r="B956" s="1"/>
      <c r="C956" s="134">
        <v>43713</v>
      </c>
      <c r="D956" s="135">
        <v>106.41</v>
      </c>
      <c r="O956" s="134"/>
      <c r="P956" s="135"/>
    </row>
    <row r="957" spans="1:16" s="133" customFormat="1" ht="15" customHeight="1">
      <c r="A957" s="1"/>
      <c r="B957" s="1"/>
      <c r="C957" s="134">
        <v>43714</v>
      </c>
      <c r="D957" s="135">
        <v>106.32</v>
      </c>
      <c r="O957" s="134"/>
      <c r="P957" s="135"/>
    </row>
    <row r="958" spans="1:16" s="133" customFormat="1" ht="15" customHeight="1">
      <c r="A958" s="1"/>
      <c r="B958" s="1"/>
      <c r="C958" s="134">
        <v>43717</v>
      </c>
      <c r="D958" s="135">
        <v>107.24</v>
      </c>
      <c r="O958" s="134"/>
      <c r="P958" s="135"/>
    </row>
    <row r="959" spans="1:16" s="133" customFormat="1" ht="15" customHeight="1">
      <c r="A959" s="1"/>
      <c r="B959" s="1"/>
      <c r="C959" s="134">
        <v>43718</v>
      </c>
      <c r="D959" s="135">
        <v>108.24</v>
      </c>
      <c r="O959" s="134"/>
      <c r="P959" s="135"/>
    </row>
    <row r="960" spans="1:16" s="133" customFormat="1" ht="15" customHeight="1">
      <c r="A960" s="1"/>
      <c r="B960" s="1"/>
      <c r="C960" s="134">
        <v>43719</v>
      </c>
      <c r="D960" s="135">
        <v>109.46</v>
      </c>
      <c r="O960" s="134"/>
      <c r="P960" s="135"/>
    </row>
    <row r="961" spans="1:16" s="133" customFormat="1" ht="15" customHeight="1">
      <c r="A961" s="1"/>
      <c r="B961" s="1"/>
      <c r="C961" s="134">
        <v>43720</v>
      </c>
      <c r="D961" s="135">
        <v>110.59</v>
      </c>
      <c r="O961" s="134"/>
      <c r="P961" s="135"/>
    </row>
    <row r="962" spans="1:16" s="133" customFormat="1" ht="15" customHeight="1">
      <c r="A962" s="1"/>
      <c r="B962" s="1"/>
      <c r="C962" s="134">
        <v>43721</v>
      </c>
      <c r="D962" s="135">
        <v>111.91</v>
      </c>
      <c r="O962" s="134"/>
      <c r="P962" s="135"/>
    </row>
    <row r="963" spans="1:16" s="133" customFormat="1" ht="15" customHeight="1">
      <c r="A963" s="1"/>
      <c r="B963" s="1"/>
      <c r="C963" s="134">
        <v>43724</v>
      </c>
      <c r="D963" s="135">
        <v>110.72</v>
      </c>
      <c r="O963" s="134"/>
      <c r="P963" s="135"/>
    </row>
    <row r="964" spans="1:16" s="133" customFormat="1" ht="15" customHeight="1">
      <c r="A964" s="1"/>
      <c r="B964" s="1"/>
      <c r="C964" s="134">
        <v>43725</v>
      </c>
      <c r="D964" s="135">
        <v>110.66</v>
      </c>
      <c r="O964" s="134"/>
      <c r="P964" s="135"/>
    </row>
    <row r="965" spans="1:16" s="133" customFormat="1" ht="15" customHeight="1">
      <c r="A965" s="1"/>
      <c r="B965" s="1"/>
      <c r="C965" s="134">
        <v>43726</v>
      </c>
      <c r="D965" s="135">
        <v>110.18</v>
      </c>
      <c r="O965" s="134"/>
      <c r="P965" s="135"/>
    </row>
    <row r="966" spans="1:16" s="133" customFormat="1" ht="15" customHeight="1">
      <c r="A966" s="1"/>
      <c r="B966" s="1"/>
      <c r="C966" s="134">
        <v>43727</v>
      </c>
      <c r="D966" s="135">
        <v>109.91</v>
      </c>
      <c r="O966" s="134"/>
      <c r="P966" s="135"/>
    </row>
    <row r="967" spans="1:16" s="133" customFormat="1" ht="15" customHeight="1">
      <c r="A967" s="1"/>
      <c r="B967" s="1"/>
      <c r="C967" s="134">
        <v>43728</v>
      </c>
      <c r="D967" s="135">
        <v>108.99</v>
      </c>
      <c r="O967" s="134"/>
      <c r="P967" s="135"/>
    </row>
    <row r="968" spans="1:16" s="133" customFormat="1" ht="15" customHeight="1">
      <c r="A968" s="1"/>
      <c r="B968" s="1"/>
      <c r="C968" s="134">
        <v>43731</v>
      </c>
      <c r="D968" s="135">
        <v>108.75</v>
      </c>
      <c r="O968" s="134"/>
      <c r="P968" s="135"/>
    </row>
    <row r="969" spans="1:16" s="133" customFormat="1" ht="15" customHeight="1">
      <c r="A969" s="1"/>
      <c r="B969" s="1"/>
      <c r="C969" s="134">
        <v>43732</v>
      </c>
      <c r="D969" s="135">
        <v>106.79</v>
      </c>
      <c r="O969" s="134"/>
      <c r="P969" s="135"/>
    </row>
    <row r="970" spans="1:16" s="133" customFormat="1" ht="15" customHeight="1">
      <c r="A970" s="1"/>
      <c r="B970" s="1"/>
      <c r="C970" s="134">
        <v>43733</v>
      </c>
      <c r="D970" s="135">
        <v>108.6</v>
      </c>
      <c r="O970" s="134"/>
      <c r="P970" s="135"/>
    </row>
    <row r="971" spans="1:16" s="133" customFormat="1" ht="15" customHeight="1">
      <c r="A971" s="1"/>
      <c r="B971" s="1"/>
      <c r="C971" s="134">
        <v>43734</v>
      </c>
      <c r="D971" s="135">
        <v>107.68</v>
      </c>
      <c r="O971" s="134"/>
      <c r="P971" s="135"/>
    </row>
    <row r="972" spans="1:16" s="133" customFormat="1" ht="15" customHeight="1">
      <c r="A972" s="1"/>
      <c r="B972" s="1"/>
      <c r="C972" s="134">
        <v>43735</v>
      </c>
      <c r="D972" s="135">
        <v>107.06</v>
      </c>
      <c r="O972" s="134"/>
      <c r="P972" s="135"/>
    </row>
    <row r="973" spans="1:16" s="133" customFormat="1" ht="15" customHeight="1">
      <c r="A973" s="1"/>
      <c r="B973" s="1"/>
      <c r="C973" s="134">
        <v>43738</v>
      </c>
      <c r="D973" s="135">
        <v>107.63</v>
      </c>
      <c r="O973" s="134"/>
      <c r="P973" s="135"/>
    </row>
    <row r="974" spans="1:16" s="133" customFormat="1" ht="15" customHeight="1">
      <c r="A974" s="1"/>
      <c r="B974" s="1"/>
      <c r="C974" s="134">
        <v>43739</v>
      </c>
      <c r="D974" s="135">
        <v>105.92</v>
      </c>
      <c r="O974" s="134"/>
      <c r="P974" s="135"/>
    </row>
    <row r="975" spans="1:16" s="133" customFormat="1" ht="15" customHeight="1">
      <c r="A975" s="1"/>
      <c r="B975" s="1"/>
      <c r="C975" s="134">
        <v>43740</v>
      </c>
      <c r="D975" s="135">
        <v>103.45</v>
      </c>
      <c r="O975" s="134"/>
      <c r="P975" s="135"/>
    </row>
    <row r="976" spans="1:16" s="133" customFormat="1" ht="15" customHeight="1">
      <c r="A976" s="1"/>
      <c r="B976" s="1"/>
      <c r="C976" s="134">
        <v>43741</v>
      </c>
      <c r="D976" s="135">
        <v>103.89</v>
      </c>
      <c r="O976" s="134"/>
      <c r="P976" s="135"/>
    </row>
    <row r="977" spans="1:16" s="133" customFormat="1" ht="15" customHeight="1">
      <c r="A977" s="1"/>
      <c r="B977" s="1"/>
      <c r="C977" s="134">
        <v>43742</v>
      </c>
      <c r="D977" s="135">
        <v>104.92</v>
      </c>
      <c r="O977" s="134"/>
      <c r="P977" s="135"/>
    </row>
    <row r="978" spans="1:16" s="133" customFormat="1" ht="15" customHeight="1">
      <c r="A978" s="1"/>
      <c r="B978" s="1"/>
      <c r="C978" s="134">
        <v>43745</v>
      </c>
      <c r="D978" s="135">
        <v>104.83</v>
      </c>
      <c r="O978" s="134"/>
      <c r="P978" s="135"/>
    </row>
    <row r="979" spans="1:16" s="133" customFormat="1" ht="15" customHeight="1">
      <c r="A979" s="1"/>
      <c r="B979" s="1"/>
      <c r="C979" s="134">
        <v>43746</v>
      </c>
      <c r="D979" s="135">
        <v>103.13</v>
      </c>
      <c r="O979" s="134"/>
      <c r="P979" s="135"/>
    </row>
    <row r="980" spans="1:16" s="133" customFormat="1" ht="15" customHeight="1">
      <c r="A980" s="1"/>
      <c r="B980" s="1"/>
      <c r="C980" s="134">
        <v>43747</v>
      </c>
      <c r="D980" s="135">
        <v>104.71</v>
      </c>
      <c r="O980" s="134"/>
      <c r="P980" s="135"/>
    </row>
    <row r="981" spans="1:16" s="133" customFormat="1" ht="15" customHeight="1">
      <c r="A981" s="1"/>
      <c r="B981" s="1"/>
      <c r="C981" s="134">
        <v>43748</v>
      </c>
      <c r="D981" s="135">
        <v>106.34</v>
      </c>
      <c r="O981" s="134"/>
      <c r="P981" s="135"/>
    </row>
    <row r="982" spans="1:16" s="133" customFormat="1" ht="15" customHeight="1">
      <c r="A982" s="1"/>
      <c r="B982" s="1"/>
      <c r="C982" s="134">
        <v>43749</v>
      </c>
      <c r="D982" s="135">
        <v>108.61</v>
      </c>
      <c r="O982" s="134"/>
      <c r="P982" s="135"/>
    </row>
    <row r="983" spans="1:16" s="133" customFormat="1" ht="15" customHeight="1">
      <c r="A983" s="1"/>
      <c r="B983" s="1"/>
      <c r="C983" s="134">
        <v>43752</v>
      </c>
      <c r="D983" s="135">
        <v>107.97</v>
      </c>
      <c r="O983" s="134"/>
      <c r="P983" s="135"/>
    </row>
    <row r="984" spans="1:16" s="133" customFormat="1" ht="15" customHeight="1">
      <c r="A984" s="1"/>
      <c r="B984" s="1"/>
      <c r="C984" s="134">
        <v>43753</v>
      </c>
      <c r="D984" s="135">
        <v>109.94</v>
      </c>
      <c r="O984" s="134"/>
      <c r="P984" s="135"/>
    </row>
    <row r="985" spans="1:16" s="133" customFormat="1" ht="15" customHeight="1">
      <c r="A985" s="1"/>
      <c r="B985" s="1"/>
      <c r="C985" s="134">
        <v>43754</v>
      </c>
      <c r="D985" s="135">
        <v>109.48</v>
      </c>
      <c r="O985" s="134"/>
      <c r="P985" s="135"/>
    </row>
    <row r="986" spans="1:16" s="133" customFormat="1" ht="15" customHeight="1">
      <c r="A986" s="1"/>
      <c r="B986" s="1"/>
      <c r="C986" s="134">
        <v>43755</v>
      </c>
      <c r="D986" s="135">
        <v>109.79</v>
      </c>
      <c r="O986" s="134"/>
      <c r="P986" s="135"/>
    </row>
    <row r="987" spans="1:16" s="133" customFormat="1" ht="15" customHeight="1">
      <c r="A987" s="1"/>
      <c r="B987" s="1"/>
      <c r="C987" s="134">
        <v>43756</v>
      </c>
      <c r="D987" s="135">
        <v>109.42</v>
      </c>
      <c r="O987" s="134"/>
      <c r="P987" s="135"/>
    </row>
    <row r="988" spans="1:16" s="133" customFormat="1" ht="15" customHeight="1">
      <c r="A988" s="1"/>
      <c r="B988" s="1"/>
      <c r="C988" s="134">
        <v>43759</v>
      </c>
      <c r="D988" s="135">
        <v>110.63</v>
      </c>
      <c r="O988" s="134"/>
      <c r="P988" s="135"/>
    </row>
    <row r="989" spans="1:16" s="133" customFormat="1" ht="15" customHeight="1">
      <c r="A989" s="1"/>
      <c r="B989" s="1"/>
      <c r="C989" s="134">
        <v>43760</v>
      </c>
      <c r="D989" s="135">
        <v>109.76</v>
      </c>
      <c r="O989" s="134"/>
      <c r="P989" s="135"/>
    </row>
    <row r="990" spans="1:16" s="133" customFormat="1" ht="15" customHeight="1">
      <c r="A990" s="1"/>
      <c r="B990" s="1"/>
      <c r="C990" s="134">
        <v>43761</v>
      </c>
      <c r="D990" s="135">
        <v>110.16</v>
      </c>
      <c r="O990" s="134"/>
      <c r="P990" s="135"/>
    </row>
    <row r="991" spans="1:16" s="133" customFormat="1" ht="15" customHeight="1">
      <c r="A991" s="1"/>
      <c r="B991" s="1"/>
      <c r="C991" s="134">
        <v>43762</v>
      </c>
      <c r="D991" s="135">
        <v>110.19</v>
      </c>
      <c r="O991" s="134"/>
      <c r="P991" s="135"/>
    </row>
    <row r="992" spans="1:16" s="133" customFormat="1" ht="15" customHeight="1">
      <c r="A992" s="1"/>
      <c r="B992" s="1"/>
      <c r="C992" s="134">
        <v>43763</v>
      </c>
      <c r="D992" s="135">
        <v>111.2</v>
      </c>
      <c r="O992" s="134"/>
      <c r="P992" s="135"/>
    </row>
    <row r="993" spans="1:16" s="133" customFormat="1" ht="15" customHeight="1">
      <c r="A993" s="1"/>
      <c r="B993" s="1"/>
      <c r="C993" s="134">
        <v>43766</v>
      </c>
      <c r="D993" s="135">
        <v>112.56</v>
      </c>
      <c r="O993" s="134"/>
      <c r="P993" s="135"/>
    </row>
    <row r="994" spans="1:16" s="133" customFormat="1" ht="15" customHeight="1">
      <c r="A994" s="1"/>
      <c r="B994" s="1"/>
      <c r="C994" s="134">
        <v>43767</v>
      </c>
      <c r="D994" s="135">
        <v>112.26</v>
      </c>
      <c r="O994" s="134"/>
      <c r="P994" s="135"/>
    </row>
    <row r="995" spans="1:16" s="133" customFormat="1" ht="15" customHeight="1">
      <c r="A995" s="1"/>
      <c r="B995" s="1"/>
      <c r="C995" s="134">
        <v>43768</v>
      </c>
      <c r="D995" s="135">
        <v>112.07</v>
      </c>
      <c r="O995" s="134"/>
      <c r="P995" s="135"/>
    </row>
    <row r="996" spans="1:16" s="133" customFormat="1" ht="15" customHeight="1">
      <c r="A996" s="1"/>
      <c r="B996" s="1"/>
      <c r="C996" s="134">
        <v>43769</v>
      </c>
      <c r="D996" s="135">
        <v>110.38</v>
      </c>
      <c r="O996" s="134"/>
      <c r="P996" s="135"/>
    </row>
    <row r="997" spans="1:16" s="133" customFormat="1" ht="15" customHeight="1">
      <c r="A997" s="1"/>
      <c r="B997" s="1"/>
      <c r="C997" s="134">
        <v>43770</v>
      </c>
      <c r="D997" s="135">
        <v>111.9</v>
      </c>
      <c r="O997" s="134"/>
      <c r="P997" s="135"/>
    </row>
    <row r="998" spans="1:16" s="133" customFormat="1" ht="15" customHeight="1">
      <c r="A998" s="1"/>
      <c r="B998" s="1"/>
      <c r="C998" s="134">
        <v>43773</v>
      </c>
      <c r="D998" s="135">
        <v>113.18</v>
      </c>
      <c r="O998" s="134"/>
      <c r="P998" s="135"/>
    </row>
    <row r="999" spans="1:16" s="133" customFormat="1" ht="15" customHeight="1">
      <c r="A999" s="1"/>
      <c r="B999" s="1"/>
      <c r="C999" s="134">
        <v>43774</v>
      </c>
      <c r="D999" s="135">
        <v>114.17</v>
      </c>
      <c r="O999" s="134"/>
      <c r="P999" s="135"/>
    </row>
    <row r="1000" spans="1:16" s="133" customFormat="1" ht="15" customHeight="1">
      <c r="A1000" s="1"/>
      <c r="B1000" s="1"/>
      <c r="C1000" s="134">
        <v>43775</v>
      </c>
      <c r="D1000" s="135">
        <v>113.52</v>
      </c>
      <c r="O1000" s="134"/>
      <c r="P1000" s="135"/>
    </row>
    <row r="1001" spans="1:16" s="133" customFormat="1" ht="15" customHeight="1">
      <c r="A1001" s="1"/>
      <c r="B1001" s="1"/>
      <c r="C1001" s="134">
        <v>43776</v>
      </c>
      <c r="D1001" s="135">
        <v>115.56</v>
      </c>
      <c r="O1001" s="134"/>
      <c r="P1001" s="135"/>
    </row>
    <row r="1002" spans="1:16" s="133" customFormat="1" ht="15" customHeight="1">
      <c r="A1002" s="1"/>
      <c r="B1002" s="1"/>
      <c r="C1002" s="134">
        <v>43777</v>
      </c>
      <c r="D1002" s="135">
        <v>115.92</v>
      </c>
      <c r="O1002" s="134"/>
      <c r="P1002" s="135"/>
    </row>
    <row r="1003" spans="1:16" s="133" customFormat="1" ht="15" customHeight="1">
      <c r="A1003" s="1"/>
      <c r="B1003" s="1"/>
      <c r="C1003" s="134">
        <v>43780</v>
      </c>
      <c r="D1003" s="135">
        <v>115.75</v>
      </c>
      <c r="O1003" s="134"/>
      <c r="P1003" s="135"/>
    </row>
    <row r="1004" spans="1:16" s="133" customFormat="1" ht="15" customHeight="1">
      <c r="A1004" s="1"/>
      <c r="B1004" s="1"/>
      <c r="C1004" s="134">
        <v>43781</v>
      </c>
      <c r="D1004" s="135">
        <v>115.56</v>
      </c>
      <c r="O1004" s="134"/>
      <c r="P1004" s="135"/>
    </row>
    <row r="1005" spans="1:16" s="133" customFormat="1" ht="15" customHeight="1">
      <c r="A1005" s="1"/>
      <c r="B1005" s="1"/>
      <c r="C1005" s="134">
        <v>43782</v>
      </c>
      <c r="D1005" s="135">
        <v>115.23</v>
      </c>
      <c r="O1005" s="134"/>
      <c r="P1005" s="135"/>
    </row>
    <row r="1006" spans="1:16" s="133" customFormat="1" ht="15" customHeight="1">
      <c r="A1006" s="1"/>
      <c r="B1006" s="1"/>
      <c r="C1006" s="134">
        <v>43783</v>
      </c>
      <c r="D1006" s="135">
        <v>114.54</v>
      </c>
      <c r="O1006" s="134"/>
      <c r="P1006" s="135"/>
    </row>
    <row r="1007" spans="1:16" s="133" customFormat="1" ht="15" customHeight="1">
      <c r="A1007" s="1"/>
      <c r="B1007" s="1"/>
      <c r="C1007" s="134">
        <v>43784</v>
      </c>
      <c r="D1007" s="135">
        <v>115.58</v>
      </c>
      <c r="O1007" s="134"/>
      <c r="P1007" s="135"/>
    </row>
    <row r="1008" spans="1:16" s="133" customFormat="1" ht="15" customHeight="1">
      <c r="A1008" s="1"/>
      <c r="B1008" s="1"/>
      <c r="C1008" s="134">
        <v>43787</v>
      </c>
      <c r="D1008" s="135">
        <v>115.38</v>
      </c>
      <c r="O1008" s="134"/>
      <c r="P1008" s="135"/>
    </row>
    <row r="1009" spans="1:16" s="133" customFormat="1" ht="15" customHeight="1">
      <c r="A1009" s="1"/>
      <c r="B1009" s="1"/>
      <c r="C1009" s="134">
        <v>43788</v>
      </c>
      <c r="D1009" s="135">
        <v>114.86</v>
      </c>
      <c r="O1009" s="134"/>
      <c r="P1009" s="135"/>
    </row>
    <row r="1010" spans="1:16" s="133" customFormat="1" ht="15" customHeight="1">
      <c r="A1010" s="1"/>
      <c r="B1010" s="1"/>
      <c r="C1010" s="134">
        <v>43789</v>
      </c>
      <c r="D1010" s="135">
        <v>113.81</v>
      </c>
      <c r="O1010" s="134"/>
      <c r="P1010" s="135"/>
    </row>
    <row r="1011" spans="1:16" s="133" customFormat="1" ht="15" customHeight="1">
      <c r="A1011" s="1"/>
      <c r="B1011" s="1"/>
      <c r="C1011" s="134">
        <v>43790</v>
      </c>
      <c r="D1011" s="135">
        <v>114.06</v>
      </c>
      <c r="O1011" s="134"/>
      <c r="P1011" s="135"/>
    </row>
    <row r="1012" spans="1:16" s="133" customFormat="1" ht="15" customHeight="1">
      <c r="A1012" s="1"/>
      <c r="B1012" s="1"/>
      <c r="C1012" s="134">
        <v>43791</v>
      </c>
      <c r="D1012" s="135">
        <v>114.23</v>
      </c>
      <c r="O1012" s="134"/>
      <c r="P1012" s="135"/>
    </row>
    <row r="1013" spans="1:16" s="133" customFormat="1" ht="15" customHeight="1">
      <c r="A1013" s="1"/>
      <c r="B1013" s="1"/>
      <c r="C1013" s="134">
        <v>43794</v>
      </c>
      <c r="D1013" s="135">
        <v>114.89</v>
      </c>
      <c r="O1013" s="134"/>
      <c r="P1013" s="135"/>
    </row>
    <row r="1014" spans="1:16" s="133" customFormat="1" ht="15" customHeight="1">
      <c r="A1014" s="1"/>
      <c r="B1014" s="1"/>
      <c r="C1014" s="134">
        <v>43795</v>
      </c>
      <c r="D1014" s="135">
        <v>114.91</v>
      </c>
      <c r="O1014" s="134"/>
      <c r="P1014" s="135"/>
    </row>
    <row r="1015" spans="1:16" s="133" customFormat="1" ht="15" customHeight="1">
      <c r="A1015" s="1"/>
      <c r="B1015" s="1"/>
      <c r="C1015" s="134">
        <v>43796</v>
      </c>
      <c r="D1015" s="135">
        <v>115.64</v>
      </c>
      <c r="O1015" s="134"/>
      <c r="P1015" s="135"/>
    </row>
    <row r="1016" spans="1:16" s="133" customFormat="1" ht="15" customHeight="1">
      <c r="A1016" s="1"/>
      <c r="B1016" s="1"/>
      <c r="C1016" s="134">
        <v>43798</v>
      </c>
      <c r="D1016" s="135">
        <v>115.53</v>
      </c>
      <c r="O1016" s="134"/>
      <c r="P1016" s="135"/>
    </row>
    <row r="1017" spans="1:16" s="133" customFormat="1" ht="15" customHeight="1">
      <c r="A1017" s="1"/>
      <c r="B1017" s="1"/>
      <c r="C1017" s="134">
        <v>43801</v>
      </c>
      <c r="D1017" s="135">
        <v>115.6</v>
      </c>
      <c r="O1017" s="134"/>
      <c r="P1017" s="135"/>
    </row>
    <row r="1018" spans="1:16" s="133" customFormat="1" ht="15" customHeight="1">
      <c r="A1018" s="1"/>
      <c r="B1018" s="1"/>
      <c r="C1018" s="134">
        <v>43802</v>
      </c>
      <c r="D1018" s="135">
        <v>112.77</v>
      </c>
      <c r="O1018" s="134"/>
      <c r="P1018" s="135"/>
    </row>
    <row r="1019" spans="1:16" s="133" customFormat="1" ht="15" customHeight="1">
      <c r="A1019" s="1"/>
      <c r="B1019" s="1"/>
      <c r="C1019" s="134">
        <v>43803</v>
      </c>
      <c r="D1019" s="135">
        <v>114.47</v>
      </c>
      <c r="O1019" s="134"/>
      <c r="P1019" s="135"/>
    </row>
    <row r="1020" spans="1:16" s="133" customFormat="1" ht="15" customHeight="1">
      <c r="A1020" s="1"/>
      <c r="B1020" s="1"/>
      <c r="C1020" s="134">
        <v>43804</v>
      </c>
      <c r="D1020" s="135">
        <v>115</v>
      </c>
      <c r="O1020" s="134"/>
      <c r="P1020" s="135"/>
    </row>
    <row r="1021" spans="1:16" s="133" customFormat="1" ht="15" customHeight="1">
      <c r="A1021" s="1"/>
      <c r="B1021" s="1"/>
      <c r="C1021" s="134">
        <v>43805</v>
      </c>
      <c r="D1021" s="135">
        <v>116.57</v>
      </c>
      <c r="O1021" s="134"/>
      <c r="P1021" s="135"/>
    </row>
    <row r="1022" spans="1:16" s="133" customFormat="1" ht="15" customHeight="1">
      <c r="A1022" s="1"/>
      <c r="B1022" s="1"/>
      <c r="C1022" s="134">
        <v>43808</v>
      </c>
      <c r="D1022" s="135">
        <v>115.9</v>
      </c>
      <c r="O1022" s="134"/>
      <c r="P1022" s="135"/>
    </row>
    <row r="1023" spans="1:16" s="133" customFormat="1" ht="15" customHeight="1">
      <c r="A1023" s="1"/>
      <c r="B1023" s="1"/>
      <c r="C1023" s="134">
        <v>43809</v>
      </c>
      <c r="D1023" s="135">
        <v>115.89</v>
      </c>
      <c r="O1023" s="134"/>
      <c r="P1023" s="135"/>
    </row>
    <row r="1024" spans="1:16" s="133" customFormat="1" ht="15" customHeight="1">
      <c r="A1024" s="1"/>
      <c r="B1024" s="1"/>
      <c r="C1024" s="134">
        <v>43810</v>
      </c>
      <c r="D1024" s="135">
        <v>115.54</v>
      </c>
      <c r="O1024" s="134"/>
      <c r="P1024" s="135"/>
    </row>
    <row r="1025" spans="1:16" s="133" customFormat="1" ht="15" customHeight="1">
      <c r="A1025" s="1"/>
      <c r="B1025" s="1"/>
      <c r="C1025" s="134">
        <v>43811</v>
      </c>
      <c r="D1025" s="135">
        <v>118.01</v>
      </c>
      <c r="O1025" s="134"/>
      <c r="P1025" s="135"/>
    </row>
    <row r="1026" spans="1:16" s="133" customFormat="1" ht="15" customHeight="1">
      <c r="A1026" s="1"/>
      <c r="B1026" s="1"/>
      <c r="C1026" s="134">
        <v>43812</v>
      </c>
      <c r="D1026" s="135">
        <v>117.08</v>
      </c>
      <c r="O1026" s="134"/>
      <c r="P1026" s="135"/>
    </row>
    <row r="1027" spans="1:16" s="133" customFormat="1" ht="15" customHeight="1">
      <c r="A1027" s="1"/>
      <c r="B1027" s="1"/>
      <c r="C1027" s="134">
        <v>43815</v>
      </c>
      <c r="D1027" s="135">
        <v>118.97</v>
      </c>
      <c r="O1027" s="134"/>
      <c r="P1027" s="135"/>
    </row>
    <row r="1028" spans="1:16" s="133" customFormat="1" ht="15" customHeight="1">
      <c r="A1028" s="1"/>
      <c r="B1028" s="1"/>
      <c r="C1028" s="134">
        <v>43816</v>
      </c>
      <c r="D1028" s="135">
        <v>118.88</v>
      </c>
      <c r="O1028" s="134"/>
      <c r="P1028" s="135"/>
    </row>
    <row r="1029" spans="1:16" s="133" customFormat="1" ht="15" customHeight="1">
      <c r="A1029" s="1"/>
      <c r="B1029" s="1"/>
      <c r="C1029" s="134">
        <v>43817</v>
      </c>
      <c r="D1029" s="135">
        <v>119.62</v>
      </c>
      <c r="O1029" s="134"/>
      <c r="P1029" s="135"/>
    </row>
    <row r="1030" spans="1:16" s="133" customFormat="1" ht="15" customHeight="1">
      <c r="A1030" s="1"/>
      <c r="B1030" s="1"/>
      <c r="C1030" s="134">
        <v>43818</v>
      </c>
      <c r="D1030" s="135">
        <v>119.9</v>
      </c>
      <c r="O1030" s="134"/>
      <c r="P1030" s="135"/>
    </row>
    <row r="1031" spans="1:16" s="133" customFormat="1" ht="15" customHeight="1">
      <c r="A1031" s="1"/>
      <c r="B1031" s="1"/>
      <c r="C1031" s="134">
        <v>43819</v>
      </c>
      <c r="D1031" s="135">
        <v>120.45</v>
      </c>
      <c r="O1031" s="134"/>
      <c r="P1031" s="135"/>
    </row>
    <row r="1032" spans="1:16" s="133" customFormat="1" ht="15" customHeight="1">
      <c r="A1032" s="1"/>
      <c r="B1032" s="1"/>
      <c r="C1032" s="134">
        <v>43822</v>
      </c>
      <c r="D1032" s="135">
        <v>120.81</v>
      </c>
      <c r="O1032" s="134"/>
      <c r="P1032" s="135"/>
    </row>
    <row r="1033" spans="1:16" s="133" customFormat="1" ht="15" customHeight="1">
      <c r="A1033" s="1"/>
      <c r="B1033" s="1"/>
      <c r="C1033" s="134">
        <v>43823</v>
      </c>
      <c r="D1033" s="135">
        <v>120.38</v>
      </c>
      <c r="O1033" s="134"/>
      <c r="P1033" s="135"/>
    </row>
    <row r="1034" spans="1:16" s="133" customFormat="1" ht="15" customHeight="1">
      <c r="A1034" s="1"/>
      <c r="B1034" s="1"/>
      <c r="C1034" s="134">
        <v>43825</v>
      </c>
      <c r="D1034" s="135">
        <v>121.01</v>
      </c>
      <c r="O1034" s="134"/>
      <c r="P1034" s="135"/>
    </row>
    <row r="1035" spans="1:16" s="133" customFormat="1" ht="15" customHeight="1">
      <c r="A1035" s="1"/>
      <c r="B1035" s="1"/>
      <c r="C1035" s="134">
        <v>43826</v>
      </c>
      <c r="D1035" s="135">
        <v>120.42</v>
      </c>
      <c r="O1035" s="134"/>
      <c r="P1035" s="135"/>
    </row>
    <row r="1036" spans="1:16" s="133" customFormat="1" ht="15" customHeight="1">
      <c r="A1036" s="1"/>
      <c r="B1036" s="1"/>
      <c r="C1036" s="134">
        <v>43829</v>
      </c>
      <c r="D1036" s="135">
        <v>120.42</v>
      </c>
      <c r="O1036" s="134"/>
      <c r="P1036" s="135"/>
    </row>
    <row r="1037" spans="1:16" s="133" customFormat="1" ht="15" customHeight="1">
      <c r="A1037" s="1"/>
      <c r="B1037" s="1"/>
      <c r="C1037" s="134">
        <v>43830</v>
      </c>
      <c r="D1037" s="135">
        <v>120.97</v>
      </c>
      <c r="O1037" s="134"/>
      <c r="P1037" s="135"/>
    </row>
    <row r="1038" spans="1:16" s="133" customFormat="1" ht="15" customHeight="1">
      <c r="A1038" s="1"/>
      <c r="B1038" s="1"/>
      <c r="C1038" s="134">
        <v>43832</v>
      </c>
      <c r="D1038" s="135">
        <v>121.49</v>
      </c>
      <c r="O1038" s="134"/>
      <c r="P1038" s="135"/>
    </row>
    <row r="1039" spans="1:16" s="133" customFormat="1" ht="15" customHeight="1">
      <c r="A1039" s="1"/>
      <c r="B1039" s="1"/>
      <c r="C1039" s="134">
        <v>43833</v>
      </c>
      <c r="D1039" s="135">
        <v>119.31</v>
      </c>
      <c r="O1039" s="134"/>
      <c r="P1039" s="135"/>
    </row>
    <row r="1040" spans="1:16" s="133" customFormat="1" ht="15" customHeight="1">
      <c r="A1040" s="1"/>
      <c r="B1040" s="1"/>
      <c r="C1040" s="134">
        <v>43836</v>
      </c>
      <c r="D1040" s="135">
        <v>119.95</v>
      </c>
      <c r="O1040" s="134"/>
      <c r="P1040" s="135"/>
    </row>
    <row r="1041" spans="1:16" s="133" customFormat="1" ht="15" customHeight="1">
      <c r="A1041" s="1"/>
      <c r="B1041" s="1"/>
      <c r="C1041" s="134">
        <v>43837</v>
      </c>
      <c r="D1041" s="135">
        <v>119.99</v>
      </c>
      <c r="O1041" s="134"/>
      <c r="P1041" s="135"/>
    </row>
    <row r="1042" spans="1:16" s="133" customFormat="1" ht="15" customHeight="1">
      <c r="A1042" s="1"/>
      <c r="B1042" s="1"/>
      <c r="C1042" s="134">
        <v>43838</v>
      </c>
      <c r="D1042" s="135">
        <v>121.7</v>
      </c>
      <c r="O1042" s="134"/>
      <c r="P1042" s="135"/>
    </row>
    <row r="1043" spans="1:16" s="133" customFormat="1" ht="15" customHeight="1">
      <c r="A1043" s="1"/>
      <c r="B1043" s="1"/>
      <c r="C1043" s="134">
        <v>43839</v>
      </c>
      <c r="D1043" s="135">
        <v>121.96</v>
      </c>
      <c r="O1043" s="134"/>
      <c r="P1043" s="135"/>
    </row>
    <row r="1044" spans="1:16" s="133" customFormat="1" ht="15" customHeight="1">
      <c r="A1044" s="1"/>
      <c r="B1044" s="1"/>
      <c r="C1044" s="134">
        <v>43840</v>
      </c>
      <c r="D1044" s="135">
        <v>120.91</v>
      </c>
      <c r="O1044" s="134"/>
      <c r="P1044" s="135"/>
    </row>
    <row r="1045" spans="1:16" s="133" customFormat="1" ht="15" customHeight="1">
      <c r="A1045" s="1"/>
      <c r="B1045" s="1"/>
      <c r="C1045" s="134">
        <v>43843</v>
      </c>
      <c r="D1045" s="135">
        <v>122.14</v>
      </c>
      <c r="O1045" s="134"/>
      <c r="P1045" s="135"/>
    </row>
    <row r="1046" spans="1:16" s="133" customFormat="1" ht="15" customHeight="1">
      <c r="A1046" s="1"/>
      <c r="B1046" s="1"/>
      <c r="C1046" s="134">
        <v>43844</v>
      </c>
      <c r="D1046" s="135">
        <v>121.57</v>
      </c>
      <c r="O1046" s="134"/>
      <c r="P1046" s="135"/>
    </row>
    <row r="1047" spans="1:16" s="133" customFormat="1" ht="15" customHeight="1">
      <c r="A1047" s="1"/>
      <c r="B1047" s="1"/>
      <c r="C1047" s="134">
        <v>43845</v>
      </c>
      <c r="D1047" s="135">
        <v>121.33</v>
      </c>
      <c r="O1047" s="134"/>
      <c r="P1047" s="135"/>
    </row>
    <row r="1048" spans="1:16" s="133" customFormat="1" ht="15" customHeight="1">
      <c r="A1048" s="1"/>
      <c r="B1048" s="1"/>
      <c r="C1048" s="134">
        <v>43846</v>
      </c>
      <c r="D1048" s="135">
        <v>122.49</v>
      </c>
      <c r="O1048" s="134"/>
      <c r="P1048" s="135"/>
    </row>
    <row r="1049" spans="1:16" s="133" customFormat="1" ht="15" customHeight="1">
      <c r="A1049" s="1"/>
      <c r="B1049" s="1"/>
      <c r="C1049" s="134">
        <v>43847</v>
      </c>
      <c r="D1049" s="135">
        <v>123.43</v>
      </c>
      <c r="O1049" s="134"/>
      <c r="P1049" s="135"/>
    </row>
    <row r="1050" spans="1:16" s="133" customFormat="1" ht="15" customHeight="1">
      <c r="A1050" s="1"/>
      <c r="B1050" s="1"/>
      <c r="C1050" s="134">
        <v>43851</v>
      </c>
      <c r="D1050" s="135">
        <v>122.22</v>
      </c>
      <c r="O1050" s="134"/>
      <c r="P1050" s="135"/>
    </row>
    <row r="1051" spans="1:16" s="133" customFormat="1" ht="15" customHeight="1">
      <c r="A1051" s="1"/>
      <c r="B1051" s="1"/>
      <c r="C1051" s="134">
        <v>43852</v>
      </c>
      <c r="D1051" s="135">
        <v>122.07</v>
      </c>
      <c r="O1051" s="134"/>
      <c r="P1051" s="135"/>
    </row>
    <row r="1052" spans="1:16" s="133" customFormat="1" ht="15" customHeight="1">
      <c r="A1052" s="1"/>
      <c r="B1052" s="1"/>
      <c r="C1052" s="134">
        <v>43853</v>
      </c>
      <c r="D1052" s="135">
        <v>121.73</v>
      </c>
      <c r="O1052" s="134"/>
      <c r="P1052" s="135"/>
    </row>
    <row r="1053" spans="1:16" s="133" customFormat="1" ht="15" customHeight="1">
      <c r="A1053" s="1"/>
      <c r="B1053" s="1"/>
      <c r="C1053" s="134">
        <v>43854</v>
      </c>
      <c r="D1053" s="135">
        <v>119.73</v>
      </c>
      <c r="O1053" s="134"/>
      <c r="P1053" s="135"/>
    </row>
    <row r="1054" spans="1:16" s="133" customFormat="1" ht="15" customHeight="1">
      <c r="A1054" s="1"/>
      <c r="B1054" s="1"/>
      <c r="C1054" s="134">
        <v>43857</v>
      </c>
      <c r="D1054" s="135">
        <v>116.73</v>
      </c>
      <c r="O1054" s="134"/>
      <c r="P1054" s="135"/>
    </row>
    <row r="1055" spans="1:16" s="133" customFormat="1" ht="15" customHeight="1">
      <c r="A1055" s="1"/>
      <c r="B1055" s="1"/>
      <c r="C1055" s="134">
        <v>43858</v>
      </c>
      <c r="D1055" s="135">
        <v>118.65</v>
      </c>
      <c r="O1055" s="134"/>
      <c r="P1055" s="135"/>
    </row>
    <row r="1056" spans="1:16" s="133" customFormat="1" ht="15" customHeight="1">
      <c r="A1056" s="1"/>
      <c r="B1056" s="1"/>
      <c r="C1056" s="134">
        <v>43859</v>
      </c>
      <c r="D1056" s="135">
        <v>117.76</v>
      </c>
      <c r="O1056" s="134"/>
      <c r="P1056" s="135"/>
    </row>
    <row r="1057" spans="1:16" s="133" customFormat="1" ht="15" customHeight="1">
      <c r="A1057" s="1"/>
      <c r="B1057" s="1"/>
      <c r="C1057" s="134">
        <v>43860</v>
      </c>
      <c r="D1057" s="135">
        <v>117.91</v>
      </c>
      <c r="O1057" s="134"/>
      <c r="P1057" s="135"/>
    </row>
    <row r="1058" spans="1:16" s="133" customFormat="1" ht="15" customHeight="1">
      <c r="A1058" s="1"/>
      <c r="B1058" s="1"/>
      <c r="C1058" s="134">
        <v>43861</v>
      </c>
      <c r="D1058" s="135">
        <v>115.11</v>
      </c>
      <c r="O1058" s="134"/>
      <c r="P1058" s="135"/>
    </row>
    <row r="1059" spans="1:16" s="133" customFormat="1" ht="15" customHeight="1">
      <c r="A1059" s="1"/>
      <c r="B1059" s="1"/>
      <c r="C1059" s="134">
        <v>43864</v>
      </c>
      <c r="D1059" s="135">
        <v>115.71</v>
      </c>
      <c r="O1059" s="134"/>
      <c r="P1059" s="135"/>
    </row>
    <row r="1060" spans="1:16" s="133" customFormat="1" ht="15" customHeight="1">
      <c r="A1060" s="1"/>
      <c r="B1060" s="1"/>
      <c r="C1060" s="134">
        <v>43865</v>
      </c>
      <c r="D1060" s="135">
        <v>118.84</v>
      </c>
      <c r="O1060" s="134"/>
      <c r="P1060" s="135"/>
    </row>
    <row r="1061" spans="1:16" s="133" customFormat="1" ht="15" customHeight="1">
      <c r="A1061" s="1"/>
      <c r="B1061" s="1"/>
      <c r="C1061" s="134">
        <v>43866</v>
      </c>
      <c r="D1061" s="135">
        <v>120.83</v>
      </c>
      <c r="O1061" s="134"/>
      <c r="P1061" s="135"/>
    </row>
    <row r="1062" spans="1:16" s="133" customFormat="1" ht="15" customHeight="1">
      <c r="A1062" s="1"/>
      <c r="B1062" s="1"/>
      <c r="C1062" s="134">
        <v>43867</v>
      </c>
      <c r="D1062" s="135">
        <v>121.02</v>
      </c>
      <c r="O1062" s="134"/>
      <c r="P1062" s="135"/>
    </row>
    <row r="1063" spans="1:16" s="133" customFormat="1" ht="15" customHeight="1">
      <c r="A1063" s="1"/>
      <c r="B1063" s="1"/>
      <c r="C1063" s="134">
        <v>43868</v>
      </c>
      <c r="D1063" s="135">
        <v>119.4</v>
      </c>
      <c r="O1063" s="134"/>
      <c r="P1063" s="135"/>
    </row>
    <row r="1064" spans="1:16" s="133" customFormat="1" ht="15" customHeight="1">
      <c r="A1064" s="1"/>
      <c r="B1064" s="1"/>
      <c r="C1064" s="134">
        <v>43871</v>
      </c>
      <c r="D1064" s="135">
        <v>119.98</v>
      </c>
      <c r="O1064" s="134"/>
      <c r="P1064" s="135"/>
    </row>
    <row r="1065" spans="1:16" s="133" customFormat="1" ht="15" customHeight="1">
      <c r="A1065" s="1"/>
      <c r="B1065" s="1"/>
      <c r="C1065" s="134">
        <v>43872</v>
      </c>
      <c r="D1065" s="135">
        <v>120.66</v>
      </c>
      <c r="O1065" s="134"/>
      <c r="P1065" s="135"/>
    </row>
    <row r="1066" spans="1:16" s="133" customFormat="1" ht="15" customHeight="1">
      <c r="A1066" s="1"/>
      <c r="B1066" s="1"/>
      <c r="C1066" s="134">
        <v>43873</v>
      </c>
      <c r="D1066" s="135">
        <v>122.07</v>
      </c>
      <c r="O1066" s="134"/>
      <c r="P1066" s="135"/>
    </row>
    <row r="1067" spans="1:16" s="133" customFormat="1" ht="15" customHeight="1">
      <c r="A1067" s="1"/>
      <c r="B1067" s="1"/>
      <c r="C1067" s="134">
        <v>43874</v>
      </c>
      <c r="D1067" s="135">
        <v>121.82</v>
      </c>
      <c r="O1067" s="134"/>
      <c r="P1067" s="135"/>
    </row>
    <row r="1068" spans="1:16" s="133" customFormat="1" ht="15" customHeight="1">
      <c r="A1068" s="1"/>
      <c r="B1068" s="1"/>
      <c r="C1068" s="134">
        <v>43875</v>
      </c>
      <c r="D1068" s="135">
        <v>121.56</v>
      </c>
      <c r="O1068" s="134"/>
      <c r="P1068" s="135"/>
    </row>
    <row r="1069" spans="1:16" s="133" customFormat="1" ht="15" customHeight="1">
      <c r="A1069" s="1"/>
      <c r="B1069" s="1"/>
      <c r="C1069" s="134">
        <v>43879</v>
      </c>
      <c r="D1069" s="135">
        <v>120.59</v>
      </c>
      <c r="O1069" s="134"/>
      <c r="P1069" s="135"/>
    </row>
    <row r="1070" spans="1:16" s="133" customFormat="1" ht="15" customHeight="1">
      <c r="A1070" s="1"/>
      <c r="B1070" s="1"/>
      <c r="C1070" s="134">
        <v>43880</v>
      </c>
      <c r="D1070" s="135">
        <v>121.38</v>
      </c>
      <c r="O1070" s="134"/>
      <c r="P1070" s="135"/>
    </row>
    <row r="1071" spans="1:16" s="133" customFormat="1" ht="15" customHeight="1">
      <c r="A1071" s="1"/>
      <c r="B1071" s="1"/>
      <c r="C1071" s="134">
        <v>43881</v>
      </c>
      <c r="D1071" s="135">
        <v>120.02</v>
      </c>
      <c r="O1071" s="134"/>
      <c r="P1071" s="135"/>
    </row>
    <row r="1072" spans="1:16" s="133" customFormat="1" ht="15" customHeight="1">
      <c r="A1072" s="1"/>
      <c r="B1072" s="1"/>
      <c r="C1072" s="134">
        <v>43882</v>
      </c>
      <c r="D1072" s="135">
        <v>118.2</v>
      </c>
      <c r="O1072" s="134"/>
      <c r="P1072" s="135"/>
    </row>
    <row r="1073" spans="1:16" s="133" customFormat="1" ht="15" customHeight="1">
      <c r="A1073" s="1"/>
      <c r="B1073" s="1"/>
      <c r="C1073" s="134">
        <v>43885</v>
      </c>
      <c r="D1073" s="135">
        <v>112.96</v>
      </c>
      <c r="O1073" s="134"/>
      <c r="P1073" s="135"/>
    </row>
    <row r="1074" spans="1:16" s="133" customFormat="1" ht="15" customHeight="1">
      <c r="A1074" s="1"/>
      <c r="B1074" s="1"/>
      <c r="C1074" s="134">
        <v>43886</v>
      </c>
      <c r="D1074" s="135">
        <v>109.03</v>
      </c>
      <c r="O1074" s="134"/>
      <c r="P1074" s="135"/>
    </row>
    <row r="1075" spans="1:16" s="133" customFormat="1" ht="15" customHeight="1">
      <c r="A1075" s="1"/>
      <c r="B1075" s="1"/>
      <c r="C1075" s="134">
        <v>43887</v>
      </c>
      <c r="D1075" s="135">
        <v>107.99</v>
      </c>
      <c r="O1075" s="134"/>
      <c r="P1075" s="135"/>
    </row>
    <row r="1076" spans="1:16" s="133" customFormat="1" ht="15" customHeight="1">
      <c r="A1076" s="1"/>
      <c r="B1076" s="1"/>
      <c r="C1076" s="134">
        <v>43888</v>
      </c>
      <c r="D1076" s="135">
        <v>102.43</v>
      </c>
      <c r="O1076" s="134"/>
      <c r="P1076" s="135"/>
    </row>
    <row r="1077" spans="1:16" s="133" customFormat="1" ht="15" customHeight="1">
      <c r="A1077" s="1"/>
      <c r="B1077" s="1"/>
      <c r="C1077" s="134">
        <v>43889</v>
      </c>
      <c r="D1077" s="135">
        <v>100.53</v>
      </c>
      <c r="O1077" s="134"/>
      <c r="P1077" s="135"/>
    </row>
    <row r="1078" spans="1:16" s="133" customFormat="1" ht="15" customHeight="1">
      <c r="A1078" s="1"/>
      <c r="B1078" s="1"/>
      <c r="C1078" s="134">
        <v>43892</v>
      </c>
      <c r="D1078" s="135">
        <v>103.93</v>
      </c>
      <c r="O1078" s="134"/>
      <c r="P1078" s="135"/>
    </row>
    <row r="1079" spans="1:16" s="133" customFormat="1" ht="15" customHeight="1">
      <c r="A1079" s="1"/>
      <c r="B1079" s="1"/>
      <c r="C1079" s="134">
        <v>43893</v>
      </c>
      <c r="D1079" s="135">
        <v>101.06</v>
      </c>
      <c r="O1079" s="134"/>
      <c r="P1079" s="135"/>
    </row>
    <row r="1080" spans="1:16" s="133" customFormat="1" ht="15" customHeight="1">
      <c r="A1080" s="1"/>
      <c r="B1080" s="1"/>
      <c r="C1080" s="134">
        <v>43894</v>
      </c>
      <c r="D1080" s="135">
        <v>104.97</v>
      </c>
      <c r="O1080" s="134"/>
      <c r="P1080" s="135"/>
    </row>
    <row r="1081" spans="1:16" s="133" customFormat="1" ht="15" customHeight="1">
      <c r="A1081" s="1"/>
      <c r="B1081" s="1"/>
      <c r="C1081" s="134">
        <v>43895</v>
      </c>
      <c r="D1081" s="135">
        <v>100.7</v>
      </c>
      <c r="O1081" s="134"/>
      <c r="P1081" s="135"/>
    </row>
    <row r="1082" spans="1:16" s="133" customFormat="1" ht="15" customHeight="1">
      <c r="A1082" s="1"/>
      <c r="B1082" s="1"/>
      <c r="C1082" s="134">
        <v>43896</v>
      </c>
      <c r="D1082" s="135">
        <v>95.48</v>
      </c>
      <c r="O1082" s="134"/>
      <c r="P1082" s="135"/>
    </row>
    <row r="1083" spans="1:16" s="133" customFormat="1" ht="15" customHeight="1">
      <c r="A1083" s="1"/>
      <c r="B1083" s="1"/>
      <c r="C1083" s="134">
        <v>43899</v>
      </c>
      <c r="D1083" s="135">
        <v>85.39</v>
      </c>
      <c r="O1083" s="134"/>
      <c r="P1083" s="135"/>
    </row>
    <row r="1084" spans="1:16" s="133" customFormat="1" ht="15" customHeight="1">
      <c r="A1084" s="1"/>
      <c r="B1084" s="1"/>
      <c r="C1084" s="134">
        <v>43900</v>
      </c>
      <c r="D1084" s="135">
        <v>91.82</v>
      </c>
      <c r="O1084" s="134"/>
      <c r="P1084" s="135"/>
    </row>
    <row r="1085" spans="1:16" s="133" customFormat="1" ht="15" customHeight="1">
      <c r="A1085" s="1"/>
      <c r="B1085" s="1"/>
      <c r="C1085" s="134">
        <v>43901</v>
      </c>
      <c r="D1085" s="135">
        <v>87.32</v>
      </c>
      <c r="O1085" s="134"/>
      <c r="P1085" s="135"/>
    </row>
    <row r="1086" spans="1:16" s="133" customFormat="1" ht="15" customHeight="1">
      <c r="A1086" s="1"/>
      <c r="B1086" s="1"/>
      <c r="C1086" s="134">
        <v>43902</v>
      </c>
      <c r="D1086" s="135">
        <v>79.42</v>
      </c>
      <c r="O1086" s="134"/>
      <c r="P1086" s="135"/>
    </row>
    <row r="1087" spans="1:16" s="133" customFormat="1" ht="15" customHeight="1">
      <c r="A1087" s="1"/>
      <c r="B1087" s="1"/>
      <c r="C1087" s="134">
        <v>43903</v>
      </c>
      <c r="D1087" s="135">
        <v>87.76</v>
      </c>
      <c r="O1087" s="134"/>
      <c r="P1087" s="135"/>
    </row>
    <row r="1088" spans="1:16" s="133" customFormat="1" ht="15" customHeight="1">
      <c r="A1088" s="1"/>
      <c r="B1088" s="1"/>
      <c r="C1088" s="134">
        <v>43906</v>
      </c>
      <c r="D1088" s="135">
        <v>76.459999999999994</v>
      </c>
      <c r="O1088" s="134"/>
      <c r="P1088" s="135"/>
    </row>
    <row r="1089" spans="1:16" s="133" customFormat="1" ht="15" customHeight="1">
      <c r="A1089" s="1"/>
      <c r="B1089" s="1"/>
      <c r="C1089" s="134">
        <v>43907</v>
      </c>
      <c r="D1089" s="135">
        <v>82.15</v>
      </c>
      <c r="O1089" s="134"/>
      <c r="P1089" s="135"/>
    </row>
    <row r="1090" spans="1:16" s="133" customFormat="1" ht="15" customHeight="1">
      <c r="A1090" s="1"/>
      <c r="B1090" s="1"/>
      <c r="C1090" s="134">
        <v>43908</v>
      </c>
      <c r="D1090" s="135">
        <v>82.05</v>
      </c>
      <c r="O1090" s="134"/>
      <c r="P1090" s="135"/>
    </row>
    <row r="1091" spans="1:16" s="133" customFormat="1" ht="15" customHeight="1">
      <c r="A1091" s="1"/>
      <c r="B1091" s="1"/>
      <c r="C1091" s="134">
        <v>43909</v>
      </c>
      <c r="D1091" s="135">
        <v>79.349999999999994</v>
      </c>
      <c r="O1091" s="134"/>
      <c r="P1091" s="135"/>
    </row>
    <row r="1092" spans="1:16" s="133" customFormat="1" ht="15" customHeight="1">
      <c r="A1092" s="1"/>
      <c r="B1092" s="1"/>
      <c r="C1092" s="134">
        <v>43910</v>
      </c>
      <c r="D1092" s="135">
        <v>74.48</v>
      </c>
      <c r="O1092" s="134"/>
      <c r="P1092" s="135"/>
    </row>
    <row r="1093" spans="1:16" s="133" customFormat="1" ht="15" customHeight="1">
      <c r="A1093" s="1"/>
      <c r="B1093" s="1"/>
      <c r="C1093" s="134">
        <v>43913</v>
      </c>
      <c r="D1093" s="135">
        <v>70.7</v>
      </c>
      <c r="O1093" s="134"/>
      <c r="P1093" s="135"/>
    </row>
    <row r="1094" spans="1:16" s="133" customFormat="1" ht="15" customHeight="1">
      <c r="A1094" s="1"/>
      <c r="B1094" s="1"/>
      <c r="C1094" s="134">
        <v>43914</v>
      </c>
      <c r="D1094" s="135">
        <v>77.95</v>
      </c>
      <c r="O1094" s="134"/>
      <c r="P1094" s="135"/>
    </row>
    <row r="1095" spans="1:16" s="133" customFormat="1" ht="15" customHeight="1">
      <c r="A1095" s="1"/>
      <c r="B1095" s="1"/>
      <c r="C1095" s="134">
        <v>43915</v>
      </c>
      <c r="D1095" s="135">
        <v>79.349999999999994</v>
      </c>
      <c r="O1095" s="134"/>
      <c r="P1095" s="135"/>
    </row>
    <row r="1096" spans="1:16" s="133" customFormat="1" ht="15" customHeight="1">
      <c r="A1096" s="1"/>
      <c r="B1096" s="1"/>
      <c r="C1096" s="134">
        <v>43916</v>
      </c>
      <c r="D1096" s="135">
        <v>83.72</v>
      </c>
      <c r="O1096" s="134"/>
      <c r="P1096" s="135"/>
    </row>
    <row r="1097" spans="1:16" s="133" customFormat="1" ht="15" customHeight="1">
      <c r="A1097" s="1"/>
      <c r="B1097" s="1"/>
      <c r="C1097" s="134">
        <v>43917</v>
      </c>
      <c r="D1097" s="135">
        <v>80.58</v>
      </c>
      <c r="O1097" s="134"/>
      <c r="P1097" s="135"/>
    </row>
    <row r="1098" spans="1:16" s="133" customFormat="1" ht="15" customHeight="1">
      <c r="A1098" s="1"/>
      <c r="B1098" s="1"/>
      <c r="C1098" s="134">
        <v>43920</v>
      </c>
      <c r="D1098" s="135">
        <v>82.62</v>
      </c>
      <c r="O1098" s="134"/>
      <c r="P1098" s="135"/>
    </row>
    <row r="1099" spans="1:16" s="133" customFormat="1" ht="15" customHeight="1">
      <c r="A1099" s="1"/>
      <c r="B1099" s="1"/>
      <c r="C1099" s="134">
        <v>43921</v>
      </c>
      <c r="D1099" s="135">
        <v>82.07</v>
      </c>
      <c r="O1099" s="134"/>
      <c r="P1099" s="135"/>
    </row>
    <row r="1100" spans="1:16" s="133" customFormat="1" ht="15" customHeight="1">
      <c r="A1100" s="1"/>
      <c r="B1100" s="1"/>
      <c r="C1100" s="134">
        <v>43922</v>
      </c>
      <c r="D1100" s="135">
        <v>77.23</v>
      </c>
      <c r="O1100" s="134"/>
      <c r="P1100" s="135"/>
    </row>
    <row r="1101" spans="1:16" s="133" customFormat="1" ht="15" customHeight="1">
      <c r="A1101" s="1"/>
      <c r="B1101" s="1"/>
      <c r="C1101" s="134">
        <v>43923</v>
      </c>
      <c r="D1101" s="135">
        <v>79.22</v>
      </c>
      <c r="O1101" s="134"/>
      <c r="P1101" s="135"/>
    </row>
    <row r="1102" spans="1:16" s="133" customFormat="1" ht="15" customHeight="1">
      <c r="A1102" s="1"/>
      <c r="B1102" s="1"/>
      <c r="C1102" s="134">
        <v>43924</v>
      </c>
      <c r="D1102" s="135">
        <v>77.709999999999994</v>
      </c>
      <c r="O1102" s="134"/>
      <c r="P1102" s="135"/>
    </row>
    <row r="1103" spans="1:16" s="133" customFormat="1" ht="15" customHeight="1">
      <c r="A1103" s="1"/>
      <c r="B1103" s="1"/>
      <c r="C1103" s="134">
        <v>43927</v>
      </c>
      <c r="D1103" s="135">
        <v>83.63</v>
      </c>
      <c r="O1103" s="134"/>
      <c r="P1103" s="135"/>
    </row>
    <row r="1104" spans="1:16" s="133" customFormat="1" ht="15" customHeight="1">
      <c r="A1104" s="1"/>
      <c r="B1104" s="1"/>
      <c r="C1104" s="134">
        <v>43928</v>
      </c>
      <c r="D1104" s="135">
        <v>84.17</v>
      </c>
      <c r="O1104" s="134"/>
      <c r="P1104" s="135"/>
    </row>
    <row r="1105" spans="1:16" s="133" customFormat="1" ht="15" customHeight="1">
      <c r="A1105" s="1"/>
      <c r="B1105" s="1"/>
      <c r="C1105" s="134">
        <v>43929</v>
      </c>
      <c r="D1105" s="135">
        <v>87.57</v>
      </c>
      <c r="O1105" s="134"/>
      <c r="P1105" s="135"/>
    </row>
    <row r="1106" spans="1:16" s="133" customFormat="1" ht="15" customHeight="1">
      <c r="A1106" s="1"/>
      <c r="B1106" s="1"/>
      <c r="C1106" s="134">
        <v>43930</v>
      </c>
      <c r="D1106" s="135">
        <v>88.73</v>
      </c>
      <c r="O1106" s="134"/>
      <c r="P1106" s="135"/>
    </row>
    <row r="1107" spans="1:16" s="133" customFormat="1" ht="15" customHeight="1">
      <c r="A1107" s="1"/>
      <c r="B1107" s="1"/>
      <c r="C1107" s="134">
        <v>43934</v>
      </c>
      <c r="D1107" s="135">
        <v>88.43</v>
      </c>
      <c r="O1107" s="134"/>
      <c r="P1107" s="135"/>
    </row>
    <row r="1108" spans="1:16" s="133" customFormat="1" ht="15" customHeight="1">
      <c r="A1108" s="1"/>
      <c r="B1108" s="1"/>
      <c r="C1108" s="134">
        <v>43935</v>
      </c>
      <c r="D1108" s="135">
        <v>91.33</v>
      </c>
      <c r="O1108" s="134"/>
      <c r="P1108" s="135"/>
    </row>
    <row r="1109" spans="1:16" s="133" customFormat="1" ht="15" customHeight="1">
      <c r="A1109" s="1"/>
      <c r="B1109" s="1"/>
      <c r="C1109" s="134">
        <v>43936</v>
      </c>
      <c r="D1109" s="135">
        <v>87.67</v>
      </c>
      <c r="O1109" s="134"/>
      <c r="P1109" s="135"/>
    </row>
    <row r="1110" spans="1:16" s="133" customFormat="1" ht="15" customHeight="1">
      <c r="A1110" s="1"/>
      <c r="B1110" s="1"/>
      <c r="C1110" s="134">
        <v>43937</v>
      </c>
      <c r="D1110" s="135">
        <v>87.66</v>
      </c>
      <c r="O1110" s="134"/>
      <c r="P1110" s="135"/>
    </row>
    <row r="1111" spans="1:16" s="133" customFormat="1" ht="15" customHeight="1">
      <c r="A1111" s="1"/>
      <c r="B1111" s="1"/>
      <c r="C1111" s="134">
        <v>43938</v>
      </c>
      <c r="D1111" s="135">
        <v>90.99</v>
      </c>
      <c r="O1111" s="134"/>
      <c r="P1111" s="135"/>
    </row>
    <row r="1112" spans="1:16" s="133" customFormat="1" ht="15" customHeight="1">
      <c r="A1112" s="1"/>
      <c r="B1112" s="1"/>
      <c r="C1112" s="134">
        <v>43941</v>
      </c>
      <c r="D1112" s="135">
        <v>88.54</v>
      </c>
      <c r="O1112" s="134"/>
      <c r="P1112" s="135"/>
    </row>
    <row r="1113" spans="1:16" s="133" customFormat="1" ht="15" customHeight="1">
      <c r="A1113" s="1"/>
      <c r="B1113" s="1"/>
      <c r="C1113" s="134">
        <v>43942</v>
      </c>
      <c r="D1113" s="135">
        <v>85.46</v>
      </c>
      <c r="O1113" s="134"/>
      <c r="P1113" s="135"/>
    </row>
    <row r="1114" spans="1:16" s="133" customFormat="1" ht="15" customHeight="1">
      <c r="A1114" s="1"/>
      <c r="B1114" s="1"/>
      <c r="C1114" s="134">
        <v>43943</v>
      </c>
      <c r="D1114" s="135">
        <v>87.82</v>
      </c>
      <c r="O1114" s="134"/>
      <c r="P1114" s="135"/>
    </row>
    <row r="1115" spans="1:16" s="133" customFormat="1" ht="15" customHeight="1">
      <c r="A1115" s="1"/>
      <c r="B1115" s="1"/>
      <c r="C1115" s="134">
        <v>43944</v>
      </c>
      <c r="D1115" s="135">
        <v>87.37</v>
      </c>
      <c r="O1115" s="134"/>
      <c r="P1115" s="135"/>
    </row>
    <row r="1116" spans="1:16" s="133" customFormat="1" ht="15" customHeight="1">
      <c r="A1116" s="1"/>
      <c r="B1116" s="1"/>
      <c r="C1116" s="134">
        <v>43945</v>
      </c>
      <c r="D1116" s="135">
        <v>88.61</v>
      </c>
      <c r="O1116" s="134"/>
      <c r="P1116" s="135"/>
    </row>
    <row r="1117" spans="1:16" s="133" customFormat="1" ht="15" customHeight="1">
      <c r="A1117" s="1"/>
      <c r="B1117" s="1"/>
      <c r="C1117" s="134">
        <v>43948</v>
      </c>
      <c r="D1117" s="135">
        <v>90.55</v>
      </c>
      <c r="O1117" s="134"/>
      <c r="P1117" s="135"/>
    </row>
    <row r="1118" spans="1:16" s="133" customFormat="1" ht="15" customHeight="1">
      <c r="A1118" s="1"/>
      <c r="B1118" s="1"/>
      <c r="C1118" s="134">
        <v>43949</v>
      </c>
      <c r="D1118" s="135">
        <v>89.85</v>
      </c>
      <c r="O1118" s="134"/>
      <c r="P1118" s="135"/>
    </row>
    <row r="1119" spans="1:16" s="133" customFormat="1" ht="15" customHeight="1">
      <c r="A1119" s="1"/>
      <c r="B1119" s="1"/>
      <c r="C1119" s="134">
        <v>43950</v>
      </c>
      <c r="D1119" s="135">
        <v>92.4</v>
      </c>
      <c r="O1119" s="134"/>
      <c r="P1119" s="135"/>
    </row>
    <row r="1120" spans="1:16" s="133" customFormat="1" ht="15" customHeight="1">
      <c r="A1120" s="1"/>
      <c r="B1120" s="1"/>
      <c r="C1120" s="134">
        <v>43951</v>
      </c>
      <c r="D1120" s="135">
        <v>91.36</v>
      </c>
      <c r="O1120" s="134"/>
      <c r="P1120" s="135"/>
    </row>
    <row r="1121" spans="1:16" s="133" customFormat="1" ht="15" customHeight="1">
      <c r="A1121" s="1"/>
      <c r="B1121" s="1"/>
      <c r="C1121" s="134">
        <v>43952</v>
      </c>
      <c r="D1121" s="135">
        <v>89.01</v>
      </c>
      <c r="O1121" s="134"/>
      <c r="P1121" s="135"/>
    </row>
    <row r="1122" spans="1:16" s="133" customFormat="1" ht="15" customHeight="1">
      <c r="A1122" s="1"/>
      <c r="B1122" s="1"/>
      <c r="C1122" s="134">
        <v>43955</v>
      </c>
      <c r="D1122" s="135">
        <v>89.09</v>
      </c>
      <c r="O1122" s="134"/>
      <c r="P1122" s="135"/>
    </row>
    <row r="1123" spans="1:16" s="133" customFormat="1" ht="15" customHeight="1">
      <c r="A1123" s="1"/>
      <c r="B1123" s="1"/>
      <c r="C1123" s="134">
        <v>43956</v>
      </c>
      <c r="D1123" s="135">
        <v>90.35</v>
      </c>
      <c r="O1123" s="134"/>
      <c r="P1123" s="135"/>
    </row>
    <row r="1124" spans="1:16" s="133" customFormat="1" ht="15" customHeight="1">
      <c r="A1124" s="1"/>
      <c r="B1124" s="1"/>
      <c r="C1124" s="134">
        <v>43957</v>
      </c>
      <c r="D1124" s="135">
        <v>90.35</v>
      </c>
      <c r="O1124" s="134"/>
      <c r="P1124" s="135"/>
    </row>
    <row r="1125" spans="1:16" s="133" customFormat="1" ht="15" customHeight="1">
      <c r="A1125" s="1"/>
      <c r="B1125" s="1"/>
      <c r="C1125" s="134">
        <v>43958</v>
      </c>
      <c r="D1125" s="135">
        <v>90.62</v>
      </c>
      <c r="O1125" s="134"/>
      <c r="P1125" s="135"/>
    </row>
    <row r="1126" spans="1:16" s="133" customFormat="1" ht="15" customHeight="1">
      <c r="A1126" s="1"/>
      <c r="B1126" s="1"/>
      <c r="C1126" s="134">
        <v>43959</v>
      </c>
      <c r="D1126" s="135">
        <v>92.86</v>
      </c>
      <c r="O1126" s="134"/>
      <c r="P1126" s="135"/>
    </row>
    <row r="1127" spans="1:16" s="133" customFormat="1" ht="15" customHeight="1">
      <c r="A1127" s="1"/>
      <c r="B1127" s="1"/>
      <c r="C1127" s="134">
        <v>43962</v>
      </c>
      <c r="D1127" s="135">
        <v>93.29</v>
      </c>
      <c r="O1127" s="134"/>
      <c r="P1127" s="135"/>
    </row>
    <row r="1128" spans="1:16" s="133" customFormat="1" ht="15" customHeight="1">
      <c r="A1128" s="1"/>
      <c r="B1128" s="1"/>
      <c r="C1128" s="134">
        <v>43963</v>
      </c>
      <c r="D1128" s="135">
        <v>90.36</v>
      </c>
      <c r="O1128" s="134"/>
      <c r="P1128" s="135"/>
    </row>
    <row r="1129" spans="1:16" s="133" customFormat="1" ht="15" customHeight="1">
      <c r="A1129" s="1"/>
      <c r="B1129" s="1"/>
      <c r="C1129" s="134">
        <v>43964</v>
      </c>
      <c r="D1129" s="135">
        <v>88.69</v>
      </c>
      <c r="O1129" s="134"/>
      <c r="P1129" s="135"/>
    </row>
    <row r="1130" spans="1:16" s="133" customFormat="1" ht="15" customHeight="1">
      <c r="A1130" s="1"/>
      <c r="B1130" s="1"/>
      <c r="C1130" s="134">
        <v>43965</v>
      </c>
      <c r="D1130" s="135">
        <v>89.29</v>
      </c>
      <c r="O1130" s="134"/>
      <c r="P1130" s="135"/>
    </row>
    <row r="1131" spans="1:16" s="133" customFormat="1" ht="15" customHeight="1">
      <c r="A1131" s="1"/>
      <c r="B1131" s="1"/>
      <c r="C1131" s="134">
        <v>43966</v>
      </c>
      <c r="D1131" s="135">
        <v>89.61</v>
      </c>
      <c r="O1131" s="134"/>
      <c r="P1131" s="135"/>
    </row>
    <row r="1132" spans="1:16" s="133" customFormat="1" ht="15" customHeight="1">
      <c r="A1132" s="1"/>
      <c r="B1132" s="1"/>
      <c r="C1132" s="134">
        <v>43969</v>
      </c>
      <c r="D1132" s="135">
        <v>94.18</v>
      </c>
      <c r="O1132" s="134"/>
      <c r="P1132" s="135"/>
    </row>
    <row r="1133" spans="1:16" s="133" customFormat="1" ht="15" customHeight="1">
      <c r="A1133" s="1"/>
      <c r="B1133" s="1"/>
      <c r="C1133" s="134">
        <v>43970</v>
      </c>
      <c r="D1133" s="135">
        <v>93</v>
      </c>
      <c r="O1133" s="134"/>
      <c r="P1133" s="135"/>
    </row>
    <row r="1134" spans="1:16" s="133" customFormat="1" ht="15" customHeight="1">
      <c r="A1134" s="1"/>
      <c r="B1134" s="1"/>
      <c r="C1134" s="134">
        <v>43971</v>
      </c>
      <c r="D1134" s="135">
        <v>94.07</v>
      </c>
      <c r="O1134" s="134"/>
      <c r="P1134" s="135"/>
    </row>
    <row r="1135" spans="1:16" s="133" customFormat="1" ht="15" customHeight="1">
      <c r="A1135" s="1"/>
      <c r="B1135" s="1"/>
      <c r="C1135" s="134">
        <v>43972</v>
      </c>
      <c r="D1135" s="135">
        <v>93.02</v>
      </c>
      <c r="O1135" s="134"/>
      <c r="P1135" s="135"/>
    </row>
    <row r="1136" spans="1:16" s="133" customFormat="1" ht="15" customHeight="1">
      <c r="A1136" s="1"/>
      <c r="B1136" s="1"/>
      <c r="C1136" s="134">
        <v>43973</v>
      </c>
      <c r="D1136" s="135">
        <v>93.25</v>
      </c>
      <c r="O1136" s="134"/>
      <c r="P1136" s="135"/>
    </row>
    <row r="1137" spans="1:16" s="133" customFormat="1" ht="15" customHeight="1">
      <c r="A1137" s="1"/>
      <c r="B1137" s="1"/>
      <c r="C1137" s="134">
        <v>43977</v>
      </c>
      <c r="D1137" s="135">
        <v>95.23</v>
      </c>
      <c r="O1137" s="134"/>
      <c r="P1137" s="135"/>
    </row>
    <row r="1138" spans="1:16" s="133" customFormat="1" ht="15" customHeight="1">
      <c r="A1138" s="1"/>
      <c r="B1138" s="1"/>
      <c r="C1138" s="134">
        <v>43978</v>
      </c>
      <c r="D1138" s="135">
        <v>96.26</v>
      </c>
      <c r="O1138" s="134"/>
      <c r="P1138" s="135"/>
    </row>
    <row r="1139" spans="1:16" s="133" customFormat="1" ht="15" customHeight="1">
      <c r="A1139" s="1"/>
      <c r="B1139" s="1"/>
      <c r="C1139" s="134">
        <v>43979</v>
      </c>
      <c r="D1139" s="135">
        <v>96.8</v>
      </c>
      <c r="O1139" s="134"/>
      <c r="P1139" s="135"/>
    </row>
    <row r="1140" spans="1:16" s="133" customFormat="1" ht="15" customHeight="1">
      <c r="A1140" s="1"/>
      <c r="B1140" s="1"/>
      <c r="C1140" s="134">
        <v>43980</v>
      </c>
      <c r="D1140" s="135">
        <v>96.21</v>
      </c>
      <c r="O1140" s="134"/>
      <c r="P1140" s="135"/>
    </row>
    <row r="1141" spans="1:16" s="133" customFormat="1" ht="15" customHeight="1">
      <c r="A1141" s="1"/>
      <c r="B1141" s="1"/>
      <c r="C1141" s="134">
        <v>43983</v>
      </c>
      <c r="D1141" s="135">
        <v>96.93</v>
      </c>
      <c r="O1141" s="134"/>
      <c r="P1141" s="135"/>
    </row>
    <row r="1142" spans="1:16" s="133" customFormat="1" ht="15" customHeight="1">
      <c r="A1142" s="1"/>
      <c r="B1142" s="1"/>
      <c r="C1142" s="134">
        <v>43984</v>
      </c>
      <c r="D1142" s="135">
        <v>97.88</v>
      </c>
      <c r="O1142" s="134"/>
      <c r="P1142" s="135"/>
    </row>
    <row r="1143" spans="1:16" s="133" customFormat="1" ht="15" customHeight="1">
      <c r="A1143" s="1"/>
      <c r="B1143" s="1"/>
      <c r="C1143" s="134">
        <v>43985</v>
      </c>
      <c r="D1143" s="135">
        <v>100.19</v>
      </c>
      <c r="O1143" s="134"/>
      <c r="P1143" s="135"/>
    </row>
    <row r="1144" spans="1:16" s="133" customFormat="1" ht="15" customHeight="1">
      <c r="A1144" s="1"/>
      <c r="B1144" s="1"/>
      <c r="C1144" s="134">
        <v>43986</v>
      </c>
      <c r="D1144" s="135">
        <v>100.82</v>
      </c>
      <c r="O1144" s="134"/>
      <c r="P1144" s="135"/>
    </row>
    <row r="1145" spans="1:16" s="133" customFormat="1" ht="15" customHeight="1">
      <c r="A1145" s="1"/>
      <c r="B1145" s="1"/>
      <c r="C1145" s="134">
        <v>43987</v>
      </c>
      <c r="D1145" s="135">
        <v>104.16</v>
      </c>
      <c r="O1145" s="134"/>
      <c r="P1145" s="135"/>
    </row>
    <row r="1146" spans="1:16" s="133" customFormat="1" ht="15" customHeight="1">
      <c r="A1146" s="1"/>
      <c r="B1146" s="1"/>
      <c r="C1146" s="134">
        <v>43990</v>
      </c>
      <c r="D1146" s="135">
        <v>105.26</v>
      </c>
      <c r="O1146" s="134"/>
      <c r="P1146" s="135"/>
    </row>
    <row r="1147" spans="1:16" s="133" customFormat="1" ht="15" customHeight="1">
      <c r="A1147" s="1"/>
      <c r="B1147" s="1"/>
      <c r="C1147" s="134">
        <v>43991</v>
      </c>
      <c r="D1147" s="135">
        <v>103.67</v>
      </c>
      <c r="O1147" s="134"/>
      <c r="P1147" s="135"/>
    </row>
    <row r="1148" spans="1:16" s="133" customFormat="1" ht="15" customHeight="1">
      <c r="A1148" s="1"/>
      <c r="B1148" s="1"/>
      <c r="C1148" s="134">
        <v>43992</v>
      </c>
      <c r="D1148" s="135">
        <v>102.09</v>
      </c>
      <c r="O1148" s="134"/>
      <c r="P1148" s="135"/>
    </row>
    <row r="1149" spans="1:16" s="133" customFormat="1" ht="15" customHeight="1">
      <c r="A1149" s="1"/>
      <c r="B1149" s="1"/>
      <c r="C1149" s="134">
        <v>43993</v>
      </c>
      <c r="D1149" s="135">
        <v>95.05</v>
      </c>
      <c r="O1149" s="134"/>
      <c r="P1149" s="135"/>
    </row>
    <row r="1150" spans="1:16" s="133" customFormat="1" ht="15" customHeight="1">
      <c r="A1150" s="1"/>
      <c r="B1150" s="1"/>
      <c r="C1150" s="134">
        <v>43994</v>
      </c>
      <c r="D1150" s="135">
        <v>96.44</v>
      </c>
      <c r="O1150" s="134"/>
      <c r="P1150" s="135"/>
    </row>
    <row r="1151" spans="1:16" s="133" customFormat="1" ht="15" customHeight="1">
      <c r="A1151" s="1"/>
      <c r="B1151" s="1"/>
      <c r="C1151" s="134">
        <v>43997</v>
      </c>
      <c r="D1151" s="135">
        <v>97.59</v>
      </c>
      <c r="O1151" s="134"/>
      <c r="P1151" s="135"/>
    </row>
    <row r="1152" spans="1:16" s="133" customFormat="1" ht="15" customHeight="1">
      <c r="A1152" s="1"/>
      <c r="B1152" s="1"/>
      <c r="C1152" s="134">
        <v>43998</v>
      </c>
      <c r="D1152" s="135">
        <v>100.28</v>
      </c>
      <c r="O1152" s="134"/>
      <c r="P1152" s="135"/>
    </row>
    <row r="1153" spans="1:16" s="133" customFormat="1" ht="15" customHeight="1">
      <c r="A1153" s="1"/>
      <c r="B1153" s="1"/>
      <c r="C1153" s="134">
        <v>43999</v>
      </c>
      <c r="D1153" s="135">
        <v>99.63</v>
      </c>
      <c r="O1153" s="134"/>
      <c r="P1153" s="135"/>
    </row>
    <row r="1154" spans="1:16" s="133" customFormat="1" ht="15" customHeight="1">
      <c r="A1154" s="1"/>
      <c r="B1154" s="1"/>
      <c r="C1154" s="134">
        <v>44000</v>
      </c>
      <c r="D1154" s="135">
        <v>98.65</v>
      </c>
      <c r="O1154" s="134"/>
      <c r="P1154" s="135"/>
    </row>
    <row r="1155" spans="1:16" s="133" customFormat="1" ht="15" customHeight="1">
      <c r="A1155" s="1"/>
      <c r="B1155" s="1"/>
      <c r="C1155" s="134">
        <v>44001</v>
      </c>
      <c r="D1155" s="135">
        <v>97.5</v>
      </c>
      <c r="O1155" s="134"/>
      <c r="P1155" s="135"/>
    </row>
    <row r="1156" spans="1:16" s="133" customFormat="1" ht="15" customHeight="1">
      <c r="A1156" s="1"/>
      <c r="B1156" s="1"/>
      <c r="C1156" s="134">
        <v>44004</v>
      </c>
      <c r="D1156" s="135">
        <v>99.13</v>
      </c>
      <c r="O1156" s="134"/>
      <c r="P1156" s="135"/>
    </row>
    <row r="1157" spans="1:16" s="133" customFormat="1" ht="15" customHeight="1">
      <c r="A1157" s="1"/>
      <c r="B1157" s="1"/>
      <c r="C1157" s="134">
        <v>44005</v>
      </c>
      <c r="D1157" s="135">
        <v>99.57</v>
      </c>
      <c r="O1157" s="134"/>
      <c r="P1157" s="135"/>
    </row>
    <row r="1158" spans="1:16" s="133" customFormat="1" ht="15" customHeight="1">
      <c r="A1158" s="1"/>
      <c r="B1158" s="1"/>
      <c r="C1158" s="134">
        <v>44006</v>
      </c>
      <c r="D1158" s="135">
        <v>96.83</v>
      </c>
      <c r="O1158" s="134"/>
      <c r="P1158" s="135"/>
    </row>
    <row r="1159" spans="1:16" s="133" customFormat="1" ht="15" customHeight="1">
      <c r="A1159" s="1"/>
      <c r="B1159" s="1"/>
      <c r="C1159" s="134">
        <v>44007</v>
      </c>
      <c r="D1159" s="135">
        <v>97.33</v>
      </c>
      <c r="O1159" s="134"/>
      <c r="P1159" s="135"/>
    </row>
    <row r="1160" spans="1:16" s="133" customFormat="1" ht="15" customHeight="1">
      <c r="A1160" s="1"/>
      <c r="B1160" s="1"/>
      <c r="C1160" s="134">
        <v>44008</v>
      </c>
      <c r="D1160" s="135">
        <v>94.83</v>
      </c>
      <c r="O1160" s="134"/>
      <c r="P1160" s="135"/>
    </row>
    <row r="1161" spans="1:16" s="133" customFormat="1" ht="15" customHeight="1">
      <c r="A1161" s="1"/>
      <c r="B1161" s="1"/>
      <c r="C1161" s="134">
        <v>44011</v>
      </c>
      <c r="D1161" s="135">
        <v>96.15</v>
      </c>
      <c r="O1161" s="134"/>
      <c r="P1161" s="135"/>
    </row>
    <row r="1162" spans="1:16" s="133" customFormat="1" ht="15" customHeight="1">
      <c r="A1162" s="1"/>
      <c r="B1162" s="1"/>
      <c r="C1162" s="134">
        <v>44012</v>
      </c>
      <c r="D1162" s="135">
        <v>97.74</v>
      </c>
      <c r="O1162" s="134"/>
      <c r="P1162" s="135"/>
    </row>
    <row r="1163" spans="1:16" s="133" customFormat="1" ht="15" customHeight="1">
      <c r="A1163" s="1"/>
      <c r="B1163" s="1"/>
      <c r="C1163" s="134">
        <v>44013</v>
      </c>
      <c r="D1163" s="135">
        <v>98.39</v>
      </c>
      <c r="O1163" s="134"/>
      <c r="P1163" s="135"/>
    </row>
    <row r="1164" spans="1:16" s="133" customFormat="1" ht="15" customHeight="1">
      <c r="A1164" s="1"/>
      <c r="B1164" s="1"/>
      <c r="C1164" s="134">
        <v>44014</v>
      </c>
      <c r="D1164" s="135">
        <v>99.13</v>
      </c>
      <c r="O1164" s="134"/>
      <c r="P1164" s="135"/>
    </row>
    <row r="1165" spans="1:16" s="133" customFormat="1" ht="15" customHeight="1">
      <c r="A1165" s="1"/>
      <c r="B1165" s="1"/>
      <c r="C1165" s="134">
        <v>44018</v>
      </c>
      <c r="D1165" s="135">
        <v>100.66</v>
      </c>
      <c r="O1165" s="134"/>
      <c r="P1165" s="135"/>
    </row>
    <row r="1166" spans="1:16" s="133" customFormat="1" ht="15" customHeight="1">
      <c r="A1166" s="1"/>
      <c r="B1166" s="1"/>
      <c r="C1166" s="134">
        <v>44019</v>
      </c>
      <c r="D1166" s="135">
        <v>98.95</v>
      </c>
      <c r="O1166" s="134"/>
      <c r="P1166" s="135"/>
    </row>
    <row r="1167" spans="1:16" s="133" customFormat="1" ht="15" customHeight="1">
      <c r="A1167" s="1"/>
      <c r="B1167" s="1"/>
      <c r="C1167" s="134">
        <v>44020</v>
      </c>
      <c r="D1167" s="135">
        <v>99.84</v>
      </c>
      <c r="O1167" s="134"/>
      <c r="P1167" s="135"/>
    </row>
    <row r="1168" spans="1:16" s="133" customFormat="1" ht="15" customHeight="1">
      <c r="A1168" s="1"/>
      <c r="B1168" s="1"/>
      <c r="C1168" s="134">
        <v>44021</v>
      </c>
      <c r="D1168" s="135">
        <v>98.33</v>
      </c>
      <c r="O1168" s="134"/>
      <c r="P1168" s="135"/>
    </row>
    <row r="1169" spans="1:16" s="133" customFormat="1" ht="15" customHeight="1">
      <c r="A1169" s="1"/>
      <c r="B1169" s="1"/>
      <c r="C1169" s="134">
        <v>44022</v>
      </c>
      <c r="D1169" s="135">
        <v>99.81</v>
      </c>
      <c r="O1169" s="134"/>
      <c r="P1169" s="135"/>
    </row>
    <row r="1170" spans="1:16" s="133" customFormat="1" ht="15" customHeight="1">
      <c r="A1170" s="1"/>
      <c r="B1170" s="1"/>
      <c r="C1170" s="134">
        <v>44025</v>
      </c>
      <c r="D1170" s="135">
        <v>98.97</v>
      </c>
      <c r="O1170" s="134"/>
      <c r="P1170" s="135"/>
    </row>
    <row r="1171" spans="1:16" s="133" customFormat="1" ht="15" customHeight="1">
      <c r="A1171" s="1"/>
      <c r="B1171" s="1"/>
      <c r="C1171" s="134">
        <v>44026</v>
      </c>
      <c r="D1171" s="135">
        <v>99.71</v>
      </c>
      <c r="O1171" s="134"/>
      <c r="P1171" s="135"/>
    </row>
    <row r="1172" spans="1:16" s="133" customFormat="1" ht="15" customHeight="1">
      <c r="A1172" s="1"/>
      <c r="B1172" s="1"/>
      <c r="C1172" s="134">
        <v>44027</v>
      </c>
      <c r="D1172" s="135">
        <v>101.15</v>
      </c>
      <c r="O1172" s="134"/>
      <c r="P1172" s="135"/>
    </row>
    <row r="1173" spans="1:16" s="133" customFormat="1" ht="15" customHeight="1">
      <c r="A1173" s="1"/>
      <c r="B1173" s="1"/>
      <c r="C1173" s="134">
        <v>44028</v>
      </c>
      <c r="D1173" s="135">
        <v>100.08</v>
      </c>
      <c r="O1173" s="134"/>
      <c r="P1173" s="135"/>
    </row>
    <row r="1174" spans="1:16" s="133" customFormat="1" ht="15" customHeight="1">
      <c r="A1174" s="1"/>
      <c r="B1174" s="1"/>
      <c r="C1174" s="134">
        <v>44029</v>
      </c>
      <c r="D1174" s="135">
        <v>100.97</v>
      </c>
      <c r="O1174" s="134"/>
      <c r="P1174" s="135"/>
    </row>
    <row r="1175" spans="1:16" s="133" customFormat="1" ht="15" customHeight="1">
      <c r="A1175" s="1"/>
      <c r="B1175" s="1"/>
      <c r="C1175" s="134">
        <v>44032</v>
      </c>
      <c r="D1175" s="135">
        <v>101.8</v>
      </c>
      <c r="O1175" s="134"/>
      <c r="P1175" s="135"/>
    </row>
    <row r="1176" spans="1:16" s="133" customFormat="1" ht="15" customHeight="1">
      <c r="A1176" s="1"/>
      <c r="B1176" s="1"/>
      <c r="C1176" s="134">
        <v>44033</v>
      </c>
      <c r="D1176" s="135">
        <v>101.83</v>
      </c>
      <c r="O1176" s="134"/>
      <c r="P1176" s="135"/>
    </row>
    <row r="1177" spans="1:16" s="133" customFormat="1" ht="15" customHeight="1">
      <c r="A1177" s="1"/>
      <c r="B1177" s="1"/>
      <c r="C1177" s="134">
        <v>44034</v>
      </c>
      <c r="D1177" s="135">
        <v>102.08</v>
      </c>
      <c r="O1177" s="134"/>
      <c r="P1177" s="135"/>
    </row>
    <row r="1178" spans="1:16" s="133" customFormat="1" ht="15" customHeight="1">
      <c r="A1178" s="1"/>
      <c r="B1178" s="1"/>
      <c r="C1178" s="134">
        <v>44035</v>
      </c>
      <c r="D1178" s="135">
        <v>100.63</v>
      </c>
      <c r="O1178" s="134"/>
      <c r="P1178" s="135"/>
    </row>
    <row r="1179" spans="1:16" s="133" customFormat="1" ht="15" customHeight="1">
      <c r="A1179" s="1"/>
      <c r="B1179" s="1"/>
      <c r="C1179" s="134">
        <v>44036</v>
      </c>
      <c r="D1179" s="135">
        <v>99.9</v>
      </c>
      <c r="O1179" s="134"/>
      <c r="P1179" s="135"/>
    </row>
    <row r="1180" spans="1:16" s="133" customFormat="1" ht="15" customHeight="1">
      <c r="A1180" s="1"/>
      <c r="B1180" s="1"/>
      <c r="C1180" s="134">
        <v>44039</v>
      </c>
      <c r="D1180" s="135">
        <v>101.02</v>
      </c>
      <c r="O1180" s="134"/>
      <c r="P1180" s="135"/>
    </row>
    <row r="1181" spans="1:16" s="133" customFormat="1" ht="15" customHeight="1">
      <c r="A1181" s="1"/>
      <c r="B1181" s="1"/>
      <c r="C1181" s="134">
        <v>44040</v>
      </c>
      <c r="D1181" s="135">
        <v>99.98</v>
      </c>
      <c r="O1181" s="134"/>
      <c r="P1181" s="135"/>
    </row>
    <row r="1182" spans="1:16" s="133" customFormat="1" ht="15" customHeight="1">
      <c r="A1182" s="1"/>
      <c r="B1182" s="1"/>
      <c r="C1182" s="134">
        <v>44041</v>
      </c>
      <c r="D1182" s="135">
        <v>101.3</v>
      </c>
      <c r="O1182" s="134"/>
      <c r="P1182" s="135"/>
    </row>
    <row r="1183" spans="1:16" s="133" customFormat="1" ht="15" customHeight="1">
      <c r="A1183" s="1"/>
      <c r="B1183" s="1"/>
      <c r="C1183" s="134">
        <v>44042</v>
      </c>
      <c r="D1183" s="135">
        <v>100.6</v>
      </c>
      <c r="O1183" s="134"/>
      <c r="P1183" s="135"/>
    </row>
    <row r="1184" spans="1:16" s="133" customFormat="1" ht="15" customHeight="1">
      <c r="A1184" s="1"/>
      <c r="B1184" s="1"/>
      <c r="C1184" s="134">
        <v>44043</v>
      </c>
      <c r="D1184" s="135">
        <v>101.08</v>
      </c>
      <c r="O1184" s="134"/>
      <c r="P1184" s="135"/>
    </row>
    <row r="1185" spans="1:16" s="133" customFormat="1" ht="15" customHeight="1">
      <c r="A1185" s="1"/>
      <c r="B1185" s="1"/>
      <c r="C1185" s="134">
        <v>44046</v>
      </c>
      <c r="D1185" s="135">
        <v>102.23</v>
      </c>
      <c r="O1185" s="134"/>
      <c r="P1185" s="135"/>
    </row>
    <row r="1186" spans="1:16" s="133" customFormat="1" ht="15" customHeight="1">
      <c r="A1186" s="1"/>
      <c r="B1186" s="1"/>
      <c r="C1186" s="134">
        <v>44047</v>
      </c>
      <c r="D1186" s="135">
        <v>101.92</v>
      </c>
      <c r="O1186" s="134"/>
      <c r="P1186" s="135"/>
    </row>
    <row r="1187" spans="1:16" s="133" customFormat="1" ht="15" customHeight="1">
      <c r="A1187" s="1"/>
      <c r="B1187" s="1"/>
      <c r="C1187" s="134">
        <v>44048</v>
      </c>
      <c r="D1187" s="135">
        <v>102.8</v>
      </c>
      <c r="O1187" s="134"/>
      <c r="P1187" s="135"/>
    </row>
    <row r="1188" spans="1:16" s="133" customFormat="1" ht="15" customHeight="1">
      <c r="A1188" s="1"/>
      <c r="B1188" s="1"/>
      <c r="C1188" s="134">
        <v>44049</v>
      </c>
      <c r="D1188" s="135">
        <v>103.59</v>
      </c>
      <c r="O1188" s="134"/>
      <c r="P1188" s="135"/>
    </row>
    <row r="1189" spans="1:16" s="133" customFormat="1" ht="15" customHeight="1">
      <c r="A1189" s="1"/>
      <c r="B1189" s="1"/>
      <c r="C1189" s="134">
        <v>44050</v>
      </c>
      <c r="D1189" s="135">
        <v>103.98</v>
      </c>
      <c r="O1189" s="134"/>
      <c r="P1189" s="135"/>
    </row>
    <row r="1190" spans="1:16" s="133" customFormat="1" ht="15" customHeight="1">
      <c r="A1190" s="1"/>
      <c r="B1190" s="1"/>
      <c r="C1190" s="134">
        <v>44053</v>
      </c>
      <c r="D1190" s="135">
        <v>104.41</v>
      </c>
      <c r="O1190" s="134"/>
      <c r="P1190" s="135"/>
    </row>
    <row r="1191" spans="1:16" s="133" customFormat="1" ht="15" customHeight="1">
      <c r="A1191" s="1"/>
      <c r="B1191" s="1"/>
      <c r="C1191" s="134">
        <v>44054</v>
      </c>
      <c r="D1191" s="135">
        <v>104.94</v>
      </c>
      <c r="O1191" s="134"/>
      <c r="P1191" s="135"/>
    </row>
    <row r="1192" spans="1:16" s="133" customFormat="1" ht="15" customHeight="1">
      <c r="A1192" s="1"/>
      <c r="B1192" s="1"/>
      <c r="C1192" s="134">
        <v>44055</v>
      </c>
      <c r="D1192" s="135">
        <v>106.4</v>
      </c>
      <c r="O1192" s="134"/>
      <c r="P1192" s="135"/>
    </row>
    <row r="1193" spans="1:16" s="133" customFormat="1" ht="15" customHeight="1">
      <c r="A1193" s="1"/>
      <c r="B1193" s="1"/>
      <c r="C1193" s="134">
        <v>44056</v>
      </c>
      <c r="D1193" s="135">
        <v>106.91</v>
      </c>
      <c r="O1193" s="134"/>
      <c r="P1193" s="135"/>
    </row>
    <row r="1194" spans="1:16" s="133" customFormat="1" ht="15" customHeight="1">
      <c r="A1194" s="1"/>
      <c r="B1194" s="1"/>
      <c r="C1194" s="134">
        <v>44057</v>
      </c>
      <c r="D1194" s="135">
        <v>106.69</v>
      </c>
      <c r="O1194" s="134"/>
      <c r="P1194" s="135"/>
    </row>
    <row r="1195" spans="1:16" s="133" customFormat="1" ht="15" customHeight="1">
      <c r="A1195" s="1"/>
      <c r="B1195" s="1"/>
      <c r="C1195" s="134">
        <v>44060</v>
      </c>
      <c r="D1195" s="135">
        <v>106.97</v>
      </c>
      <c r="O1195" s="134"/>
      <c r="P1195" s="135"/>
    </row>
    <row r="1196" spans="1:16" s="133" customFormat="1" ht="15" customHeight="1">
      <c r="A1196" s="1"/>
      <c r="B1196" s="1"/>
      <c r="C1196" s="134">
        <v>44061</v>
      </c>
      <c r="D1196" s="135">
        <v>106.92</v>
      </c>
      <c r="O1196" s="134"/>
      <c r="P1196" s="135"/>
    </row>
    <row r="1197" spans="1:16" s="133" customFormat="1" ht="15" customHeight="1">
      <c r="A1197" s="1"/>
      <c r="B1197" s="1"/>
      <c r="C1197" s="134">
        <v>44062</v>
      </c>
      <c r="D1197" s="135">
        <v>106.7</v>
      </c>
      <c r="O1197" s="134"/>
      <c r="P1197" s="135"/>
    </row>
    <row r="1198" spans="1:16" s="133" customFormat="1" ht="15" customHeight="1">
      <c r="A1198" s="1"/>
      <c r="B1198" s="1"/>
      <c r="C1198" s="134">
        <v>44063</v>
      </c>
      <c r="D1198" s="135">
        <v>106.41</v>
      </c>
      <c r="O1198" s="134"/>
      <c r="P1198" s="135"/>
    </row>
    <row r="1199" spans="1:16" s="133" customFormat="1" ht="15" customHeight="1">
      <c r="A1199" s="1"/>
      <c r="B1199" s="1"/>
      <c r="C1199" s="134">
        <v>44064</v>
      </c>
      <c r="D1199" s="135">
        <v>106.63</v>
      </c>
      <c r="O1199" s="134"/>
      <c r="P1199" s="135"/>
    </row>
    <row r="1200" spans="1:16" s="133" customFormat="1" ht="15" customHeight="1">
      <c r="A1200" s="1"/>
      <c r="B1200" s="1"/>
      <c r="C1200" s="134">
        <v>44067</v>
      </c>
      <c r="D1200" s="135">
        <v>107.82</v>
      </c>
      <c r="O1200" s="134"/>
      <c r="P1200" s="135"/>
    </row>
    <row r="1201" spans="1:16" s="133" customFormat="1" ht="15" customHeight="1">
      <c r="A1201" s="1"/>
      <c r="B1201" s="1"/>
      <c r="C1201" s="134">
        <v>44068</v>
      </c>
      <c r="D1201" s="135">
        <v>108.85</v>
      </c>
      <c r="O1201" s="134"/>
      <c r="P1201" s="135"/>
    </row>
    <row r="1202" spans="1:16" s="133" customFormat="1" ht="15" customHeight="1">
      <c r="A1202" s="1"/>
      <c r="B1202" s="1"/>
      <c r="C1202" s="134">
        <v>44069</v>
      </c>
      <c r="D1202" s="135">
        <v>110.26</v>
      </c>
      <c r="O1202" s="134"/>
      <c r="P1202" s="135"/>
    </row>
    <row r="1203" spans="1:16" s="133" customFormat="1" ht="15" customHeight="1">
      <c r="A1203" s="1"/>
      <c r="B1203" s="1"/>
      <c r="C1203" s="134">
        <v>44070</v>
      </c>
      <c r="D1203" s="135">
        <v>111.51</v>
      </c>
      <c r="O1203" s="134"/>
      <c r="P1203" s="135"/>
    </row>
    <row r="1204" spans="1:16" s="133" customFormat="1" ht="15" customHeight="1">
      <c r="A1204" s="1"/>
      <c r="B1204" s="1"/>
      <c r="C1204" s="134">
        <v>44071</v>
      </c>
      <c r="D1204" s="135">
        <v>112.11</v>
      </c>
      <c r="O1204" s="134"/>
      <c r="P1204" s="135"/>
    </row>
    <row r="1205" spans="1:16" s="133" customFormat="1" ht="15" customHeight="1">
      <c r="A1205" s="1"/>
      <c r="B1205" s="1"/>
      <c r="C1205" s="134">
        <v>44074</v>
      </c>
      <c r="D1205" s="135">
        <v>111.33</v>
      </c>
      <c r="O1205" s="134"/>
      <c r="P1205" s="135"/>
    </row>
    <row r="1206" spans="1:16" s="133" customFormat="1" ht="15" customHeight="1">
      <c r="A1206" s="1"/>
      <c r="B1206" s="1"/>
      <c r="C1206" s="134">
        <v>44075</v>
      </c>
      <c r="D1206" s="135">
        <v>111.83</v>
      </c>
      <c r="O1206" s="134"/>
      <c r="P1206" s="135"/>
    </row>
    <row r="1207" spans="1:16" s="133" customFormat="1" ht="15" customHeight="1">
      <c r="A1207" s="1"/>
      <c r="B1207" s="1"/>
      <c r="C1207" s="134">
        <v>44076</v>
      </c>
      <c r="D1207" s="135">
        <v>112.93</v>
      </c>
      <c r="O1207" s="134"/>
      <c r="P1207" s="135"/>
    </row>
    <row r="1208" spans="1:16" s="133" customFormat="1" ht="15" customHeight="1">
      <c r="A1208" s="1"/>
      <c r="B1208" s="1"/>
      <c r="C1208" s="134">
        <v>44077</v>
      </c>
      <c r="D1208" s="135">
        <v>108.8</v>
      </c>
      <c r="O1208" s="134"/>
      <c r="P1208" s="135"/>
    </row>
    <row r="1209" spans="1:16" s="133" customFormat="1" ht="15" customHeight="1">
      <c r="A1209" s="1"/>
      <c r="B1209" s="1"/>
      <c r="C1209" s="134">
        <v>44078</v>
      </c>
      <c r="D1209" s="135">
        <v>108.94</v>
      </c>
      <c r="O1209" s="134"/>
      <c r="P1209" s="135"/>
    </row>
    <row r="1210" spans="1:16" s="133" customFormat="1" ht="15" customHeight="1">
      <c r="A1210" s="1"/>
      <c r="B1210" s="1"/>
      <c r="C1210" s="134">
        <v>44082</v>
      </c>
      <c r="D1210" s="135">
        <v>105.77</v>
      </c>
      <c r="O1210" s="134"/>
      <c r="P1210" s="135"/>
    </row>
    <row r="1211" spans="1:16" s="133" customFormat="1" ht="15" customHeight="1">
      <c r="A1211" s="1"/>
      <c r="B1211" s="1"/>
      <c r="C1211" s="134">
        <v>44083</v>
      </c>
      <c r="D1211" s="135">
        <v>108.16</v>
      </c>
      <c r="O1211" s="134"/>
      <c r="P1211" s="135"/>
    </row>
    <row r="1212" spans="1:16" s="133" customFormat="1" ht="15" customHeight="1">
      <c r="A1212" s="1"/>
      <c r="B1212" s="1"/>
      <c r="C1212" s="134">
        <v>44084</v>
      </c>
      <c r="D1212" s="135">
        <v>105.93</v>
      </c>
      <c r="O1212" s="134"/>
      <c r="P1212" s="135"/>
    </row>
    <row r="1213" spans="1:16" s="133" customFormat="1" ht="15" customHeight="1">
      <c r="A1213" s="1"/>
      <c r="B1213" s="1"/>
      <c r="C1213" s="134">
        <v>44085</v>
      </c>
      <c r="D1213" s="135">
        <v>105.51</v>
      </c>
      <c r="O1213" s="134"/>
      <c r="P1213" s="135"/>
    </row>
    <row r="1214" spans="1:16" s="133" customFormat="1" ht="15" customHeight="1">
      <c r="A1214" s="1"/>
      <c r="B1214" s="1"/>
      <c r="C1214" s="134">
        <v>44088</v>
      </c>
      <c r="D1214" s="135">
        <v>107.01</v>
      </c>
      <c r="O1214" s="134"/>
      <c r="P1214" s="135"/>
    </row>
    <row r="1215" spans="1:16" s="133" customFormat="1" ht="15" customHeight="1">
      <c r="A1215" s="1"/>
      <c r="B1215" s="1"/>
      <c r="C1215" s="134">
        <v>44089</v>
      </c>
      <c r="D1215" s="135">
        <v>107.85</v>
      </c>
      <c r="O1215" s="134"/>
      <c r="P1215" s="135"/>
    </row>
    <row r="1216" spans="1:16" s="133" customFormat="1" ht="15" customHeight="1">
      <c r="A1216" s="1"/>
      <c r="B1216" s="1"/>
      <c r="C1216" s="134">
        <v>44090</v>
      </c>
      <c r="D1216" s="135">
        <v>107.53</v>
      </c>
      <c r="O1216" s="134"/>
      <c r="P1216" s="135"/>
    </row>
    <row r="1217" spans="1:16" s="133" customFormat="1" ht="15" customHeight="1">
      <c r="A1217" s="1"/>
      <c r="B1217" s="1"/>
      <c r="C1217" s="134">
        <v>44091</v>
      </c>
      <c r="D1217" s="135">
        <v>106.47</v>
      </c>
      <c r="O1217" s="134"/>
      <c r="P1217" s="135"/>
    </row>
    <row r="1218" spans="1:16" s="133" customFormat="1" ht="15" customHeight="1">
      <c r="A1218" s="1"/>
      <c r="B1218" s="1"/>
      <c r="C1218" s="134">
        <v>44092</v>
      </c>
      <c r="D1218" s="135">
        <v>105.65</v>
      </c>
      <c r="O1218" s="134"/>
      <c r="P1218" s="135"/>
    </row>
    <row r="1219" spans="1:16" s="133" customFormat="1" ht="15" customHeight="1">
      <c r="A1219" s="1"/>
      <c r="B1219" s="1"/>
      <c r="C1219" s="134">
        <v>44095</v>
      </c>
      <c r="D1219" s="135">
        <v>104.02</v>
      </c>
      <c r="O1219" s="134"/>
      <c r="P1219" s="135"/>
    </row>
    <row r="1220" spans="1:16" s="133" customFormat="1" ht="15" customHeight="1">
      <c r="A1220" s="1"/>
      <c r="B1220" s="1"/>
      <c r="C1220" s="134">
        <v>44096</v>
      </c>
      <c r="D1220" s="135">
        <v>104.69</v>
      </c>
      <c r="O1220" s="134"/>
      <c r="P1220" s="135"/>
    </row>
    <row r="1221" spans="1:16" s="133" customFormat="1" ht="15" customHeight="1">
      <c r="A1221" s="1"/>
      <c r="B1221" s="1"/>
      <c r="C1221" s="134">
        <v>44097</v>
      </c>
      <c r="D1221" s="135">
        <v>102.67</v>
      </c>
      <c r="O1221" s="134"/>
      <c r="P1221" s="135"/>
    </row>
    <row r="1222" spans="1:16" s="133" customFormat="1" ht="15" customHeight="1">
      <c r="A1222" s="1"/>
      <c r="B1222" s="1"/>
      <c r="C1222" s="134">
        <v>44098</v>
      </c>
      <c r="D1222" s="135">
        <v>102.59</v>
      </c>
      <c r="O1222" s="134"/>
      <c r="P1222" s="135"/>
    </row>
    <row r="1223" spans="1:16" s="133" customFormat="1" ht="15" customHeight="1">
      <c r="A1223" s="1"/>
      <c r="B1223" s="1"/>
      <c r="C1223" s="134">
        <v>44099</v>
      </c>
      <c r="D1223" s="135">
        <v>104.11</v>
      </c>
      <c r="O1223" s="134"/>
      <c r="P1223" s="135"/>
    </row>
    <row r="1224" spans="1:16" s="133" customFormat="1" ht="15" customHeight="1">
      <c r="A1224" s="1"/>
      <c r="B1224" s="1"/>
      <c r="C1224" s="134">
        <v>44102</v>
      </c>
      <c r="D1224" s="135">
        <v>106.09</v>
      </c>
      <c r="O1224" s="134"/>
      <c r="P1224" s="135"/>
    </row>
    <row r="1225" spans="1:16" s="133" customFormat="1" ht="15" customHeight="1">
      <c r="A1225" s="1"/>
      <c r="B1225" s="1"/>
      <c r="C1225" s="134">
        <v>44103</v>
      </c>
      <c r="D1225" s="135">
        <v>105.47</v>
      </c>
      <c r="O1225" s="134"/>
      <c r="P1225" s="135"/>
    </row>
    <row r="1226" spans="1:16" s="133" customFormat="1" ht="15" customHeight="1">
      <c r="A1226" s="1"/>
      <c r="B1226" s="1"/>
      <c r="C1226" s="134">
        <v>44104</v>
      </c>
      <c r="D1226" s="135">
        <v>106.61</v>
      </c>
      <c r="O1226" s="134"/>
      <c r="P1226" s="135"/>
    </row>
    <row r="1227" spans="1:16" s="133" customFormat="1" ht="15" customHeight="1">
      <c r="A1227" s="1"/>
      <c r="B1227" s="1"/>
      <c r="C1227" s="134">
        <v>44105</v>
      </c>
      <c r="D1227" s="135">
        <v>107.07</v>
      </c>
      <c r="O1227" s="134"/>
      <c r="P1227" s="135"/>
    </row>
    <row r="1228" spans="1:16" s="133" customFormat="1" ht="15" customHeight="1">
      <c r="A1228" s="1"/>
      <c r="B1228" s="1"/>
      <c r="C1228" s="134">
        <v>44106</v>
      </c>
      <c r="D1228" s="135">
        <v>106.43</v>
      </c>
      <c r="O1228" s="134"/>
      <c r="P1228" s="135"/>
    </row>
    <row r="1229" spans="1:16" s="133" customFormat="1" ht="15" customHeight="1">
      <c r="A1229" s="1"/>
      <c r="B1229" s="1"/>
      <c r="C1229" s="134">
        <v>44109</v>
      </c>
      <c r="D1229" s="135">
        <v>109.17</v>
      </c>
      <c r="O1229" s="134"/>
      <c r="P1229" s="135"/>
    </row>
    <row r="1230" spans="1:16" s="133" customFormat="1" ht="15" customHeight="1">
      <c r="A1230" s="1"/>
      <c r="B1230" s="1"/>
      <c r="C1230" s="134">
        <v>44110</v>
      </c>
      <c r="D1230" s="135">
        <v>107.6</v>
      </c>
      <c r="O1230" s="134"/>
      <c r="P1230" s="135"/>
    </row>
    <row r="1231" spans="1:16" s="133" customFormat="1" ht="15" customHeight="1">
      <c r="A1231" s="1"/>
      <c r="B1231" s="1"/>
      <c r="C1231" s="134">
        <v>44111</v>
      </c>
      <c r="D1231" s="135">
        <v>109.95</v>
      </c>
      <c r="O1231" s="134"/>
      <c r="P1231" s="135"/>
    </row>
    <row r="1232" spans="1:16" s="133" customFormat="1" ht="15" customHeight="1">
      <c r="A1232" s="1"/>
      <c r="B1232" s="1"/>
      <c r="C1232" s="134">
        <v>44112</v>
      </c>
      <c r="D1232" s="135">
        <v>110.6</v>
      </c>
      <c r="O1232" s="134"/>
      <c r="P1232" s="135"/>
    </row>
    <row r="1233" spans="1:16" s="133" customFormat="1" ht="15" customHeight="1">
      <c r="A1233" s="1"/>
      <c r="B1233" s="1"/>
      <c r="C1233" s="134">
        <v>44113</v>
      </c>
      <c r="D1233" s="135">
        <v>111.85</v>
      </c>
      <c r="O1233" s="134"/>
      <c r="P1233" s="135"/>
    </row>
    <row r="1234" spans="1:16" s="133" customFormat="1" ht="15" customHeight="1">
      <c r="A1234" s="1"/>
      <c r="B1234" s="1"/>
      <c r="C1234" s="134">
        <v>44116</v>
      </c>
      <c r="D1234" s="135">
        <v>113.55</v>
      </c>
      <c r="O1234" s="134"/>
      <c r="P1234" s="135"/>
    </row>
    <row r="1235" spans="1:16" s="133" customFormat="1" ht="15" customHeight="1">
      <c r="A1235" s="1"/>
      <c r="B1235" s="1"/>
      <c r="C1235" s="134">
        <v>44117</v>
      </c>
      <c r="D1235" s="135">
        <v>112.12</v>
      </c>
      <c r="O1235" s="134"/>
      <c r="P1235" s="135"/>
    </row>
    <row r="1236" spans="1:16" s="133" customFormat="1" ht="15" customHeight="1">
      <c r="A1236" s="1"/>
      <c r="B1236" s="1"/>
      <c r="C1236" s="134">
        <v>44118</v>
      </c>
      <c r="D1236" s="135">
        <v>111.24</v>
      </c>
      <c r="O1236" s="134"/>
      <c r="P1236" s="135"/>
    </row>
    <row r="1237" spans="1:16" s="133" customFormat="1" ht="15" customHeight="1">
      <c r="A1237" s="1"/>
      <c r="B1237" s="1"/>
      <c r="C1237" s="134">
        <v>44119</v>
      </c>
      <c r="D1237" s="135">
        <v>111.15</v>
      </c>
      <c r="O1237" s="134"/>
      <c r="P1237" s="135"/>
    </row>
    <row r="1238" spans="1:16" s="133" customFormat="1" ht="15" customHeight="1">
      <c r="A1238" s="1"/>
      <c r="B1238" s="1"/>
      <c r="C1238" s="134">
        <v>44120</v>
      </c>
      <c r="D1238" s="135">
        <v>110.94</v>
      </c>
      <c r="O1238" s="134"/>
      <c r="P1238" s="135"/>
    </row>
    <row r="1239" spans="1:16" s="133" customFormat="1" ht="15" customHeight="1">
      <c r="A1239" s="1"/>
      <c r="B1239" s="1"/>
      <c r="C1239" s="134">
        <v>44123</v>
      </c>
      <c r="D1239" s="135">
        <v>109.93</v>
      </c>
      <c r="O1239" s="134"/>
      <c r="P1239" s="135"/>
    </row>
    <row r="1240" spans="1:16" s="133" customFormat="1" ht="15" customHeight="1">
      <c r="A1240" s="1"/>
      <c r="B1240" s="1"/>
      <c r="C1240" s="134">
        <v>44124</v>
      </c>
      <c r="D1240" s="135">
        <v>110.87</v>
      </c>
      <c r="O1240" s="134"/>
      <c r="P1240" s="135"/>
    </row>
    <row r="1241" spans="1:16" s="133" customFormat="1" ht="15" customHeight="1">
      <c r="A1241" s="1"/>
      <c r="B1241" s="1"/>
      <c r="C1241" s="134">
        <v>44125</v>
      </c>
      <c r="D1241" s="135">
        <v>111.14</v>
      </c>
      <c r="O1241" s="134"/>
      <c r="P1241" s="135"/>
    </row>
    <row r="1242" spans="1:16" s="133" customFormat="1" ht="15" customHeight="1">
      <c r="A1242" s="1"/>
      <c r="B1242" s="1"/>
      <c r="C1242" s="134">
        <v>44126</v>
      </c>
      <c r="D1242" s="135">
        <v>112.16</v>
      </c>
      <c r="O1242" s="134"/>
      <c r="P1242" s="135"/>
    </row>
    <row r="1243" spans="1:16" s="133" customFormat="1" ht="15" customHeight="1">
      <c r="A1243" s="1"/>
      <c r="B1243" s="1"/>
      <c r="C1243" s="134">
        <v>44127</v>
      </c>
      <c r="D1243" s="135">
        <v>112.08</v>
      </c>
      <c r="O1243" s="134"/>
      <c r="P1243" s="135"/>
    </row>
    <row r="1244" spans="1:16" s="133" customFormat="1" ht="15" customHeight="1">
      <c r="A1244" s="1"/>
      <c r="B1244" s="1"/>
      <c r="C1244" s="134">
        <v>44130</v>
      </c>
      <c r="D1244" s="135">
        <v>109.54</v>
      </c>
      <c r="O1244" s="134"/>
      <c r="P1244" s="135"/>
    </row>
    <row r="1245" spans="1:16" s="133" customFormat="1" ht="15" customHeight="1">
      <c r="A1245" s="1"/>
      <c r="B1245" s="1"/>
      <c r="C1245" s="134">
        <v>44131</v>
      </c>
      <c r="D1245" s="135">
        <v>108.89</v>
      </c>
      <c r="O1245" s="134"/>
      <c r="P1245" s="135"/>
    </row>
    <row r="1246" spans="1:16" s="133" customFormat="1" ht="15" customHeight="1">
      <c r="A1246" s="1"/>
      <c r="B1246" s="1"/>
      <c r="C1246" s="134">
        <v>44132</v>
      </c>
      <c r="D1246" s="135">
        <v>105.08</v>
      </c>
      <c r="O1246" s="134"/>
      <c r="P1246" s="135"/>
    </row>
    <row r="1247" spans="1:16" s="133" customFormat="1" ht="15" customHeight="1">
      <c r="A1247" s="1"/>
      <c r="B1247" s="1"/>
      <c r="C1247" s="134">
        <v>44133</v>
      </c>
      <c r="D1247" s="135">
        <v>107.04</v>
      </c>
      <c r="O1247" s="134"/>
      <c r="P1247" s="135"/>
    </row>
    <row r="1248" spans="1:16" s="133" customFormat="1" ht="15" customHeight="1">
      <c r="A1248" s="1"/>
      <c r="B1248" s="1"/>
      <c r="C1248" s="134">
        <v>44134</v>
      </c>
      <c r="D1248" s="135">
        <v>106.06</v>
      </c>
      <c r="O1248" s="134"/>
      <c r="P1248" s="135"/>
    </row>
    <row r="1249" spans="1:16" s="133" customFormat="1" ht="15" customHeight="1">
      <c r="A1249" s="1"/>
      <c r="B1249" s="1"/>
      <c r="C1249" s="134">
        <v>44137</v>
      </c>
      <c r="D1249" s="135">
        <v>107.05</v>
      </c>
      <c r="O1249" s="134"/>
      <c r="P1249" s="135"/>
    </row>
    <row r="1250" spans="1:16" s="133" customFormat="1" ht="15" customHeight="1">
      <c r="A1250" s="1"/>
      <c r="B1250" s="1"/>
      <c r="C1250" s="134">
        <v>44138</v>
      </c>
      <c r="D1250" s="135">
        <v>109.47</v>
      </c>
      <c r="O1250" s="134"/>
      <c r="P1250" s="135"/>
    </row>
    <row r="1251" spans="1:16" s="133" customFormat="1" ht="15" customHeight="1">
      <c r="A1251" s="1"/>
      <c r="B1251" s="1"/>
      <c r="C1251" s="134">
        <v>44139</v>
      </c>
      <c r="D1251" s="135">
        <v>110.34</v>
      </c>
      <c r="O1251" s="134"/>
      <c r="P1251" s="135"/>
    </row>
    <row r="1252" spans="1:16" s="133" customFormat="1" ht="15" customHeight="1">
      <c r="A1252" s="1"/>
      <c r="B1252" s="1"/>
      <c r="C1252" s="134">
        <v>44140</v>
      </c>
      <c r="D1252" s="135">
        <v>112.64</v>
      </c>
      <c r="O1252" s="134"/>
      <c r="P1252" s="135"/>
    </row>
    <row r="1253" spans="1:16" s="133" customFormat="1" ht="15" customHeight="1">
      <c r="A1253" s="1"/>
      <c r="B1253" s="1"/>
      <c r="C1253" s="134">
        <v>44141</v>
      </c>
      <c r="D1253" s="135">
        <v>113.17</v>
      </c>
      <c r="O1253" s="134"/>
      <c r="P1253" s="135"/>
    </row>
    <row r="1254" spans="1:16" s="133" customFormat="1" ht="15" customHeight="1">
      <c r="A1254" s="1"/>
      <c r="B1254" s="1"/>
      <c r="C1254" s="134">
        <v>44144</v>
      </c>
      <c r="D1254" s="135">
        <v>116.61</v>
      </c>
      <c r="O1254" s="134"/>
      <c r="P1254" s="135"/>
    </row>
    <row r="1255" spans="1:16" s="133" customFormat="1" ht="15" customHeight="1">
      <c r="A1255" s="1"/>
      <c r="B1255" s="1"/>
      <c r="C1255" s="134">
        <v>44145</v>
      </c>
      <c r="D1255" s="135">
        <v>116.64</v>
      </c>
      <c r="O1255" s="134"/>
      <c r="P1255" s="135"/>
    </row>
    <row r="1256" spans="1:16" s="133" customFormat="1" ht="15" customHeight="1">
      <c r="A1256" s="1"/>
      <c r="B1256" s="1"/>
      <c r="C1256" s="134">
        <v>44146</v>
      </c>
      <c r="D1256" s="135">
        <v>117.08</v>
      </c>
      <c r="O1256" s="134"/>
      <c r="P1256" s="135"/>
    </row>
    <row r="1257" spans="1:16" s="133" customFormat="1" ht="15" customHeight="1">
      <c r="A1257" s="1"/>
      <c r="B1257" s="1"/>
      <c r="C1257" s="134">
        <v>44147</v>
      </c>
      <c r="D1257" s="135">
        <v>114.8</v>
      </c>
      <c r="O1257" s="134"/>
      <c r="P1257" s="135"/>
    </row>
    <row r="1258" spans="1:16" s="133" customFormat="1" ht="15" customHeight="1">
      <c r="A1258" s="1"/>
      <c r="B1258" s="1"/>
      <c r="C1258" s="134">
        <v>44148</v>
      </c>
      <c r="D1258" s="135">
        <v>116.48</v>
      </c>
      <c r="O1258" s="134"/>
      <c r="P1258" s="135"/>
    </row>
    <row r="1259" spans="1:16" s="133" customFormat="1" ht="15" customHeight="1">
      <c r="A1259" s="1"/>
      <c r="B1259" s="1"/>
      <c r="C1259" s="134">
        <v>44151</v>
      </c>
      <c r="D1259" s="135">
        <v>118</v>
      </c>
      <c r="O1259" s="134"/>
      <c r="P1259" s="135"/>
    </row>
    <row r="1260" spans="1:16" s="133" customFormat="1" ht="15" customHeight="1">
      <c r="A1260" s="1"/>
      <c r="B1260" s="1"/>
      <c r="C1260" s="134">
        <v>44152</v>
      </c>
      <c r="D1260" s="135">
        <v>117.02</v>
      </c>
      <c r="O1260" s="134"/>
      <c r="P1260" s="135"/>
    </row>
    <row r="1261" spans="1:16" s="133" customFormat="1" ht="15" customHeight="1">
      <c r="A1261" s="1"/>
      <c r="B1261" s="1"/>
      <c r="C1261" s="134">
        <v>44153</v>
      </c>
      <c r="D1261" s="135">
        <v>115.69</v>
      </c>
      <c r="O1261" s="134"/>
      <c r="P1261" s="135"/>
    </row>
    <row r="1262" spans="1:16" s="133" customFormat="1" ht="15" customHeight="1">
      <c r="A1262" s="1"/>
      <c r="B1262" s="1"/>
      <c r="C1262" s="134">
        <v>44154</v>
      </c>
      <c r="D1262" s="135">
        <v>115.69</v>
      </c>
      <c r="O1262" s="134"/>
      <c r="P1262" s="135"/>
    </row>
    <row r="1263" spans="1:16" s="133" customFormat="1" ht="15" customHeight="1">
      <c r="A1263" s="1"/>
      <c r="B1263" s="1"/>
      <c r="C1263" s="134">
        <v>44155</v>
      </c>
      <c r="D1263" s="135">
        <v>114.32</v>
      </c>
      <c r="O1263" s="134"/>
      <c r="P1263" s="135"/>
    </row>
    <row r="1264" spans="1:16" s="133" customFormat="1" ht="15" customHeight="1">
      <c r="A1264" s="1"/>
      <c r="B1264" s="1"/>
      <c r="C1264" s="134">
        <v>44158</v>
      </c>
      <c r="D1264" s="135">
        <v>115.41</v>
      </c>
      <c r="O1264" s="134"/>
      <c r="P1264" s="135"/>
    </row>
    <row r="1265" spans="1:16" s="133" customFormat="1" ht="15" customHeight="1">
      <c r="A1265" s="1"/>
      <c r="B1265" s="1"/>
      <c r="C1265" s="134">
        <v>44159</v>
      </c>
      <c r="D1265" s="135">
        <v>117.62</v>
      </c>
      <c r="O1265" s="134"/>
      <c r="P1265" s="135"/>
    </row>
    <row r="1266" spans="1:16" s="133" customFormat="1" ht="15" customHeight="1">
      <c r="A1266" s="1"/>
      <c r="B1266" s="1"/>
      <c r="C1266" s="134">
        <v>44160</v>
      </c>
      <c r="D1266" s="135">
        <v>117.5</v>
      </c>
      <c r="O1266" s="134"/>
      <c r="P1266" s="135"/>
    </row>
    <row r="1267" spans="1:16" s="133" customFormat="1" ht="15" customHeight="1">
      <c r="A1267" s="1"/>
      <c r="B1267" s="1"/>
      <c r="C1267" s="134">
        <v>44162</v>
      </c>
      <c r="D1267" s="135">
        <v>117.1</v>
      </c>
      <c r="O1267" s="134"/>
      <c r="P1267" s="135"/>
    </row>
    <row r="1268" spans="1:16" s="133" customFormat="1" ht="15" customHeight="1">
      <c r="A1268" s="1"/>
      <c r="B1268" s="1"/>
      <c r="C1268" s="134">
        <v>44165</v>
      </c>
      <c r="D1268" s="135">
        <v>116.76</v>
      </c>
      <c r="O1268" s="134"/>
      <c r="P1268" s="135"/>
    </row>
    <row r="1269" spans="1:16" s="133" customFormat="1" ht="15" customHeight="1">
      <c r="A1269" s="1"/>
      <c r="B1269" s="1"/>
      <c r="C1269" s="134">
        <v>44166</v>
      </c>
      <c r="D1269" s="135">
        <v>119.46</v>
      </c>
      <c r="O1269" s="134"/>
      <c r="P1269" s="135"/>
    </row>
    <row r="1270" spans="1:16" s="133" customFormat="1" ht="15" customHeight="1">
      <c r="A1270" s="1"/>
      <c r="B1270" s="1"/>
      <c r="C1270" s="134">
        <v>44167</v>
      </c>
      <c r="D1270" s="135">
        <v>120.03</v>
      </c>
      <c r="O1270" s="134"/>
      <c r="P1270" s="135"/>
    </row>
    <row r="1271" spans="1:16" s="133" customFormat="1" ht="15" customHeight="1">
      <c r="A1271" s="1"/>
      <c r="B1271" s="1"/>
      <c r="C1271" s="134">
        <v>44168</v>
      </c>
      <c r="D1271" s="135">
        <v>119.44</v>
      </c>
      <c r="O1271" s="134"/>
      <c r="P1271" s="135"/>
    </row>
    <row r="1272" spans="1:16" s="133" customFormat="1" ht="15" customHeight="1">
      <c r="A1272" s="1"/>
      <c r="B1272" s="1"/>
      <c r="C1272" s="134">
        <v>44169</v>
      </c>
      <c r="D1272" s="135">
        <v>121.37</v>
      </c>
      <c r="O1272" s="134"/>
      <c r="P1272" s="135"/>
    </row>
    <row r="1273" spans="1:16" s="133" customFormat="1" ht="15" customHeight="1">
      <c r="A1273" s="1"/>
      <c r="B1273" s="1"/>
      <c r="C1273" s="134">
        <v>44172</v>
      </c>
      <c r="D1273" s="135">
        <v>120.52</v>
      </c>
      <c r="O1273" s="134"/>
      <c r="P1273" s="135"/>
    </row>
    <row r="1274" spans="1:16" s="133" customFormat="1" ht="15" customHeight="1">
      <c r="A1274" s="1"/>
      <c r="B1274" s="1"/>
      <c r="C1274" s="134">
        <v>44173</v>
      </c>
      <c r="D1274" s="135">
        <v>120.52</v>
      </c>
      <c r="O1274" s="134"/>
      <c r="P1274" s="135"/>
    </row>
    <row r="1275" spans="1:16" s="133" customFormat="1" ht="15" customHeight="1">
      <c r="A1275" s="1"/>
      <c r="B1275" s="1"/>
      <c r="C1275" s="134">
        <v>44174</v>
      </c>
      <c r="D1275" s="135">
        <v>119.97</v>
      </c>
      <c r="O1275" s="134"/>
      <c r="P1275" s="135"/>
    </row>
    <row r="1276" spans="1:16" s="133" customFormat="1" ht="15" customHeight="1">
      <c r="A1276" s="1"/>
      <c r="B1276" s="1"/>
      <c r="C1276" s="134">
        <v>44175</v>
      </c>
      <c r="D1276" s="135">
        <v>119.14</v>
      </c>
      <c r="O1276" s="134"/>
      <c r="P1276" s="135"/>
    </row>
    <row r="1277" spans="1:16" s="133" customFormat="1" ht="15" customHeight="1">
      <c r="A1277" s="1"/>
      <c r="B1277" s="1"/>
      <c r="C1277" s="134">
        <v>44176</v>
      </c>
      <c r="D1277" s="135">
        <v>118.78</v>
      </c>
      <c r="O1277" s="134"/>
      <c r="P1277" s="135"/>
    </row>
    <row r="1278" spans="1:16" s="133" customFormat="1" ht="15" customHeight="1">
      <c r="A1278" s="1"/>
      <c r="B1278" s="1"/>
      <c r="C1278" s="134">
        <v>44179</v>
      </c>
      <c r="D1278" s="135">
        <v>118.32</v>
      </c>
      <c r="O1278" s="134"/>
      <c r="P1278" s="135"/>
    </row>
    <row r="1279" spans="1:16" s="133" customFormat="1" ht="15" customHeight="1">
      <c r="A1279" s="1"/>
      <c r="B1279" s="1"/>
      <c r="C1279" s="134">
        <v>44180</v>
      </c>
      <c r="D1279" s="135">
        <v>120.38</v>
      </c>
      <c r="O1279" s="134"/>
      <c r="P1279" s="135"/>
    </row>
    <row r="1280" spans="1:16" s="133" customFormat="1" ht="15" customHeight="1">
      <c r="A1280" s="1"/>
      <c r="B1280" s="1"/>
      <c r="C1280" s="134">
        <v>44181</v>
      </c>
      <c r="D1280" s="135">
        <v>120.58</v>
      </c>
      <c r="O1280" s="134"/>
      <c r="P1280" s="135"/>
    </row>
    <row r="1281" spans="1:16" s="133" customFormat="1" ht="15" customHeight="1">
      <c r="A1281" s="1"/>
      <c r="B1281" s="1"/>
      <c r="C1281" s="134">
        <v>44182</v>
      </c>
      <c r="D1281" s="135">
        <v>121.4</v>
      </c>
      <c r="O1281" s="134"/>
      <c r="P1281" s="135"/>
    </row>
    <row r="1282" spans="1:16" s="133" customFormat="1" ht="15" customHeight="1">
      <c r="A1282" s="1"/>
      <c r="B1282" s="1"/>
      <c r="C1282" s="134">
        <v>44183</v>
      </c>
      <c r="D1282" s="135">
        <v>121.56</v>
      </c>
      <c r="O1282" s="134"/>
      <c r="P1282" s="135"/>
    </row>
    <row r="1283" spans="1:16" s="133" customFormat="1" ht="15" customHeight="1">
      <c r="A1283" s="1"/>
      <c r="B1283" s="1"/>
      <c r="C1283" s="134">
        <v>44186</v>
      </c>
      <c r="D1283" s="135">
        <v>120.71</v>
      </c>
      <c r="O1283" s="134"/>
      <c r="P1283" s="135"/>
    </row>
    <row r="1284" spans="1:16" s="133" customFormat="1" ht="15" customHeight="1">
      <c r="A1284" s="1"/>
      <c r="B1284" s="1"/>
      <c r="C1284" s="134">
        <v>44187</v>
      </c>
      <c r="D1284" s="135">
        <v>119.97</v>
      </c>
      <c r="O1284" s="134"/>
      <c r="P1284" s="135"/>
    </row>
    <row r="1285" spans="1:16" s="133" customFormat="1" ht="15" customHeight="1">
      <c r="A1285" s="1"/>
      <c r="B1285" s="1"/>
      <c r="C1285" s="134">
        <v>44188</v>
      </c>
      <c r="D1285" s="135">
        <v>120.78</v>
      </c>
      <c r="O1285" s="134"/>
      <c r="P1285" s="135"/>
    </row>
    <row r="1286" spans="1:16" s="133" customFormat="1" ht="15" customHeight="1">
      <c r="A1286" s="1"/>
      <c r="B1286" s="1"/>
      <c r="C1286" s="134">
        <v>44189</v>
      </c>
      <c r="D1286" s="135">
        <v>120.74</v>
      </c>
      <c r="O1286" s="134"/>
      <c r="P1286" s="135"/>
    </row>
    <row r="1287" spans="1:16" s="133" customFormat="1" ht="15" customHeight="1">
      <c r="A1287" s="1"/>
      <c r="B1287" s="1"/>
      <c r="C1287" s="134">
        <v>44193</v>
      </c>
      <c r="D1287" s="135">
        <v>121.81</v>
      </c>
      <c r="O1287" s="134"/>
      <c r="P1287" s="135"/>
    </row>
    <row r="1288" spans="1:16" s="133" customFormat="1" ht="15" customHeight="1">
      <c r="A1288" s="1"/>
      <c r="B1288" s="1"/>
      <c r="C1288" s="134">
        <v>44194</v>
      </c>
      <c r="D1288" s="135">
        <v>121.63</v>
      </c>
      <c r="O1288" s="134"/>
      <c r="P1288" s="135"/>
    </row>
    <row r="1289" spans="1:16" s="133" customFormat="1" ht="15" customHeight="1">
      <c r="A1289" s="1"/>
      <c r="B1289" s="1"/>
      <c r="C1289" s="134">
        <v>44195</v>
      </c>
      <c r="D1289" s="135">
        <v>121.63</v>
      </c>
      <c r="O1289" s="134"/>
      <c r="P1289" s="135"/>
    </row>
    <row r="1290" spans="1:16" s="133" customFormat="1" ht="15" customHeight="1">
      <c r="A1290" s="1"/>
      <c r="B1290" s="1"/>
      <c r="C1290" s="134">
        <v>44196</v>
      </c>
      <c r="D1290" s="135">
        <v>122.19</v>
      </c>
      <c r="O1290" s="134"/>
      <c r="P1290" s="135"/>
    </row>
    <row r="1291" spans="1:16" s="133" customFormat="1" ht="15" customHeight="1">
      <c r="A1291" s="1"/>
      <c r="B1291" s="1"/>
      <c r="C1291" s="134">
        <v>44200</v>
      </c>
      <c r="D1291" s="135">
        <v>120.46</v>
      </c>
      <c r="O1291" s="134"/>
      <c r="P1291" s="135"/>
    </row>
    <row r="1292" spans="1:16" s="133" customFormat="1" ht="15" customHeight="1">
      <c r="A1292" s="1"/>
      <c r="B1292" s="1"/>
      <c r="C1292" s="134">
        <v>44201</v>
      </c>
      <c r="D1292" s="135">
        <v>122.03</v>
      </c>
      <c r="O1292" s="134"/>
      <c r="P1292" s="135"/>
    </row>
    <row r="1293" spans="1:16" s="133" customFormat="1" ht="15" customHeight="1">
      <c r="A1293" s="1"/>
      <c r="B1293" s="1"/>
      <c r="C1293" s="134">
        <v>44202</v>
      </c>
      <c r="D1293" s="135">
        <v>124.38</v>
      </c>
      <c r="O1293" s="134"/>
      <c r="P1293" s="135"/>
    </row>
    <row r="1294" spans="1:16" s="133" customFormat="1" ht="15" customHeight="1">
      <c r="A1294" s="1"/>
      <c r="B1294" s="1"/>
      <c r="C1294" s="134">
        <v>44203</v>
      </c>
      <c r="D1294" s="135">
        <v>126.57</v>
      </c>
      <c r="O1294" s="134"/>
      <c r="P1294" s="135"/>
    </row>
    <row r="1295" spans="1:16" s="133" customFormat="1" ht="15" customHeight="1">
      <c r="A1295" s="1"/>
      <c r="B1295" s="1"/>
      <c r="C1295" s="134">
        <v>44204</v>
      </c>
      <c r="D1295" s="135">
        <v>127.66</v>
      </c>
      <c r="O1295" s="134"/>
      <c r="P1295" s="135"/>
    </row>
    <row r="1296" spans="1:16" s="133" customFormat="1" ht="15" customHeight="1">
      <c r="A1296" s="1"/>
      <c r="B1296" s="1"/>
      <c r="C1296" s="134">
        <v>44207</v>
      </c>
      <c r="D1296" s="135">
        <v>127.11</v>
      </c>
      <c r="O1296" s="134"/>
      <c r="P1296" s="135"/>
    </row>
    <row r="1297" spans="1:16" s="133" customFormat="1" ht="15" customHeight="1">
      <c r="A1297" s="1"/>
      <c r="B1297" s="1"/>
      <c r="C1297" s="134">
        <v>44208</v>
      </c>
      <c r="D1297" s="135">
        <v>127.32</v>
      </c>
      <c r="O1297" s="134"/>
      <c r="P1297" s="135"/>
    </row>
    <row r="1298" spans="1:16" s="133" customFormat="1" ht="15" customHeight="1">
      <c r="A1298" s="1"/>
      <c r="B1298" s="1"/>
      <c r="C1298" s="134">
        <v>44209</v>
      </c>
      <c r="D1298" s="135">
        <v>126.73</v>
      </c>
      <c r="O1298" s="134"/>
      <c r="P1298" s="135"/>
    </row>
    <row r="1299" spans="1:16" s="133" customFormat="1" ht="15" customHeight="1">
      <c r="A1299" s="1"/>
      <c r="B1299" s="1"/>
      <c r="C1299" s="134">
        <v>44210</v>
      </c>
      <c r="D1299" s="135">
        <v>127.18</v>
      </c>
      <c r="O1299" s="134"/>
      <c r="P1299" s="135"/>
    </row>
    <row r="1300" spans="1:16" s="133" customFormat="1" ht="15" customHeight="1">
      <c r="A1300" s="1"/>
      <c r="B1300" s="1"/>
      <c r="C1300" s="134">
        <v>44211</v>
      </c>
      <c r="D1300" s="135">
        <v>125.75</v>
      </c>
      <c r="O1300" s="134"/>
      <c r="P1300" s="135"/>
    </row>
    <row r="1301" spans="1:16" s="133" customFormat="1" ht="15" customHeight="1">
      <c r="A1301" s="1"/>
      <c r="B1301" s="1"/>
      <c r="C1301" s="134">
        <v>44215</v>
      </c>
      <c r="D1301" s="135">
        <v>126.58</v>
      </c>
      <c r="O1301" s="134"/>
      <c r="P1301" s="135"/>
    </row>
    <row r="1302" spans="1:16" s="133" customFormat="1" ht="15" customHeight="1">
      <c r="A1302" s="1"/>
      <c r="B1302" s="1"/>
      <c r="C1302" s="134">
        <v>44216</v>
      </c>
      <c r="D1302" s="135">
        <v>128.38</v>
      </c>
      <c r="O1302" s="134"/>
      <c r="P1302" s="135"/>
    </row>
    <row r="1303" spans="1:16" s="133" customFormat="1" ht="15" customHeight="1">
      <c r="A1303" s="1"/>
      <c r="B1303" s="1"/>
      <c r="C1303" s="134">
        <v>44217</v>
      </c>
      <c r="D1303" s="135">
        <v>128.84</v>
      </c>
      <c r="O1303" s="134"/>
      <c r="P1303" s="135"/>
    </row>
    <row r="1304" spans="1:16" s="133" customFormat="1" ht="15" customHeight="1">
      <c r="A1304" s="1"/>
      <c r="B1304" s="1"/>
      <c r="C1304" s="134">
        <v>44218</v>
      </c>
      <c r="D1304" s="135">
        <v>128.11000000000001</v>
      </c>
      <c r="O1304" s="134"/>
      <c r="P1304" s="135"/>
    </row>
    <row r="1305" spans="1:16" s="133" customFormat="1" ht="15" customHeight="1">
      <c r="A1305" s="1"/>
      <c r="B1305" s="1"/>
      <c r="C1305" s="134">
        <v>44221</v>
      </c>
      <c r="D1305" s="135">
        <v>127.76</v>
      </c>
      <c r="O1305" s="134"/>
      <c r="P1305" s="135"/>
    </row>
    <row r="1306" spans="1:16" s="133" customFormat="1" ht="15" customHeight="1">
      <c r="A1306" s="1"/>
      <c r="B1306" s="1"/>
      <c r="C1306" s="134">
        <v>44222</v>
      </c>
      <c r="D1306" s="135">
        <v>127.63</v>
      </c>
      <c r="O1306" s="134"/>
      <c r="P1306" s="135"/>
    </row>
    <row r="1307" spans="1:16" s="133" customFormat="1" ht="15" customHeight="1">
      <c r="A1307" s="1"/>
      <c r="B1307" s="1"/>
      <c r="C1307" s="134">
        <v>44223</v>
      </c>
      <c r="D1307" s="135">
        <v>123.95</v>
      </c>
      <c r="O1307" s="134"/>
      <c r="P1307" s="135"/>
    </row>
    <row r="1308" spans="1:16" s="133" customFormat="1" ht="15" customHeight="1">
      <c r="A1308" s="1"/>
      <c r="B1308" s="1"/>
      <c r="C1308" s="134">
        <v>44224</v>
      </c>
      <c r="D1308" s="135">
        <v>125.74</v>
      </c>
      <c r="O1308" s="134"/>
      <c r="P1308" s="135"/>
    </row>
    <row r="1309" spans="1:16" s="133" customFormat="1" ht="15" customHeight="1">
      <c r="A1309" s="1"/>
      <c r="B1309" s="1"/>
      <c r="C1309" s="134">
        <v>44225</v>
      </c>
      <c r="D1309" s="135">
        <v>123.91</v>
      </c>
      <c r="O1309" s="134"/>
      <c r="P1309" s="135"/>
    </row>
    <row r="1310" spans="1:16" s="133" customFormat="1" ht="15" customHeight="1">
      <c r="A1310" s="1"/>
      <c r="B1310" s="1"/>
      <c r="C1310" s="134">
        <v>44228</v>
      </c>
      <c r="D1310" s="135">
        <v>125.72</v>
      </c>
      <c r="O1310" s="134"/>
      <c r="P1310" s="135"/>
    </row>
    <row r="1311" spans="1:16" s="133" customFormat="1" ht="15" customHeight="1">
      <c r="A1311" s="1"/>
      <c r="B1311" s="1"/>
      <c r="C1311" s="134">
        <v>44229</v>
      </c>
      <c r="D1311" s="135">
        <v>127.89</v>
      </c>
      <c r="O1311" s="134"/>
      <c r="P1311" s="135"/>
    </row>
    <row r="1312" spans="1:16" s="133" customFormat="1" ht="15" customHeight="1">
      <c r="A1312" s="1"/>
      <c r="B1312" s="1"/>
      <c r="C1312" s="134">
        <v>44230</v>
      </c>
      <c r="D1312" s="135">
        <v>128.52000000000001</v>
      </c>
      <c r="O1312" s="134"/>
      <c r="P1312" s="135"/>
    </row>
    <row r="1313" spans="1:16" s="133" customFormat="1" ht="15" customHeight="1">
      <c r="A1313" s="1"/>
      <c r="B1313" s="1"/>
      <c r="C1313" s="134">
        <v>44231</v>
      </c>
      <c r="D1313" s="135">
        <v>130.19</v>
      </c>
      <c r="O1313" s="134"/>
      <c r="P1313" s="135"/>
    </row>
    <row r="1314" spans="1:16" s="133" customFormat="1" ht="15" customHeight="1">
      <c r="A1314" s="1"/>
      <c r="B1314" s="1"/>
      <c r="C1314" s="134">
        <v>44232</v>
      </c>
      <c r="D1314" s="135">
        <v>131.30000000000001</v>
      </c>
      <c r="O1314" s="134"/>
      <c r="P1314" s="135"/>
    </row>
    <row r="1315" spans="1:16" s="133" customFormat="1" ht="15" customHeight="1">
      <c r="A1315" s="1"/>
      <c r="B1315" s="1"/>
      <c r="C1315" s="134">
        <v>44235</v>
      </c>
      <c r="D1315" s="135">
        <v>131.91999999999999</v>
      </c>
      <c r="O1315" s="134"/>
      <c r="P1315" s="135"/>
    </row>
    <row r="1316" spans="1:16" s="133" customFormat="1" ht="15" customHeight="1">
      <c r="A1316" s="1"/>
      <c r="B1316" s="1"/>
      <c r="C1316" s="134">
        <v>44236</v>
      </c>
      <c r="D1316" s="135">
        <v>131.84</v>
      </c>
      <c r="O1316" s="134"/>
      <c r="P1316" s="135"/>
    </row>
    <row r="1317" spans="1:16" s="133" customFormat="1" ht="15" customHeight="1">
      <c r="A1317" s="1"/>
      <c r="B1317" s="1"/>
      <c r="C1317" s="134">
        <v>44237</v>
      </c>
      <c r="D1317" s="135">
        <v>131.43</v>
      </c>
      <c r="O1317" s="134"/>
      <c r="P1317" s="135"/>
    </row>
    <row r="1318" spans="1:16" s="133" customFormat="1" ht="15" customHeight="1">
      <c r="A1318" s="1"/>
      <c r="B1318" s="1"/>
      <c r="C1318" s="134">
        <v>44238</v>
      </c>
      <c r="D1318" s="135">
        <v>131.96</v>
      </c>
      <c r="O1318" s="134"/>
      <c r="P1318" s="135"/>
    </row>
    <row r="1319" spans="1:16" s="133" customFormat="1" ht="15" customHeight="1">
      <c r="A1319" s="1"/>
      <c r="B1319" s="1"/>
      <c r="C1319" s="134">
        <v>44239</v>
      </c>
      <c r="D1319" s="135">
        <v>133.46</v>
      </c>
      <c r="O1319" s="134"/>
      <c r="P1319" s="135"/>
    </row>
    <row r="1320" spans="1:16" s="133" customFormat="1" ht="15" customHeight="1">
      <c r="A1320" s="1"/>
      <c r="B1320" s="1"/>
      <c r="C1320" s="134">
        <v>44243</v>
      </c>
      <c r="D1320" s="135">
        <v>135.01</v>
      </c>
      <c r="O1320" s="134"/>
      <c r="P1320" s="135"/>
    </row>
    <row r="1321" spans="1:16" s="133" customFormat="1" ht="15" customHeight="1">
      <c r="A1321" s="1"/>
      <c r="B1321" s="1"/>
      <c r="C1321" s="134">
        <v>44244</v>
      </c>
      <c r="D1321" s="135">
        <v>134.76</v>
      </c>
      <c r="O1321" s="134"/>
      <c r="P1321" s="135"/>
    </row>
    <row r="1322" spans="1:16" s="133" customFormat="1" ht="15" customHeight="1">
      <c r="A1322" s="1"/>
      <c r="B1322" s="1"/>
      <c r="C1322" s="134">
        <v>44245</v>
      </c>
      <c r="D1322" s="135">
        <v>134.05000000000001</v>
      </c>
      <c r="O1322" s="134"/>
      <c r="P1322" s="135"/>
    </row>
    <row r="1323" spans="1:16" s="133" customFormat="1" ht="15" customHeight="1">
      <c r="A1323" s="1"/>
      <c r="B1323" s="1"/>
      <c r="C1323" s="134">
        <v>44246</v>
      </c>
      <c r="D1323" s="135">
        <v>134.97</v>
      </c>
      <c r="O1323" s="134"/>
      <c r="P1323" s="135"/>
    </row>
    <row r="1324" spans="1:16" s="133" customFormat="1" ht="15" customHeight="1">
      <c r="A1324" s="1"/>
      <c r="B1324" s="1"/>
      <c r="C1324" s="134">
        <v>44249</v>
      </c>
      <c r="D1324" s="135">
        <v>134.55000000000001</v>
      </c>
      <c r="O1324" s="134"/>
      <c r="P1324" s="135"/>
    </row>
    <row r="1325" spans="1:16" s="133" customFormat="1" ht="15" customHeight="1">
      <c r="A1325" s="1"/>
      <c r="B1325" s="1"/>
      <c r="C1325" s="134">
        <v>44250</v>
      </c>
      <c r="D1325" s="135">
        <v>134.88</v>
      </c>
      <c r="O1325" s="134"/>
      <c r="P1325" s="135"/>
    </row>
    <row r="1326" spans="1:16" s="133" customFormat="1" ht="15" customHeight="1">
      <c r="A1326" s="1"/>
      <c r="B1326" s="1"/>
      <c r="C1326" s="134">
        <v>44251</v>
      </c>
      <c r="D1326" s="135">
        <v>136.93</v>
      </c>
      <c r="O1326" s="134"/>
      <c r="P1326" s="135"/>
    </row>
    <row r="1327" spans="1:16" s="133" customFormat="1" ht="15" customHeight="1">
      <c r="A1327" s="1"/>
      <c r="B1327" s="1"/>
      <c r="C1327" s="134">
        <v>44252</v>
      </c>
      <c r="D1327" s="135">
        <v>135.16</v>
      </c>
      <c r="O1327" s="134"/>
      <c r="P1327" s="135"/>
    </row>
    <row r="1328" spans="1:16" s="133" customFormat="1" ht="15" customHeight="1">
      <c r="A1328" s="1"/>
      <c r="B1328" s="1"/>
      <c r="C1328" s="134">
        <v>44253</v>
      </c>
      <c r="D1328" s="135">
        <v>133.63999999999999</v>
      </c>
      <c r="O1328" s="134"/>
      <c r="P1328" s="135"/>
    </row>
    <row r="1329" spans="1:16" s="133" customFormat="1" ht="15" customHeight="1">
      <c r="A1329" s="1"/>
      <c r="B1329" s="1"/>
      <c r="C1329" s="134">
        <v>44256</v>
      </c>
      <c r="D1329" s="135">
        <v>136.81</v>
      </c>
      <c r="O1329" s="134"/>
      <c r="P1329" s="135"/>
    </row>
    <row r="1330" spans="1:16" s="133" customFormat="1" ht="15" customHeight="1">
      <c r="A1330" s="1"/>
      <c r="B1330" s="1"/>
      <c r="C1330" s="134">
        <v>44257</v>
      </c>
      <c r="D1330" s="135">
        <v>135.47</v>
      </c>
      <c r="O1330" s="134"/>
      <c r="P1330" s="135"/>
    </row>
    <row r="1331" spans="1:16" s="133" customFormat="1" ht="15" customHeight="1">
      <c r="A1331" s="1"/>
      <c r="B1331" s="1"/>
      <c r="C1331" s="134">
        <v>44258</v>
      </c>
      <c r="D1331" s="135">
        <v>134.49</v>
      </c>
      <c r="O1331" s="134"/>
      <c r="P1331" s="135"/>
    </row>
    <row r="1332" spans="1:16" s="133" customFormat="1" ht="15" customHeight="1">
      <c r="A1332" s="1"/>
      <c r="B1332" s="1"/>
      <c r="C1332" s="134">
        <v>44259</v>
      </c>
      <c r="D1332" s="135">
        <v>133.9</v>
      </c>
      <c r="O1332" s="134"/>
      <c r="P1332" s="135"/>
    </row>
    <row r="1333" spans="1:16" s="133" customFormat="1" ht="15" customHeight="1">
      <c r="A1333" s="1"/>
      <c r="B1333" s="1"/>
      <c r="C1333" s="134">
        <v>44260</v>
      </c>
      <c r="D1333" s="135">
        <v>136.41</v>
      </c>
      <c r="O1333" s="134"/>
      <c r="P1333" s="135"/>
    </row>
    <row r="1334" spans="1:16" s="133" customFormat="1" ht="15" customHeight="1">
      <c r="A1334" s="1"/>
      <c r="B1334" s="1"/>
      <c r="C1334" s="134">
        <v>44263</v>
      </c>
      <c r="D1334" s="135">
        <v>136.11000000000001</v>
      </c>
      <c r="O1334" s="134"/>
      <c r="P1334" s="135"/>
    </row>
    <row r="1335" spans="1:16" s="133" customFormat="1" ht="15" customHeight="1">
      <c r="A1335" s="1"/>
      <c r="B1335" s="1"/>
      <c r="C1335" s="134">
        <v>44264</v>
      </c>
      <c r="D1335" s="135">
        <v>137.13999999999999</v>
      </c>
      <c r="O1335" s="134"/>
      <c r="P1335" s="135"/>
    </row>
    <row r="1336" spans="1:16" s="133" customFormat="1" ht="15" customHeight="1">
      <c r="A1336" s="1"/>
      <c r="B1336" s="1"/>
      <c r="C1336" s="134">
        <v>44265</v>
      </c>
      <c r="D1336" s="135">
        <v>137.63999999999999</v>
      </c>
      <c r="O1336" s="134"/>
      <c r="P1336" s="135"/>
    </row>
    <row r="1337" spans="1:16" s="133" customFormat="1" ht="15" customHeight="1">
      <c r="A1337" s="1"/>
      <c r="B1337" s="1"/>
      <c r="C1337" s="134">
        <v>44266</v>
      </c>
      <c r="D1337" s="135">
        <v>139.28</v>
      </c>
      <c r="O1337" s="134"/>
      <c r="P1337" s="135"/>
    </row>
    <row r="1338" spans="1:16" s="133" customFormat="1" ht="15" customHeight="1">
      <c r="A1338" s="1"/>
      <c r="B1338" s="1"/>
      <c r="C1338" s="134">
        <v>44267</v>
      </c>
      <c r="D1338" s="135">
        <v>141.54</v>
      </c>
      <c r="O1338" s="134"/>
      <c r="P1338" s="135"/>
    </row>
    <row r="1339" spans="1:16" s="133" customFormat="1" ht="15" customHeight="1">
      <c r="A1339" s="1"/>
      <c r="B1339" s="1"/>
      <c r="C1339" s="134">
        <v>44270</v>
      </c>
      <c r="D1339" s="135">
        <v>141.94999999999999</v>
      </c>
      <c r="O1339" s="134"/>
      <c r="P1339" s="135"/>
    </row>
    <row r="1340" spans="1:16" s="133" customFormat="1" ht="15" customHeight="1">
      <c r="A1340" s="1"/>
      <c r="B1340" s="1"/>
      <c r="C1340" s="134">
        <v>44271</v>
      </c>
      <c r="D1340" s="135">
        <v>142</v>
      </c>
      <c r="O1340" s="134"/>
      <c r="P1340" s="135"/>
    </row>
    <row r="1341" spans="1:16" s="133" customFormat="1" ht="15" customHeight="1">
      <c r="A1341" s="1"/>
      <c r="B1341" s="1"/>
      <c r="C1341" s="134">
        <v>44272</v>
      </c>
      <c r="D1341" s="135">
        <v>143.02000000000001</v>
      </c>
      <c r="O1341" s="134"/>
      <c r="P1341" s="135"/>
    </row>
    <row r="1342" spans="1:16" s="133" customFormat="1" ht="15" customHeight="1">
      <c r="A1342" s="1"/>
      <c r="B1342" s="1"/>
      <c r="C1342" s="134">
        <v>44273</v>
      </c>
      <c r="D1342" s="135">
        <v>142.01</v>
      </c>
      <c r="O1342" s="134"/>
      <c r="P1342" s="135"/>
    </row>
    <row r="1343" spans="1:16" s="133" customFormat="1" ht="15" customHeight="1">
      <c r="A1343" s="1"/>
      <c r="B1343" s="1"/>
      <c r="C1343" s="134">
        <v>44274</v>
      </c>
      <c r="D1343" s="135">
        <v>141.69999999999999</v>
      </c>
      <c r="O1343" s="134"/>
      <c r="P1343" s="135"/>
    </row>
    <row r="1344" spans="1:16" s="133" customFormat="1" ht="15" customHeight="1">
      <c r="A1344" s="1"/>
      <c r="B1344" s="1"/>
      <c r="C1344" s="134">
        <v>44277</v>
      </c>
      <c r="D1344" s="135">
        <v>141.72999999999999</v>
      </c>
      <c r="O1344" s="134"/>
      <c r="P1344" s="135"/>
    </row>
    <row r="1345" spans="1:16" s="133" customFormat="1" ht="15" customHeight="1">
      <c r="A1345" s="1"/>
      <c r="B1345" s="1"/>
      <c r="C1345" s="134">
        <v>44278</v>
      </c>
      <c r="D1345" s="135">
        <v>139.81</v>
      </c>
      <c r="O1345" s="134"/>
      <c r="P1345" s="135"/>
    </row>
    <row r="1346" spans="1:16" s="133" customFormat="1" ht="15" customHeight="1">
      <c r="A1346" s="1"/>
      <c r="B1346" s="1"/>
      <c r="C1346" s="134">
        <v>44279</v>
      </c>
      <c r="D1346" s="135">
        <v>138.6</v>
      </c>
      <c r="O1346" s="134"/>
      <c r="P1346" s="135"/>
    </row>
    <row r="1347" spans="1:16" s="133" customFormat="1" ht="15" customHeight="1">
      <c r="A1347" s="1"/>
      <c r="B1347" s="1"/>
      <c r="C1347" s="134">
        <v>44280</v>
      </c>
      <c r="D1347" s="135">
        <v>139.36000000000001</v>
      </c>
      <c r="O1347" s="134"/>
      <c r="P1347" s="135"/>
    </row>
    <row r="1348" spans="1:16" s="133" customFormat="1" ht="15" customHeight="1">
      <c r="A1348" s="1"/>
      <c r="B1348" s="1"/>
      <c r="C1348" s="134">
        <v>44281</v>
      </c>
      <c r="D1348" s="135">
        <v>142.30000000000001</v>
      </c>
      <c r="O1348" s="134"/>
      <c r="P1348" s="135"/>
    </row>
    <row r="1349" spans="1:16" s="133" customFormat="1" ht="15" customHeight="1">
      <c r="A1349" s="1"/>
      <c r="B1349" s="1"/>
      <c r="C1349" s="134">
        <v>44284</v>
      </c>
      <c r="D1349" s="135">
        <v>143.16999999999999</v>
      </c>
      <c r="O1349" s="134"/>
      <c r="P1349" s="135"/>
    </row>
    <row r="1350" spans="1:16" s="133" customFormat="1" ht="15" customHeight="1">
      <c r="A1350" s="1"/>
      <c r="B1350" s="1"/>
      <c r="C1350" s="134">
        <v>44285</v>
      </c>
      <c r="D1350" s="135">
        <v>142.54</v>
      </c>
      <c r="O1350" s="134"/>
      <c r="P1350" s="135"/>
    </row>
    <row r="1351" spans="1:16" s="133" customFormat="1" ht="15" customHeight="1">
      <c r="A1351" s="1"/>
      <c r="B1351" s="1"/>
      <c r="C1351" s="134">
        <v>44286</v>
      </c>
      <c r="D1351" s="135">
        <v>143.65</v>
      </c>
      <c r="O1351" s="134"/>
      <c r="P1351" s="135"/>
    </row>
    <row r="1352" spans="1:16" s="133" customFormat="1" ht="15" customHeight="1">
      <c r="A1352" s="1"/>
      <c r="B1352" s="1"/>
      <c r="C1352" s="134">
        <v>44287</v>
      </c>
      <c r="D1352" s="135">
        <v>143.68</v>
      </c>
      <c r="O1352" s="134"/>
      <c r="P1352" s="135"/>
    </row>
    <row r="1353" spans="1:16" s="133" customFormat="1" ht="15" customHeight="1">
      <c r="A1353" s="1"/>
      <c r="B1353" s="1"/>
      <c r="C1353" s="134">
        <v>44291</v>
      </c>
      <c r="D1353" s="135">
        <v>146.33000000000001</v>
      </c>
      <c r="O1353" s="134"/>
      <c r="P1353" s="135"/>
    </row>
    <row r="1354" spans="1:16" s="133" customFormat="1" ht="15" customHeight="1">
      <c r="A1354" s="1"/>
      <c r="B1354" s="1"/>
      <c r="C1354" s="134">
        <v>44292</v>
      </c>
      <c r="D1354" s="135">
        <v>145.31</v>
      </c>
      <c r="O1354" s="134"/>
      <c r="P1354" s="135"/>
    </row>
    <row r="1355" spans="1:16" s="133" customFormat="1" ht="15" customHeight="1">
      <c r="A1355" s="1"/>
      <c r="B1355" s="1"/>
      <c r="C1355" s="134">
        <v>44293</v>
      </c>
      <c r="D1355" s="135">
        <v>145.66999999999999</v>
      </c>
      <c r="O1355" s="134"/>
      <c r="P1355" s="135"/>
    </row>
    <row r="1356" spans="1:16" s="133" customFormat="1" ht="15" customHeight="1">
      <c r="A1356" s="1"/>
      <c r="B1356" s="1"/>
      <c r="C1356" s="134">
        <v>44294</v>
      </c>
      <c r="D1356" s="135">
        <v>145.97</v>
      </c>
      <c r="O1356" s="134"/>
      <c r="P1356" s="135"/>
    </row>
    <row r="1357" spans="1:16" s="133" customFormat="1" ht="15" customHeight="1">
      <c r="A1357" s="1"/>
      <c r="B1357" s="1"/>
      <c r="C1357" s="134">
        <v>44295</v>
      </c>
      <c r="D1357" s="135">
        <v>147.32</v>
      </c>
      <c r="O1357" s="134"/>
      <c r="P1357" s="135"/>
    </row>
    <row r="1358" spans="1:16" s="133" customFormat="1" ht="15" customHeight="1">
      <c r="A1358" s="1"/>
      <c r="B1358" s="1"/>
      <c r="C1358" s="134">
        <v>44298</v>
      </c>
      <c r="D1358" s="135">
        <v>147.55000000000001</v>
      </c>
      <c r="O1358" s="134"/>
      <c r="P1358" s="135"/>
    </row>
    <row r="1359" spans="1:16" s="133" customFormat="1" ht="15" customHeight="1">
      <c r="A1359" s="1"/>
      <c r="B1359" s="1"/>
      <c r="C1359" s="134">
        <v>44299</v>
      </c>
      <c r="D1359" s="135">
        <v>147.18</v>
      </c>
      <c r="O1359" s="134"/>
      <c r="P1359" s="135"/>
    </row>
    <row r="1360" spans="1:16" s="133" customFormat="1" ht="15" customHeight="1">
      <c r="A1360" s="1"/>
      <c r="B1360" s="1"/>
      <c r="C1360" s="134">
        <v>44300</v>
      </c>
      <c r="D1360" s="135">
        <v>146.91</v>
      </c>
      <c r="O1360" s="134"/>
      <c r="P1360" s="135"/>
    </row>
    <row r="1361" spans="1:16" s="133" customFormat="1" ht="15" customHeight="1">
      <c r="A1361" s="1"/>
      <c r="B1361" s="1"/>
      <c r="C1361" s="134">
        <v>44301</v>
      </c>
      <c r="D1361" s="135">
        <v>146.51</v>
      </c>
      <c r="O1361" s="134"/>
      <c r="P1361" s="135"/>
    </row>
    <row r="1362" spans="1:16" s="133" customFormat="1" ht="15" customHeight="1">
      <c r="A1362" s="1"/>
      <c r="B1362" s="1"/>
      <c r="C1362" s="134">
        <v>44302</v>
      </c>
      <c r="D1362" s="135">
        <v>147.91999999999999</v>
      </c>
      <c r="O1362" s="134"/>
      <c r="P1362" s="135"/>
    </row>
    <row r="1363" spans="1:16" s="133" customFormat="1" ht="15" customHeight="1">
      <c r="A1363" s="1"/>
      <c r="B1363" s="1"/>
      <c r="C1363" s="134">
        <v>44305</v>
      </c>
      <c r="D1363" s="135">
        <v>147.65</v>
      </c>
      <c r="O1363" s="134"/>
      <c r="P1363" s="135"/>
    </row>
    <row r="1364" spans="1:16" s="133" customFormat="1" ht="15" customHeight="1">
      <c r="A1364" s="1"/>
      <c r="B1364" s="1"/>
      <c r="C1364" s="134">
        <v>44306</v>
      </c>
      <c r="D1364" s="135">
        <v>146</v>
      </c>
      <c r="O1364" s="134"/>
      <c r="P1364" s="135"/>
    </row>
    <row r="1365" spans="1:16" s="133" customFormat="1" ht="15" customHeight="1">
      <c r="A1365" s="1"/>
      <c r="B1365" s="1"/>
      <c r="C1365" s="134">
        <v>44307</v>
      </c>
      <c r="D1365" s="135">
        <v>147.38999999999999</v>
      </c>
      <c r="O1365" s="134"/>
      <c r="P1365" s="135"/>
    </row>
    <row r="1366" spans="1:16" s="133" customFormat="1" ht="15" customHeight="1">
      <c r="A1366" s="1"/>
      <c r="B1366" s="1"/>
      <c r="C1366" s="134">
        <v>44308</v>
      </c>
      <c r="D1366" s="135">
        <v>145.79</v>
      </c>
      <c r="O1366" s="134"/>
      <c r="P1366" s="135"/>
    </row>
    <row r="1367" spans="1:16" s="133" customFormat="1" ht="15" customHeight="1">
      <c r="A1367" s="1"/>
      <c r="B1367" s="1"/>
      <c r="C1367" s="134">
        <v>44309</v>
      </c>
      <c r="D1367" s="135">
        <v>147.47999999999999</v>
      </c>
      <c r="O1367" s="134"/>
      <c r="P1367" s="135"/>
    </row>
    <row r="1368" spans="1:16" s="133" customFormat="1" ht="15" customHeight="1">
      <c r="A1368" s="1"/>
      <c r="B1368" s="1"/>
      <c r="C1368" s="134">
        <v>44312</v>
      </c>
      <c r="D1368" s="135">
        <v>147.61000000000001</v>
      </c>
      <c r="O1368" s="134"/>
      <c r="P1368" s="135"/>
    </row>
    <row r="1369" spans="1:16" s="133" customFormat="1" ht="15" customHeight="1">
      <c r="A1369" s="1"/>
      <c r="B1369" s="1"/>
      <c r="C1369" s="134">
        <v>44313</v>
      </c>
      <c r="D1369" s="135">
        <v>148.53</v>
      </c>
      <c r="O1369" s="134"/>
      <c r="P1369" s="135"/>
    </row>
    <row r="1370" spans="1:16" s="133" customFormat="1" ht="15" customHeight="1">
      <c r="A1370" s="1"/>
      <c r="B1370" s="1"/>
      <c r="C1370" s="134">
        <v>44314</v>
      </c>
      <c r="D1370" s="135">
        <v>148.37</v>
      </c>
      <c r="O1370" s="134"/>
      <c r="P1370" s="135"/>
    </row>
    <row r="1371" spans="1:16" s="133" customFormat="1" ht="15" customHeight="1">
      <c r="A1371" s="1"/>
      <c r="B1371" s="1"/>
      <c r="C1371" s="134">
        <v>44315</v>
      </c>
      <c r="D1371" s="135">
        <v>149.63</v>
      </c>
      <c r="O1371" s="134"/>
      <c r="P1371" s="135"/>
    </row>
    <row r="1372" spans="1:16" s="133" customFormat="1" ht="15" customHeight="1">
      <c r="A1372" s="1"/>
      <c r="B1372" s="1"/>
      <c r="C1372" s="134">
        <v>44316</v>
      </c>
      <c r="D1372" s="135">
        <v>148.54</v>
      </c>
      <c r="O1372" s="134"/>
      <c r="P1372" s="135"/>
    </row>
    <row r="1373" spans="1:16" s="133" customFormat="1" ht="15" customHeight="1">
      <c r="A1373" s="1"/>
      <c r="B1373" s="1"/>
      <c r="C1373" s="134">
        <v>44319</v>
      </c>
      <c r="D1373" s="135">
        <v>148.59</v>
      </c>
      <c r="O1373" s="134"/>
      <c r="P1373" s="135"/>
    </row>
    <row r="1374" spans="1:16" s="133" customFormat="1" ht="15" customHeight="1">
      <c r="A1374" s="1"/>
      <c r="B1374" s="1"/>
      <c r="C1374" s="134">
        <v>44320</v>
      </c>
      <c r="D1374" s="135">
        <v>147.26</v>
      </c>
      <c r="O1374" s="134"/>
      <c r="P1374" s="135"/>
    </row>
    <row r="1375" spans="1:16" s="133" customFormat="1" ht="15" customHeight="1">
      <c r="A1375" s="1"/>
      <c r="B1375" s="1"/>
      <c r="C1375" s="134">
        <v>44321</v>
      </c>
      <c r="D1375" s="135">
        <v>147.19999999999999</v>
      </c>
      <c r="O1375" s="134"/>
      <c r="P1375" s="135"/>
    </row>
    <row r="1376" spans="1:16" s="133" customFormat="1" ht="15" customHeight="1">
      <c r="A1376" s="1"/>
      <c r="B1376" s="1"/>
      <c r="C1376" s="134">
        <v>44322</v>
      </c>
      <c r="D1376" s="135">
        <v>147.94999999999999</v>
      </c>
      <c r="O1376" s="134"/>
      <c r="P1376" s="135"/>
    </row>
    <row r="1377" spans="1:16" s="133" customFormat="1" ht="15" customHeight="1">
      <c r="A1377" s="1"/>
      <c r="B1377" s="1"/>
      <c r="C1377" s="134">
        <v>44323</v>
      </c>
      <c r="D1377" s="135">
        <v>149.66</v>
      </c>
      <c r="O1377" s="134"/>
      <c r="P1377" s="135"/>
    </row>
    <row r="1378" spans="1:16" s="133" customFormat="1" ht="15" customHeight="1">
      <c r="A1378" s="1"/>
      <c r="B1378" s="1"/>
      <c r="C1378" s="134">
        <v>44326</v>
      </c>
      <c r="D1378" s="135">
        <v>148.59</v>
      </c>
      <c r="O1378" s="134"/>
      <c r="P1378" s="135"/>
    </row>
    <row r="1379" spans="1:16" s="133" customFormat="1" ht="15" customHeight="1">
      <c r="A1379" s="1"/>
      <c r="B1379" s="1"/>
      <c r="C1379" s="134">
        <v>44327</v>
      </c>
      <c r="D1379" s="135">
        <v>147.83000000000001</v>
      </c>
      <c r="O1379" s="134"/>
      <c r="P1379" s="135"/>
    </row>
    <row r="1380" spans="1:16" s="133" customFormat="1" ht="15" customHeight="1">
      <c r="A1380" s="1"/>
      <c r="B1380" s="1"/>
      <c r="C1380" s="134">
        <v>44328</v>
      </c>
      <c r="D1380" s="135">
        <v>145.97</v>
      </c>
      <c r="O1380" s="134"/>
      <c r="P1380" s="135"/>
    </row>
    <row r="1381" spans="1:16" s="133" customFormat="1" ht="15" customHeight="1">
      <c r="A1381" s="1"/>
      <c r="B1381" s="1"/>
      <c r="C1381" s="134">
        <v>44329</v>
      </c>
      <c r="D1381" s="135">
        <v>147.15</v>
      </c>
      <c r="O1381" s="134"/>
      <c r="P1381" s="135"/>
    </row>
    <row r="1382" spans="1:16" s="133" customFormat="1" ht="15" customHeight="1">
      <c r="A1382" s="1"/>
      <c r="B1382" s="1"/>
      <c r="C1382" s="134">
        <v>44330</v>
      </c>
      <c r="D1382" s="135">
        <v>148.79</v>
      </c>
      <c r="O1382" s="134"/>
      <c r="P1382" s="135"/>
    </row>
    <row r="1383" spans="1:16" s="133" customFormat="1" ht="15" customHeight="1">
      <c r="A1383" s="1"/>
      <c r="B1383" s="1"/>
      <c r="C1383" s="134">
        <v>44333</v>
      </c>
      <c r="D1383" s="135">
        <v>148.41</v>
      </c>
      <c r="O1383" s="134"/>
      <c r="P1383" s="135"/>
    </row>
    <row r="1384" spans="1:16" s="133" customFormat="1" ht="15" customHeight="1">
      <c r="A1384" s="1"/>
      <c r="B1384" s="1"/>
      <c r="C1384" s="134">
        <v>44334</v>
      </c>
      <c r="D1384" s="135">
        <v>147.26</v>
      </c>
      <c r="O1384" s="134"/>
      <c r="P1384" s="135"/>
    </row>
    <row r="1385" spans="1:16" s="133" customFormat="1" ht="15" customHeight="1">
      <c r="A1385" s="1"/>
      <c r="B1385" s="1"/>
      <c r="C1385" s="134">
        <v>44335</v>
      </c>
      <c r="D1385" s="135">
        <v>147.44</v>
      </c>
      <c r="O1385" s="134"/>
      <c r="P1385" s="135"/>
    </row>
    <row r="1386" spans="1:16" s="133" customFormat="1" ht="15" customHeight="1">
      <c r="A1386" s="1"/>
      <c r="B1386" s="1"/>
      <c r="C1386" s="134">
        <v>44336</v>
      </c>
      <c r="D1386" s="135">
        <v>148.09</v>
      </c>
      <c r="O1386" s="134"/>
      <c r="P1386" s="135"/>
    </row>
    <row r="1387" spans="1:16" s="133" customFormat="1" ht="15" customHeight="1">
      <c r="A1387" s="1"/>
      <c r="B1387" s="1"/>
      <c r="C1387" s="134">
        <v>44337</v>
      </c>
      <c r="D1387" s="135">
        <v>147.76</v>
      </c>
      <c r="O1387" s="134"/>
      <c r="P1387" s="135"/>
    </row>
    <row r="1388" spans="1:16" s="133" customFormat="1" ht="15" customHeight="1">
      <c r="A1388" s="1"/>
      <c r="B1388" s="1"/>
      <c r="C1388" s="134">
        <v>44340</v>
      </c>
      <c r="D1388" s="135">
        <v>148.85</v>
      </c>
      <c r="O1388" s="134"/>
      <c r="P1388" s="135"/>
    </row>
    <row r="1389" spans="1:16" s="133" customFormat="1" ht="15" customHeight="1">
      <c r="A1389" s="1"/>
      <c r="B1389" s="1"/>
      <c r="C1389" s="134">
        <v>44341</v>
      </c>
      <c r="D1389" s="135">
        <v>147.69999999999999</v>
      </c>
      <c r="O1389" s="134"/>
      <c r="P1389" s="135"/>
    </row>
    <row r="1390" spans="1:16" s="133" customFormat="1" ht="15" customHeight="1">
      <c r="A1390" s="1"/>
      <c r="B1390" s="1"/>
      <c r="C1390" s="134">
        <v>44342</v>
      </c>
      <c r="D1390" s="135">
        <v>148.05000000000001</v>
      </c>
      <c r="O1390" s="134"/>
      <c r="P1390" s="135"/>
    </row>
    <row r="1391" spans="1:16" s="133" customFormat="1" ht="15" customHeight="1">
      <c r="A1391" s="1"/>
      <c r="B1391" s="1"/>
      <c r="C1391" s="134">
        <v>44343</v>
      </c>
      <c r="D1391" s="135">
        <v>148.97</v>
      </c>
      <c r="O1391" s="134"/>
      <c r="P1391" s="135"/>
    </row>
    <row r="1392" spans="1:16" s="133" customFormat="1" ht="15" customHeight="1">
      <c r="A1392" s="1"/>
      <c r="B1392" s="1"/>
      <c r="C1392" s="134">
        <v>44344</v>
      </c>
      <c r="D1392" s="135">
        <v>148.77000000000001</v>
      </c>
      <c r="O1392" s="134"/>
      <c r="P1392" s="135"/>
    </row>
    <row r="1393" spans="1:16" s="133" customFormat="1" ht="15" customHeight="1">
      <c r="A1393" s="1"/>
      <c r="B1393" s="1"/>
      <c r="C1393" s="134">
        <v>44348</v>
      </c>
      <c r="D1393" s="135">
        <v>149.01</v>
      </c>
      <c r="O1393" s="134"/>
      <c r="P1393" s="135"/>
    </row>
    <row r="1394" spans="1:16" s="133" customFormat="1" ht="15" customHeight="1">
      <c r="A1394" s="1"/>
      <c r="B1394" s="1"/>
      <c r="C1394" s="134">
        <v>44349</v>
      </c>
      <c r="D1394" s="135">
        <v>148.93</v>
      </c>
      <c r="O1394" s="134"/>
      <c r="P1394" s="135"/>
    </row>
    <row r="1395" spans="1:16" s="133" customFormat="1" ht="15" customHeight="1">
      <c r="A1395" s="1"/>
      <c r="B1395" s="1"/>
      <c r="C1395" s="134">
        <v>44350</v>
      </c>
      <c r="D1395" s="135">
        <v>148.81</v>
      </c>
      <c r="O1395" s="134"/>
      <c r="P1395" s="135"/>
    </row>
    <row r="1396" spans="1:16" s="133" customFormat="1" ht="15" customHeight="1">
      <c r="A1396" s="1"/>
      <c r="B1396" s="1"/>
      <c r="C1396" s="134">
        <v>44351</v>
      </c>
      <c r="D1396" s="135">
        <v>148.79</v>
      </c>
      <c r="O1396" s="134"/>
      <c r="P1396" s="135"/>
    </row>
    <row r="1397" spans="1:16" s="133" customFormat="1" ht="15" customHeight="1">
      <c r="A1397" s="1"/>
      <c r="B1397" s="1"/>
      <c r="C1397" s="134">
        <v>44354</v>
      </c>
      <c r="D1397" s="135">
        <v>148.93</v>
      </c>
      <c r="O1397" s="134"/>
      <c r="P1397" s="135"/>
    </row>
    <row r="1398" spans="1:16" s="133" customFormat="1" ht="15" customHeight="1">
      <c r="A1398" s="1"/>
      <c r="B1398" s="1"/>
      <c r="C1398" s="134">
        <v>44355</v>
      </c>
      <c r="D1398" s="135">
        <v>148.19</v>
      </c>
      <c r="O1398" s="134"/>
      <c r="P1398" s="135"/>
    </row>
    <row r="1399" spans="1:16" s="133" customFormat="1" ht="15" customHeight="1">
      <c r="A1399" s="1"/>
      <c r="B1399" s="1"/>
      <c r="C1399" s="134">
        <v>44356</v>
      </c>
      <c r="D1399" s="135">
        <v>147.21</v>
      </c>
      <c r="O1399" s="134"/>
      <c r="P1399" s="135"/>
    </row>
    <row r="1400" spans="1:16" s="133" customFormat="1" ht="15" customHeight="1">
      <c r="A1400" s="1"/>
      <c r="B1400" s="1"/>
      <c r="C1400" s="134">
        <v>44357</v>
      </c>
      <c r="D1400" s="135">
        <v>147.4</v>
      </c>
      <c r="O1400" s="134"/>
      <c r="P1400" s="135"/>
    </row>
    <row r="1401" spans="1:16" s="133" customFormat="1" ht="15" customHeight="1">
      <c r="A1401" s="1"/>
      <c r="B1401" s="1"/>
      <c r="C1401" s="134">
        <v>44358</v>
      </c>
      <c r="D1401" s="135">
        <v>147.75</v>
      </c>
      <c r="O1401" s="134"/>
      <c r="P1401" s="135"/>
    </row>
    <row r="1402" spans="1:16" s="133" customFormat="1" ht="15" customHeight="1">
      <c r="A1402" s="1"/>
      <c r="B1402" s="1"/>
      <c r="C1402" s="134">
        <v>44361</v>
      </c>
      <c r="D1402" s="135">
        <v>148.66</v>
      </c>
      <c r="O1402" s="134"/>
      <c r="P1402" s="135"/>
    </row>
    <row r="1403" spans="1:16" s="133" customFormat="1" ht="15" customHeight="1">
      <c r="A1403" s="1"/>
      <c r="B1403" s="1"/>
      <c r="C1403" s="134">
        <v>44362</v>
      </c>
      <c r="D1403" s="135">
        <v>148.38999999999999</v>
      </c>
      <c r="O1403" s="134"/>
      <c r="P1403" s="135"/>
    </row>
    <row r="1404" spans="1:16" s="133" customFormat="1" ht="15" customHeight="1">
      <c r="A1404" s="1"/>
      <c r="B1404" s="1"/>
      <c r="C1404" s="134">
        <v>44363</v>
      </c>
      <c r="D1404" s="135">
        <v>148.24</v>
      </c>
      <c r="O1404" s="134"/>
      <c r="P1404" s="135"/>
    </row>
    <row r="1405" spans="1:16" s="133" customFormat="1" ht="15" customHeight="1">
      <c r="A1405" s="1"/>
      <c r="B1405" s="1"/>
      <c r="C1405" s="134">
        <v>44364</v>
      </c>
      <c r="D1405" s="135">
        <v>146.41999999999999</v>
      </c>
      <c r="O1405" s="134"/>
      <c r="P1405" s="135"/>
    </row>
    <row r="1406" spans="1:16" s="133" customFormat="1" ht="15" customHeight="1">
      <c r="A1406" s="1"/>
      <c r="B1406" s="1"/>
      <c r="C1406" s="134">
        <v>44365</v>
      </c>
      <c r="D1406" s="135">
        <v>143.26</v>
      </c>
      <c r="O1406" s="134"/>
      <c r="P1406" s="135"/>
    </row>
    <row r="1407" spans="1:16" s="133" customFormat="1" ht="15" customHeight="1">
      <c r="A1407" s="1"/>
      <c r="B1407" s="1"/>
      <c r="C1407" s="134">
        <v>44368</v>
      </c>
      <c r="D1407" s="135">
        <v>146.22999999999999</v>
      </c>
      <c r="O1407" s="134"/>
      <c r="P1407" s="135"/>
    </row>
    <row r="1408" spans="1:16" s="133" customFormat="1" ht="15" customHeight="1">
      <c r="A1408" s="1"/>
      <c r="B1408" s="1"/>
      <c r="C1408" s="134">
        <v>44369</v>
      </c>
      <c r="D1408" s="135">
        <v>147.01</v>
      </c>
      <c r="O1408" s="134"/>
      <c r="P1408" s="135"/>
    </row>
    <row r="1409" spans="1:16" s="133" customFormat="1" ht="15" customHeight="1">
      <c r="A1409" s="1"/>
      <c r="B1409" s="1"/>
      <c r="C1409" s="134">
        <v>44370</v>
      </c>
      <c r="D1409" s="135">
        <v>146.99</v>
      </c>
      <c r="O1409" s="134"/>
      <c r="P1409" s="135"/>
    </row>
    <row r="1410" spans="1:16" s="133" customFormat="1" ht="15" customHeight="1">
      <c r="A1410" s="1"/>
      <c r="B1410" s="1"/>
      <c r="C1410" s="134">
        <v>44371</v>
      </c>
      <c r="D1410" s="135">
        <v>147.69999999999999</v>
      </c>
      <c r="O1410" s="134"/>
      <c r="P1410" s="135"/>
    </row>
    <row r="1411" spans="1:16" s="133" customFormat="1" ht="15" customHeight="1">
      <c r="A1411" s="1"/>
      <c r="B1411" s="1"/>
      <c r="C1411" s="134">
        <v>44372</v>
      </c>
      <c r="D1411" s="135">
        <v>149.33000000000001</v>
      </c>
      <c r="O1411" s="134"/>
      <c r="P1411" s="135"/>
    </row>
    <row r="1412" spans="1:16" s="133" customFormat="1" ht="15" customHeight="1">
      <c r="A1412" s="1"/>
      <c r="B1412" s="1"/>
      <c r="C1412" s="134">
        <v>44375</v>
      </c>
      <c r="D1412" s="135">
        <v>148.41</v>
      </c>
      <c r="O1412" s="134"/>
      <c r="P1412" s="135"/>
    </row>
    <row r="1413" spans="1:16" s="133" customFormat="1" ht="15" customHeight="1">
      <c r="A1413" s="1"/>
      <c r="B1413" s="1"/>
      <c r="C1413" s="134">
        <v>44376</v>
      </c>
      <c r="D1413" s="135">
        <v>148.44</v>
      </c>
      <c r="O1413" s="134"/>
      <c r="P1413" s="135"/>
    </row>
    <row r="1414" spans="1:16" s="133" customFormat="1" ht="15" customHeight="1">
      <c r="A1414" s="1"/>
      <c r="B1414" s="1"/>
      <c r="C1414" s="134">
        <v>44377</v>
      </c>
      <c r="D1414" s="135">
        <v>148.06</v>
      </c>
      <c r="O1414" s="134"/>
      <c r="P1414" s="135"/>
    </row>
    <row r="1415" spans="1:16" s="133" customFormat="1" ht="15" customHeight="1">
      <c r="A1415" s="1"/>
      <c r="B1415" s="1"/>
      <c r="C1415" s="134">
        <v>44378</v>
      </c>
      <c r="D1415" s="135">
        <v>149.34</v>
      </c>
      <c r="O1415" s="134"/>
      <c r="P1415" s="135"/>
    </row>
    <row r="1416" spans="1:16" s="133" customFormat="1" ht="15" customHeight="1">
      <c r="A1416" s="1"/>
      <c r="B1416" s="1"/>
      <c r="C1416" s="134">
        <v>44379</v>
      </c>
      <c r="D1416" s="135">
        <v>149.78</v>
      </c>
      <c r="O1416" s="134"/>
      <c r="P1416" s="135"/>
    </row>
    <row r="1417" spans="1:16" s="133" customFormat="1" ht="15" customHeight="1">
      <c r="A1417" s="1"/>
      <c r="B1417" s="1"/>
      <c r="C1417" s="134">
        <v>44383</v>
      </c>
      <c r="D1417" s="135">
        <v>148.37</v>
      </c>
      <c r="O1417" s="134"/>
      <c r="P1417" s="135"/>
    </row>
    <row r="1418" spans="1:16" s="133" customFormat="1" ht="15" customHeight="1">
      <c r="A1418" s="1"/>
      <c r="B1418" s="1"/>
      <c r="C1418" s="134">
        <v>44384</v>
      </c>
      <c r="D1418" s="135">
        <v>147.83000000000001</v>
      </c>
      <c r="O1418" s="134"/>
      <c r="P1418" s="135"/>
    </row>
    <row r="1419" spans="1:16" s="133" customFormat="1" ht="15" customHeight="1">
      <c r="A1419" s="1"/>
      <c r="B1419" s="1"/>
      <c r="C1419" s="134">
        <v>44385</v>
      </c>
      <c r="D1419" s="135">
        <v>145.97999999999999</v>
      </c>
      <c r="O1419" s="134"/>
      <c r="P1419" s="135"/>
    </row>
    <row r="1420" spans="1:16" s="133" customFormat="1" ht="15" customHeight="1">
      <c r="A1420" s="1"/>
      <c r="B1420" s="1"/>
      <c r="C1420" s="134">
        <v>44386</v>
      </c>
      <c r="D1420" s="135">
        <v>148.74</v>
      </c>
      <c r="O1420" s="134"/>
      <c r="P1420" s="135"/>
    </row>
    <row r="1421" spans="1:16" s="133" customFormat="1" ht="15" customHeight="1">
      <c r="A1421" s="1"/>
      <c r="B1421" s="1"/>
      <c r="C1421" s="134">
        <v>44389</v>
      </c>
      <c r="D1421" s="135">
        <v>149.41999999999999</v>
      </c>
      <c r="O1421" s="134"/>
      <c r="P1421" s="135"/>
    </row>
    <row r="1422" spans="1:16" s="133" customFormat="1" ht="15" customHeight="1">
      <c r="A1422" s="1"/>
      <c r="B1422" s="1"/>
      <c r="C1422" s="134">
        <v>44390</v>
      </c>
      <c r="D1422" s="135">
        <v>149.88</v>
      </c>
      <c r="O1422" s="134"/>
      <c r="P1422" s="135"/>
    </row>
    <row r="1423" spans="1:16" s="133" customFormat="1" ht="15" customHeight="1">
      <c r="A1423" s="1"/>
      <c r="B1423" s="1"/>
      <c r="C1423" s="134">
        <v>44391</v>
      </c>
      <c r="D1423" s="135">
        <v>149.03</v>
      </c>
      <c r="O1423" s="134"/>
      <c r="P1423" s="135"/>
    </row>
    <row r="1424" spans="1:16" s="133" customFormat="1" ht="15" customHeight="1">
      <c r="A1424" s="1"/>
      <c r="B1424" s="1"/>
      <c r="C1424" s="134">
        <v>44392</v>
      </c>
      <c r="D1424" s="135">
        <v>147.29</v>
      </c>
      <c r="O1424" s="134"/>
      <c r="P1424" s="135"/>
    </row>
    <row r="1425" spans="1:16" s="133" customFormat="1" ht="15" customHeight="1">
      <c r="A1425" s="1"/>
      <c r="B1425" s="1"/>
      <c r="C1425" s="134">
        <v>44393</v>
      </c>
      <c r="D1425" s="135">
        <v>146.24</v>
      </c>
      <c r="O1425" s="134"/>
      <c r="P1425" s="135"/>
    </row>
    <row r="1426" spans="1:16" s="133" customFormat="1" ht="15" customHeight="1">
      <c r="A1426" s="1"/>
      <c r="B1426" s="1"/>
      <c r="C1426" s="134">
        <v>44396</v>
      </c>
      <c r="D1426" s="135">
        <v>141.87</v>
      </c>
      <c r="O1426" s="134"/>
      <c r="P1426" s="135"/>
    </row>
    <row r="1427" spans="1:16" s="133" customFormat="1" ht="15" customHeight="1">
      <c r="A1427" s="1"/>
      <c r="B1427" s="1"/>
      <c r="C1427" s="134">
        <v>44397</v>
      </c>
      <c r="D1427" s="135">
        <v>144.65</v>
      </c>
      <c r="O1427" s="134"/>
      <c r="P1427" s="135"/>
    </row>
    <row r="1428" spans="1:16" s="133" customFormat="1" ht="15" customHeight="1">
      <c r="A1428" s="1"/>
      <c r="B1428" s="1"/>
      <c r="C1428" s="134">
        <v>44398</v>
      </c>
      <c r="D1428" s="135">
        <v>147.03</v>
      </c>
      <c r="O1428" s="134"/>
      <c r="P1428" s="135"/>
    </row>
    <row r="1429" spans="1:16" s="133" customFormat="1" ht="15" customHeight="1">
      <c r="A1429" s="1"/>
      <c r="B1429" s="1"/>
      <c r="C1429" s="134">
        <v>44399</v>
      </c>
      <c r="D1429" s="135">
        <v>146.91</v>
      </c>
      <c r="O1429" s="134"/>
      <c r="P1429" s="135"/>
    </row>
    <row r="1430" spans="1:16" s="133" customFormat="1" ht="15" customHeight="1">
      <c r="A1430" s="1"/>
      <c r="B1430" s="1"/>
      <c r="C1430" s="134">
        <v>44400</v>
      </c>
      <c r="D1430" s="135">
        <v>148.80000000000001</v>
      </c>
      <c r="O1430" s="134"/>
      <c r="P1430" s="135"/>
    </row>
    <row r="1431" spans="1:16" s="133" customFormat="1" ht="15" customHeight="1">
      <c r="A1431" s="1"/>
      <c r="B1431" s="1"/>
      <c r="C1431" s="134">
        <v>44403</v>
      </c>
      <c r="D1431" s="135">
        <v>149.09</v>
      </c>
      <c r="O1431" s="134"/>
      <c r="P1431" s="135"/>
    </row>
    <row r="1432" spans="1:16" s="133" customFormat="1" ht="15" customHeight="1">
      <c r="A1432" s="1"/>
      <c r="B1432" s="1"/>
      <c r="C1432" s="134">
        <v>44404</v>
      </c>
      <c r="D1432" s="135">
        <v>147.63</v>
      </c>
      <c r="O1432" s="134"/>
      <c r="P1432" s="135"/>
    </row>
    <row r="1433" spans="1:16" s="133" customFormat="1" ht="15" customHeight="1">
      <c r="A1433" s="1"/>
      <c r="B1433" s="1"/>
      <c r="C1433" s="134">
        <v>44405</v>
      </c>
      <c r="D1433" s="135">
        <v>148.16999999999999</v>
      </c>
      <c r="O1433" s="134"/>
      <c r="P1433" s="135"/>
    </row>
    <row r="1434" spans="1:16" s="133" customFormat="1" ht="15" customHeight="1">
      <c r="A1434" s="1"/>
      <c r="B1434" s="1"/>
      <c r="C1434" s="134">
        <v>44406</v>
      </c>
      <c r="D1434" s="135">
        <v>148.97</v>
      </c>
      <c r="O1434" s="134"/>
      <c r="P1434" s="135"/>
    </row>
    <row r="1435" spans="1:16" s="133" customFormat="1" ht="15" customHeight="1">
      <c r="A1435" s="1"/>
      <c r="B1435" s="1"/>
      <c r="C1435" s="134">
        <v>44407</v>
      </c>
      <c r="D1435" s="135">
        <v>147.71</v>
      </c>
      <c r="O1435" s="134"/>
      <c r="P1435" s="135"/>
    </row>
    <row r="1436" spans="1:16" s="133" customFormat="1" ht="15" customHeight="1">
      <c r="A1436" s="1"/>
      <c r="B1436" s="1"/>
      <c r="C1436" s="134">
        <v>44410</v>
      </c>
      <c r="D1436" s="135">
        <v>146.22999999999999</v>
      </c>
      <c r="O1436" s="134"/>
      <c r="P1436" s="135"/>
    </row>
    <row r="1437" spans="1:16" s="133" customFormat="1" ht="15" customHeight="1">
      <c r="A1437" s="1"/>
      <c r="B1437" s="1"/>
      <c r="C1437" s="134">
        <v>44411</v>
      </c>
      <c r="D1437" s="135">
        <v>147.41</v>
      </c>
      <c r="O1437" s="134"/>
      <c r="P1437" s="135"/>
    </row>
    <row r="1438" spans="1:16" s="133" customFormat="1" ht="15" customHeight="1">
      <c r="A1438" s="1"/>
      <c r="B1438" s="1"/>
      <c r="C1438" s="134">
        <v>44412</v>
      </c>
      <c r="D1438" s="135">
        <v>146.57</v>
      </c>
      <c r="O1438" s="134"/>
      <c r="P1438" s="135"/>
    </row>
    <row r="1439" spans="1:16" s="133" customFormat="1" ht="15" customHeight="1">
      <c r="A1439" s="1"/>
      <c r="B1439" s="1"/>
      <c r="C1439" s="134">
        <v>44413</v>
      </c>
      <c r="D1439" s="135">
        <v>147.9</v>
      </c>
      <c r="O1439" s="134"/>
      <c r="P1439" s="135"/>
    </row>
    <row r="1440" spans="1:16" s="133" customFormat="1" ht="15" customHeight="1">
      <c r="A1440" s="1"/>
      <c r="B1440" s="1"/>
      <c r="C1440" s="134">
        <v>44414</v>
      </c>
      <c r="D1440" s="135">
        <v>149.51</v>
      </c>
      <c r="O1440" s="134"/>
      <c r="P1440" s="135"/>
    </row>
    <row r="1441" spans="1:16" s="133" customFormat="1" ht="15" customHeight="1">
      <c r="A1441" s="1"/>
      <c r="B1441" s="1"/>
      <c r="C1441" s="134">
        <v>44417</v>
      </c>
      <c r="D1441" s="135">
        <v>149.84</v>
      </c>
      <c r="O1441" s="134"/>
      <c r="P1441" s="135"/>
    </row>
    <row r="1442" spans="1:16" s="133" customFormat="1" ht="15" customHeight="1">
      <c r="A1442" s="1"/>
      <c r="B1442" s="1"/>
      <c r="C1442" s="134">
        <v>44418</v>
      </c>
      <c r="D1442" s="135">
        <v>150.41</v>
      </c>
      <c r="O1442" s="134"/>
      <c r="P1442" s="135"/>
    </row>
    <row r="1443" spans="1:16" s="133" customFormat="1" ht="15" customHeight="1">
      <c r="A1443" s="1"/>
      <c r="B1443" s="1"/>
      <c r="C1443" s="134">
        <v>44419</v>
      </c>
      <c r="D1443" s="135">
        <v>150.94</v>
      </c>
      <c r="O1443" s="134"/>
      <c r="P1443" s="135"/>
    </row>
    <row r="1444" spans="1:16" s="133" customFormat="1" ht="15" customHeight="1">
      <c r="A1444" s="1"/>
      <c r="B1444" s="1"/>
      <c r="C1444" s="134">
        <v>44420</v>
      </c>
      <c r="D1444" s="135">
        <v>151.53</v>
      </c>
      <c r="O1444" s="134"/>
      <c r="P1444" s="135"/>
    </row>
    <row r="1445" spans="1:16" s="133" customFormat="1" ht="15" customHeight="1">
      <c r="A1445" s="1"/>
      <c r="B1445" s="1"/>
      <c r="C1445" s="134">
        <v>44421</v>
      </c>
      <c r="D1445" s="135">
        <v>150.41</v>
      </c>
      <c r="O1445" s="134"/>
      <c r="P1445" s="135"/>
    </row>
    <row r="1446" spans="1:16" s="133" customFormat="1" ht="15" customHeight="1">
      <c r="A1446" s="1"/>
      <c r="B1446" s="1"/>
      <c r="C1446" s="134">
        <v>44424</v>
      </c>
      <c r="D1446" s="135">
        <v>150.13999999999999</v>
      </c>
      <c r="O1446" s="134"/>
      <c r="P1446" s="135"/>
    </row>
    <row r="1447" spans="1:16" s="133" customFormat="1" ht="15" customHeight="1">
      <c r="A1447" s="1"/>
      <c r="B1447" s="1"/>
      <c r="C1447" s="134">
        <v>44425</v>
      </c>
      <c r="D1447" s="135">
        <v>149.12</v>
      </c>
      <c r="O1447" s="134"/>
      <c r="P1447" s="135"/>
    </row>
    <row r="1448" spans="1:16" s="133" customFormat="1" ht="15" customHeight="1">
      <c r="A1448" s="1"/>
      <c r="B1448" s="1"/>
      <c r="C1448" s="134">
        <v>44426</v>
      </c>
      <c r="D1448" s="135">
        <v>147.53</v>
      </c>
      <c r="O1448" s="134"/>
      <c r="P1448" s="135"/>
    </row>
    <row r="1449" spans="1:16" s="133" customFormat="1" ht="15" customHeight="1">
      <c r="A1449" s="1"/>
      <c r="B1449" s="1"/>
      <c r="C1449" s="134">
        <v>44427</v>
      </c>
      <c r="D1449" s="135">
        <v>147.09</v>
      </c>
      <c r="O1449" s="134"/>
      <c r="P1449" s="135"/>
    </row>
    <row r="1450" spans="1:16" s="133" customFormat="1" ht="15" customHeight="1">
      <c r="A1450" s="1"/>
      <c r="B1450" s="1"/>
      <c r="C1450" s="134">
        <v>44428</v>
      </c>
      <c r="D1450" s="135">
        <v>148.34</v>
      </c>
      <c r="O1450" s="134"/>
      <c r="P1450" s="135"/>
    </row>
    <row r="1451" spans="1:16" s="133" customFormat="1" ht="15" customHeight="1">
      <c r="A1451" s="1"/>
      <c r="B1451" s="1"/>
      <c r="C1451" s="134">
        <v>44431</v>
      </c>
      <c r="D1451" s="135">
        <v>149.57</v>
      </c>
      <c r="O1451" s="134"/>
      <c r="P1451" s="135"/>
    </row>
    <row r="1452" spans="1:16" s="133" customFormat="1" ht="15" customHeight="1">
      <c r="A1452" s="1"/>
      <c r="B1452" s="1"/>
      <c r="C1452" s="134">
        <v>44432</v>
      </c>
      <c r="D1452" s="135">
        <v>150.51</v>
      </c>
      <c r="O1452" s="134"/>
      <c r="P1452" s="135"/>
    </row>
    <row r="1453" spans="1:16" s="133" customFormat="1" ht="15" customHeight="1">
      <c r="A1453" s="1"/>
      <c r="B1453" s="1"/>
      <c r="C1453" s="134">
        <v>44433</v>
      </c>
      <c r="D1453" s="135">
        <v>151.86000000000001</v>
      </c>
      <c r="O1453" s="134"/>
      <c r="P1453" s="135"/>
    </row>
    <row r="1454" spans="1:16" s="133" customFormat="1" ht="15" customHeight="1">
      <c r="A1454" s="1"/>
      <c r="B1454" s="1"/>
      <c r="C1454" s="134">
        <v>44434</v>
      </c>
      <c r="D1454" s="135">
        <v>150.85</v>
      </c>
      <c r="O1454" s="134"/>
      <c r="P1454" s="135"/>
    </row>
    <row r="1455" spans="1:16" s="133" customFormat="1" ht="15" customHeight="1">
      <c r="A1455" s="1"/>
      <c r="B1455" s="1"/>
      <c r="C1455" s="134">
        <v>44435</v>
      </c>
      <c r="D1455" s="135">
        <v>151.76</v>
      </c>
      <c r="O1455" s="134"/>
      <c r="P1455" s="135"/>
    </row>
    <row r="1456" spans="1:16" s="133" customFormat="1" ht="15" customHeight="1">
      <c r="A1456" s="1"/>
      <c r="B1456" s="1"/>
      <c r="C1456" s="134">
        <v>44438</v>
      </c>
      <c r="D1456" s="135">
        <v>151.93</v>
      </c>
      <c r="O1456" s="134"/>
      <c r="P1456" s="135"/>
    </row>
    <row r="1457" spans="1:16" s="133" customFormat="1" ht="15" customHeight="1">
      <c r="A1457" s="1"/>
      <c r="B1457" s="1"/>
      <c r="C1457" s="134">
        <v>44439</v>
      </c>
      <c r="D1457" s="135">
        <v>152.22999999999999</v>
      </c>
      <c r="O1457" s="134"/>
      <c r="P1457" s="135"/>
    </row>
    <row r="1458" spans="1:16" s="133" customFormat="1" ht="15" customHeight="1">
      <c r="A1458" s="1"/>
      <c r="B1458" s="1"/>
      <c r="C1458" s="134">
        <v>44440</v>
      </c>
      <c r="D1458" s="135">
        <v>152</v>
      </c>
      <c r="O1458" s="134"/>
      <c r="P1458" s="135"/>
    </row>
    <row r="1459" spans="1:16" s="133" customFormat="1" ht="15" customHeight="1">
      <c r="A1459" s="1"/>
      <c r="B1459" s="1"/>
      <c r="C1459" s="134">
        <v>44441</v>
      </c>
      <c r="D1459" s="135">
        <v>152.32</v>
      </c>
      <c r="O1459" s="134"/>
      <c r="P1459" s="135"/>
    </row>
    <row r="1460" spans="1:16" s="133" customFormat="1" ht="15" customHeight="1">
      <c r="A1460" s="1"/>
      <c r="B1460" s="1"/>
      <c r="C1460" s="134">
        <v>44442</v>
      </c>
      <c r="D1460" s="135">
        <v>152.76</v>
      </c>
      <c r="O1460" s="134"/>
      <c r="P1460" s="135"/>
    </row>
    <row r="1461" spans="1:16" s="133" customFormat="1" ht="15" customHeight="1">
      <c r="A1461" s="1"/>
      <c r="B1461" s="1"/>
      <c r="C1461" s="134">
        <v>44446</v>
      </c>
      <c r="D1461" s="135">
        <v>153.19</v>
      </c>
      <c r="O1461" s="134"/>
      <c r="P1461" s="135"/>
    </row>
    <row r="1462" spans="1:16" s="133" customFormat="1" ht="15" customHeight="1">
      <c r="A1462" s="1"/>
      <c r="B1462" s="1"/>
      <c r="C1462" s="134">
        <v>44447</v>
      </c>
      <c r="D1462" s="135">
        <v>152.31</v>
      </c>
      <c r="O1462" s="134"/>
      <c r="P1462" s="135"/>
    </row>
    <row r="1463" spans="1:16" s="133" customFormat="1" ht="15" customHeight="1">
      <c r="A1463" s="1"/>
      <c r="B1463" s="1"/>
      <c r="C1463" s="134">
        <v>44448</v>
      </c>
      <c r="D1463" s="135">
        <v>150.72</v>
      </c>
      <c r="O1463" s="134"/>
      <c r="P1463" s="135"/>
    </row>
    <row r="1464" spans="1:16" s="133" customFormat="1" ht="15" customHeight="1">
      <c r="A1464" s="1"/>
      <c r="B1464" s="1"/>
      <c r="C1464" s="134">
        <v>44449</v>
      </c>
      <c r="D1464" s="135">
        <v>150.35</v>
      </c>
      <c r="O1464" s="134"/>
      <c r="P1464" s="135"/>
    </row>
    <row r="1465" spans="1:16" s="133" customFormat="1" ht="15" customHeight="1">
      <c r="A1465" s="1"/>
      <c r="B1465" s="1"/>
      <c r="C1465" s="134">
        <v>44452</v>
      </c>
      <c r="D1465" s="135">
        <v>150.31</v>
      </c>
      <c r="O1465" s="134"/>
      <c r="P1465" s="135"/>
    </row>
    <row r="1466" spans="1:16" s="133" customFormat="1" ht="15" customHeight="1">
      <c r="A1466" s="1"/>
      <c r="B1466" s="1"/>
      <c r="C1466" s="134">
        <v>44453</v>
      </c>
      <c r="D1466" s="135">
        <v>148.41</v>
      </c>
      <c r="O1466" s="134"/>
      <c r="P1466" s="135"/>
    </row>
    <row r="1467" spans="1:16" s="133" customFormat="1" ht="15" customHeight="1">
      <c r="A1467" s="1"/>
      <c r="B1467" s="1"/>
      <c r="C1467" s="134">
        <v>44454</v>
      </c>
      <c r="D1467" s="135">
        <v>150.08000000000001</v>
      </c>
      <c r="O1467" s="134"/>
      <c r="P1467" s="135"/>
    </row>
    <row r="1468" spans="1:16" s="133" customFormat="1" ht="15" customHeight="1">
      <c r="A1468" s="1"/>
      <c r="B1468" s="1"/>
      <c r="C1468" s="134">
        <v>44455</v>
      </c>
      <c r="D1468" s="135">
        <v>150.22</v>
      </c>
      <c r="O1468" s="134"/>
      <c r="P1468" s="135"/>
    </row>
    <row r="1469" spans="1:16" s="133" customFormat="1" ht="15" customHeight="1">
      <c r="A1469" s="1"/>
      <c r="B1469" s="1"/>
      <c r="C1469" s="134">
        <v>44456</v>
      </c>
      <c r="D1469" s="135">
        <v>149.53</v>
      </c>
      <c r="O1469" s="134"/>
      <c r="P1469" s="135"/>
    </row>
    <row r="1470" spans="1:16" s="133" customFormat="1" ht="15" customHeight="1">
      <c r="A1470" s="1"/>
      <c r="B1470" s="1"/>
      <c r="C1470" s="134">
        <v>44459</v>
      </c>
      <c r="D1470" s="135">
        <v>145.87</v>
      </c>
      <c r="O1470" s="134"/>
      <c r="P1470" s="135"/>
    </row>
    <row r="1471" spans="1:16" s="133" customFormat="1" ht="15" customHeight="1">
      <c r="A1471" s="1"/>
      <c r="B1471" s="1"/>
      <c r="C1471" s="134">
        <v>44460</v>
      </c>
      <c r="D1471" s="135">
        <v>145.82</v>
      </c>
      <c r="O1471" s="134"/>
      <c r="P1471" s="135"/>
    </row>
    <row r="1472" spans="1:16" s="133" customFormat="1" ht="15" customHeight="1">
      <c r="A1472" s="1"/>
      <c r="B1472" s="1"/>
      <c r="C1472" s="134">
        <v>44461</v>
      </c>
      <c r="D1472" s="135">
        <v>147.18</v>
      </c>
      <c r="O1472" s="134"/>
      <c r="P1472" s="135"/>
    </row>
    <row r="1473" spans="1:16" s="133" customFormat="1" ht="15" customHeight="1">
      <c r="A1473" s="1"/>
      <c r="B1473" s="1"/>
      <c r="C1473" s="134">
        <v>44462</v>
      </c>
      <c r="D1473" s="135">
        <v>150.43</v>
      </c>
      <c r="O1473" s="134"/>
      <c r="P1473" s="135"/>
    </row>
    <row r="1474" spans="1:16" s="133" customFormat="1" ht="15" customHeight="1">
      <c r="A1474" s="1"/>
      <c r="B1474" s="1"/>
      <c r="C1474" s="134">
        <v>44463</v>
      </c>
      <c r="D1474" s="135">
        <v>151.79</v>
      </c>
      <c r="O1474" s="134"/>
      <c r="P1474" s="135"/>
    </row>
    <row r="1475" spans="1:16" s="133" customFormat="1" ht="15" customHeight="1">
      <c r="A1475" s="1"/>
      <c r="B1475" s="1"/>
      <c r="C1475" s="134">
        <v>44466</v>
      </c>
      <c r="D1475" s="135">
        <v>151.62</v>
      </c>
      <c r="O1475" s="134"/>
      <c r="P1475" s="135"/>
    </row>
    <row r="1476" spans="1:16" s="133" customFormat="1" ht="15" customHeight="1">
      <c r="A1476" s="1"/>
      <c r="B1476" s="1"/>
      <c r="C1476" s="134">
        <v>44467</v>
      </c>
      <c r="D1476" s="135">
        <v>149.86000000000001</v>
      </c>
      <c r="O1476" s="134"/>
      <c r="P1476" s="135"/>
    </row>
    <row r="1477" spans="1:16" s="133" customFormat="1" ht="15" customHeight="1">
      <c r="A1477" s="1"/>
      <c r="B1477" s="1"/>
      <c r="C1477" s="134">
        <v>44468</v>
      </c>
      <c r="D1477" s="135">
        <v>150.28</v>
      </c>
      <c r="O1477" s="134"/>
      <c r="P1477" s="135"/>
    </row>
    <row r="1478" spans="1:16" s="133" customFormat="1" ht="15" customHeight="1">
      <c r="A1478" s="1"/>
      <c r="B1478" s="1"/>
      <c r="C1478" s="134">
        <v>44469</v>
      </c>
      <c r="D1478" s="135">
        <v>148.37</v>
      </c>
      <c r="O1478" s="134"/>
      <c r="P1478" s="135"/>
    </row>
    <row r="1479" spans="1:16" s="133" customFormat="1" ht="15" customHeight="1">
      <c r="A1479" s="1"/>
      <c r="B1479" s="1"/>
      <c r="C1479" s="134">
        <v>44470</v>
      </c>
      <c r="D1479" s="135">
        <v>148.91</v>
      </c>
      <c r="O1479" s="134"/>
      <c r="P1479" s="135"/>
    </row>
    <row r="1480" spans="1:16" s="133" customFormat="1" ht="15" customHeight="1">
      <c r="A1480" s="1"/>
      <c r="B1480" s="1"/>
      <c r="C1480" s="134">
        <v>44473</v>
      </c>
      <c r="D1480" s="135">
        <v>147.31</v>
      </c>
      <c r="O1480" s="134"/>
      <c r="P1480" s="135"/>
    </row>
    <row r="1481" spans="1:16" s="133" customFormat="1" ht="15" customHeight="1">
      <c r="A1481" s="1"/>
      <c r="B1481" s="1"/>
      <c r="C1481" s="134">
        <v>44474</v>
      </c>
      <c r="D1481" s="135">
        <v>149.66999999999999</v>
      </c>
      <c r="O1481" s="134"/>
      <c r="P1481" s="135"/>
    </row>
    <row r="1482" spans="1:16" s="133" customFormat="1" ht="15" customHeight="1">
      <c r="A1482" s="1"/>
      <c r="B1482" s="1"/>
      <c r="C1482" s="134">
        <v>44475</v>
      </c>
      <c r="D1482" s="135">
        <v>150.07</v>
      </c>
      <c r="O1482" s="134"/>
      <c r="P1482" s="135"/>
    </row>
    <row r="1483" spans="1:16" s="133" customFormat="1" ht="15" customHeight="1">
      <c r="A1483" s="1"/>
      <c r="B1483" s="1"/>
      <c r="C1483" s="134">
        <v>44476</v>
      </c>
      <c r="D1483" s="135">
        <v>152.28</v>
      </c>
      <c r="O1483" s="134"/>
      <c r="P1483" s="135"/>
    </row>
    <row r="1484" spans="1:16" s="133" customFormat="1" ht="15" customHeight="1">
      <c r="A1484" s="1"/>
      <c r="B1484" s="1"/>
      <c r="C1484" s="134">
        <v>44477</v>
      </c>
      <c r="D1484" s="135">
        <v>152.66999999999999</v>
      </c>
      <c r="O1484" s="134"/>
      <c r="P1484" s="135"/>
    </row>
    <row r="1485" spans="1:16" s="133" customFormat="1" ht="15" customHeight="1">
      <c r="A1485" s="1"/>
      <c r="B1485" s="1"/>
      <c r="C1485" s="134">
        <v>44480</v>
      </c>
      <c r="D1485" s="135">
        <v>151.85</v>
      </c>
      <c r="O1485" s="134"/>
      <c r="P1485" s="135"/>
    </row>
    <row r="1486" spans="1:16" s="133" customFormat="1" ht="15" customHeight="1">
      <c r="A1486" s="1"/>
      <c r="B1486" s="1"/>
      <c r="C1486" s="134">
        <v>44481</v>
      </c>
      <c r="D1486" s="135">
        <v>150.44</v>
      </c>
      <c r="O1486" s="134"/>
      <c r="P1486" s="135"/>
    </row>
    <row r="1487" spans="1:16" s="133" customFormat="1" ht="15" customHeight="1">
      <c r="A1487" s="1"/>
      <c r="B1487" s="1"/>
      <c r="C1487" s="134">
        <v>44482</v>
      </c>
      <c r="D1487" s="135">
        <v>149.9</v>
      </c>
      <c r="O1487" s="134"/>
      <c r="P1487" s="135"/>
    </row>
    <row r="1488" spans="1:16" s="133" customFormat="1" ht="15" customHeight="1">
      <c r="A1488" s="1"/>
      <c r="B1488" s="1"/>
      <c r="C1488" s="134">
        <v>44483</v>
      </c>
      <c r="D1488" s="135">
        <v>152.03</v>
      </c>
      <c r="O1488" s="134"/>
      <c r="P1488" s="135"/>
    </row>
    <row r="1489" spans="1:16" s="133" customFormat="1" ht="15" customHeight="1">
      <c r="A1489" s="1"/>
      <c r="B1489" s="1"/>
      <c r="C1489" s="134">
        <v>44484</v>
      </c>
      <c r="D1489" s="135">
        <v>153.87</v>
      </c>
      <c r="O1489" s="134"/>
      <c r="P1489" s="135"/>
    </row>
    <row r="1490" spans="1:16" s="133" customFormat="1" ht="15" customHeight="1">
      <c r="A1490" s="1"/>
      <c r="B1490" s="1"/>
      <c r="C1490" s="134">
        <v>44487</v>
      </c>
      <c r="D1490" s="135">
        <v>154.19999999999999</v>
      </c>
      <c r="O1490" s="134"/>
      <c r="P1490" s="135"/>
    </row>
    <row r="1491" spans="1:16" s="133" customFormat="1" ht="15" customHeight="1">
      <c r="A1491" s="1"/>
      <c r="B1491" s="1"/>
      <c r="C1491" s="134">
        <v>44488</v>
      </c>
      <c r="D1491" s="135">
        <v>156.61000000000001</v>
      </c>
      <c r="O1491" s="134"/>
      <c r="P1491" s="135"/>
    </row>
    <row r="1492" spans="1:16" s="133" customFormat="1" ht="15" customHeight="1">
      <c r="A1492" s="1"/>
      <c r="B1492" s="1"/>
      <c r="C1492" s="134">
        <v>44489</v>
      </c>
      <c r="D1492" s="135">
        <v>157.34</v>
      </c>
      <c r="O1492" s="134"/>
      <c r="P1492" s="135"/>
    </row>
    <row r="1493" spans="1:16" s="133" customFormat="1" ht="15" customHeight="1">
      <c r="A1493" s="1"/>
      <c r="B1493" s="1"/>
      <c r="C1493" s="134">
        <v>44490</v>
      </c>
      <c r="D1493" s="135">
        <v>158.19</v>
      </c>
      <c r="O1493" s="134"/>
      <c r="P1493" s="135"/>
    </row>
    <row r="1494" spans="1:16" s="133" customFormat="1" ht="15" customHeight="1">
      <c r="A1494" s="1"/>
      <c r="B1494" s="1"/>
      <c r="C1494" s="134">
        <v>44491</v>
      </c>
      <c r="D1494" s="135">
        <v>157.47999999999999</v>
      </c>
      <c r="O1494" s="134"/>
      <c r="P1494" s="135"/>
    </row>
    <row r="1495" spans="1:16" s="133" customFormat="1" ht="15" customHeight="1">
      <c r="A1495" s="1"/>
      <c r="B1495" s="1"/>
      <c r="C1495" s="134">
        <v>44494</v>
      </c>
      <c r="D1495" s="135">
        <v>157.97999999999999</v>
      </c>
      <c r="O1495" s="134"/>
      <c r="P1495" s="135"/>
    </row>
    <row r="1496" spans="1:16" s="133" customFormat="1" ht="15" customHeight="1">
      <c r="A1496" s="1"/>
      <c r="B1496" s="1"/>
      <c r="C1496" s="134">
        <v>44495</v>
      </c>
      <c r="D1496" s="135">
        <v>157.79</v>
      </c>
      <c r="O1496" s="134"/>
      <c r="P1496" s="135"/>
    </row>
    <row r="1497" spans="1:16" s="133" customFormat="1" ht="15" customHeight="1">
      <c r="A1497" s="1"/>
      <c r="B1497" s="1"/>
      <c r="C1497" s="134">
        <v>44496</v>
      </c>
      <c r="D1497" s="135">
        <v>155.09</v>
      </c>
      <c r="O1497" s="134"/>
      <c r="P1497" s="135"/>
    </row>
    <row r="1498" spans="1:16" s="133" customFormat="1" ht="15" customHeight="1">
      <c r="A1498" s="1"/>
      <c r="B1498" s="1"/>
      <c r="C1498" s="134">
        <v>44497</v>
      </c>
      <c r="D1498" s="135">
        <v>157.01</v>
      </c>
      <c r="O1498" s="134"/>
      <c r="P1498" s="135"/>
    </row>
    <row r="1499" spans="1:16" s="133" customFormat="1" ht="15" customHeight="1">
      <c r="A1499" s="1"/>
      <c r="B1499" s="1"/>
      <c r="C1499" s="134">
        <v>44498</v>
      </c>
      <c r="D1499" s="135">
        <v>157</v>
      </c>
      <c r="O1499" s="134"/>
      <c r="P1499" s="135"/>
    </row>
    <row r="1500" spans="1:16" s="133" customFormat="1" ht="15" customHeight="1">
      <c r="A1500" s="1"/>
      <c r="B1500" s="1"/>
      <c r="C1500" s="134">
        <v>44501</v>
      </c>
      <c r="D1500" s="135">
        <v>157.75</v>
      </c>
      <c r="O1500" s="134"/>
      <c r="P1500" s="135"/>
    </row>
    <row r="1501" spans="1:16" s="133" customFormat="1" ht="15" customHeight="1">
      <c r="A1501" s="1"/>
      <c r="B1501" s="1"/>
      <c r="C1501" s="134">
        <v>44502</v>
      </c>
      <c r="D1501" s="135">
        <v>157.96</v>
      </c>
      <c r="O1501" s="134"/>
      <c r="P1501" s="135"/>
    </row>
    <row r="1502" spans="1:16" s="133" customFormat="1" ht="15" customHeight="1">
      <c r="A1502" s="1"/>
      <c r="B1502" s="1"/>
      <c r="C1502" s="134">
        <v>44503</v>
      </c>
      <c r="D1502" s="135">
        <v>159.25</v>
      </c>
      <c r="O1502" s="134"/>
      <c r="P1502" s="135"/>
    </row>
    <row r="1503" spans="1:16" s="133" customFormat="1" ht="15" customHeight="1">
      <c r="A1503" s="1"/>
      <c r="B1503" s="1"/>
      <c r="C1503" s="134">
        <v>44504</v>
      </c>
      <c r="D1503" s="135">
        <v>159.29</v>
      </c>
      <c r="O1503" s="134"/>
      <c r="P1503" s="135"/>
    </row>
    <row r="1504" spans="1:16" s="133" customFormat="1" ht="15" customHeight="1">
      <c r="A1504" s="1"/>
      <c r="B1504" s="1"/>
      <c r="C1504" s="134">
        <v>44505</v>
      </c>
      <c r="D1504" s="135">
        <v>158.16999999999999</v>
      </c>
      <c r="O1504" s="134"/>
      <c r="P1504" s="135"/>
    </row>
    <row r="1505" spans="1:16" s="133" customFormat="1" ht="15" customHeight="1">
      <c r="A1505" s="1"/>
      <c r="B1505" s="1"/>
      <c r="C1505" s="134">
        <v>44508</v>
      </c>
      <c r="D1505" s="135">
        <v>158.87</v>
      </c>
      <c r="O1505" s="134"/>
      <c r="P1505" s="135"/>
    </row>
    <row r="1506" spans="1:16" s="133" customFormat="1" ht="15" customHeight="1">
      <c r="A1506" s="1"/>
      <c r="B1506" s="1"/>
      <c r="C1506" s="134">
        <v>44509</v>
      </c>
      <c r="D1506" s="135">
        <v>156.93</v>
      </c>
      <c r="O1506" s="134"/>
      <c r="P1506" s="135"/>
    </row>
    <row r="1507" spans="1:16" s="133" customFormat="1" ht="15" customHeight="1">
      <c r="A1507" s="1"/>
      <c r="B1507" s="1"/>
      <c r="C1507" s="134">
        <v>44510</v>
      </c>
      <c r="D1507" s="135">
        <v>157.25</v>
      </c>
      <c r="O1507" s="134"/>
      <c r="P1507" s="135"/>
    </row>
    <row r="1508" spans="1:16" s="133" customFormat="1" ht="15" customHeight="1">
      <c r="A1508" s="1"/>
      <c r="B1508" s="1"/>
      <c r="C1508" s="134">
        <v>44511</v>
      </c>
      <c r="D1508" s="135">
        <v>157.61000000000001</v>
      </c>
      <c r="O1508" s="134"/>
      <c r="P1508" s="135"/>
    </row>
    <row r="1509" spans="1:16" s="133" customFormat="1" ht="15" customHeight="1">
      <c r="A1509" s="1"/>
      <c r="B1509" s="1"/>
      <c r="C1509" s="134">
        <v>44512</v>
      </c>
      <c r="D1509" s="135">
        <v>159.21</v>
      </c>
      <c r="O1509" s="134"/>
      <c r="P1509" s="135"/>
    </row>
    <row r="1510" spans="1:16" s="133" customFormat="1" ht="15" customHeight="1">
      <c r="A1510" s="1"/>
      <c r="B1510" s="1"/>
      <c r="C1510" s="134">
        <v>44515</v>
      </c>
      <c r="D1510" s="135">
        <v>160.34</v>
      </c>
      <c r="O1510" s="134"/>
      <c r="P1510" s="135"/>
    </row>
    <row r="1511" spans="1:16" s="133" customFormat="1" ht="15" customHeight="1">
      <c r="A1511" s="1"/>
      <c r="B1511" s="1"/>
      <c r="C1511" s="134">
        <v>44516</v>
      </c>
      <c r="D1511" s="135">
        <v>161.16999999999999</v>
      </c>
      <c r="O1511" s="134"/>
      <c r="P1511" s="135"/>
    </row>
    <row r="1512" spans="1:16" s="133" customFormat="1" ht="15" customHeight="1">
      <c r="A1512" s="1"/>
      <c r="B1512" s="1"/>
      <c r="C1512" s="134">
        <v>44517</v>
      </c>
      <c r="D1512" s="135">
        <v>160.4</v>
      </c>
      <c r="O1512" s="134"/>
      <c r="P1512" s="135"/>
    </row>
    <row r="1513" spans="1:16" s="133" customFormat="1" ht="15" customHeight="1">
      <c r="A1513" s="1"/>
      <c r="B1513" s="1"/>
      <c r="C1513" s="134">
        <v>44518</v>
      </c>
      <c r="D1513" s="135">
        <v>160.41999999999999</v>
      </c>
      <c r="O1513" s="134"/>
      <c r="P1513" s="135"/>
    </row>
    <row r="1514" spans="1:16" s="133" customFormat="1" ht="15" customHeight="1">
      <c r="A1514" s="1"/>
      <c r="B1514" s="1"/>
      <c r="C1514" s="134">
        <v>44519</v>
      </c>
      <c r="D1514" s="135">
        <v>159.31</v>
      </c>
      <c r="O1514" s="134"/>
      <c r="P1514" s="135"/>
    </row>
    <row r="1515" spans="1:16" s="133" customFormat="1" ht="15" customHeight="1">
      <c r="A1515" s="1"/>
      <c r="B1515" s="1"/>
      <c r="C1515" s="134">
        <v>44522</v>
      </c>
      <c r="D1515" s="135">
        <v>160.29</v>
      </c>
      <c r="O1515" s="134"/>
      <c r="P1515" s="135"/>
    </row>
    <row r="1516" spans="1:16" s="133" customFormat="1" ht="15" customHeight="1">
      <c r="A1516" s="1"/>
      <c r="B1516" s="1"/>
      <c r="C1516" s="134">
        <v>44523</v>
      </c>
      <c r="D1516" s="135">
        <v>161.52000000000001</v>
      </c>
      <c r="O1516" s="134"/>
      <c r="P1516" s="135"/>
    </row>
    <row r="1517" spans="1:16" s="133" customFormat="1" ht="15" customHeight="1">
      <c r="A1517" s="1"/>
      <c r="B1517" s="1"/>
      <c r="C1517" s="134">
        <v>44524</v>
      </c>
      <c r="D1517" s="135">
        <v>161.25</v>
      </c>
      <c r="O1517" s="134"/>
      <c r="P1517" s="135"/>
    </row>
    <row r="1518" spans="1:16" s="133" customFormat="1" ht="15" customHeight="1">
      <c r="A1518" s="1"/>
      <c r="B1518" s="1"/>
      <c r="C1518" s="134">
        <v>44526</v>
      </c>
      <c r="D1518" s="135">
        <v>154.78</v>
      </c>
      <c r="O1518" s="134"/>
      <c r="P1518" s="135"/>
    </row>
    <row r="1519" spans="1:16" s="133" customFormat="1" ht="15" customHeight="1">
      <c r="A1519" s="1"/>
      <c r="B1519" s="1"/>
      <c r="C1519" s="134">
        <v>44529</v>
      </c>
      <c r="D1519" s="135">
        <v>157.49</v>
      </c>
      <c r="O1519" s="134"/>
      <c r="P1519" s="135"/>
    </row>
    <row r="1520" spans="1:16" s="133" customFormat="1" ht="15" customHeight="1">
      <c r="A1520" s="1"/>
      <c r="B1520" s="1"/>
      <c r="C1520" s="134">
        <v>44530</v>
      </c>
      <c r="D1520" s="135">
        <v>152.96</v>
      </c>
      <c r="O1520" s="134"/>
      <c r="P1520" s="135"/>
    </row>
    <row r="1521" spans="1:16" s="133" customFormat="1" ht="15" customHeight="1">
      <c r="A1521" s="1"/>
      <c r="B1521" s="1"/>
      <c r="C1521" s="134">
        <v>44531</v>
      </c>
      <c r="D1521" s="135">
        <v>150.79</v>
      </c>
      <c r="O1521" s="134"/>
      <c r="P1521" s="135"/>
    </row>
    <row r="1522" spans="1:16" s="133" customFormat="1" ht="15" customHeight="1">
      <c r="A1522" s="1"/>
      <c r="B1522" s="1"/>
      <c r="C1522" s="134">
        <v>44532</v>
      </c>
      <c r="D1522" s="135">
        <v>153.07</v>
      </c>
      <c r="O1522" s="134"/>
      <c r="P1522" s="135"/>
    </row>
    <row r="1523" spans="1:16" s="133" customFormat="1" ht="15" customHeight="1">
      <c r="A1523" s="1"/>
      <c r="B1523" s="1"/>
      <c r="C1523" s="134">
        <v>44533</v>
      </c>
      <c r="D1523" s="135">
        <v>150.08000000000001</v>
      </c>
      <c r="O1523" s="134"/>
      <c r="P1523" s="135"/>
    </row>
    <row r="1524" spans="1:16" s="133" customFormat="1" ht="15" customHeight="1">
      <c r="A1524" s="1"/>
      <c r="B1524" s="1"/>
      <c r="C1524" s="134">
        <v>44536</v>
      </c>
      <c r="D1524" s="135">
        <v>153.30000000000001</v>
      </c>
      <c r="O1524" s="134"/>
      <c r="P1524" s="135"/>
    </row>
    <row r="1525" spans="1:16" s="133" customFormat="1" ht="15" customHeight="1">
      <c r="A1525" s="1"/>
      <c r="B1525" s="1"/>
      <c r="C1525" s="134">
        <v>44537</v>
      </c>
      <c r="D1525" s="135">
        <v>157.07</v>
      </c>
      <c r="O1525" s="134"/>
      <c r="P1525" s="135"/>
    </row>
    <row r="1526" spans="1:16" s="133" customFormat="1" ht="15" customHeight="1">
      <c r="A1526" s="1"/>
      <c r="B1526" s="1"/>
      <c r="C1526" s="134">
        <v>44538</v>
      </c>
      <c r="D1526" s="135">
        <v>158.6</v>
      </c>
      <c r="O1526" s="134"/>
      <c r="P1526" s="135"/>
    </row>
    <row r="1527" spans="1:16" s="133" customFormat="1" ht="15" customHeight="1">
      <c r="A1527" s="1"/>
      <c r="B1527" s="1"/>
      <c r="C1527" s="134">
        <v>44539</v>
      </c>
      <c r="D1527" s="135">
        <v>157.05000000000001</v>
      </c>
      <c r="O1527" s="134"/>
      <c r="P1527" s="135"/>
    </row>
    <row r="1528" spans="1:16" s="133" customFormat="1" ht="15" customHeight="1">
      <c r="A1528" s="1"/>
      <c r="B1528" s="1"/>
      <c r="C1528" s="134">
        <v>44540</v>
      </c>
      <c r="D1528" s="135">
        <v>158.5</v>
      </c>
      <c r="O1528" s="134"/>
      <c r="P1528" s="135"/>
    </row>
    <row r="1529" spans="1:16" s="133" customFormat="1" ht="15" customHeight="1">
      <c r="A1529" s="1"/>
      <c r="B1529" s="1"/>
      <c r="C1529" s="134">
        <v>44543</v>
      </c>
      <c r="D1529" s="135">
        <v>155.88999999999999</v>
      </c>
      <c r="O1529" s="134"/>
      <c r="P1529" s="135"/>
    </row>
    <row r="1530" spans="1:16" s="133" customFormat="1" ht="15" customHeight="1">
      <c r="A1530" s="1"/>
      <c r="B1530" s="1"/>
      <c r="C1530" s="134">
        <v>44544</v>
      </c>
      <c r="D1530" s="135">
        <v>155.07</v>
      </c>
      <c r="O1530" s="134"/>
      <c r="P1530" s="135"/>
    </row>
    <row r="1531" spans="1:16" s="133" customFormat="1" ht="15" customHeight="1">
      <c r="A1531" s="1"/>
      <c r="B1531" s="1"/>
      <c r="C1531" s="134">
        <v>44545</v>
      </c>
      <c r="D1531" s="135">
        <v>157.94999999999999</v>
      </c>
      <c r="O1531" s="134"/>
      <c r="P1531" s="135"/>
    </row>
    <row r="1532" spans="1:16" s="133" customFormat="1" ht="15" customHeight="1">
      <c r="A1532" s="1"/>
      <c r="B1532" s="1"/>
      <c r="C1532" s="134">
        <v>44546</v>
      </c>
      <c r="D1532" s="135">
        <v>156.19999999999999</v>
      </c>
      <c r="O1532" s="134"/>
      <c r="P1532" s="135"/>
    </row>
    <row r="1533" spans="1:16" s="133" customFormat="1" ht="15" customHeight="1">
      <c r="A1533" s="1"/>
      <c r="B1533" s="1"/>
      <c r="C1533" s="134">
        <v>44547</v>
      </c>
      <c r="D1533" s="135">
        <v>154.13</v>
      </c>
      <c r="O1533" s="134"/>
      <c r="P1533" s="135"/>
    </row>
    <row r="1534" spans="1:16" s="133" customFormat="1" ht="15" customHeight="1">
      <c r="A1534" s="1"/>
      <c r="B1534" s="1"/>
      <c r="C1534" s="134">
        <v>44550</v>
      </c>
      <c r="D1534" s="135">
        <v>152.97</v>
      </c>
      <c r="O1534" s="134"/>
      <c r="P1534" s="135"/>
    </row>
    <row r="1535" spans="1:16" s="133" customFormat="1" ht="15" customHeight="1">
      <c r="A1535" s="1"/>
      <c r="B1535" s="1"/>
      <c r="C1535" s="134">
        <v>44551</v>
      </c>
      <c r="D1535" s="135">
        <v>156.85</v>
      </c>
      <c r="O1535" s="134"/>
      <c r="P1535" s="135"/>
    </row>
    <row r="1536" spans="1:16" s="133" customFormat="1" ht="15" customHeight="1">
      <c r="A1536" s="1"/>
      <c r="B1536" s="1"/>
      <c r="C1536" s="134">
        <v>44552</v>
      </c>
      <c r="D1536" s="135">
        <v>157.80000000000001</v>
      </c>
      <c r="O1536" s="134"/>
      <c r="P1536" s="135"/>
    </row>
    <row r="1537" spans="1:16" s="133" customFormat="1" ht="15" customHeight="1">
      <c r="A1537" s="1"/>
      <c r="B1537" s="1"/>
      <c r="C1537" s="134">
        <v>44553</v>
      </c>
      <c r="D1537" s="135">
        <v>159.69</v>
      </c>
      <c r="O1537" s="134"/>
      <c r="P1537" s="135"/>
    </row>
    <row r="1538" spans="1:16" s="133" customFormat="1" ht="15" customHeight="1">
      <c r="A1538" s="1"/>
      <c r="B1538" s="1"/>
      <c r="C1538" s="134">
        <v>44557</v>
      </c>
      <c r="D1538" s="135">
        <v>161.66</v>
      </c>
      <c r="O1538" s="134"/>
      <c r="P1538" s="135"/>
    </row>
    <row r="1539" spans="1:16" s="133" customFormat="1" ht="15" customHeight="1">
      <c r="A1539" s="1"/>
      <c r="B1539" s="1"/>
      <c r="C1539" s="134">
        <v>44558</v>
      </c>
      <c r="D1539" s="135">
        <v>161.63</v>
      </c>
      <c r="O1539" s="134"/>
      <c r="P1539" s="135"/>
    </row>
    <row r="1540" spans="1:16" s="133" customFormat="1" ht="15" customHeight="1">
      <c r="A1540" s="1"/>
      <c r="B1540" s="1"/>
      <c r="C1540" s="134">
        <v>44559</v>
      </c>
      <c r="D1540" s="135">
        <v>163.12</v>
      </c>
      <c r="O1540" s="134"/>
      <c r="P1540" s="135"/>
    </row>
    <row r="1541" spans="1:16" s="133" customFormat="1" ht="15" customHeight="1">
      <c r="A1541" s="1"/>
      <c r="B1541" s="1"/>
      <c r="C1541" s="134">
        <v>44560</v>
      </c>
      <c r="D1541" s="135">
        <v>162.19</v>
      </c>
      <c r="O1541" s="134"/>
      <c r="P1541" s="135"/>
    </row>
    <row r="1542" spans="1:16" s="133" customFormat="1" ht="15" customHeight="1">
      <c r="A1542" s="1"/>
      <c r="B1542" s="1"/>
      <c r="C1542" s="134">
        <v>44561</v>
      </c>
      <c r="D1542" s="135">
        <v>161.16</v>
      </c>
      <c r="O1542" s="134"/>
      <c r="P1542" s="135"/>
    </row>
    <row r="1543" spans="1:16" s="133" customFormat="1" ht="15" customHeight="1">
      <c r="A1543" s="1"/>
      <c r="B1543" s="1"/>
      <c r="C1543" s="134">
        <v>44564</v>
      </c>
      <c r="D1543" s="135">
        <v>164.63</v>
      </c>
      <c r="O1543" s="134"/>
      <c r="P1543" s="135"/>
    </row>
    <row r="1544" spans="1:16" s="133" customFormat="1" ht="15" customHeight="1">
      <c r="A1544" s="1"/>
      <c r="B1544" s="1"/>
      <c r="C1544" s="134">
        <v>44565</v>
      </c>
      <c r="D1544" s="135">
        <v>165.71</v>
      </c>
      <c r="O1544" s="134"/>
      <c r="P1544" s="135"/>
    </row>
    <row r="1545" spans="1:16" s="133" customFormat="1" ht="15" customHeight="1">
      <c r="A1545" s="1"/>
      <c r="B1545" s="1"/>
      <c r="C1545" s="134">
        <v>44566</v>
      </c>
      <c r="D1545" s="135">
        <v>163</v>
      </c>
      <c r="O1545" s="134"/>
      <c r="P1545" s="135"/>
    </row>
    <row r="1546" spans="1:16" s="133" customFormat="1" ht="15" customHeight="1">
      <c r="A1546" s="1"/>
      <c r="B1546" s="1"/>
      <c r="C1546" s="134">
        <v>44567</v>
      </c>
      <c r="D1546" s="135">
        <v>163.28</v>
      </c>
      <c r="O1546" s="134"/>
      <c r="P1546" s="135"/>
    </row>
    <row r="1547" spans="1:16" s="133" customFormat="1" ht="15" customHeight="1">
      <c r="A1547" s="1"/>
      <c r="B1547" s="1"/>
      <c r="C1547" s="134">
        <v>44568</v>
      </c>
      <c r="D1547" s="135">
        <v>163.44</v>
      </c>
      <c r="O1547" s="134"/>
      <c r="P1547" s="135"/>
    </row>
    <row r="1548" spans="1:16" s="133" customFormat="1" ht="15" customHeight="1">
      <c r="A1548" s="1"/>
      <c r="B1548" s="1"/>
      <c r="C1548" s="134">
        <v>44571</v>
      </c>
      <c r="D1548" s="135">
        <v>163.02000000000001</v>
      </c>
      <c r="O1548" s="134"/>
      <c r="P1548" s="135"/>
    </row>
    <row r="1549" spans="1:16" s="133" customFormat="1" ht="15" customHeight="1">
      <c r="A1549" s="1"/>
      <c r="B1549" s="1"/>
      <c r="C1549" s="134">
        <v>44572</v>
      </c>
      <c r="D1549" s="135">
        <v>163.89</v>
      </c>
      <c r="O1549" s="134"/>
      <c r="P1549" s="135"/>
    </row>
    <row r="1550" spans="1:16" s="133" customFormat="1" ht="15" customHeight="1">
      <c r="A1550" s="1"/>
      <c r="B1550" s="1"/>
      <c r="C1550" s="134">
        <v>44573</v>
      </c>
      <c r="D1550" s="135">
        <v>164.19</v>
      </c>
      <c r="O1550" s="134"/>
      <c r="P1550" s="135"/>
    </row>
    <row r="1551" spans="1:16" s="133" customFormat="1" ht="15" customHeight="1">
      <c r="A1551" s="1"/>
      <c r="B1551" s="1"/>
      <c r="C1551" s="134">
        <v>44574</v>
      </c>
      <c r="D1551" s="135">
        <v>161.41999999999999</v>
      </c>
      <c r="O1551" s="134"/>
      <c r="P1551" s="135"/>
    </row>
    <row r="1552" spans="1:16" s="133" customFormat="1" ht="15" customHeight="1">
      <c r="A1552" s="1"/>
      <c r="B1552" s="1"/>
      <c r="C1552" s="134">
        <v>44575</v>
      </c>
      <c r="D1552" s="135">
        <v>162.74</v>
      </c>
      <c r="O1552" s="134"/>
      <c r="P1552" s="135"/>
    </row>
    <row r="1553" spans="1:16" s="133" customFormat="1" ht="15" customHeight="1">
      <c r="A1553" s="1"/>
      <c r="B1553" s="1"/>
      <c r="C1553" s="134">
        <v>44579</v>
      </c>
      <c r="D1553" s="135">
        <v>161.56</v>
      </c>
      <c r="O1553" s="134"/>
      <c r="P1553" s="135"/>
    </row>
    <row r="1554" spans="1:16" s="133" customFormat="1" ht="15" customHeight="1">
      <c r="A1554" s="1"/>
      <c r="B1554" s="1"/>
      <c r="C1554" s="134">
        <v>44580</v>
      </c>
      <c r="D1554" s="135">
        <v>158.97999999999999</v>
      </c>
      <c r="O1554" s="134"/>
      <c r="P1554" s="135"/>
    </row>
    <row r="1555" spans="1:16" s="133" customFormat="1" ht="15" customHeight="1">
      <c r="A1555" s="1"/>
      <c r="B1555" s="1"/>
      <c r="C1555" s="134">
        <v>44581</v>
      </c>
      <c r="D1555" s="135">
        <v>157.34</v>
      </c>
      <c r="O1555" s="134"/>
      <c r="P1555" s="135"/>
    </row>
    <row r="1556" spans="1:16" s="133" customFormat="1" ht="15" customHeight="1">
      <c r="A1556" s="1"/>
      <c r="B1556" s="1"/>
      <c r="C1556" s="134">
        <v>44582</v>
      </c>
      <c r="D1556" s="135">
        <v>152.86000000000001</v>
      </c>
      <c r="O1556" s="134"/>
      <c r="P1556" s="135"/>
    </row>
    <row r="1557" spans="1:16" s="133" customFormat="1" ht="15" customHeight="1">
      <c r="A1557" s="1"/>
      <c r="B1557" s="1"/>
      <c r="C1557" s="134">
        <v>44585</v>
      </c>
      <c r="D1557" s="135">
        <v>153.38</v>
      </c>
      <c r="O1557" s="134"/>
      <c r="P1557" s="135"/>
    </row>
    <row r="1558" spans="1:16" s="133" customFormat="1" ht="15" customHeight="1">
      <c r="A1558" s="1"/>
      <c r="B1558" s="1"/>
      <c r="C1558" s="134">
        <v>44586</v>
      </c>
      <c r="D1558" s="135">
        <v>152.12</v>
      </c>
      <c r="O1558" s="134"/>
      <c r="P1558" s="135"/>
    </row>
    <row r="1559" spans="1:16" s="133" customFormat="1" ht="15" customHeight="1">
      <c r="A1559" s="1"/>
      <c r="B1559" s="1"/>
      <c r="C1559" s="134">
        <v>44587</v>
      </c>
      <c r="D1559" s="135">
        <v>152.74</v>
      </c>
      <c r="O1559" s="134"/>
      <c r="P1559" s="135"/>
    </row>
    <row r="1560" spans="1:16" s="133" customFormat="1" ht="15" customHeight="1">
      <c r="A1560" s="1"/>
      <c r="B1560" s="1"/>
      <c r="C1560" s="134">
        <v>44588</v>
      </c>
      <c r="D1560" s="135">
        <v>150.86000000000001</v>
      </c>
      <c r="O1560" s="134"/>
      <c r="P1560" s="135"/>
    </row>
    <row r="1561" spans="1:16" s="133" customFormat="1" ht="15" customHeight="1">
      <c r="A1561" s="1"/>
      <c r="B1561" s="1"/>
      <c r="C1561" s="134">
        <v>44589</v>
      </c>
      <c r="D1561" s="135">
        <v>154.21</v>
      </c>
      <c r="O1561" s="134"/>
      <c r="P1561" s="135"/>
    </row>
    <row r="1562" spans="1:16" s="133" customFormat="1" ht="15" customHeight="1">
      <c r="A1562" s="1"/>
      <c r="B1562" s="1"/>
      <c r="C1562" s="134">
        <v>44592</v>
      </c>
      <c r="D1562" s="135">
        <v>157.16</v>
      </c>
      <c r="O1562" s="134"/>
      <c r="P1562" s="135"/>
    </row>
    <row r="1563" spans="1:16" s="133" customFormat="1" ht="15" customHeight="1">
      <c r="A1563" s="1"/>
      <c r="B1563" s="1"/>
      <c r="C1563" s="134">
        <v>44593</v>
      </c>
      <c r="D1563" s="135">
        <v>158.55000000000001</v>
      </c>
      <c r="O1563" s="134"/>
      <c r="P1563" s="135"/>
    </row>
    <row r="1564" spans="1:16" s="133" customFormat="1" ht="15" customHeight="1">
      <c r="A1564" s="1"/>
      <c r="B1564" s="1"/>
      <c r="C1564" s="134">
        <v>44594</v>
      </c>
      <c r="D1564" s="135">
        <v>159.32</v>
      </c>
      <c r="O1564" s="134"/>
      <c r="P1564" s="135"/>
    </row>
    <row r="1565" spans="1:16" s="133" customFormat="1" ht="15" customHeight="1">
      <c r="A1565" s="1"/>
      <c r="B1565" s="1"/>
      <c r="C1565" s="134">
        <v>44595</v>
      </c>
      <c r="D1565" s="135">
        <v>156.66999999999999</v>
      </c>
      <c r="O1565" s="134"/>
      <c r="P1565" s="135"/>
    </row>
    <row r="1566" spans="1:16" s="133" customFormat="1" ht="15" customHeight="1">
      <c r="A1566" s="1"/>
      <c r="B1566" s="1"/>
      <c r="C1566" s="134">
        <v>44596</v>
      </c>
      <c r="D1566" s="135">
        <v>159.16999999999999</v>
      </c>
      <c r="O1566" s="134"/>
      <c r="P1566" s="135"/>
    </row>
    <row r="1567" spans="1:16" s="133" customFormat="1" ht="15" customHeight="1">
      <c r="A1567" s="1"/>
      <c r="B1567" s="1"/>
      <c r="C1567" s="134">
        <v>44599</v>
      </c>
      <c r="D1567" s="135">
        <v>158.32</v>
      </c>
      <c r="O1567" s="134"/>
      <c r="P1567" s="135"/>
    </row>
    <row r="1568" spans="1:16" s="133" customFormat="1" ht="15" customHeight="1">
      <c r="A1568" s="1"/>
      <c r="B1568" s="1"/>
      <c r="C1568" s="134">
        <v>44600</v>
      </c>
      <c r="D1568" s="135">
        <v>160.37</v>
      </c>
      <c r="O1568" s="134"/>
      <c r="P1568" s="135"/>
    </row>
    <row r="1569" spans="1:16" s="133" customFormat="1" ht="15" customHeight="1">
      <c r="A1569" s="1"/>
      <c r="B1569" s="1"/>
      <c r="C1569" s="134">
        <v>44601</v>
      </c>
      <c r="D1569" s="135">
        <v>162.16</v>
      </c>
      <c r="O1569" s="134"/>
      <c r="P1569" s="135"/>
    </row>
    <row r="1570" spans="1:16" s="133" customFormat="1" ht="15" customHeight="1">
      <c r="A1570" s="1"/>
      <c r="B1570" s="1"/>
      <c r="C1570" s="134">
        <v>44602</v>
      </c>
      <c r="D1570" s="135">
        <v>161.04</v>
      </c>
      <c r="O1570" s="134"/>
      <c r="P1570" s="135"/>
    </row>
    <row r="1571" spans="1:16" s="133" customFormat="1" ht="15" customHeight="1">
      <c r="A1571" s="1"/>
      <c r="B1571" s="1"/>
      <c r="C1571" s="134">
        <v>44603</v>
      </c>
      <c r="D1571" s="135">
        <v>156.83000000000001</v>
      </c>
      <c r="O1571" s="134"/>
      <c r="P1571" s="135"/>
    </row>
    <row r="1572" spans="1:16" s="133" customFormat="1" ht="15" customHeight="1">
      <c r="A1572" s="1"/>
      <c r="B1572" s="1"/>
      <c r="C1572" s="134">
        <v>44606</v>
      </c>
      <c r="D1572" s="135">
        <v>157.21</v>
      </c>
      <c r="O1572" s="134"/>
      <c r="P1572" s="135"/>
    </row>
    <row r="1573" spans="1:16" s="133" customFormat="1" ht="15" customHeight="1">
      <c r="A1573" s="1"/>
      <c r="B1573" s="1"/>
      <c r="C1573" s="134">
        <v>44607</v>
      </c>
      <c r="D1573" s="135">
        <v>160.77000000000001</v>
      </c>
      <c r="O1573" s="134"/>
      <c r="P1573" s="135"/>
    </row>
    <row r="1574" spans="1:16" s="133" customFormat="1" ht="15" customHeight="1">
      <c r="A1574" s="1"/>
      <c r="B1574" s="1"/>
      <c r="C1574" s="134">
        <v>44608</v>
      </c>
      <c r="D1574" s="135">
        <v>160.87</v>
      </c>
      <c r="O1574" s="134"/>
      <c r="P1574" s="135"/>
    </row>
    <row r="1575" spans="1:16" s="133" customFormat="1" ht="15" customHeight="1">
      <c r="A1575" s="1"/>
      <c r="B1575" s="1"/>
      <c r="C1575" s="134">
        <v>44609</v>
      </c>
      <c r="D1575" s="135">
        <v>156.24</v>
      </c>
      <c r="O1575" s="134"/>
      <c r="P1575" s="135"/>
    </row>
    <row r="1576" spans="1:16" s="133" customFormat="1" ht="15" customHeight="1">
      <c r="A1576" s="1"/>
      <c r="B1576" s="1"/>
      <c r="C1576" s="134">
        <v>44610</v>
      </c>
      <c r="D1576" s="135">
        <v>154.04</v>
      </c>
      <c r="O1576" s="134"/>
      <c r="P1576" s="135"/>
    </row>
    <row r="1577" spans="1:16" s="133" customFormat="1" ht="15" customHeight="1">
      <c r="A1577" s="1"/>
      <c r="B1577" s="1"/>
      <c r="C1577" s="134">
        <v>44614</v>
      </c>
      <c r="D1577" s="135">
        <v>152.57</v>
      </c>
      <c r="O1577" s="134"/>
      <c r="P1577" s="135"/>
    </row>
    <row r="1578" spans="1:16" s="133" customFormat="1" ht="15" customHeight="1">
      <c r="A1578" s="1"/>
      <c r="B1578" s="1"/>
      <c r="C1578" s="134">
        <v>44615</v>
      </c>
      <c r="D1578" s="135">
        <v>150.21</v>
      </c>
      <c r="O1578" s="134"/>
      <c r="P1578" s="135"/>
    </row>
    <row r="1579" spans="1:16" s="133" customFormat="1" ht="15" customHeight="1">
      <c r="A1579" s="1"/>
      <c r="B1579" s="1"/>
      <c r="C1579" s="134">
        <v>44616</v>
      </c>
      <c r="D1579" s="135">
        <v>152.44999999999999</v>
      </c>
      <c r="O1579" s="134"/>
      <c r="P1579" s="135"/>
    </row>
    <row r="1580" spans="1:16" s="133" customFormat="1" ht="15" customHeight="1">
      <c r="A1580" s="1"/>
      <c r="B1580" s="1"/>
      <c r="C1580" s="134">
        <v>44617</v>
      </c>
      <c r="D1580" s="135">
        <v>156.08000000000001</v>
      </c>
      <c r="O1580" s="134"/>
      <c r="P1580" s="135"/>
    </row>
    <row r="1581" spans="1:16" s="133" customFormat="1" ht="15" customHeight="1">
      <c r="A1581" s="1"/>
      <c r="B1581" s="1"/>
      <c r="C1581" s="134">
        <v>44620</v>
      </c>
      <c r="D1581" s="135">
        <v>152.9</v>
      </c>
      <c r="O1581" s="134"/>
      <c r="P1581" s="135"/>
    </row>
    <row r="1582" spans="1:16" s="133" customFormat="1" ht="15" customHeight="1">
      <c r="A1582" s="1"/>
      <c r="B1582" s="1"/>
      <c r="C1582" s="134">
        <v>44621</v>
      </c>
      <c r="D1582" s="135">
        <v>148.24</v>
      </c>
      <c r="O1582" s="134"/>
      <c r="P1582" s="135"/>
    </row>
    <row r="1583" spans="1:16" s="133" customFormat="1" ht="15" customHeight="1">
      <c r="A1583" s="1"/>
      <c r="B1583" s="1"/>
      <c r="C1583" s="134">
        <v>44622</v>
      </c>
      <c r="D1583" s="135">
        <v>153.41</v>
      </c>
      <c r="O1583" s="134"/>
      <c r="P1583" s="135"/>
    </row>
    <row r="1584" spans="1:16" s="133" customFormat="1" ht="15" customHeight="1">
      <c r="A1584" s="1"/>
      <c r="B1584" s="1"/>
      <c r="C1584" s="134">
        <v>44623</v>
      </c>
      <c r="D1584" s="135">
        <v>152.34</v>
      </c>
      <c r="O1584" s="134"/>
      <c r="P1584" s="135"/>
    </row>
    <row r="1585" spans="1:16" s="133" customFormat="1" ht="15" customHeight="1">
      <c r="A1585" s="1"/>
      <c r="B1585" s="1"/>
      <c r="C1585" s="134">
        <v>44624</v>
      </c>
      <c r="D1585" s="135">
        <v>148.77000000000001</v>
      </c>
      <c r="O1585" s="134"/>
      <c r="P1585" s="135"/>
    </row>
    <row r="1586" spans="1:16" s="133" customFormat="1" ht="15" customHeight="1">
      <c r="A1586" s="1"/>
      <c r="B1586" s="1"/>
      <c r="C1586" s="134">
        <v>44627</v>
      </c>
      <c r="D1586" s="135">
        <v>143.91</v>
      </c>
      <c r="O1586" s="134"/>
      <c r="P1586" s="135"/>
    </row>
    <row r="1587" spans="1:16" s="133" customFormat="1" ht="15" customHeight="1">
      <c r="A1587" s="1"/>
      <c r="B1587" s="1"/>
      <c r="C1587" s="134">
        <v>44628</v>
      </c>
      <c r="D1587" s="135">
        <v>145.34</v>
      </c>
      <c r="O1587" s="134"/>
      <c r="P1587" s="135"/>
    </row>
    <row r="1588" spans="1:16" s="133" customFormat="1" ht="15" customHeight="1">
      <c r="A1588" s="1"/>
      <c r="B1588" s="1"/>
      <c r="C1588" s="134">
        <v>44629</v>
      </c>
      <c r="D1588" s="135">
        <v>150.33000000000001</v>
      </c>
      <c r="O1588" s="134"/>
      <c r="P1588" s="135"/>
    </row>
    <row r="1589" spans="1:16" s="133" customFormat="1" ht="15" customHeight="1">
      <c r="A1589" s="1"/>
      <c r="B1589" s="1"/>
      <c r="C1589" s="134">
        <v>44630</v>
      </c>
      <c r="D1589" s="135">
        <v>150.63</v>
      </c>
      <c r="O1589" s="134"/>
      <c r="P1589" s="135"/>
    </row>
    <row r="1590" spans="1:16" s="133" customFormat="1" ht="15" customHeight="1">
      <c r="A1590" s="1"/>
      <c r="B1590" s="1"/>
      <c r="C1590" s="134">
        <v>44631</v>
      </c>
      <c r="D1590" s="135">
        <v>148.32</v>
      </c>
      <c r="O1590" s="134"/>
      <c r="P1590" s="135"/>
    </row>
    <row r="1591" spans="1:16" s="133" customFormat="1" ht="15" customHeight="1">
      <c r="A1591" s="1"/>
      <c r="B1591" s="1"/>
      <c r="C1591" s="134">
        <v>44634</v>
      </c>
      <c r="D1591" s="135">
        <v>149.75</v>
      </c>
      <c r="O1591" s="134"/>
      <c r="P1591" s="135"/>
    </row>
    <row r="1592" spans="1:16" s="133" customFormat="1" ht="15" customHeight="1">
      <c r="A1592" s="1"/>
      <c r="B1592" s="1"/>
      <c r="C1592" s="134">
        <v>44635</v>
      </c>
      <c r="D1592" s="135">
        <v>153.46</v>
      </c>
      <c r="O1592" s="134"/>
      <c r="P1592" s="135"/>
    </row>
    <row r="1593" spans="1:16" s="133" customFormat="1" ht="15" customHeight="1">
      <c r="A1593" s="1"/>
      <c r="B1593" s="1"/>
      <c r="C1593" s="134">
        <v>44636</v>
      </c>
      <c r="D1593" s="135">
        <v>157.13999999999999</v>
      </c>
      <c r="O1593" s="134"/>
      <c r="P1593" s="135"/>
    </row>
    <row r="1594" spans="1:16" s="133" customFormat="1" ht="15" customHeight="1">
      <c r="A1594" s="1"/>
      <c r="B1594" s="1"/>
      <c r="C1594" s="134">
        <v>44637</v>
      </c>
      <c r="D1594" s="135">
        <v>159.43</v>
      </c>
      <c r="O1594" s="134"/>
      <c r="P1594" s="135"/>
    </row>
    <row r="1595" spans="1:16" s="133" customFormat="1" ht="15" customHeight="1">
      <c r="A1595" s="1"/>
      <c r="B1595" s="1"/>
      <c r="C1595" s="134">
        <v>44638</v>
      </c>
      <c r="D1595" s="135">
        <v>160.21</v>
      </c>
      <c r="O1595" s="134"/>
      <c r="P1595" s="135"/>
    </row>
    <row r="1596" spans="1:16" s="133" customFormat="1" ht="15" customHeight="1">
      <c r="A1596" s="1"/>
      <c r="B1596" s="1"/>
      <c r="C1596" s="134">
        <v>44641</v>
      </c>
      <c r="D1596" s="135">
        <v>163.16</v>
      </c>
      <c r="O1596" s="134"/>
      <c r="P1596" s="135"/>
    </row>
    <row r="1597" spans="1:16" s="133" customFormat="1" ht="15" customHeight="1">
      <c r="A1597" s="1"/>
      <c r="B1597" s="1"/>
      <c r="C1597" s="134">
        <v>44642</v>
      </c>
      <c r="D1597" s="135">
        <v>166.42</v>
      </c>
      <c r="O1597" s="134"/>
      <c r="P1597" s="135"/>
    </row>
    <row r="1598" spans="1:16" s="133" customFormat="1" ht="15" customHeight="1">
      <c r="A1598" s="1"/>
      <c r="B1598" s="1"/>
      <c r="C1598" s="134">
        <v>44643</v>
      </c>
      <c r="D1598" s="135">
        <v>163.04</v>
      </c>
      <c r="O1598" s="134"/>
      <c r="P1598" s="135"/>
    </row>
    <row r="1599" spans="1:16" s="133" customFormat="1" ht="15" customHeight="1">
      <c r="A1599" s="1"/>
      <c r="B1599" s="1"/>
      <c r="C1599" s="134">
        <v>44644</v>
      </c>
      <c r="D1599" s="135">
        <v>165.63</v>
      </c>
      <c r="O1599" s="134"/>
      <c r="P1599" s="135"/>
    </row>
    <row r="1600" spans="1:16" s="133" customFormat="1" ht="15" customHeight="1">
      <c r="A1600" s="1"/>
      <c r="B1600" s="1"/>
      <c r="C1600" s="134">
        <v>44645</v>
      </c>
      <c r="D1600" s="135">
        <v>169.04</v>
      </c>
      <c r="O1600" s="134"/>
      <c r="P1600" s="135"/>
    </row>
    <row r="1601" spans="1:16" s="133" customFormat="1" ht="15" customHeight="1">
      <c r="A1601" s="1"/>
      <c r="B1601" s="1"/>
      <c r="C1601" s="134">
        <v>44648</v>
      </c>
      <c r="D1601" s="135">
        <v>169.57</v>
      </c>
      <c r="O1601" s="134"/>
      <c r="P1601" s="135"/>
    </row>
    <row r="1602" spans="1:16" s="133" customFormat="1" ht="15" customHeight="1">
      <c r="A1602" s="1"/>
      <c r="B1602" s="1"/>
      <c r="C1602" s="134">
        <v>44649</v>
      </c>
      <c r="D1602" s="135">
        <v>170.2</v>
      </c>
      <c r="O1602" s="134"/>
      <c r="P1602" s="135"/>
    </row>
    <row r="1603" spans="1:16" s="133" customFormat="1" ht="15" customHeight="1">
      <c r="A1603" s="1"/>
      <c r="B1603" s="1"/>
      <c r="C1603" s="134">
        <v>44650</v>
      </c>
      <c r="D1603" s="135">
        <v>168.55</v>
      </c>
      <c r="O1603" s="134"/>
      <c r="P1603" s="135"/>
    </row>
    <row r="1604" spans="1:16" s="133" customFormat="1" ht="15" customHeight="1">
      <c r="A1604" s="1"/>
      <c r="B1604" s="1"/>
      <c r="C1604" s="134">
        <v>44651</v>
      </c>
      <c r="D1604" s="135">
        <v>165.45</v>
      </c>
      <c r="O1604" s="134"/>
      <c r="P1604" s="135"/>
    </row>
    <row r="1605" spans="1:16" s="133" customFormat="1" ht="15" customHeight="1">
      <c r="A1605" s="1"/>
      <c r="B1605" s="1"/>
      <c r="C1605" s="134">
        <v>44652</v>
      </c>
      <c r="D1605" s="135">
        <v>166.04</v>
      </c>
      <c r="O1605" s="134"/>
      <c r="P1605" s="135"/>
    </row>
    <row r="1606" spans="1:16" s="133" customFormat="1" ht="15" customHeight="1">
      <c r="A1606" s="1"/>
      <c r="B1606" s="1"/>
      <c r="C1606" s="134">
        <v>44655</v>
      </c>
      <c r="D1606" s="135">
        <v>168.5</v>
      </c>
      <c r="O1606" s="134"/>
      <c r="P1606" s="135"/>
    </row>
    <row r="1607" spans="1:16" s="133" customFormat="1" ht="15" customHeight="1">
      <c r="A1607" s="1"/>
      <c r="B1607" s="1"/>
      <c r="C1607" s="134">
        <v>44656</v>
      </c>
      <c r="D1607" s="135">
        <v>169.18</v>
      </c>
      <c r="O1607" s="134"/>
      <c r="P1607" s="135"/>
    </row>
    <row r="1608" spans="1:16" s="133" customFormat="1" ht="15" customHeight="1">
      <c r="A1608" s="1"/>
      <c r="B1608" s="1"/>
      <c r="C1608" s="134">
        <v>44657</v>
      </c>
      <c r="D1608" s="135">
        <v>168.64</v>
      </c>
      <c r="O1608" s="134"/>
      <c r="P1608" s="135"/>
    </row>
    <row r="1609" spans="1:16" s="133" customFormat="1" ht="15" customHeight="1">
      <c r="A1609" s="1"/>
      <c r="B1609" s="1"/>
      <c r="C1609" s="134">
        <v>44658</v>
      </c>
      <c r="D1609" s="135">
        <v>170.79</v>
      </c>
      <c r="O1609" s="134"/>
      <c r="P1609" s="135"/>
    </row>
    <row r="1610" spans="1:16" s="133" customFormat="1" ht="15" customHeight="1">
      <c r="A1610" s="1"/>
      <c r="B1610" s="1"/>
      <c r="C1610" s="134">
        <v>44659</v>
      </c>
      <c r="D1610" s="135">
        <v>171.6</v>
      </c>
      <c r="O1610" s="134"/>
      <c r="P1610" s="135"/>
    </row>
    <row r="1611" spans="1:16" s="133" customFormat="1" ht="15" customHeight="1">
      <c r="A1611" s="1"/>
      <c r="B1611" s="1"/>
      <c r="C1611" s="134">
        <v>44662</v>
      </c>
      <c r="D1611" s="135">
        <v>170.07</v>
      </c>
      <c r="O1611" s="134"/>
      <c r="P1611" s="135"/>
    </row>
    <row r="1612" spans="1:16" s="133" customFormat="1" ht="15" customHeight="1">
      <c r="A1612" s="1"/>
      <c r="B1612" s="1"/>
      <c r="C1612" s="134">
        <v>44663</v>
      </c>
      <c r="D1612" s="135">
        <v>169.01</v>
      </c>
      <c r="O1612" s="134"/>
      <c r="P1612" s="135"/>
    </row>
    <row r="1613" spans="1:16" s="133" customFormat="1" ht="15" customHeight="1">
      <c r="A1613" s="1"/>
      <c r="B1613" s="1"/>
      <c r="C1613" s="134">
        <v>44664</v>
      </c>
      <c r="D1613" s="135">
        <v>170.02</v>
      </c>
      <c r="O1613" s="134"/>
      <c r="P1613" s="135"/>
    </row>
    <row r="1614" spans="1:16" s="133" customFormat="1" ht="15" customHeight="1">
      <c r="A1614" s="1"/>
      <c r="B1614" s="1"/>
      <c r="C1614" s="134">
        <v>44665</v>
      </c>
      <c r="D1614" s="135">
        <v>170.45</v>
      </c>
      <c r="O1614" s="134"/>
      <c r="P1614" s="135"/>
    </row>
    <row r="1615" spans="1:16" s="133" customFormat="1" ht="15" customHeight="1">
      <c r="A1615" s="1"/>
      <c r="B1615" s="1"/>
      <c r="C1615" s="134">
        <v>44669</v>
      </c>
      <c r="D1615" s="135">
        <v>171.49</v>
      </c>
      <c r="O1615" s="134"/>
      <c r="P1615" s="135"/>
    </row>
    <row r="1616" spans="1:16" s="133" customFormat="1" ht="15" customHeight="1">
      <c r="A1616" s="1"/>
      <c r="B1616" s="1"/>
      <c r="C1616" s="134">
        <v>44670</v>
      </c>
      <c r="D1616" s="135">
        <v>175.21</v>
      </c>
      <c r="O1616" s="134"/>
      <c r="P1616" s="135"/>
    </row>
    <row r="1617" spans="1:16" s="133" customFormat="1" ht="15" customHeight="1">
      <c r="A1617" s="1"/>
      <c r="B1617" s="1"/>
      <c r="C1617" s="134">
        <v>44671</v>
      </c>
      <c r="D1617" s="135">
        <v>173.11</v>
      </c>
      <c r="O1617" s="134"/>
      <c r="P1617" s="135"/>
    </row>
    <row r="1618" spans="1:16" s="133" customFormat="1" ht="15" customHeight="1">
      <c r="A1618" s="1"/>
      <c r="B1618" s="1"/>
      <c r="C1618" s="134">
        <v>44672</v>
      </c>
      <c r="D1618" s="135">
        <v>171.77</v>
      </c>
      <c r="O1618" s="134"/>
      <c r="P1618" s="135"/>
    </row>
    <row r="1619" spans="1:16" s="133" customFormat="1" ht="15" customHeight="1">
      <c r="A1619" s="1"/>
      <c r="B1619" s="1"/>
      <c r="C1619" s="134">
        <v>44673</v>
      </c>
      <c r="D1619" s="135">
        <v>166.92</v>
      </c>
      <c r="O1619" s="134"/>
      <c r="P1619" s="135"/>
    </row>
    <row r="1620" spans="1:16" s="133" customFormat="1" ht="15" customHeight="1">
      <c r="A1620" s="1"/>
      <c r="B1620" s="1"/>
      <c r="C1620" s="134">
        <v>44676</v>
      </c>
      <c r="D1620" s="135">
        <v>166.21</v>
      </c>
      <c r="O1620" s="134"/>
      <c r="P1620" s="135"/>
    </row>
    <row r="1621" spans="1:16" s="133" customFormat="1" ht="15" customHeight="1">
      <c r="A1621" s="1"/>
      <c r="B1621" s="1"/>
      <c r="C1621" s="134">
        <v>44677</v>
      </c>
      <c r="D1621" s="135">
        <v>160.41999999999999</v>
      </c>
      <c r="O1621" s="134"/>
      <c r="P1621" s="135"/>
    </row>
    <row r="1622" spans="1:16" s="133" customFormat="1" ht="15" customHeight="1">
      <c r="A1622" s="1"/>
      <c r="B1622" s="1"/>
      <c r="C1622" s="134">
        <v>44678</v>
      </c>
      <c r="D1622" s="135">
        <v>161.82</v>
      </c>
      <c r="O1622" s="134"/>
      <c r="P1622" s="135"/>
    </row>
    <row r="1623" spans="1:16" s="133" customFormat="1" ht="15" customHeight="1">
      <c r="A1623" s="1"/>
      <c r="B1623" s="1"/>
      <c r="C1623" s="134">
        <v>44679</v>
      </c>
      <c r="D1623" s="135">
        <v>166.18</v>
      </c>
      <c r="O1623" s="134"/>
      <c r="P1623" s="135"/>
    </row>
    <row r="1624" spans="1:16" s="133" customFormat="1" ht="15" customHeight="1">
      <c r="A1624" s="1"/>
      <c r="B1624" s="1"/>
      <c r="C1624" s="134">
        <v>44680</v>
      </c>
      <c r="D1624" s="135">
        <v>160.75</v>
      </c>
      <c r="O1624" s="134"/>
      <c r="P1624" s="135"/>
    </row>
    <row r="1625" spans="1:16" s="133" customFormat="1" ht="15" customHeight="1">
      <c r="A1625" s="1"/>
      <c r="B1625" s="1"/>
      <c r="C1625" s="134">
        <v>44683</v>
      </c>
      <c r="D1625" s="135">
        <v>163.5</v>
      </c>
      <c r="O1625" s="134"/>
      <c r="P1625" s="135"/>
    </row>
    <row r="1626" spans="1:16" s="133" customFormat="1" ht="15" customHeight="1">
      <c r="A1626" s="1"/>
      <c r="B1626" s="1"/>
      <c r="C1626" s="134">
        <v>44684</v>
      </c>
      <c r="D1626" s="135">
        <v>163.16</v>
      </c>
      <c r="O1626" s="134"/>
      <c r="P1626" s="135"/>
    </row>
    <row r="1627" spans="1:16" s="133" customFormat="1" ht="15" customHeight="1">
      <c r="A1627" s="1"/>
      <c r="B1627" s="1"/>
      <c r="C1627" s="134">
        <v>44685</v>
      </c>
      <c r="D1627" s="135">
        <v>167.91</v>
      </c>
      <c r="O1627" s="134"/>
      <c r="P1627" s="135"/>
    </row>
    <row r="1628" spans="1:16" s="133" customFormat="1" ht="15" customHeight="1">
      <c r="A1628" s="1"/>
      <c r="B1628" s="1"/>
      <c r="C1628" s="134">
        <v>44686</v>
      </c>
      <c r="D1628" s="135">
        <v>165.42</v>
      </c>
      <c r="O1628" s="134"/>
      <c r="P1628" s="135"/>
    </row>
    <row r="1629" spans="1:16" s="133" customFormat="1" ht="15" customHeight="1">
      <c r="A1629" s="1"/>
      <c r="B1629" s="1"/>
      <c r="C1629" s="134">
        <v>44687</v>
      </c>
      <c r="D1629" s="135">
        <v>165.64</v>
      </c>
      <c r="O1629" s="134"/>
      <c r="P1629" s="135"/>
    </row>
    <row r="1630" spans="1:16" s="133" customFormat="1" ht="15" customHeight="1">
      <c r="A1630" s="1"/>
      <c r="B1630" s="1"/>
      <c r="C1630" s="134">
        <v>44690</v>
      </c>
      <c r="D1630" s="135">
        <v>159.59</v>
      </c>
      <c r="O1630" s="134"/>
      <c r="P1630" s="135"/>
    </row>
    <row r="1631" spans="1:16" s="133" customFormat="1" ht="15" customHeight="1">
      <c r="A1631" s="1"/>
      <c r="B1631" s="1"/>
      <c r="C1631" s="134">
        <v>44691</v>
      </c>
      <c r="D1631" s="135">
        <v>158.03</v>
      </c>
      <c r="O1631" s="134"/>
      <c r="P1631" s="135"/>
    </row>
    <row r="1632" spans="1:16" s="133" customFormat="1" ht="15" customHeight="1">
      <c r="A1632" s="1"/>
      <c r="B1632" s="1"/>
      <c r="C1632" s="134">
        <v>44692</v>
      </c>
      <c r="D1632" s="135">
        <v>154.22999999999999</v>
      </c>
      <c r="O1632" s="134"/>
      <c r="P1632" s="135"/>
    </row>
    <row r="1633" spans="1:16" s="133" customFormat="1" ht="15" customHeight="1">
      <c r="A1633" s="1"/>
      <c r="B1633" s="1"/>
      <c r="C1633" s="134">
        <v>44693</v>
      </c>
      <c r="D1633" s="135">
        <v>152.66999999999999</v>
      </c>
      <c r="O1633" s="134"/>
      <c r="P1633" s="135"/>
    </row>
    <row r="1634" spans="1:16" s="133" customFormat="1" ht="15" customHeight="1">
      <c r="A1634" s="1"/>
      <c r="B1634" s="1"/>
      <c r="C1634" s="134">
        <v>44694</v>
      </c>
      <c r="D1634" s="135">
        <v>158.26</v>
      </c>
      <c r="O1634" s="134"/>
      <c r="P1634" s="135"/>
    </row>
    <row r="1635" spans="1:16" s="133" customFormat="1" ht="15" customHeight="1">
      <c r="A1635" s="1"/>
      <c r="B1635" s="1"/>
      <c r="C1635" s="134">
        <v>44697</v>
      </c>
      <c r="D1635" s="135">
        <v>156.76</v>
      </c>
      <c r="O1635" s="134"/>
      <c r="P1635" s="135"/>
    </row>
    <row r="1636" spans="1:16" s="133" customFormat="1" ht="15" customHeight="1">
      <c r="A1636" s="1"/>
      <c r="B1636" s="1"/>
      <c r="C1636" s="134">
        <v>44698</v>
      </c>
      <c r="D1636" s="135">
        <v>161.30000000000001</v>
      </c>
      <c r="O1636" s="134"/>
      <c r="P1636" s="135"/>
    </row>
    <row r="1637" spans="1:16" s="133" customFormat="1" ht="15" customHeight="1">
      <c r="A1637" s="1"/>
      <c r="B1637" s="1"/>
      <c r="C1637" s="134">
        <v>44699</v>
      </c>
      <c r="D1637" s="135">
        <v>152.97999999999999</v>
      </c>
      <c r="O1637" s="134"/>
      <c r="P1637" s="135"/>
    </row>
    <row r="1638" spans="1:16" s="133" customFormat="1" ht="15" customHeight="1">
      <c r="A1638" s="1"/>
      <c r="B1638" s="1"/>
      <c r="C1638" s="134">
        <v>44700</v>
      </c>
      <c r="D1638" s="135">
        <v>151.69999999999999</v>
      </c>
      <c r="O1638" s="134"/>
      <c r="P1638" s="135"/>
    </row>
    <row r="1639" spans="1:16" s="133" customFormat="1" ht="15" customHeight="1">
      <c r="A1639" s="1"/>
      <c r="B1639" s="1"/>
      <c r="C1639" s="134">
        <v>44701</v>
      </c>
      <c r="D1639" s="135">
        <v>150.49</v>
      </c>
      <c r="O1639" s="134"/>
      <c r="P1639" s="135"/>
    </row>
    <row r="1640" spans="1:16" s="133" customFormat="1" ht="15" customHeight="1">
      <c r="A1640" s="1"/>
      <c r="B1640" s="1"/>
      <c r="C1640" s="134">
        <v>44704</v>
      </c>
      <c r="D1640" s="135">
        <v>154.85</v>
      </c>
      <c r="O1640" s="134"/>
      <c r="P1640" s="135"/>
    </row>
    <row r="1641" spans="1:16" s="133" customFormat="1" ht="15" customHeight="1">
      <c r="A1641" s="1"/>
      <c r="B1641" s="1"/>
      <c r="C1641" s="134">
        <v>44705</v>
      </c>
      <c r="D1641" s="135">
        <v>151.88</v>
      </c>
      <c r="O1641" s="134"/>
      <c r="P1641" s="135"/>
    </row>
    <row r="1642" spans="1:16" s="133" customFormat="1" ht="15" customHeight="1">
      <c r="A1642" s="1"/>
      <c r="B1642" s="1"/>
      <c r="C1642" s="134">
        <v>44706</v>
      </c>
      <c r="D1642" s="135">
        <v>153.35</v>
      </c>
      <c r="O1642" s="134"/>
      <c r="P1642" s="135"/>
    </row>
    <row r="1643" spans="1:16" s="133" customFormat="1" ht="15" customHeight="1">
      <c r="A1643" s="1"/>
      <c r="B1643" s="1"/>
      <c r="C1643" s="134">
        <v>44707</v>
      </c>
      <c r="D1643" s="135">
        <v>156.57</v>
      </c>
      <c r="O1643" s="134"/>
      <c r="P1643" s="135"/>
    </row>
    <row r="1644" spans="1:16" s="133" customFormat="1" ht="15" customHeight="1">
      <c r="A1644" s="1"/>
      <c r="B1644" s="1"/>
      <c r="C1644" s="134">
        <v>44708</v>
      </c>
      <c r="D1644" s="135">
        <v>160.19</v>
      </c>
      <c r="O1644" s="134"/>
      <c r="P1644" s="135"/>
    </row>
    <row r="1645" spans="1:16" s="133" customFormat="1" ht="15" customHeight="1">
      <c r="A1645" s="1"/>
      <c r="B1645" s="1"/>
      <c r="C1645" s="134">
        <v>44712</v>
      </c>
      <c r="D1645" s="135">
        <v>160.97</v>
      </c>
      <c r="O1645" s="134"/>
      <c r="P1645" s="135"/>
    </row>
    <row r="1646" spans="1:16" s="133" customFormat="1" ht="15" customHeight="1">
      <c r="A1646" s="1"/>
      <c r="B1646" s="1"/>
      <c r="C1646" s="134">
        <v>44713</v>
      </c>
      <c r="D1646" s="135">
        <v>160.69</v>
      </c>
      <c r="O1646" s="134"/>
      <c r="P1646" s="135"/>
    </row>
    <row r="1647" spans="1:16" s="133" customFormat="1" ht="15" customHeight="1">
      <c r="A1647" s="1"/>
      <c r="B1647" s="1"/>
      <c r="C1647" s="134">
        <v>44714</v>
      </c>
      <c r="D1647" s="135">
        <v>163.54</v>
      </c>
      <c r="O1647" s="134"/>
      <c r="P1647" s="135"/>
    </row>
    <row r="1648" spans="1:16" s="133" customFormat="1" ht="15" customHeight="1">
      <c r="A1648" s="1"/>
      <c r="B1648" s="1"/>
      <c r="C1648" s="134">
        <v>44715</v>
      </c>
      <c r="D1648" s="135">
        <v>161.58000000000001</v>
      </c>
      <c r="O1648" s="134"/>
      <c r="P1648" s="135"/>
    </row>
    <row r="1649" spans="1:16" s="133" customFormat="1" ht="15" customHeight="1">
      <c r="A1649" s="1"/>
      <c r="B1649" s="1"/>
      <c r="C1649" s="134">
        <v>44718</v>
      </c>
      <c r="D1649" s="135">
        <v>163.84</v>
      </c>
      <c r="O1649" s="134"/>
      <c r="P1649" s="135"/>
    </row>
    <row r="1650" spans="1:16" s="133" customFormat="1" ht="15" customHeight="1">
      <c r="A1650" s="1"/>
      <c r="B1650" s="1"/>
      <c r="C1650" s="134">
        <v>44719</v>
      </c>
      <c r="D1650" s="135">
        <v>163.83000000000001</v>
      </c>
      <c r="O1650" s="134"/>
      <c r="P1650" s="135"/>
    </row>
    <row r="1651" spans="1:16" s="133" customFormat="1" ht="15" customHeight="1">
      <c r="A1651" s="1"/>
      <c r="B1651" s="1"/>
      <c r="C1651" s="134">
        <v>44720</v>
      </c>
      <c r="D1651" s="135">
        <v>163.26</v>
      </c>
      <c r="O1651" s="134"/>
      <c r="P1651" s="135"/>
    </row>
    <row r="1652" spans="1:16" s="133" customFormat="1" ht="15" customHeight="1">
      <c r="A1652" s="1"/>
      <c r="B1652" s="1"/>
      <c r="C1652" s="134">
        <v>44721</v>
      </c>
      <c r="D1652" s="135">
        <v>159.28</v>
      </c>
      <c r="O1652" s="134"/>
      <c r="P1652" s="135"/>
    </row>
    <row r="1653" spans="1:16" s="133" customFormat="1" ht="15" customHeight="1">
      <c r="A1653" s="1"/>
      <c r="B1653" s="1"/>
      <c r="C1653" s="134">
        <v>44722</v>
      </c>
      <c r="D1653" s="135">
        <v>156.27000000000001</v>
      </c>
      <c r="O1653" s="134"/>
      <c r="P1653" s="135"/>
    </row>
    <row r="1654" spans="1:16" s="133" customFormat="1" ht="15" customHeight="1">
      <c r="A1654" s="1"/>
      <c r="B1654" s="1"/>
      <c r="C1654" s="134">
        <v>44725</v>
      </c>
      <c r="D1654" s="135">
        <v>153.96</v>
      </c>
      <c r="O1654" s="134"/>
      <c r="P1654" s="135"/>
    </row>
    <row r="1655" spans="1:16" s="133" customFormat="1" ht="15" customHeight="1">
      <c r="A1655" s="1"/>
      <c r="B1655" s="1"/>
      <c r="C1655" s="134">
        <v>44726</v>
      </c>
      <c r="D1655" s="135">
        <v>154.80000000000001</v>
      </c>
      <c r="O1655" s="134"/>
      <c r="P1655" s="135"/>
    </row>
    <row r="1656" spans="1:16" s="133" customFormat="1" ht="15" customHeight="1">
      <c r="A1656" s="1"/>
      <c r="B1656" s="1"/>
      <c r="C1656" s="134">
        <v>44727</v>
      </c>
      <c r="D1656" s="135">
        <v>155.76</v>
      </c>
      <c r="O1656" s="134"/>
      <c r="P1656" s="135"/>
    </row>
    <row r="1657" spans="1:16" s="133" customFormat="1" ht="15" customHeight="1">
      <c r="A1657" s="1"/>
      <c r="B1657" s="1"/>
      <c r="C1657" s="134">
        <v>44728</v>
      </c>
      <c r="D1657" s="135">
        <v>149.57</v>
      </c>
      <c r="O1657" s="134"/>
      <c r="P1657" s="135"/>
    </row>
    <row r="1658" spans="1:16" s="133" customFormat="1" ht="15" customHeight="1">
      <c r="A1658" s="1"/>
      <c r="B1658" s="1"/>
      <c r="C1658" s="134">
        <v>44729</v>
      </c>
      <c r="D1658" s="135">
        <v>148.36000000000001</v>
      </c>
      <c r="O1658" s="134"/>
      <c r="P1658" s="135"/>
    </row>
    <row r="1659" spans="1:16" s="133" customFormat="1" ht="15" customHeight="1">
      <c r="A1659" s="1"/>
      <c r="B1659" s="1"/>
      <c r="C1659" s="134">
        <v>44733</v>
      </c>
      <c r="D1659" s="135">
        <v>153.51</v>
      </c>
      <c r="O1659" s="134"/>
      <c r="P1659" s="135"/>
    </row>
    <row r="1660" spans="1:16" s="133" customFormat="1" ht="15" customHeight="1">
      <c r="A1660" s="1"/>
      <c r="B1660" s="1"/>
      <c r="C1660" s="134">
        <v>44734</v>
      </c>
      <c r="D1660" s="135">
        <v>150.33000000000001</v>
      </c>
      <c r="O1660" s="134"/>
      <c r="P1660" s="135"/>
    </row>
    <row r="1661" spans="1:16" s="133" customFormat="1" ht="15" customHeight="1">
      <c r="A1661" s="1"/>
      <c r="B1661" s="1"/>
      <c r="C1661" s="134">
        <v>44735</v>
      </c>
      <c r="D1661" s="135">
        <v>150.57</v>
      </c>
      <c r="O1661" s="134"/>
      <c r="P1661" s="135"/>
    </row>
    <row r="1662" spans="1:16" s="133" customFormat="1" ht="15" customHeight="1">
      <c r="A1662" s="1"/>
      <c r="B1662" s="1"/>
      <c r="C1662" s="134">
        <v>44736</v>
      </c>
      <c r="D1662" s="135">
        <v>156.36000000000001</v>
      </c>
      <c r="O1662" s="134"/>
      <c r="P1662" s="135"/>
    </row>
    <row r="1663" spans="1:16" s="133" customFormat="1" ht="15" customHeight="1">
      <c r="A1663" s="1"/>
      <c r="B1663" s="1"/>
      <c r="C1663" s="134">
        <v>44739</v>
      </c>
      <c r="D1663" s="135">
        <v>156.71</v>
      </c>
      <c r="O1663" s="134"/>
      <c r="P1663" s="135"/>
    </row>
    <row r="1664" spans="1:16" s="133" customFormat="1" ht="15" customHeight="1">
      <c r="A1664" s="1"/>
      <c r="B1664" s="1"/>
      <c r="C1664" s="134">
        <v>44740</v>
      </c>
      <c r="D1664" s="135">
        <v>153.76</v>
      </c>
      <c r="O1664" s="134"/>
      <c r="P1664" s="135"/>
    </row>
    <row r="1665" spans="1:16" s="133" customFormat="1" ht="15" customHeight="1">
      <c r="A1665" s="1"/>
      <c r="B1665" s="1"/>
      <c r="C1665" s="134">
        <v>44741</v>
      </c>
      <c r="D1665" s="135">
        <v>151.57</v>
      </c>
      <c r="O1665" s="134"/>
      <c r="P1665" s="135"/>
    </row>
    <row r="1666" spans="1:16" s="133" customFormat="1" ht="15" customHeight="1">
      <c r="A1666" s="1"/>
      <c r="B1666" s="1"/>
      <c r="C1666" s="134">
        <v>44742</v>
      </c>
      <c r="D1666" s="135">
        <v>148.44999999999999</v>
      </c>
      <c r="O1666" s="134"/>
      <c r="P1666" s="135"/>
    </row>
    <row r="1667" spans="1:16" s="133" customFormat="1" ht="15" customHeight="1">
      <c r="A1667" s="1"/>
      <c r="B1667" s="1"/>
      <c r="C1667" s="134">
        <v>44743</v>
      </c>
      <c r="D1667" s="135">
        <v>149.16</v>
      </c>
      <c r="O1667" s="134"/>
      <c r="P1667" s="135"/>
    </row>
    <row r="1668" spans="1:16" s="133" customFormat="1" ht="15" customHeight="1">
      <c r="A1668" s="1"/>
      <c r="B1668" s="1"/>
      <c r="C1668" s="134">
        <v>44747</v>
      </c>
      <c r="D1668" s="135">
        <v>147.52000000000001</v>
      </c>
      <c r="O1668" s="134"/>
      <c r="P1668" s="135"/>
    </row>
    <row r="1669" spans="1:16" s="133" customFormat="1" ht="15" customHeight="1">
      <c r="A1669" s="1"/>
      <c r="B1669" s="1"/>
      <c r="C1669" s="134">
        <v>44748</v>
      </c>
      <c r="D1669" s="135">
        <v>149.51</v>
      </c>
      <c r="O1669" s="134"/>
      <c r="P1669" s="135"/>
    </row>
    <row r="1670" spans="1:16" s="133" customFormat="1" ht="15" customHeight="1">
      <c r="A1670" s="1"/>
      <c r="B1670" s="1"/>
      <c r="C1670" s="134">
        <v>44749</v>
      </c>
      <c r="D1670" s="135">
        <v>153.19</v>
      </c>
      <c r="O1670" s="134"/>
      <c r="P1670" s="135"/>
    </row>
    <row r="1671" spans="1:16" s="133" customFormat="1" ht="15" customHeight="1">
      <c r="A1671" s="1"/>
      <c r="B1671" s="1"/>
      <c r="C1671" s="134">
        <v>44750</v>
      </c>
      <c r="D1671" s="135">
        <v>154.78</v>
      </c>
      <c r="O1671" s="134"/>
      <c r="P1671" s="135"/>
    </row>
    <row r="1672" spans="1:16" s="133" customFormat="1" ht="15" customHeight="1">
      <c r="A1672" s="1"/>
      <c r="B1672" s="1"/>
      <c r="C1672" s="134">
        <v>44753</v>
      </c>
      <c r="D1672" s="135">
        <v>150.91999999999999</v>
      </c>
      <c r="O1672" s="134"/>
      <c r="P1672" s="135"/>
    </row>
    <row r="1673" spans="1:16" s="133" customFormat="1" ht="15" customHeight="1">
      <c r="A1673" s="1"/>
      <c r="B1673" s="1"/>
      <c r="C1673" s="134">
        <v>44754</v>
      </c>
      <c r="D1673" s="135">
        <v>148.96</v>
      </c>
      <c r="O1673" s="134"/>
      <c r="P1673" s="135"/>
    </row>
    <row r="1674" spans="1:16" s="133" customFormat="1" ht="15" customHeight="1">
      <c r="A1674" s="1"/>
      <c r="B1674" s="1"/>
      <c r="C1674" s="134">
        <v>44755</v>
      </c>
      <c r="D1674" s="135">
        <v>147.15</v>
      </c>
      <c r="O1674" s="134"/>
      <c r="P1674" s="135"/>
    </row>
    <row r="1675" spans="1:16" s="133" customFormat="1" ht="15" customHeight="1">
      <c r="A1675" s="1"/>
      <c r="B1675" s="1"/>
      <c r="C1675" s="134">
        <v>44756</v>
      </c>
      <c r="D1675" s="135">
        <v>147.54</v>
      </c>
      <c r="O1675" s="134"/>
      <c r="P1675" s="135"/>
    </row>
    <row r="1676" spans="1:16" s="133" customFormat="1" ht="15" customHeight="1">
      <c r="A1676" s="1"/>
      <c r="B1676" s="1"/>
      <c r="C1676" s="134">
        <v>44757</v>
      </c>
      <c r="D1676" s="135">
        <v>149.84</v>
      </c>
      <c r="O1676" s="134"/>
      <c r="P1676" s="135"/>
    </row>
    <row r="1677" spans="1:16" s="133" customFormat="1" ht="15" customHeight="1">
      <c r="A1677" s="1"/>
      <c r="B1677" s="1"/>
      <c r="C1677" s="134">
        <v>44760</v>
      </c>
      <c r="D1677" s="135">
        <v>149.49</v>
      </c>
      <c r="O1677" s="134"/>
      <c r="P1677" s="135"/>
    </row>
    <row r="1678" spans="1:16" s="133" customFormat="1" ht="15" customHeight="1">
      <c r="A1678" s="1"/>
      <c r="B1678" s="1"/>
      <c r="C1678" s="134">
        <v>44761</v>
      </c>
      <c r="D1678" s="135">
        <v>154.29</v>
      </c>
      <c r="O1678" s="134"/>
      <c r="P1678" s="135"/>
    </row>
    <row r="1679" spans="1:16" s="133" customFormat="1" ht="15" customHeight="1">
      <c r="A1679" s="1"/>
      <c r="B1679" s="1"/>
      <c r="C1679" s="134">
        <v>44762</v>
      </c>
      <c r="D1679" s="135">
        <v>155.35</v>
      </c>
      <c r="O1679" s="134"/>
      <c r="P1679" s="135"/>
    </row>
    <row r="1680" spans="1:16" s="133" customFormat="1" ht="15" customHeight="1">
      <c r="A1680" s="1"/>
      <c r="B1680" s="1"/>
      <c r="C1680" s="134">
        <v>44763</v>
      </c>
      <c r="D1680" s="135">
        <v>154.81</v>
      </c>
      <c r="O1680" s="134"/>
      <c r="P1680" s="135"/>
    </row>
    <row r="1681" spans="1:16" s="133" customFormat="1" ht="15" customHeight="1">
      <c r="A1681" s="1"/>
      <c r="B1681" s="1"/>
      <c r="C1681" s="134">
        <v>44764</v>
      </c>
      <c r="D1681" s="135">
        <v>151.52000000000001</v>
      </c>
      <c r="O1681" s="134"/>
      <c r="P1681" s="135"/>
    </row>
    <row r="1682" spans="1:16" s="133" customFormat="1" ht="15" customHeight="1">
      <c r="A1682" s="1"/>
      <c r="B1682" s="1"/>
      <c r="C1682" s="134">
        <v>44767</v>
      </c>
      <c r="D1682" s="135">
        <v>152.44</v>
      </c>
      <c r="O1682" s="134"/>
      <c r="P1682" s="135"/>
    </row>
    <row r="1683" spans="1:16" s="133" customFormat="1" ht="15" customHeight="1">
      <c r="A1683" s="1"/>
      <c r="B1683" s="1"/>
      <c r="C1683" s="134">
        <v>44768</v>
      </c>
      <c r="D1683" s="135">
        <v>149.88</v>
      </c>
      <c r="O1683" s="134"/>
      <c r="P1683" s="135"/>
    </row>
    <row r="1684" spans="1:16" s="133" customFormat="1" ht="15" customHeight="1">
      <c r="A1684" s="1"/>
      <c r="B1684" s="1"/>
      <c r="C1684" s="134">
        <v>44769</v>
      </c>
      <c r="D1684" s="135">
        <v>153.1</v>
      </c>
      <c r="O1684" s="134"/>
      <c r="P1684" s="135"/>
    </row>
    <row r="1685" spans="1:16" s="133" customFormat="1" ht="15" customHeight="1">
      <c r="A1685" s="1"/>
      <c r="B1685" s="1"/>
      <c r="C1685" s="134">
        <v>44770</v>
      </c>
      <c r="D1685" s="135">
        <v>154.54</v>
      </c>
      <c r="O1685" s="134"/>
      <c r="P1685" s="135"/>
    </row>
    <row r="1686" spans="1:16" s="133" customFormat="1" ht="15" customHeight="1">
      <c r="A1686" s="1"/>
      <c r="B1686" s="1"/>
      <c r="C1686" s="134">
        <v>44771</v>
      </c>
      <c r="D1686" s="135">
        <v>155.91999999999999</v>
      </c>
      <c r="O1686" s="134"/>
      <c r="P1686" s="135"/>
    </row>
    <row r="1687" spans="1:16" s="133" customFormat="1" ht="15" customHeight="1">
      <c r="A1687" s="1"/>
      <c r="B1687" s="1"/>
      <c r="C1687" s="134">
        <v>44774</v>
      </c>
      <c r="D1687" s="135">
        <v>154.72</v>
      </c>
      <c r="O1687" s="134"/>
      <c r="P1687" s="135"/>
    </row>
    <row r="1688" spans="1:16" s="133" customFormat="1" ht="15" customHeight="1">
      <c r="A1688" s="1"/>
      <c r="B1688" s="1"/>
      <c r="C1688" s="134">
        <v>44775</v>
      </c>
      <c r="D1688" s="135">
        <v>155.56</v>
      </c>
      <c r="O1688" s="134"/>
      <c r="P1688" s="135"/>
    </row>
    <row r="1689" spans="1:16" s="133" customFormat="1" ht="15" customHeight="1">
      <c r="A1689" s="1"/>
      <c r="B1689" s="1"/>
      <c r="C1689" s="134">
        <v>44776</v>
      </c>
      <c r="D1689" s="135">
        <v>158.08000000000001</v>
      </c>
      <c r="O1689" s="134"/>
      <c r="P1689" s="135"/>
    </row>
    <row r="1690" spans="1:16" s="133" customFormat="1" ht="15" customHeight="1">
      <c r="A1690" s="1"/>
      <c r="B1690" s="1"/>
      <c r="C1690" s="134">
        <v>44777</v>
      </c>
      <c r="D1690" s="135">
        <v>157.01</v>
      </c>
      <c r="O1690" s="134"/>
      <c r="P1690" s="135"/>
    </row>
    <row r="1691" spans="1:16" s="133" customFormat="1" ht="15" customHeight="1">
      <c r="A1691" s="1"/>
      <c r="B1691" s="1"/>
      <c r="C1691" s="134">
        <v>44778</v>
      </c>
      <c r="D1691" s="135">
        <v>159.51</v>
      </c>
      <c r="O1691" s="134"/>
      <c r="P1691" s="135"/>
    </row>
    <row r="1692" spans="1:16" s="133" customFormat="1" ht="15" customHeight="1">
      <c r="A1692" s="1"/>
      <c r="B1692" s="1"/>
      <c r="C1692" s="134">
        <v>44781</v>
      </c>
      <c r="D1692" s="135">
        <v>157.83000000000001</v>
      </c>
      <c r="O1692" s="134"/>
      <c r="P1692" s="135"/>
    </row>
    <row r="1693" spans="1:16" s="133" customFormat="1" ht="15" customHeight="1">
      <c r="A1693" s="1"/>
      <c r="B1693" s="1"/>
      <c r="C1693" s="134">
        <v>44782</v>
      </c>
      <c r="D1693" s="135">
        <v>157.38999999999999</v>
      </c>
      <c r="O1693" s="134"/>
      <c r="P1693" s="135"/>
    </row>
    <row r="1694" spans="1:16" s="133" customFormat="1" ht="15" customHeight="1">
      <c r="A1694" s="1"/>
      <c r="B1694" s="1"/>
      <c r="C1694" s="134">
        <v>44783</v>
      </c>
      <c r="D1694" s="135">
        <v>161.15</v>
      </c>
      <c r="O1694" s="134"/>
      <c r="P1694" s="135"/>
    </row>
    <row r="1695" spans="1:16" s="133" customFormat="1" ht="15" customHeight="1">
      <c r="A1695" s="1"/>
      <c r="B1695" s="1"/>
      <c r="C1695" s="134">
        <v>44784</v>
      </c>
      <c r="D1695" s="135">
        <v>163.35</v>
      </c>
      <c r="O1695" s="134"/>
      <c r="P1695" s="135"/>
    </row>
    <row r="1696" spans="1:16" s="133" customFormat="1" ht="15" customHeight="1">
      <c r="A1696" s="1"/>
      <c r="B1696" s="1"/>
      <c r="C1696" s="134">
        <v>44785</v>
      </c>
      <c r="D1696" s="135">
        <v>165.44</v>
      </c>
      <c r="O1696" s="134"/>
      <c r="P1696" s="135"/>
    </row>
    <row r="1697" spans="1:16" s="133" customFormat="1" ht="15" customHeight="1">
      <c r="A1697" s="1"/>
      <c r="B1697" s="1"/>
      <c r="C1697" s="134">
        <v>44788</v>
      </c>
      <c r="D1697" s="135">
        <v>165.04</v>
      </c>
      <c r="O1697" s="134"/>
      <c r="P1697" s="135"/>
    </row>
    <row r="1698" spans="1:16" s="133" customFormat="1" ht="15" customHeight="1">
      <c r="A1698" s="1"/>
      <c r="B1698" s="1"/>
      <c r="C1698" s="134">
        <v>44789</v>
      </c>
      <c r="D1698" s="135">
        <v>165.78</v>
      </c>
      <c r="O1698" s="134"/>
      <c r="P1698" s="135"/>
    </row>
    <row r="1699" spans="1:16" s="133" customFormat="1" ht="15" customHeight="1">
      <c r="A1699" s="1"/>
      <c r="B1699" s="1"/>
      <c r="C1699" s="134">
        <v>44790</v>
      </c>
      <c r="D1699" s="135">
        <v>165.66</v>
      </c>
      <c r="O1699" s="134"/>
      <c r="P1699" s="135"/>
    </row>
    <row r="1700" spans="1:16" s="133" customFormat="1" ht="15" customHeight="1">
      <c r="A1700" s="1"/>
      <c r="B1700" s="1"/>
      <c r="C1700" s="134">
        <v>44791</v>
      </c>
      <c r="D1700" s="135">
        <v>165.9</v>
      </c>
      <c r="O1700" s="134"/>
      <c r="P1700" s="135"/>
    </row>
    <row r="1701" spans="1:16" s="133" customFormat="1" ht="15" customHeight="1">
      <c r="A1701" s="1"/>
      <c r="B1701" s="1"/>
      <c r="C1701" s="134">
        <v>44792</v>
      </c>
      <c r="D1701" s="135">
        <v>166.11</v>
      </c>
      <c r="O1701" s="134"/>
      <c r="P1701" s="135"/>
    </row>
    <row r="1702" spans="1:16" s="133" customFormat="1" ht="15" customHeight="1">
      <c r="A1702" s="1"/>
      <c r="B1702" s="1"/>
      <c r="C1702" s="134">
        <v>44795</v>
      </c>
      <c r="D1702" s="135">
        <v>163.28</v>
      </c>
      <c r="O1702" s="134"/>
      <c r="P1702" s="135"/>
    </row>
    <row r="1703" spans="1:16" s="133" customFormat="1" ht="15" customHeight="1">
      <c r="A1703" s="1"/>
      <c r="B1703" s="1"/>
      <c r="C1703" s="134">
        <v>44796</v>
      </c>
      <c r="D1703" s="135">
        <v>163.35</v>
      </c>
      <c r="O1703" s="134"/>
      <c r="P1703" s="135"/>
    </row>
    <row r="1704" spans="1:16" s="133" customFormat="1" ht="15" customHeight="1">
      <c r="A1704" s="1"/>
      <c r="B1704" s="1"/>
      <c r="C1704" s="134">
        <v>44797</v>
      </c>
      <c r="D1704" s="135">
        <v>165.11</v>
      </c>
      <c r="O1704" s="134"/>
      <c r="P1704" s="135"/>
    </row>
    <row r="1705" spans="1:16" s="133" customFormat="1" ht="15" customHeight="1">
      <c r="A1705" s="1"/>
      <c r="B1705" s="1"/>
      <c r="C1705" s="134">
        <v>44798</v>
      </c>
      <c r="D1705" s="135">
        <v>165.78</v>
      </c>
      <c r="O1705" s="134"/>
      <c r="P1705" s="135"/>
    </row>
    <row r="1706" spans="1:16" s="133" customFormat="1" ht="15" customHeight="1">
      <c r="A1706" s="1"/>
      <c r="B1706" s="1"/>
      <c r="C1706" s="134">
        <v>44799</v>
      </c>
      <c r="D1706" s="135">
        <v>160.36000000000001</v>
      </c>
      <c r="O1706" s="134"/>
      <c r="P1706" s="135"/>
    </row>
    <row r="1707" spans="1:16" s="133" customFormat="1" ht="15" customHeight="1">
      <c r="A1707" s="1"/>
      <c r="B1707" s="1"/>
      <c r="C1707" s="134">
        <v>44802</v>
      </c>
      <c r="D1707" s="135">
        <v>160.59</v>
      </c>
      <c r="O1707" s="134"/>
      <c r="P1707" s="135"/>
    </row>
    <row r="1708" spans="1:16" s="133" customFormat="1" ht="15" customHeight="1">
      <c r="A1708" s="1"/>
      <c r="B1708" s="1"/>
      <c r="C1708" s="134">
        <v>44803</v>
      </c>
      <c r="D1708" s="135">
        <v>158.61000000000001</v>
      </c>
      <c r="O1708" s="134"/>
      <c r="P1708" s="135"/>
    </row>
    <row r="1709" spans="1:16" s="133" customFormat="1" ht="15" customHeight="1">
      <c r="A1709" s="1"/>
      <c r="B1709" s="1"/>
      <c r="C1709" s="134">
        <v>44804</v>
      </c>
      <c r="D1709" s="135">
        <v>157.86000000000001</v>
      </c>
      <c r="O1709" s="134"/>
      <c r="P1709" s="135"/>
    </row>
    <row r="1710" spans="1:16" s="133" customFormat="1" ht="15" customHeight="1">
      <c r="A1710" s="1"/>
      <c r="B1710" s="1"/>
      <c r="C1710" s="134">
        <v>44805</v>
      </c>
      <c r="D1710" s="135">
        <v>161.01</v>
      </c>
      <c r="O1710" s="134"/>
      <c r="P1710" s="135"/>
    </row>
    <row r="1711" spans="1:16" s="133" customFormat="1" ht="15" customHeight="1">
      <c r="A1711" s="1"/>
      <c r="B1711" s="1"/>
      <c r="C1711" s="134">
        <v>44806</v>
      </c>
      <c r="D1711" s="135">
        <v>157.99</v>
      </c>
      <c r="O1711" s="134"/>
      <c r="P1711" s="135"/>
    </row>
    <row r="1712" spans="1:16" s="133" customFormat="1" ht="15" customHeight="1">
      <c r="A1712" s="1"/>
      <c r="B1712" s="1"/>
      <c r="C1712" s="134">
        <v>44810</v>
      </c>
      <c r="D1712" s="135">
        <v>160</v>
      </c>
      <c r="O1712" s="134"/>
      <c r="P1712" s="135"/>
    </row>
    <row r="1713" spans="1:16" s="133" customFormat="1" ht="15" customHeight="1">
      <c r="A1713" s="1"/>
      <c r="B1713" s="1"/>
      <c r="C1713" s="134">
        <v>44811</v>
      </c>
      <c r="D1713" s="135">
        <v>161.38999999999999</v>
      </c>
      <c r="O1713" s="134"/>
      <c r="P1713" s="135"/>
    </row>
    <row r="1714" spans="1:16" s="133" customFormat="1" ht="15" customHeight="1">
      <c r="A1714" s="1"/>
      <c r="B1714" s="1"/>
      <c r="C1714" s="134">
        <v>44812</v>
      </c>
      <c r="D1714" s="135">
        <v>162.88999999999999</v>
      </c>
      <c r="O1714" s="134"/>
      <c r="P1714" s="135"/>
    </row>
    <row r="1715" spans="1:16" s="133" customFormat="1" ht="15" customHeight="1">
      <c r="A1715" s="1"/>
      <c r="B1715" s="1"/>
      <c r="C1715" s="134">
        <v>44813</v>
      </c>
      <c r="D1715" s="135">
        <v>165.83</v>
      </c>
      <c r="O1715" s="134"/>
      <c r="P1715" s="135"/>
    </row>
    <row r="1716" spans="1:16" s="133" customFormat="1" ht="15" customHeight="1">
      <c r="A1716" s="1"/>
      <c r="B1716" s="1"/>
      <c r="C1716" s="134">
        <v>44816</v>
      </c>
      <c r="D1716" s="135">
        <v>168.46</v>
      </c>
      <c r="O1716" s="134"/>
      <c r="P1716" s="135"/>
    </row>
    <row r="1717" spans="1:16" s="133" customFormat="1" ht="15" customHeight="1">
      <c r="A1717" s="1"/>
      <c r="B1717" s="1"/>
      <c r="C1717" s="134">
        <v>44817</v>
      </c>
      <c r="D1717" s="135">
        <v>161.66</v>
      </c>
      <c r="O1717" s="134"/>
      <c r="P1717" s="135"/>
    </row>
    <row r="1718" spans="1:16" s="133" customFormat="1" ht="15" customHeight="1">
      <c r="A1718" s="1"/>
      <c r="B1718" s="1"/>
      <c r="C1718" s="134">
        <v>44818</v>
      </c>
      <c r="D1718" s="135">
        <v>162.22</v>
      </c>
      <c r="O1718" s="134"/>
      <c r="P1718" s="135"/>
    </row>
    <row r="1719" spans="1:16" s="133" customFormat="1" ht="15" customHeight="1">
      <c r="A1719" s="1"/>
      <c r="B1719" s="1"/>
      <c r="C1719" s="134">
        <v>44819</v>
      </c>
      <c r="D1719" s="135">
        <v>161.03</v>
      </c>
      <c r="O1719" s="134"/>
      <c r="P1719" s="135"/>
    </row>
    <row r="1720" spans="1:16" s="133" customFormat="1" ht="15" customHeight="1">
      <c r="A1720" s="1"/>
      <c r="B1720" s="1"/>
      <c r="C1720" s="134">
        <v>44820</v>
      </c>
      <c r="D1720" s="135">
        <v>160.15</v>
      </c>
      <c r="O1720" s="134"/>
      <c r="P1720" s="135"/>
    </row>
    <row r="1721" spans="1:16" s="133" customFormat="1" ht="15" customHeight="1">
      <c r="A1721" s="1"/>
      <c r="B1721" s="1"/>
      <c r="C1721" s="134">
        <v>44823</v>
      </c>
      <c r="D1721" s="135">
        <v>161.58000000000001</v>
      </c>
      <c r="O1721" s="134"/>
      <c r="P1721" s="135"/>
    </row>
    <row r="1722" spans="1:16" s="133" customFormat="1" ht="15" customHeight="1">
      <c r="A1722" s="1"/>
      <c r="B1722" s="1"/>
      <c r="C1722" s="134">
        <v>44824</v>
      </c>
      <c r="D1722" s="135">
        <v>161.11000000000001</v>
      </c>
      <c r="O1722" s="134"/>
      <c r="P1722" s="135"/>
    </row>
    <row r="1723" spans="1:16" s="133" customFormat="1" ht="15" customHeight="1">
      <c r="A1723" s="1"/>
      <c r="B1723" s="1"/>
      <c r="C1723" s="134">
        <v>44825</v>
      </c>
      <c r="D1723" s="135">
        <v>157.38999999999999</v>
      </c>
      <c r="O1723" s="134"/>
      <c r="P1723" s="135"/>
    </row>
    <row r="1724" spans="1:16" s="133" customFormat="1" ht="15" customHeight="1">
      <c r="A1724" s="1"/>
      <c r="B1724" s="1"/>
      <c r="C1724" s="134">
        <v>44826</v>
      </c>
      <c r="D1724" s="135">
        <v>158.88999999999999</v>
      </c>
      <c r="O1724" s="134"/>
      <c r="P1724" s="135"/>
    </row>
    <row r="1725" spans="1:16" s="133" customFormat="1" ht="15" customHeight="1">
      <c r="A1725" s="1"/>
      <c r="B1725" s="1"/>
      <c r="C1725" s="134">
        <v>44827</v>
      </c>
      <c r="D1725" s="135">
        <v>155.55000000000001</v>
      </c>
      <c r="O1725" s="134"/>
      <c r="P1725" s="135"/>
    </row>
    <row r="1726" spans="1:16" s="133" customFormat="1" ht="15" customHeight="1">
      <c r="A1726" s="1"/>
      <c r="B1726" s="1"/>
      <c r="C1726" s="134">
        <v>44830</v>
      </c>
      <c r="D1726" s="135">
        <v>156.71</v>
      </c>
      <c r="O1726" s="134"/>
      <c r="P1726" s="135"/>
    </row>
    <row r="1727" spans="1:16" s="133" customFormat="1" ht="15" customHeight="1">
      <c r="A1727" s="1"/>
      <c r="B1727" s="1"/>
      <c r="C1727" s="134">
        <v>44831</v>
      </c>
      <c r="D1727" s="135">
        <v>158.44</v>
      </c>
      <c r="O1727" s="134"/>
      <c r="P1727" s="135"/>
    </row>
    <row r="1728" spans="1:16" s="133" customFormat="1" ht="15" customHeight="1">
      <c r="A1728" s="1"/>
      <c r="B1728" s="1"/>
      <c r="C1728" s="134">
        <v>44832</v>
      </c>
      <c r="D1728" s="135">
        <v>157.87</v>
      </c>
      <c r="O1728" s="134"/>
      <c r="P1728" s="135"/>
    </row>
    <row r="1729" spans="1:16" s="133" customFormat="1" ht="15" customHeight="1">
      <c r="A1729" s="1"/>
      <c r="B1729" s="1"/>
      <c r="C1729" s="134">
        <v>44833</v>
      </c>
      <c r="D1729" s="135">
        <v>155.37</v>
      </c>
      <c r="O1729" s="134"/>
      <c r="P1729" s="135"/>
    </row>
    <row r="1730" spans="1:16" s="133" customFormat="1" ht="15" customHeight="1">
      <c r="A1730" s="1"/>
      <c r="B1730" s="1"/>
      <c r="C1730" s="134">
        <v>44834</v>
      </c>
      <c r="D1730" s="135">
        <v>153.94</v>
      </c>
      <c r="O1730" s="134"/>
      <c r="P1730" s="135"/>
    </row>
    <row r="1731" spans="1:16" s="133" customFormat="1" ht="15" customHeight="1">
      <c r="A1731" s="1"/>
      <c r="B1731" s="1"/>
      <c r="C1731" s="134">
        <v>44837</v>
      </c>
      <c r="D1731" s="135">
        <v>155.46</v>
      </c>
      <c r="O1731" s="134"/>
      <c r="P1731" s="135"/>
    </row>
    <row r="1732" spans="1:16" s="133" customFormat="1" ht="15" customHeight="1">
      <c r="A1732" s="1"/>
      <c r="B1732" s="1"/>
      <c r="C1732" s="134">
        <v>44838</v>
      </c>
      <c r="D1732" s="135">
        <v>159.82</v>
      </c>
      <c r="O1732" s="134"/>
      <c r="P1732" s="135"/>
    </row>
    <row r="1733" spans="1:16" s="133" customFormat="1" ht="15" customHeight="1">
      <c r="A1733" s="1"/>
      <c r="B1733" s="1"/>
      <c r="C1733" s="134">
        <v>44839</v>
      </c>
      <c r="D1733" s="135">
        <v>161.77000000000001</v>
      </c>
      <c r="O1733" s="134"/>
      <c r="P1733" s="135"/>
    </row>
    <row r="1734" spans="1:16" s="133" customFormat="1" ht="15" customHeight="1">
      <c r="A1734" s="1"/>
      <c r="B1734" s="1"/>
      <c r="C1734" s="134">
        <v>44840</v>
      </c>
      <c r="D1734" s="135">
        <v>160.84</v>
      </c>
      <c r="O1734" s="134"/>
      <c r="P1734" s="135"/>
    </row>
    <row r="1735" spans="1:16" s="133" customFormat="1" ht="15" customHeight="1">
      <c r="A1735" s="1"/>
      <c r="B1735" s="1"/>
      <c r="C1735" s="134">
        <v>44841</v>
      </c>
      <c r="D1735" s="135">
        <v>157.38</v>
      </c>
      <c r="O1735" s="134"/>
      <c r="P1735" s="135"/>
    </row>
    <row r="1736" spans="1:16" s="133" customFormat="1" ht="15" customHeight="1">
      <c r="A1736" s="1"/>
      <c r="B1736" s="1"/>
      <c r="C1736" s="134">
        <v>44844</v>
      </c>
      <c r="D1736" s="135">
        <v>157.94</v>
      </c>
      <c r="O1736" s="134"/>
      <c r="P1736" s="135"/>
    </row>
    <row r="1737" spans="1:16" s="133" customFormat="1" ht="15" customHeight="1">
      <c r="A1737" s="1"/>
      <c r="B1737" s="1"/>
      <c r="C1737" s="134">
        <v>44845</v>
      </c>
      <c r="D1737" s="135">
        <v>156.18</v>
      </c>
      <c r="O1737" s="134"/>
      <c r="P1737" s="135"/>
    </row>
    <row r="1738" spans="1:16" s="133" customFormat="1" ht="15" customHeight="1">
      <c r="A1738" s="1"/>
      <c r="B1738" s="1"/>
      <c r="C1738" s="134">
        <v>44846</v>
      </c>
      <c r="D1738" s="135">
        <v>155.11000000000001</v>
      </c>
      <c r="O1738" s="134"/>
      <c r="P1738" s="135"/>
    </row>
    <row r="1739" spans="1:16" s="133" customFormat="1" ht="15" customHeight="1">
      <c r="A1739" s="1"/>
      <c r="B1739" s="1"/>
      <c r="C1739" s="134">
        <v>44847</v>
      </c>
      <c r="D1739" s="135">
        <v>159.88999999999999</v>
      </c>
      <c r="O1739" s="134"/>
      <c r="P1739" s="135"/>
    </row>
    <row r="1740" spans="1:16" s="133" customFormat="1" ht="15" customHeight="1">
      <c r="A1740" s="1"/>
      <c r="B1740" s="1"/>
      <c r="C1740" s="134">
        <v>44848</v>
      </c>
      <c r="D1740" s="135">
        <v>157.33000000000001</v>
      </c>
      <c r="O1740" s="134"/>
      <c r="P1740" s="135"/>
    </row>
    <row r="1741" spans="1:16" s="133" customFormat="1" ht="15" customHeight="1">
      <c r="A1741" s="1"/>
      <c r="B1741" s="1"/>
      <c r="C1741" s="134">
        <v>44851</v>
      </c>
      <c r="D1741" s="135">
        <v>161.82</v>
      </c>
      <c r="O1741" s="134"/>
      <c r="P1741" s="135"/>
    </row>
    <row r="1742" spans="1:16" s="133" customFormat="1" ht="15" customHeight="1">
      <c r="A1742" s="1"/>
      <c r="B1742" s="1"/>
      <c r="C1742" s="134">
        <v>44852</v>
      </c>
      <c r="D1742" s="135">
        <v>163.5</v>
      </c>
      <c r="O1742" s="134"/>
      <c r="P1742" s="135"/>
    </row>
    <row r="1743" spans="1:16" s="133" customFormat="1" ht="15" customHeight="1">
      <c r="A1743" s="1"/>
      <c r="B1743" s="1"/>
      <c r="C1743" s="134">
        <v>44853</v>
      </c>
      <c r="D1743" s="135">
        <v>164.6</v>
      </c>
      <c r="O1743" s="134"/>
      <c r="P1743" s="135"/>
    </row>
    <row r="1744" spans="1:16" s="133" customFormat="1" ht="15" customHeight="1">
      <c r="A1744" s="1"/>
      <c r="B1744" s="1"/>
      <c r="C1744" s="134">
        <v>44854</v>
      </c>
      <c r="D1744" s="135">
        <v>165.18</v>
      </c>
      <c r="O1744" s="134"/>
      <c r="P1744" s="135"/>
    </row>
    <row r="1745" spans="1:16" s="133" customFormat="1" ht="15" customHeight="1">
      <c r="A1745" s="1"/>
      <c r="B1745" s="1"/>
      <c r="C1745" s="134">
        <v>44855</v>
      </c>
      <c r="D1745" s="135">
        <v>170.98</v>
      </c>
      <c r="O1745" s="134"/>
      <c r="P1745" s="135"/>
    </row>
    <row r="1746" spans="1:16" s="133" customFormat="1" ht="15" customHeight="1">
      <c r="A1746" s="1"/>
      <c r="B1746" s="1"/>
      <c r="C1746" s="134">
        <v>44858</v>
      </c>
      <c r="D1746" s="135">
        <v>174.26</v>
      </c>
      <c r="O1746" s="134"/>
      <c r="P1746" s="135"/>
    </row>
    <row r="1747" spans="1:16" s="133" customFormat="1" ht="15" customHeight="1">
      <c r="A1747" s="1"/>
      <c r="B1747" s="1"/>
      <c r="C1747" s="134">
        <v>44859</v>
      </c>
      <c r="D1747" s="135">
        <v>174.49</v>
      </c>
      <c r="O1747" s="134"/>
      <c r="P1747" s="135"/>
    </row>
    <row r="1748" spans="1:16" s="133" customFormat="1" ht="15" customHeight="1">
      <c r="A1748" s="1"/>
      <c r="B1748" s="1"/>
      <c r="C1748" s="134">
        <v>44860</v>
      </c>
      <c r="D1748" s="135">
        <v>171.15</v>
      </c>
      <c r="O1748" s="134"/>
      <c r="P1748" s="135"/>
    </row>
    <row r="1749" spans="1:16" s="133" customFormat="1" ht="15" customHeight="1">
      <c r="A1749" s="1"/>
      <c r="B1749" s="1"/>
      <c r="C1749" s="134">
        <v>44861</v>
      </c>
      <c r="D1749" s="135">
        <v>168.98</v>
      </c>
      <c r="O1749" s="134"/>
      <c r="P1749" s="135"/>
    </row>
    <row r="1750" spans="1:16" s="133" customFormat="1" ht="15" customHeight="1">
      <c r="A1750" s="1"/>
      <c r="B1750" s="1"/>
      <c r="C1750" s="134">
        <v>44862</v>
      </c>
      <c r="D1750" s="135">
        <v>174.56</v>
      </c>
      <c r="O1750" s="134"/>
      <c r="P1750" s="135"/>
    </row>
    <row r="1751" spans="1:16" s="133" customFormat="1" ht="15" customHeight="1">
      <c r="A1751" s="1"/>
      <c r="B1751" s="1"/>
      <c r="C1751" s="134">
        <v>44865</v>
      </c>
      <c r="D1751" s="135">
        <v>174.44</v>
      </c>
      <c r="O1751" s="134"/>
      <c r="P1751" s="135"/>
    </row>
    <row r="1752" spans="1:16" s="133" customFormat="1" ht="15" customHeight="1">
      <c r="A1752" s="1"/>
      <c r="B1752" s="1"/>
      <c r="C1752" s="134">
        <v>44866</v>
      </c>
      <c r="D1752" s="135">
        <v>172.93</v>
      </c>
      <c r="O1752" s="134"/>
      <c r="P1752" s="135"/>
    </row>
    <row r="1753" spans="1:16" s="133" customFormat="1" ht="15" customHeight="1">
      <c r="A1753" s="1"/>
      <c r="B1753" s="1"/>
      <c r="C1753" s="134">
        <v>44867</v>
      </c>
      <c r="D1753" s="135">
        <v>169.04</v>
      </c>
      <c r="O1753" s="134"/>
      <c r="P1753" s="135"/>
    </row>
    <row r="1754" spans="1:16" s="133" customFormat="1" ht="15" customHeight="1">
      <c r="A1754" s="1"/>
      <c r="B1754" s="1"/>
      <c r="C1754" s="134">
        <v>44868</v>
      </c>
      <c r="D1754" s="135">
        <v>167.79</v>
      </c>
      <c r="O1754" s="134"/>
      <c r="P1754" s="135"/>
    </row>
    <row r="1755" spans="1:16" s="133" customFormat="1" ht="15" customHeight="1">
      <c r="A1755" s="1"/>
      <c r="B1755" s="1"/>
      <c r="C1755" s="134">
        <v>44869</v>
      </c>
      <c r="D1755" s="135">
        <v>171.36</v>
      </c>
      <c r="O1755" s="134"/>
      <c r="P1755" s="135"/>
    </row>
    <row r="1756" spans="1:16" s="133" customFormat="1" ht="15" customHeight="1">
      <c r="A1756" s="1"/>
      <c r="B1756" s="1"/>
      <c r="C1756" s="134">
        <v>44872</v>
      </c>
      <c r="D1756" s="135">
        <v>174.34</v>
      </c>
      <c r="O1756" s="134"/>
      <c r="P1756" s="135"/>
    </row>
    <row r="1757" spans="1:16" s="133" customFormat="1" ht="15" customHeight="1">
      <c r="A1757" s="1"/>
      <c r="B1757" s="1"/>
      <c r="C1757" s="134">
        <v>44873</v>
      </c>
      <c r="D1757" s="135">
        <v>173.21</v>
      </c>
      <c r="O1757" s="134"/>
      <c r="P1757" s="135"/>
    </row>
    <row r="1758" spans="1:16" s="133" customFormat="1" ht="15" customHeight="1">
      <c r="A1758" s="1"/>
      <c r="B1758" s="1"/>
      <c r="C1758" s="134">
        <v>44874</v>
      </c>
      <c r="D1758" s="135">
        <v>170.03</v>
      </c>
      <c r="O1758" s="134"/>
      <c r="P1758" s="135"/>
    </row>
    <row r="1759" spans="1:16" s="133" customFormat="1" ht="15" customHeight="1">
      <c r="A1759" s="1"/>
      <c r="B1759" s="1"/>
      <c r="C1759" s="134">
        <v>44875</v>
      </c>
      <c r="D1759" s="135">
        <v>173.01</v>
      </c>
      <c r="O1759" s="134"/>
      <c r="P1759" s="135"/>
    </row>
    <row r="1760" spans="1:16" s="133" customFormat="1" ht="15" customHeight="1">
      <c r="A1760" s="1"/>
      <c r="B1760" s="1"/>
      <c r="C1760" s="134">
        <v>44876</v>
      </c>
      <c r="D1760" s="135">
        <v>175.18</v>
      </c>
      <c r="O1760" s="134"/>
      <c r="P1760" s="135"/>
    </row>
    <row r="1761" spans="1:16" s="133" customFormat="1" ht="15" customHeight="1">
      <c r="A1761" s="1"/>
      <c r="B1761" s="1"/>
      <c r="C1761" s="134">
        <v>44879</v>
      </c>
      <c r="D1761" s="135">
        <v>173.96</v>
      </c>
      <c r="O1761" s="134"/>
      <c r="P1761" s="135"/>
    </row>
    <row r="1762" spans="1:16" s="133" customFormat="1" ht="15" customHeight="1">
      <c r="A1762" s="1"/>
      <c r="B1762" s="1"/>
      <c r="C1762" s="134">
        <v>44880</v>
      </c>
      <c r="D1762" s="135">
        <v>174.22</v>
      </c>
      <c r="O1762" s="134"/>
      <c r="P1762" s="135"/>
    </row>
    <row r="1763" spans="1:16" s="133" customFormat="1" ht="15" customHeight="1">
      <c r="A1763" s="1"/>
      <c r="B1763" s="1"/>
      <c r="C1763" s="134">
        <v>44881</v>
      </c>
      <c r="D1763" s="135">
        <v>170.26</v>
      </c>
      <c r="O1763" s="134"/>
      <c r="P1763" s="135"/>
    </row>
    <row r="1764" spans="1:16" s="133" customFormat="1" ht="15" customHeight="1">
      <c r="A1764" s="1"/>
      <c r="B1764" s="1"/>
      <c r="C1764" s="134">
        <v>44882</v>
      </c>
      <c r="D1764" s="135">
        <v>170.47</v>
      </c>
      <c r="O1764" s="134"/>
      <c r="P1764" s="135"/>
    </row>
    <row r="1765" spans="1:16" s="133" customFormat="1" ht="15" customHeight="1">
      <c r="A1765" s="1"/>
      <c r="B1765" s="1"/>
      <c r="C1765" s="134">
        <v>44883</v>
      </c>
      <c r="D1765" s="135">
        <v>171.85</v>
      </c>
      <c r="O1765" s="134"/>
      <c r="P1765" s="135"/>
    </row>
    <row r="1766" spans="1:16" s="133" customFormat="1" ht="15" customHeight="1">
      <c r="A1766" s="1"/>
      <c r="B1766" s="1"/>
      <c r="C1766" s="134">
        <v>44886</v>
      </c>
      <c r="D1766" s="135">
        <v>171.17</v>
      </c>
      <c r="O1766" s="134"/>
      <c r="P1766" s="135"/>
    </row>
    <row r="1767" spans="1:16" s="133" customFormat="1" ht="15" customHeight="1">
      <c r="A1767" s="1"/>
      <c r="B1767" s="1"/>
      <c r="C1767" s="134">
        <v>44887</v>
      </c>
      <c r="D1767" s="135">
        <v>171.88</v>
      </c>
      <c r="O1767" s="134"/>
      <c r="P1767" s="135"/>
    </row>
    <row r="1768" spans="1:16" s="133" customFormat="1" ht="15" customHeight="1">
      <c r="A1768" s="1"/>
      <c r="B1768" s="1"/>
      <c r="C1768" s="134">
        <v>44888</v>
      </c>
      <c r="D1768" s="135">
        <v>171.52</v>
      </c>
      <c r="O1768" s="134"/>
      <c r="P1768" s="135"/>
    </row>
    <row r="1769" spans="1:16" s="133" customFormat="1" ht="15" customHeight="1">
      <c r="A1769" s="1"/>
      <c r="B1769" s="1"/>
      <c r="C1769" s="134">
        <v>44890</v>
      </c>
      <c r="D1769" s="135">
        <v>171.58</v>
      </c>
      <c r="O1769" s="134"/>
      <c r="P1769" s="135"/>
    </row>
    <row r="1770" spans="1:16" s="133" customFormat="1" ht="15" customHeight="1">
      <c r="A1770" s="1"/>
      <c r="B1770" s="1"/>
      <c r="C1770" s="134">
        <v>44893</v>
      </c>
      <c r="D1770" s="135">
        <v>169.11</v>
      </c>
      <c r="O1770" s="134"/>
      <c r="P1770" s="135"/>
    </row>
    <row r="1771" spans="1:16" s="133" customFormat="1" ht="15" customHeight="1">
      <c r="A1771" s="1"/>
      <c r="B1771" s="1"/>
      <c r="C1771" s="134">
        <v>44894</v>
      </c>
      <c r="D1771" s="135">
        <v>169.74</v>
      </c>
      <c r="O1771" s="134"/>
      <c r="P1771" s="135"/>
    </row>
    <row r="1772" spans="1:16" s="133" customFormat="1" ht="15" customHeight="1">
      <c r="A1772" s="1"/>
      <c r="B1772" s="1"/>
      <c r="C1772" s="134">
        <v>44895</v>
      </c>
      <c r="D1772" s="135">
        <v>174.41</v>
      </c>
      <c r="O1772" s="134"/>
      <c r="P1772" s="135"/>
    </row>
    <row r="1773" spans="1:16" s="133" customFormat="1" ht="15" customHeight="1">
      <c r="A1773" s="1"/>
      <c r="B1773" s="1"/>
      <c r="C1773" s="134">
        <v>44896</v>
      </c>
      <c r="D1773" s="135">
        <v>171.02</v>
      </c>
      <c r="O1773" s="134"/>
      <c r="P1773" s="135"/>
    </row>
    <row r="1774" spans="1:16" s="133" customFormat="1" ht="15" customHeight="1">
      <c r="A1774" s="1"/>
      <c r="B1774" s="1"/>
      <c r="C1774" s="134">
        <v>44897</v>
      </c>
      <c r="D1774" s="135">
        <v>170.4</v>
      </c>
      <c r="O1774" s="134"/>
      <c r="P1774" s="135"/>
    </row>
    <row r="1775" spans="1:16" s="133" customFormat="1" ht="15" customHeight="1">
      <c r="A1775" s="1"/>
      <c r="B1775" s="1"/>
      <c r="C1775" s="134">
        <v>44900</v>
      </c>
      <c r="D1775" s="135">
        <v>168.71</v>
      </c>
      <c r="O1775" s="134"/>
      <c r="P1775" s="135"/>
    </row>
    <row r="1776" spans="1:16" s="133" customFormat="1" ht="15" customHeight="1">
      <c r="A1776" s="1"/>
      <c r="B1776" s="1"/>
      <c r="C1776" s="134">
        <v>44901</v>
      </c>
      <c r="D1776" s="135">
        <v>164.19</v>
      </c>
      <c r="O1776" s="134"/>
      <c r="P1776" s="135"/>
    </row>
    <row r="1777" spans="1:16" s="133" customFormat="1" ht="15" customHeight="1">
      <c r="A1777" s="1"/>
      <c r="B1777" s="1"/>
      <c r="C1777" s="134">
        <v>44902</v>
      </c>
      <c r="D1777" s="135">
        <v>161.94</v>
      </c>
      <c r="O1777" s="134"/>
      <c r="P1777" s="135"/>
    </row>
    <row r="1778" spans="1:16" s="133" customFormat="1" ht="15" customHeight="1">
      <c r="A1778" s="1"/>
      <c r="B1778" s="1"/>
      <c r="C1778" s="134">
        <v>44903</v>
      </c>
      <c r="D1778" s="135">
        <v>164.3</v>
      </c>
      <c r="O1778" s="134"/>
      <c r="P1778" s="135"/>
    </row>
    <row r="1779" spans="1:16" s="133" customFormat="1" ht="15" customHeight="1">
      <c r="A1779" s="1"/>
      <c r="B1779" s="1"/>
      <c r="C1779" s="134">
        <v>44904</v>
      </c>
      <c r="D1779" s="135">
        <v>164.47</v>
      </c>
      <c r="O1779" s="134"/>
      <c r="P1779" s="135"/>
    </row>
    <row r="1780" spans="1:16" s="133" customFormat="1" ht="15" customHeight="1">
      <c r="A1780" s="1"/>
      <c r="B1780" s="1"/>
      <c r="C1780" s="134">
        <v>44907</v>
      </c>
      <c r="D1780" s="135">
        <v>167.2</v>
      </c>
      <c r="O1780" s="134"/>
      <c r="P1780" s="135"/>
    </row>
    <row r="1781" spans="1:16" s="133" customFormat="1" ht="15" customHeight="1">
      <c r="A1781" s="1"/>
      <c r="B1781" s="1"/>
      <c r="C1781" s="134">
        <v>44908</v>
      </c>
      <c r="D1781" s="135">
        <v>166.46</v>
      </c>
      <c r="O1781" s="134"/>
      <c r="P1781" s="135"/>
    </row>
    <row r="1782" spans="1:16" s="133" customFormat="1" ht="15" customHeight="1">
      <c r="A1782" s="1"/>
      <c r="B1782" s="1"/>
      <c r="C1782" s="134">
        <v>44909</v>
      </c>
      <c r="D1782" s="135">
        <v>165.56</v>
      </c>
      <c r="O1782" s="134"/>
      <c r="P1782" s="135"/>
    </row>
    <row r="1783" spans="1:16" s="133" customFormat="1" ht="15" customHeight="1">
      <c r="A1783" s="1"/>
      <c r="B1783" s="1"/>
      <c r="C1783" s="134">
        <v>44910</v>
      </c>
      <c r="D1783" s="135">
        <v>160.18</v>
      </c>
      <c r="O1783" s="134"/>
      <c r="P1783" s="135"/>
    </row>
    <row r="1784" spans="1:16" s="133" customFormat="1" ht="15" customHeight="1">
      <c r="A1784" s="1"/>
      <c r="B1784" s="1"/>
      <c r="C1784" s="134">
        <v>44911</v>
      </c>
      <c r="D1784" s="135">
        <v>159.33000000000001</v>
      </c>
      <c r="O1784" s="134"/>
      <c r="P1784" s="135"/>
    </row>
    <row r="1785" spans="1:16" s="133" customFormat="1" ht="15" customHeight="1">
      <c r="A1785" s="1"/>
      <c r="B1785" s="1"/>
      <c r="C1785" s="134">
        <v>44914</v>
      </c>
      <c r="D1785" s="135">
        <v>159.68</v>
      </c>
      <c r="O1785" s="134"/>
      <c r="P1785" s="135"/>
    </row>
    <row r="1786" spans="1:16" s="133" customFormat="1" ht="15" customHeight="1">
      <c r="A1786" s="1"/>
      <c r="B1786" s="1"/>
      <c r="C1786" s="134">
        <v>44915</v>
      </c>
      <c r="D1786" s="135">
        <v>161.93</v>
      </c>
      <c r="O1786" s="134"/>
      <c r="P1786" s="135"/>
    </row>
    <row r="1787" spans="1:16" s="133" customFormat="1" ht="15" customHeight="1">
      <c r="A1787" s="1"/>
      <c r="B1787" s="1"/>
      <c r="C1787" s="134">
        <v>44916</v>
      </c>
      <c r="D1787" s="135">
        <v>164.25</v>
      </c>
      <c r="O1787" s="134"/>
      <c r="P1787" s="135"/>
    </row>
    <row r="1788" spans="1:16" s="133" customFormat="1" ht="15" customHeight="1">
      <c r="A1788" s="1"/>
      <c r="B1788" s="1"/>
      <c r="C1788" s="134">
        <v>44917</v>
      </c>
      <c r="D1788" s="135">
        <v>161.53</v>
      </c>
      <c r="O1788" s="134"/>
      <c r="P1788" s="135"/>
    </row>
    <row r="1789" spans="1:16" s="133" customFormat="1" ht="15" customHeight="1">
      <c r="A1789" s="1"/>
      <c r="B1789" s="1"/>
      <c r="C1789" s="134">
        <v>44918</v>
      </c>
      <c r="D1789" s="135">
        <v>164.02</v>
      </c>
      <c r="O1789" s="134"/>
      <c r="P1789" s="135"/>
    </row>
    <row r="1790" spans="1:16" s="133" customFormat="1" ht="15" customHeight="1">
      <c r="A1790" s="1"/>
      <c r="B1790" s="1"/>
      <c r="C1790" s="134">
        <v>44922</v>
      </c>
      <c r="D1790" s="135">
        <v>165.86</v>
      </c>
      <c r="O1790" s="134"/>
      <c r="P1790" s="135"/>
    </row>
    <row r="1791" spans="1:16" s="133" customFormat="1" ht="15" customHeight="1">
      <c r="A1791" s="1"/>
      <c r="B1791" s="1"/>
      <c r="C1791" s="134">
        <v>44923</v>
      </c>
      <c r="D1791" s="135">
        <v>164.37</v>
      </c>
      <c r="O1791" s="134"/>
      <c r="P1791" s="135"/>
    </row>
    <row r="1792" spans="1:16" s="133" customFormat="1" ht="15" customHeight="1">
      <c r="A1792" s="1"/>
      <c r="B1792" s="1"/>
      <c r="C1792" s="134">
        <v>44924</v>
      </c>
      <c r="D1792" s="135">
        <v>166.38</v>
      </c>
      <c r="O1792" s="134"/>
      <c r="P1792" s="135"/>
    </row>
    <row r="1793" spans="1:16" s="133" customFormat="1" ht="15" customHeight="1">
      <c r="A1793" s="1"/>
      <c r="B1793" s="1"/>
      <c r="C1793" s="134">
        <v>44925</v>
      </c>
      <c r="D1793" s="135">
        <v>166.15</v>
      </c>
      <c r="O1793" s="134"/>
      <c r="P1793" s="135"/>
    </row>
    <row r="1794" spans="1:16" s="133" customFormat="1" ht="15" customHeight="1">
      <c r="A1794" s="1"/>
      <c r="B1794" s="1"/>
      <c r="C1794" s="134">
        <v>44929</v>
      </c>
      <c r="D1794" s="135">
        <v>164.42</v>
      </c>
      <c r="O1794" s="134"/>
      <c r="P1794" s="135"/>
    </row>
    <row r="1795" spans="1:16" s="133" customFormat="1" ht="15" customHeight="1">
      <c r="A1795" s="1"/>
      <c r="B1795" s="1"/>
      <c r="C1795" s="134">
        <v>44930</v>
      </c>
      <c r="D1795" s="135">
        <v>163.99</v>
      </c>
      <c r="O1795" s="134"/>
      <c r="P1795" s="135"/>
    </row>
    <row r="1796" spans="1:16" s="133" customFormat="1" ht="15" customHeight="1">
      <c r="A1796" s="1"/>
      <c r="B1796" s="1"/>
      <c r="C1796" s="134">
        <v>44931</v>
      </c>
      <c r="D1796" s="135">
        <v>162.05000000000001</v>
      </c>
      <c r="O1796" s="134"/>
      <c r="P1796" s="135"/>
    </row>
    <row r="1797" spans="1:16" s="133" customFormat="1" ht="15" customHeight="1">
      <c r="A1797" s="1"/>
      <c r="B1797" s="1"/>
      <c r="C1797" s="134">
        <v>44932</v>
      </c>
      <c r="D1797" s="135">
        <v>163.58000000000001</v>
      </c>
      <c r="O1797" s="134"/>
      <c r="P1797" s="135"/>
    </row>
    <row r="1798" spans="1:16" s="133" customFormat="1" ht="15" customHeight="1">
      <c r="A1798" s="1"/>
      <c r="B1798" s="1"/>
      <c r="C1798" s="134">
        <v>44935</v>
      </c>
      <c r="D1798" s="135">
        <v>162.69999999999999</v>
      </c>
      <c r="O1798" s="134"/>
      <c r="P1798" s="135"/>
    </row>
    <row r="1799" spans="1:16" s="133" customFormat="1" ht="15" customHeight="1">
      <c r="A1799" s="1"/>
      <c r="B1799" s="1"/>
      <c r="C1799" s="134">
        <v>44936</v>
      </c>
      <c r="D1799" s="135">
        <v>165.96</v>
      </c>
      <c r="O1799" s="134"/>
      <c r="P1799" s="135"/>
    </row>
    <row r="1800" spans="1:16" s="133" customFormat="1" ht="15" customHeight="1">
      <c r="A1800" s="1"/>
      <c r="B1800" s="1"/>
      <c r="C1800" s="134">
        <v>44937</v>
      </c>
      <c r="D1800" s="135">
        <v>166.92</v>
      </c>
      <c r="O1800" s="134"/>
      <c r="P1800" s="135"/>
    </row>
    <row r="1801" spans="1:16" s="133" customFormat="1" ht="15" customHeight="1">
      <c r="A1801" s="1"/>
      <c r="B1801" s="1"/>
      <c r="C1801" s="134">
        <v>44938</v>
      </c>
      <c r="D1801" s="135">
        <v>165.49</v>
      </c>
      <c r="O1801" s="134"/>
      <c r="P1801" s="135"/>
    </row>
    <row r="1802" spans="1:16" s="133" customFormat="1" ht="15" customHeight="1">
      <c r="A1802" s="1"/>
      <c r="B1802" s="1"/>
      <c r="C1802" s="134">
        <v>44939</v>
      </c>
      <c r="D1802" s="135">
        <v>166.95</v>
      </c>
      <c r="O1802" s="134"/>
      <c r="P1802" s="135"/>
    </row>
    <row r="1803" spans="1:16" s="133" customFormat="1" ht="15" customHeight="1">
      <c r="A1803" s="1"/>
      <c r="B1803" s="1"/>
      <c r="C1803" s="134">
        <v>44943</v>
      </c>
      <c r="D1803" s="135">
        <v>167.03</v>
      </c>
      <c r="O1803" s="134"/>
      <c r="P1803" s="135"/>
    </row>
    <row r="1804" spans="1:16" s="133" customFormat="1" ht="15" customHeight="1">
      <c r="A1804" s="1"/>
      <c r="B1804" s="1"/>
      <c r="C1804" s="134">
        <v>44944</v>
      </c>
      <c r="D1804" s="135">
        <v>161.38</v>
      </c>
      <c r="O1804" s="134"/>
      <c r="P1804" s="135"/>
    </row>
    <row r="1805" spans="1:16" s="133" customFormat="1" ht="15" customHeight="1">
      <c r="A1805" s="1"/>
      <c r="B1805" s="1"/>
      <c r="C1805" s="134">
        <v>44945</v>
      </c>
      <c r="D1805" s="135">
        <v>160.54</v>
      </c>
      <c r="O1805" s="134"/>
      <c r="P1805" s="135"/>
    </row>
    <row r="1806" spans="1:16" s="133" customFormat="1" ht="15" customHeight="1">
      <c r="A1806" s="1"/>
      <c r="B1806" s="1"/>
      <c r="C1806" s="134">
        <v>44946</v>
      </c>
      <c r="D1806" s="135">
        <v>165.12</v>
      </c>
      <c r="O1806" s="134"/>
      <c r="P1806" s="135"/>
    </row>
    <row r="1807" spans="1:16" s="133" customFormat="1" ht="15" customHeight="1">
      <c r="A1807" s="1"/>
      <c r="B1807" s="1"/>
      <c r="C1807" s="134">
        <v>44949</v>
      </c>
      <c r="D1807" s="135">
        <v>167.96</v>
      </c>
      <c r="O1807" s="134"/>
      <c r="P1807" s="135"/>
    </row>
    <row r="1808" spans="1:16" s="133" customFormat="1" ht="15" customHeight="1">
      <c r="A1808" s="1"/>
      <c r="B1808" s="1"/>
      <c r="C1808" s="134">
        <v>44950</v>
      </c>
      <c r="D1808" s="135">
        <v>166.53</v>
      </c>
      <c r="O1808" s="134"/>
      <c r="P1808" s="135"/>
    </row>
    <row r="1809" spans="1:16" s="133" customFormat="1" ht="15" customHeight="1">
      <c r="A1809" s="1"/>
      <c r="B1809" s="1"/>
      <c r="C1809" s="134">
        <v>44951</v>
      </c>
      <c r="D1809" s="135">
        <v>166.56</v>
      </c>
      <c r="O1809" s="134"/>
      <c r="P1809" s="135"/>
    </row>
    <row r="1810" spans="1:16" s="133" customFormat="1" ht="15" customHeight="1">
      <c r="A1810" s="1"/>
      <c r="B1810" s="1"/>
      <c r="C1810" s="134">
        <v>44952</v>
      </c>
      <c r="D1810" s="135">
        <v>168.9</v>
      </c>
      <c r="O1810" s="134"/>
      <c r="P1810" s="135"/>
    </row>
    <row r="1811" spans="1:16" s="133" customFormat="1" ht="15" customHeight="1">
      <c r="A1811" s="1"/>
      <c r="B1811" s="1"/>
      <c r="C1811" s="134">
        <v>44953</v>
      </c>
      <c r="D1811" s="135">
        <v>169.61</v>
      </c>
      <c r="O1811" s="134"/>
      <c r="P1811" s="135"/>
    </row>
    <row r="1812" spans="1:16" s="133" customFormat="1" ht="15" customHeight="1">
      <c r="A1812" s="1"/>
      <c r="B1812" s="1"/>
      <c r="C1812" s="134">
        <v>44956</v>
      </c>
      <c r="D1812" s="135">
        <v>168.01</v>
      </c>
      <c r="O1812" s="134"/>
      <c r="P1812" s="135"/>
    </row>
    <row r="1813" spans="1:16" s="133" customFormat="1" ht="15" customHeight="1">
      <c r="A1813" s="1"/>
      <c r="B1813" s="1"/>
      <c r="C1813" s="134">
        <v>44957</v>
      </c>
      <c r="D1813" s="135">
        <v>170.31</v>
      </c>
      <c r="O1813" s="134"/>
      <c r="P1813" s="135"/>
    </row>
    <row r="1814" spans="1:16" s="133" customFormat="1" ht="15" customHeight="1">
      <c r="A1814" s="1"/>
      <c r="B1814" s="1"/>
      <c r="C1814" s="134">
        <v>44958</v>
      </c>
      <c r="D1814" s="135">
        <v>169.75</v>
      </c>
      <c r="O1814" s="134"/>
      <c r="P1814" s="135"/>
    </row>
    <row r="1815" spans="1:16" s="133" customFormat="1" ht="15" customHeight="1">
      <c r="A1815" s="1"/>
      <c r="B1815" s="1"/>
      <c r="C1815" s="134">
        <v>44959</v>
      </c>
      <c r="D1815" s="135">
        <v>172.05</v>
      </c>
      <c r="O1815" s="134"/>
      <c r="P1815" s="135"/>
    </row>
    <row r="1816" spans="1:16" s="133" customFormat="1" ht="15" customHeight="1">
      <c r="A1816" s="1"/>
      <c r="B1816" s="1"/>
      <c r="C1816" s="134">
        <v>44960</v>
      </c>
      <c r="D1816" s="135">
        <v>172.52</v>
      </c>
      <c r="O1816" s="134"/>
      <c r="P1816" s="135"/>
    </row>
    <row r="1817" spans="1:16" s="133" customFormat="1" ht="15" customHeight="1">
      <c r="A1817" s="1"/>
      <c r="B1817" s="1"/>
      <c r="C1817" s="134">
        <v>44963</v>
      </c>
      <c r="D1817" s="135">
        <v>172.98</v>
      </c>
      <c r="O1817" s="134"/>
      <c r="P1817" s="135"/>
    </row>
    <row r="1818" spans="1:16" s="133" customFormat="1" ht="15" customHeight="1">
      <c r="A1818" s="1"/>
      <c r="B1818" s="1"/>
      <c r="C1818" s="134">
        <v>44964</v>
      </c>
      <c r="D1818" s="135">
        <v>175.99</v>
      </c>
      <c r="O1818" s="134"/>
      <c r="P1818" s="135"/>
    </row>
    <row r="1819" spans="1:16" s="133" customFormat="1" ht="15" customHeight="1">
      <c r="A1819" s="1"/>
      <c r="B1819" s="1"/>
      <c r="C1819" s="134">
        <v>44965</v>
      </c>
      <c r="D1819" s="135">
        <v>174.19</v>
      </c>
      <c r="O1819" s="134"/>
      <c r="P1819" s="135"/>
    </row>
    <row r="1820" spans="1:16" s="133" customFormat="1" ht="15" customHeight="1">
      <c r="A1820" s="1"/>
      <c r="B1820" s="1"/>
      <c r="C1820" s="134">
        <v>44966</v>
      </c>
      <c r="D1820" s="135">
        <v>173.22</v>
      </c>
      <c r="O1820" s="134"/>
      <c r="P1820" s="135"/>
    </row>
    <row r="1821" spans="1:16" s="133" customFormat="1" ht="15" customHeight="1">
      <c r="A1821" s="1"/>
      <c r="B1821" s="1"/>
      <c r="C1821" s="134">
        <v>44967</v>
      </c>
      <c r="D1821" s="135">
        <v>174.85</v>
      </c>
      <c r="O1821" s="134"/>
      <c r="P1821" s="135"/>
    </row>
    <row r="1822" spans="1:16" s="133" customFormat="1" ht="15" customHeight="1">
      <c r="A1822" s="1"/>
      <c r="B1822" s="1"/>
      <c r="C1822" s="134">
        <v>44970</v>
      </c>
      <c r="D1822" s="135">
        <v>176.34</v>
      </c>
      <c r="O1822" s="134"/>
      <c r="P1822" s="135"/>
    </row>
    <row r="1823" spans="1:16" s="133" customFormat="1" ht="15" customHeight="1">
      <c r="A1823" s="1"/>
      <c r="B1823" s="1"/>
      <c r="C1823" s="134">
        <v>44971</v>
      </c>
      <c r="D1823" s="135">
        <v>176.85</v>
      </c>
      <c r="O1823" s="134"/>
      <c r="P1823" s="135"/>
    </row>
    <row r="1824" spans="1:16" s="133" customFormat="1" ht="15" customHeight="1">
      <c r="A1824" s="1"/>
      <c r="B1824" s="1"/>
      <c r="C1824" s="134">
        <v>44972</v>
      </c>
      <c r="D1824" s="135">
        <v>178.46</v>
      </c>
      <c r="O1824" s="134"/>
      <c r="P1824" s="135"/>
    </row>
    <row r="1825" spans="1:16" s="133" customFormat="1" ht="15" customHeight="1">
      <c r="A1825" s="1"/>
      <c r="B1825" s="1"/>
      <c r="C1825" s="134">
        <v>44973</v>
      </c>
      <c r="D1825" s="135">
        <v>176.9</v>
      </c>
      <c r="O1825" s="134"/>
      <c r="P1825" s="135"/>
    </row>
    <row r="1826" spans="1:16" s="133" customFormat="1" ht="15" customHeight="1">
      <c r="A1826" s="1"/>
      <c r="B1826" s="1"/>
      <c r="C1826" s="134">
        <v>44974</v>
      </c>
      <c r="D1826" s="135">
        <v>176.09</v>
      </c>
      <c r="O1826" s="134"/>
      <c r="P1826" s="135"/>
    </row>
    <row r="1827" spans="1:16" s="133" customFormat="1" ht="15" customHeight="1">
      <c r="A1827" s="1"/>
      <c r="B1827" s="1"/>
      <c r="C1827" s="134">
        <v>44978</v>
      </c>
      <c r="D1827" s="135">
        <v>175.02</v>
      </c>
      <c r="O1827" s="134"/>
      <c r="P1827" s="135"/>
    </row>
    <row r="1828" spans="1:16" s="133" customFormat="1" ht="15" customHeight="1">
      <c r="A1828" s="1"/>
      <c r="B1828" s="1"/>
      <c r="C1828" s="134">
        <v>44979</v>
      </c>
      <c r="D1828" s="135">
        <v>174.09</v>
      </c>
      <c r="O1828" s="134"/>
      <c r="P1828" s="135"/>
    </row>
    <row r="1829" spans="1:16" s="133" customFormat="1" ht="15" customHeight="1">
      <c r="A1829" s="1"/>
      <c r="B1829" s="1"/>
      <c r="C1829" s="134">
        <v>44980</v>
      </c>
      <c r="D1829" s="135">
        <v>174.23</v>
      </c>
      <c r="O1829" s="134"/>
      <c r="P1829" s="135"/>
    </row>
    <row r="1830" spans="1:16" s="133" customFormat="1" ht="15" customHeight="1">
      <c r="A1830" s="1"/>
      <c r="B1830" s="1"/>
      <c r="C1830" s="134">
        <v>44981</v>
      </c>
      <c r="D1830" s="135">
        <v>174.16</v>
      </c>
      <c r="O1830" s="134"/>
      <c r="P1830" s="135"/>
    </row>
    <row r="1831" spans="1:16" s="133" customFormat="1" ht="15" customHeight="1">
      <c r="A1831" s="1"/>
      <c r="B1831" s="1"/>
      <c r="C1831" s="134">
        <v>44984</v>
      </c>
      <c r="D1831" s="135">
        <v>174.33</v>
      </c>
      <c r="O1831" s="134"/>
      <c r="P1831" s="135"/>
    </row>
    <row r="1832" spans="1:16" s="133" customFormat="1" ht="15" customHeight="1">
      <c r="A1832" s="1"/>
      <c r="B1832" s="1"/>
      <c r="C1832" s="134">
        <v>44985</v>
      </c>
      <c r="D1832" s="135">
        <v>173.93</v>
      </c>
      <c r="O1832" s="134"/>
      <c r="P1832" s="135"/>
    </row>
    <row r="1833" spans="1:16" s="133" customFormat="1" ht="15" customHeight="1">
      <c r="A1833" s="1"/>
      <c r="B1833" s="1"/>
      <c r="C1833" s="134">
        <v>44986</v>
      </c>
      <c r="D1833" s="135">
        <v>174.64</v>
      </c>
      <c r="O1833" s="134"/>
      <c r="P1833" s="135"/>
    </row>
    <row r="1834" spans="1:16" s="133" customFormat="1" ht="15" customHeight="1">
      <c r="A1834" s="1"/>
      <c r="B1834" s="1"/>
      <c r="C1834" s="134">
        <v>44987</v>
      </c>
      <c r="D1834" s="135">
        <v>177.41</v>
      </c>
      <c r="O1834" s="134"/>
      <c r="P1834" s="135"/>
    </row>
    <row r="1835" spans="1:16" s="133" customFormat="1" ht="15" customHeight="1">
      <c r="A1835" s="1"/>
      <c r="B1835" s="1"/>
      <c r="C1835" s="134">
        <v>44988</v>
      </c>
      <c r="D1835" s="135">
        <v>177.71</v>
      </c>
      <c r="O1835" s="134"/>
      <c r="P1835" s="135"/>
    </row>
    <row r="1836" spans="1:16" s="133" customFormat="1" ht="15" customHeight="1">
      <c r="A1836" s="1"/>
      <c r="B1836" s="1"/>
      <c r="C1836" s="134">
        <v>44991</v>
      </c>
      <c r="D1836" s="135">
        <v>178.26</v>
      </c>
      <c r="O1836" s="134"/>
      <c r="P1836" s="135"/>
    </row>
    <row r="1837" spans="1:16" s="133" customFormat="1" ht="15" customHeight="1">
      <c r="A1837" s="1"/>
      <c r="B1837" s="1"/>
      <c r="C1837" s="134">
        <v>44992</v>
      </c>
      <c r="D1837" s="135">
        <v>174.9</v>
      </c>
      <c r="O1837" s="134"/>
      <c r="P1837" s="135"/>
    </row>
    <row r="1838" spans="1:16" s="133" customFormat="1" ht="15" customHeight="1">
      <c r="A1838" s="1"/>
      <c r="B1838" s="1"/>
      <c r="C1838" s="134">
        <v>44993</v>
      </c>
      <c r="D1838" s="135">
        <v>174.76</v>
      </c>
      <c r="O1838" s="134"/>
      <c r="P1838" s="135"/>
    </row>
    <row r="1839" spans="1:16" s="133" customFormat="1" ht="15" customHeight="1">
      <c r="A1839" s="1"/>
      <c r="B1839" s="1"/>
      <c r="C1839" s="134">
        <v>44994</v>
      </c>
      <c r="D1839" s="135">
        <v>170.8</v>
      </c>
      <c r="O1839" s="134"/>
      <c r="P1839" s="135"/>
    </row>
    <row r="1840" spans="1:16" s="133" customFormat="1" ht="15" customHeight="1">
      <c r="A1840" s="1"/>
      <c r="B1840" s="1"/>
      <c r="C1840" s="134">
        <v>44995</v>
      </c>
      <c r="D1840" s="135">
        <v>163.58000000000001</v>
      </c>
      <c r="O1840" s="134"/>
      <c r="P1840" s="135"/>
    </row>
    <row r="1841" spans="1:16" s="133" customFormat="1" ht="15" customHeight="1">
      <c r="A1841" s="1"/>
      <c r="B1841" s="1"/>
      <c r="C1841" s="134">
        <v>44998</v>
      </c>
      <c r="D1841" s="135">
        <v>160.51</v>
      </c>
      <c r="O1841" s="134"/>
      <c r="P1841" s="135"/>
    </row>
    <row r="1842" spans="1:16" s="133" customFormat="1" ht="15" customHeight="1">
      <c r="A1842" s="1"/>
      <c r="B1842" s="1"/>
      <c r="C1842" s="134">
        <v>44999</v>
      </c>
      <c r="D1842" s="135">
        <v>165.18</v>
      </c>
      <c r="O1842" s="134"/>
      <c r="P1842" s="135"/>
    </row>
    <row r="1843" spans="1:16" s="133" customFormat="1" ht="15" customHeight="1">
      <c r="A1843" s="1"/>
      <c r="B1843" s="1"/>
      <c r="C1843" s="134">
        <v>45000</v>
      </c>
      <c r="D1843" s="135">
        <v>161.76</v>
      </c>
      <c r="O1843" s="134"/>
      <c r="P1843" s="135"/>
    </row>
    <row r="1844" spans="1:16" s="133" customFormat="1" ht="15" customHeight="1">
      <c r="A1844" s="1"/>
      <c r="B1844" s="1"/>
      <c r="C1844" s="134">
        <v>45001</v>
      </c>
      <c r="D1844" s="135">
        <v>165.99</v>
      </c>
      <c r="O1844" s="134"/>
      <c r="P1844" s="135"/>
    </row>
    <row r="1845" spans="1:16" s="133" customFormat="1" ht="15" customHeight="1">
      <c r="A1845" s="1"/>
      <c r="B1845" s="1"/>
      <c r="C1845" s="134">
        <v>45002</v>
      </c>
      <c r="D1845" s="135">
        <v>161.34</v>
      </c>
      <c r="O1845" s="134"/>
      <c r="P1845" s="135"/>
    </row>
    <row r="1846" spans="1:16" s="133" customFormat="1" ht="15" customHeight="1">
      <c r="A1846" s="1"/>
      <c r="B1846" s="1"/>
      <c r="C1846" s="134">
        <v>45005</v>
      </c>
      <c r="D1846" s="135">
        <v>164.43</v>
      </c>
      <c r="O1846" s="134"/>
      <c r="P1846" s="135"/>
    </row>
    <row r="1847" spans="1:16" s="133" customFormat="1" ht="15" customHeight="1">
      <c r="A1847" s="1"/>
      <c r="B1847" s="1"/>
      <c r="C1847" s="134">
        <v>45006</v>
      </c>
      <c r="D1847" s="135">
        <v>168.43</v>
      </c>
      <c r="O1847" s="134"/>
      <c r="P1847" s="135"/>
    </row>
    <row r="1848" spans="1:16" s="133" customFormat="1" ht="15" customHeight="1">
      <c r="A1848" s="1"/>
      <c r="B1848" s="1"/>
      <c r="C1848" s="134">
        <v>45007</v>
      </c>
      <c r="D1848" s="135">
        <v>164.47</v>
      </c>
      <c r="O1848" s="134"/>
      <c r="P1848" s="135"/>
    </row>
    <row r="1849" spans="1:16" s="133" customFormat="1" ht="15" customHeight="1">
      <c r="A1849" s="1"/>
      <c r="B1849" s="1"/>
      <c r="C1849" s="134">
        <v>45008</v>
      </c>
      <c r="D1849" s="135">
        <v>163.78</v>
      </c>
      <c r="O1849" s="134"/>
      <c r="P1849" s="135"/>
    </row>
    <row r="1850" spans="1:16" s="133" customFormat="1" ht="15" customHeight="1">
      <c r="A1850" s="1"/>
      <c r="B1850" s="1"/>
      <c r="C1850" s="134">
        <v>45009</v>
      </c>
      <c r="D1850" s="135">
        <v>164.06</v>
      </c>
      <c r="O1850" s="134"/>
      <c r="P1850" s="135"/>
    </row>
    <row r="1851" spans="1:16" s="133" customFormat="1" ht="15" customHeight="1">
      <c r="A1851" s="1"/>
      <c r="B1851" s="1"/>
      <c r="C1851" s="134">
        <v>45012</v>
      </c>
      <c r="D1851" s="135">
        <v>166.85</v>
      </c>
      <c r="O1851" s="134"/>
      <c r="P1851" s="135"/>
    </row>
    <row r="1852" spans="1:16" s="133" customFormat="1" ht="15" customHeight="1">
      <c r="A1852" s="1"/>
      <c r="B1852" s="1"/>
      <c r="C1852" s="134">
        <v>45013</v>
      </c>
      <c r="D1852" s="135">
        <v>167.15</v>
      </c>
      <c r="O1852" s="134"/>
      <c r="P1852" s="135"/>
    </row>
    <row r="1853" spans="1:16" s="133" customFormat="1" ht="15" customHeight="1">
      <c r="A1853" s="1"/>
      <c r="B1853" s="1"/>
      <c r="C1853" s="134">
        <v>45014</v>
      </c>
      <c r="D1853" s="135">
        <v>169.68</v>
      </c>
      <c r="O1853" s="134"/>
      <c r="P1853" s="135"/>
    </row>
    <row r="1854" spans="1:16" s="133" customFormat="1" ht="15" customHeight="1">
      <c r="A1854" s="1"/>
      <c r="B1854" s="1"/>
      <c r="C1854" s="134">
        <v>45015</v>
      </c>
      <c r="D1854" s="135">
        <v>170.19</v>
      </c>
      <c r="O1854" s="134"/>
      <c r="P1854" s="135"/>
    </row>
    <row r="1855" spans="1:16" s="133" customFormat="1" ht="15" customHeight="1">
      <c r="A1855" s="1"/>
      <c r="B1855" s="1"/>
      <c r="C1855" s="134">
        <v>45016</v>
      </c>
      <c r="D1855" s="135">
        <v>171.31</v>
      </c>
      <c r="O1855" s="134"/>
      <c r="P1855" s="135"/>
    </row>
    <row r="1856" spans="1:16" s="133" customFormat="1" ht="15" customHeight="1">
      <c r="A1856" s="1"/>
      <c r="B1856" s="1"/>
      <c r="C1856" s="134">
        <v>45019</v>
      </c>
      <c r="D1856" s="135">
        <v>171.02</v>
      </c>
      <c r="O1856" s="134"/>
      <c r="P1856" s="135"/>
    </row>
    <row r="1857" spans="1:16" s="133" customFormat="1" ht="15" customHeight="1">
      <c r="A1857" s="1"/>
      <c r="B1857" s="1"/>
      <c r="C1857" s="134">
        <v>45020</v>
      </c>
      <c r="D1857" s="135">
        <v>168.49</v>
      </c>
      <c r="O1857" s="134"/>
      <c r="P1857" s="135"/>
    </row>
    <row r="1858" spans="1:16" s="133" customFormat="1" ht="15" customHeight="1">
      <c r="A1858" s="1"/>
      <c r="B1858" s="1"/>
      <c r="C1858" s="134">
        <v>45021</v>
      </c>
      <c r="D1858" s="135">
        <v>166.84</v>
      </c>
      <c r="O1858" s="134"/>
      <c r="P1858" s="135"/>
    </row>
    <row r="1859" spans="1:16" s="133" customFormat="1" ht="15" customHeight="1">
      <c r="A1859" s="1"/>
      <c r="B1859" s="1"/>
      <c r="C1859" s="134">
        <v>45022</v>
      </c>
      <c r="D1859" s="135">
        <v>167.42</v>
      </c>
      <c r="O1859" s="134"/>
      <c r="P1859" s="135"/>
    </row>
    <row r="1860" spans="1:16" s="133" customFormat="1" ht="15" customHeight="1">
      <c r="A1860" s="1"/>
      <c r="B1860" s="1"/>
      <c r="C1860" s="134">
        <v>45026</v>
      </c>
      <c r="D1860" s="135">
        <v>169.6</v>
      </c>
      <c r="O1860" s="134"/>
      <c r="P1860" s="135"/>
    </row>
    <row r="1861" spans="1:16" s="133" customFormat="1" ht="15" customHeight="1">
      <c r="A1861" s="1"/>
      <c r="B1861" s="1"/>
      <c r="C1861" s="134">
        <v>45027</v>
      </c>
      <c r="D1861" s="135">
        <v>169.87</v>
      </c>
      <c r="O1861" s="134"/>
      <c r="P1861" s="135"/>
    </row>
    <row r="1862" spans="1:16" s="133" customFormat="1" ht="15" customHeight="1">
      <c r="A1862" s="1"/>
      <c r="B1862" s="1"/>
      <c r="C1862" s="134">
        <v>45028</v>
      </c>
      <c r="D1862" s="135">
        <v>169.46</v>
      </c>
      <c r="O1862" s="134"/>
      <c r="P1862" s="135"/>
    </row>
    <row r="1863" spans="1:16" s="133" customFormat="1" ht="15" customHeight="1">
      <c r="A1863" s="1"/>
      <c r="B1863" s="1"/>
      <c r="C1863" s="134">
        <v>45029</v>
      </c>
      <c r="D1863" s="135">
        <v>172.13</v>
      </c>
      <c r="O1863" s="134"/>
      <c r="P1863" s="135"/>
    </row>
    <row r="1864" spans="1:16" s="133" customFormat="1" ht="15" customHeight="1">
      <c r="A1864" s="1"/>
      <c r="B1864" s="1"/>
      <c r="C1864" s="134">
        <v>45030</v>
      </c>
      <c r="D1864" s="135">
        <v>173.21</v>
      </c>
      <c r="O1864" s="134"/>
      <c r="P1864" s="135"/>
    </row>
    <row r="1865" spans="1:16" s="133" customFormat="1" ht="15" customHeight="1">
      <c r="A1865" s="1"/>
      <c r="B1865" s="1"/>
      <c r="C1865" s="134">
        <v>45033</v>
      </c>
      <c r="D1865" s="135">
        <v>175.11</v>
      </c>
      <c r="O1865" s="134"/>
      <c r="P1865" s="135"/>
    </row>
    <row r="1866" spans="1:16" s="133" customFormat="1" ht="15" customHeight="1">
      <c r="A1866" s="1"/>
      <c r="B1866" s="1"/>
      <c r="C1866" s="134">
        <v>45034</v>
      </c>
      <c r="D1866" s="135">
        <v>174.89</v>
      </c>
      <c r="O1866" s="134"/>
      <c r="P1866" s="135"/>
    </row>
    <row r="1867" spans="1:16" s="133" customFormat="1" ht="15" customHeight="1">
      <c r="A1867" s="1"/>
      <c r="B1867" s="1"/>
      <c r="C1867" s="134">
        <v>45035</v>
      </c>
      <c r="D1867" s="135">
        <v>175.27</v>
      </c>
      <c r="O1867" s="134"/>
      <c r="P1867" s="135"/>
    </row>
    <row r="1868" spans="1:16" s="133" customFormat="1" ht="15" customHeight="1">
      <c r="A1868" s="1"/>
      <c r="B1868" s="1"/>
      <c r="C1868" s="134">
        <v>45036</v>
      </c>
      <c r="D1868" s="135">
        <v>173.41</v>
      </c>
      <c r="O1868" s="134"/>
      <c r="P1868" s="135"/>
    </row>
    <row r="1869" spans="1:16" s="133" customFormat="1" ht="15" customHeight="1">
      <c r="A1869" s="1"/>
      <c r="B1869" s="1"/>
      <c r="C1869" s="134">
        <v>45037</v>
      </c>
      <c r="D1869" s="135">
        <v>174.15</v>
      </c>
      <c r="O1869" s="134"/>
      <c r="P1869" s="135"/>
    </row>
    <row r="1870" spans="1:16" s="133" customFormat="1" ht="15" customHeight="1">
      <c r="A1870" s="1"/>
      <c r="B1870" s="1"/>
      <c r="C1870" s="134">
        <v>45040</v>
      </c>
      <c r="D1870" s="135">
        <v>173.21</v>
      </c>
      <c r="O1870" s="134"/>
      <c r="P1870" s="135"/>
    </row>
    <row r="1871" spans="1:16" s="133" customFormat="1" ht="15" customHeight="1">
      <c r="A1871" s="1"/>
      <c r="B1871" s="1"/>
      <c r="C1871" s="134">
        <v>45041</v>
      </c>
      <c r="D1871" s="135">
        <v>168.32</v>
      </c>
      <c r="O1871" s="134"/>
      <c r="P1871" s="135"/>
    </row>
    <row r="1872" spans="1:16" s="133" customFormat="1" ht="15" customHeight="1">
      <c r="A1872" s="1"/>
      <c r="B1872" s="1"/>
      <c r="C1872" s="134">
        <v>45042</v>
      </c>
      <c r="D1872" s="135">
        <v>168.47</v>
      </c>
      <c r="O1872" s="134"/>
      <c r="P1872" s="135"/>
    </row>
    <row r="1873" spans="1:16" s="133" customFormat="1" ht="15" customHeight="1">
      <c r="A1873" s="1"/>
      <c r="B1873" s="1"/>
      <c r="C1873" s="134">
        <v>45043</v>
      </c>
      <c r="D1873" s="135">
        <v>173.39</v>
      </c>
      <c r="O1873" s="134"/>
      <c r="P1873" s="135"/>
    </row>
    <row r="1874" spans="1:16" s="133" customFormat="1" ht="15" customHeight="1">
      <c r="A1874" s="1"/>
      <c r="B1874" s="1"/>
      <c r="C1874" s="134">
        <v>45044</v>
      </c>
      <c r="D1874" s="135">
        <v>173.2</v>
      </c>
      <c r="O1874" s="134"/>
      <c r="P1874" s="135"/>
    </row>
    <row r="1875" spans="1:16" s="133" customFormat="1" ht="15" customHeight="1">
      <c r="A1875" s="1"/>
      <c r="B1875" s="1"/>
      <c r="C1875" s="134">
        <v>45047</v>
      </c>
      <c r="D1875" s="135">
        <v>175.79</v>
      </c>
      <c r="O1875" s="134"/>
      <c r="P1875" s="135"/>
    </row>
    <row r="1876" spans="1:16" s="133" customFormat="1" ht="15" customHeight="1">
      <c r="A1876" s="1"/>
      <c r="B1876" s="1"/>
      <c r="C1876" s="134">
        <v>45048</v>
      </c>
      <c r="D1876" s="135">
        <v>171.34</v>
      </c>
      <c r="O1876" s="134"/>
      <c r="P1876" s="135"/>
    </row>
    <row r="1877" spans="1:16" s="133" customFormat="1" ht="15" customHeight="1">
      <c r="A1877" s="1"/>
      <c r="B1877" s="1"/>
      <c r="C1877" s="134">
        <v>45049</v>
      </c>
      <c r="D1877" s="135">
        <v>169.59</v>
      </c>
      <c r="O1877" s="134"/>
      <c r="P1877" s="135"/>
    </row>
    <row r="1878" spans="1:16" s="133" customFormat="1" ht="15" customHeight="1">
      <c r="A1878" s="1"/>
      <c r="B1878" s="1"/>
      <c r="C1878" s="134">
        <v>45050</v>
      </c>
      <c r="D1878" s="135">
        <v>167.98</v>
      </c>
      <c r="O1878" s="134"/>
      <c r="P1878" s="135"/>
    </row>
    <row r="1879" spans="1:16" s="133" customFormat="1" ht="15" customHeight="1">
      <c r="A1879" s="1"/>
      <c r="B1879" s="1"/>
      <c r="C1879" s="134">
        <v>45051</v>
      </c>
      <c r="D1879" s="135">
        <v>172.54</v>
      </c>
      <c r="O1879" s="134"/>
      <c r="P1879" s="135"/>
    </row>
    <row r="1880" spans="1:16" s="133" customFormat="1" ht="15" customHeight="1">
      <c r="A1880" s="1"/>
      <c r="B1880" s="1"/>
      <c r="C1880" s="134">
        <v>45054</v>
      </c>
      <c r="D1880" s="135">
        <v>174.16</v>
      </c>
      <c r="O1880" s="134"/>
      <c r="P1880" s="135"/>
    </row>
    <row r="1881" spans="1:16" s="133" customFormat="1" ht="15" customHeight="1">
      <c r="A1881" s="1"/>
      <c r="B1881" s="1"/>
      <c r="C1881" s="134">
        <v>45055</v>
      </c>
      <c r="D1881" s="135">
        <v>173.65</v>
      </c>
      <c r="O1881" s="134"/>
      <c r="P1881" s="135"/>
    </row>
    <row r="1882" spans="1:16" s="133" customFormat="1" ht="15" customHeight="1">
      <c r="A1882" s="1"/>
      <c r="B1882" s="1"/>
      <c r="C1882" s="134">
        <v>45056</v>
      </c>
      <c r="D1882" s="135">
        <v>173.09</v>
      </c>
      <c r="O1882" s="134"/>
      <c r="P1882" s="135"/>
    </row>
    <row r="1883" spans="1:16" s="133" customFormat="1" ht="15" customHeight="1">
      <c r="A1883" s="1"/>
      <c r="B1883" s="1"/>
      <c r="C1883" s="134">
        <v>45057</v>
      </c>
      <c r="D1883" s="135">
        <v>171.66</v>
      </c>
      <c r="O1883" s="134"/>
      <c r="P1883" s="135"/>
    </row>
    <row r="1884" spans="1:16" s="133" customFormat="1" ht="15" customHeight="1">
      <c r="A1884" s="1"/>
      <c r="B1884" s="1"/>
      <c r="C1884" s="134">
        <v>45058</v>
      </c>
      <c r="D1884" s="135">
        <v>172.5</v>
      </c>
      <c r="O1884" s="134"/>
      <c r="P1884" s="135"/>
    </row>
    <row r="1885" spans="1:16" s="133" customFormat="1" ht="15" customHeight="1">
      <c r="A1885" s="1"/>
      <c r="B1885" s="1"/>
      <c r="C1885" s="134">
        <v>45061</v>
      </c>
      <c r="D1885" s="135">
        <v>174.31</v>
      </c>
      <c r="O1885" s="134"/>
      <c r="P1885" s="135"/>
    </row>
    <row r="1886" spans="1:16" s="133" customFormat="1" ht="15" customHeight="1">
      <c r="A1886" s="1"/>
      <c r="B1886" s="1"/>
      <c r="C1886" s="134">
        <v>45062</v>
      </c>
      <c r="D1886" s="135">
        <v>174.09</v>
      </c>
      <c r="O1886" s="134"/>
      <c r="P1886" s="135"/>
    </row>
    <row r="1887" spans="1:16" s="133" customFormat="1" ht="15" customHeight="1">
      <c r="A1887" s="1"/>
      <c r="B1887" s="1"/>
      <c r="C1887" s="134">
        <v>45063</v>
      </c>
      <c r="D1887" s="135">
        <v>176.62</v>
      </c>
      <c r="O1887" s="134"/>
      <c r="P1887" s="135"/>
    </row>
    <row r="1888" spans="1:16" s="133" customFormat="1" ht="15" customHeight="1">
      <c r="A1888" s="1"/>
      <c r="B1888" s="1"/>
      <c r="C1888" s="134">
        <v>45064</v>
      </c>
      <c r="D1888" s="135">
        <v>179.56</v>
      </c>
      <c r="O1888" s="134"/>
      <c r="P1888" s="135"/>
    </row>
    <row r="1889" spans="1:16" s="133" customFormat="1" ht="15" customHeight="1">
      <c r="A1889" s="1"/>
      <c r="B1889" s="1"/>
      <c r="C1889" s="134">
        <v>45065</v>
      </c>
      <c r="D1889" s="135">
        <v>180.33</v>
      </c>
      <c r="O1889" s="134"/>
      <c r="P1889" s="135"/>
    </row>
    <row r="1890" spans="1:16" s="133" customFormat="1" ht="15" customHeight="1">
      <c r="A1890" s="1"/>
      <c r="B1890" s="1"/>
      <c r="C1890" s="134">
        <v>45068</v>
      </c>
      <c r="D1890" s="135">
        <v>180.95</v>
      </c>
      <c r="O1890" s="134"/>
      <c r="P1890" s="135"/>
    </row>
    <row r="1891" spans="1:16" s="133" customFormat="1" ht="15" customHeight="1">
      <c r="A1891" s="1"/>
      <c r="B1891" s="1"/>
      <c r="C1891" s="134">
        <v>45069</v>
      </c>
      <c r="D1891" s="135">
        <v>178.76</v>
      </c>
      <c r="O1891" s="134"/>
      <c r="P1891" s="135"/>
    </row>
    <row r="1892" spans="1:16" s="133" customFormat="1" ht="15" customHeight="1">
      <c r="A1892" s="1"/>
      <c r="B1892" s="1"/>
      <c r="C1892" s="134">
        <v>45070</v>
      </c>
      <c r="D1892" s="135">
        <v>177.91</v>
      </c>
      <c r="O1892" s="134"/>
      <c r="P1892" s="135"/>
    </row>
    <row r="1893" spans="1:16" s="133" customFormat="1" ht="15" customHeight="1">
      <c r="A1893" s="1"/>
      <c r="B1893" s="1"/>
      <c r="C1893" s="134">
        <v>45071</v>
      </c>
      <c r="D1893" s="135">
        <v>180.84</v>
      </c>
      <c r="O1893" s="134"/>
      <c r="P1893" s="135"/>
    </row>
    <row r="1894" spans="1:16" s="133" customFormat="1" ht="15" customHeight="1">
      <c r="A1894" s="1"/>
      <c r="B1894" s="1"/>
      <c r="C1894" s="134">
        <v>45072</v>
      </c>
      <c r="D1894" s="135">
        <v>183.1</v>
      </c>
      <c r="O1894" s="134"/>
      <c r="P1894" s="135"/>
    </row>
    <row r="1895" spans="1:16" s="133" customFormat="1" ht="15" customHeight="1">
      <c r="A1895" s="1"/>
      <c r="B1895" s="1"/>
      <c r="C1895" s="134">
        <v>45076</v>
      </c>
      <c r="D1895" s="135">
        <v>180.92</v>
      </c>
      <c r="O1895" s="134"/>
      <c r="P1895" s="135"/>
    </row>
    <row r="1896" spans="1:16" s="133" customFormat="1" ht="15" customHeight="1">
      <c r="A1896" s="1"/>
      <c r="B1896" s="1"/>
      <c r="C1896" s="134">
        <v>45077</v>
      </c>
      <c r="D1896" s="135">
        <v>178.75</v>
      </c>
      <c r="O1896" s="134"/>
      <c r="P1896" s="135"/>
    </row>
    <row r="1897" spans="1:16" s="133" customFormat="1" ht="15" customHeight="1">
      <c r="A1897" s="1"/>
      <c r="B1897" s="1"/>
      <c r="C1897" s="134">
        <v>45078</v>
      </c>
      <c r="D1897" s="135">
        <v>179.68</v>
      </c>
      <c r="O1897" s="134"/>
      <c r="P1897" s="135"/>
    </row>
    <row r="1898" spans="1:16" s="133" customFormat="1" ht="15" customHeight="1">
      <c r="A1898" s="1"/>
      <c r="B1898" s="1"/>
      <c r="C1898" s="134">
        <v>45079</v>
      </c>
      <c r="D1898" s="135">
        <v>183.52</v>
      </c>
      <c r="O1898" s="134"/>
      <c r="P1898" s="135"/>
    </row>
    <row r="1899" spans="1:16" s="133" customFormat="1" ht="15" customHeight="1">
      <c r="A1899" s="1"/>
      <c r="B1899" s="1"/>
      <c r="C1899" s="134">
        <v>45082</v>
      </c>
      <c r="D1899" s="135">
        <v>183.34</v>
      </c>
      <c r="O1899" s="134"/>
      <c r="P1899" s="135"/>
    </row>
    <row r="1900" spans="1:16" s="133" customFormat="1" ht="15" customHeight="1">
      <c r="A1900" s="1"/>
      <c r="B1900" s="1"/>
      <c r="C1900" s="134">
        <v>45083</v>
      </c>
      <c r="D1900" s="135">
        <v>183.75</v>
      </c>
      <c r="O1900" s="134"/>
      <c r="P1900" s="135"/>
    </row>
    <row r="1901" spans="1:16" s="133" customFormat="1" ht="15" customHeight="1">
      <c r="A1901" s="1"/>
      <c r="B1901" s="1"/>
      <c r="C1901" s="134">
        <v>45084</v>
      </c>
      <c r="D1901" s="135">
        <v>185.13</v>
      </c>
      <c r="O1901" s="134"/>
      <c r="P1901" s="135"/>
    </row>
    <row r="1902" spans="1:16" s="133" customFormat="1" ht="15" customHeight="1">
      <c r="A1902" s="1"/>
      <c r="B1902" s="1"/>
      <c r="C1902" s="134">
        <v>45085</v>
      </c>
      <c r="D1902" s="135">
        <v>184.55</v>
      </c>
      <c r="O1902" s="134"/>
      <c r="P1902" s="135"/>
    </row>
    <row r="1903" spans="1:16" s="133" customFormat="1" ht="15" customHeight="1">
      <c r="A1903" s="1"/>
      <c r="B1903" s="1"/>
      <c r="C1903" s="134">
        <v>45086</v>
      </c>
      <c r="D1903" s="135">
        <v>185.04</v>
      </c>
      <c r="O1903" s="134"/>
      <c r="P1903" s="135"/>
    </row>
    <row r="1904" spans="1:16" s="133" customFormat="1" ht="15" customHeight="1">
      <c r="A1904" s="1"/>
      <c r="B1904" s="1"/>
      <c r="C1904" s="134">
        <v>45089</v>
      </c>
      <c r="D1904" s="135">
        <v>187.33</v>
      </c>
      <c r="O1904" s="134"/>
      <c r="P1904" s="135"/>
    </row>
    <row r="1905" spans="1:16" s="133" customFormat="1" ht="15" customHeight="1">
      <c r="A1905" s="1"/>
      <c r="B1905" s="1"/>
      <c r="C1905" s="134">
        <v>45090</v>
      </c>
      <c r="D1905" s="135">
        <v>189.87</v>
      </c>
      <c r="O1905" s="134"/>
      <c r="P1905" s="135"/>
    </row>
    <row r="1906" spans="1:16" s="133" customFormat="1" ht="15" customHeight="1">
      <c r="A1906" s="1"/>
      <c r="B1906" s="1"/>
      <c r="C1906" s="134">
        <v>45091</v>
      </c>
      <c r="D1906" s="135">
        <v>188.85</v>
      </c>
      <c r="O1906" s="134"/>
      <c r="P1906" s="135"/>
    </row>
    <row r="1907" spans="1:16" s="133" customFormat="1" ht="15" customHeight="1">
      <c r="A1907" s="1"/>
      <c r="B1907" s="1"/>
      <c r="C1907" s="134">
        <v>45092</v>
      </c>
      <c r="D1907" s="135">
        <v>189.97</v>
      </c>
      <c r="O1907" s="134"/>
      <c r="P1907" s="135"/>
    </row>
    <row r="1908" spans="1:16" s="133" customFormat="1" ht="15" customHeight="1">
      <c r="A1908" s="1"/>
      <c r="B1908" s="1"/>
      <c r="C1908" s="134">
        <v>45093</v>
      </c>
      <c r="D1908" s="135">
        <v>189.9</v>
      </c>
      <c r="O1908" s="134"/>
      <c r="P1908" s="135"/>
    </row>
    <row r="1909" spans="1:16" s="133" customFormat="1" ht="15" customHeight="1">
      <c r="A1909" s="1"/>
      <c r="B1909" s="1"/>
      <c r="C1909" s="134">
        <v>45097</v>
      </c>
      <c r="D1909" s="135">
        <v>188.13</v>
      </c>
      <c r="O1909" s="134"/>
      <c r="P1909" s="135"/>
    </row>
    <row r="1910" spans="1:16" s="133" customFormat="1" ht="15" customHeight="1">
      <c r="A1910" s="1"/>
      <c r="B1910" s="1"/>
      <c r="C1910" s="134">
        <v>45098</v>
      </c>
      <c r="D1910" s="135">
        <v>186.94</v>
      </c>
      <c r="O1910" s="134"/>
      <c r="P1910" s="135"/>
    </row>
    <row r="1911" spans="1:16" s="133" customFormat="1" ht="15" customHeight="1">
      <c r="A1911" s="1"/>
      <c r="B1911" s="1"/>
      <c r="C1911" s="134">
        <v>45099</v>
      </c>
      <c r="D1911" s="135">
        <v>189.27</v>
      </c>
      <c r="O1911" s="134"/>
      <c r="P1911" s="135"/>
    </row>
    <row r="1912" spans="1:16" s="133" customFormat="1" ht="15" customHeight="1">
      <c r="A1912" s="1"/>
      <c r="B1912" s="1"/>
      <c r="C1912" s="134">
        <v>45100</v>
      </c>
      <c r="D1912" s="135">
        <v>186.46</v>
      </c>
      <c r="O1912" s="134"/>
      <c r="P1912" s="135"/>
    </row>
    <row r="1913" spans="1:16" s="133" customFormat="1" ht="15" customHeight="1">
      <c r="A1913" s="1"/>
      <c r="B1913" s="1"/>
      <c r="C1913" s="134">
        <v>45103</v>
      </c>
      <c r="D1913" s="135">
        <v>185.47</v>
      </c>
      <c r="O1913" s="134"/>
      <c r="P1913" s="135"/>
    </row>
    <row r="1914" spans="1:16" s="133" customFormat="1" ht="15" customHeight="1">
      <c r="A1914" s="1"/>
      <c r="B1914" s="1"/>
      <c r="C1914" s="134">
        <v>45104</v>
      </c>
      <c r="D1914" s="135">
        <v>188.32</v>
      </c>
      <c r="O1914" s="134"/>
      <c r="P1914" s="135"/>
    </row>
    <row r="1915" spans="1:16" s="133" customFormat="1" ht="15" customHeight="1">
      <c r="A1915" s="1"/>
      <c r="B1915" s="1"/>
      <c r="C1915" s="134">
        <v>45105</v>
      </c>
      <c r="D1915" s="135">
        <v>187.28</v>
      </c>
      <c r="O1915" s="134"/>
      <c r="P1915" s="135"/>
    </row>
    <row r="1916" spans="1:16" s="133" customFormat="1" ht="15" customHeight="1">
      <c r="A1916" s="1"/>
      <c r="B1916" s="1"/>
      <c r="C1916" s="134">
        <v>45106</v>
      </c>
      <c r="D1916" s="135">
        <v>191.14</v>
      </c>
      <c r="O1916" s="134"/>
      <c r="P1916" s="135"/>
    </row>
    <row r="1917" spans="1:16" s="133" customFormat="1" ht="15" customHeight="1">
      <c r="A1917" s="1"/>
      <c r="B1917" s="1"/>
      <c r="C1917" s="134">
        <v>45107</v>
      </c>
      <c r="D1917" s="135">
        <v>192.29</v>
      </c>
      <c r="O1917" s="134"/>
      <c r="P1917" s="135"/>
    </row>
    <row r="1918" spans="1:16" s="133" customFormat="1" ht="15" customHeight="1">
      <c r="A1918" s="1"/>
      <c r="B1918" s="1"/>
      <c r="C1918" s="134">
        <v>45110</v>
      </c>
      <c r="D1918" s="135">
        <v>192.97</v>
      </c>
      <c r="O1918" s="134"/>
      <c r="P1918" s="135"/>
    </row>
    <row r="1919" spans="1:16" s="133" customFormat="1" ht="15" customHeight="1">
      <c r="A1919" s="1"/>
      <c r="B1919" s="1"/>
      <c r="C1919" s="134">
        <v>45112</v>
      </c>
      <c r="D1919" s="135">
        <v>194.76</v>
      </c>
      <c r="O1919" s="134"/>
      <c r="P1919" s="135"/>
    </row>
    <row r="1920" spans="1:16" s="133" customFormat="1" ht="15" customHeight="1">
      <c r="A1920" s="1"/>
      <c r="B1920" s="1"/>
      <c r="C1920" s="134">
        <v>45113</v>
      </c>
      <c r="D1920" s="135">
        <v>195.09</v>
      </c>
      <c r="O1920" s="134"/>
      <c r="P1920" s="135"/>
    </row>
    <row r="1921" spans="1:16" s="133" customFormat="1" ht="15" customHeight="1">
      <c r="A1921" s="1"/>
      <c r="B1921" s="1"/>
      <c r="C1921" s="134">
        <v>45114</v>
      </c>
      <c r="D1921" s="135">
        <v>194.99</v>
      </c>
      <c r="O1921" s="134"/>
      <c r="P1921" s="135"/>
    </row>
    <row r="1922" spans="1:16" s="133" customFormat="1" ht="15" customHeight="1">
      <c r="A1922" s="1"/>
      <c r="B1922" s="1"/>
      <c r="C1922" s="134">
        <v>45117</v>
      </c>
      <c r="D1922" s="135">
        <v>195.03</v>
      </c>
      <c r="O1922" s="134"/>
      <c r="P1922" s="135"/>
    </row>
    <row r="1923" spans="1:16" s="133" customFormat="1" ht="15" customHeight="1">
      <c r="A1923" s="1"/>
      <c r="B1923" s="1"/>
      <c r="C1923" s="134">
        <v>45118</v>
      </c>
      <c r="D1923" s="135">
        <v>195.85</v>
      </c>
      <c r="O1923" s="134"/>
      <c r="P1923" s="135"/>
    </row>
    <row r="1924" spans="1:16" s="133" customFormat="1" ht="15" customHeight="1">
      <c r="A1924" s="1"/>
      <c r="B1924" s="1"/>
      <c r="C1924" s="134">
        <v>45119</v>
      </c>
      <c r="D1924" s="135">
        <v>195.16</v>
      </c>
      <c r="O1924" s="134"/>
      <c r="P1924" s="135"/>
    </row>
    <row r="1925" spans="1:16" s="133" customFormat="1" ht="15" customHeight="1">
      <c r="A1925" s="1"/>
      <c r="B1925" s="1"/>
      <c r="C1925" s="134">
        <v>45120</v>
      </c>
      <c r="D1925" s="135">
        <v>194.85</v>
      </c>
      <c r="O1925" s="134"/>
      <c r="P1925" s="135"/>
    </row>
    <row r="1926" spans="1:16" s="133" customFormat="1" ht="15" customHeight="1">
      <c r="A1926" s="1"/>
      <c r="B1926" s="1"/>
      <c r="C1926" s="134">
        <v>45121</v>
      </c>
      <c r="D1926" s="135">
        <v>195.45</v>
      </c>
      <c r="O1926" s="134"/>
      <c r="P1926" s="135"/>
    </row>
    <row r="1927" spans="1:16" s="133" customFormat="1" ht="15" customHeight="1">
      <c r="A1927" s="1"/>
      <c r="B1927" s="1"/>
      <c r="C1927" s="134">
        <v>45124</v>
      </c>
      <c r="D1927" s="135">
        <v>196.08</v>
      </c>
      <c r="O1927" s="134"/>
      <c r="P1927" s="135"/>
    </row>
    <row r="1928" spans="1:16" s="133" customFormat="1" ht="15" customHeight="1">
      <c r="A1928" s="1"/>
      <c r="B1928" s="1"/>
      <c r="C1928" s="134">
        <v>45125</v>
      </c>
      <c r="D1928" s="135">
        <v>197.23</v>
      </c>
      <c r="O1928" s="134"/>
      <c r="P1928" s="135"/>
    </row>
    <row r="1929" spans="1:16" s="133" customFormat="1" ht="15" customHeight="1">
      <c r="A1929" s="1"/>
      <c r="B1929" s="1"/>
      <c r="C1929" s="134">
        <v>45126</v>
      </c>
      <c r="D1929" s="135">
        <v>196.25</v>
      </c>
      <c r="O1929" s="134"/>
      <c r="P1929" s="135"/>
    </row>
    <row r="1930" spans="1:16" s="133" customFormat="1" ht="15" customHeight="1">
      <c r="A1930" s="1"/>
      <c r="B1930" s="1"/>
      <c r="C1930" s="134">
        <v>45127</v>
      </c>
      <c r="D1930" s="135">
        <v>197.24</v>
      </c>
      <c r="O1930" s="134"/>
      <c r="P1930" s="135"/>
    </row>
    <row r="1931" spans="1:16" s="133" customFormat="1" ht="15" customHeight="1">
      <c r="A1931" s="1"/>
      <c r="B1931" s="1"/>
      <c r="C1931" s="134">
        <v>45128</v>
      </c>
      <c r="D1931" s="135">
        <v>196.94</v>
      </c>
      <c r="O1931" s="134"/>
      <c r="P1931" s="135"/>
    </row>
    <row r="1932" spans="1:16" s="133" customFormat="1" ht="15" customHeight="1">
      <c r="A1932" s="1"/>
      <c r="B1932" s="1"/>
      <c r="C1932" s="134">
        <v>45131</v>
      </c>
      <c r="D1932" s="135">
        <v>198.18</v>
      </c>
      <c r="O1932" s="134"/>
      <c r="P1932" s="135"/>
    </row>
    <row r="1933" spans="1:16" s="133" customFormat="1" ht="15" customHeight="1">
      <c r="A1933" s="1"/>
      <c r="B1933" s="1"/>
      <c r="C1933" s="134">
        <v>45132</v>
      </c>
      <c r="D1933" s="135">
        <v>199.73</v>
      </c>
      <c r="O1933" s="134"/>
      <c r="P1933" s="135"/>
    </row>
    <row r="1934" spans="1:16" s="133" customFormat="1" ht="15" customHeight="1">
      <c r="A1934" s="1"/>
      <c r="B1934" s="1"/>
      <c r="C1934" s="134">
        <v>45133</v>
      </c>
      <c r="D1934" s="135">
        <v>198.68</v>
      </c>
      <c r="O1934" s="134"/>
      <c r="P1934" s="135"/>
    </row>
    <row r="1935" spans="1:16" s="133" customFormat="1" ht="15" customHeight="1">
      <c r="A1935" s="1"/>
      <c r="B1935" s="1"/>
      <c r="C1935" s="134">
        <v>45134</v>
      </c>
      <c r="D1935" s="135">
        <v>201.01</v>
      </c>
      <c r="O1935" s="134"/>
      <c r="P1935" s="135"/>
    </row>
    <row r="1936" spans="1:16" s="133" customFormat="1" ht="15" customHeight="1">
      <c r="A1936" s="1"/>
      <c r="B1936" s="1"/>
      <c r="C1936" s="134">
        <v>45135</v>
      </c>
      <c r="D1936" s="135">
        <v>202.3</v>
      </c>
      <c r="O1936" s="134"/>
      <c r="P1936" s="135"/>
    </row>
    <row r="1937" spans="1:16" s="133" customFormat="1" ht="15" customHeight="1">
      <c r="A1937" s="1"/>
      <c r="B1937" s="1"/>
      <c r="C1937" s="134">
        <v>45138</v>
      </c>
      <c r="D1937" s="135">
        <v>202.43</v>
      </c>
      <c r="O1937" s="134"/>
      <c r="P1937" s="135"/>
    </row>
    <row r="1938" spans="1:16" s="133" customFormat="1" ht="15" customHeight="1">
      <c r="A1938" s="1"/>
      <c r="B1938" s="1"/>
      <c r="C1938" s="134">
        <v>45139</v>
      </c>
      <c r="D1938" s="135">
        <v>204.27</v>
      </c>
      <c r="O1938" s="134"/>
      <c r="P1938" s="135"/>
    </row>
    <row r="1939" spans="1:16" s="133" customFormat="1" ht="15" customHeight="1">
      <c r="A1939" s="1"/>
      <c r="B1939" s="1"/>
      <c r="C1939" s="134">
        <v>45140</v>
      </c>
      <c r="D1939" s="135">
        <v>202.6</v>
      </c>
      <c r="O1939" s="134"/>
      <c r="P1939" s="135"/>
    </row>
    <row r="1940" spans="1:16" s="133" customFormat="1" ht="15" customHeight="1">
      <c r="A1940" s="1"/>
      <c r="B1940" s="1"/>
      <c r="C1940" s="134">
        <v>45141</v>
      </c>
      <c r="D1940" s="135">
        <v>205.15</v>
      </c>
      <c r="O1940" s="134"/>
      <c r="P1940" s="135"/>
    </row>
    <row r="1941" spans="1:16" s="133" customFormat="1" ht="15" customHeight="1">
      <c r="A1941" s="1"/>
      <c r="B1941" s="1"/>
      <c r="C1941" s="134">
        <v>45142</v>
      </c>
      <c r="D1941" s="135">
        <v>201.28</v>
      </c>
      <c r="O1941" s="134"/>
      <c r="P1941" s="135"/>
    </row>
    <row r="1942" spans="1:16" s="133" customFormat="1" ht="15" customHeight="1">
      <c r="A1942" s="1"/>
      <c r="B1942" s="1"/>
      <c r="C1942" s="134">
        <v>45145</v>
      </c>
      <c r="D1942" s="135">
        <v>203.87</v>
      </c>
      <c r="O1942" s="134"/>
      <c r="P1942" s="135"/>
    </row>
    <row r="1943" spans="1:16" s="133" customFormat="1" ht="15" customHeight="1">
      <c r="A1943" s="1"/>
      <c r="B1943" s="1"/>
      <c r="C1943" s="134">
        <v>45146</v>
      </c>
      <c r="D1943" s="135">
        <v>201.57</v>
      </c>
      <c r="O1943" s="134"/>
      <c r="P1943" s="135"/>
    </row>
    <row r="1944" spans="1:16" s="133" customFormat="1" ht="15" customHeight="1">
      <c r="A1944" s="1"/>
      <c r="B1944" s="1"/>
      <c r="C1944" s="134">
        <v>45147</v>
      </c>
      <c r="D1944" s="135">
        <v>199.62</v>
      </c>
      <c r="O1944" s="134"/>
      <c r="P1944" s="135"/>
    </row>
    <row r="1945" spans="1:16" s="133" customFormat="1" ht="15" customHeight="1">
      <c r="A1945" s="1"/>
      <c r="B1945" s="1"/>
      <c r="C1945" s="134">
        <v>45148</v>
      </c>
      <c r="D1945" s="135">
        <v>201.38</v>
      </c>
      <c r="O1945" s="134"/>
      <c r="P1945" s="135"/>
    </row>
    <row r="1946" spans="1:16" s="133" customFormat="1" ht="15" customHeight="1">
      <c r="A1946" s="1"/>
      <c r="B1946" s="1"/>
      <c r="C1946" s="134">
        <v>45149</v>
      </c>
      <c r="D1946" s="135">
        <v>202.73</v>
      </c>
      <c r="O1946" s="134"/>
      <c r="P1946" s="135"/>
    </row>
    <row r="1947" spans="1:16" s="133" customFormat="1" ht="15" customHeight="1">
      <c r="A1947" s="1"/>
      <c r="B1947" s="1"/>
      <c r="C1947" s="134">
        <v>45152</v>
      </c>
      <c r="D1947" s="135">
        <v>204.07</v>
      </c>
      <c r="O1947" s="134"/>
      <c r="P1947" s="135"/>
    </row>
    <row r="1948" spans="1:16" s="133" customFormat="1" ht="15" customHeight="1">
      <c r="A1948" s="1"/>
      <c r="B1948" s="1"/>
      <c r="C1948" s="134">
        <v>45153</v>
      </c>
      <c r="D1948" s="135">
        <v>202.75</v>
      </c>
      <c r="O1948" s="134"/>
      <c r="P1948" s="135"/>
    </row>
    <row r="1949" spans="1:16" s="133" customFormat="1" ht="15" customHeight="1">
      <c r="A1949" s="1"/>
      <c r="B1949" s="1"/>
      <c r="C1949" s="134">
        <v>45154</v>
      </c>
      <c r="D1949" s="135">
        <v>202.45</v>
      </c>
      <c r="O1949" s="134"/>
      <c r="P1949" s="135"/>
    </row>
    <row r="1950" spans="1:16" s="133" customFormat="1" ht="15" customHeight="1">
      <c r="A1950" s="1"/>
      <c r="B1950" s="1"/>
      <c r="C1950" s="134">
        <v>45155</v>
      </c>
      <c r="D1950" s="135">
        <v>202.07</v>
      </c>
      <c r="O1950" s="134"/>
      <c r="P1950" s="135"/>
    </row>
    <row r="1951" spans="1:16" s="133" customFormat="1" ht="15" customHeight="1">
      <c r="A1951" s="1"/>
      <c r="B1951" s="1"/>
      <c r="C1951" s="134">
        <v>45156</v>
      </c>
      <c r="D1951" s="135">
        <v>201.06</v>
      </c>
      <c r="O1951" s="134"/>
      <c r="P1951" s="135"/>
    </row>
    <row r="1952" spans="1:16" s="133" customFormat="1" ht="15" customHeight="1">
      <c r="A1952" s="1"/>
      <c r="B1952" s="1"/>
      <c r="C1952" s="134">
        <v>45159</v>
      </c>
      <c r="D1952" s="135">
        <v>204.78</v>
      </c>
      <c r="O1952" s="134"/>
      <c r="P1952" s="135"/>
    </row>
    <row r="1953" spans="1:16" s="133" customFormat="1" ht="15" customHeight="1">
      <c r="A1953" s="1"/>
      <c r="B1953" s="1"/>
      <c r="C1953" s="134">
        <v>45160</v>
      </c>
      <c r="D1953" s="135">
        <v>203.38</v>
      </c>
      <c r="O1953" s="134"/>
      <c r="P1953" s="135"/>
    </row>
    <row r="1954" spans="1:16" s="133" customFormat="1" ht="15" customHeight="1">
      <c r="A1954" s="1"/>
      <c r="B1954" s="1"/>
      <c r="C1954" s="134">
        <v>45161</v>
      </c>
      <c r="D1954" s="135">
        <v>202.4</v>
      </c>
      <c r="O1954" s="134"/>
      <c r="P1954" s="135"/>
    </row>
    <row r="1955" spans="1:16" s="133" customFormat="1" ht="15" customHeight="1">
      <c r="A1955" s="1"/>
      <c r="B1955" s="1"/>
      <c r="C1955" s="134">
        <v>45162</v>
      </c>
      <c r="D1955" s="135">
        <v>200.28</v>
      </c>
      <c r="O1955" s="134"/>
      <c r="P1955" s="135"/>
    </row>
    <row r="1956" spans="1:16" s="133" customFormat="1" ht="15" customHeight="1">
      <c r="A1956" s="1"/>
      <c r="B1956" s="1"/>
      <c r="C1956" s="134">
        <v>45163</v>
      </c>
      <c r="D1956" s="135">
        <v>201.76</v>
      </c>
      <c r="O1956" s="134"/>
      <c r="P1956" s="135"/>
    </row>
    <row r="1957" spans="1:16" s="133" customFormat="1" ht="15" customHeight="1">
      <c r="A1957" s="1"/>
      <c r="B1957" s="1"/>
      <c r="C1957" s="134">
        <v>45166</v>
      </c>
      <c r="D1957" s="135">
        <v>202.81</v>
      </c>
      <c r="O1957" s="134"/>
      <c r="P1957" s="135"/>
    </row>
    <row r="1958" spans="1:16" s="133" customFormat="1" ht="15" customHeight="1">
      <c r="A1958" s="1"/>
      <c r="B1958" s="1"/>
      <c r="C1958" s="134">
        <v>45167</v>
      </c>
      <c r="D1958" s="135">
        <v>203.94</v>
      </c>
      <c r="O1958" s="134"/>
      <c r="P1958" s="135"/>
    </row>
    <row r="1959" spans="1:16" s="133" customFormat="1" ht="15" customHeight="1">
      <c r="A1959" s="1"/>
      <c r="B1959" s="1"/>
      <c r="C1959" s="134">
        <v>45168</v>
      </c>
      <c r="D1959" s="135">
        <v>204.71</v>
      </c>
      <c r="O1959" s="134"/>
      <c r="P1959" s="135"/>
    </row>
    <row r="1960" spans="1:16" s="133" customFormat="1" ht="15" customHeight="1">
      <c r="A1960" s="1"/>
      <c r="B1960" s="1"/>
      <c r="C1960" s="134">
        <v>45169</v>
      </c>
      <c r="D1960" s="135">
        <v>203.63</v>
      </c>
      <c r="O1960" s="134"/>
      <c r="P1960" s="135"/>
    </row>
    <row r="1961" spans="1:16" s="133" customFormat="1" ht="15" customHeight="1">
      <c r="A1961" s="1"/>
      <c r="B1961" s="1"/>
      <c r="C1961" s="134">
        <v>45170</v>
      </c>
      <c r="D1961" s="135">
        <v>206.16</v>
      </c>
      <c r="O1961" s="134"/>
      <c r="P1961" s="135"/>
    </row>
    <row r="1962" spans="1:16" s="133" customFormat="1" ht="15" customHeight="1">
      <c r="A1962" s="1"/>
      <c r="B1962" s="1"/>
      <c r="C1962" s="134">
        <v>45174</v>
      </c>
      <c r="D1962" s="135">
        <v>207.55</v>
      </c>
      <c r="O1962" s="134"/>
      <c r="P1962" s="135"/>
    </row>
    <row r="1963" spans="1:16" s="133" customFormat="1" ht="15" customHeight="1">
      <c r="A1963" s="1"/>
      <c r="B1963" s="1"/>
      <c r="C1963" s="134">
        <v>45175</v>
      </c>
      <c r="D1963" s="135">
        <v>205.99</v>
      </c>
      <c r="O1963" s="134"/>
      <c r="P1963" s="135"/>
    </row>
    <row r="1964" spans="1:16" s="133" customFormat="1" ht="15" customHeight="1">
      <c r="A1964" s="1"/>
      <c r="B1964" s="1"/>
      <c r="C1964" s="134">
        <v>45176</v>
      </c>
      <c r="D1964" s="135">
        <v>205.1</v>
      </c>
      <c r="O1964" s="134"/>
      <c r="P1964" s="135"/>
    </row>
    <row r="1965" spans="1:16" s="133" customFormat="1" ht="15" customHeight="1">
      <c r="A1965" s="1"/>
      <c r="B1965" s="1"/>
      <c r="C1965" s="134">
        <v>45177</v>
      </c>
      <c r="D1965" s="135">
        <v>204.96</v>
      </c>
      <c r="O1965" s="134"/>
      <c r="P1965" s="135"/>
    </row>
    <row r="1966" spans="1:16" s="133" customFormat="1" ht="15" customHeight="1">
      <c r="A1966" s="1"/>
      <c r="B1966" s="1"/>
      <c r="C1966" s="134">
        <v>45180</v>
      </c>
      <c r="D1966" s="135">
        <v>207.19</v>
      </c>
      <c r="O1966" s="134"/>
      <c r="P1966" s="135"/>
    </row>
    <row r="1967" spans="1:16" s="133" customFormat="1" ht="15" customHeight="1">
      <c r="A1967" s="1"/>
      <c r="B1967" s="1"/>
      <c r="C1967" s="134">
        <v>45181</v>
      </c>
      <c r="D1967" s="135">
        <v>205.39</v>
      </c>
      <c r="O1967" s="134"/>
      <c r="P1967" s="135"/>
    </row>
    <row r="1968" spans="1:16" s="133" customFormat="1" ht="15" customHeight="1">
      <c r="A1968" s="1"/>
      <c r="B1968" s="1"/>
      <c r="C1968" s="134">
        <v>45182</v>
      </c>
      <c r="D1968" s="135">
        <v>205.22</v>
      </c>
      <c r="O1968" s="134"/>
      <c r="P1968" s="135"/>
    </row>
    <row r="1969" spans="1:16" s="133" customFormat="1" ht="15" customHeight="1">
      <c r="A1969" s="1"/>
      <c r="B1969" s="1"/>
      <c r="C1969" s="134">
        <v>45183</v>
      </c>
      <c r="D1969" s="135">
        <v>207.97</v>
      </c>
      <c r="O1969" s="134"/>
      <c r="P1969" s="135"/>
    </row>
    <row r="1970" spans="1:16" s="133" customFormat="1" ht="15" customHeight="1">
      <c r="A1970" s="1"/>
      <c r="B1970" s="1"/>
      <c r="C1970" s="134">
        <v>45184</v>
      </c>
      <c r="D1970" s="135">
        <v>206.22</v>
      </c>
      <c r="O1970" s="134"/>
      <c r="P1970" s="135"/>
    </row>
    <row r="1971" spans="1:16" s="133" customFormat="1" ht="15" customHeight="1">
      <c r="A1971" s="1"/>
      <c r="B1971" s="1"/>
      <c r="C1971" s="134">
        <v>45187</v>
      </c>
      <c r="D1971" s="135">
        <v>206.14</v>
      </c>
      <c r="O1971" s="134"/>
      <c r="P1971" s="135"/>
    </row>
    <row r="1972" spans="1:16" s="133" customFormat="1" ht="15" customHeight="1">
      <c r="A1972" s="1"/>
      <c r="B1972" s="1"/>
      <c r="C1972" s="134">
        <v>45188</v>
      </c>
      <c r="D1972" s="135">
        <v>206.62</v>
      </c>
      <c r="O1972" s="134"/>
      <c r="P1972" s="135"/>
    </row>
    <row r="1973" spans="1:16" s="133" customFormat="1" ht="15" customHeight="1">
      <c r="A1973" s="1"/>
      <c r="B1973" s="1"/>
      <c r="C1973" s="134">
        <v>45189</v>
      </c>
      <c r="D1973" s="135">
        <v>204.08</v>
      </c>
      <c r="O1973" s="134"/>
      <c r="P1973" s="135"/>
    </row>
    <row r="1974" spans="1:16" s="133" customFormat="1" ht="15" customHeight="1">
      <c r="A1974" s="1"/>
      <c r="B1974" s="1"/>
      <c r="C1974" s="134">
        <v>45190</v>
      </c>
      <c r="D1974" s="135">
        <v>204.59</v>
      </c>
      <c r="O1974" s="134"/>
      <c r="P1974" s="135"/>
    </row>
    <row r="1975" spans="1:16" s="133" customFormat="1" ht="15" customHeight="1">
      <c r="A1975" s="1"/>
      <c r="B1975" s="1"/>
      <c r="C1975" s="134">
        <v>45191</v>
      </c>
      <c r="D1975" s="135">
        <v>203.01</v>
      </c>
      <c r="O1975" s="134"/>
      <c r="P1975" s="135"/>
    </row>
    <row r="1976" spans="1:16" s="133" customFormat="1" ht="15" customHeight="1">
      <c r="A1976" s="1"/>
      <c r="B1976" s="1"/>
      <c r="C1976" s="134">
        <v>45194</v>
      </c>
      <c r="D1976" s="135">
        <v>207.51</v>
      </c>
      <c r="O1976" s="134"/>
      <c r="P1976" s="135"/>
    </row>
    <row r="1977" spans="1:16" s="133" customFormat="1" ht="15" customHeight="1">
      <c r="A1977" s="1"/>
      <c r="B1977" s="1"/>
      <c r="C1977" s="134">
        <v>45195</v>
      </c>
      <c r="D1977" s="135">
        <v>205.35</v>
      </c>
      <c r="O1977" s="134"/>
      <c r="P1977" s="135"/>
    </row>
    <row r="1978" spans="1:16" s="133" customFormat="1" ht="15" customHeight="1">
      <c r="A1978" s="1"/>
      <c r="B1978" s="1"/>
      <c r="C1978" s="134">
        <v>45196</v>
      </c>
      <c r="D1978" s="135">
        <v>206.89</v>
      </c>
      <c r="O1978" s="134"/>
      <c r="P1978" s="135"/>
    </row>
    <row r="1979" spans="1:16" s="133" customFormat="1" ht="15" customHeight="1">
      <c r="A1979" s="1"/>
      <c r="B1979" s="1"/>
      <c r="C1979" s="134">
        <v>45197</v>
      </c>
      <c r="D1979" s="135">
        <v>208.07</v>
      </c>
      <c r="O1979" s="134"/>
      <c r="P1979" s="135"/>
    </row>
    <row r="1980" spans="1:16" s="133" customFormat="1" ht="15" customHeight="1">
      <c r="A1980" s="1"/>
      <c r="B1980" s="1"/>
      <c r="C1980" s="134">
        <v>45198</v>
      </c>
      <c r="D1980" s="135">
        <v>207.01</v>
      </c>
      <c r="O1980" s="134"/>
      <c r="P1980" s="135"/>
    </row>
    <row r="1981" spans="1:16" s="133" customFormat="1" ht="15" customHeight="1">
      <c r="A1981" s="1"/>
      <c r="B1981" s="1"/>
      <c r="C1981" s="134">
        <v>45201</v>
      </c>
      <c r="D1981" s="135">
        <v>209.61</v>
      </c>
      <c r="O1981" s="134"/>
      <c r="P1981" s="135"/>
    </row>
    <row r="1982" spans="1:16" s="133" customFormat="1" ht="15" customHeight="1">
      <c r="A1982" s="1"/>
      <c r="B1982" s="1"/>
      <c r="C1982" s="134">
        <v>45202</v>
      </c>
      <c r="D1982" s="135">
        <v>209.96</v>
      </c>
      <c r="O1982" s="134"/>
      <c r="P1982" s="135"/>
    </row>
    <row r="1983" spans="1:16" s="133" customFormat="1" ht="15" customHeight="1">
      <c r="A1983" s="1"/>
      <c r="B1983" s="1"/>
      <c r="C1983" s="134">
        <v>45203</v>
      </c>
      <c r="D1983" s="135">
        <v>210.01</v>
      </c>
      <c r="O1983" s="134"/>
      <c r="P1983" s="135"/>
    </row>
    <row r="1984" spans="1:16" s="133" customFormat="1" ht="15" customHeight="1">
      <c r="A1984" s="1"/>
      <c r="B1984" s="1"/>
      <c r="C1984" s="134">
        <v>45204</v>
      </c>
      <c r="D1984" s="135">
        <v>209.88</v>
      </c>
      <c r="O1984" s="134"/>
      <c r="P1984" s="135"/>
    </row>
    <row r="1985" spans="1:16" s="133" customFormat="1" ht="15" customHeight="1">
      <c r="A1985" s="1"/>
      <c r="B1985" s="1"/>
      <c r="C1985" s="134">
        <v>45205</v>
      </c>
      <c r="D1985" s="135">
        <v>214.16</v>
      </c>
      <c r="O1985" s="134"/>
      <c r="P1985" s="135"/>
    </row>
    <row r="1986" spans="1:16" s="133" customFormat="1" ht="15" customHeight="1">
      <c r="A1986" s="1"/>
      <c r="B1986" s="1"/>
      <c r="C1986" s="134">
        <v>45208</v>
      </c>
      <c r="D1986" s="135">
        <v>212.57</v>
      </c>
      <c r="O1986" s="134"/>
      <c r="P1986" s="135"/>
    </row>
    <row r="1987" spans="1:16" s="133" customFormat="1" ht="15" customHeight="1">
      <c r="A1987" s="1"/>
      <c r="B1987" s="1"/>
      <c r="C1987" s="134">
        <v>45209</v>
      </c>
      <c r="D1987" s="135">
        <v>213.65</v>
      </c>
      <c r="O1987" s="134"/>
      <c r="P1987" s="135"/>
    </row>
    <row r="1988" spans="1:16" s="133" customFormat="1" ht="15" customHeight="1">
      <c r="A1988" s="1"/>
      <c r="B1988" s="1"/>
      <c r="C1988" s="134">
        <v>45210</v>
      </c>
      <c r="D1988" s="135">
        <v>212.07</v>
      </c>
      <c r="O1988" s="134"/>
      <c r="P1988" s="135"/>
    </row>
    <row r="1989" spans="1:16" s="133" customFormat="1" ht="15" customHeight="1">
      <c r="A1989" s="1"/>
      <c r="B1989" s="1"/>
      <c r="C1989" s="134">
        <v>45211</v>
      </c>
      <c r="D1989" s="135">
        <v>214.26</v>
      </c>
      <c r="O1989" s="134"/>
      <c r="P1989" s="135"/>
    </row>
    <row r="1990" spans="1:16" s="133" customFormat="1" ht="15" customHeight="1">
      <c r="A1990" s="1"/>
      <c r="B1990" s="1"/>
      <c r="C1990" s="134">
        <v>45212</v>
      </c>
      <c r="D1990" s="135">
        <v>210.63</v>
      </c>
      <c r="O1990" s="134"/>
      <c r="P1990" s="135"/>
    </row>
    <row r="1991" spans="1:16" s="133" customFormat="1" ht="15" customHeight="1">
      <c r="A1991" s="1"/>
      <c r="B1991" s="1"/>
      <c r="C1991" s="134">
        <v>45215</v>
      </c>
      <c r="D1991" s="135">
        <v>215.52</v>
      </c>
      <c r="O1991" s="134"/>
      <c r="P1991" s="135"/>
    </row>
    <row r="1992" spans="1:16" s="133" customFormat="1" ht="15" customHeight="1">
      <c r="A1992" s="1"/>
      <c r="B1992" s="1"/>
      <c r="C1992" s="134">
        <v>45216</v>
      </c>
      <c r="D1992" s="135">
        <v>218.19</v>
      </c>
      <c r="O1992" s="134"/>
      <c r="P1992" s="135"/>
    </row>
    <row r="1993" spans="1:16" s="133" customFormat="1" ht="15" customHeight="1">
      <c r="A1993" s="1"/>
      <c r="B1993" s="1"/>
      <c r="C1993" s="134">
        <v>45217</v>
      </c>
      <c r="D1993" s="135">
        <v>216.7</v>
      </c>
      <c r="O1993" s="134"/>
      <c r="P1993" s="135"/>
    </row>
    <row r="1994" spans="1:16" s="133" customFormat="1" ht="15" customHeight="1">
      <c r="A1994" s="1"/>
      <c r="B1994" s="1"/>
      <c r="C1994" s="134">
        <v>45218</v>
      </c>
      <c r="D1994" s="135">
        <v>217.63</v>
      </c>
      <c r="O1994" s="134"/>
      <c r="P1994" s="135"/>
    </row>
    <row r="1995" spans="1:16" s="133" customFormat="1" ht="15" customHeight="1">
      <c r="A1995" s="1"/>
      <c r="B1995" s="1"/>
      <c r="C1995" s="134">
        <v>45219</v>
      </c>
      <c r="D1995" s="135">
        <v>213.64</v>
      </c>
      <c r="O1995" s="134"/>
      <c r="P1995" s="135"/>
    </row>
    <row r="1996" spans="1:16" s="133" customFormat="1" ht="15" customHeight="1">
      <c r="A1996" s="1"/>
      <c r="B1996" s="1"/>
      <c r="C1996" s="134">
        <v>45222</v>
      </c>
      <c r="D1996" s="135">
        <v>210.44</v>
      </c>
      <c r="O1996" s="134"/>
      <c r="P1996" s="135"/>
    </row>
    <row r="1997" spans="1:16" s="133" customFormat="1" ht="15" customHeight="1">
      <c r="A1997" s="1"/>
      <c r="B1997" s="1"/>
      <c r="C1997" s="134">
        <v>45223</v>
      </c>
      <c r="D1997" s="135">
        <v>211.88</v>
      </c>
      <c r="O1997" s="134"/>
      <c r="P1997" s="135"/>
    </row>
    <row r="1998" spans="1:16" s="133" customFormat="1" ht="15" customHeight="1">
      <c r="A1998" s="1"/>
      <c r="B1998" s="1"/>
      <c r="C1998" s="134">
        <v>45224</v>
      </c>
      <c r="D1998" s="135">
        <v>211.93</v>
      </c>
      <c r="O1998" s="134"/>
      <c r="P1998" s="135"/>
    </row>
    <row r="1999" spans="1:16" s="133" customFormat="1" ht="15" customHeight="1">
      <c r="A1999" s="1"/>
      <c r="B1999" s="1"/>
      <c r="C1999" s="134">
        <v>45225</v>
      </c>
      <c r="D1999" s="135">
        <v>206.41</v>
      </c>
      <c r="O1999" s="134"/>
      <c r="P1999" s="135"/>
    </row>
    <row r="2000" spans="1:16" s="133" customFormat="1" ht="15" customHeight="1">
      <c r="A2000" s="1"/>
      <c r="B2000" s="1"/>
      <c r="C2000" s="134">
        <v>45226</v>
      </c>
      <c r="D2000" s="135">
        <v>206.21</v>
      </c>
      <c r="O2000" s="134"/>
      <c r="P2000" s="135"/>
    </row>
    <row r="2001" spans="1:16" s="133" customFormat="1" ht="15" customHeight="1">
      <c r="A2001" s="1"/>
      <c r="B2001" s="1"/>
      <c r="C2001" s="134">
        <v>45229</v>
      </c>
      <c r="D2001" s="135">
        <v>209.11</v>
      </c>
      <c r="O2001" s="134"/>
      <c r="P2001" s="135"/>
    </row>
    <row r="2002" spans="1:16" s="133" customFormat="1" ht="15" customHeight="1">
      <c r="A2002" s="1"/>
      <c r="B2002" s="1"/>
      <c r="C2002" s="134">
        <v>45230</v>
      </c>
      <c r="D2002" s="135">
        <v>210.16</v>
      </c>
      <c r="O2002" s="134"/>
      <c r="P2002" s="135"/>
    </row>
    <row r="2003" spans="1:16" s="133" customFormat="1" ht="15" customHeight="1">
      <c r="A2003" s="1"/>
      <c r="B2003" s="1"/>
      <c r="C2003" s="134">
        <v>45231</v>
      </c>
      <c r="D2003" s="135">
        <v>210.46</v>
      </c>
      <c r="O2003" s="134"/>
      <c r="P2003" s="135"/>
    </row>
    <row r="2004" spans="1:16" s="133" customFormat="1" ht="15" customHeight="1">
      <c r="A2004" s="1"/>
      <c r="B2004" s="1"/>
      <c r="C2004" s="134">
        <v>45232</v>
      </c>
      <c r="D2004" s="135">
        <v>210.5</v>
      </c>
      <c r="O2004" s="134"/>
      <c r="P2004" s="135"/>
    </row>
    <row r="2005" spans="1:16" s="133" customFormat="1" ht="15" customHeight="1">
      <c r="A2005" s="1"/>
      <c r="B2005" s="1"/>
      <c r="C2005" s="134">
        <v>45233</v>
      </c>
      <c r="D2005" s="135">
        <v>210.33</v>
      </c>
      <c r="O2005" s="134"/>
      <c r="P2005" s="135"/>
    </row>
    <row r="2006" spans="1:16" s="133" customFormat="1" ht="15" customHeight="1">
      <c r="A2006" s="1"/>
      <c r="B2006" s="1"/>
      <c r="C2006" s="134">
        <v>45236</v>
      </c>
      <c r="D2006" s="135">
        <v>213.01</v>
      </c>
      <c r="O2006" s="134"/>
      <c r="P2006" s="135"/>
    </row>
    <row r="2007" spans="1:16" s="133" customFormat="1" ht="15" customHeight="1">
      <c r="A2007" s="1"/>
      <c r="B2007" s="1"/>
      <c r="C2007" s="134">
        <v>45237</v>
      </c>
      <c r="D2007" s="135">
        <v>210.77</v>
      </c>
      <c r="O2007" s="134"/>
      <c r="P2007" s="135"/>
    </row>
    <row r="2008" spans="1:16" s="133" customFormat="1" ht="15" customHeight="1">
      <c r="A2008" s="1"/>
      <c r="B2008" s="1"/>
      <c r="C2008" s="134">
        <v>45238</v>
      </c>
      <c r="D2008" s="135">
        <v>209.41</v>
      </c>
      <c r="O2008" s="134"/>
      <c r="P2008" s="135"/>
    </row>
    <row r="2009" spans="1:16" s="133" customFormat="1" ht="15" customHeight="1">
      <c r="A2009" s="1"/>
      <c r="B2009" s="1"/>
      <c r="C2009" s="134">
        <v>45239</v>
      </c>
      <c r="D2009" s="135">
        <v>211.03</v>
      </c>
      <c r="O2009" s="134"/>
      <c r="P2009" s="135"/>
    </row>
    <row r="2010" spans="1:16" s="133" customFormat="1" ht="15" customHeight="1">
      <c r="A2010" s="1"/>
      <c r="B2010" s="1"/>
      <c r="C2010" s="134">
        <v>45240</v>
      </c>
      <c r="D2010" s="135">
        <v>213.61</v>
      </c>
      <c r="O2010" s="134"/>
      <c r="P2010" s="135"/>
    </row>
    <row r="2011" spans="1:16" s="133" customFormat="1" ht="15" customHeight="1">
      <c r="A2011" s="1"/>
      <c r="B2011" s="1"/>
      <c r="C2011" s="134">
        <v>45243</v>
      </c>
      <c r="D2011" s="135">
        <v>213.63</v>
      </c>
      <c r="O2011" s="134"/>
      <c r="P2011" s="135"/>
    </row>
    <row r="2012" spans="1:16" s="133" customFormat="1" ht="15" customHeight="1">
      <c r="A2012" s="1"/>
      <c r="B2012" s="1"/>
      <c r="C2012" s="134">
        <v>45244</v>
      </c>
      <c r="D2012" s="135">
        <v>213.73</v>
      </c>
      <c r="O2012" s="134"/>
      <c r="P2012" s="135"/>
    </row>
    <row r="2013" spans="1:16" s="133" customFormat="1" ht="15" customHeight="1">
      <c r="A2013" s="1"/>
      <c r="B2013" s="1"/>
      <c r="C2013" s="134">
        <v>45245</v>
      </c>
      <c r="D2013" s="135">
        <v>216.35</v>
      </c>
      <c r="O2013" s="134"/>
      <c r="P2013" s="135"/>
    </row>
    <row r="2014" spans="1:16" s="133" customFormat="1" ht="15" customHeight="1">
      <c r="A2014" s="1"/>
      <c r="B2014" s="1"/>
      <c r="C2014" s="134">
        <v>45246</v>
      </c>
      <c r="D2014" s="135">
        <v>214.56</v>
      </c>
      <c r="O2014" s="134"/>
      <c r="P2014" s="135"/>
    </row>
    <row r="2015" spans="1:16" s="133" customFormat="1" ht="15" customHeight="1">
      <c r="A2015" s="1"/>
      <c r="B2015" s="1"/>
      <c r="C2015" s="134">
        <v>45247</v>
      </c>
      <c r="D2015" s="135">
        <v>214.62</v>
      </c>
      <c r="O2015" s="134"/>
      <c r="P2015" s="135"/>
    </row>
    <row r="2016" spans="1:16" s="133" customFormat="1" ht="15" customHeight="1">
      <c r="A2016" s="1"/>
      <c r="B2016" s="1"/>
      <c r="C2016" s="134">
        <v>45250</v>
      </c>
      <c r="D2016" s="135">
        <v>215.61</v>
      </c>
      <c r="O2016" s="134"/>
      <c r="P2016" s="135"/>
    </row>
    <row r="2017" spans="1:16" s="133" customFormat="1" ht="15" customHeight="1">
      <c r="A2017" s="1"/>
      <c r="B2017" s="1"/>
      <c r="C2017" s="134">
        <v>45251</v>
      </c>
      <c r="D2017" s="135">
        <v>215.47</v>
      </c>
      <c r="O2017" s="134"/>
      <c r="P2017" s="135"/>
    </row>
    <row r="2018" spans="1:16" s="133" customFormat="1" ht="15" customHeight="1">
      <c r="A2018" s="1"/>
      <c r="B2018" s="1"/>
      <c r="C2018" s="134">
        <v>45252</v>
      </c>
      <c r="D2018" s="135">
        <v>215.79</v>
      </c>
      <c r="O2018" s="134"/>
      <c r="P2018" s="135"/>
    </row>
    <row r="2019" spans="1:16" s="133" customFormat="1" ht="15" customHeight="1">
      <c r="A2019" s="1"/>
      <c r="B2019" s="1"/>
      <c r="C2019" s="134">
        <v>45254</v>
      </c>
      <c r="D2019" s="135">
        <v>217.83</v>
      </c>
      <c r="O2019" s="134"/>
      <c r="P2019" s="135"/>
    </row>
    <row r="2020" spans="1:16" s="133" customFormat="1" ht="15" customHeight="1">
      <c r="A2020" s="1"/>
      <c r="B2020" s="1"/>
      <c r="C2020" s="134">
        <v>45257</v>
      </c>
      <c r="D2020" s="135">
        <v>215.32</v>
      </c>
      <c r="O2020" s="134"/>
      <c r="P2020" s="135"/>
    </row>
    <row r="2021" spans="1:16" s="133" customFormat="1" ht="15" customHeight="1">
      <c r="A2021" s="1"/>
      <c r="B2021" s="1"/>
      <c r="C2021" s="134">
        <v>45258</v>
      </c>
      <c r="D2021" s="135">
        <v>214.87</v>
      </c>
      <c r="O2021" s="134"/>
      <c r="P2021" s="135"/>
    </row>
    <row r="2022" spans="1:16" s="133" customFormat="1" ht="15" customHeight="1">
      <c r="A2022" s="1"/>
      <c r="B2022" s="1"/>
      <c r="C2022" s="134">
        <v>45259</v>
      </c>
      <c r="D2022" s="135">
        <v>212.82</v>
      </c>
      <c r="O2022" s="134"/>
      <c r="P2022" s="135"/>
    </row>
    <row r="2023" spans="1:16" s="133" customFormat="1" ht="15" customHeight="1">
      <c r="A2023" s="1"/>
      <c r="B2023" s="1"/>
      <c r="C2023" s="134">
        <v>45260</v>
      </c>
      <c r="D2023" s="135">
        <v>215.48</v>
      </c>
      <c r="O2023" s="134"/>
      <c r="P2023" s="135"/>
    </row>
    <row r="2024" spans="1:16" s="133" customFormat="1" ht="15" customHeight="1">
      <c r="A2024" s="1"/>
      <c r="B2024" s="1"/>
      <c r="C2024" s="134">
        <v>45261</v>
      </c>
      <c r="D2024" s="135">
        <v>213.46</v>
      </c>
      <c r="O2024" s="134"/>
      <c r="P2024" s="135"/>
    </row>
    <row r="2025" spans="1:16" s="133" customFormat="1" ht="15" customHeight="1">
      <c r="A2025" s="1"/>
      <c r="B2025" s="1"/>
      <c r="C2025" s="134">
        <v>45264</v>
      </c>
      <c r="D2025" s="135">
        <v>213.51</v>
      </c>
      <c r="O2025" s="134"/>
      <c r="P2025" s="135"/>
    </row>
    <row r="2026" spans="1:16" s="133" customFormat="1" ht="15" customHeight="1">
      <c r="A2026" s="1"/>
      <c r="B2026" s="1"/>
      <c r="C2026" s="134">
        <v>45265</v>
      </c>
      <c r="D2026" s="135">
        <v>210.12</v>
      </c>
      <c r="O2026" s="134"/>
      <c r="P2026" s="135"/>
    </row>
    <row r="2027" spans="1:16" s="133" customFormat="1" ht="15" customHeight="1">
      <c r="A2027" s="1"/>
      <c r="B2027" s="1"/>
      <c r="C2027" s="134">
        <v>45266</v>
      </c>
      <c r="D2027" s="135">
        <v>207.24</v>
      </c>
      <c r="O2027" s="134"/>
      <c r="P2027" s="135"/>
    </row>
    <row r="2028" spans="1:16" s="133" customFormat="1" ht="15" customHeight="1">
      <c r="A2028" s="1"/>
      <c r="B2028" s="1"/>
      <c r="C2028" s="134">
        <v>45267</v>
      </c>
      <c r="D2028" s="135">
        <v>209.33</v>
      </c>
      <c r="O2028" s="134"/>
      <c r="P2028" s="135"/>
    </row>
    <row r="2029" spans="1:16" s="133" customFormat="1" ht="15" customHeight="1">
      <c r="A2029" s="1"/>
      <c r="B2029" s="1"/>
      <c r="C2029" s="134">
        <v>45268</v>
      </c>
      <c r="D2029" s="135">
        <v>212.36</v>
      </c>
      <c r="O2029" s="134"/>
      <c r="P2029" s="135"/>
    </row>
    <row r="2030" spans="1:16" s="133" customFormat="1" ht="15" customHeight="1">
      <c r="A2030" s="1"/>
      <c r="B2030" s="1"/>
      <c r="C2030" s="134">
        <v>45271</v>
      </c>
      <c r="D2030" s="135">
        <v>213.29</v>
      </c>
      <c r="O2030" s="134"/>
      <c r="P2030" s="135"/>
    </row>
    <row r="2031" spans="1:16" s="133" customFormat="1" ht="15" customHeight="1">
      <c r="A2031" s="1"/>
      <c r="B2031" s="1"/>
      <c r="C2031" s="134">
        <v>45272</v>
      </c>
      <c r="D2031" s="135">
        <v>213.28</v>
      </c>
      <c r="O2031" s="134"/>
      <c r="P2031" s="135"/>
    </row>
    <row r="2032" spans="1:16" s="133" customFormat="1" ht="15" customHeight="1">
      <c r="A2032" s="1"/>
      <c r="B2032" s="1"/>
      <c r="C2032" s="134">
        <v>45273</v>
      </c>
      <c r="D2032" s="135">
        <v>212.34</v>
      </c>
      <c r="O2032" s="134"/>
      <c r="P2032" s="135"/>
    </row>
    <row r="2033" spans="1:16" s="133" customFormat="1" ht="15" customHeight="1">
      <c r="A2033" s="1"/>
      <c r="B2033" s="1"/>
      <c r="C2033" s="134">
        <v>45274</v>
      </c>
      <c r="D2033" s="135">
        <v>209.86</v>
      </c>
      <c r="O2033" s="134"/>
      <c r="P2033" s="135"/>
    </row>
    <row r="2034" spans="1:16" s="133" customFormat="1" ht="15" customHeight="1">
      <c r="A2034" s="1"/>
      <c r="B2034" s="1"/>
      <c r="C2034" s="134">
        <v>45275</v>
      </c>
      <c r="D2034" s="135">
        <v>209.04</v>
      </c>
      <c r="O2034" s="134"/>
      <c r="P2034" s="135"/>
    </row>
    <row r="2035" spans="1:16" s="133" customFormat="1" ht="15" customHeight="1">
      <c r="A2035" s="1"/>
      <c r="B2035" s="1"/>
      <c r="C2035" s="134">
        <v>45278</v>
      </c>
      <c r="D2035" s="135">
        <v>211.12</v>
      </c>
      <c r="O2035" s="134"/>
      <c r="P2035" s="135"/>
    </row>
    <row r="2036" spans="1:16" s="133" customFormat="1" ht="15" customHeight="1">
      <c r="A2036" s="1"/>
      <c r="B2036" s="1"/>
      <c r="C2036" s="134">
        <v>45279</v>
      </c>
      <c r="D2036" s="135">
        <v>211.66</v>
      </c>
      <c r="O2036" s="134"/>
      <c r="P2036" s="135"/>
    </row>
    <row r="2037" spans="1:16" s="133" customFormat="1" ht="15" customHeight="1">
      <c r="A2037" s="1"/>
      <c r="B2037" s="1"/>
      <c r="C2037" s="134">
        <v>45280</v>
      </c>
      <c r="D2037" s="135">
        <v>207.36</v>
      </c>
      <c r="O2037" s="134"/>
      <c r="P2037" s="135"/>
    </row>
    <row r="2038" spans="1:16" s="133" customFormat="1" ht="15" customHeight="1">
      <c r="A2038" s="1"/>
      <c r="B2038" s="1"/>
      <c r="C2038" s="134">
        <v>45281</v>
      </c>
      <c r="D2038" s="135">
        <v>210.12</v>
      </c>
      <c r="O2038" s="134"/>
      <c r="P2038" s="135"/>
    </row>
    <row r="2039" spans="1:16" s="133" customFormat="1" ht="15" customHeight="1">
      <c r="A2039" s="1"/>
      <c r="B2039" s="1"/>
      <c r="C2039" s="134">
        <v>45282</v>
      </c>
      <c r="D2039" s="135">
        <v>210.85</v>
      </c>
      <c r="O2039" s="134"/>
      <c r="P2039" s="135"/>
    </row>
    <row r="2040" spans="1:16" s="133" customFormat="1" ht="15" customHeight="1">
      <c r="A2040" s="1"/>
      <c r="B2040" s="1"/>
      <c r="C2040" s="134">
        <v>45286</v>
      </c>
      <c r="D2040" s="135">
        <v>211.04</v>
      </c>
      <c r="O2040" s="134"/>
      <c r="P2040" s="135"/>
    </row>
    <row r="2041" spans="1:16" s="133" customFormat="1" ht="15" customHeight="1">
      <c r="A2041" s="1"/>
      <c r="B2041" s="1"/>
      <c r="C2041" s="134">
        <v>45287</v>
      </c>
      <c r="D2041" s="135">
        <v>208.68</v>
      </c>
      <c r="O2041" s="134"/>
      <c r="P2041" s="135"/>
    </row>
    <row r="2042" spans="1:16" s="133" customFormat="1" ht="15" customHeight="1">
      <c r="A2042" s="1"/>
      <c r="B2042" s="1"/>
      <c r="C2042" s="134">
        <v>45288</v>
      </c>
      <c r="D2042" s="135">
        <v>209.9</v>
      </c>
      <c r="O2042" s="134"/>
      <c r="P2042" s="135"/>
    </row>
    <row r="2043" spans="1:16" s="133" customFormat="1" ht="15" customHeight="1">
      <c r="A2043" s="1"/>
      <c r="B2043" s="1"/>
      <c r="C2043" s="134">
        <v>45289</v>
      </c>
      <c r="D2043" s="135">
        <v>209.71</v>
      </c>
      <c r="O2043" s="134"/>
      <c r="P2043" s="135"/>
    </row>
    <row r="2044" spans="1:16" s="133" customFormat="1" ht="15" customHeight="1">
      <c r="A2044" s="1"/>
      <c r="B2044" s="1"/>
      <c r="C2044" s="134">
        <v>45293</v>
      </c>
      <c r="D2044" s="135">
        <v>210.3</v>
      </c>
      <c r="O2044" s="134"/>
      <c r="P2044" s="135"/>
    </row>
    <row r="2045" spans="1:16" s="133" customFormat="1" ht="15" customHeight="1">
      <c r="A2045" s="1"/>
      <c r="B2045" s="1"/>
      <c r="C2045" s="134">
        <v>45294</v>
      </c>
      <c r="D2045" s="135">
        <v>208.01</v>
      </c>
      <c r="O2045" s="134"/>
      <c r="P2045" s="135"/>
    </row>
    <row r="2046" spans="1:16" s="133" customFormat="1" ht="15" customHeight="1">
      <c r="A2046" s="1"/>
      <c r="B2046" s="1"/>
      <c r="C2046" s="134">
        <v>45295</v>
      </c>
      <c r="D2046" s="135">
        <v>209.44</v>
      </c>
      <c r="O2046" s="134"/>
      <c r="P2046" s="135"/>
    </row>
    <row r="2047" spans="1:16" s="133" customFormat="1" ht="15" customHeight="1">
      <c r="A2047" s="1"/>
      <c r="B2047" s="1"/>
      <c r="C2047" s="134">
        <v>45296</v>
      </c>
      <c r="D2047" s="135">
        <v>211.09</v>
      </c>
      <c r="O2047" s="134"/>
      <c r="P2047" s="135"/>
    </row>
    <row r="2048" spans="1:16" s="133" customFormat="1" ht="15" customHeight="1">
      <c r="A2048" s="1"/>
      <c r="B2048" s="1"/>
      <c r="C2048" s="134">
        <v>45299</v>
      </c>
      <c r="D2048" s="135">
        <v>213.28</v>
      </c>
      <c r="O2048" s="134"/>
      <c r="P2048" s="135"/>
    </row>
    <row r="2049" spans="1:16" s="133" customFormat="1" ht="15" customHeight="1">
      <c r="A2049" s="1"/>
      <c r="B2049" s="1"/>
      <c r="C2049" s="134">
        <v>45300</v>
      </c>
      <c r="D2049" s="135">
        <v>213.16</v>
      </c>
      <c r="O2049" s="134"/>
      <c r="P2049" s="135"/>
    </row>
    <row r="2050" spans="1:16" s="133" customFormat="1" ht="15" customHeight="1">
      <c r="A2050" s="1"/>
      <c r="B2050" s="1"/>
      <c r="C2050" s="134">
        <v>45301</v>
      </c>
      <c r="D2050" s="135">
        <v>214.85</v>
      </c>
      <c r="O2050" s="134"/>
      <c r="P2050" s="135"/>
    </row>
    <row r="2051" spans="1:16" s="133" customFormat="1" ht="15" customHeight="1">
      <c r="A2051" s="1"/>
      <c r="B2051" s="1"/>
      <c r="C2051" s="134">
        <v>45302</v>
      </c>
      <c r="D2051" s="135">
        <v>213.68</v>
      </c>
      <c r="O2051" s="134"/>
      <c r="P2051" s="135"/>
    </row>
    <row r="2052" spans="1:16" s="133" customFormat="1" ht="15" customHeight="1">
      <c r="A2052" s="1"/>
      <c r="B2052" s="1"/>
      <c r="C2052" s="134">
        <v>45303</v>
      </c>
      <c r="D2052" s="135">
        <v>213.48</v>
      </c>
      <c r="O2052" s="134"/>
      <c r="P2052" s="135"/>
    </row>
    <row r="2053" spans="1:16" s="133" customFormat="1" ht="15" customHeight="1">
      <c r="A2053" s="1"/>
      <c r="B2053" s="1"/>
      <c r="C2053" s="134">
        <v>45307</v>
      </c>
      <c r="D2053" s="135">
        <v>215.96</v>
      </c>
      <c r="O2053" s="134"/>
      <c r="P2053" s="135"/>
    </row>
    <row r="2054" spans="1:16" s="133" customFormat="1" ht="15" customHeight="1">
      <c r="A2054" s="1"/>
      <c r="B2054" s="1"/>
      <c r="C2054" s="134">
        <v>45308</v>
      </c>
      <c r="D2054" s="135">
        <v>215.26</v>
      </c>
      <c r="O2054" s="134"/>
      <c r="P2054" s="135"/>
    </row>
    <row r="2055" spans="1:16" s="133" customFormat="1" ht="15" customHeight="1">
      <c r="A2055" s="1"/>
      <c r="B2055" s="1"/>
      <c r="C2055" s="134">
        <v>45309</v>
      </c>
      <c r="D2055" s="135">
        <v>218.66</v>
      </c>
      <c r="O2055" s="134"/>
      <c r="P2055" s="135"/>
    </row>
    <row r="2056" spans="1:16" s="133" customFormat="1" ht="15" customHeight="1">
      <c r="A2056" s="1"/>
      <c r="B2056" s="1"/>
      <c r="C2056" s="134">
        <v>45310</v>
      </c>
      <c r="D2056" s="135">
        <v>221.17</v>
      </c>
      <c r="O2056" s="134"/>
      <c r="P2056" s="135"/>
    </row>
    <row r="2057" spans="1:16" s="133" customFormat="1" ht="15" customHeight="1">
      <c r="A2057" s="1"/>
      <c r="B2057" s="1"/>
      <c r="C2057" s="134">
        <v>45313</v>
      </c>
      <c r="D2057" s="135">
        <v>220.46</v>
      </c>
      <c r="O2057" s="134"/>
      <c r="P2057" s="135"/>
    </row>
    <row r="2058" spans="1:16" s="133" customFormat="1" ht="15" customHeight="1">
      <c r="A2058" s="1"/>
      <c r="B2058" s="1"/>
      <c r="C2058" s="134">
        <v>45314</v>
      </c>
      <c r="D2058" s="135">
        <v>222.78</v>
      </c>
      <c r="O2058" s="134"/>
      <c r="P2058" s="135"/>
    </row>
    <row r="2059" spans="1:16" s="133" customFormat="1" ht="15" customHeight="1">
      <c r="A2059" s="1"/>
      <c r="B2059" s="1"/>
      <c r="C2059" s="134">
        <v>45315</v>
      </c>
      <c r="D2059" s="135">
        <v>224.05</v>
      </c>
      <c r="O2059" s="134"/>
      <c r="P2059" s="135"/>
    </row>
    <row r="2060" spans="1:16" s="133" customFormat="1" ht="15" customHeight="1">
      <c r="A2060" s="1"/>
      <c r="B2060" s="1"/>
      <c r="C2060" s="134">
        <v>45316</v>
      </c>
      <c r="D2060" s="135">
        <v>224.13</v>
      </c>
      <c r="O2060" s="134"/>
      <c r="P2060" s="135"/>
    </row>
    <row r="2061" spans="1:16" s="133" customFormat="1" ht="15" customHeight="1">
      <c r="A2061" s="1"/>
      <c r="B2061" s="1"/>
      <c r="C2061" s="134">
        <v>45317</v>
      </c>
      <c r="D2061" s="135">
        <v>224.31</v>
      </c>
      <c r="O2061" s="134"/>
      <c r="P2061" s="135"/>
    </row>
    <row r="2062" spans="1:16" s="133" customFormat="1" ht="15" customHeight="1">
      <c r="A2062" s="1"/>
      <c r="B2062" s="1"/>
      <c r="C2062" s="134">
        <v>45320</v>
      </c>
      <c r="D2062" s="135">
        <v>224.33</v>
      </c>
      <c r="O2062" s="134"/>
      <c r="P2062" s="135"/>
    </row>
    <row r="2063" spans="1:16" s="133" customFormat="1" ht="15" customHeight="1">
      <c r="A2063" s="1"/>
      <c r="B2063" s="1"/>
      <c r="C2063" s="134">
        <v>45321</v>
      </c>
      <c r="D2063" s="135">
        <v>222.87</v>
      </c>
      <c r="O2063" s="134"/>
      <c r="P2063" s="135"/>
    </row>
    <row r="2064" spans="1:16" s="133" customFormat="1" ht="15" customHeight="1">
      <c r="A2064" s="1"/>
      <c r="B2064" s="1"/>
      <c r="C2064" s="134">
        <v>45322</v>
      </c>
      <c r="D2064" s="135">
        <v>217.27</v>
      </c>
      <c r="O2064" s="134"/>
      <c r="P2064" s="135"/>
    </row>
    <row r="2065" spans="1:16" s="133" customFormat="1" ht="15" customHeight="1">
      <c r="A2065" s="1"/>
      <c r="B2065" s="1"/>
      <c r="C2065" s="134">
        <v>45323</v>
      </c>
      <c r="D2065" s="135">
        <v>216.89</v>
      </c>
      <c r="O2065" s="134"/>
      <c r="P2065" s="135"/>
    </row>
    <row r="2066" spans="1:16" s="133" customFormat="1" ht="15" customHeight="1">
      <c r="A2066" s="1"/>
      <c r="B2066" s="1"/>
      <c r="C2066" s="134">
        <v>45324</v>
      </c>
      <c r="D2066" s="135">
        <v>222.92</v>
      </c>
      <c r="O2066" s="134"/>
      <c r="P2066" s="135"/>
    </row>
    <row r="2067" spans="1:16" s="133" customFormat="1" ht="15" customHeight="1">
      <c r="A2067" s="1"/>
      <c r="B2067" s="1"/>
      <c r="C2067" s="134">
        <v>45327</v>
      </c>
      <c r="D2067" s="135">
        <v>225.45</v>
      </c>
      <c r="O2067" s="134"/>
      <c r="P2067" s="135"/>
    </row>
    <row r="2068" spans="1:16" s="133" customFormat="1" ht="15" customHeight="1">
      <c r="A2068" s="1"/>
      <c r="B2068" s="1"/>
      <c r="C2068" s="134">
        <v>45328</v>
      </c>
      <c r="D2068" s="135">
        <v>224.42</v>
      </c>
      <c r="O2068" s="134"/>
      <c r="P2068" s="135"/>
    </row>
    <row r="2069" spans="1:16" s="133" customFormat="1" ht="15" customHeight="1">
      <c r="A2069" s="1"/>
      <c r="B2069" s="1"/>
      <c r="C2069" s="134">
        <v>45329</v>
      </c>
      <c r="D2069" s="135">
        <v>226.57</v>
      </c>
      <c r="O2069" s="134"/>
      <c r="P2069" s="135"/>
    </row>
    <row r="2070" spans="1:16" s="133" customFormat="1" ht="15" customHeight="1">
      <c r="A2070" s="1"/>
      <c r="B2070" s="1"/>
      <c r="C2070" s="134">
        <v>45330</v>
      </c>
      <c r="D2070" s="135">
        <v>228.89</v>
      </c>
      <c r="O2070" s="134"/>
      <c r="P2070" s="135"/>
    </row>
    <row r="2071" spans="1:16" s="133" customFormat="1" ht="15" customHeight="1">
      <c r="A2071" s="1"/>
      <c r="B2071" s="1"/>
      <c r="C2071" s="134">
        <v>45331</v>
      </c>
      <c r="D2071" s="135">
        <v>230.24</v>
      </c>
      <c r="O2071" s="134"/>
      <c r="P2071" s="135"/>
    </row>
    <row r="2072" spans="1:16" s="133" customFormat="1" ht="15" customHeight="1">
      <c r="A2072" s="1"/>
      <c r="B2072" s="1"/>
      <c r="C2072" s="134">
        <v>45334</v>
      </c>
      <c r="D2072" s="135">
        <v>229.79</v>
      </c>
      <c r="O2072" s="134"/>
      <c r="P2072" s="135"/>
    </row>
    <row r="2073" spans="1:16" s="133" customFormat="1" ht="15" customHeight="1">
      <c r="A2073" s="1"/>
      <c r="B2073" s="1"/>
      <c r="C2073" s="134">
        <v>45335</v>
      </c>
      <c r="D2073" s="135">
        <v>230.23</v>
      </c>
      <c r="O2073" s="134"/>
      <c r="P2073" s="135"/>
    </row>
    <row r="2074" spans="1:16" s="133" customFormat="1" ht="15" customHeight="1">
      <c r="A2074" s="1"/>
      <c r="B2074" s="1"/>
      <c r="C2074" s="134">
        <v>45336</v>
      </c>
      <c r="D2074" s="135">
        <v>231.33</v>
      </c>
      <c r="O2074" s="134"/>
      <c r="P2074" s="135"/>
    </row>
    <row r="2075" spans="1:16" s="133" customFormat="1" ht="15" customHeight="1">
      <c r="A2075" s="1"/>
      <c r="B2075" s="1"/>
      <c r="C2075" s="134">
        <v>45337</v>
      </c>
      <c r="D2075" s="135">
        <v>232.01</v>
      </c>
      <c r="O2075" s="134"/>
      <c r="P2075" s="135"/>
    </row>
    <row r="2076" spans="1:16" s="133" customFormat="1" ht="15" customHeight="1">
      <c r="A2076" s="1"/>
      <c r="B2076" s="1"/>
      <c r="C2076" s="134">
        <v>45338</v>
      </c>
      <c r="D2076" s="135">
        <v>232.09</v>
      </c>
      <c r="O2076" s="134"/>
      <c r="P2076" s="135"/>
    </row>
    <row r="2077" spans="1:16" s="133" customFormat="1" ht="15" customHeight="1">
      <c r="A2077" s="1"/>
      <c r="B2077" s="1"/>
      <c r="C2077" s="134">
        <v>45342</v>
      </c>
      <c r="D2077" s="135">
        <v>230.74</v>
      </c>
      <c r="O2077" s="134"/>
      <c r="P2077" s="135"/>
    </row>
    <row r="2078" spans="1:16" s="133" customFormat="1" ht="15" customHeight="1">
      <c r="A2078" s="1"/>
      <c r="B2078" s="1"/>
      <c r="C2078" s="134">
        <v>45343</v>
      </c>
      <c r="D2078" s="135">
        <v>232.15</v>
      </c>
      <c r="O2078" s="134"/>
      <c r="P2078" s="135"/>
    </row>
    <row r="2079" spans="1:16" s="133" customFormat="1" ht="15" customHeight="1">
      <c r="A2079" s="1"/>
      <c r="B2079" s="1"/>
      <c r="C2079" s="134">
        <v>45344</v>
      </c>
      <c r="D2079" s="135">
        <v>236.22</v>
      </c>
      <c r="O2079" s="134"/>
      <c r="P2079" s="135"/>
    </row>
    <row r="2080" spans="1:16" s="133" customFormat="1" ht="15" customHeight="1">
      <c r="A2080" s="1"/>
      <c r="B2080" s="1"/>
      <c r="C2080" s="134">
        <v>45345</v>
      </c>
      <c r="D2080" s="135">
        <v>234.43</v>
      </c>
      <c r="O2080" s="134"/>
      <c r="P2080" s="135"/>
    </row>
    <row r="2081" spans="1:16" s="133" customFormat="1" ht="15" customHeight="1">
      <c r="A2081" s="1"/>
      <c r="B2081" s="1"/>
      <c r="C2081" s="134">
        <v>45348</v>
      </c>
      <c r="D2081" s="135">
        <v>234.48</v>
      </c>
      <c r="O2081" s="134"/>
      <c r="P2081" s="135"/>
    </row>
    <row r="2082" spans="1:16" s="133" customFormat="1" ht="15" customHeight="1">
      <c r="A2082" s="1"/>
      <c r="B2082" s="1"/>
      <c r="C2082" s="134">
        <v>45349</v>
      </c>
      <c r="D2082" s="135">
        <v>235.58</v>
      </c>
      <c r="O2082" s="134"/>
      <c r="P2082" s="135"/>
    </row>
    <row r="2083" spans="1:16" s="133" customFormat="1" ht="15" customHeight="1">
      <c r="A2083" s="1"/>
      <c r="B2083" s="1"/>
      <c r="C2083" s="134">
        <v>45350</v>
      </c>
      <c r="D2083" s="135">
        <v>234.33</v>
      </c>
      <c r="O2083" s="134"/>
      <c r="P2083" s="135"/>
    </row>
    <row r="2084" spans="1:16" s="133" customFormat="1" ht="15" customHeight="1">
      <c r="A2084" s="1"/>
      <c r="B2084" s="1"/>
      <c r="C2084" s="134">
        <v>45351</v>
      </c>
      <c r="D2084" s="135">
        <v>234.42</v>
      </c>
      <c r="O2084" s="134"/>
      <c r="P2084" s="135"/>
    </row>
    <row r="2085" spans="1:16" s="133" customFormat="1" ht="15" customHeight="1">
      <c r="A2085" s="1"/>
      <c r="B2085" s="1"/>
      <c r="C2085" s="134">
        <v>45352</v>
      </c>
      <c r="D2085" s="135">
        <v>234.86</v>
      </c>
      <c r="O2085" s="134"/>
      <c r="P2085" s="135"/>
    </row>
    <row r="2086" spans="1:16" s="133" customFormat="1" ht="15" customHeight="1">
      <c r="A2086" s="1"/>
      <c r="B2086" s="1"/>
      <c r="C2086" s="134">
        <v>45355</v>
      </c>
      <c r="D2086" s="135">
        <v>235.47</v>
      </c>
      <c r="O2086" s="134"/>
      <c r="P2086" s="135"/>
    </row>
    <row r="2087" spans="1:16" s="133" customFormat="1" ht="15" customHeight="1">
      <c r="A2087" s="1"/>
      <c r="B2087" s="1"/>
      <c r="C2087" s="134">
        <v>45356</v>
      </c>
      <c r="D2087" s="135">
        <v>230.64</v>
      </c>
      <c r="O2087" s="134"/>
      <c r="P2087" s="135"/>
    </row>
    <row r="2088" spans="1:16" s="133" customFormat="1" ht="15" customHeight="1">
      <c r="A2088" s="1"/>
      <c r="B2088" s="1"/>
      <c r="C2088" s="134">
        <v>45357</v>
      </c>
      <c r="D2088" s="135">
        <v>230.42</v>
      </c>
      <c r="O2088" s="134"/>
      <c r="P2088" s="135"/>
    </row>
    <row r="2089" spans="1:16" s="133" customFormat="1" ht="15" customHeight="1">
      <c r="A2089" s="1"/>
      <c r="B2089" s="1"/>
      <c r="C2089" s="134">
        <v>45358</v>
      </c>
      <c r="D2089" s="135">
        <v>232.47</v>
      </c>
      <c r="O2089" s="134"/>
      <c r="P2089" s="135"/>
    </row>
    <row r="2090" spans="1:16" s="133" customFormat="1" ht="15" customHeight="1">
      <c r="A2090" s="1"/>
      <c r="B2090" s="1"/>
      <c r="C2090" s="134">
        <v>45359</v>
      </c>
      <c r="D2090" s="135">
        <v>231.45</v>
      </c>
      <c r="O2090" s="134"/>
      <c r="P2090" s="135"/>
    </row>
    <row r="2091" spans="1:16" s="133" customFormat="1" ht="15" customHeight="1">
      <c r="A2091" s="1"/>
      <c r="B2091" s="1"/>
      <c r="C2091" s="134">
        <v>45362</v>
      </c>
      <c r="D2091" s="135">
        <v>231.43</v>
      </c>
      <c r="O2091" s="134"/>
      <c r="P2091" s="135"/>
    </row>
    <row r="2092" spans="1:16" s="133" customFormat="1" ht="15" customHeight="1">
      <c r="A2092" s="1"/>
      <c r="B2092" s="1"/>
      <c r="C2092" s="134">
        <v>45363</v>
      </c>
      <c r="D2092" s="135">
        <v>235.19</v>
      </c>
      <c r="O2092" s="134"/>
      <c r="P2092" s="135"/>
    </row>
    <row r="2093" spans="1:16" s="133" customFormat="1" ht="15" customHeight="1">
      <c r="A2093" s="1"/>
      <c r="B2093" s="1"/>
      <c r="C2093" s="134">
        <v>45364</v>
      </c>
      <c r="D2093" s="135">
        <v>235.8</v>
      </c>
      <c r="O2093" s="134"/>
      <c r="P2093" s="135"/>
    </row>
    <row r="2094" spans="1:16" s="133" customFormat="1" ht="15" customHeight="1">
      <c r="A2094" s="1"/>
      <c r="B2094" s="1"/>
      <c r="C2094" s="134">
        <v>45365</v>
      </c>
      <c r="D2094" s="135">
        <v>238.19</v>
      </c>
      <c r="O2094" s="134"/>
      <c r="P2094" s="135"/>
    </row>
    <row r="2095" spans="1:16" s="133" customFormat="1" ht="15" customHeight="1">
      <c r="A2095" s="1"/>
      <c r="B2095" s="1"/>
      <c r="C2095" s="134">
        <v>45366</v>
      </c>
      <c r="D2095" s="135">
        <v>236.61</v>
      </c>
      <c r="O2095" s="134"/>
      <c r="P2095" s="135"/>
    </row>
    <row r="2096" spans="1:16" s="133" customFormat="1" ht="15" customHeight="1">
      <c r="A2096" s="1"/>
      <c r="B2096" s="1"/>
      <c r="C2096" s="134">
        <v>45369</v>
      </c>
      <c r="D2096" s="135">
        <v>239.24</v>
      </c>
      <c r="O2096" s="134"/>
      <c r="P2096" s="135"/>
    </row>
    <row r="2097" spans="1:16" s="133" customFormat="1" ht="15" customHeight="1">
      <c r="A2097" s="1"/>
      <c r="B2097" s="1"/>
      <c r="C2097" s="134">
        <v>45370</v>
      </c>
      <c r="D2097" s="135">
        <v>239.44</v>
      </c>
      <c r="O2097" s="134"/>
      <c r="P2097" s="135"/>
    </row>
    <row r="2098" spans="1:16" s="133" customFormat="1" ht="15" customHeight="1">
      <c r="A2098" s="1"/>
      <c r="B2098" s="1"/>
      <c r="C2098" s="134">
        <v>45371</v>
      </c>
      <c r="D2098" s="135">
        <v>241.34</v>
      </c>
      <c r="O2098" s="134"/>
      <c r="P2098" s="135"/>
    </row>
    <row r="2099" spans="1:16" s="133" customFormat="1" ht="15" customHeight="1">
      <c r="A2099" s="1"/>
      <c r="B2099" s="1"/>
      <c r="C2099" s="134">
        <v>45372</v>
      </c>
      <c r="D2099" s="135">
        <v>241.71</v>
      </c>
      <c r="O2099" s="134"/>
      <c r="P2099" s="135"/>
    </row>
    <row r="2100" spans="1:16" s="133" customFormat="1" ht="15" customHeight="1">
      <c r="A2100" s="1"/>
      <c r="B2100" s="1"/>
      <c r="C2100" s="134">
        <v>45373</v>
      </c>
      <c r="D2100" s="135">
        <v>239.74</v>
      </c>
      <c r="O2100" s="134"/>
      <c r="P2100" s="135"/>
    </row>
    <row r="2101" spans="1:16" s="133" customFormat="1" ht="15" customHeight="1">
      <c r="A2101" s="1"/>
      <c r="B2101" s="1"/>
      <c r="C2101" s="134">
        <v>45376</v>
      </c>
      <c r="D2101" s="135">
        <v>240.1</v>
      </c>
      <c r="O2101" s="134"/>
      <c r="P2101" s="135"/>
    </row>
    <row r="2102" spans="1:16" s="133" customFormat="1" ht="15" customHeight="1">
      <c r="A2102" s="1"/>
      <c r="B2102" s="1"/>
      <c r="C2102" s="134">
        <v>45377</v>
      </c>
      <c r="D2102" s="135">
        <v>238.92</v>
      </c>
      <c r="O2102" s="134"/>
      <c r="P2102" s="135"/>
    </row>
    <row r="2103" spans="1:16" s="133" customFormat="1" ht="15" customHeight="1">
      <c r="A2103" s="1"/>
      <c r="B2103" s="1"/>
      <c r="C2103" s="134">
        <v>45378</v>
      </c>
      <c r="D2103" s="135">
        <v>239.78</v>
      </c>
      <c r="O2103" s="134"/>
      <c r="P2103" s="135"/>
    </row>
    <row r="2104" spans="1:16" s="133" customFormat="1" ht="15" customHeight="1">
      <c r="A2104" s="1"/>
      <c r="B2104" s="1"/>
      <c r="C2104" s="134">
        <v>45379</v>
      </c>
      <c r="D2104" s="135">
        <v>239.33</v>
      </c>
      <c r="O2104" s="134"/>
      <c r="P2104" s="135"/>
    </row>
    <row r="2105" spans="1:16" s="133" customFormat="1" ht="15" customHeight="1">
      <c r="A2105" s="1"/>
      <c r="B2105" s="1"/>
      <c r="C2105" s="134">
        <v>45383</v>
      </c>
      <c r="D2105" s="135">
        <v>242.72</v>
      </c>
      <c r="O2105" s="134"/>
      <c r="P2105" s="135"/>
    </row>
    <row r="2106" spans="1:16" s="133" customFormat="1" ht="15" customHeight="1">
      <c r="A2106" s="1"/>
      <c r="B2106" s="1"/>
      <c r="C2106" s="134">
        <v>45384</v>
      </c>
      <c r="D2106" s="135">
        <v>242.76</v>
      </c>
      <c r="O2106" s="134"/>
      <c r="P2106" s="135"/>
    </row>
    <row r="2107" spans="1:16" s="133" customFormat="1" ht="15" customHeight="1">
      <c r="A2107" s="1"/>
      <c r="B2107" s="1"/>
      <c r="C2107" s="134">
        <v>45385</v>
      </c>
      <c r="D2107" s="135">
        <v>242.95</v>
      </c>
      <c r="O2107" s="134"/>
      <c r="P2107" s="135"/>
    </row>
    <row r="2108" spans="1:16" s="133" customFormat="1" ht="15" customHeight="1">
      <c r="A2108" s="1"/>
      <c r="B2108" s="1"/>
      <c r="C2108" s="134">
        <v>45386</v>
      </c>
      <c r="D2108" s="135">
        <v>238.5</v>
      </c>
      <c r="O2108" s="134"/>
      <c r="P2108" s="135"/>
    </row>
    <row r="2109" spans="1:16" s="133" customFormat="1" ht="15" customHeight="1">
      <c r="A2109" s="1"/>
      <c r="B2109" s="1"/>
      <c r="C2109" s="134">
        <v>45387</v>
      </c>
      <c r="D2109" s="135">
        <v>242.85</v>
      </c>
      <c r="O2109" s="134"/>
      <c r="P2109" s="135"/>
    </row>
    <row r="2110" spans="1:16" s="133" customFormat="1" ht="15" customHeight="1">
      <c r="A2110" s="1"/>
      <c r="B2110" s="1"/>
      <c r="C2110" s="134">
        <v>45390</v>
      </c>
      <c r="D2110" s="135">
        <v>243.81</v>
      </c>
      <c r="O2110" s="134"/>
      <c r="P2110" s="135"/>
    </row>
    <row r="2111" spans="1:16" s="133" customFormat="1" ht="15" customHeight="1">
      <c r="A2111" s="1"/>
      <c r="B2111" s="1"/>
      <c r="C2111" s="134">
        <v>45391</v>
      </c>
      <c r="D2111" s="135">
        <v>242.42</v>
      </c>
      <c r="O2111" s="134"/>
      <c r="P2111" s="135"/>
    </row>
    <row r="2112" spans="1:16" s="133" customFormat="1" ht="15" customHeight="1">
      <c r="A2112" s="1"/>
      <c r="B2112" s="1"/>
      <c r="C2112" s="134">
        <v>45392</v>
      </c>
      <c r="D2112" s="135">
        <v>244.98</v>
      </c>
      <c r="O2112" s="134"/>
      <c r="P2112" s="135"/>
    </row>
    <row r="2113" spans="1:16" s="133" customFormat="1" ht="15" customHeight="1">
      <c r="A2113" s="1"/>
      <c r="B2113" s="1"/>
      <c r="C2113" s="134">
        <v>45393</v>
      </c>
      <c r="D2113" s="135">
        <v>247.34</v>
      </c>
      <c r="O2113" s="134"/>
      <c r="P2113" s="135"/>
    </row>
    <row r="2114" spans="1:16" s="133" customFormat="1" ht="15" customHeight="1">
      <c r="A2114" s="1"/>
      <c r="B2114" s="1"/>
      <c r="C2114" s="134">
        <v>45394</v>
      </c>
      <c r="D2114" s="135">
        <v>241.73</v>
      </c>
      <c r="O2114" s="134"/>
      <c r="P2114" s="135"/>
    </row>
    <row r="2115" spans="1:16" s="133" customFormat="1" ht="15" customHeight="1">
      <c r="A2115" s="1"/>
      <c r="B2115" s="1"/>
      <c r="C2115" s="134">
        <v>45397</v>
      </c>
      <c r="D2115" s="135">
        <v>242.89</v>
      </c>
      <c r="O2115" s="134"/>
      <c r="P2115" s="135"/>
    </row>
    <row r="2116" spans="1:16" s="133" customFormat="1" ht="15" customHeight="1">
      <c r="A2116" s="1"/>
      <c r="B2116" s="1"/>
      <c r="C2116" s="134">
        <v>45398</v>
      </c>
      <c r="D2116" s="135">
        <v>243.05</v>
      </c>
      <c r="O2116" s="134"/>
      <c r="P2116" s="135"/>
    </row>
    <row r="2117" spans="1:16" s="133" customFormat="1" ht="15" customHeight="1">
      <c r="A2117" s="1"/>
      <c r="B2117" s="1"/>
      <c r="C2117" s="134">
        <v>45399</v>
      </c>
      <c r="D2117" s="135">
        <v>239.77</v>
      </c>
      <c r="O2117" s="134"/>
      <c r="P2117" s="135"/>
    </row>
    <row r="2118" spans="1:16" s="133" customFormat="1" ht="15" customHeight="1">
      <c r="A2118" s="1"/>
      <c r="B2118" s="1"/>
      <c r="C2118" s="134">
        <v>45400</v>
      </c>
      <c r="D2118" s="135">
        <v>240.68</v>
      </c>
      <c r="O2118" s="134"/>
      <c r="P2118" s="135"/>
    </row>
    <row r="2119" spans="1:16" s="133" customFormat="1" ht="15" customHeight="1">
      <c r="A2119" s="1"/>
      <c r="B2119" s="1"/>
      <c r="C2119" s="134">
        <v>45401</v>
      </c>
      <c r="D2119" s="135">
        <v>237.5</v>
      </c>
      <c r="O2119" s="134"/>
      <c r="P2119" s="135"/>
    </row>
    <row r="2120" spans="1:16" s="133" customFormat="1" ht="15" customHeight="1">
      <c r="A2120" s="1"/>
      <c r="B2120" s="1"/>
      <c r="C2120" s="134">
        <v>45404</v>
      </c>
      <c r="D2120" s="135">
        <v>239.88</v>
      </c>
      <c r="O2120" s="134"/>
      <c r="P2120" s="135"/>
    </row>
    <row r="2121" spans="1:16" s="133" customFormat="1" ht="15" customHeight="1">
      <c r="A2121" s="1"/>
      <c r="B2121" s="1"/>
      <c r="C2121" s="134">
        <v>45405</v>
      </c>
      <c r="D2121" s="135">
        <v>242.33</v>
      </c>
      <c r="O2121" s="134"/>
      <c r="P2121" s="135"/>
    </row>
    <row r="2122" spans="1:16" s="133" customFormat="1" ht="15" customHeight="1">
      <c r="A2122" s="1"/>
      <c r="B2122" s="1"/>
      <c r="C2122" s="134">
        <v>45406</v>
      </c>
      <c r="D2122" s="135">
        <v>244.12</v>
      </c>
      <c r="O2122" s="134"/>
      <c r="P2122" s="135"/>
    </row>
    <row r="2123" spans="1:16" s="133" customFormat="1" ht="15" customHeight="1">
      <c r="A2123" s="1"/>
      <c r="B2123" s="1"/>
      <c r="C2123" s="134">
        <v>45407</v>
      </c>
      <c r="D2123" s="135">
        <v>244.23</v>
      </c>
      <c r="O2123" s="134"/>
      <c r="P2123" s="135"/>
    </row>
    <row r="2124" spans="1:16" s="133" customFormat="1" ht="15" customHeight="1">
      <c r="A2124" s="1"/>
      <c r="B2124" s="1"/>
      <c r="C2124" s="134">
        <v>45408</v>
      </c>
      <c r="D2124" s="135">
        <v>245.48</v>
      </c>
      <c r="O2124" s="134"/>
      <c r="P2124" s="135"/>
    </row>
    <row r="2125" spans="1:16" s="133" customFormat="1" ht="15" customHeight="1">
      <c r="A2125" s="1"/>
      <c r="B2125" s="1"/>
      <c r="C2125" s="134">
        <v>45411</v>
      </c>
      <c r="D2125" s="135">
        <v>244.72</v>
      </c>
      <c r="O2125" s="134"/>
      <c r="P2125" s="135"/>
    </row>
    <row r="2126" spans="1:16" s="133" customFormat="1" ht="15" customHeight="1">
      <c r="A2126" s="1"/>
      <c r="B2126" s="1"/>
      <c r="C2126" s="134">
        <v>45412</v>
      </c>
      <c r="D2126" s="135">
        <v>242.62</v>
      </c>
      <c r="O2126" s="134"/>
      <c r="P2126" s="135"/>
    </row>
    <row r="2127" spans="1:16" s="133" customFormat="1" ht="15" customHeight="1">
      <c r="A2127" s="1"/>
      <c r="B2127" s="1"/>
      <c r="C2127" s="134">
        <v>45413</v>
      </c>
      <c r="D2127" s="135">
        <v>239.07</v>
      </c>
      <c r="O2127" s="134"/>
      <c r="P2127" s="135"/>
    </row>
    <row r="2128" spans="1:16" s="133" customFormat="1" ht="15" customHeight="1">
      <c r="A2128" s="1"/>
      <c r="B2128" s="1"/>
      <c r="C2128" s="134">
        <v>45414</v>
      </c>
      <c r="D2128" s="135">
        <v>241.05</v>
      </c>
      <c r="O2128" s="134"/>
      <c r="P2128" s="135"/>
    </row>
    <row r="2129" spans="1:16" s="133" customFormat="1" ht="15" customHeight="1">
      <c r="A2129" s="1"/>
      <c r="B2129" s="1"/>
      <c r="C2129" s="134">
        <v>45415</v>
      </c>
      <c r="D2129" s="135">
        <v>242.37</v>
      </c>
      <c r="O2129" s="134"/>
      <c r="P2129" s="135"/>
    </row>
    <row r="2130" spans="1:16" s="133" customFormat="1" ht="15" customHeight="1">
      <c r="A2130" s="1"/>
      <c r="B2130" s="1"/>
      <c r="C2130" s="134">
        <v>45418</v>
      </c>
      <c r="D2130" s="135">
        <v>244.33</v>
      </c>
      <c r="O2130" s="134"/>
      <c r="P2130" s="135"/>
    </row>
    <row r="2131" spans="1:16" s="133" customFormat="1" ht="15" customHeight="1">
      <c r="A2131" s="1"/>
      <c r="B2131" s="1"/>
      <c r="C2131" s="134">
        <v>45419</v>
      </c>
      <c r="D2131" s="135">
        <v>243.72</v>
      </c>
      <c r="O2131" s="134"/>
      <c r="P2131" s="135"/>
    </row>
    <row r="2132" spans="1:16" s="133" customFormat="1" ht="15" customHeight="1">
      <c r="A2132" s="1"/>
      <c r="B2132" s="1"/>
      <c r="C2132" s="134">
        <v>45420</v>
      </c>
      <c r="D2132" s="135">
        <v>244.42</v>
      </c>
      <c r="O2132" s="134"/>
      <c r="P2132" s="135"/>
    </row>
    <row r="2133" spans="1:16" s="133" customFormat="1" ht="15" customHeight="1">
      <c r="A2133" s="1"/>
      <c r="B2133" s="1"/>
      <c r="C2133" s="134">
        <v>45421</v>
      </c>
      <c r="D2133" s="135">
        <v>244.84</v>
      </c>
      <c r="O2133" s="134"/>
      <c r="P2133" s="135"/>
    </row>
    <row r="2134" spans="1:16" s="133" customFormat="1" ht="15" customHeight="1">
      <c r="A2134" s="1"/>
      <c r="B2134" s="1"/>
      <c r="C2134" s="134">
        <v>45422</v>
      </c>
      <c r="D2134" s="135">
        <v>246.65</v>
      </c>
      <c r="O2134" s="134"/>
      <c r="P2134" s="135"/>
    </row>
    <row r="2135" spans="1:16" s="133" customFormat="1" ht="15" customHeight="1">
      <c r="A2135" s="1"/>
      <c r="B2135" s="1"/>
      <c r="C2135" s="134">
        <v>45425</v>
      </c>
      <c r="D2135" s="135">
        <v>246.06</v>
      </c>
      <c r="O2135" s="134"/>
      <c r="P2135" s="135"/>
    </row>
    <row r="2136" spans="1:16" s="133" customFormat="1" ht="15" customHeight="1">
      <c r="A2136" s="1"/>
      <c r="B2136" s="1"/>
      <c r="C2136" s="134">
        <v>45426</v>
      </c>
      <c r="D2136" s="135">
        <v>246.37</v>
      </c>
      <c r="O2136" s="134"/>
      <c r="P2136" s="135"/>
    </row>
    <row r="2137" spans="1:16" s="133" customFormat="1" ht="15" customHeight="1">
      <c r="A2137" s="1"/>
      <c r="B2137" s="1"/>
      <c r="C2137" s="134">
        <v>45427</v>
      </c>
      <c r="D2137" s="135">
        <v>246.67</v>
      </c>
      <c r="O2137" s="134"/>
      <c r="P2137" s="135"/>
    </row>
    <row r="2138" spans="1:16" s="133" customFormat="1" ht="15" customHeight="1">
      <c r="A2138" s="1"/>
      <c r="B2138" s="1"/>
      <c r="C2138" s="134">
        <v>45428</v>
      </c>
      <c r="D2138" s="135">
        <v>246.44</v>
      </c>
      <c r="O2138" s="134"/>
      <c r="P2138" s="135"/>
    </row>
    <row r="2139" spans="1:16" s="133" customFormat="1" ht="15" customHeight="1">
      <c r="A2139" s="1"/>
      <c r="B2139" s="1"/>
      <c r="C2139" s="134">
        <v>45429</v>
      </c>
      <c r="D2139" s="135">
        <v>248.04</v>
      </c>
      <c r="O2139" s="134"/>
      <c r="P2139" s="135"/>
    </row>
    <row r="2140" spans="1:16" s="133" customFormat="1" ht="15" customHeight="1">
      <c r="A2140" s="1"/>
      <c r="B2140" s="1"/>
      <c r="C2140" s="134">
        <v>45432</v>
      </c>
      <c r="D2140" s="135">
        <v>248.89</v>
      </c>
      <c r="O2140" s="134"/>
      <c r="P2140" s="135"/>
    </row>
    <row r="2141" spans="1:16" s="133" customFormat="1" ht="15" customHeight="1">
      <c r="A2141" s="1"/>
      <c r="B2141" s="1"/>
      <c r="C2141" s="134">
        <v>45433</v>
      </c>
      <c r="D2141" s="135">
        <v>248.96</v>
      </c>
      <c r="O2141" s="134"/>
      <c r="P2141" s="135"/>
    </row>
    <row r="2142" spans="1:16" s="133" customFormat="1" ht="15" customHeight="1">
      <c r="A2142" s="1"/>
      <c r="B2142" s="1"/>
      <c r="C2142" s="134">
        <v>45434</v>
      </c>
      <c r="D2142" s="135">
        <v>248.32</v>
      </c>
      <c r="O2142" s="134"/>
      <c r="P2142" s="135"/>
    </row>
    <row r="2143" spans="1:16" s="133" customFormat="1" ht="15" customHeight="1">
      <c r="A2143" s="1"/>
      <c r="B2143" s="1"/>
      <c r="C2143" s="134">
        <v>45435</v>
      </c>
      <c r="D2143" s="135">
        <v>247.36</v>
      </c>
      <c r="O2143" s="134"/>
      <c r="P2143" s="135"/>
    </row>
    <row r="2144" spans="1:16" s="133" customFormat="1" ht="15" customHeight="1">
      <c r="A2144" s="1"/>
      <c r="B2144" s="1"/>
      <c r="C2144" s="134">
        <v>45436</v>
      </c>
      <c r="D2144" s="135">
        <v>249.09</v>
      </c>
      <c r="O2144" s="134"/>
      <c r="P2144" s="135"/>
    </row>
    <row r="2145" spans="1:16" s="133" customFormat="1" ht="15" customHeight="1">
      <c r="A2145" s="1"/>
      <c r="B2145" s="1"/>
      <c r="C2145" s="134">
        <v>45440</v>
      </c>
      <c r="D2145" s="135">
        <v>251.59</v>
      </c>
      <c r="O2145" s="134"/>
      <c r="P2145" s="135"/>
    </row>
    <row r="2146" spans="1:16" s="133" customFormat="1" ht="15" customHeight="1">
      <c r="A2146" s="1"/>
      <c r="B2146" s="1"/>
      <c r="C2146" s="134">
        <v>45441</v>
      </c>
      <c r="D2146" s="135">
        <v>252.42</v>
      </c>
      <c r="O2146" s="134"/>
      <c r="P2146" s="135"/>
    </row>
    <row r="2147" spans="1:16" s="133" customFormat="1" ht="15" customHeight="1">
      <c r="A2147" s="1"/>
      <c r="B2147" s="1"/>
      <c r="C2147" s="134">
        <v>45442</v>
      </c>
      <c r="D2147" s="135">
        <v>248.98</v>
      </c>
      <c r="O2147" s="134"/>
      <c r="P2147" s="135"/>
    </row>
    <row r="2148" spans="1:16" s="133" customFormat="1" ht="15" customHeight="1">
      <c r="A2148" s="1"/>
      <c r="B2148" s="1"/>
      <c r="C2148" s="134">
        <v>45443</v>
      </c>
      <c r="D2148" s="135">
        <v>249.88</v>
      </c>
      <c r="O2148" s="134"/>
      <c r="P2148" s="135"/>
    </row>
    <row r="2149" spans="1:16" s="133" customFormat="1" ht="15" customHeight="1">
      <c r="A2149" s="1"/>
      <c r="B2149" s="1"/>
      <c r="C2149" s="134">
        <v>45446</v>
      </c>
      <c r="D2149" s="135">
        <v>246.71</v>
      </c>
      <c r="O2149" s="134"/>
      <c r="P2149" s="135"/>
    </row>
    <row r="2150" spans="1:16" s="133" customFormat="1" ht="15" customHeight="1">
      <c r="A2150" s="1"/>
      <c r="B2150" s="1"/>
      <c r="C2150" s="134">
        <v>45447</v>
      </c>
      <c r="D2150" s="135">
        <v>245.03</v>
      </c>
      <c r="O2150" s="134"/>
      <c r="P2150" s="135"/>
    </row>
    <row r="2151" spans="1:16" s="133" customFormat="1" ht="15" customHeight="1">
      <c r="A2151" s="1"/>
      <c r="B2151" s="1"/>
      <c r="C2151" s="134">
        <v>45448</v>
      </c>
      <c r="D2151" s="135">
        <v>246.57</v>
      </c>
      <c r="O2151" s="134"/>
      <c r="P2151" s="135"/>
    </row>
    <row r="2152" spans="1:16" s="133" customFormat="1" ht="15" customHeight="1">
      <c r="A2152" s="1"/>
      <c r="B2152" s="1"/>
      <c r="C2152" s="134">
        <v>45449</v>
      </c>
      <c r="D2152" s="135">
        <v>246.13</v>
      </c>
      <c r="O2152" s="134"/>
      <c r="P2152" s="135"/>
    </row>
    <row r="2153" spans="1:16" s="133" customFormat="1" ht="15" customHeight="1">
      <c r="A2153" s="1"/>
      <c r="B2153" s="1"/>
      <c r="C2153" s="134">
        <v>45450</v>
      </c>
      <c r="D2153" s="135">
        <v>249.72</v>
      </c>
      <c r="O2153" s="134"/>
      <c r="P2153" s="135"/>
    </row>
    <row r="2154" spans="1:16" s="133" customFormat="1" ht="15" customHeight="1">
      <c r="A2154" s="1"/>
      <c r="B2154" s="1"/>
      <c r="C2154" s="134">
        <v>45453</v>
      </c>
      <c r="D2154" s="135">
        <v>251.88</v>
      </c>
      <c r="O2154" s="134"/>
      <c r="P2154" s="135"/>
    </row>
    <row r="2155" spans="1:16" s="133" customFormat="1" ht="15" customHeight="1">
      <c r="A2155" s="1"/>
      <c r="B2155" s="1"/>
      <c r="C2155" s="134">
        <v>45454</v>
      </c>
      <c r="D2155" s="135">
        <v>250.76</v>
      </c>
      <c r="O2155" s="134"/>
      <c r="P2155" s="135"/>
    </row>
    <row r="2156" spans="1:16" s="133" customFormat="1" ht="15" customHeight="1">
      <c r="A2156" s="1"/>
      <c r="B2156" s="1"/>
      <c r="C2156" s="134">
        <v>45455</v>
      </c>
      <c r="D2156" s="135">
        <v>249.76</v>
      </c>
      <c r="O2156" s="134"/>
      <c r="P2156" s="135"/>
    </row>
    <row r="2157" spans="1:16" s="133" customFormat="1" ht="15" customHeight="1">
      <c r="A2157" s="1"/>
      <c r="B2157" s="1"/>
      <c r="C2157" s="134">
        <v>45456</v>
      </c>
      <c r="D2157" s="135">
        <v>248.86</v>
      </c>
      <c r="O2157" s="134"/>
      <c r="P2157" s="135"/>
    </row>
    <row r="2158" spans="1:16" s="133" customFormat="1" ht="15" customHeight="1">
      <c r="A2158" s="1"/>
      <c r="B2158" s="1"/>
      <c r="C2158" s="134">
        <v>45457</v>
      </c>
      <c r="D2158" s="135">
        <v>247.61</v>
      </c>
      <c r="O2158" s="134"/>
      <c r="P2158" s="135"/>
    </row>
    <row r="2159" spans="1:16" s="133" customFormat="1" ht="15" customHeight="1">
      <c r="A2159" s="1"/>
      <c r="B2159" s="1"/>
      <c r="C2159" s="134">
        <v>45460</v>
      </c>
      <c r="D2159" s="135">
        <v>251.5</v>
      </c>
      <c r="O2159" s="134"/>
      <c r="P2159" s="135"/>
    </row>
    <row r="2160" spans="1:16" s="133" customFormat="1" ht="15" customHeight="1">
      <c r="A2160" s="1"/>
      <c r="B2160" s="1"/>
      <c r="C2160" s="134">
        <v>45461</v>
      </c>
      <c r="D2160" s="135">
        <v>250.31</v>
      </c>
      <c r="O2160" s="134"/>
      <c r="P2160" s="135"/>
    </row>
    <row r="2161" spans="1:16" s="133" customFormat="1" ht="15" customHeight="1">
      <c r="A2161" s="1"/>
      <c r="B2161" s="1"/>
      <c r="C2161" s="134">
        <v>45463</v>
      </c>
      <c r="D2161" s="135">
        <v>250.99</v>
      </c>
      <c r="O2161" s="134"/>
      <c r="P2161" s="135"/>
    </row>
    <row r="2162" spans="1:16" s="133" customFormat="1" ht="15" customHeight="1">
      <c r="A2162" s="1"/>
      <c r="B2162" s="1"/>
      <c r="C2162" s="134">
        <v>45464</v>
      </c>
      <c r="D2162" s="135">
        <v>250.63</v>
      </c>
      <c r="O2162" s="134"/>
      <c r="P2162" s="135"/>
    </row>
    <row r="2163" spans="1:16" s="133" customFormat="1" ht="15" customHeight="1">
      <c r="A2163" s="1"/>
      <c r="B2163" s="1"/>
      <c r="C2163" s="134">
        <v>45467</v>
      </c>
      <c r="D2163" s="135">
        <v>249.5</v>
      </c>
      <c r="O2163" s="134"/>
      <c r="P2163" s="135"/>
    </row>
    <row r="2164" spans="1:16" s="133" customFormat="1" ht="15" customHeight="1">
      <c r="A2164" s="1"/>
      <c r="B2164" s="1"/>
      <c r="C2164" s="134">
        <v>45468</v>
      </c>
      <c r="D2164" s="135">
        <v>250.12</v>
      </c>
      <c r="O2164" s="134"/>
      <c r="P2164" s="135"/>
    </row>
    <row r="2165" spans="1:16" s="133" customFormat="1" ht="15" customHeight="1">
      <c r="A2165" s="1"/>
      <c r="B2165" s="1"/>
      <c r="C2165" s="134">
        <v>45469</v>
      </c>
      <c r="D2165" s="135">
        <v>252.99</v>
      </c>
      <c r="O2165" s="134"/>
      <c r="P2165" s="135"/>
    </row>
    <row r="2166" spans="1:16" s="133" customFormat="1" ht="15" customHeight="1">
      <c r="A2166" s="1"/>
      <c r="B2166" s="1"/>
      <c r="C2166" s="134">
        <v>45470</v>
      </c>
      <c r="D2166" s="135">
        <v>252.34</v>
      </c>
      <c r="O2166" s="134"/>
      <c r="P2166" s="135"/>
    </row>
    <row r="2167" spans="1:16" s="133" customFormat="1" ht="15" customHeight="1">
      <c r="A2167" s="1"/>
      <c r="B2167" s="1"/>
      <c r="C2167" s="134">
        <v>45471</v>
      </c>
      <c r="D2167" s="135">
        <v>253.38</v>
      </c>
      <c r="O2167" s="134"/>
      <c r="P2167" s="135"/>
    </row>
    <row r="2168" spans="1:16" s="133" customFormat="1" ht="15" customHeight="1">
      <c r="A2168" s="1"/>
      <c r="B2168" s="1"/>
      <c r="C2168" s="134">
        <v>45474</v>
      </c>
      <c r="D2168" s="135">
        <v>258.8</v>
      </c>
      <c r="O2168" s="134"/>
      <c r="P2168" s="135"/>
    </row>
    <row r="2169" spans="1:16" s="133" customFormat="1" ht="15" customHeight="1">
      <c r="A2169" s="1"/>
      <c r="B2169" s="1"/>
      <c r="C2169" s="134">
        <v>45475</v>
      </c>
      <c r="D2169" s="135">
        <v>259.22000000000003</v>
      </c>
      <c r="O2169" s="134"/>
      <c r="P2169" s="135"/>
    </row>
    <row r="2170" spans="1:16" s="133" customFormat="1" ht="15" customHeight="1">
      <c r="A2170" s="1"/>
      <c r="B2170" s="1"/>
      <c r="C2170" s="134">
        <v>45476</v>
      </c>
      <c r="D2170" s="135">
        <v>257.27999999999997</v>
      </c>
      <c r="O2170" s="134"/>
      <c r="P2170" s="135"/>
    </row>
    <row r="2171" spans="1:16" s="133" customFormat="1" ht="15" customHeight="1">
      <c r="A2171" s="1"/>
      <c r="B2171" s="1"/>
      <c r="C2171" s="134">
        <v>45478</v>
      </c>
      <c r="D2171" s="135">
        <v>257.02</v>
      </c>
      <c r="O2171" s="134"/>
      <c r="P2171" s="135"/>
    </row>
    <row r="2172" spans="1:16" s="133" customFormat="1" ht="15" customHeight="1">
      <c r="A2172" s="1"/>
      <c r="B2172" s="1"/>
      <c r="C2172" s="134">
        <v>45481</v>
      </c>
      <c r="D2172" s="135">
        <v>256.89999999999998</v>
      </c>
      <c r="O2172" s="134"/>
      <c r="P2172" s="135"/>
    </row>
    <row r="2173" spans="1:16" s="133" customFormat="1" ht="15" customHeight="1">
      <c r="A2173" s="1"/>
      <c r="B2173" s="1"/>
      <c r="C2173" s="134">
        <v>45482</v>
      </c>
      <c r="D2173" s="135">
        <v>258.42</v>
      </c>
      <c r="O2173" s="134"/>
      <c r="P2173" s="135"/>
    </row>
    <row r="2174" spans="1:16" s="133" customFormat="1" ht="15" customHeight="1">
      <c r="A2174" s="1"/>
      <c r="B2174" s="1"/>
      <c r="C2174" s="134">
        <v>45483</v>
      </c>
      <c r="D2174" s="135">
        <v>260.38</v>
      </c>
      <c r="O2174" s="134"/>
      <c r="P2174" s="135"/>
    </row>
    <row r="2175" spans="1:16" s="133" customFormat="1" ht="15" customHeight="1">
      <c r="A2175" s="1"/>
      <c r="B2175" s="1"/>
      <c r="C2175" s="134">
        <v>45484</v>
      </c>
      <c r="D2175" s="135">
        <v>255.81</v>
      </c>
      <c r="O2175" s="134"/>
      <c r="P2175" s="135"/>
    </row>
    <row r="2176" spans="1:16" s="133" customFormat="1" ht="15" customHeight="1">
      <c r="A2176" s="1"/>
      <c r="B2176" s="1"/>
      <c r="C2176" s="134">
        <v>45485</v>
      </c>
      <c r="D2176" s="135">
        <v>256.79000000000002</v>
      </c>
      <c r="O2176" s="134"/>
      <c r="P2176" s="135"/>
    </row>
    <row r="2177" spans="1:16" s="133" customFormat="1" ht="15" customHeight="1">
      <c r="A2177" s="1"/>
      <c r="B2177" s="1"/>
      <c r="C2177" s="134">
        <v>45488</v>
      </c>
      <c r="D2177" s="135">
        <v>259.33</v>
      </c>
      <c r="O2177" s="134"/>
      <c r="P2177" s="135"/>
    </row>
    <row r="2178" spans="1:16" s="133" customFormat="1" ht="15" customHeight="1">
      <c r="A2178" s="1"/>
      <c r="B2178" s="1"/>
      <c r="C2178" s="134">
        <v>45489</v>
      </c>
      <c r="D2178" s="135">
        <v>258.55</v>
      </c>
      <c r="O2178" s="134"/>
      <c r="P2178" s="135"/>
    </row>
    <row r="2179" spans="1:16" s="133" customFormat="1" ht="15" customHeight="1">
      <c r="A2179" s="1"/>
      <c r="B2179" s="1"/>
      <c r="C2179" s="134">
        <v>45490</v>
      </c>
      <c r="D2179" s="135">
        <v>254.51</v>
      </c>
      <c r="O2179" s="134"/>
      <c r="P2179" s="135"/>
    </row>
    <row r="2180" spans="1:16" s="133" customFormat="1" ht="15" customHeight="1">
      <c r="A2180" s="1"/>
      <c r="B2180" s="1"/>
      <c r="C2180" s="134">
        <v>45491</v>
      </c>
      <c r="D2180" s="135">
        <v>254.06</v>
      </c>
      <c r="O2180" s="134"/>
      <c r="P2180" s="135"/>
    </row>
    <row r="2181" spans="1:16" s="133" customFormat="1" ht="15" customHeight="1">
      <c r="A2181" s="1"/>
      <c r="B2181" s="1"/>
      <c r="C2181" s="134">
        <v>45492</v>
      </c>
      <c r="D2181" s="135">
        <v>253.7</v>
      </c>
      <c r="O2181" s="134"/>
      <c r="P2181" s="135"/>
    </row>
    <row r="2182" spans="1:16" s="133" customFormat="1" ht="15" customHeight="1">
      <c r="A2182" s="1"/>
      <c r="B2182" s="1"/>
      <c r="C2182" s="134">
        <v>45495</v>
      </c>
      <c r="D2182" s="135">
        <v>257.14999999999998</v>
      </c>
      <c r="O2182" s="134"/>
      <c r="P2182" s="135"/>
    </row>
    <row r="2183" spans="1:16" s="133" customFormat="1" ht="15" customHeight="1">
      <c r="A2183" s="1"/>
      <c r="B2183" s="1"/>
      <c r="C2183" s="134">
        <v>45496</v>
      </c>
      <c r="D2183" s="135">
        <v>256.12</v>
      </c>
      <c r="O2183" s="134"/>
      <c r="P2183" s="135"/>
    </row>
    <row r="2184" spans="1:16" s="133" customFormat="1" ht="15" customHeight="1">
      <c r="A2184" s="1"/>
      <c r="B2184" s="1"/>
      <c r="C2184" s="134">
        <v>45497</v>
      </c>
      <c r="D2184" s="135">
        <v>252.49</v>
      </c>
      <c r="O2184" s="134"/>
      <c r="P2184" s="135"/>
    </row>
    <row r="2185" spans="1:16" s="133" customFormat="1" ht="15" customHeight="1">
      <c r="A2185" s="1"/>
      <c r="B2185" s="1"/>
      <c r="C2185" s="134">
        <v>45498</v>
      </c>
      <c r="D2185" s="135">
        <v>249.84</v>
      </c>
      <c r="O2185" s="134"/>
      <c r="P2185" s="135"/>
    </row>
    <row r="2186" spans="1:16" s="133" customFormat="1" ht="15" customHeight="1">
      <c r="A2186" s="1"/>
      <c r="B2186" s="1"/>
      <c r="C2186" s="134">
        <v>45499</v>
      </c>
      <c r="D2186" s="135">
        <v>251.01</v>
      </c>
      <c r="O2186" s="134"/>
      <c r="P2186" s="135"/>
    </row>
    <row r="2187" spans="1:16" s="133" customFormat="1" ht="15" customHeight="1">
      <c r="A2187" s="1"/>
      <c r="B2187" s="1"/>
      <c r="C2187" s="134">
        <v>45502</v>
      </c>
      <c r="D2187" s="135">
        <v>250.64</v>
      </c>
      <c r="O2187" s="134"/>
      <c r="P2187" s="135"/>
    </row>
    <row r="2188" spans="1:16" s="133" customFormat="1" ht="15" customHeight="1">
      <c r="A2188" s="1"/>
      <c r="B2188" s="1"/>
      <c r="C2188" s="134">
        <v>45503</v>
      </c>
      <c r="D2188" s="135">
        <v>248.18</v>
      </c>
      <c r="O2188" s="134"/>
      <c r="P2188" s="135"/>
    </row>
    <row r="2189" spans="1:16" s="133" customFormat="1" ht="15" customHeight="1">
      <c r="A2189" s="1"/>
      <c r="B2189" s="1"/>
      <c r="C2189" s="134">
        <v>45504</v>
      </c>
      <c r="D2189" s="135">
        <v>250.87</v>
      </c>
      <c r="O2189" s="134"/>
      <c r="P2189" s="135"/>
    </row>
    <row r="2190" spans="1:16" s="133" customFormat="1" ht="15" customHeight="1">
      <c r="A2190" s="1"/>
      <c r="B2190" s="1"/>
      <c r="C2190" s="134">
        <v>45505</v>
      </c>
      <c r="D2190" s="135">
        <v>243.76</v>
      </c>
      <c r="O2190" s="134"/>
      <c r="P2190" s="135"/>
    </row>
    <row r="2191" spans="1:16" s="133" customFormat="1" ht="15" customHeight="1">
      <c r="A2191" s="1"/>
      <c r="B2191" s="1"/>
      <c r="C2191" s="134">
        <v>45506</v>
      </c>
      <c r="D2191" s="135">
        <v>234.12</v>
      </c>
      <c r="O2191" s="134"/>
      <c r="P2191" s="135"/>
    </row>
    <row r="2192" spans="1:16" s="133" customFormat="1" ht="15" customHeight="1">
      <c r="A2192" s="1"/>
      <c r="B2192" s="1"/>
      <c r="C2192" s="134">
        <v>45509</v>
      </c>
      <c r="D2192" s="135">
        <v>226.68</v>
      </c>
      <c r="O2192" s="134"/>
      <c r="P2192" s="135"/>
    </row>
    <row r="2193" spans="1:16" s="133" customFormat="1" ht="15" customHeight="1">
      <c r="A2193" s="1"/>
      <c r="B2193" s="1"/>
      <c r="C2193" s="134">
        <v>45510</v>
      </c>
      <c r="D2193" s="135">
        <v>231.93</v>
      </c>
      <c r="O2193" s="134"/>
      <c r="P2193" s="135"/>
    </row>
    <row r="2194" spans="1:16" s="133" customFormat="1" ht="15" customHeight="1">
      <c r="A2194" s="1"/>
      <c r="B2194" s="1"/>
      <c r="C2194" s="134">
        <v>45511</v>
      </c>
      <c r="D2194" s="135">
        <v>232.6</v>
      </c>
      <c r="O2194" s="134"/>
      <c r="P2194" s="135"/>
    </row>
    <row r="2195" spans="1:16" s="133" customFormat="1" ht="15" customHeight="1">
      <c r="A2195" s="1"/>
      <c r="B2195" s="1"/>
      <c r="C2195" s="134">
        <v>45512</v>
      </c>
      <c r="D2195" s="135">
        <v>238.84</v>
      </c>
      <c r="O2195" s="134"/>
      <c r="P2195" s="135"/>
    </row>
    <row r="2196" spans="1:16" s="133" customFormat="1" ht="15" customHeight="1">
      <c r="A2196" s="1"/>
      <c r="B2196" s="1"/>
      <c r="C2196" s="134">
        <v>45513</v>
      </c>
      <c r="D2196" s="135">
        <v>238.08</v>
      </c>
      <c r="O2196" s="134"/>
      <c r="P2196" s="135"/>
    </row>
    <row r="2197" spans="1:16" s="133" customFormat="1" ht="15" customHeight="1">
      <c r="A2197" s="1"/>
      <c r="B2197" s="1"/>
      <c r="C2197" s="134">
        <v>45516</v>
      </c>
      <c r="D2197" s="135">
        <v>237.37</v>
      </c>
      <c r="O2197" s="134"/>
      <c r="P2197" s="135"/>
    </row>
    <row r="2198" spans="1:16" s="133" customFormat="1" ht="15" customHeight="1">
      <c r="A2198" s="1"/>
      <c r="B2198" s="1"/>
      <c r="C2198" s="134">
        <v>45517</v>
      </c>
      <c r="D2198" s="135">
        <v>240.03</v>
      </c>
      <c r="O2198" s="134"/>
      <c r="P2198" s="135"/>
    </row>
    <row r="2199" spans="1:16" s="133" customFormat="1" ht="15" customHeight="1">
      <c r="A2199" s="1"/>
      <c r="B2199" s="1"/>
      <c r="C2199" s="134">
        <v>45518</v>
      </c>
      <c r="D2199" s="135">
        <v>239.71</v>
      </c>
      <c r="O2199" s="134"/>
      <c r="P2199" s="135"/>
    </row>
    <row r="2200" spans="1:16" s="133" customFormat="1" ht="15" customHeight="1">
      <c r="A2200" s="1"/>
      <c r="B2200" s="1"/>
      <c r="C2200" s="134">
        <v>45519</v>
      </c>
      <c r="D2200" s="135">
        <v>246.23</v>
      </c>
      <c r="O2200" s="134"/>
      <c r="P2200" s="135"/>
    </row>
    <row r="2201" spans="1:16" s="133" customFormat="1" ht="15" customHeight="1">
      <c r="A2201" s="1"/>
      <c r="B2201" s="1"/>
      <c r="C2201" s="134">
        <v>45520</v>
      </c>
      <c r="D2201" s="135">
        <v>245.92</v>
      </c>
      <c r="O2201" s="134"/>
      <c r="P2201" s="135"/>
    </row>
    <row r="2202" spans="1:16" s="133" customFormat="1" ht="15" customHeight="1">
      <c r="A2202" s="1"/>
      <c r="B2202" s="1"/>
      <c r="C2202" s="134">
        <v>45523</v>
      </c>
      <c r="D2202" s="135">
        <v>247.32</v>
      </c>
      <c r="O2202" s="134"/>
      <c r="P2202" s="135"/>
    </row>
    <row r="2203" spans="1:16" s="133" customFormat="1" ht="15" customHeight="1">
      <c r="A2203" s="1"/>
      <c r="B2203" s="1"/>
      <c r="C2203" s="134">
        <v>45524</v>
      </c>
      <c r="D2203" s="135">
        <v>245.53</v>
      </c>
      <c r="O2203" s="134"/>
      <c r="P2203" s="135"/>
    </row>
    <row r="2204" spans="1:16" s="133" customFormat="1" ht="15" customHeight="1">
      <c r="A2204" s="1"/>
      <c r="B2204" s="1"/>
      <c r="C2204" s="134">
        <v>45525</v>
      </c>
      <c r="D2204" s="135">
        <v>245.53</v>
      </c>
      <c r="O2204" s="134"/>
      <c r="P2204" s="135"/>
    </row>
    <row r="2205" spans="1:16" s="133" customFormat="1" ht="15" customHeight="1">
      <c r="A2205" s="1"/>
      <c r="B2205" s="1"/>
      <c r="C2205" s="134">
        <v>45526</v>
      </c>
      <c r="D2205" s="135">
        <v>246.13</v>
      </c>
      <c r="O2205" s="134"/>
      <c r="P2205" s="135"/>
    </row>
    <row r="2206" spans="1:16" s="133" customFormat="1" ht="15" customHeight="1">
      <c r="A2206" s="1"/>
      <c r="B2206" s="1"/>
      <c r="C2206" s="134">
        <v>45527</v>
      </c>
      <c r="D2206" s="135">
        <v>247.63</v>
      </c>
      <c r="O2206" s="134"/>
      <c r="P2206" s="135"/>
    </row>
    <row r="2207" spans="1:16" s="133" customFormat="1" ht="15" customHeight="1">
      <c r="A2207" s="1"/>
      <c r="B2207" s="1"/>
      <c r="C2207" s="134">
        <v>45530</v>
      </c>
      <c r="D2207" s="135">
        <v>247.18</v>
      </c>
      <c r="O2207" s="134"/>
      <c r="P2207" s="135"/>
    </row>
    <row r="2208" spans="1:16" s="133" customFormat="1" ht="15" customHeight="1">
      <c r="A2208" s="1"/>
      <c r="B2208" s="1"/>
      <c r="C2208" s="134">
        <v>45531</v>
      </c>
      <c r="D2208" s="135">
        <v>248.29</v>
      </c>
      <c r="O2208" s="134"/>
      <c r="P2208" s="135"/>
    </row>
    <row r="2209" spans="1:16" s="133" customFormat="1" ht="15" customHeight="1">
      <c r="A2209" s="1"/>
      <c r="B2209" s="1"/>
      <c r="C2209" s="134">
        <v>45532</v>
      </c>
      <c r="D2209" s="135">
        <v>247.19</v>
      </c>
      <c r="O2209" s="134"/>
      <c r="P2209" s="135"/>
    </row>
    <row r="2210" spans="1:16" s="133" customFormat="1" ht="15" customHeight="1">
      <c r="A2210" s="1"/>
      <c r="B2210" s="1"/>
      <c r="C2210" s="134">
        <v>45533</v>
      </c>
      <c r="D2210" s="135">
        <v>247.96</v>
      </c>
      <c r="O2210" s="134"/>
      <c r="P2210" s="135"/>
    </row>
    <row r="2211" spans="1:16" s="133" customFormat="1" ht="15" customHeight="1">
      <c r="A2211" s="1"/>
      <c r="B2211" s="1"/>
      <c r="C2211" s="134">
        <v>45534</v>
      </c>
      <c r="D2211" s="135">
        <v>251.56</v>
      </c>
      <c r="O2211" s="134"/>
      <c r="P2211" s="135"/>
    </row>
    <row r="2212" spans="1:16" s="133" customFormat="1" ht="15" customHeight="1">
      <c r="A2212" s="1"/>
      <c r="B2212" s="1"/>
      <c r="C2212" s="134">
        <v>45538</v>
      </c>
      <c r="D2212" s="135">
        <v>244.29</v>
      </c>
      <c r="O2212" s="134"/>
      <c r="P2212" s="135"/>
    </row>
    <row r="2213" spans="1:16" s="133" customFormat="1" ht="15" customHeight="1">
      <c r="A2213" s="1"/>
      <c r="B2213" s="1"/>
      <c r="C2213" s="134">
        <v>45539</v>
      </c>
      <c r="D2213" s="135">
        <v>241.78</v>
      </c>
      <c r="O2213" s="134"/>
      <c r="P2213" s="135"/>
    </row>
    <row r="2214" spans="1:16" s="133" customFormat="1" ht="15" customHeight="1">
      <c r="A2214" s="1"/>
      <c r="B2214" s="1"/>
      <c r="C2214" s="134">
        <v>45540</v>
      </c>
      <c r="D2214" s="135">
        <v>240.13</v>
      </c>
      <c r="O2214" s="134"/>
      <c r="P2214" s="135"/>
    </row>
    <row r="2215" spans="1:16" s="133" customFormat="1" ht="15" customHeight="1">
      <c r="A2215" s="1"/>
      <c r="B2215" s="1"/>
      <c r="C2215" s="134">
        <v>45541</v>
      </c>
      <c r="D2215" s="135">
        <v>235.71</v>
      </c>
      <c r="O2215" s="134"/>
      <c r="P2215" s="135"/>
    </row>
    <row r="2216" spans="1:16" s="133" customFormat="1" ht="15" customHeight="1">
      <c r="A2216" s="1"/>
      <c r="B2216" s="1"/>
      <c r="C2216" s="134">
        <v>45544</v>
      </c>
      <c r="D2216" s="135">
        <v>237.89</v>
      </c>
      <c r="O2216" s="134"/>
      <c r="P2216" s="135"/>
    </row>
    <row r="2217" spans="1:16" s="133" customFormat="1" ht="15" customHeight="1">
      <c r="A2217" s="1"/>
      <c r="B2217" s="1"/>
      <c r="C2217" s="134">
        <v>45545</v>
      </c>
      <c r="D2217" s="135">
        <v>237.57</v>
      </c>
      <c r="O2217" s="134"/>
      <c r="P2217" s="135"/>
    </row>
    <row r="2218" spans="1:16" s="133" customFormat="1" ht="15" customHeight="1">
      <c r="A2218" s="1"/>
      <c r="B2218" s="1"/>
      <c r="C2218" s="134">
        <v>45546</v>
      </c>
      <c r="D2218" s="135">
        <v>240.31</v>
      </c>
      <c r="O2218" s="134"/>
      <c r="P2218" s="135"/>
    </row>
    <row r="2219" spans="1:16" s="133" customFormat="1" ht="15" customHeight="1">
      <c r="A2219" s="1"/>
      <c r="B2219" s="1"/>
      <c r="C2219" s="134">
        <v>45547</v>
      </c>
      <c r="D2219" s="135">
        <v>242.94</v>
      </c>
      <c r="O2219" s="134"/>
      <c r="P2219" s="135"/>
    </row>
    <row r="2220" spans="1:16" s="133" customFormat="1" ht="15" customHeight="1">
      <c r="A2220" s="1"/>
      <c r="B2220" s="1"/>
      <c r="C2220" s="134">
        <v>45548</v>
      </c>
      <c r="D2220" s="135">
        <v>243.45</v>
      </c>
      <c r="O2220" s="134"/>
      <c r="P2220" s="135"/>
    </row>
    <row r="2221" spans="1:16" s="133" customFormat="1" ht="15" customHeight="1">
      <c r="A2221" s="1"/>
      <c r="B2221" s="1"/>
      <c r="C2221" s="134">
        <v>45551</v>
      </c>
      <c r="D2221" s="135">
        <v>243</v>
      </c>
      <c r="O2221" s="134"/>
      <c r="P2221" s="135"/>
    </row>
    <row r="2222" spans="1:16" s="133" customFormat="1" ht="15" customHeight="1">
      <c r="A2222" s="1"/>
      <c r="B2222" s="1"/>
      <c r="C2222" s="134">
        <v>45552</v>
      </c>
      <c r="D2222" s="135">
        <v>243.67</v>
      </c>
      <c r="O2222" s="134"/>
      <c r="P2222" s="135"/>
    </row>
    <row r="2223" spans="1:16" s="133" customFormat="1" ht="15" customHeight="1">
      <c r="A2223" s="1"/>
      <c r="B2223" s="1"/>
      <c r="C2223" s="134">
        <v>45553</v>
      </c>
      <c r="D2223" s="135">
        <v>244.4</v>
      </c>
      <c r="O2223" s="134"/>
      <c r="P2223" s="135"/>
    </row>
    <row r="2224" spans="1:16" s="133" customFormat="1" ht="15" customHeight="1">
      <c r="A2224" s="1"/>
      <c r="B2224" s="1"/>
      <c r="C2224" s="134">
        <v>45554</v>
      </c>
      <c r="D2224" s="135">
        <v>250.46</v>
      </c>
      <c r="O2224" s="134"/>
      <c r="P2224" s="135"/>
    </row>
    <row r="2225" spans="1:16" s="133" customFormat="1" ht="15" customHeight="1">
      <c r="A2225" s="1"/>
      <c r="B2225" s="1"/>
      <c r="C2225" s="134">
        <v>45555</v>
      </c>
      <c r="D2225" s="135">
        <v>249.55</v>
      </c>
      <c r="O2225" s="134"/>
      <c r="P2225" s="135"/>
    </row>
    <row r="2226" spans="1:16" s="133" customFormat="1" ht="15" customHeight="1">
      <c r="A2226" s="1"/>
      <c r="B2226" s="1"/>
      <c r="C2226" s="134">
        <v>45558</v>
      </c>
      <c r="D2226" s="135">
        <v>250.54</v>
      </c>
      <c r="O2226" s="134"/>
      <c r="P2226" s="135"/>
    </row>
    <row r="2227" spans="1:16" s="133" customFormat="1" ht="15" customHeight="1">
      <c r="A2227" s="1"/>
      <c r="B2227" s="1"/>
      <c r="C2227" s="134">
        <v>45559</v>
      </c>
      <c r="D2227" s="135">
        <v>251.42</v>
      </c>
      <c r="O2227" s="134"/>
      <c r="P2227" s="135"/>
    </row>
    <row r="2228" spans="1:16" s="133" customFormat="1" ht="15" customHeight="1">
      <c r="A2228" s="1"/>
      <c r="B2228" s="1"/>
      <c r="C2228" s="134">
        <v>45560</v>
      </c>
      <c r="D2228" s="135">
        <v>252.4</v>
      </c>
      <c r="O2228" s="134"/>
      <c r="P2228" s="135"/>
    </row>
    <row r="2229" spans="1:16" s="133" customFormat="1" ht="15" customHeight="1">
      <c r="A2229" s="1"/>
      <c r="B2229" s="1"/>
      <c r="C2229" s="134">
        <v>45561</v>
      </c>
      <c r="D2229" s="135">
        <v>253.42</v>
      </c>
      <c r="O2229" s="134"/>
      <c r="P2229" s="135"/>
    </row>
    <row r="2230" spans="1:16" s="133" customFormat="1" ht="15" customHeight="1">
      <c r="A2230" s="1"/>
      <c r="B2230" s="1"/>
      <c r="C2230" s="134">
        <v>45562</v>
      </c>
      <c r="D2230" s="135">
        <v>251.79</v>
      </c>
      <c r="O2230" s="134"/>
      <c r="P2230" s="135"/>
    </row>
    <row r="2231" spans="1:16" s="133" customFormat="1" ht="15" customHeight="1">
      <c r="A2231" s="1"/>
      <c r="B2231" s="1"/>
      <c r="C2231" s="134">
        <v>45565</v>
      </c>
      <c r="D2231" s="135">
        <v>254.27</v>
      </c>
      <c r="O2231" s="134"/>
      <c r="P2231" s="135"/>
    </row>
    <row r="2232" spans="1:16" s="133" customFormat="1" ht="15" customHeight="1">
      <c r="A2232" s="1"/>
      <c r="B2232" s="1"/>
      <c r="C2232" s="134">
        <v>45566</v>
      </c>
      <c r="D2232" s="135">
        <v>250.25</v>
      </c>
      <c r="O2232" s="134"/>
      <c r="P2232" s="135"/>
    </row>
    <row r="2233" spans="1:16" s="133" customFormat="1" ht="15" customHeight="1">
      <c r="A2233" s="1"/>
      <c r="B2233" s="1"/>
      <c r="C2233" s="134">
        <v>45567</v>
      </c>
      <c r="D2233" s="135">
        <v>251.75</v>
      </c>
      <c r="O2233" s="134"/>
      <c r="P2233" s="135"/>
    </row>
    <row r="2234" spans="1:16" s="133" customFormat="1" ht="15" customHeight="1">
      <c r="A2234" s="1"/>
      <c r="B2234" s="1"/>
      <c r="C2234" s="134">
        <v>45568</v>
      </c>
      <c r="D2234" s="135">
        <v>253.02</v>
      </c>
      <c r="O2234" s="134"/>
      <c r="P2234" s="135"/>
    </row>
    <row r="2235" spans="1:16" s="133" customFormat="1" ht="15" customHeight="1">
      <c r="A2235" s="1"/>
      <c r="B2235" s="1"/>
      <c r="C2235" s="134">
        <v>45569</v>
      </c>
      <c r="D2235" s="135">
        <v>258.27999999999997</v>
      </c>
      <c r="O2235" s="134"/>
      <c r="P2235" s="135"/>
    </row>
    <row r="2236" spans="1:16" s="133" customFormat="1" ht="15" customHeight="1">
      <c r="A2236" s="1"/>
      <c r="B2236" s="1"/>
      <c r="C2236" s="134">
        <v>45572</v>
      </c>
      <c r="D2236" s="135">
        <v>257.31</v>
      </c>
      <c r="O2236" s="134"/>
      <c r="P2236" s="135"/>
    </row>
    <row r="2237" spans="1:16" s="133" customFormat="1" ht="15" customHeight="1">
      <c r="A2237" s="1"/>
      <c r="B2237" s="1"/>
      <c r="C2237" s="134">
        <v>45573</v>
      </c>
      <c r="D2237" s="135">
        <v>260.24</v>
      </c>
      <c r="O2237" s="134"/>
      <c r="P2237" s="135"/>
    </row>
    <row r="2238" spans="1:16" s="133" customFormat="1" ht="15" customHeight="1">
      <c r="A2238" s="1"/>
      <c r="B2238" s="1"/>
      <c r="C2238" s="134">
        <v>45574</v>
      </c>
      <c r="D2238" s="135">
        <v>262.83999999999997</v>
      </c>
      <c r="O2238" s="134"/>
      <c r="P2238" s="135"/>
    </row>
    <row r="2239" spans="1:16" s="133" customFormat="1" ht="15" customHeight="1">
      <c r="A2239" s="1"/>
      <c r="B2239" s="1"/>
      <c r="C2239" s="134">
        <v>45575</v>
      </c>
      <c r="D2239" s="135">
        <v>263.61</v>
      </c>
      <c r="O2239" s="134"/>
      <c r="P2239" s="135"/>
    </row>
    <row r="2240" spans="1:16" s="133" customFormat="1" ht="15" customHeight="1">
      <c r="A2240" s="1"/>
      <c r="B2240" s="1"/>
      <c r="C2240" s="134">
        <v>45576</v>
      </c>
      <c r="D2240" s="135">
        <v>264.62</v>
      </c>
      <c r="O2240" s="134"/>
      <c r="P2240" s="135"/>
    </row>
    <row r="2241" spans="1:16" s="133" customFormat="1" ht="15" customHeight="1">
      <c r="A2241" s="1"/>
      <c r="B2241" s="1"/>
      <c r="C2241" s="134">
        <v>45579</v>
      </c>
      <c r="D2241" s="135">
        <v>268.22000000000003</v>
      </c>
      <c r="O2241" s="134"/>
      <c r="P2241" s="135"/>
    </row>
    <row r="2242" spans="1:16" s="133" customFormat="1" ht="15" customHeight="1">
      <c r="A2242" s="1"/>
      <c r="B2242" s="1"/>
      <c r="C2242" s="134">
        <v>45580</v>
      </c>
      <c r="D2242" s="135">
        <v>263.32</v>
      </c>
      <c r="O2242" s="134"/>
      <c r="P2242" s="135"/>
    </row>
    <row r="2243" spans="1:16" s="133" customFormat="1" ht="15" customHeight="1">
      <c r="A2243" s="1"/>
      <c r="B2243" s="1"/>
      <c r="C2243" s="134">
        <v>45581</v>
      </c>
      <c r="D2243" s="135">
        <v>263.83</v>
      </c>
      <c r="O2243" s="134"/>
      <c r="P2243" s="135"/>
    </row>
    <row r="2244" spans="1:16" s="133" customFormat="1" ht="15" customHeight="1">
      <c r="A2244" s="1"/>
      <c r="B2244" s="1"/>
      <c r="C2244" s="134">
        <v>45582</v>
      </c>
      <c r="D2244" s="135">
        <v>266.77999999999997</v>
      </c>
      <c r="O2244" s="134"/>
      <c r="P2244" s="135"/>
    </row>
    <row r="2245" spans="1:16" s="133" customFormat="1" ht="15" customHeight="1">
      <c r="A2245" s="1"/>
      <c r="B2245" s="1"/>
      <c r="C2245" s="134">
        <v>45583</v>
      </c>
      <c r="D2245" s="135">
        <v>267.12</v>
      </c>
      <c r="O2245" s="134"/>
      <c r="P2245" s="135"/>
    </row>
    <row r="2246" spans="1:16" s="133" customFormat="1" ht="15" customHeight="1">
      <c r="A2246" s="1"/>
      <c r="B2246" s="1"/>
      <c r="C2246" s="134">
        <v>45586</v>
      </c>
      <c r="D2246" s="135">
        <v>270.25</v>
      </c>
      <c r="O2246" s="134"/>
      <c r="P2246" s="135"/>
    </row>
    <row r="2247" spans="1:16" s="133" customFormat="1" ht="15" customHeight="1">
      <c r="A2247" s="1"/>
      <c r="B2247" s="1"/>
      <c r="C2247" s="134">
        <v>45587</v>
      </c>
      <c r="D2247" s="135">
        <v>270.61</v>
      </c>
      <c r="O2247" s="134"/>
      <c r="P2247" s="135"/>
    </row>
    <row r="2248" spans="1:16" s="133" customFormat="1" ht="15" customHeight="1">
      <c r="A2248" s="1"/>
      <c r="B2248" s="1"/>
      <c r="C2248" s="134">
        <v>45588</v>
      </c>
      <c r="D2248" s="135">
        <v>269.13</v>
      </c>
      <c r="O2248" s="134"/>
      <c r="P2248" s="135"/>
    </row>
    <row r="2249" spans="1:16" s="133" customFormat="1" ht="15" customHeight="1">
      <c r="A2249" s="1"/>
      <c r="B2249" s="1"/>
      <c r="C2249" s="134">
        <v>45589</v>
      </c>
      <c r="D2249" s="135">
        <v>268.05</v>
      </c>
      <c r="O2249" s="134"/>
      <c r="P2249" s="135"/>
    </row>
    <row r="2250" spans="1:16" s="133" customFormat="1" ht="15" customHeight="1">
      <c r="A2250" s="1"/>
      <c r="B2250" s="1"/>
      <c r="C2250" s="134">
        <v>45590</v>
      </c>
      <c r="D2250" s="135">
        <v>269</v>
      </c>
      <c r="O2250" s="134"/>
      <c r="P2250" s="135"/>
    </row>
    <row r="2251" spans="1:16" s="133" customFormat="1" ht="15" customHeight="1">
      <c r="A2251" s="1"/>
      <c r="B2251" s="1"/>
      <c r="C2251" s="134">
        <v>45593</v>
      </c>
      <c r="D2251" s="135">
        <v>271.24</v>
      </c>
      <c r="O2251" s="134"/>
      <c r="P2251" s="135"/>
    </row>
    <row r="2252" spans="1:16" s="133" customFormat="1" ht="15" customHeight="1">
      <c r="A2252" s="1"/>
      <c r="B2252" s="1"/>
      <c r="C2252" s="134">
        <v>45594</v>
      </c>
      <c r="D2252" s="135">
        <v>271.64</v>
      </c>
      <c r="O2252" s="134"/>
      <c r="P2252" s="135"/>
    </row>
    <row r="2253" spans="1:16" s="133" customFormat="1" ht="15" customHeight="1">
      <c r="A2253" s="1"/>
      <c r="B2253" s="1"/>
      <c r="C2253" s="134">
        <v>45595</v>
      </c>
      <c r="D2253" s="135">
        <v>269.93</v>
      </c>
      <c r="O2253" s="134"/>
      <c r="P2253" s="135"/>
    </row>
    <row r="2254" spans="1:16" s="133" customFormat="1" ht="15" customHeight="1">
      <c r="A2254" s="1"/>
      <c r="B2254" s="1"/>
      <c r="C2254" s="134">
        <v>45596</v>
      </c>
      <c r="D2254" s="135">
        <v>264.94</v>
      </c>
      <c r="O2254" s="134"/>
      <c r="P2254" s="135"/>
    </row>
    <row r="2255" spans="1:16" s="133" customFormat="1" ht="15" customHeight="1">
      <c r="A2255" s="1"/>
      <c r="B2255" s="1"/>
      <c r="C2255" s="134">
        <v>45597</v>
      </c>
      <c r="D2255" s="135">
        <v>268.48</v>
      </c>
      <c r="O2255" s="134"/>
      <c r="P2255" s="135"/>
    </row>
    <row r="2256" spans="1:16" s="133" customFormat="1" ht="15" customHeight="1">
      <c r="A2256" s="1"/>
      <c r="B2256" s="1"/>
      <c r="C2256" s="134">
        <v>45600</v>
      </c>
      <c r="D2256" s="135">
        <v>265.87</v>
      </c>
      <c r="O2256" s="134"/>
      <c r="P2256" s="135"/>
    </row>
    <row r="2257" spans="1:16" s="133" customFormat="1" ht="15" customHeight="1">
      <c r="A2257" s="1"/>
      <c r="B2257" s="1"/>
      <c r="C2257" s="134">
        <v>45601</v>
      </c>
      <c r="D2257" s="135">
        <v>268.04000000000002</v>
      </c>
      <c r="O2257" s="134"/>
      <c r="P2257" s="135"/>
    </row>
    <row r="2258" spans="1:16" s="133" customFormat="1" ht="15" customHeight="1">
      <c r="A2258" s="1"/>
      <c r="B2258" s="1"/>
      <c r="C2258" s="134">
        <v>45602</v>
      </c>
      <c r="D2258" s="135">
        <v>279.13</v>
      </c>
      <c r="O2258" s="134"/>
      <c r="P2258" s="135"/>
    </row>
    <row r="2259" spans="1:16" s="133" customFormat="1" ht="15" customHeight="1">
      <c r="A2259" s="1"/>
      <c r="B2259" s="1"/>
      <c r="C2259" s="134">
        <v>45603</v>
      </c>
      <c r="D2259" s="135">
        <v>279.27</v>
      </c>
      <c r="O2259" s="134"/>
      <c r="P2259" s="135"/>
    </row>
    <row r="2260" spans="1:16" s="133" customFormat="1" ht="15" customHeight="1">
      <c r="A2260" s="1"/>
      <c r="B2260" s="1"/>
      <c r="C2260" s="134">
        <v>45604</v>
      </c>
      <c r="D2260" s="135">
        <v>278.52</v>
      </c>
      <c r="O2260" s="134"/>
      <c r="P2260" s="135"/>
    </row>
    <row r="2261" spans="1:16" s="133" customFormat="1" ht="15" customHeight="1">
      <c r="A2261" s="1"/>
      <c r="B2261" s="1"/>
      <c r="C2261" s="134">
        <v>45607</v>
      </c>
      <c r="D2261" s="135">
        <v>279.37</v>
      </c>
      <c r="O2261" s="134"/>
      <c r="P2261" s="135"/>
    </row>
    <row r="2262" spans="1:16" s="133" customFormat="1" ht="15" customHeight="1">
      <c r="A2262" s="1"/>
      <c r="B2262" s="1"/>
      <c r="C2262" s="134">
        <v>45608</v>
      </c>
      <c r="D2262" s="135">
        <v>281.72000000000003</v>
      </c>
      <c r="O2262" s="134"/>
      <c r="P2262" s="135"/>
    </row>
    <row r="2263" spans="1:16" s="133" customFormat="1" ht="15" customHeight="1">
      <c r="A2263" s="1"/>
      <c r="B2263" s="1"/>
      <c r="C2263" s="134">
        <v>45609</v>
      </c>
      <c r="D2263" s="135">
        <v>283.02999999999997</v>
      </c>
      <c r="O2263" s="134"/>
      <c r="P2263" s="135"/>
    </row>
    <row r="2264" spans="1:16" s="133" customFormat="1" ht="15" customHeight="1">
      <c r="A2264" s="1"/>
      <c r="B2264" s="1"/>
      <c r="C2264" s="134">
        <v>45610</v>
      </c>
      <c r="D2264" s="135">
        <v>279.54000000000002</v>
      </c>
      <c r="O2264" s="134"/>
      <c r="P2264" s="135"/>
    </row>
    <row r="2265" spans="1:16" s="133" customFormat="1" ht="15" customHeight="1">
      <c r="A2265" s="1"/>
      <c r="B2265" s="1"/>
      <c r="C2265" s="134">
        <v>45611</v>
      </c>
      <c r="D2265" s="135">
        <v>276.35000000000002</v>
      </c>
      <c r="O2265" s="134"/>
      <c r="P2265" s="135"/>
    </row>
    <row r="2266" spans="1:16" s="133" customFormat="1" ht="15" customHeight="1">
      <c r="A2266" s="1"/>
      <c r="B2266" s="1"/>
      <c r="C2266" s="134">
        <v>45614</v>
      </c>
      <c r="D2266" s="135">
        <v>277.55</v>
      </c>
      <c r="O2266" s="134"/>
      <c r="P2266" s="135"/>
    </row>
    <row r="2267" spans="1:16" s="133" customFormat="1" ht="15" customHeight="1">
      <c r="A2267" s="1"/>
      <c r="B2267" s="1"/>
      <c r="C2267" s="134">
        <v>45615</v>
      </c>
      <c r="D2267" s="135">
        <v>277.05</v>
      </c>
      <c r="O2267" s="134"/>
      <c r="P2267" s="135"/>
    </row>
    <row r="2268" spans="1:16" s="133" customFormat="1" ht="15" customHeight="1">
      <c r="A2268" s="1"/>
      <c r="B2268" s="1"/>
      <c r="C2268" s="134">
        <v>45616</v>
      </c>
      <c r="D2268" s="135">
        <v>277.85000000000002</v>
      </c>
      <c r="O2268" s="134"/>
      <c r="P2268" s="135"/>
    </row>
    <row r="2269" spans="1:16" s="133" customFormat="1" ht="15" customHeight="1">
      <c r="A2269" s="1"/>
      <c r="B2269" s="1"/>
      <c r="C2269" s="134">
        <v>45617</v>
      </c>
      <c r="D2269" s="135">
        <v>280.45999999999998</v>
      </c>
      <c r="O2269" s="134"/>
      <c r="P2269" s="135"/>
    </row>
    <row r="2270" spans="1:16" s="133" customFormat="1" ht="15" customHeight="1">
      <c r="A2270" s="1"/>
      <c r="B2270" s="1"/>
      <c r="C2270" s="134">
        <v>45618</v>
      </c>
      <c r="D2270" s="135">
        <v>280.89</v>
      </c>
      <c r="O2270" s="134"/>
      <c r="P2270" s="135"/>
    </row>
    <row r="2271" spans="1:16" s="133" customFormat="1" ht="15" customHeight="1">
      <c r="A2271" s="1"/>
      <c r="B2271" s="1"/>
      <c r="C2271" s="134">
        <v>45621</v>
      </c>
      <c r="D2271" s="135">
        <v>277.08</v>
      </c>
      <c r="O2271" s="134"/>
      <c r="P2271" s="135"/>
    </row>
    <row r="2272" spans="1:16" s="133" customFormat="1" ht="15" customHeight="1">
      <c r="A2272" s="1"/>
      <c r="B2272" s="1"/>
      <c r="C2272" s="134">
        <v>45622</v>
      </c>
      <c r="D2272" s="135">
        <v>279.60000000000002</v>
      </c>
      <c r="O2272" s="134"/>
      <c r="P2272" s="135"/>
    </row>
    <row r="2273" spans="1:16" s="133" customFormat="1" ht="15" customHeight="1">
      <c r="A2273" s="1"/>
      <c r="B2273" s="1"/>
      <c r="C2273" s="134">
        <v>45623</v>
      </c>
      <c r="D2273" s="135">
        <v>276.70999999999998</v>
      </c>
      <c r="O2273" s="134"/>
      <c r="P2273" s="135"/>
    </row>
    <row r="2274" spans="1:16" s="133" customFormat="1" ht="15" customHeight="1">
      <c r="A2274" s="1"/>
      <c r="B2274" s="1"/>
      <c r="C2274" s="134">
        <v>45625</v>
      </c>
      <c r="D2274" s="135">
        <v>276.86</v>
      </c>
      <c r="O2274" s="134"/>
      <c r="P2274" s="135"/>
    </row>
    <row r="2275" spans="1:16" s="133" customFormat="1" ht="15" customHeight="1">
      <c r="A2275" s="1"/>
      <c r="B2275" s="1"/>
      <c r="C2275" s="134">
        <v>45628</v>
      </c>
      <c r="D2275" s="135">
        <v>276.99</v>
      </c>
      <c r="O2275" s="134"/>
      <c r="P2275" s="135"/>
    </row>
    <row r="2276" spans="1:16" s="133" customFormat="1" ht="15" customHeight="1">
      <c r="A2276" s="1"/>
      <c r="B2276" s="1"/>
      <c r="C2276" s="134">
        <v>45629</v>
      </c>
      <c r="D2276" s="135">
        <v>278.25</v>
      </c>
      <c r="O2276" s="134"/>
      <c r="P2276" s="135"/>
    </row>
    <row r="2277" spans="1:16" s="133" customFormat="1" ht="15" customHeight="1">
      <c r="A2277" s="1"/>
      <c r="B2277" s="1"/>
      <c r="C2277" s="134">
        <v>45630</v>
      </c>
      <c r="D2277" s="135">
        <v>278.52</v>
      </c>
      <c r="O2277" s="134"/>
      <c r="P2277" s="135"/>
    </row>
    <row r="2278" spans="1:16" s="133" customFormat="1" ht="15" customHeight="1">
      <c r="A2278" s="1"/>
      <c r="B2278" s="1"/>
      <c r="C2278" s="134">
        <v>45631</v>
      </c>
      <c r="D2278" s="135">
        <v>277.89</v>
      </c>
      <c r="O2278" s="134"/>
      <c r="P2278" s="135"/>
    </row>
    <row r="2279" spans="1:16" s="133" customFormat="1" ht="15" customHeight="1">
      <c r="A2279" s="1"/>
      <c r="B2279" s="1"/>
      <c r="C2279" s="134">
        <v>45632</v>
      </c>
      <c r="D2279" s="135">
        <v>277.74</v>
      </c>
      <c r="O2279" s="134"/>
      <c r="P2279" s="135"/>
    </row>
    <row r="2280" spans="1:16" s="133" customFormat="1" ht="15" customHeight="1">
      <c r="A2280" s="1"/>
      <c r="B2280" s="1"/>
      <c r="C2280" s="134">
        <v>45635</v>
      </c>
      <c r="D2280" s="135">
        <v>278.20999999999998</v>
      </c>
      <c r="O2280" s="134"/>
      <c r="P2280" s="135"/>
    </row>
    <row r="2281" spans="1:16" s="133" customFormat="1" ht="15" customHeight="1">
      <c r="A2281" s="1"/>
      <c r="B2281" s="1"/>
      <c r="C2281" s="134">
        <v>45636</v>
      </c>
      <c r="D2281" s="135">
        <v>278.07</v>
      </c>
      <c r="O2281" s="134"/>
      <c r="P2281" s="135"/>
    </row>
    <row r="2282" spans="1:16" s="133" customFormat="1" ht="15" customHeight="1">
      <c r="A2282" s="1"/>
      <c r="B2282" s="1"/>
      <c r="C2282" s="134">
        <v>45637</v>
      </c>
      <c r="D2282" s="135">
        <v>282.29000000000002</v>
      </c>
      <c r="O2282" s="134"/>
      <c r="P2282" s="135"/>
    </row>
    <row r="2283" spans="1:16" s="133" customFormat="1" ht="15" customHeight="1">
      <c r="A2283" s="1"/>
      <c r="B2283" s="1"/>
      <c r="C2283" s="134">
        <v>45638</v>
      </c>
      <c r="D2283" s="135">
        <v>283.01</v>
      </c>
      <c r="O2283" s="134"/>
      <c r="P2283" s="135"/>
    </row>
    <row r="2284" spans="1:16" s="133" customFormat="1" ht="15" customHeight="1">
      <c r="A2284" s="1"/>
      <c r="B2284" s="1"/>
      <c r="C2284" s="134">
        <v>45639</v>
      </c>
      <c r="D2284" s="135">
        <v>285.20999999999998</v>
      </c>
      <c r="O2284" s="134"/>
      <c r="P2284" s="135"/>
    </row>
    <row r="2285" spans="1:16" s="133" customFormat="1" ht="15" customHeight="1">
      <c r="A2285" s="1"/>
      <c r="B2285" s="1"/>
      <c r="C2285" s="134">
        <v>45642</v>
      </c>
      <c r="D2285" s="135">
        <v>286.77999999999997</v>
      </c>
      <c r="O2285" s="134"/>
      <c r="P2285" s="135"/>
    </row>
    <row r="2286" spans="1:16" s="133" customFormat="1" ht="15" customHeight="1">
      <c r="A2286" s="1"/>
      <c r="B2286" s="1"/>
      <c r="C2286" s="134">
        <v>45643</v>
      </c>
      <c r="D2286" s="135">
        <v>285.02999999999997</v>
      </c>
      <c r="O2286" s="134"/>
      <c r="P2286" s="135"/>
    </row>
    <row r="2287" spans="1:16" s="133" customFormat="1" ht="15" customHeight="1">
      <c r="A2287" s="1"/>
      <c r="B2287" s="1"/>
      <c r="C2287" s="134">
        <v>45644</v>
      </c>
      <c r="D2287" s="135">
        <v>279.64999999999998</v>
      </c>
      <c r="O2287" s="134"/>
      <c r="P2287" s="135"/>
    </row>
    <row r="2288" spans="1:16" s="133" customFormat="1" ht="15" customHeight="1">
      <c r="A2288" s="1"/>
      <c r="B2288" s="1"/>
      <c r="C2288" s="134">
        <v>45645</v>
      </c>
      <c r="D2288" s="135">
        <v>281.89999999999998</v>
      </c>
      <c r="O2288" s="134"/>
      <c r="P2288" s="135"/>
    </row>
    <row r="2289" spans="1:16" s="133" customFormat="1" ht="15" customHeight="1">
      <c r="A2289" s="1"/>
      <c r="B2289" s="1"/>
      <c r="C2289" s="134">
        <v>45646</v>
      </c>
      <c r="D2289" s="135">
        <v>283.99</v>
      </c>
      <c r="O2289" s="134"/>
      <c r="P2289" s="135"/>
    </row>
    <row r="2290" spans="1:16" s="133" customFormat="1" ht="15" customHeight="1">
      <c r="A2290" s="1"/>
      <c r="B2290" s="1"/>
      <c r="C2290" s="134">
        <v>45649</v>
      </c>
      <c r="D2290" s="135">
        <v>288.04000000000002</v>
      </c>
      <c r="O2290" s="134"/>
      <c r="P2290" s="135"/>
    </row>
    <row r="2291" spans="1:16" s="133" customFormat="1" ht="15" customHeight="1">
      <c r="A2291" s="1"/>
      <c r="B2291" s="1"/>
      <c r="C2291" s="134">
        <v>45650</v>
      </c>
      <c r="D2291" s="135">
        <v>290.24</v>
      </c>
      <c r="O2291" s="134"/>
      <c r="P2291" s="135"/>
    </row>
    <row r="2292" spans="1:16" s="133" customFormat="1" ht="15" customHeight="1">
      <c r="A2292" s="1"/>
      <c r="B2292" s="1"/>
      <c r="C2292" s="134">
        <v>45652</v>
      </c>
      <c r="D2292" s="135">
        <v>290.02</v>
      </c>
      <c r="O2292" s="134"/>
      <c r="P2292" s="135"/>
    </row>
    <row r="2293" spans="1:16" s="133" customFormat="1" ht="15" customHeight="1">
      <c r="A2293" s="1"/>
      <c r="B2293" s="1"/>
      <c r="C2293" s="134">
        <v>45653</v>
      </c>
      <c r="D2293" s="135">
        <v>288.47000000000003</v>
      </c>
      <c r="O2293" s="134"/>
      <c r="P2293" s="135"/>
    </row>
    <row r="2294" spans="1:16" s="133" customFormat="1" ht="15" customHeight="1">
      <c r="A2294" s="1"/>
      <c r="B2294" s="1"/>
      <c r="C2294" s="134">
        <v>45656</v>
      </c>
      <c r="D2294" s="135">
        <v>283.24</v>
      </c>
      <c r="O2294" s="134"/>
      <c r="P2294" s="135"/>
    </row>
    <row r="2295" spans="1:16" s="133" customFormat="1" ht="15" customHeight="1">
      <c r="A2295" s="1"/>
      <c r="B2295" s="1"/>
      <c r="C2295" s="134">
        <v>45657</v>
      </c>
      <c r="D2295" s="135">
        <v>282.8</v>
      </c>
      <c r="O2295" s="134"/>
      <c r="P2295" s="135"/>
    </row>
    <row r="2296" spans="1:16" s="133" customFormat="1" ht="15" customHeight="1">
      <c r="A2296" s="1"/>
      <c r="B2296" s="1"/>
      <c r="C2296" s="134">
        <v>45659</v>
      </c>
      <c r="D2296" s="135">
        <v>282.18</v>
      </c>
      <c r="O2296" s="134"/>
      <c r="P2296" s="135"/>
    </row>
    <row r="2297" spans="1:16" s="133" customFormat="1" ht="15" customHeight="1">
      <c r="A2297" s="1"/>
      <c r="B2297" s="1"/>
      <c r="C2297" s="134">
        <v>45660</v>
      </c>
      <c r="D2297" s="135">
        <v>286.24</v>
      </c>
      <c r="O2297" s="134"/>
      <c r="P2297" s="135"/>
    </row>
    <row r="2298" spans="1:16" s="133" customFormat="1" ht="15" customHeight="1">
      <c r="A2298" s="1"/>
      <c r="B2298" s="1"/>
      <c r="C2298" s="134">
        <v>45663</v>
      </c>
      <c r="D2298" s="135">
        <v>288.85000000000002</v>
      </c>
      <c r="O2298" s="134"/>
      <c r="P2298" s="135"/>
    </row>
    <row r="2299" spans="1:16" s="133" customFormat="1" ht="15" customHeight="1">
      <c r="A2299" s="1"/>
      <c r="B2299" s="1"/>
      <c r="C2299" s="134">
        <v>45664</v>
      </c>
      <c r="D2299" s="135">
        <v>288.18</v>
      </c>
      <c r="O2299" s="134"/>
      <c r="P2299" s="135"/>
    </row>
    <row r="2300" spans="1:16" s="133" customFormat="1" ht="15" customHeight="1">
      <c r="A2300" s="1"/>
      <c r="B2300" s="1"/>
      <c r="C2300" s="134">
        <v>45665</v>
      </c>
      <c r="D2300" s="135">
        <v>288.94</v>
      </c>
      <c r="O2300" s="134"/>
      <c r="P2300" s="135"/>
    </row>
    <row r="2301" spans="1:16" s="133" customFormat="1" ht="15" customHeight="1">
      <c r="A2301" s="1"/>
      <c r="B2301" s="1"/>
      <c r="C2301" s="134">
        <v>45666</v>
      </c>
      <c r="D2301" s="135">
        <v>288.57</v>
      </c>
      <c r="O2301" s="134"/>
      <c r="P2301" s="135"/>
    </row>
    <row r="2302" spans="1:16" s="133" customFormat="1" ht="15" customHeight="1">
      <c r="A2302" s="1"/>
      <c r="B2302" s="1"/>
      <c r="C2302" s="134">
        <v>45667</v>
      </c>
      <c r="D2302" s="135">
        <v>286.43</v>
      </c>
      <c r="O2302" s="134"/>
      <c r="P2302" s="135"/>
    </row>
    <row r="2303" spans="1:16" s="133" customFormat="1" ht="15" customHeight="1">
      <c r="A2303" s="1"/>
      <c r="B2303" s="1"/>
      <c r="C2303" s="134">
        <v>45670</v>
      </c>
      <c r="D2303" s="135">
        <v>287.89999999999998</v>
      </c>
      <c r="O2303" s="134"/>
      <c r="P2303" s="135"/>
    </row>
    <row r="2304" spans="1:16" s="133" customFormat="1" ht="15" customHeight="1">
      <c r="A2304" s="1"/>
      <c r="B2304" s="1"/>
      <c r="C2304" s="134">
        <v>45671</v>
      </c>
      <c r="D2304" s="135">
        <v>288.14999999999998</v>
      </c>
      <c r="O2304" s="134"/>
      <c r="P2304" s="135"/>
    </row>
    <row r="2305" spans="1:16" s="133" customFormat="1" ht="15" customHeight="1">
      <c r="A2305" s="1"/>
      <c r="B2305" s="1"/>
      <c r="C2305" s="134">
        <v>45672</v>
      </c>
      <c r="D2305" s="135">
        <v>289.19</v>
      </c>
      <c r="O2305" s="134"/>
      <c r="P2305" s="135"/>
    </row>
    <row r="2306" spans="1:16" s="133" customFormat="1" ht="15" customHeight="1">
      <c r="A2306" s="1"/>
      <c r="B2306" s="1"/>
      <c r="C2306" s="134">
        <v>45673</v>
      </c>
      <c r="D2306" s="135">
        <v>287.37</v>
      </c>
      <c r="O2306" s="134"/>
      <c r="P2306" s="135"/>
    </row>
    <row r="2307" spans="1:16" s="133" customFormat="1" ht="15" customHeight="1">
      <c r="A2307" s="1"/>
      <c r="B2307" s="1"/>
      <c r="C2307" s="134">
        <v>45674</v>
      </c>
      <c r="D2307" s="135">
        <v>289.95</v>
      </c>
      <c r="O2307" s="134"/>
      <c r="P2307" s="135"/>
    </row>
    <row r="2308" spans="1:16" s="133" customFormat="1" ht="15" customHeight="1">
      <c r="A2308" s="1"/>
      <c r="B2308" s="1"/>
      <c r="C2308" s="134">
        <v>45678</v>
      </c>
      <c r="D2308" s="135">
        <v>291.08999999999997</v>
      </c>
      <c r="O2308" s="134"/>
      <c r="P2308" s="135"/>
    </row>
    <row r="2309" spans="1:16" s="133" customFormat="1" ht="15" customHeight="1">
      <c r="A2309" s="1"/>
      <c r="B2309" s="1"/>
      <c r="C2309" s="134">
        <v>45679</v>
      </c>
      <c r="D2309" s="135">
        <v>293.42</v>
      </c>
      <c r="O2309" s="134"/>
      <c r="P2309" s="135"/>
    </row>
    <row r="2310" spans="1:16" s="133" customFormat="1" ht="15" customHeight="1">
      <c r="A2310" s="1"/>
      <c r="B2310" s="1"/>
      <c r="C2310" s="134">
        <v>45680</v>
      </c>
      <c r="D2310" s="135">
        <v>296.42</v>
      </c>
      <c r="O2310" s="134"/>
      <c r="P2310" s="135"/>
    </row>
    <row r="2311" spans="1:16" s="133" customFormat="1" ht="15" customHeight="1">
      <c r="A2311" s="1"/>
      <c r="B2311" s="1"/>
      <c r="C2311" s="134">
        <v>45681</v>
      </c>
      <c r="D2311" s="135">
        <v>294.73</v>
      </c>
      <c r="O2311" s="134"/>
      <c r="P2311" s="135"/>
    </row>
    <row r="2312" spans="1:16" s="133" customFormat="1" ht="15" customHeight="1">
      <c r="A2312" s="1"/>
      <c r="B2312" s="1"/>
      <c r="C2312" s="134">
        <v>45684</v>
      </c>
      <c r="D2312" s="135">
        <v>287.58</v>
      </c>
      <c r="O2312" s="134"/>
      <c r="P2312" s="135"/>
    </row>
    <row r="2313" spans="1:16" s="133" customFormat="1" ht="15" customHeight="1">
      <c r="A2313" s="1"/>
      <c r="B2313" s="1"/>
      <c r="C2313" s="134">
        <v>45685</v>
      </c>
      <c r="D2313" s="135">
        <v>290.70999999999998</v>
      </c>
      <c r="O2313" s="134"/>
      <c r="P2313" s="135"/>
    </row>
    <row r="2314" spans="1:16" s="133" customFormat="1" ht="15" customHeight="1">
      <c r="A2314" s="1"/>
      <c r="B2314" s="1"/>
      <c r="C2314" s="134">
        <v>45686</v>
      </c>
      <c r="D2314" s="135">
        <v>289.33999999999997</v>
      </c>
      <c r="O2314" s="134"/>
      <c r="P2314" s="135"/>
    </row>
    <row r="2315" spans="1:16" s="133" customFormat="1" ht="15" customHeight="1">
      <c r="A2315" s="1"/>
      <c r="B2315" s="1"/>
      <c r="C2315" s="134">
        <v>45687</v>
      </c>
      <c r="D2315" s="135">
        <v>289.45999999999998</v>
      </c>
      <c r="O2315" s="134"/>
      <c r="P2315" s="135"/>
    </row>
    <row r="2316" spans="1:16" s="133" customFormat="1" ht="15" customHeight="1">
      <c r="A2316" s="1"/>
      <c r="B2316" s="1"/>
      <c r="C2316" s="134">
        <v>45688</v>
      </c>
      <c r="D2316" s="135">
        <v>289.87</v>
      </c>
      <c r="O2316" s="134"/>
      <c r="P2316" s="135"/>
    </row>
    <row r="2317" spans="1:16" s="133" customFormat="1" ht="15" customHeight="1">
      <c r="A2317" s="1"/>
      <c r="B2317" s="1"/>
      <c r="C2317" s="134">
        <v>45691</v>
      </c>
      <c r="D2317" s="135">
        <v>286.63</v>
      </c>
      <c r="O2317" s="134"/>
      <c r="P2317" s="135"/>
    </row>
    <row r="2318" spans="1:16" s="133" customFormat="1" ht="15" customHeight="1">
      <c r="A2318" s="1"/>
      <c r="B2318" s="1"/>
      <c r="C2318" s="134">
        <v>45692</v>
      </c>
      <c r="D2318" s="135">
        <v>287.66000000000003</v>
      </c>
      <c r="O2318" s="134"/>
      <c r="P2318" s="135"/>
    </row>
    <row r="2319" spans="1:16" s="133" customFormat="1" ht="15" customHeight="1">
      <c r="A2319" s="1"/>
      <c r="B2319" s="1"/>
      <c r="C2319" s="134">
        <v>45693</v>
      </c>
      <c r="D2319" s="135">
        <v>285.29000000000002</v>
      </c>
      <c r="O2319" s="134"/>
      <c r="P2319" s="135"/>
    </row>
    <row r="2320" spans="1:16" s="133" customFormat="1" ht="15" customHeight="1">
      <c r="A2320" s="1"/>
      <c r="B2320" s="1"/>
      <c r="C2320" s="134">
        <v>45694</v>
      </c>
      <c r="D2320" s="135">
        <v>286.39</v>
      </c>
      <c r="O2320" s="134"/>
      <c r="P2320" s="135"/>
    </row>
    <row r="2321" spans="1:16" s="133" customFormat="1" ht="15" customHeight="1">
      <c r="A2321" s="1"/>
      <c r="B2321" s="1"/>
      <c r="C2321" s="134">
        <v>45695</v>
      </c>
      <c r="D2321" s="135">
        <v>285.16000000000003</v>
      </c>
      <c r="O2321" s="134"/>
      <c r="P2321" s="135"/>
    </row>
    <row r="2322" spans="1:16" s="133" customFormat="1" ht="15" customHeight="1">
      <c r="A2322" s="1"/>
      <c r="B2322" s="1"/>
      <c r="C2322" s="134">
        <v>45698</v>
      </c>
      <c r="D2322" s="135">
        <v>287.42</v>
      </c>
      <c r="O2322" s="134"/>
      <c r="P2322" s="135"/>
    </row>
    <row r="2323" spans="1:16" s="133" customFormat="1" ht="15" customHeight="1">
      <c r="A2323" s="1"/>
      <c r="B2323" s="1"/>
      <c r="C2323" s="134">
        <v>45699</v>
      </c>
      <c r="D2323" s="135">
        <v>289.17</v>
      </c>
      <c r="O2323" s="134"/>
      <c r="P2323" s="135"/>
    </row>
    <row r="2324" spans="1:16" s="133" customFormat="1" ht="15" customHeight="1">
      <c r="A2324" s="1"/>
      <c r="B2324" s="1"/>
      <c r="C2324" s="134">
        <v>45700</v>
      </c>
      <c r="D2324" s="135">
        <v>291.75</v>
      </c>
      <c r="O2324" s="134"/>
      <c r="P2324" s="135"/>
    </row>
    <row r="2325" spans="1:16" s="133" customFormat="1" ht="15" customHeight="1">
      <c r="A2325" s="1"/>
      <c r="B2325" s="1"/>
      <c r="C2325" s="134">
        <v>45701</v>
      </c>
      <c r="D2325" s="135">
        <v>290.68</v>
      </c>
      <c r="O2325" s="134"/>
      <c r="P2325" s="135"/>
    </row>
    <row r="2326" spans="1:16" s="133" customFormat="1" ht="15" customHeight="1">
      <c r="A2326" s="1"/>
      <c r="B2326" s="1"/>
      <c r="C2326" s="134">
        <v>45702</v>
      </c>
      <c r="D2326" s="135">
        <v>289.22000000000003</v>
      </c>
      <c r="O2326" s="134"/>
      <c r="P2326" s="135"/>
    </row>
    <row r="2327" spans="1:16" s="133" customFormat="1" ht="15" customHeight="1">
      <c r="A2327" s="1"/>
      <c r="B2327" s="1"/>
      <c r="C2327" s="134">
        <v>45706</v>
      </c>
      <c r="D2327" s="135">
        <v>292.24</v>
      </c>
      <c r="O2327" s="134"/>
      <c r="P2327" s="135"/>
    </row>
    <row r="2328" spans="1:16" s="133" customFormat="1" ht="15" customHeight="1">
      <c r="A2328" s="1"/>
      <c r="B2328" s="1"/>
      <c r="C2328" s="134">
        <v>45707</v>
      </c>
      <c r="D2328" s="135">
        <v>293.13</v>
      </c>
      <c r="O2328" s="134"/>
      <c r="P2328" s="135"/>
    </row>
    <row r="2329" spans="1:16" s="133" customFormat="1" ht="15" customHeight="1">
      <c r="A2329" s="1"/>
      <c r="B2329" s="1"/>
      <c r="C2329" s="134">
        <v>45708</v>
      </c>
      <c r="D2329" s="135">
        <v>290.87</v>
      </c>
      <c r="O2329" s="134"/>
      <c r="P2329" s="135"/>
    </row>
    <row r="2330" spans="1:16" s="133" customFormat="1" ht="15" customHeight="1">
      <c r="A2330" s="1"/>
      <c r="B2330" s="1"/>
      <c r="C2330" s="134">
        <v>45709</v>
      </c>
      <c r="D2330" s="135">
        <v>283.12</v>
      </c>
      <c r="O2330" s="134"/>
      <c r="P2330" s="135"/>
    </row>
    <row r="2331" spans="1:16" s="133" customFormat="1" ht="15" customHeight="1">
      <c r="A2331" s="1"/>
      <c r="B2331" s="1"/>
      <c r="C2331" s="134">
        <v>45712</v>
      </c>
      <c r="D2331" s="135">
        <v>281.27999999999997</v>
      </c>
      <c r="O2331" s="134"/>
      <c r="P2331" s="135"/>
    </row>
    <row r="2332" spans="1:16" s="133" customFormat="1" ht="15" customHeight="1">
      <c r="A2332" s="1"/>
      <c r="B2332" s="1"/>
      <c r="C2332" s="134">
        <v>45713</v>
      </c>
      <c r="D2332" s="135">
        <v>276.7</v>
      </c>
      <c r="O2332" s="134"/>
      <c r="P2332" s="135"/>
    </row>
    <row r="2333" spans="1:16" s="133" customFormat="1" ht="15" customHeight="1">
      <c r="A2333" s="1"/>
      <c r="B2333" s="1"/>
      <c r="C2333" s="134">
        <v>45714</v>
      </c>
      <c r="D2333" s="135">
        <v>275.22000000000003</v>
      </c>
      <c r="O2333" s="134"/>
      <c r="P2333" s="135"/>
    </row>
    <row r="2334" spans="1:16" s="133" customFormat="1" ht="15" customHeight="1">
      <c r="A2334" s="1"/>
      <c r="B2334" s="1"/>
      <c r="C2334" s="134">
        <v>45715</v>
      </c>
      <c r="D2334" s="135">
        <v>272.20999999999998</v>
      </c>
      <c r="O2334" s="134"/>
      <c r="P2334" s="135"/>
    </row>
    <row r="2335" spans="1:16" s="133" customFormat="1" ht="15" customHeight="1">
      <c r="A2335" s="1"/>
      <c r="B2335" s="1"/>
      <c r="C2335" s="134">
        <v>45716</v>
      </c>
      <c r="D2335" s="135">
        <v>274.89999999999998</v>
      </c>
      <c r="O2335" s="134"/>
      <c r="P2335" s="135"/>
    </row>
    <row r="2336" spans="1:16" s="133" customFormat="1" ht="15" customHeight="1">
      <c r="A2336" s="1"/>
      <c r="B2336" s="1"/>
      <c r="C2336" s="134">
        <v>45719</v>
      </c>
      <c r="D2336" s="135">
        <v>268.58999999999997</v>
      </c>
      <c r="O2336" s="134"/>
      <c r="P2336" s="135"/>
    </row>
    <row r="2337" spans="1:16" s="133" customFormat="1" ht="15" customHeight="1">
      <c r="A2337" s="1"/>
      <c r="B2337" s="1"/>
      <c r="C2337" s="134">
        <v>45720</v>
      </c>
      <c r="D2337" s="135">
        <v>266.7</v>
      </c>
      <c r="O2337" s="134"/>
      <c r="P2337" s="135"/>
    </row>
    <row r="2338" spans="1:16" s="133" customFormat="1" ht="15" customHeight="1">
      <c r="A2338" s="1"/>
      <c r="B2338" s="1"/>
      <c r="C2338" s="134">
        <v>45721</v>
      </c>
      <c r="D2338" s="135">
        <v>271.13</v>
      </c>
      <c r="O2338" s="134"/>
      <c r="P2338" s="135"/>
    </row>
    <row r="2339" spans="1:16" s="133" customFormat="1" ht="15" customHeight="1">
      <c r="A2339" s="1"/>
      <c r="B2339" s="1"/>
      <c r="C2339" s="134">
        <v>45722</v>
      </c>
      <c r="D2339" s="135">
        <v>267.23</v>
      </c>
      <c r="O2339" s="134"/>
      <c r="P2339" s="135"/>
    </row>
    <row r="2340" spans="1:16" s="133" customFormat="1" ht="15" customHeight="1">
      <c r="A2340" s="1"/>
      <c r="B2340" s="1"/>
      <c r="C2340" s="134">
        <v>45723</v>
      </c>
      <c r="D2340" s="135">
        <v>269.72000000000003</v>
      </c>
      <c r="O2340" s="134"/>
      <c r="P2340" s="135"/>
    </row>
    <row r="2341" spans="1:16" s="133" customFormat="1" ht="15" customHeight="1">
      <c r="A2341" s="1"/>
      <c r="B2341" s="1"/>
      <c r="C2341" s="134">
        <v>45726</v>
      </c>
      <c r="D2341" s="135">
        <v>259.67</v>
      </c>
      <c r="O2341" s="134"/>
      <c r="P2341" s="135"/>
    </row>
    <row r="2342" spans="1:16" s="133" customFormat="1" ht="15" customHeight="1">
      <c r="A2342" s="1"/>
      <c r="B2342" s="1"/>
      <c r="C2342" s="134">
        <v>45727</v>
      </c>
      <c r="D2342" s="135">
        <v>259.82</v>
      </c>
      <c r="O2342" s="134"/>
      <c r="P2342" s="135"/>
    </row>
    <row r="2343" spans="1:16" s="133" customFormat="1" ht="15" customHeight="1">
      <c r="A2343" s="1"/>
      <c r="B2343" s="1"/>
      <c r="C2343" s="134">
        <v>45728</v>
      </c>
      <c r="D2343" s="135">
        <v>262.04000000000002</v>
      </c>
      <c r="O2343" s="134"/>
      <c r="P2343" s="135"/>
    </row>
    <row r="2344" spans="1:16" s="133" customFormat="1" ht="15" customHeight="1">
      <c r="A2344" s="1"/>
      <c r="B2344" s="1"/>
      <c r="C2344" s="134">
        <v>45729</v>
      </c>
      <c r="D2344" s="135">
        <v>257.06</v>
      </c>
      <c r="O2344" s="134"/>
      <c r="P2344" s="135"/>
    </row>
    <row r="2345" spans="1:16" s="133" customFormat="1" ht="15" customHeight="1">
      <c r="A2345" s="1"/>
      <c r="B2345" s="1"/>
      <c r="C2345" s="134">
        <v>45730</v>
      </c>
      <c r="D2345" s="135">
        <v>263.20999999999998</v>
      </c>
      <c r="O2345" s="134"/>
      <c r="P2345" s="135"/>
    </row>
    <row r="2346" spans="1:16" s="133" customFormat="1" ht="15" customHeight="1">
      <c r="A2346" s="1"/>
      <c r="B2346" s="1"/>
      <c r="C2346" s="134">
        <v>45733</v>
      </c>
      <c r="D2346" s="135">
        <v>264.66000000000003</v>
      </c>
      <c r="O2346" s="134"/>
      <c r="P2346" s="135"/>
    </row>
    <row r="2347" spans="1:16" s="133" customFormat="1" ht="15" customHeight="1">
      <c r="A2347" s="1"/>
      <c r="B2347" s="1"/>
      <c r="C2347" s="134">
        <v>45734</v>
      </c>
      <c r="D2347" s="135">
        <v>261.14</v>
      </c>
      <c r="O2347" s="134"/>
      <c r="P2347" s="135"/>
    </row>
    <row r="2348" spans="1:16" s="133" customFormat="1" ht="15" customHeight="1">
      <c r="A2348" s="1"/>
      <c r="B2348" s="1"/>
      <c r="C2348" s="134">
        <v>45735</v>
      </c>
      <c r="D2348" s="135">
        <v>263.39999999999998</v>
      </c>
      <c r="O2348" s="134"/>
      <c r="P2348" s="135"/>
    </row>
    <row r="2349" spans="1:16" s="133" customFormat="1" ht="15" customHeight="1">
      <c r="A2349" s="1"/>
      <c r="B2349" s="1"/>
      <c r="C2349" s="134">
        <v>45736</v>
      </c>
      <c r="D2349" s="135">
        <v>262.16000000000003</v>
      </c>
      <c r="O2349" s="134"/>
      <c r="P2349" s="135"/>
    </row>
    <row r="2350" spans="1:16" s="133" customFormat="1" ht="15" customHeight="1">
      <c r="A2350" s="1"/>
      <c r="B2350" s="1"/>
      <c r="C2350" s="134">
        <v>45737</v>
      </c>
      <c r="D2350" s="135">
        <v>263.20999999999998</v>
      </c>
      <c r="O2350" s="134"/>
      <c r="P2350" s="135"/>
    </row>
    <row r="2351" spans="1:16" s="133" customFormat="1" ht="15" customHeight="1">
      <c r="A2351" s="1"/>
      <c r="B2351" s="1"/>
      <c r="C2351" s="134">
        <v>45740</v>
      </c>
      <c r="D2351" s="135">
        <v>269.95</v>
      </c>
      <c r="O2351" s="134"/>
      <c r="P2351" s="135"/>
    </row>
    <row r="2352" spans="1:16" s="133" customFormat="1" ht="15" customHeight="1">
      <c r="A2352" s="1"/>
      <c r="B2352" s="1"/>
      <c r="C2352" s="134">
        <v>45741</v>
      </c>
      <c r="D2352" s="135">
        <v>270.06</v>
      </c>
      <c r="O2352" s="134"/>
      <c r="P2352" s="135"/>
    </row>
    <row r="2353" spans="1:16" s="133" customFormat="1" ht="15" customHeight="1">
      <c r="A2353" s="1"/>
      <c r="B2353" s="1"/>
      <c r="C2353" s="134">
        <v>45742</v>
      </c>
      <c r="D2353" s="135">
        <v>268</v>
      </c>
      <c r="O2353" s="134"/>
      <c r="P2353" s="135"/>
    </row>
    <row r="2354" spans="1:16" s="133" customFormat="1" ht="15" customHeight="1">
      <c r="A2354" s="1"/>
      <c r="B2354" s="1"/>
      <c r="C2354" s="134">
        <v>45743</v>
      </c>
      <c r="D2354" s="135">
        <v>268.24</v>
      </c>
      <c r="O2354" s="134"/>
      <c r="P2354" s="135"/>
    </row>
    <row r="2355" spans="1:16" s="133" customFormat="1" ht="15" customHeight="1">
      <c r="A2355" s="1"/>
      <c r="B2355" s="1"/>
      <c r="C2355" s="134">
        <v>45744</v>
      </c>
      <c r="D2355" s="135">
        <v>259.51</v>
      </c>
      <c r="O2355" s="134"/>
      <c r="P2355" s="135"/>
    </row>
    <row r="2356" spans="1:16" s="133" customFormat="1" ht="15" customHeight="1">
      <c r="A2356" s="1"/>
      <c r="B2356" s="1"/>
      <c r="C2356" s="134">
        <v>45747</v>
      </c>
      <c r="D2356" s="135">
        <v>260.58</v>
      </c>
      <c r="O2356" s="134"/>
      <c r="P2356" s="135"/>
    </row>
    <row r="2357" spans="1:16" s="133" customFormat="1" ht="15" customHeight="1">
      <c r="A2357" s="1"/>
      <c r="B2357" s="1"/>
      <c r="C2357" s="134">
        <v>45748</v>
      </c>
      <c r="D2357" s="135">
        <v>258.67</v>
      </c>
      <c r="O2357" s="134"/>
      <c r="P2357" s="135"/>
    </row>
    <row r="2358" spans="1:16" s="133" customFormat="1" ht="15" customHeight="1">
      <c r="A2358" s="1"/>
      <c r="B2358" s="1"/>
      <c r="C2358" s="134">
        <v>45749</v>
      </c>
      <c r="D2358" s="135">
        <v>261.72000000000003</v>
      </c>
      <c r="O2358" s="134"/>
      <c r="P2358" s="135"/>
    </row>
    <row r="2359" spans="1:16" s="133" customFormat="1" ht="15" customHeight="1">
      <c r="A2359" s="1"/>
      <c r="B2359" s="1"/>
      <c r="C2359" s="134">
        <v>45750</v>
      </c>
      <c r="D2359" s="135">
        <v>245.83</v>
      </c>
      <c r="O2359" s="134"/>
      <c r="P2359" s="135"/>
    </row>
    <row r="2360" spans="1:16" s="133" customFormat="1" ht="15" customHeight="1">
      <c r="A2360" s="1"/>
      <c r="B2360" s="1"/>
      <c r="C2360" s="134">
        <v>45751</v>
      </c>
      <c r="D2360" s="135">
        <v>228.82</v>
      </c>
      <c r="O2360" s="134"/>
      <c r="P2360" s="135"/>
    </row>
    <row r="2361" spans="1:16" s="133" customFormat="1" ht="15" customHeight="1">
      <c r="A2361" s="1"/>
      <c r="B2361" s="1"/>
      <c r="C2361" s="134">
        <v>45754</v>
      </c>
      <c r="D2361" s="135">
        <v>233.95</v>
      </c>
      <c r="O2361" s="134"/>
      <c r="P2361" s="135"/>
    </row>
    <row r="2362" spans="1:16" s="133" customFormat="1" ht="15" customHeight="1">
      <c r="A2362" s="1"/>
      <c r="B2362" s="1"/>
      <c r="C2362" s="134">
        <v>45755</v>
      </c>
      <c r="D2362" s="135">
        <v>234.17</v>
      </c>
      <c r="O2362" s="134"/>
      <c r="P2362" s="135"/>
    </row>
    <row r="2363" spans="1:16" s="133" customFormat="1" ht="15" customHeight="1">
      <c r="A2363" s="1"/>
      <c r="B2363" s="1"/>
      <c r="C2363" s="134">
        <v>45756</v>
      </c>
      <c r="D2363" s="135">
        <v>258.62</v>
      </c>
      <c r="O2363" s="134"/>
      <c r="P2363" s="135"/>
    </row>
    <row r="2364" spans="1:16" s="133" customFormat="1" ht="15" customHeight="1">
      <c r="A2364" s="1"/>
      <c r="B2364" s="1"/>
      <c r="C2364" s="134">
        <v>45757</v>
      </c>
      <c r="D2364" s="135">
        <v>251.23</v>
      </c>
      <c r="O2364" s="134"/>
      <c r="P2364" s="135"/>
    </row>
    <row r="2365" spans="1:16" s="133" customFormat="1" ht="15" customHeight="1">
      <c r="A2365" s="1"/>
      <c r="B2365" s="1"/>
      <c r="C2365" s="134">
        <v>45758</v>
      </c>
      <c r="D2365" s="135">
        <v>257.01</v>
      </c>
      <c r="O2365" s="134"/>
      <c r="P2365" s="135"/>
    </row>
    <row r="2366" spans="1:16" s="133" customFormat="1" ht="15" customHeight="1">
      <c r="A2366" s="1"/>
      <c r="B2366" s="1"/>
      <c r="C2366" s="134">
        <v>45761</v>
      </c>
      <c r="D2366" s="135">
        <v>256.48</v>
      </c>
      <c r="O2366" s="134"/>
      <c r="P2366" s="135"/>
    </row>
    <row r="2367" spans="1:16" s="133" customFormat="1" ht="15" customHeight="1">
      <c r="A2367" s="1"/>
      <c r="B2367" s="1"/>
      <c r="C2367" s="134">
        <v>45762</v>
      </c>
      <c r="D2367" s="135">
        <v>255.15</v>
      </c>
      <c r="O2367" s="134"/>
      <c r="P2367" s="135"/>
    </row>
    <row r="2368" spans="1:16" s="133" customFormat="1" ht="15" customHeight="1">
      <c r="A2368" s="1"/>
      <c r="B2368" s="1"/>
      <c r="C2368" s="134">
        <v>45763</v>
      </c>
      <c r="D2368" s="135">
        <v>248.45</v>
      </c>
      <c r="O2368" s="134"/>
      <c r="P2368" s="135"/>
    </row>
    <row r="2369" spans="1:16" s="133" customFormat="1" ht="15" customHeight="1">
      <c r="A2369" s="1"/>
      <c r="B2369" s="1"/>
      <c r="C2369" s="134">
        <v>45764</v>
      </c>
      <c r="D2369" s="135">
        <v>250.35</v>
      </c>
      <c r="O2369" s="134"/>
      <c r="P2369" s="135"/>
    </row>
    <row r="2370" spans="1:16" s="133" customFormat="1" ht="15" customHeight="1">
      <c r="A2370" s="1"/>
      <c r="B2370" s="1"/>
      <c r="C2370" s="134">
        <v>45768</v>
      </c>
      <c r="D2370" s="135">
        <v>247.79</v>
      </c>
      <c r="O2370" s="134"/>
      <c r="P2370" s="135"/>
    </row>
    <row r="2371" spans="1:16" s="133" customFormat="1" ht="15" customHeight="1">
      <c r="A2371" s="1"/>
      <c r="B2371" s="1"/>
      <c r="C2371" s="134">
        <v>45769</v>
      </c>
      <c r="D2371" s="135">
        <v>252.8</v>
      </c>
      <c r="O2371" s="134"/>
      <c r="P2371" s="135"/>
    </row>
    <row r="2372" spans="1:16" s="133" customFormat="1" ht="15" customHeight="1">
      <c r="A2372" s="1"/>
      <c r="B2372" s="1"/>
      <c r="C2372" s="134">
        <v>45770</v>
      </c>
      <c r="D2372" s="135">
        <v>255.71</v>
      </c>
      <c r="O2372" s="134"/>
      <c r="P2372" s="135"/>
    </row>
    <row r="2373" spans="1:16" s="133" customFormat="1" ht="15" customHeight="1">
      <c r="A2373" s="1"/>
      <c r="B2373" s="1"/>
      <c r="C2373" s="134">
        <v>45771</v>
      </c>
      <c r="D2373" s="135">
        <v>258.62</v>
      </c>
      <c r="O2373" s="134"/>
      <c r="P2373" s="135"/>
    </row>
    <row r="2374" spans="1:16" s="133" customFormat="1" ht="15" customHeight="1">
      <c r="A2374" s="1"/>
      <c r="B2374" s="1"/>
      <c r="C2374" s="134">
        <v>45772</v>
      </c>
      <c r="D2374" s="135">
        <v>259.05</v>
      </c>
      <c r="O2374" s="134"/>
      <c r="P2374" s="135"/>
    </row>
    <row r="2375" spans="1:16" s="133" customFormat="1" ht="15" customHeight="1">
      <c r="A2375" s="1"/>
      <c r="B2375" s="1"/>
      <c r="C2375" s="134">
        <v>45775</v>
      </c>
      <c r="D2375" s="135">
        <v>258.02999999999997</v>
      </c>
      <c r="O2375" s="134"/>
      <c r="P2375" s="135"/>
    </row>
    <row r="2376" spans="1:16" s="133" customFormat="1" ht="15" customHeight="1">
      <c r="A2376" s="1"/>
      <c r="B2376" s="1"/>
      <c r="C2376" s="134">
        <v>45776</v>
      </c>
      <c r="D2376" s="135">
        <v>257.97000000000003</v>
      </c>
      <c r="O2376" s="134"/>
      <c r="P2376" s="135"/>
    </row>
    <row r="2377" spans="1:16" s="133" customFormat="1" ht="15" customHeight="1">
      <c r="A2377" s="1"/>
      <c r="B2377" s="1"/>
      <c r="C2377" s="134">
        <v>45777</v>
      </c>
      <c r="D2377" s="135">
        <v>259.11</v>
      </c>
      <c r="O2377" s="134"/>
      <c r="P2377" s="135"/>
    </row>
    <row r="2378" spans="1:16" s="133" customFormat="1" ht="15" customHeight="1">
      <c r="A2378" s="1"/>
      <c r="B2378" s="1"/>
      <c r="C2378" s="134">
        <v>45778</v>
      </c>
      <c r="D2378" s="135">
        <v>262.49</v>
      </c>
      <c r="O2378" s="134"/>
      <c r="P2378" s="135"/>
    </row>
    <row r="2379" spans="1:16" s="133" customFormat="1" ht="15" customHeight="1">
      <c r="A2379" s="1"/>
      <c r="B2379" s="1"/>
      <c r="C2379" s="134">
        <v>45779</v>
      </c>
      <c r="D2379" s="135">
        <v>268.72000000000003</v>
      </c>
      <c r="O2379" s="134"/>
      <c r="P2379" s="135"/>
    </row>
    <row r="2380" spans="1:16" s="133" customFormat="1" ht="15" customHeight="1">
      <c r="A2380" s="1"/>
      <c r="B2380" s="1"/>
      <c r="C2380" s="134">
        <v>45782</v>
      </c>
      <c r="D2380" s="135">
        <v>268.01</v>
      </c>
      <c r="O2380" s="134"/>
      <c r="P2380" s="135"/>
    </row>
    <row r="2381" spans="1:16" s="133" customFormat="1" ht="15" customHeight="1">
      <c r="A2381" s="1"/>
      <c r="B2381" s="1"/>
      <c r="C2381" s="134">
        <v>45783</v>
      </c>
      <c r="D2381" s="135">
        <v>265.27999999999997</v>
      </c>
      <c r="O2381" s="134"/>
      <c r="P2381" s="135"/>
    </row>
    <row r="2382" spans="1:16" s="133" customFormat="1" ht="15" customHeight="1">
      <c r="A2382" s="1"/>
      <c r="B2382" s="1"/>
      <c r="C2382" s="134">
        <v>45784</v>
      </c>
      <c r="D2382" s="135">
        <v>265.11</v>
      </c>
      <c r="O2382" s="134"/>
      <c r="P2382" s="135"/>
    </row>
    <row r="2383" spans="1:16" s="133" customFormat="1" ht="15" customHeight="1">
      <c r="A2383" s="1"/>
      <c r="B2383" s="1"/>
      <c r="C2383" s="134">
        <v>45785</v>
      </c>
      <c r="D2383" s="135">
        <v>268.89</v>
      </c>
      <c r="O2383" s="134"/>
      <c r="P2383" s="135"/>
    </row>
    <row r="2384" spans="1:16" s="133" customFormat="1" ht="15" customHeight="1">
      <c r="A2384" s="1"/>
      <c r="B2384" s="1"/>
      <c r="C2384" s="134">
        <v>45786</v>
      </c>
      <c r="D2384" s="135">
        <v>268.76</v>
      </c>
      <c r="O2384" s="134"/>
      <c r="P2384" s="135"/>
    </row>
    <row r="2385" spans="1:16" s="133" customFormat="1" ht="15" customHeight="1">
      <c r="A2385" s="1"/>
      <c r="B2385" s="1"/>
      <c r="C2385" s="134">
        <v>45789</v>
      </c>
      <c r="D2385" s="135">
        <v>279.69</v>
      </c>
      <c r="O2385" s="134"/>
      <c r="P2385" s="135"/>
    </row>
    <row r="2386" spans="1:16" s="133" customFormat="1" ht="15" customHeight="1">
      <c r="A2386" s="1"/>
      <c r="B2386" s="1"/>
      <c r="C2386" s="134">
        <v>45790</v>
      </c>
      <c r="D2386" s="135">
        <v>283.61</v>
      </c>
      <c r="O2386" s="134"/>
      <c r="P2386" s="135"/>
    </row>
    <row r="2387" spans="1:16" s="133" customFormat="1" ht="15" customHeight="1">
      <c r="A2387" s="1"/>
      <c r="B2387" s="1"/>
      <c r="C2387" s="134">
        <v>45791</v>
      </c>
      <c r="D2387" s="135">
        <v>284.62</v>
      </c>
      <c r="O2387" s="134"/>
      <c r="P2387" s="135"/>
    </row>
    <row r="2388" spans="1:16" s="133" customFormat="1" ht="15" customHeight="1">
      <c r="A2388" s="1"/>
      <c r="B2388" s="1"/>
      <c r="C2388" s="134">
        <v>45792</v>
      </c>
      <c r="D2388" s="135">
        <v>284.11</v>
      </c>
      <c r="O2388" s="134"/>
      <c r="P2388" s="135"/>
    </row>
    <row r="2389" spans="1:16" s="133" customFormat="1" ht="15" customHeight="1">
      <c r="A2389" s="1"/>
      <c r="B2389" s="1"/>
      <c r="C2389" s="134">
        <v>45793</v>
      </c>
      <c r="D2389" s="135">
        <v>285.38</v>
      </c>
      <c r="O2389" s="134"/>
      <c r="P2389" s="135"/>
    </row>
    <row r="2390" spans="1:16" s="133" customFormat="1" ht="15" customHeight="1">
      <c r="A2390" s="1"/>
      <c r="B2390" s="1"/>
      <c r="C2390" s="134">
        <v>45796</v>
      </c>
      <c r="D2390" s="135">
        <v>287.31</v>
      </c>
      <c r="O2390" s="134"/>
      <c r="P2390" s="135"/>
    </row>
    <row r="2391" spans="1:16" s="133" customFormat="1" ht="15" customHeight="1">
      <c r="A2391" s="1"/>
      <c r="B2391" s="1"/>
      <c r="C2391" s="134">
        <v>45797</v>
      </c>
      <c r="D2391" s="135">
        <v>286.81</v>
      </c>
      <c r="O2391" s="134"/>
      <c r="P2391" s="135"/>
    </row>
    <row r="2392" spans="1:16" s="133" customFormat="1" ht="15" customHeight="1">
      <c r="A2392" s="1"/>
      <c r="B2392" s="1"/>
      <c r="C2392" s="134">
        <v>45798</v>
      </c>
      <c r="D2392" s="135">
        <v>286.64</v>
      </c>
      <c r="O2392" s="134"/>
      <c r="P2392" s="135"/>
    </row>
    <row r="2393" spans="1:16" s="133" customFormat="1" ht="15" customHeight="1">
      <c r="A2393" s="1"/>
      <c r="B2393" s="1"/>
      <c r="C2393" s="134">
        <v>45799</v>
      </c>
      <c r="D2393" s="135">
        <v>285.41000000000003</v>
      </c>
      <c r="O2393" s="134"/>
      <c r="P2393" s="135"/>
    </row>
    <row r="2394" spans="1:16" s="133" customFormat="1" ht="15" customHeight="1">
      <c r="A2394" s="1"/>
      <c r="B2394" s="1"/>
      <c r="C2394" s="134">
        <v>45800</v>
      </c>
      <c r="D2394" s="135">
        <v>282.3</v>
      </c>
      <c r="O2394" s="134"/>
      <c r="P2394" s="135"/>
    </row>
    <row r="2395" spans="1:16" s="133" customFormat="1" ht="15" customHeight="1">
      <c r="A2395" s="1"/>
      <c r="B2395" s="1"/>
      <c r="C2395" s="134">
        <v>45804</v>
      </c>
      <c r="D2395" s="135">
        <v>284.97000000000003</v>
      </c>
      <c r="O2395" s="134"/>
      <c r="P2395" s="135"/>
    </row>
    <row r="2396" spans="1:16" s="133" customFormat="1" ht="15" customHeight="1">
      <c r="A2396" s="1"/>
      <c r="B2396" s="1"/>
      <c r="C2396" s="134">
        <v>45805</v>
      </c>
      <c r="D2396" s="135">
        <v>284.91000000000003</v>
      </c>
      <c r="O2396" s="134"/>
      <c r="P2396" s="135"/>
    </row>
    <row r="2397" spans="1:16" s="133" customFormat="1" ht="15" customHeight="1">
      <c r="A2397" s="1"/>
      <c r="B2397" s="1"/>
      <c r="C2397" s="134">
        <v>45806</v>
      </c>
      <c r="D2397" s="135">
        <v>283.83999999999997</v>
      </c>
      <c r="O2397" s="134"/>
      <c r="P2397" s="135"/>
    </row>
    <row r="2398" spans="1:16" s="133" customFormat="1" ht="15" customHeight="1">
      <c r="A2398" s="1"/>
      <c r="B2398" s="1"/>
      <c r="C2398" s="134">
        <v>45807</v>
      </c>
      <c r="D2398" s="135">
        <v>283.63</v>
      </c>
      <c r="O2398" s="134"/>
      <c r="P2398" s="135"/>
    </row>
    <row r="2399" spans="1:16" s="133" customFormat="1" ht="15" customHeight="1">
      <c r="A2399" s="1"/>
      <c r="B2399" s="1"/>
      <c r="C2399" s="134">
        <v>45810</v>
      </c>
      <c r="D2399" s="135">
        <v>287.35000000000002</v>
      </c>
      <c r="O2399" s="134"/>
      <c r="P2399" s="135"/>
    </row>
    <row r="2400" spans="1:16" s="133" customFormat="1" ht="15" customHeight="1">
      <c r="A2400" s="1"/>
      <c r="B2400" s="1"/>
      <c r="C2400" s="134">
        <v>45811</v>
      </c>
      <c r="D2400" s="135">
        <v>288.64</v>
      </c>
      <c r="O2400" s="134"/>
      <c r="P2400" s="135"/>
    </row>
    <row r="2401" spans="1:16" s="133" customFormat="1" ht="15" customHeight="1">
      <c r="A2401" s="1"/>
      <c r="B2401" s="1"/>
      <c r="C2401" s="134">
        <v>45812</v>
      </c>
      <c r="D2401" s="135">
        <v>284.95</v>
      </c>
      <c r="O2401" s="134"/>
      <c r="P2401" s="135"/>
    </row>
    <row r="2402" spans="1:16" s="133" customFormat="1" ht="15" customHeight="1">
      <c r="A2402" s="1"/>
      <c r="B2402" s="1"/>
      <c r="C2402" s="134">
        <v>45813</v>
      </c>
      <c r="D2402" s="135">
        <v>283.55</v>
      </c>
      <c r="O2402" s="134"/>
      <c r="P2402" s="135"/>
    </row>
    <row r="2403" spans="1:16" s="133" customFormat="1" ht="15" customHeight="1">
      <c r="A2403" s="1"/>
      <c r="B2403" s="1"/>
      <c r="C2403" s="134">
        <v>45814</v>
      </c>
      <c r="D2403" s="135">
        <v>289.76</v>
      </c>
      <c r="O2403" s="134"/>
      <c r="P2403" s="135"/>
    </row>
    <row r="2404" spans="1:16" s="133" customFormat="1" ht="15" customHeight="1">
      <c r="A2404" s="1"/>
      <c r="B2404" s="1"/>
      <c r="C2404" s="134">
        <v>45817</v>
      </c>
      <c r="D2404" s="135">
        <v>289.47000000000003</v>
      </c>
      <c r="O2404" s="134"/>
      <c r="P2404" s="135"/>
    </row>
    <row r="2405" spans="1:16" s="133" customFormat="1" ht="15" customHeight="1">
      <c r="A2405" s="1"/>
      <c r="B2405" s="1"/>
      <c r="C2405" s="134">
        <v>45818</v>
      </c>
      <c r="D2405" s="135">
        <v>290.61</v>
      </c>
      <c r="O2405" s="134"/>
      <c r="P2405" s="135"/>
    </row>
    <row r="2406" spans="1:16" s="133" customFormat="1" ht="15" customHeight="1">
      <c r="A2406" s="1"/>
      <c r="B2406" s="1"/>
      <c r="C2406" s="134">
        <v>45819</v>
      </c>
      <c r="D2406" s="135">
        <v>288.02</v>
      </c>
      <c r="O2406" s="134"/>
      <c r="P2406" s="135"/>
    </row>
    <row r="2407" spans="1:16" s="133" customFormat="1" ht="15" customHeight="1">
      <c r="A2407" s="1"/>
      <c r="B2407" s="1"/>
      <c r="C2407" s="134">
        <v>45820</v>
      </c>
      <c r="D2407" s="135">
        <v>286.41000000000003</v>
      </c>
      <c r="O2407" s="134"/>
      <c r="P2407" s="135"/>
    </row>
    <row r="2408" spans="1:16" s="133" customFormat="1" ht="15" customHeight="1">
      <c r="A2408" s="1"/>
      <c r="B2408" s="1"/>
      <c r="C2408" s="134">
        <v>45821</v>
      </c>
      <c r="D2408" s="135">
        <v>285.76</v>
      </c>
      <c r="O2408" s="134"/>
      <c r="P2408" s="135"/>
    </row>
    <row r="2409" spans="1:16" s="133" customFormat="1" ht="15" customHeight="1">
      <c r="A2409" s="1"/>
      <c r="B2409" s="1"/>
      <c r="C2409" s="134">
        <v>45824</v>
      </c>
      <c r="D2409" s="135">
        <v>290.12</v>
      </c>
      <c r="O2409" s="134"/>
      <c r="P2409" s="135"/>
    </row>
    <row r="2410" spans="1:16" s="133" customFormat="1" ht="15" customHeight="1">
      <c r="A2410" s="1"/>
      <c r="B2410" s="1"/>
      <c r="C2410" s="134">
        <v>45825</v>
      </c>
      <c r="D2410" s="135">
        <v>285.13</v>
      </c>
      <c r="O2410" s="134"/>
      <c r="P2410" s="135"/>
    </row>
    <row r="2411" spans="1:16" s="133" customFormat="1" ht="15" customHeight="1">
      <c r="A2411" s="1"/>
      <c r="B2411" s="1"/>
      <c r="C2411" s="134">
        <v>45826</v>
      </c>
      <c r="D2411" s="135">
        <v>285.04000000000002</v>
      </c>
      <c r="O2411" s="134"/>
      <c r="P2411" s="135"/>
    </row>
    <row r="2412" spans="1:16" s="133" customFormat="1" ht="15" customHeight="1">
      <c r="A2412" s="1"/>
      <c r="B2412" s="1"/>
      <c r="C2412" s="134">
        <v>45828</v>
      </c>
      <c r="D2412" s="135">
        <v>283.95</v>
      </c>
      <c r="O2412" s="134"/>
      <c r="P2412" s="135"/>
    </row>
    <row r="2413" spans="1:16" s="133" customFormat="1" ht="15" customHeight="1">
      <c r="A2413" s="1"/>
      <c r="B2413" s="1"/>
      <c r="C2413" s="134">
        <v>45831</v>
      </c>
      <c r="D2413" s="135">
        <v>285.43</v>
      </c>
      <c r="O2413" s="134"/>
      <c r="P2413" s="135"/>
    </row>
    <row r="2414" spans="1:16" s="133" customFormat="1" ht="15" customHeight="1">
      <c r="A2414" s="1"/>
      <c r="B2414" s="1"/>
      <c r="C2414" s="134">
        <v>45832</v>
      </c>
      <c r="D2414" s="135">
        <v>287.77999999999997</v>
      </c>
      <c r="O2414" s="134"/>
      <c r="P2414" s="135"/>
    </row>
    <row r="2415" spans="1:16" s="133" customFormat="1" ht="15" customHeight="1">
      <c r="A2415" s="1"/>
      <c r="B2415" s="1"/>
      <c r="C2415" s="134">
        <v>45833</v>
      </c>
      <c r="D2415" s="135">
        <v>288.24</v>
      </c>
      <c r="O2415" s="134"/>
      <c r="P2415" s="135"/>
    </row>
    <row r="2416" spans="1:16" s="133" customFormat="1" ht="15" customHeight="1">
      <c r="A2416" s="1"/>
      <c r="B2416" s="1"/>
      <c r="C2416" s="134">
        <v>45834</v>
      </c>
      <c r="D2416" s="135">
        <v>289.58999999999997</v>
      </c>
      <c r="O2416" s="134"/>
      <c r="P2416" s="135"/>
    </row>
    <row r="2417" spans="1:16" s="133" customFormat="1" ht="15" customHeight="1">
      <c r="A2417" s="1"/>
      <c r="B2417" s="1"/>
      <c r="C2417" s="134">
        <v>45835</v>
      </c>
      <c r="D2417" s="135">
        <v>292.14</v>
      </c>
      <c r="O2417" s="134"/>
      <c r="P2417" s="135"/>
    </row>
    <row r="2418" spans="1:16" s="133" customFormat="1" ht="15" customHeight="1">
      <c r="A2418" s="1"/>
      <c r="B2418" s="1"/>
      <c r="C2418" s="134">
        <v>45838</v>
      </c>
      <c r="D2418" s="135">
        <v>291.10000000000002</v>
      </c>
      <c r="O2418" s="134"/>
      <c r="P2418" s="135"/>
    </row>
    <row r="2419" spans="1:16" s="133" customFormat="1" ht="15" customHeight="1">
      <c r="A2419" s="1"/>
      <c r="B2419" s="1"/>
      <c r="C2419" s="134">
        <v>45839</v>
      </c>
      <c r="D2419" s="135">
        <v>291.14</v>
      </c>
      <c r="O2419" s="134"/>
      <c r="P2419" s="135"/>
    </row>
    <row r="2420" spans="1:16" s="133" customFormat="1" ht="15" customHeight="1">
      <c r="A2420" s="1"/>
      <c r="B2420" s="1"/>
      <c r="C2420" s="134">
        <v>45840</v>
      </c>
      <c r="D2420" s="135">
        <v>294.13</v>
      </c>
      <c r="O2420" s="134"/>
      <c r="P2420" s="135"/>
    </row>
    <row r="2421" spans="1:16" s="133" customFormat="1" ht="15" customHeight="1">
      <c r="A2421" s="1"/>
      <c r="B2421" s="1"/>
      <c r="C2421" s="134">
        <v>45841</v>
      </c>
      <c r="D2421" s="135">
        <v>297.60000000000002</v>
      </c>
      <c r="O2421" s="134"/>
      <c r="P2421" s="135"/>
    </row>
    <row r="2422" spans="1:16" s="133" customFormat="1" ht="15" customHeight="1">
      <c r="A2422" s="1"/>
      <c r="B2422" s="1"/>
      <c r="C2422" s="134">
        <v>45845</v>
      </c>
      <c r="D2422" s="135">
        <v>298.14999999999998</v>
      </c>
      <c r="O2422" s="134"/>
      <c r="P2422" s="135"/>
    </row>
    <row r="2423" spans="1:16" s="133" customFormat="1" ht="15" customHeight="1">
      <c r="A2423" s="1"/>
      <c r="B2423" s="1"/>
      <c r="C2423" s="134">
        <v>45846</v>
      </c>
      <c r="D2423" s="135">
        <v>298.49</v>
      </c>
      <c r="O2423" s="134"/>
      <c r="P2423" s="135"/>
    </row>
    <row r="2424" spans="1:16" s="133" customFormat="1" ht="15" customHeight="1">
      <c r="A2424" s="1"/>
      <c r="B2424" s="1"/>
      <c r="C2424" s="134">
        <v>45847</v>
      </c>
      <c r="D2424" s="135">
        <v>297.48</v>
      </c>
      <c r="O2424" s="134"/>
      <c r="P2424" s="135"/>
    </row>
    <row r="2425" spans="1:16" s="133" customFormat="1" ht="15" customHeight="1">
      <c r="A2425" s="1"/>
      <c r="B2425" s="1"/>
      <c r="C2425" s="134">
        <v>45848</v>
      </c>
      <c r="D2425" s="135">
        <v>297.83</v>
      </c>
      <c r="O2425" s="134"/>
      <c r="P2425" s="135"/>
    </row>
    <row r="2426" spans="1:16" s="133" customFormat="1" ht="15" customHeight="1">
      <c r="A2426" s="1"/>
      <c r="B2426" s="1"/>
      <c r="C2426" s="134">
        <v>45849</v>
      </c>
      <c r="D2426" s="135">
        <v>300.23</v>
      </c>
      <c r="O2426" s="134"/>
      <c r="P2426" s="135"/>
    </row>
    <row r="2427" spans="1:16" s="133" customFormat="1" ht="15" customHeight="1">
      <c r="A2427" s="1"/>
      <c r="B2427" s="1"/>
      <c r="C2427" s="134">
        <v>45852</v>
      </c>
      <c r="D2427" s="135">
        <v>301.27</v>
      </c>
      <c r="O2427" s="134"/>
      <c r="P2427" s="135"/>
    </row>
    <row r="2428" spans="1:16" s="133" customFormat="1" ht="15" customHeight="1">
      <c r="A2428" s="1"/>
      <c r="B2428" s="1"/>
      <c r="C2428" s="134">
        <v>45853</v>
      </c>
      <c r="D2428" s="135">
        <v>302.11</v>
      </c>
      <c r="O2428" s="134"/>
      <c r="P2428" s="135"/>
    </row>
    <row r="2429" spans="1:16" s="133" customFormat="1" ht="15" customHeight="1">
      <c r="A2429" s="1"/>
      <c r="B2429" s="1"/>
      <c r="C2429" s="134">
        <v>45854</v>
      </c>
      <c r="D2429" s="135">
        <v>302.56</v>
      </c>
      <c r="O2429" s="134"/>
      <c r="P2429" s="135"/>
    </row>
    <row r="2430" spans="1:16" s="133" customFormat="1" ht="15" customHeight="1">
      <c r="A2430" s="1"/>
      <c r="B2430" s="1"/>
      <c r="C2430" s="134">
        <v>45855</v>
      </c>
      <c r="D2430" s="135">
        <v>304.47000000000003</v>
      </c>
      <c r="O2430" s="134"/>
      <c r="P2430" s="135"/>
    </row>
    <row r="2431" spans="1:16" s="133" customFormat="1" ht="15" customHeight="1">
      <c r="A2431" s="1"/>
      <c r="B2431" s="1"/>
      <c r="C2431" s="134">
        <v>45856</v>
      </c>
      <c r="D2431" s="135">
        <v>303.38</v>
      </c>
      <c r="O2431" s="134"/>
      <c r="P2431" s="135"/>
    </row>
    <row r="2432" spans="1:16" s="133" customFormat="1" ht="15" customHeight="1">
      <c r="A2432" s="1"/>
      <c r="B2432" s="1"/>
      <c r="C2432" s="134">
        <v>45859</v>
      </c>
      <c r="D2432" s="135">
        <v>301.27</v>
      </c>
      <c r="O2432" s="134"/>
      <c r="P2432" s="135"/>
    </row>
    <row r="2433" spans="1:16" s="133" customFormat="1" ht="15" customHeight="1">
      <c r="A2433" s="1"/>
      <c r="B2433" s="1"/>
      <c r="C2433" s="134">
        <v>45860</v>
      </c>
      <c r="D2433" s="135">
        <v>299.99</v>
      </c>
      <c r="O2433" s="134"/>
      <c r="P2433" s="135"/>
    </row>
    <row r="2434" spans="1:16" s="133" customFormat="1" ht="15" customHeight="1">
      <c r="A2434" s="1"/>
      <c r="B2434" s="1"/>
      <c r="C2434" s="134">
        <v>45861</v>
      </c>
      <c r="D2434" s="135">
        <v>304.01</v>
      </c>
      <c r="O2434" s="134"/>
      <c r="P2434" s="135"/>
    </row>
    <row r="2435" spans="1:16" s="133" customFormat="1" ht="15" customHeight="1">
      <c r="A2435" s="1"/>
      <c r="B2435" s="1"/>
      <c r="C2435" s="134">
        <v>45862</v>
      </c>
      <c r="D2435" s="135">
        <v>304.47000000000003</v>
      </c>
      <c r="O2435" s="134"/>
      <c r="P2435" s="135"/>
    </row>
    <row r="2436" spans="1:16" s="133" customFormat="1" ht="15" customHeight="1">
      <c r="A2436" s="1"/>
      <c r="B2436" s="1"/>
      <c r="C2436" s="134">
        <v>45863</v>
      </c>
      <c r="D2436" s="135">
        <v>304.77999999999997</v>
      </c>
      <c r="O2436" s="134"/>
      <c r="P2436" s="135"/>
    </row>
    <row r="2437" spans="1:16" s="133" customFormat="1" ht="15" customHeight="1">
      <c r="A2437" s="1"/>
      <c r="B2437" s="1"/>
      <c r="C2437" s="134">
        <v>45866</v>
      </c>
      <c r="D2437" s="135">
        <v>305.95999999999998</v>
      </c>
      <c r="O2437" s="134"/>
      <c r="P2437" s="135"/>
    </row>
    <row r="2438" spans="1:16" s="133" customFormat="1" ht="15" customHeight="1">
      <c r="A2438" s="1"/>
      <c r="B2438" s="1"/>
      <c r="C2438" s="134">
        <v>45867</v>
      </c>
      <c r="D2438" s="135">
        <v>301.48</v>
      </c>
      <c r="O2438" s="134"/>
      <c r="P2438" s="135"/>
    </row>
    <row r="2439" spans="1:16" s="133" customFormat="1" ht="15" customHeight="1">
      <c r="A2439" s="1"/>
      <c r="B2439" s="1"/>
      <c r="C2439" s="134">
        <v>45868</v>
      </c>
      <c r="D2439" s="135">
        <v>302.77999999999997</v>
      </c>
      <c r="O2439" s="134"/>
      <c r="P2439" s="135"/>
    </row>
    <row r="2440" spans="1:16" s="133" customFormat="1" ht="15" customHeight="1">
      <c r="A2440" s="1"/>
      <c r="B2440" s="1"/>
      <c r="C2440" s="134">
        <v>45869</v>
      </c>
      <c r="D2440" s="135">
        <v>300.94</v>
      </c>
      <c r="O2440" s="134"/>
      <c r="P2440" s="135"/>
    </row>
    <row r="2441" spans="1:16" s="133" customFormat="1" ht="15" customHeight="1">
      <c r="A2441" s="1"/>
      <c r="B2441" s="1"/>
      <c r="C2441" s="134">
        <v>45870</v>
      </c>
      <c r="D2441" s="135">
        <v>291.83999999999997</v>
      </c>
      <c r="O2441" s="134"/>
      <c r="P2441" s="135"/>
    </row>
    <row r="2442" spans="1:16" s="133" customFormat="1" ht="15" customHeight="1">
      <c r="A2442" s="1"/>
      <c r="B2442" s="1"/>
      <c r="C2442" s="134">
        <v>45873</v>
      </c>
      <c r="D2442" s="135">
        <v>295.66000000000003</v>
      </c>
      <c r="O2442" s="134"/>
      <c r="P2442" s="135"/>
    </row>
    <row r="2443" spans="1:16" s="133" customFormat="1" ht="15" customHeight="1">
      <c r="A2443" s="1"/>
      <c r="B2443" s="1"/>
      <c r="C2443" s="134">
        <v>45874</v>
      </c>
      <c r="D2443" s="135">
        <v>293.7</v>
      </c>
      <c r="O2443" s="134"/>
      <c r="P2443" s="135"/>
    </row>
    <row r="2444" spans="1:16" s="133" customFormat="1" ht="15" customHeight="1">
      <c r="A2444" s="1"/>
      <c r="B2444" s="1"/>
      <c r="C2444" s="134">
        <v>45875</v>
      </c>
      <c r="D2444" s="135">
        <v>297.29000000000002</v>
      </c>
      <c r="O2444" s="134"/>
      <c r="P2444" s="135"/>
    </row>
    <row r="2445" spans="1:16" s="133" customFormat="1" ht="15" customHeight="1">
      <c r="A2445" s="1"/>
      <c r="B2445" s="1"/>
      <c r="C2445" s="134">
        <v>45876</v>
      </c>
      <c r="D2445" s="135">
        <v>297.19</v>
      </c>
      <c r="O2445" s="134"/>
      <c r="P2445" s="135"/>
    </row>
    <row r="2446" spans="1:16" s="133" customFormat="1" ht="15" customHeight="1">
      <c r="A2446" s="1"/>
      <c r="B2446" s="1"/>
      <c r="C2446" s="134">
        <v>45877</v>
      </c>
      <c r="D2446" s="135">
        <v>300.79000000000002</v>
      </c>
      <c r="O2446" s="134"/>
      <c r="P2446" s="135"/>
    </row>
    <row r="2447" spans="1:16" s="133" customFormat="1" ht="15" customHeight="1">
      <c r="A2447" s="1"/>
      <c r="B2447" s="1"/>
      <c r="C2447" s="134">
        <v>45880</v>
      </c>
      <c r="D2447" s="135">
        <v>299.83999999999997</v>
      </c>
      <c r="O2447" s="134"/>
      <c r="P2447" s="135"/>
    </row>
    <row r="2448" spans="1:16" s="133" customFormat="1" ht="15" customHeight="1">
      <c r="A2448" s="1"/>
      <c r="B2448" s="1"/>
      <c r="C2448" s="134">
        <v>45881</v>
      </c>
      <c r="D2448" s="135">
        <v>304.39999999999998</v>
      </c>
      <c r="O2448" s="134"/>
      <c r="P2448" s="135"/>
    </row>
    <row r="2449" spans="1:16" s="133" customFormat="1" ht="15" customHeight="1">
      <c r="A2449" s="1"/>
      <c r="B2449" s="1"/>
      <c r="C2449" s="134">
        <v>45882</v>
      </c>
      <c r="D2449" s="135">
        <v>303.14</v>
      </c>
      <c r="O2449" s="134"/>
      <c r="P2449" s="135"/>
    </row>
    <row r="2450" spans="1:16" s="133" customFormat="1" ht="15" customHeight="1">
      <c r="A2450" s="1"/>
      <c r="B2450" s="1"/>
      <c r="C2450" s="134">
        <v>45883</v>
      </c>
      <c r="D2450" s="135">
        <v>305.47000000000003</v>
      </c>
      <c r="O2450" s="134"/>
      <c r="P2450" s="135"/>
    </row>
    <row r="2451" spans="1:16" s="133" customFormat="1" ht="15" customHeight="1">
      <c r="A2451" s="1"/>
      <c r="B2451" s="1"/>
      <c r="C2451" s="134">
        <v>45884</v>
      </c>
      <c r="D2451" s="135">
        <v>306.36</v>
      </c>
      <c r="O2451" s="134"/>
      <c r="P2451" s="135"/>
    </row>
    <row r="2452" spans="1:16" s="133" customFormat="1" ht="15" customHeight="1">
      <c r="A2452" s="1"/>
      <c r="B2452" s="1"/>
      <c r="C2452" s="134">
        <v>45887</v>
      </c>
      <c r="D2452" s="135">
        <v>306.95</v>
      </c>
      <c r="O2452" s="134"/>
      <c r="P2452" s="135"/>
    </row>
    <row r="2453" spans="1:16" s="133" customFormat="1" ht="15" customHeight="1">
      <c r="A2453" s="1"/>
      <c r="B2453" s="1"/>
      <c r="C2453" s="134">
        <v>45888</v>
      </c>
      <c r="D2453" s="135">
        <v>303.73</v>
      </c>
      <c r="O2453" s="134"/>
      <c r="P2453" s="135"/>
    </row>
    <row r="2454" spans="1:16" s="133" customFormat="1" ht="15" customHeight="1">
      <c r="A2454" s="1"/>
      <c r="B2454" s="1"/>
      <c r="C2454" s="134">
        <v>45889</v>
      </c>
      <c r="D2454" s="135">
        <v>302.69</v>
      </c>
      <c r="O2454" s="134"/>
      <c r="P2454" s="135"/>
    </row>
    <row r="2455" spans="1:16" s="133" customFormat="1" ht="15" customHeight="1">
      <c r="A2455" s="1"/>
      <c r="B2455" s="1"/>
      <c r="C2455" s="134">
        <v>45890</v>
      </c>
      <c r="D2455" s="135">
        <v>302.45</v>
      </c>
      <c r="O2455" s="134"/>
      <c r="P2455" s="135"/>
    </row>
    <row r="2456" spans="1:16" s="133" customFormat="1" ht="15" customHeight="1">
      <c r="A2456" s="1"/>
      <c r="B2456" s="1"/>
      <c r="C2456" s="134">
        <v>45891</v>
      </c>
      <c r="D2456" s="135">
        <v>304.91000000000003</v>
      </c>
      <c r="O2456" s="134"/>
      <c r="P2456" s="135"/>
    </row>
    <row r="2457" spans="1:16" s="133" customFormat="1" ht="15" customHeight="1">
      <c r="A2457" s="1"/>
      <c r="B2457" s="1"/>
      <c r="C2457" s="134">
        <v>45894</v>
      </c>
      <c r="D2457" s="135">
        <v>304.04000000000002</v>
      </c>
      <c r="O2457" s="134"/>
      <c r="P2457" s="135"/>
    </row>
    <row r="2458" spans="1:16" s="133" customFormat="1" ht="15" customHeight="1">
      <c r="A2458" s="1"/>
      <c r="B2458" s="1"/>
      <c r="C2458" s="134">
        <v>45895</v>
      </c>
      <c r="D2458" s="135">
        <v>305.68</v>
      </c>
      <c r="O2458" s="134"/>
      <c r="P2458" s="135"/>
    </row>
    <row r="2459" spans="1:16" s="133" customFormat="1" ht="15" customHeight="1">
      <c r="A2459" s="1"/>
      <c r="B2459" s="1"/>
      <c r="C2459" s="134">
        <v>45896</v>
      </c>
      <c r="D2459" s="135">
        <v>306.27</v>
      </c>
      <c r="O2459" s="134"/>
      <c r="P2459" s="135"/>
    </row>
    <row r="2460" spans="1:16" s="133" customFormat="1" ht="15" customHeight="1">
      <c r="A2460" s="1"/>
      <c r="B2460" s="1"/>
      <c r="C2460" s="134">
        <v>45897</v>
      </c>
      <c r="D2460" s="135">
        <v>305.81</v>
      </c>
      <c r="O2460" s="134"/>
      <c r="P2460" s="135"/>
    </row>
    <row r="2461" spans="1:16" s="133" customFormat="1" ht="15" customHeight="1">
      <c r="A2461" s="1"/>
      <c r="B2461" s="1"/>
      <c r="C2461" s="134">
        <v>45898</v>
      </c>
      <c r="D2461" s="135">
        <v>305.24</v>
      </c>
      <c r="O2461" s="134"/>
      <c r="P2461" s="135"/>
    </row>
    <row r="2462" spans="1:16" s="133" customFormat="1" ht="15" customHeight="1">
      <c r="A2462" s="1"/>
      <c r="B2462" s="1"/>
      <c r="C2462" s="134">
        <v>45902</v>
      </c>
      <c r="D2462" s="135">
        <v>305.33</v>
      </c>
      <c r="O2462" s="134"/>
      <c r="P2462" s="135"/>
    </row>
    <row r="2463" spans="1:16" s="133" customFormat="1" ht="15" customHeight="1">
      <c r="A2463" s="1"/>
      <c r="B2463" s="1"/>
      <c r="C2463" s="134">
        <v>45903</v>
      </c>
      <c r="D2463" s="135">
        <v>303.83999999999997</v>
      </c>
      <c r="O2463" s="134"/>
      <c r="P2463" s="135"/>
    </row>
    <row r="2464" spans="1:16" s="133" customFormat="1" ht="15" customHeight="1">
      <c r="A2464" s="1"/>
      <c r="B2464" s="1"/>
      <c r="C2464" s="134">
        <v>45904</v>
      </c>
      <c r="D2464" s="135">
        <v>305.56</v>
      </c>
      <c r="O2464" s="134"/>
      <c r="P2464" s="135"/>
    </row>
    <row r="2465" spans="1:16" s="133" customFormat="1" ht="15" customHeight="1">
      <c r="A2465" s="1"/>
      <c r="B2465" s="1"/>
      <c r="C2465" s="134">
        <v>45905</v>
      </c>
      <c r="D2465" s="135">
        <v>300.45999999999998</v>
      </c>
      <c r="O2465" s="134"/>
      <c r="P2465" s="135"/>
    </row>
    <row r="2466" spans="1:16" s="133" customFormat="1" ht="15" customHeight="1">
      <c r="A2466" s="1"/>
      <c r="B2466" s="1"/>
      <c r="C2466" s="134">
        <v>45908</v>
      </c>
      <c r="D2466" s="135">
        <v>298.73</v>
      </c>
      <c r="O2466" s="134"/>
      <c r="P2466" s="135"/>
    </row>
    <row r="2467" spans="1:16" s="133" customFormat="1" ht="15" customHeight="1">
      <c r="A2467" s="1"/>
      <c r="B2467" s="1"/>
      <c r="C2467" s="134">
        <v>45909</v>
      </c>
      <c r="D2467" s="135">
        <v>300.27999999999997</v>
      </c>
      <c r="O2467" s="134"/>
      <c r="P2467" s="135"/>
    </row>
    <row r="2468" spans="1:16" s="133" customFormat="1" ht="15" customHeight="1">
      <c r="A2468" s="1"/>
      <c r="B2468" s="1"/>
      <c r="C2468" s="134">
        <v>45910</v>
      </c>
      <c r="D2468" s="135">
        <v>299.7</v>
      </c>
      <c r="O2468" s="134"/>
      <c r="P2468" s="135"/>
    </row>
    <row r="2469" spans="1:16" s="133" customFormat="1" ht="15" customHeight="1">
      <c r="A2469" s="1"/>
      <c r="B2469" s="1"/>
      <c r="C2469" s="134">
        <v>45911</v>
      </c>
      <c r="D2469" s="135">
        <v>301.44</v>
      </c>
      <c r="O2469" s="134"/>
      <c r="P2469" s="135"/>
    </row>
    <row r="2470" spans="1:16" s="133" customFormat="1" ht="15" customHeight="1">
      <c r="A2470" s="1"/>
      <c r="B2470" s="1"/>
      <c r="C2470" s="134">
        <v>45912</v>
      </c>
      <c r="D2470" s="135">
        <v>302.70999999999998</v>
      </c>
      <c r="O2470" s="134"/>
      <c r="P2470" s="135"/>
    </row>
    <row r="2471" spans="1:16" s="133" customFormat="1" ht="15" customHeight="1">
      <c r="A2471" s="1"/>
      <c r="B2471" s="1"/>
      <c r="C2471" s="134">
        <v>45915</v>
      </c>
      <c r="D2471" s="135">
        <v>303.24</v>
      </c>
      <c r="O2471" s="134"/>
      <c r="P2471" s="135"/>
    </row>
    <row r="2472" spans="1:16" s="133" customFormat="1" ht="15" customHeight="1">
      <c r="A2472" s="1"/>
      <c r="B2472" s="1"/>
      <c r="C2472" s="134">
        <v>45916</v>
      </c>
      <c r="D2472" s="135">
        <v>302.42</v>
      </c>
      <c r="O2472" s="134"/>
      <c r="P2472" s="135"/>
    </row>
    <row r="2473" spans="1:16" s="133" customFormat="1" ht="15" customHeight="1">
      <c r="A2473" s="1"/>
      <c r="B2473" s="1"/>
      <c r="C2473" s="134">
        <v>45917</v>
      </c>
      <c r="D2473" s="135">
        <v>303.33999999999997</v>
      </c>
      <c r="O2473" s="134"/>
      <c r="P2473" s="135"/>
    </row>
    <row r="2474" spans="1:16" s="133" customFormat="1" ht="15" customHeight="1">
      <c r="A2474" s="1"/>
      <c r="B2474" s="1"/>
      <c r="C2474" s="134">
        <v>45918</v>
      </c>
      <c r="D2474" s="135">
        <v>306.57</v>
      </c>
      <c r="O2474" s="134"/>
      <c r="P2474" s="135"/>
    </row>
    <row r="2475" spans="1:16" s="133" customFormat="1" ht="15" customHeight="1">
      <c r="A2475" s="1"/>
      <c r="B2475" s="1"/>
      <c r="C2475" s="134">
        <v>45919</v>
      </c>
      <c r="D2475" s="135">
        <v>309.24</v>
      </c>
      <c r="O2475" s="134"/>
      <c r="P2475" s="135"/>
    </row>
    <row r="2476" spans="1:16" s="133" customFormat="1" ht="15" customHeight="1">
      <c r="A2476" s="1"/>
      <c r="B2476" s="1"/>
      <c r="C2476" s="134">
        <v>45922</v>
      </c>
      <c r="D2476" s="135">
        <v>310.97000000000003</v>
      </c>
      <c r="O2476" s="134"/>
      <c r="P2476" s="135"/>
    </row>
    <row r="2477" spans="1:16" s="133" customFormat="1" ht="15" customHeight="1">
      <c r="A2477" s="1"/>
      <c r="B2477" s="1"/>
      <c r="C2477" s="134">
        <v>45923</v>
      </c>
      <c r="D2477" s="135">
        <v>308.36</v>
      </c>
      <c r="O2477" s="134"/>
      <c r="P2477" s="135"/>
    </row>
    <row r="2478" spans="1:16" s="133" customFormat="1" ht="15" customHeight="1">
      <c r="A2478" s="1"/>
      <c r="B2478" s="1"/>
      <c r="C2478" s="134">
        <v>45924</v>
      </c>
      <c r="D2478" s="135">
        <v>308.08999999999997</v>
      </c>
      <c r="O2478" s="134"/>
      <c r="P2478" s="135"/>
    </row>
    <row r="2479" spans="1:16" s="133" customFormat="1" ht="15" customHeight="1">
      <c r="A2479" s="1"/>
      <c r="B2479" s="1"/>
      <c r="C2479" s="134">
        <v>45925</v>
      </c>
      <c r="D2479" s="135">
        <v>306.88</v>
      </c>
      <c r="O2479" s="134"/>
      <c r="P2479" s="135"/>
    </row>
    <row r="2480" spans="1:16" s="133" customFormat="1" ht="15" customHeight="1">
      <c r="A2480" s="1"/>
      <c r="B2480" s="1"/>
      <c r="C2480" s="134">
        <v>45926</v>
      </c>
      <c r="D2480" s="135">
        <v>309.10000000000002</v>
      </c>
      <c r="O2480" s="134"/>
      <c r="P2480" s="135"/>
    </row>
    <row r="2481" spans="1:16" s="133" customFormat="1" ht="15" customHeight="1">
      <c r="A2481" s="1"/>
      <c r="B2481" s="1"/>
      <c r="C2481" s="134">
        <v>45929</v>
      </c>
      <c r="D2481" s="135">
        <v>307.82</v>
      </c>
      <c r="O2481" s="134"/>
      <c r="P2481" s="135"/>
    </row>
    <row r="2482" spans="1:16" s="133" customFormat="1" ht="15" customHeight="1">
      <c r="A2482" s="1"/>
      <c r="B2482" s="1"/>
      <c r="C2482" s="134">
        <v>45930</v>
      </c>
      <c r="D2482" s="135">
        <v>309.67</v>
      </c>
      <c r="O2482" s="134"/>
      <c r="P2482" s="135"/>
    </row>
    <row r="2483" spans="1:16" s="133" customFormat="1" ht="15" customHeight="1">
      <c r="A2483" s="1"/>
      <c r="B2483" s="1"/>
      <c r="C2483" s="134">
        <v>45931</v>
      </c>
      <c r="D2483" s="135">
        <v>309.75</v>
      </c>
      <c r="O2483" s="134"/>
      <c r="P2483" s="135"/>
    </row>
    <row r="2484" spans="1:16" s="133" customFormat="1" ht="15" customHeight="1">
      <c r="A2484" s="1"/>
      <c r="B2484" s="1"/>
      <c r="C2484" s="134">
        <v>45932</v>
      </c>
      <c r="D2484" s="135">
        <v>309.2</v>
      </c>
      <c r="O2484" s="134"/>
      <c r="P2484" s="135"/>
    </row>
    <row r="2485" spans="1:16" s="133" customFormat="1" ht="15" customHeight="1">
      <c r="A2485" s="1"/>
      <c r="B2485" s="1"/>
      <c r="C2485" s="134">
        <v>45933</v>
      </c>
      <c r="D2485" s="135">
        <v>310.01</v>
      </c>
      <c r="O2485" s="134"/>
      <c r="P2485" s="135"/>
    </row>
    <row r="2486" spans="1:16" s="133" customFormat="1" ht="15" customHeight="1">
      <c r="A2486" s="1"/>
      <c r="B2486" s="1"/>
      <c r="C2486" s="134">
        <v>45936</v>
      </c>
      <c r="D2486" s="135">
        <v>313.07</v>
      </c>
      <c r="O2486" s="134"/>
      <c r="P2486" s="135"/>
    </row>
    <row r="2487" spans="1:16" s="133" customFormat="1" ht="15" customHeight="1">
      <c r="A2487" s="1"/>
      <c r="B2487" s="1"/>
      <c r="C2487" s="134">
        <v>45937</v>
      </c>
      <c r="D2487" s="135">
        <v>310.42</v>
      </c>
      <c r="O2487" s="134"/>
      <c r="P2487" s="135"/>
    </row>
    <row r="2488" spans="1:16" s="133" customFormat="1" ht="15" customHeight="1">
      <c r="A2488" s="1"/>
      <c r="B2488" s="1"/>
      <c r="C2488" s="134">
        <v>45938</v>
      </c>
      <c r="D2488" s="135">
        <v>312.19</v>
      </c>
      <c r="O2488" s="134"/>
      <c r="P2488" s="135"/>
    </row>
    <row r="2489" spans="1:16" s="133" customFormat="1" ht="15" customHeight="1">
      <c r="A2489" s="1"/>
      <c r="B2489" s="1"/>
      <c r="C2489" s="134">
        <v>45939</v>
      </c>
      <c r="D2489" s="135">
        <v>311.72000000000003</v>
      </c>
      <c r="O2489" s="134"/>
      <c r="P2489" s="135"/>
    </row>
    <row r="2490" spans="1:16" s="133" customFormat="1" ht="15" customHeight="1">
      <c r="A2490" s="1"/>
      <c r="B2490" s="1"/>
      <c r="C2490" s="134">
        <v>45940</v>
      </c>
      <c r="D2490" s="135">
        <v>299.45</v>
      </c>
      <c r="O2490" s="134"/>
      <c r="P2490" s="135"/>
    </row>
    <row r="2491" spans="1:16" s="133" customFormat="1" ht="15" customHeight="1">
      <c r="A2491" s="1"/>
      <c r="B2491" s="1"/>
      <c r="C2491" s="134">
        <v>45943</v>
      </c>
      <c r="D2491" s="135">
        <v>304.38</v>
      </c>
      <c r="O2491" s="134"/>
      <c r="P2491" s="135"/>
    </row>
    <row r="2492" spans="1:16" s="133" customFormat="1" ht="15" customHeight="1">
      <c r="A2492" s="1"/>
      <c r="B2492" s="1"/>
      <c r="C2492" s="134">
        <v>45944</v>
      </c>
      <c r="D2492" s="135">
        <v>303.14999999999998</v>
      </c>
      <c r="O2492" s="134"/>
      <c r="P2492" s="135"/>
    </row>
    <row r="2493" spans="1:16" s="133" customFormat="1" ht="15" customHeight="1">
      <c r="A2493" s="1"/>
      <c r="B2493" s="1"/>
      <c r="C2493" s="134">
        <v>45945</v>
      </c>
      <c r="D2493" s="135">
        <v>305.27</v>
      </c>
      <c r="O2493" s="134"/>
      <c r="P2493" s="135"/>
    </row>
    <row r="2494" spans="1:16" s="133" customFormat="1" ht="15" customHeight="1">
      <c r="A2494" s="1"/>
      <c r="B2494" s="1"/>
      <c r="C2494" s="134">
        <v>45946</v>
      </c>
      <c r="D2494" s="135">
        <v>300.94</v>
      </c>
      <c r="O2494" s="134"/>
      <c r="P2494" s="135"/>
    </row>
    <row r="2495" spans="1:16" s="133" customFormat="1" ht="15" customHeight="1">
      <c r="A2495" s="1"/>
      <c r="B2495" s="1"/>
      <c r="C2495" s="134">
        <v>45947</v>
      </c>
      <c r="D2495" s="135">
        <v>303.45</v>
      </c>
      <c r="O2495" s="134"/>
      <c r="P2495" s="135"/>
    </row>
    <row r="2496" spans="1:16" s="133" customFormat="1" ht="15" customHeight="1">
      <c r="A2496" s="1"/>
      <c r="B2496" s="1"/>
      <c r="C2496" s="134">
        <v>45950</v>
      </c>
      <c r="D2496" s="135">
        <v>305.97000000000003</v>
      </c>
      <c r="O2496" s="134"/>
      <c r="P2496" s="135"/>
    </row>
    <row r="2497" spans="1:16" s="133" customFormat="1" ht="15" customHeight="1">
      <c r="A2497" s="1"/>
      <c r="B2497" s="1"/>
      <c r="C2497" s="134">
        <v>45951</v>
      </c>
      <c r="D2497" s="135">
        <v>304.93</v>
      </c>
      <c r="O2497" s="134"/>
      <c r="P2497" s="135"/>
    </row>
    <row r="2498" spans="1:16" s="133" customFormat="1" ht="15" customHeight="1">
      <c r="A2498" s="1"/>
      <c r="B2498" s="1"/>
      <c r="C2498" s="134">
        <v>45952</v>
      </c>
      <c r="D2498" s="135">
        <v>303.08999999999997</v>
      </c>
      <c r="O2498" s="134"/>
      <c r="P2498" s="135"/>
    </row>
    <row r="2499" spans="1:16" s="133" customFormat="1" ht="15" customHeight="1">
      <c r="A2499" s="1"/>
      <c r="B2499" s="1"/>
      <c r="C2499" s="134">
        <v>45953</v>
      </c>
      <c r="D2499" s="135">
        <v>305.95</v>
      </c>
      <c r="O2499" s="134"/>
      <c r="P2499" s="135"/>
    </row>
    <row r="2500" spans="1:16" s="133" customFormat="1" ht="15" customHeight="1">
      <c r="A2500" s="1"/>
      <c r="B2500" s="1"/>
      <c r="C2500" s="134">
        <v>45954</v>
      </c>
      <c r="D2500" s="135">
        <v>308.97000000000003</v>
      </c>
      <c r="O2500" s="134"/>
      <c r="P2500" s="135"/>
    </row>
    <row r="2501" spans="1:16" s="133" customFormat="1" ht="15" customHeight="1">
      <c r="A2501" s="1"/>
      <c r="B2501" s="1"/>
      <c r="C2501" s="134">
        <v>45957</v>
      </c>
      <c r="D2501" s="135">
        <v>312.26</v>
      </c>
      <c r="O2501" s="134"/>
      <c r="P2501" s="135"/>
    </row>
    <row r="2502" spans="1:16" s="133" customFormat="1" ht="15" customHeight="1">
      <c r="A2502" s="1"/>
      <c r="B2502" s="1"/>
      <c r="C2502" s="134">
        <v>45958</v>
      </c>
      <c r="D2502" s="135">
        <v>312.33999999999997</v>
      </c>
      <c r="O2502" s="134"/>
      <c r="P2502" s="135"/>
    </row>
    <row r="2503" spans="1:16" s="133" customFormat="1" ht="15" customHeight="1">
      <c r="A2503" s="1"/>
      <c r="B2503" s="1"/>
      <c r="C2503" s="134">
        <v>45959</v>
      </c>
      <c r="D2503" s="135">
        <v>314.45</v>
      </c>
      <c r="O2503" s="134"/>
      <c r="P2503" s="135"/>
    </row>
    <row r="2504" spans="1:16" s="133" customFormat="1" ht="15" customHeight="1">
      <c r="A2504" s="1"/>
      <c r="B2504" s="1"/>
      <c r="C2504" s="134">
        <v>45960</v>
      </c>
      <c r="D2504" s="135">
        <v>313.08999999999997</v>
      </c>
      <c r="O2504" s="134"/>
      <c r="P2504" s="135"/>
    </row>
    <row r="2505" spans="1:16" s="133" customFormat="1" ht="15" customHeight="1">
      <c r="A2505" s="1"/>
      <c r="B2505" s="1"/>
      <c r="C2505" s="134">
        <v>45961</v>
      </c>
      <c r="D2505" s="135">
        <v>314.72000000000003</v>
      </c>
      <c r="O2505" s="134"/>
      <c r="P2505" s="135"/>
    </row>
    <row r="2506" spans="1:16" s="133" customFormat="1" ht="15" customHeight="1">
      <c r="A2506" s="1"/>
      <c r="B2506" s="1"/>
      <c r="C2506" s="134">
        <v>45964</v>
      </c>
      <c r="D2506" s="135">
        <v>315.64</v>
      </c>
      <c r="O2506" s="134"/>
      <c r="P2506" s="135"/>
    </row>
    <row r="2507" spans="1:16" s="133" customFormat="1" ht="15" customHeight="1">
      <c r="A2507" s="1"/>
      <c r="B2507" s="1"/>
      <c r="C2507" s="134">
        <v>45965</v>
      </c>
      <c r="D2507" s="135">
        <v>311.27999999999997</v>
      </c>
      <c r="O2507" s="134"/>
      <c r="P2507" s="135"/>
    </row>
    <row r="2508" spans="1:16" s="133" customFormat="1" ht="15" customHeight="1">
      <c r="A2508" s="1"/>
      <c r="B2508" s="1"/>
      <c r="C2508" s="134">
        <v>45966</v>
      </c>
      <c r="D2508" s="135">
        <v>314.95999999999998</v>
      </c>
      <c r="O2508" s="134"/>
      <c r="P2508" s="135"/>
    </row>
    <row r="2509" spans="1:16" s="133" customFormat="1" ht="15" customHeight="1">
      <c r="A2509" s="1"/>
      <c r="B2509" s="1"/>
      <c r="C2509" s="134">
        <v>45967</v>
      </c>
      <c r="D2509" s="135">
        <v>309.29000000000002</v>
      </c>
      <c r="O2509" s="134"/>
      <c r="P2509" s="135"/>
    </row>
    <row r="2510" spans="1:16" s="133" customFormat="1" ht="15" customHeight="1">
      <c r="A2510" s="1"/>
      <c r="B2510" s="1"/>
      <c r="C2510" s="134">
        <v>45968</v>
      </c>
      <c r="D2510" s="135">
        <v>310.02</v>
      </c>
      <c r="O2510" s="134"/>
      <c r="P2510" s="135"/>
    </row>
    <row r="2511" spans="1:16" s="133" customFormat="1" ht="15" customHeight="1">
      <c r="A2511" s="1"/>
      <c r="B2511" s="1"/>
      <c r="C2511" s="134">
        <v>45971</v>
      </c>
      <c r="D2511" s="135">
        <v>315.02</v>
      </c>
      <c r="O2511" s="134"/>
      <c r="P2511" s="135"/>
    </row>
    <row r="2512" spans="1:16" s="133" customFormat="1" ht="15" customHeight="1">
      <c r="A2512" s="1"/>
      <c r="B2512" s="1"/>
      <c r="C2512" s="134">
        <v>45972</v>
      </c>
      <c r="D2512" s="135">
        <v>314.38</v>
      </c>
      <c r="O2512" s="134"/>
      <c r="P2512" s="135"/>
    </row>
    <row r="2513" spans="1:16" s="133" customFormat="1" ht="15" customHeight="1">
      <c r="A2513" s="1"/>
      <c r="B2513" s="1"/>
      <c r="C2513" s="134">
        <v>45973</v>
      </c>
      <c r="D2513" s="135">
        <v>314.27</v>
      </c>
      <c r="O2513" s="134"/>
      <c r="P2513" s="135"/>
    </row>
    <row r="2514" spans="1:16" s="133" customFormat="1" ht="15" customHeight="1">
      <c r="A2514" s="1"/>
      <c r="B2514" s="1"/>
      <c r="C2514" s="134">
        <v>45974</v>
      </c>
      <c r="D2514" s="135">
        <v>310.44</v>
      </c>
      <c r="O2514" s="134"/>
      <c r="P2514" s="135"/>
    </row>
    <row r="2515" spans="1:16" s="133" customFormat="1" ht="15" customHeight="1">
      <c r="A2515" s="1"/>
      <c r="B2515" s="1"/>
      <c r="C2515" s="134">
        <v>45975</v>
      </c>
      <c r="D2515" s="135">
        <v>311.83</v>
      </c>
      <c r="O2515" s="134"/>
      <c r="P2515" s="135"/>
    </row>
    <row r="2516" spans="1:16" s="133" customFormat="1" ht="15" customHeight="1">
      <c r="A2516" s="1"/>
      <c r="B2516" s="1"/>
      <c r="C2516" s="134">
        <v>45978</v>
      </c>
      <c r="D2516" s="135">
        <v>308.42</v>
      </c>
      <c r="O2516" s="134"/>
      <c r="P2516" s="135"/>
    </row>
    <row r="2517" spans="1:16" s="133" customFormat="1" ht="15" customHeight="1">
      <c r="A2517" s="1"/>
      <c r="B2517" s="1"/>
      <c r="C2517" s="134">
        <v>45979</v>
      </c>
      <c r="D2517" s="135">
        <v>306.04000000000002</v>
      </c>
      <c r="O2517" s="134"/>
      <c r="P2517" s="135"/>
    </row>
    <row r="2518" spans="1:16" s="133" customFormat="1" ht="15" customHeight="1">
      <c r="A2518" s="1"/>
      <c r="B2518" s="1"/>
      <c r="C2518" s="134">
        <v>45980</v>
      </c>
      <c r="D2518" s="135">
        <v>307.41000000000003</v>
      </c>
      <c r="O2518" s="134"/>
      <c r="P2518" s="135"/>
    </row>
    <row r="2519" spans="1:16" s="133" customFormat="1" ht="15" customHeight="1">
      <c r="A2519" s="1"/>
      <c r="B2519" s="1"/>
      <c r="C2519" s="134">
        <v>45981</v>
      </c>
      <c r="D2519" s="135">
        <v>301.82</v>
      </c>
      <c r="O2519" s="134"/>
      <c r="P2519" s="135"/>
    </row>
    <row r="2520" spans="1:16" s="133" customFormat="1" ht="15" customHeight="1">
      <c r="A2520" s="1"/>
      <c r="B2520" s="1"/>
      <c r="C2520" s="134">
        <v>45982</v>
      </c>
      <c r="D2520" s="135">
        <v>303.93</v>
      </c>
      <c r="O2520" s="134"/>
      <c r="P2520" s="135"/>
    </row>
    <row r="2521" spans="1:16" s="133" customFormat="1" ht="15" customHeight="1">
      <c r="A2521" s="1"/>
      <c r="B2521" s="1"/>
      <c r="C2521" s="134">
        <v>45985</v>
      </c>
      <c r="D2521" s="135">
        <v>307.37</v>
      </c>
      <c r="O2521" s="134"/>
      <c r="P2521" s="135"/>
    </row>
    <row r="2522" spans="1:16" s="133" customFormat="1" ht="15" customHeight="1">
      <c r="A2522" s="1"/>
      <c r="B2522" s="1"/>
      <c r="C2522" s="134">
        <v>45986</v>
      </c>
      <c r="D2522" s="135">
        <v>309.25</v>
      </c>
      <c r="O2522" s="134"/>
      <c r="P2522" s="135"/>
    </row>
    <row r="2523" spans="1:16" s="133" customFormat="1" ht="15" customHeight="1">
      <c r="A2523" s="1"/>
      <c r="B2523" s="1"/>
      <c r="C2523" s="134">
        <v>45987</v>
      </c>
      <c r="D2523" s="135">
        <v>311</v>
      </c>
      <c r="O2523" s="134"/>
      <c r="P2523" s="135"/>
    </row>
    <row r="2524" spans="1:16" s="133" customFormat="1" ht="15" customHeight="1">
      <c r="A2524" s="1"/>
      <c r="B2524" s="1"/>
      <c r="C2524" s="134">
        <v>45989</v>
      </c>
      <c r="D2524" s="135">
        <v>313.57</v>
      </c>
      <c r="O2524" s="134"/>
      <c r="P2524" s="135"/>
    </row>
    <row r="2525" spans="1:16" s="133" customFormat="1" ht="15" customHeight="1">
      <c r="A2525" s="1"/>
      <c r="B2525" s="1"/>
      <c r="C2525" s="134">
        <v>45992</v>
      </c>
      <c r="D2525" s="135">
        <v>315.42</v>
      </c>
      <c r="O2525" s="134"/>
      <c r="P2525" s="135"/>
    </row>
    <row r="2526" spans="1:16" s="133" customFormat="1" ht="15" customHeight="1">
      <c r="A2526" s="1"/>
      <c r="B2526" s="1"/>
      <c r="C2526" s="134">
        <v>45993</v>
      </c>
      <c r="D2526" s="135">
        <v>315.74</v>
      </c>
      <c r="O2526" s="134"/>
      <c r="P2526" s="135"/>
    </row>
    <row r="2527" spans="1:16" s="133" customFormat="1" ht="15" customHeight="1">
      <c r="A2527" s="1"/>
      <c r="B2527" s="1"/>
      <c r="C2527" s="134">
        <v>45994</v>
      </c>
      <c r="D2527" s="135">
        <v>315.83999999999997</v>
      </c>
      <c r="O2527" s="134"/>
      <c r="P2527" s="135"/>
    </row>
    <row r="2528" spans="1:16" s="133" customFormat="1" ht="15" customHeight="1">
      <c r="A2528" s="1"/>
      <c r="B2528" s="1"/>
      <c r="C2528" s="134">
        <v>45995</v>
      </c>
      <c r="D2528" s="135">
        <v>317.87</v>
      </c>
      <c r="O2528" s="134"/>
      <c r="P2528" s="135"/>
    </row>
    <row r="2529" spans="1:16" s="133" customFormat="1" ht="15" customHeight="1">
      <c r="A2529" s="1"/>
      <c r="B2529" s="1"/>
      <c r="C2529" s="134">
        <v>45996</v>
      </c>
      <c r="D2529" s="135">
        <v>319.64</v>
      </c>
      <c r="O2529" s="134"/>
      <c r="P2529" s="135"/>
    </row>
    <row r="2530" spans="1:16" s="133" customFormat="1" ht="15" customHeight="1">
      <c r="A2530" s="1"/>
      <c r="B2530" s="1"/>
      <c r="C2530" s="134">
        <v>45999</v>
      </c>
      <c r="D2530" s="135">
        <v>320.07</v>
      </c>
      <c r="O2530" s="134"/>
      <c r="P2530" s="135"/>
    </row>
    <row r="2531" spans="1:16" ht="15" customHeight="1">
      <c r="C2531" s="134">
        <v>46000</v>
      </c>
      <c r="D2531" s="135">
        <v>319.49</v>
      </c>
      <c r="O2531" s="134"/>
      <c r="P2531" s="135"/>
    </row>
    <row r="2532" spans="1:16" ht="15" customHeight="1">
      <c r="C2532" s="134">
        <v>46001</v>
      </c>
      <c r="D2532" s="135">
        <v>321.04000000000002</v>
      </c>
      <c r="O2532" s="134"/>
      <c r="P2532" s="135"/>
    </row>
    <row r="2533" spans="1:16" ht="15" customHeight="1">
      <c r="C2533" s="134">
        <v>46002</v>
      </c>
      <c r="D2533" s="135">
        <v>321.08999999999997</v>
      </c>
      <c r="O2533" s="134"/>
      <c r="P2533" s="135"/>
    </row>
    <row r="2534" spans="1:16" ht="13" customHeight="1">
      <c r="A2534" s="708"/>
      <c r="B2534" s="708"/>
      <c r="C2534" s="134">
        <v>46003</v>
      </c>
      <c r="D2534" s="135">
        <v>320.26</v>
      </c>
      <c r="E2534" s="708"/>
      <c r="F2534" s="708"/>
      <c r="G2534" s="708"/>
      <c r="H2534" s="708"/>
      <c r="I2534" s="708"/>
      <c r="J2534" s="708"/>
      <c r="O2534" s="134"/>
      <c r="P2534" s="135"/>
    </row>
    <row r="2535" spans="1:16" ht="15" customHeight="1">
      <c r="A2535" s="708"/>
      <c r="B2535" s="708"/>
      <c r="C2535" s="708"/>
      <c r="D2535" s="708"/>
      <c r="E2535" s="708"/>
      <c r="F2535" s="708"/>
      <c r="G2535" s="708"/>
      <c r="H2535" s="708"/>
      <c r="I2535" s="708"/>
      <c r="J2535" s="708"/>
      <c r="O2535" s="134"/>
      <c r="P2535" s="135"/>
    </row>
    <row r="2536" spans="1:16" ht="15" customHeight="1">
      <c r="A2536" s="750" t="s">
        <v>859</v>
      </c>
      <c r="B2536" s="750"/>
      <c r="C2536" s="750"/>
      <c r="D2536" s="750"/>
      <c r="E2536" s="750"/>
      <c r="F2536" s="750"/>
      <c r="G2536" s="750"/>
      <c r="H2536" s="750"/>
      <c r="I2536" s="750"/>
      <c r="J2536" s="750"/>
      <c r="O2536" s="134"/>
      <c r="P2536" s="135"/>
    </row>
    <row r="2537" spans="1:16" ht="15" customHeight="1">
      <c r="A2537" s="750"/>
      <c r="B2537" s="750"/>
      <c r="C2537" s="750"/>
      <c r="D2537" s="750"/>
      <c r="E2537" s="750"/>
      <c r="F2537" s="750"/>
      <c r="G2537" s="750"/>
      <c r="H2537" s="750"/>
      <c r="I2537" s="750"/>
      <c r="J2537" s="750"/>
    </row>
    <row r="2538" spans="1:16" ht="15" customHeight="1">
      <c r="A2538" s="750"/>
      <c r="B2538" s="750"/>
      <c r="C2538" s="750"/>
      <c r="D2538" s="750"/>
      <c r="E2538" s="750"/>
      <c r="F2538" s="750"/>
      <c r="G2538" s="750"/>
      <c r="H2538" s="750"/>
      <c r="I2538" s="750"/>
      <c r="J2538" s="750"/>
    </row>
    <row r="2539" spans="1:16" ht="15" customHeight="1">
      <c r="A2539" s="750"/>
      <c r="B2539" s="750"/>
      <c r="C2539" s="750"/>
      <c r="D2539" s="750"/>
      <c r="E2539" s="750"/>
      <c r="F2539" s="750"/>
      <c r="G2539" s="750"/>
      <c r="H2539" s="750"/>
      <c r="I2539" s="750"/>
      <c r="J2539" s="750"/>
    </row>
    <row r="2540" spans="1:16" ht="15" customHeight="1">
      <c r="A2540" s="750"/>
      <c r="B2540" s="750"/>
      <c r="C2540" s="750"/>
      <c r="D2540" s="750"/>
      <c r="E2540" s="750"/>
      <c r="F2540" s="750"/>
      <c r="G2540" s="750"/>
      <c r="H2540" s="750"/>
      <c r="I2540" s="750"/>
      <c r="J2540" s="750"/>
    </row>
    <row r="2541" spans="1:16" ht="15" customHeight="1">
      <c r="A2541" s="750"/>
      <c r="B2541" s="750"/>
      <c r="C2541" s="750"/>
      <c r="D2541" s="750"/>
      <c r="E2541" s="750"/>
      <c r="F2541" s="750"/>
      <c r="G2541" s="750"/>
      <c r="H2541" s="750"/>
      <c r="I2541" s="750"/>
      <c r="J2541" s="750"/>
    </row>
    <row r="2542" spans="1:16" ht="15" customHeight="1">
      <c r="A2542" s="750"/>
      <c r="B2542" s="750"/>
      <c r="C2542" s="750"/>
      <c r="D2542" s="750"/>
      <c r="E2542" s="750"/>
      <c r="F2542" s="750"/>
      <c r="G2542" s="750"/>
      <c r="H2542" s="750"/>
      <c r="I2542" s="750"/>
      <c r="J2542" s="750"/>
    </row>
    <row r="2543" spans="1:16" ht="15" customHeight="1">
      <c r="A2543" s="750"/>
      <c r="B2543" s="750"/>
      <c r="C2543" s="750"/>
      <c r="D2543" s="750"/>
      <c r="E2543" s="750"/>
      <c r="F2543" s="750"/>
      <c r="G2543" s="750"/>
      <c r="H2543" s="750"/>
      <c r="I2543" s="750"/>
      <c r="J2543" s="750"/>
    </row>
    <row r="2544" spans="1:16" ht="15" customHeight="1">
      <c r="A2544" s="750"/>
      <c r="B2544" s="750"/>
      <c r="C2544" s="750"/>
      <c r="D2544" s="750"/>
      <c r="E2544" s="750"/>
      <c r="F2544" s="750"/>
      <c r="G2544" s="750"/>
      <c r="H2544" s="750"/>
      <c r="I2544" s="750"/>
      <c r="J2544" s="750"/>
    </row>
    <row r="2545" spans="1:10" ht="15" customHeight="1">
      <c r="A2545" s="750"/>
      <c r="B2545" s="750"/>
      <c r="C2545" s="750"/>
      <c r="D2545" s="750"/>
      <c r="E2545" s="750"/>
      <c r="F2545" s="750"/>
      <c r="G2545" s="750"/>
      <c r="H2545" s="750"/>
      <c r="I2545" s="750"/>
      <c r="J2545" s="750"/>
    </row>
    <row r="2546" spans="1:10" ht="15" customHeight="1">
      <c r="A2546" s="750"/>
      <c r="B2546" s="750"/>
      <c r="C2546" s="750"/>
      <c r="D2546" s="750"/>
      <c r="E2546" s="750"/>
      <c r="F2546" s="750"/>
      <c r="G2546" s="750"/>
      <c r="H2546" s="750"/>
      <c r="I2546" s="750"/>
      <c r="J2546" s="750"/>
    </row>
    <row r="2547" spans="1:10" ht="15" customHeight="1">
      <c r="A2547" s="750"/>
      <c r="B2547" s="750"/>
      <c r="C2547" s="750"/>
      <c r="D2547" s="750"/>
      <c r="E2547" s="750"/>
      <c r="F2547" s="750"/>
      <c r="G2547" s="750"/>
      <c r="H2547" s="750"/>
      <c r="I2547" s="750"/>
      <c r="J2547" s="750"/>
    </row>
    <row r="2548" spans="1:10" ht="15" customHeight="1">
      <c r="A2548" s="750"/>
      <c r="B2548" s="750"/>
      <c r="C2548" s="750"/>
      <c r="D2548" s="750"/>
      <c r="E2548" s="750"/>
      <c r="F2548" s="750"/>
      <c r="G2548" s="750"/>
      <c r="H2548" s="750"/>
      <c r="I2548" s="750"/>
      <c r="J2548" s="750"/>
    </row>
    <row r="2549" spans="1:10" ht="15" customHeight="1">
      <c r="A2549" s="750"/>
      <c r="B2549" s="750"/>
      <c r="C2549" s="750"/>
      <c r="D2549" s="750"/>
      <c r="E2549" s="750"/>
      <c r="F2549" s="750"/>
      <c r="G2549" s="750"/>
      <c r="H2549" s="750"/>
      <c r="I2549" s="750"/>
      <c r="J2549" s="750"/>
    </row>
    <row r="2550" spans="1:10" ht="15" customHeight="1">
      <c r="A2550" s="750"/>
      <c r="B2550" s="750"/>
      <c r="C2550" s="750"/>
      <c r="D2550" s="750"/>
      <c r="E2550" s="750"/>
      <c r="F2550" s="750"/>
      <c r="G2550" s="750"/>
      <c r="H2550" s="750"/>
      <c r="I2550" s="750"/>
      <c r="J2550" s="750"/>
    </row>
    <row r="2551" spans="1:10" ht="15" customHeight="1">
      <c r="A2551" s="750"/>
      <c r="B2551" s="750"/>
      <c r="C2551" s="750"/>
      <c r="D2551" s="750"/>
      <c r="E2551" s="750"/>
      <c r="F2551" s="750"/>
      <c r="G2551" s="750"/>
      <c r="H2551" s="750"/>
      <c r="I2551" s="750"/>
      <c r="J2551" s="750"/>
    </row>
    <row r="2552" spans="1:10" ht="15" customHeight="1">
      <c r="A2552" s="750"/>
      <c r="B2552" s="750"/>
      <c r="C2552" s="750"/>
      <c r="D2552" s="750"/>
      <c r="E2552" s="750"/>
      <c r="F2552" s="750"/>
      <c r="G2552" s="750"/>
      <c r="H2552" s="750"/>
      <c r="I2552" s="750"/>
      <c r="J2552" s="750"/>
    </row>
    <row r="2553" spans="1:10" ht="15" customHeight="1">
      <c r="A2553" s="750"/>
      <c r="B2553" s="750"/>
      <c r="C2553" s="750"/>
      <c r="D2553" s="750"/>
      <c r="E2553" s="750"/>
      <c r="F2553" s="750"/>
      <c r="G2553" s="750"/>
      <c r="H2553" s="750"/>
      <c r="I2553" s="750"/>
      <c r="J2553" s="750"/>
    </row>
    <row r="2554" spans="1:10" ht="15" customHeight="1">
      <c r="A2554" s="750"/>
      <c r="B2554" s="750"/>
      <c r="C2554" s="750"/>
      <c r="D2554" s="750"/>
      <c r="E2554" s="750"/>
      <c r="F2554" s="750"/>
      <c r="G2554" s="750"/>
      <c r="H2554" s="750"/>
      <c r="I2554" s="750"/>
      <c r="J2554" s="750"/>
    </row>
    <row r="2555" spans="1:10" ht="15" customHeight="1">
      <c r="A2555" s="750"/>
      <c r="B2555" s="750"/>
      <c r="C2555" s="750"/>
      <c r="D2555" s="750"/>
      <c r="E2555" s="750"/>
      <c r="F2555" s="750"/>
      <c r="G2555" s="750"/>
      <c r="H2555" s="750"/>
      <c r="I2555" s="750"/>
      <c r="J2555" s="750"/>
    </row>
    <row r="2556" spans="1:10" ht="15" customHeight="1">
      <c r="A2556" s="750"/>
      <c r="B2556" s="750"/>
      <c r="C2556" s="750"/>
      <c r="D2556" s="750"/>
      <c r="E2556" s="750"/>
      <c r="F2556" s="750"/>
      <c r="G2556" s="750"/>
      <c r="H2556" s="750"/>
      <c r="I2556" s="750"/>
      <c r="J2556" s="750"/>
    </row>
    <row r="2557" spans="1:10" ht="15" customHeight="1">
      <c r="A2557" s="750"/>
      <c r="B2557" s="750"/>
      <c r="C2557" s="750"/>
      <c r="D2557" s="750"/>
      <c r="E2557" s="750"/>
      <c r="F2557" s="750"/>
      <c r="G2557" s="750"/>
      <c r="H2557" s="750"/>
      <c r="I2557" s="750"/>
      <c r="J2557" s="750"/>
    </row>
    <row r="2558" spans="1:10" ht="15" customHeight="1">
      <c r="A2558" s="750"/>
      <c r="B2558" s="750"/>
      <c r="C2558" s="750"/>
      <c r="D2558" s="750"/>
      <c r="E2558" s="750"/>
      <c r="F2558" s="750"/>
      <c r="G2558" s="750"/>
      <c r="H2558" s="750"/>
      <c r="I2558" s="750"/>
      <c r="J2558" s="750"/>
    </row>
    <row r="2559" spans="1:10" ht="15" customHeight="1">
      <c r="A2559" s="750"/>
      <c r="B2559" s="750"/>
      <c r="C2559" s="750"/>
      <c r="D2559" s="750"/>
      <c r="E2559" s="750"/>
      <c r="F2559" s="750"/>
      <c r="G2559" s="750"/>
      <c r="H2559" s="750"/>
      <c r="I2559" s="750"/>
      <c r="J2559" s="750"/>
    </row>
    <row r="2560" spans="1:10" ht="15" customHeight="1">
      <c r="A2560" s="750"/>
      <c r="B2560" s="750"/>
      <c r="C2560" s="750"/>
      <c r="D2560" s="750"/>
      <c r="E2560" s="750"/>
      <c r="F2560" s="750"/>
      <c r="G2560" s="750"/>
      <c r="H2560" s="750"/>
      <c r="I2560" s="750"/>
      <c r="J2560" s="750"/>
    </row>
    <row r="2561" spans="1:10" ht="15" customHeight="1">
      <c r="A2561" s="750"/>
      <c r="B2561" s="750"/>
      <c r="C2561" s="750"/>
      <c r="D2561" s="750"/>
      <c r="E2561" s="750"/>
      <c r="F2561" s="750"/>
      <c r="G2561" s="750"/>
      <c r="H2561" s="750"/>
      <c r="I2561" s="750"/>
      <c r="J2561" s="750"/>
    </row>
    <row r="2562" spans="1:10" ht="15" customHeight="1">
      <c r="A2562" s="750"/>
      <c r="B2562" s="750"/>
      <c r="C2562" s="750"/>
      <c r="D2562" s="750"/>
      <c r="E2562" s="750"/>
      <c r="F2562" s="750"/>
      <c r="G2562" s="750"/>
      <c r="H2562" s="750"/>
      <c r="I2562" s="750"/>
      <c r="J2562" s="750"/>
    </row>
    <row r="2563" spans="1:10" ht="15" customHeight="1">
      <c r="A2563" s="750"/>
      <c r="B2563" s="750"/>
      <c r="C2563" s="750"/>
      <c r="D2563" s="750"/>
      <c r="E2563" s="750"/>
      <c r="F2563" s="750"/>
      <c r="G2563" s="750"/>
      <c r="H2563" s="750"/>
      <c r="I2563" s="750"/>
      <c r="J2563" s="750"/>
    </row>
    <row r="2564" spans="1:10" ht="15" customHeight="1">
      <c r="A2564" s="750"/>
      <c r="B2564" s="750"/>
      <c r="C2564" s="750"/>
      <c r="D2564" s="750"/>
      <c r="E2564" s="750"/>
      <c r="F2564" s="750"/>
      <c r="G2564" s="750"/>
      <c r="H2564" s="750"/>
      <c r="I2564" s="750"/>
      <c r="J2564" s="750"/>
    </row>
    <row r="2565" spans="1:10" ht="15" customHeight="1">
      <c r="A2565" s="750"/>
      <c r="B2565" s="750"/>
      <c r="C2565" s="750"/>
      <c r="D2565" s="750"/>
      <c r="E2565" s="750"/>
      <c r="F2565" s="750"/>
      <c r="G2565" s="750"/>
      <c r="H2565" s="750"/>
      <c r="I2565" s="750"/>
      <c r="J2565" s="750"/>
    </row>
    <row r="2566" spans="1:10" ht="15" customHeight="1">
      <c r="A2566" s="750"/>
      <c r="B2566" s="750"/>
      <c r="C2566" s="750"/>
      <c r="D2566" s="750"/>
      <c r="E2566" s="750"/>
      <c r="F2566" s="750"/>
      <c r="G2566" s="750"/>
      <c r="H2566" s="750"/>
      <c r="I2566" s="750"/>
      <c r="J2566" s="750"/>
    </row>
    <row r="2567" spans="1:10" ht="15" customHeight="1">
      <c r="A2567" s="750"/>
      <c r="B2567" s="750"/>
      <c r="C2567" s="750"/>
      <c r="D2567" s="750"/>
      <c r="E2567" s="750"/>
      <c r="F2567" s="750"/>
      <c r="G2567" s="750"/>
      <c r="H2567" s="750"/>
      <c r="I2567" s="750"/>
      <c r="J2567" s="750"/>
    </row>
    <row r="2568" spans="1:10" ht="15" customHeight="1">
      <c r="A2568" s="750"/>
      <c r="B2568" s="750"/>
      <c r="C2568" s="750"/>
      <c r="D2568" s="750"/>
      <c r="E2568" s="750"/>
      <c r="F2568" s="750"/>
      <c r="G2568" s="750"/>
      <c r="H2568" s="750"/>
      <c r="I2568" s="750"/>
      <c r="J2568" s="750"/>
    </row>
    <row r="2569" spans="1:10" ht="15" customHeight="1">
      <c r="A2569" s="750"/>
      <c r="B2569" s="750"/>
      <c r="C2569" s="750"/>
      <c r="D2569" s="750"/>
      <c r="E2569" s="750"/>
      <c r="F2569" s="750"/>
      <c r="G2569" s="750"/>
      <c r="H2569" s="750"/>
      <c r="I2569" s="750"/>
      <c r="J2569" s="750"/>
    </row>
    <row r="2570" spans="1:10" ht="15" customHeight="1">
      <c r="A2570" s="750"/>
      <c r="B2570" s="750"/>
      <c r="C2570" s="750"/>
      <c r="D2570" s="750"/>
      <c r="E2570" s="750"/>
      <c r="F2570" s="750"/>
      <c r="G2570" s="750"/>
      <c r="H2570" s="750"/>
      <c r="I2570" s="750"/>
      <c r="J2570" s="750"/>
    </row>
    <row r="2571" spans="1:10" ht="15" customHeight="1">
      <c r="A2571" s="750"/>
      <c r="B2571" s="750"/>
      <c r="C2571" s="750"/>
      <c r="D2571" s="750"/>
      <c r="E2571" s="750"/>
      <c r="F2571" s="750"/>
      <c r="G2571" s="750"/>
      <c r="H2571" s="750"/>
      <c r="I2571" s="750"/>
      <c r="J2571" s="750"/>
    </row>
    <row r="2572" spans="1:10" ht="15" customHeight="1">
      <c r="A2572" s="750"/>
      <c r="B2572" s="750"/>
      <c r="C2572" s="750"/>
      <c r="D2572" s="750"/>
      <c r="E2572" s="750"/>
      <c r="F2572" s="750"/>
      <c r="G2572" s="750"/>
      <c r="H2572" s="750"/>
      <c r="I2572" s="750"/>
      <c r="J2572" s="750"/>
    </row>
    <row r="2573" spans="1:10" ht="15" customHeight="1">
      <c r="A2573" s="750"/>
      <c r="B2573" s="750"/>
      <c r="C2573" s="750"/>
      <c r="D2573" s="750"/>
      <c r="E2573" s="750"/>
      <c r="F2573" s="750"/>
      <c r="G2573" s="750"/>
      <c r="H2573" s="750"/>
      <c r="I2573" s="750"/>
      <c r="J2573" s="750"/>
    </row>
    <row r="2574" spans="1:10" ht="15" customHeight="1">
      <c r="A2574" s="750"/>
      <c r="B2574" s="750"/>
      <c r="C2574" s="750"/>
      <c r="D2574" s="750"/>
      <c r="E2574" s="750"/>
      <c r="F2574" s="750"/>
      <c r="G2574" s="750"/>
      <c r="H2574" s="750"/>
      <c r="I2574" s="750"/>
      <c r="J2574" s="750"/>
    </row>
    <row r="2575" spans="1:10" ht="15" customHeight="1">
      <c r="A2575" s="750"/>
      <c r="B2575" s="750"/>
      <c r="C2575" s="750"/>
      <c r="D2575" s="750"/>
      <c r="E2575" s="750"/>
      <c r="F2575" s="750"/>
      <c r="G2575" s="750"/>
      <c r="H2575" s="750"/>
      <c r="I2575" s="750"/>
      <c r="J2575" s="750"/>
    </row>
    <row r="2576" spans="1:10" ht="15" customHeight="1">
      <c r="A2576" s="750"/>
      <c r="B2576" s="750"/>
      <c r="C2576" s="750"/>
      <c r="D2576" s="750"/>
      <c r="E2576" s="750"/>
      <c r="F2576" s="750"/>
      <c r="G2576" s="750"/>
      <c r="H2576" s="750"/>
      <c r="I2576" s="750"/>
      <c r="J2576" s="750"/>
    </row>
    <row r="2577" spans="1:10" ht="15" customHeight="1">
      <c r="A2577" s="750"/>
      <c r="B2577" s="750"/>
      <c r="C2577" s="750"/>
      <c r="D2577" s="750"/>
      <c r="E2577" s="750"/>
      <c r="F2577" s="750"/>
      <c r="G2577" s="750"/>
      <c r="H2577" s="750"/>
      <c r="I2577" s="750"/>
      <c r="J2577" s="750"/>
    </row>
    <row r="2578" spans="1:10" ht="15" customHeight="1">
      <c r="A2578" s="750"/>
      <c r="B2578" s="750"/>
      <c r="C2578" s="750"/>
      <c r="D2578" s="750"/>
      <c r="E2578" s="750"/>
      <c r="F2578" s="750"/>
      <c r="G2578" s="750"/>
      <c r="H2578" s="750"/>
      <c r="I2578" s="750"/>
      <c r="J2578" s="750"/>
    </row>
    <row r="2579" spans="1:10" ht="15" customHeight="1">
      <c r="A2579" s="750"/>
      <c r="B2579" s="750"/>
      <c r="C2579" s="750"/>
      <c r="D2579" s="750"/>
      <c r="E2579" s="750"/>
      <c r="F2579" s="750"/>
      <c r="G2579" s="750"/>
      <c r="H2579" s="750"/>
      <c r="I2579" s="750"/>
      <c r="J2579" s="750"/>
    </row>
    <row r="2580" spans="1:10" ht="15" customHeight="1">
      <c r="A2580" s="750"/>
      <c r="B2580" s="750"/>
      <c r="C2580" s="750"/>
      <c r="D2580" s="750"/>
      <c r="E2580" s="750"/>
      <c r="F2580" s="750"/>
      <c r="G2580" s="750"/>
      <c r="H2580" s="750"/>
      <c r="I2580" s="750"/>
      <c r="J2580" s="750"/>
    </row>
    <row r="2581" spans="1:10" ht="15" customHeight="1">
      <c r="A2581" s="750"/>
      <c r="B2581" s="750"/>
      <c r="C2581" s="750"/>
      <c r="D2581" s="750"/>
      <c r="E2581" s="750"/>
      <c r="F2581" s="750"/>
      <c r="G2581" s="750"/>
      <c r="H2581" s="750"/>
      <c r="I2581" s="750"/>
      <c r="J2581" s="750"/>
    </row>
    <row r="2582" spans="1:10" ht="15" customHeight="1">
      <c r="A2582" s="750"/>
      <c r="B2582" s="750"/>
      <c r="C2582" s="750"/>
      <c r="D2582" s="750"/>
      <c r="E2582" s="750"/>
      <c r="F2582" s="750"/>
      <c r="G2582" s="750"/>
      <c r="H2582" s="750"/>
      <c r="I2582" s="750"/>
      <c r="J2582" s="750"/>
    </row>
    <row r="2583" spans="1:10" ht="15" customHeight="1">
      <c r="A2583" s="750"/>
      <c r="B2583" s="750"/>
      <c r="C2583" s="750"/>
      <c r="D2583" s="750"/>
      <c r="E2583" s="750"/>
      <c r="F2583" s="750"/>
      <c r="G2583" s="750"/>
      <c r="H2583" s="750"/>
      <c r="I2583" s="750"/>
      <c r="J2583" s="750"/>
    </row>
    <row r="2584" spans="1:10" ht="15" customHeight="1">
      <c r="A2584" s="750"/>
      <c r="B2584" s="750"/>
      <c r="C2584" s="750"/>
      <c r="D2584" s="750"/>
      <c r="E2584" s="750"/>
      <c r="F2584" s="750"/>
      <c r="G2584" s="750"/>
      <c r="H2584" s="750"/>
      <c r="I2584" s="750"/>
      <c r="J2584" s="750"/>
    </row>
    <row r="2585" spans="1:10" ht="15" customHeight="1">
      <c r="A2585" s="750"/>
      <c r="B2585" s="750"/>
      <c r="C2585" s="750"/>
      <c r="D2585" s="750"/>
      <c r="E2585" s="750"/>
      <c r="F2585" s="750"/>
      <c r="G2585" s="750"/>
      <c r="H2585" s="750"/>
      <c r="I2585" s="750"/>
      <c r="J2585" s="750"/>
    </row>
    <row r="2586" spans="1:10" ht="15" customHeight="1">
      <c r="A2586" s="750"/>
      <c r="B2586" s="750"/>
      <c r="C2586" s="750"/>
      <c r="D2586" s="750"/>
      <c r="E2586" s="750"/>
      <c r="F2586" s="750"/>
      <c r="G2586" s="750"/>
      <c r="H2586" s="750"/>
      <c r="I2586" s="750"/>
      <c r="J2586" s="750"/>
    </row>
    <row r="2587" spans="1:10" ht="15" customHeight="1">
      <c r="A2587" s="750"/>
      <c r="B2587" s="750"/>
      <c r="C2587" s="750"/>
      <c r="D2587" s="750"/>
      <c r="E2587" s="750"/>
      <c r="F2587" s="750"/>
      <c r="G2587" s="750"/>
      <c r="H2587" s="750"/>
      <c r="I2587" s="750"/>
      <c r="J2587" s="750"/>
    </row>
    <row r="2588" spans="1:10" ht="15" customHeight="1">
      <c r="A2588" s="750"/>
      <c r="B2588" s="750"/>
      <c r="C2588" s="750"/>
      <c r="D2588" s="750"/>
      <c r="E2588" s="750"/>
      <c r="F2588" s="750"/>
      <c r="G2588" s="750"/>
      <c r="H2588" s="750"/>
      <c r="I2588" s="750"/>
      <c r="J2588" s="750"/>
    </row>
    <row r="2589" spans="1:10" ht="15" customHeight="1">
      <c r="A2589" s="750"/>
      <c r="B2589" s="750"/>
      <c r="C2589" s="750"/>
      <c r="D2589" s="750"/>
      <c r="E2589" s="750"/>
      <c r="F2589" s="750"/>
      <c r="G2589" s="750"/>
      <c r="H2589" s="750"/>
      <c r="I2589" s="750"/>
      <c r="J2589" s="750"/>
    </row>
    <row r="2590" spans="1:10" ht="15" customHeight="1">
      <c r="A2590" s="750"/>
      <c r="B2590" s="750"/>
      <c r="C2590" s="750"/>
      <c r="D2590" s="750"/>
      <c r="E2590" s="750"/>
      <c r="F2590" s="750"/>
      <c r="G2590" s="750"/>
      <c r="H2590" s="750"/>
      <c r="I2590" s="750"/>
      <c r="J2590" s="750"/>
    </row>
    <row r="2591" spans="1:10" ht="15" customHeight="1">
      <c r="A2591" s="750"/>
      <c r="B2591" s="750"/>
      <c r="C2591" s="750"/>
      <c r="D2591" s="750"/>
      <c r="E2591" s="750"/>
      <c r="F2591" s="750"/>
      <c r="G2591" s="750"/>
      <c r="H2591" s="750"/>
      <c r="I2591" s="750"/>
      <c r="J2591" s="750"/>
    </row>
    <row r="2592" spans="1:10" ht="15" customHeight="1">
      <c r="A2592" s="750"/>
      <c r="B2592" s="750"/>
      <c r="C2592" s="750"/>
      <c r="D2592" s="750"/>
      <c r="E2592" s="750"/>
      <c r="F2592" s="750"/>
      <c r="G2592" s="750"/>
      <c r="H2592" s="750"/>
      <c r="I2592" s="750"/>
      <c r="J2592" s="750"/>
    </row>
    <row r="2593" spans="1:10" ht="15" customHeight="1">
      <c r="A2593" s="750"/>
      <c r="B2593" s="750"/>
      <c r="C2593" s="750"/>
      <c r="D2593" s="750"/>
      <c r="E2593" s="750"/>
      <c r="F2593" s="750"/>
      <c r="G2593" s="750"/>
      <c r="H2593" s="750"/>
      <c r="I2593" s="750"/>
      <c r="J2593" s="750"/>
    </row>
    <row r="2594" spans="1:10" ht="15" customHeight="1">
      <c r="A2594" s="750"/>
      <c r="B2594" s="750"/>
      <c r="C2594" s="750"/>
      <c r="D2594" s="750"/>
      <c r="E2594" s="750"/>
      <c r="F2594" s="750"/>
      <c r="G2594" s="750"/>
      <c r="H2594" s="750"/>
      <c r="I2594" s="750"/>
      <c r="J2594" s="750"/>
    </row>
    <row r="2595" spans="1:10" ht="15" customHeight="1">
      <c r="A2595" s="750"/>
      <c r="B2595" s="750"/>
      <c r="C2595" s="750"/>
      <c r="D2595" s="750"/>
      <c r="E2595" s="750"/>
      <c r="F2595" s="750"/>
      <c r="G2595" s="750"/>
      <c r="H2595" s="750"/>
      <c r="I2595" s="750"/>
      <c r="J2595" s="750"/>
    </row>
    <row r="2596" spans="1:10" ht="15" customHeight="1">
      <c r="A2596" s="750"/>
      <c r="B2596" s="750"/>
      <c r="C2596" s="750"/>
      <c r="D2596" s="750"/>
      <c r="E2596" s="750"/>
      <c r="F2596" s="750"/>
      <c r="G2596" s="750"/>
      <c r="H2596" s="750"/>
      <c r="I2596" s="750"/>
      <c r="J2596" s="750"/>
    </row>
    <row r="2597" spans="1:10" ht="15" customHeight="1">
      <c r="A2597" s="750"/>
      <c r="B2597" s="750"/>
      <c r="C2597" s="750"/>
      <c r="D2597" s="750"/>
      <c r="E2597" s="750"/>
      <c r="F2597" s="750"/>
      <c r="G2597" s="750"/>
      <c r="H2597" s="750"/>
      <c r="I2597" s="750"/>
      <c r="J2597" s="750"/>
    </row>
    <row r="2598" spans="1:10" ht="15" customHeight="1">
      <c r="A2598" s="750"/>
      <c r="B2598" s="750"/>
      <c r="C2598" s="750"/>
      <c r="D2598" s="750"/>
      <c r="E2598" s="750"/>
      <c r="F2598" s="750"/>
      <c r="G2598" s="750"/>
      <c r="H2598" s="750"/>
      <c r="I2598" s="750"/>
      <c r="J2598" s="750"/>
    </row>
    <row r="2599" spans="1:10" ht="15" customHeight="1">
      <c r="A2599" s="750"/>
      <c r="B2599" s="750"/>
      <c r="C2599" s="750"/>
      <c r="D2599" s="750"/>
      <c r="E2599" s="750"/>
      <c r="F2599" s="750"/>
      <c r="G2599" s="750"/>
      <c r="H2599" s="750"/>
      <c r="I2599" s="750"/>
      <c r="J2599" s="750"/>
    </row>
    <row r="2600" spans="1:10" ht="15" customHeight="1">
      <c r="A2600" s="750"/>
      <c r="B2600" s="750"/>
      <c r="C2600" s="750"/>
      <c r="D2600" s="750"/>
      <c r="E2600" s="750"/>
      <c r="F2600" s="750"/>
      <c r="G2600" s="750"/>
      <c r="H2600" s="750"/>
      <c r="I2600" s="750"/>
      <c r="J2600" s="750"/>
    </row>
    <row r="2601" spans="1:10" ht="15" customHeight="1">
      <c r="A2601" s="750"/>
      <c r="B2601" s="750"/>
      <c r="C2601" s="750"/>
      <c r="D2601" s="750"/>
      <c r="E2601" s="750"/>
      <c r="F2601" s="750"/>
      <c r="G2601" s="750"/>
      <c r="H2601" s="750"/>
      <c r="I2601" s="750"/>
      <c r="J2601" s="750"/>
    </row>
    <row r="2602" spans="1:10" ht="15" customHeight="1">
      <c r="A2602" s="750"/>
      <c r="B2602" s="750"/>
      <c r="C2602" s="750"/>
      <c r="D2602" s="750"/>
      <c r="E2602" s="750"/>
      <c r="F2602" s="750"/>
      <c r="G2602" s="750"/>
      <c r="H2602" s="750"/>
      <c r="I2602" s="750"/>
      <c r="J2602" s="750"/>
    </row>
    <row r="2603" spans="1:10">
      <c r="A2603" s="750"/>
      <c r="B2603" s="750"/>
      <c r="C2603" s="750"/>
      <c r="D2603" s="750"/>
      <c r="E2603" s="750"/>
      <c r="F2603" s="750"/>
      <c r="G2603" s="750"/>
      <c r="H2603" s="750"/>
      <c r="I2603" s="750"/>
      <c r="J2603" s="750"/>
    </row>
    <row r="2604" spans="1:10">
      <c r="A2604" s="750"/>
      <c r="B2604" s="750"/>
      <c r="C2604" s="750"/>
      <c r="D2604" s="750"/>
      <c r="E2604" s="750"/>
      <c r="F2604" s="750"/>
      <c r="G2604" s="750"/>
      <c r="H2604" s="750"/>
      <c r="I2604" s="750"/>
      <c r="J2604" s="750"/>
    </row>
    <row r="2605" spans="1:10">
      <c r="A2605" s="750"/>
      <c r="B2605" s="750"/>
      <c r="C2605" s="750"/>
      <c r="D2605" s="750"/>
      <c r="E2605" s="750"/>
      <c r="F2605" s="750"/>
      <c r="G2605" s="750"/>
      <c r="H2605" s="750"/>
      <c r="I2605" s="750"/>
      <c r="J2605" s="750"/>
    </row>
    <row r="2606" spans="1:10">
      <c r="A2606" s="750"/>
      <c r="B2606" s="750"/>
      <c r="C2606" s="750"/>
      <c r="D2606" s="750"/>
      <c r="E2606" s="750"/>
      <c r="F2606" s="750"/>
      <c r="G2606" s="750"/>
      <c r="H2606" s="750"/>
      <c r="I2606" s="750"/>
      <c r="J2606" s="750"/>
    </row>
    <row r="2607" spans="1:10">
      <c r="A2607" s="750"/>
      <c r="B2607" s="750"/>
      <c r="C2607" s="750"/>
      <c r="D2607" s="750"/>
      <c r="E2607" s="750"/>
      <c r="F2607" s="750"/>
      <c r="G2607" s="750"/>
      <c r="H2607" s="750"/>
      <c r="I2607" s="750"/>
      <c r="J2607" s="750"/>
    </row>
    <row r="2608" spans="1:10">
      <c r="A2608" s="750"/>
      <c r="B2608" s="750"/>
      <c r="C2608" s="750"/>
      <c r="D2608" s="750"/>
      <c r="E2608" s="750"/>
      <c r="F2608" s="750"/>
      <c r="G2608" s="750"/>
      <c r="H2608" s="750"/>
      <c r="I2608" s="750"/>
      <c r="J2608" s="750"/>
    </row>
    <row r="2609" spans="1:10">
      <c r="A2609" s="750"/>
      <c r="B2609" s="750"/>
      <c r="C2609" s="750"/>
      <c r="D2609" s="750"/>
      <c r="E2609" s="750"/>
      <c r="F2609" s="750"/>
      <c r="G2609" s="750"/>
      <c r="H2609" s="750"/>
      <c r="I2609" s="750"/>
      <c r="J2609" s="750"/>
    </row>
    <row r="2610" spans="1:10">
      <c r="A2610" s="750"/>
      <c r="B2610" s="750"/>
      <c r="C2610" s="750"/>
      <c r="D2610" s="750"/>
      <c r="E2610" s="750"/>
      <c r="F2610" s="750"/>
      <c r="G2610" s="750"/>
      <c r="H2610" s="750"/>
      <c r="I2610" s="750"/>
      <c r="J2610" s="750"/>
    </row>
    <row r="2611" spans="1:10">
      <c r="A2611" s="750"/>
      <c r="B2611" s="750"/>
      <c r="C2611" s="750"/>
      <c r="D2611" s="750"/>
      <c r="E2611" s="750"/>
      <c r="F2611" s="750"/>
      <c r="G2611" s="750"/>
      <c r="H2611" s="750"/>
      <c r="I2611" s="750"/>
      <c r="J2611" s="750"/>
    </row>
    <row r="2612" spans="1:10">
      <c r="A2612" s="750"/>
      <c r="B2612" s="750"/>
      <c r="C2612" s="750"/>
      <c r="D2612" s="750"/>
      <c r="E2612" s="750"/>
      <c r="F2612" s="750"/>
      <c r="G2612" s="750"/>
      <c r="H2612" s="750"/>
      <c r="I2612" s="750"/>
      <c r="J2612" s="750"/>
    </row>
    <row r="2613" spans="1:10">
      <c r="A2613" s="750"/>
      <c r="B2613" s="750"/>
      <c r="C2613" s="750"/>
      <c r="D2613" s="750"/>
      <c r="E2613" s="750"/>
      <c r="F2613" s="750"/>
      <c r="G2613" s="750"/>
      <c r="H2613" s="750"/>
      <c r="I2613" s="750"/>
      <c r="J2613" s="750"/>
    </row>
    <row r="2614" spans="1:10">
      <c r="A2614" s="750"/>
      <c r="B2614" s="750"/>
      <c r="C2614" s="750"/>
      <c r="D2614" s="750"/>
      <c r="E2614" s="750"/>
      <c r="F2614" s="750"/>
      <c r="G2614" s="750"/>
      <c r="H2614" s="750"/>
      <c r="I2614" s="750"/>
      <c r="J2614" s="750"/>
    </row>
    <row r="2615" spans="1:10">
      <c r="A2615" s="750"/>
      <c r="B2615" s="750"/>
      <c r="C2615" s="750"/>
      <c r="D2615" s="750"/>
      <c r="E2615" s="750"/>
      <c r="F2615" s="750"/>
      <c r="G2615" s="750"/>
      <c r="H2615" s="750"/>
      <c r="I2615" s="750"/>
      <c r="J2615" s="750"/>
    </row>
    <row r="2616" spans="1:10">
      <c r="A2616" s="750"/>
      <c r="B2616" s="750"/>
      <c r="C2616" s="750"/>
      <c r="D2616" s="750"/>
      <c r="E2616" s="750"/>
      <c r="F2616" s="750"/>
      <c r="G2616" s="750"/>
      <c r="H2616" s="750"/>
      <c r="I2616" s="750"/>
      <c r="J2616" s="750"/>
    </row>
    <row r="2617" spans="1:10">
      <c r="A2617" s="750"/>
      <c r="B2617" s="750"/>
      <c r="C2617" s="750"/>
      <c r="D2617" s="750"/>
      <c r="E2617" s="750"/>
      <c r="F2617" s="750"/>
      <c r="G2617" s="750"/>
      <c r="H2617" s="750"/>
      <c r="I2617" s="750"/>
      <c r="J2617" s="750"/>
    </row>
    <row r="2618" spans="1:10">
      <c r="A2618" s="750"/>
      <c r="B2618" s="750"/>
      <c r="C2618" s="750"/>
      <c r="D2618" s="750"/>
      <c r="E2618" s="750"/>
      <c r="F2618" s="750"/>
      <c r="G2618" s="750"/>
      <c r="H2618" s="750"/>
      <c r="I2618" s="750"/>
      <c r="J2618" s="750"/>
    </row>
    <row r="2619" spans="1:10">
      <c r="A2619" s="750"/>
      <c r="B2619" s="750"/>
      <c r="C2619" s="750"/>
      <c r="D2619" s="750"/>
      <c r="E2619" s="750"/>
      <c r="F2619" s="750"/>
      <c r="G2619" s="750"/>
      <c r="H2619" s="750"/>
      <c r="I2619" s="750"/>
      <c r="J2619" s="750"/>
    </row>
    <row r="2620" spans="1:10">
      <c r="A2620" s="750"/>
      <c r="B2620" s="750"/>
      <c r="C2620" s="750"/>
      <c r="D2620" s="750"/>
      <c r="E2620" s="750"/>
      <c r="F2620" s="750"/>
      <c r="G2620" s="750"/>
      <c r="H2620" s="750"/>
      <c r="I2620" s="750"/>
      <c r="J2620" s="750"/>
    </row>
    <row r="2621" spans="1:10">
      <c r="A2621" s="750"/>
      <c r="B2621" s="750"/>
      <c r="C2621" s="750"/>
      <c r="D2621" s="750"/>
      <c r="E2621" s="750"/>
      <c r="F2621" s="750"/>
      <c r="G2621" s="750"/>
      <c r="H2621" s="750"/>
      <c r="I2621" s="750"/>
      <c r="J2621" s="750"/>
    </row>
    <row r="2622" spans="1:10">
      <c r="A2622" s="750"/>
      <c r="B2622" s="750"/>
      <c r="C2622" s="750"/>
      <c r="D2622" s="750"/>
      <c r="E2622" s="750"/>
      <c r="F2622" s="750"/>
      <c r="G2622" s="750"/>
      <c r="H2622" s="750"/>
      <c r="I2622" s="750"/>
      <c r="J2622" s="750"/>
    </row>
    <row r="2623" spans="1:10">
      <c r="A2623" s="750"/>
      <c r="B2623" s="750"/>
      <c r="C2623" s="750"/>
      <c r="D2623" s="750"/>
      <c r="E2623" s="750"/>
      <c r="F2623" s="750"/>
      <c r="G2623" s="750"/>
      <c r="H2623" s="750"/>
      <c r="I2623" s="750"/>
      <c r="J2623" s="750"/>
    </row>
    <row r="2624" spans="1:10">
      <c r="A2624" s="750"/>
      <c r="B2624" s="750"/>
      <c r="C2624" s="750"/>
      <c r="D2624" s="750"/>
      <c r="E2624" s="750"/>
      <c r="F2624" s="750"/>
      <c r="G2624" s="750"/>
      <c r="H2624" s="750"/>
      <c r="I2624" s="750"/>
      <c r="J2624" s="750"/>
    </row>
    <row r="2625" spans="1:10">
      <c r="A2625" s="750"/>
      <c r="B2625" s="750"/>
      <c r="C2625" s="750"/>
      <c r="D2625" s="750"/>
      <c r="E2625" s="750"/>
      <c r="F2625" s="750"/>
      <c r="G2625" s="750"/>
      <c r="H2625" s="750"/>
      <c r="I2625" s="750"/>
      <c r="J2625" s="750"/>
    </row>
    <row r="2626" spans="1:10">
      <c r="A2626" s="750"/>
      <c r="B2626" s="750"/>
      <c r="C2626" s="750"/>
      <c r="D2626" s="750"/>
      <c r="E2626" s="750"/>
      <c r="F2626" s="750"/>
      <c r="G2626" s="750"/>
      <c r="H2626" s="750"/>
      <c r="I2626" s="750"/>
      <c r="J2626" s="750"/>
    </row>
    <row r="2627" spans="1:10">
      <c r="A2627" s="750"/>
      <c r="B2627" s="750"/>
      <c r="C2627" s="750"/>
      <c r="D2627" s="750"/>
      <c r="E2627" s="750"/>
      <c r="F2627" s="750"/>
      <c r="G2627" s="750"/>
      <c r="H2627" s="750"/>
      <c r="I2627" s="750"/>
      <c r="J2627" s="750"/>
    </row>
    <row r="2628" spans="1:10">
      <c r="A2628" s="750"/>
      <c r="B2628" s="750"/>
      <c r="C2628" s="750"/>
      <c r="D2628" s="750"/>
      <c r="E2628" s="750"/>
      <c r="F2628" s="750"/>
      <c r="G2628" s="750"/>
      <c r="H2628" s="750"/>
      <c r="I2628" s="750"/>
      <c r="J2628" s="750"/>
    </row>
    <row r="2629" spans="1:10">
      <c r="A2629" s="750"/>
      <c r="B2629" s="750"/>
      <c r="C2629" s="750"/>
      <c r="D2629" s="750"/>
      <c r="E2629" s="750"/>
      <c r="F2629" s="750"/>
      <c r="G2629" s="750"/>
      <c r="H2629" s="750"/>
      <c r="I2629" s="750"/>
      <c r="J2629" s="750"/>
    </row>
    <row r="2630" spans="1:10">
      <c r="A2630" s="750"/>
      <c r="B2630" s="750"/>
      <c r="C2630" s="750"/>
      <c r="D2630" s="750"/>
      <c r="E2630" s="750"/>
      <c r="F2630" s="750"/>
      <c r="G2630" s="750"/>
      <c r="H2630" s="750"/>
      <c r="I2630" s="750"/>
      <c r="J2630" s="750"/>
    </row>
    <row r="2631" spans="1:10">
      <c r="A2631" s="750"/>
      <c r="B2631" s="750"/>
      <c r="C2631" s="750"/>
      <c r="D2631" s="750"/>
      <c r="E2631" s="750"/>
      <c r="F2631" s="750"/>
      <c r="G2631" s="750"/>
      <c r="H2631" s="750"/>
      <c r="I2631" s="750"/>
      <c r="J2631" s="750"/>
    </row>
    <row r="2632" spans="1:10">
      <c r="A2632" s="750"/>
      <c r="B2632" s="750"/>
      <c r="C2632" s="750"/>
      <c r="D2632" s="750"/>
      <c r="E2632" s="750"/>
      <c r="F2632" s="750"/>
      <c r="G2632" s="750"/>
      <c r="H2632" s="750"/>
      <c r="I2632" s="750"/>
      <c r="J2632" s="750"/>
    </row>
    <row r="2633" spans="1:10">
      <c r="A2633" s="750"/>
      <c r="B2633" s="750"/>
      <c r="C2633" s="750"/>
      <c r="D2633" s="750"/>
      <c r="E2633" s="750"/>
      <c r="F2633" s="750"/>
      <c r="G2633" s="750"/>
      <c r="H2633" s="750"/>
      <c r="I2633" s="750"/>
      <c r="J2633" s="750"/>
    </row>
    <row r="2634" spans="1:10">
      <c r="A2634" s="750"/>
      <c r="B2634" s="750"/>
      <c r="C2634" s="750"/>
      <c r="D2634" s="750"/>
      <c r="E2634" s="750"/>
      <c r="F2634" s="750"/>
      <c r="G2634" s="750"/>
      <c r="H2634" s="750"/>
      <c r="I2634" s="750"/>
      <c r="J2634" s="750"/>
    </row>
    <row r="2635" spans="1:10">
      <c r="A2635" s="750"/>
      <c r="B2635" s="750"/>
      <c r="C2635" s="750"/>
      <c r="D2635" s="750"/>
      <c r="E2635" s="750"/>
      <c r="F2635" s="750"/>
      <c r="G2635" s="750"/>
      <c r="H2635" s="750"/>
      <c r="I2635" s="750"/>
      <c r="J2635" s="750"/>
    </row>
    <row r="2636" spans="1:10">
      <c r="A2636" s="750"/>
      <c r="B2636" s="750"/>
      <c r="C2636" s="750"/>
      <c r="D2636" s="750"/>
      <c r="E2636" s="750"/>
      <c r="F2636" s="750"/>
      <c r="G2636" s="750"/>
      <c r="H2636" s="750"/>
      <c r="I2636" s="750"/>
      <c r="J2636" s="750"/>
    </row>
    <row r="2637" spans="1:10">
      <c r="A2637" s="750"/>
      <c r="B2637" s="750"/>
      <c r="C2637" s="750"/>
      <c r="D2637" s="750"/>
      <c r="E2637" s="750"/>
      <c r="F2637" s="750"/>
      <c r="G2637" s="750"/>
      <c r="H2637" s="750"/>
      <c r="I2637" s="750"/>
      <c r="J2637" s="750"/>
    </row>
    <row r="2638" spans="1:10">
      <c r="A2638" s="750"/>
      <c r="B2638" s="750"/>
      <c r="C2638" s="750"/>
      <c r="D2638" s="750"/>
      <c r="E2638" s="750"/>
      <c r="F2638" s="750"/>
      <c r="G2638" s="750"/>
      <c r="H2638" s="750"/>
      <c r="I2638" s="750"/>
      <c r="J2638" s="750"/>
    </row>
    <row r="2639" spans="1:10">
      <c r="A2639" s="750"/>
      <c r="B2639" s="750"/>
      <c r="C2639" s="750"/>
      <c r="D2639" s="750"/>
      <c r="E2639" s="750"/>
      <c r="F2639" s="750"/>
      <c r="G2639" s="750"/>
      <c r="H2639" s="750"/>
      <c r="I2639" s="750"/>
      <c r="J2639" s="750"/>
    </row>
    <row r="2640" spans="1:10">
      <c r="A2640" s="750"/>
      <c r="B2640" s="750"/>
      <c r="C2640" s="750"/>
      <c r="D2640" s="750"/>
      <c r="E2640" s="750"/>
      <c r="F2640" s="750"/>
      <c r="G2640" s="750"/>
      <c r="H2640" s="750"/>
      <c r="I2640" s="750"/>
      <c r="J2640" s="750"/>
    </row>
    <row r="2641" spans="1:10">
      <c r="A2641" s="750"/>
      <c r="B2641" s="750"/>
      <c r="C2641" s="750"/>
      <c r="D2641" s="750"/>
      <c r="E2641" s="750"/>
      <c r="F2641" s="750"/>
      <c r="G2641" s="750"/>
      <c r="H2641" s="750"/>
      <c r="I2641" s="750"/>
      <c r="J2641" s="750"/>
    </row>
    <row r="2642" spans="1:10">
      <c r="A2642" s="750"/>
      <c r="B2642" s="750"/>
      <c r="C2642" s="750"/>
      <c r="D2642" s="750"/>
      <c r="E2642" s="750"/>
      <c r="F2642" s="750"/>
      <c r="G2642" s="750"/>
      <c r="H2642" s="750"/>
      <c r="I2642" s="750"/>
      <c r="J2642" s="750"/>
    </row>
    <row r="2643" spans="1:10">
      <c r="A2643" s="750"/>
      <c r="B2643" s="750"/>
      <c r="C2643" s="750"/>
      <c r="D2643" s="750"/>
      <c r="E2643" s="750"/>
      <c r="F2643" s="750"/>
      <c r="G2643" s="750"/>
      <c r="H2643" s="750"/>
      <c r="I2643" s="750"/>
      <c r="J2643" s="750"/>
    </row>
    <row r="2644" spans="1:10">
      <c r="A2644" s="750"/>
      <c r="B2644" s="750"/>
      <c r="C2644" s="750"/>
      <c r="D2644" s="750"/>
      <c r="E2644" s="750"/>
      <c r="F2644" s="750"/>
      <c r="G2644" s="750"/>
      <c r="H2644" s="750"/>
      <c r="I2644" s="750"/>
      <c r="J2644" s="750"/>
    </row>
    <row r="2645" spans="1:10">
      <c r="A2645" s="750"/>
      <c r="B2645" s="750"/>
      <c r="C2645" s="750"/>
      <c r="D2645" s="750"/>
      <c r="E2645" s="750"/>
      <c r="F2645" s="750"/>
      <c r="G2645" s="750"/>
      <c r="H2645" s="750"/>
      <c r="I2645" s="750"/>
      <c r="J2645" s="750"/>
    </row>
    <row r="2646" spans="1:10">
      <c r="A2646" s="750"/>
      <c r="B2646" s="750"/>
      <c r="C2646" s="750"/>
      <c r="D2646" s="750"/>
      <c r="E2646" s="750"/>
      <c r="F2646" s="750"/>
      <c r="G2646" s="750"/>
      <c r="H2646" s="750"/>
      <c r="I2646" s="750"/>
      <c r="J2646" s="750"/>
    </row>
    <row r="2647" spans="1:10">
      <c r="A2647" s="750"/>
      <c r="B2647" s="750"/>
      <c r="C2647" s="750"/>
      <c r="D2647" s="750"/>
      <c r="E2647" s="750"/>
      <c r="F2647" s="750"/>
      <c r="G2647" s="750"/>
      <c r="H2647" s="750"/>
      <c r="I2647" s="750"/>
      <c r="J2647" s="750"/>
    </row>
    <row r="2648" spans="1:10">
      <c r="A2648" s="750"/>
      <c r="B2648" s="750"/>
      <c r="C2648" s="750"/>
      <c r="D2648" s="750"/>
      <c r="E2648" s="750"/>
      <c r="F2648" s="750"/>
      <c r="G2648" s="750"/>
      <c r="H2648" s="750"/>
      <c r="I2648" s="750"/>
      <c r="J2648" s="750"/>
    </row>
    <row r="2649" spans="1:10">
      <c r="A2649" s="750"/>
      <c r="B2649" s="750"/>
      <c r="C2649" s="750"/>
      <c r="D2649" s="750"/>
      <c r="E2649" s="750"/>
      <c r="F2649" s="750"/>
      <c r="G2649" s="750"/>
      <c r="H2649" s="750"/>
      <c r="I2649" s="750"/>
      <c r="J2649" s="750"/>
    </row>
    <row r="2650" spans="1:10">
      <c r="A2650" s="750"/>
      <c r="B2650" s="750"/>
      <c r="C2650" s="750"/>
      <c r="D2650" s="750"/>
      <c r="E2650" s="750"/>
      <c r="F2650" s="750"/>
      <c r="G2650" s="750"/>
      <c r="H2650" s="750"/>
      <c r="I2650" s="750"/>
      <c r="J2650" s="750"/>
    </row>
    <row r="2651" spans="1:10">
      <c r="A2651" s="750"/>
      <c r="B2651" s="750"/>
      <c r="C2651" s="750"/>
      <c r="D2651" s="750"/>
      <c r="E2651" s="750"/>
      <c r="F2651" s="750"/>
      <c r="G2651" s="750"/>
      <c r="H2651" s="750"/>
      <c r="I2651" s="750"/>
      <c r="J2651" s="750"/>
    </row>
    <row r="2652" spans="1:10">
      <c r="A2652" s="750"/>
      <c r="B2652" s="750"/>
      <c r="C2652" s="750"/>
      <c r="D2652" s="750"/>
      <c r="E2652" s="750"/>
      <c r="F2652" s="750"/>
      <c r="G2652" s="750"/>
      <c r="H2652" s="750"/>
      <c r="I2652" s="750"/>
      <c r="J2652" s="750"/>
    </row>
    <row r="2653" spans="1:10">
      <c r="A2653" s="750"/>
      <c r="B2653" s="750"/>
      <c r="C2653" s="750"/>
      <c r="D2653" s="750"/>
      <c r="E2653" s="750"/>
      <c r="F2653" s="750"/>
      <c r="G2653" s="750"/>
      <c r="H2653" s="750"/>
      <c r="I2653" s="750"/>
      <c r="J2653" s="750"/>
    </row>
    <row r="2654" spans="1:10">
      <c r="A2654" s="750"/>
      <c r="B2654" s="750"/>
      <c r="C2654" s="750"/>
      <c r="D2654" s="750"/>
      <c r="E2654" s="750"/>
      <c r="F2654" s="750"/>
      <c r="G2654" s="750"/>
      <c r="H2654" s="750"/>
      <c r="I2654" s="750"/>
      <c r="J2654" s="750"/>
    </row>
    <row r="2655" spans="1:10">
      <c r="A2655" s="750"/>
      <c r="B2655" s="750"/>
      <c r="C2655" s="750"/>
      <c r="D2655" s="750"/>
      <c r="E2655" s="750"/>
      <c r="F2655" s="750"/>
      <c r="G2655" s="750"/>
      <c r="H2655" s="750"/>
      <c r="I2655" s="750"/>
      <c r="J2655" s="750"/>
    </row>
    <row r="2656" spans="1:10">
      <c r="A2656" s="750"/>
      <c r="B2656" s="750"/>
      <c r="C2656" s="750"/>
      <c r="D2656" s="750"/>
      <c r="E2656" s="750"/>
      <c r="F2656" s="750"/>
      <c r="G2656" s="750"/>
      <c r="H2656" s="750"/>
      <c r="I2656" s="750"/>
      <c r="J2656" s="750"/>
    </row>
    <row r="2657" spans="1:10">
      <c r="A2657" s="750"/>
      <c r="B2657" s="750"/>
      <c r="C2657" s="750"/>
      <c r="D2657" s="750"/>
      <c r="E2657" s="750"/>
      <c r="F2657" s="750"/>
      <c r="G2657" s="750"/>
      <c r="H2657" s="750"/>
      <c r="I2657" s="750"/>
      <c r="J2657" s="750"/>
    </row>
    <row r="2658" spans="1:10">
      <c r="A2658" s="750"/>
      <c r="B2658" s="750"/>
      <c r="C2658" s="750"/>
      <c r="D2658" s="750"/>
      <c r="E2658" s="750"/>
      <c r="F2658" s="750"/>
      <c r="G2658" s="750"/>
      <c r="H2658" s="750"/>
      <c r="I2658" s="750"/>
      <c r="J2658" s="750"/>
    </row>
    <row r="2659" spans="1:10">
      <c r="A2659" s="750"/>
      <c r="B2659" s="750"/>
      <c r="C2659" s="750"/>
      <c r="D2659" s="750"/>
      <c r="E2659" s="750"/>
      <c r="F2659" s="750"/>
      <c r="G2659" s="750"/>
      <c r="H2659" s="750"/>
      <c r="I2659" s="750"/>
      <c r="J2659" s="750"/>
    </row>
    <row r="2660" spans="1:10">
      <c r="A2660" s="750"/>
      <c r="B2660" s="750"/>
      <c r="C2660" s="750"/>
      <c r="D2660" s="750"/>
      <c r="E2660" s="750"/>
      <c r="F2660" s="750"/>
      <c r="G2660" s="750"/>
      <c r="H2660" s="750"/>
      <c r="I2660" s="750"/>
      <c r="J2660" s="750"/>
    </row>
    <row r="2661" spans="1:10">
      <c r="A2661" s="750"/>
      <c r="B2661" s="750"/>
      <c r="C2661" s="750"/>
      <c r="D2661" s="750"/>
      <c r="E2661" s="750"/>
      <c r="F2661" s="750"/>
      <c r="G2661" s="750"/>
      <c r="H2661" s="750"/>
      <c r="I2661" s="750"/>
      <c r="J2661" s="750"/>
    </row>
    <row r="2662" spans="1:10">
      <c r="A2662" s="750"/>
      <c r="B2662" s="750"/>
      <c r="C2662" s="750"/>
      <c r="D2662" s="750"/>
      <c r="E2662" s="750"/>
      <c r="F2662" s="750"/>
      <c r="G2662" s="750"/>
      <c r="H2662" s="750"/>
      <c r="I2662" s="750"/>
      <c r="J2662" s="750"/>
    </row>
    <row r="2663" spans="1:10">
      <c r="A2663" s="750"/>
      <c r="B2663" s="750"/>
      <c r="C2663" s="750"/>
      <c r="D2663" s="750"/>
      <c r="E2663" s="750"/>
      <c r="F2663" s="750"/>
      <c r="G2663" s="750"/>
      <c r="H2663" s="750"/>
      <c r="I2663" s="750"/>
      <c r="J2663" s="750"/>
    </row>
    <row r="2664" spans="1:10">
      <c r="A2664" s="750"/>
      <c r="B2664" s="750"/>
      <c r="C2664" s="750"/>
      <c r="D2664" s="750"/>
      <c r="E2664" s="750"/>
      <c r="F2664" s="750"/>
      <c r="G2664" s="750"/>
      <c r="H2664" s="750"/>
      <c r="I2664" s="750"/>
      <c r="J2664" s="750"/>
    </row>
    <row r="2665" spans="1:10">
      <c r="A2665" s="750"/>
      <c r="B2665" s="750"/>
      <c r="C2665" s="750"/>
      <c r="D2665" s="750"/>
      <c r="E2665" s="750"/>
      <c r="F2665" s="750"/>
      <c r="G2665" s="750"/>
      <c r="H2665" s="750"/>
      <c r="I2665" s="750"/>
      <c r="J2665" s="750"/>
    </row>
    <row r="2666" spans="1:10">
      <c r="A2666" s="750"/>
      <c r="B2666" s="750"/>
      <c r="C2666" s="750"/>
      <c r="D2666" s="750"/>
      <c r="E2666" s="750"/>
      <c r="F2666" s="750"/>
      <c r="G2666" s="750"/>
      <c r="H2666" s="750"/>
      <c r="I2666" s="750"/>
      <c r="J2666" s="750"/>
    </row>
    <row r="2667" spans="1:10">
      <c r="A2667" s="750"/>
      <c r="B2667" s="750"/>
      <c r="C2667" s="750"/>
      <c r="D2667" s="750"/>
      <c r="E2667" s="750"/>
      <c r="F2667" s="750"/>
      <c r="G2667" s="750"/>
      <c r="H2667" s="750"/>
      <c r="I2667" s="750"/>
      <c r="J2667" s="750"/>
    </row>
    <row r="2668" spans="1:10">
      <c r="A2668" s="750"/>
      <c r="B2668" s="750"/>
      <c r="C2668" s="750"/>
      <c r="D2668" s="750"/>
      <c r="E2668" s="750"/>
      <c r="F2668" s="750"/>
      <c r="G2668" s="750"/>
      <c r="H2668" s="750"/>
      <c r="I2668" s="750"/>
      <c r="J2668" s="750"/>
    </row>
    <row r="2669" spans="1:10">
      <c r="A2669" s="750"/>
      <c r="B2669" s="750"/>
      <c r="C2669" s="750"/>
      <c r="D2669" s="750"/>
      <c r="E2669" s="750"/>
      <c r="F2669" s="750"/>
      <c r="G2669" s="750"/>
      <c r="H2669" s="750"/>
      <c r="I2669" s="750"/>
      <c r="J2669" s="750"/>
    </row>
    <row r="2670" spans="1:10">
      <c r="A2670" s="750"/>
      <c r="B2670" s="750"/>
      <c r="C2670" s="750"/>
      <c r="D2670" s="750"/>
      <c r="E2670" s="750"/>
      <c r="F2670" s="750"/>
      <c r="G2670" s="750"/>
      <c r="H2670" s="750"/>
      <c r="I2670" s="750"/>
      <c r="J2670" s="750"/>
    </row>
    <row r="2671" spans="1:10">
      <c r="A2671" s="750"/>
      <c r="B2671" s="750"/>
      <c r="C2671" s="750"/>
      <c r="D2671" s="750"/>
      <c r="E2671" s="750"/>
      <c r="F2671" s="750"/>
      <c r="G2671" s="750"/>
      <c r="H2671" s="750"/>
      <c r="I2671" s="750"/>
      <c r="J2671" s="750"/>
    </row>
    <row r="2672" spans="1:10">
      <c r="A2672" s="750"/>
      <c r="B2672" s="750"/>
      <c r="C2672" s="750"/>
      <c r="D2672" s="750"/>
      <c r="E2672" s="750"/>
      <c r="F2672" s="750"/>
      <c r="G2672" s="750"/>
      <c r="H2672" s="750"/>
      <c r="I2672" s="750"/>
      <c r="J2672" s="750"/>
    </row>
    <row r="2673" spans="1:10">
      <c r="A2673" s="750"/>
      <c r="B2673" s="750"/>
      <c r="C2673" s="750"/>
      <c r="D2673" s="750"/>
      <c r="E2673" s="750"/>
      <c r="F2673" s="750"/>
      <c r="G2673" s="750"/>
      <c r="H2673" s="750"/>
      <c r="I2673" s="750"/>
      <c r="J2673" s="750"/>
    </row>
    <row r="2674" spans="1:10">
      <c r="A2674" s="750"/>
      <c r="B2674" s="750"/>
      <c r="C2674" s="750"/>
      <c r="D2674" s="750"/>
      <c r="E2674" s="750"/>
      <c r="F2674" s="750"/>
      <c r="G2674" s="750"/>
      <c r="H2674" s="750"/>
      <c r="I2674" s="750"/>
      <c r="J2674" s="750"/>
    </row>
    <row r="2675" spans="1:10">
      <c r="A2675" s="750"/>
      <c r="B2675" s="750"/>
      <c r="C2675" s="750"/>
      <c r="D2675" s="750"/>
      <c r="E2675" s="750"/>
      <c r="F2675" s="750"/>
      <c r="G2675" s="750"/>
      <c r="H2675" s="750"/>
      <c r="I2675" s="750"/>
      <c r="J2675" s="750"/>
    </row>
    <row r="2676" spans="1:10">
      <c r="A2676" s="750"/>
      <c r="B2676" s="750"/>
      <c r="C2676" s="750"/>
      <c r="D2676" s="750"/>
      <c r="E2676" s="750"/>
      <c r="F2676" s="750"/>
      <c r="G2676" s="750"/>
      <c r="H2676" s="750"/>
      <c r="I2676" s="750"/>
      <c r="J2676" s="750"/>
    </row>
    <row r="2677" spans="1:10">
      <c r="A2677" s="750"/>
      <c r="B2677" s="750"/>
      <c r="C2677" s="750"/>
      <c r="D2677" s="750"/>
      <c r="E2677" s="750"/>
      <c r="F2677" s="750"/>
      <c r="G2677" s="750"/>
      <c r="H2677" s="750"/>
      <c r="I2677" s="750"/>
      <c r="J2677" s="750"/>
    </row>
    <row r="2678" spans="1:10">
      <c r="A2678" s="750"/>
      <c r="B2678" s="750"/>
      <c r="C2678" s="750"/>
      <c r="D2678" s="750"/>
      <c r="E2678" s="750"/>
      <c r="F2678" s="750"/>
      <c r="G2678" s="750"/>
      <c r="H2678" s="750"/>
      <c r="I2678" s="750"/>
      <c r="J2678" s="750"/>
    </row>
    <row r="2679" spans="1:10">
      <c r="A2679" s="750"/>
      <c r="B2679" s="750"/>
      <c r="C2679" s="750"/>
      <c r="D2679" s="750"/>
      <c r="E2679" s="750"/>
      <c r="F2679" s="750"/>
      <c r="G2679" s="750"/>
      <c r="H2679" s="750"/>
      <c r="I2679" s="750"/>
      <c r="J2679" s="750"/>
    </row>
    <row r="2680" spans="1:10">
      <c r="A2680" s="750"/>
      <c r="B2680" s="750"/>
      <c r="C2680" s="750"/>
      <c r="D2680" s="750"/>
      <c r="E2680" s="750"/>
      <c r="F2680" s="750"/>
      <c r="G2680" s="750"/>
      <c r="H2680" s="750"/>
      <c r="I2680" s="750"/>
      <c r="J2680" s="750"/>
    </row>
    <row r="2681" spans="1:10">
      <c r="A2681" s="750"/>
      <c r="B2681" s="750"/>
      <c r="C2681" s="750"/>
      <c r="D2681" s="750"/>
      <c r="E2681" s="750"/>
      <c r="F2681" s="750"/>
      <c r="G2681" s="750"/>
      <c r="H2681" s="750"/>
      <c r="I2681" s="750"/>
      <c r="J2681" s="750"/>
    </row>
    <row r="2682" spans="1:10">
      <c r="A2682" s="750"/>
      <c r="B2682" s="750"/>
      <c r="C2682" s="750"/>
      <c r="D2682" s="750"/>
      <c r="E2682" s="750"/>
      <c r="F2682" s="750"/>
      <c r="G2682" s="750"/>
      <c r="H2682" s="750"/>
      <c r="I2682" s="750"/>
      <c r="J2682" s="750"/>
    </row>
    <row r="2683" spans="1:10">
      <c r="A2683" s="750"/>
      <c r="B2683" s="750"/>
      <c r="C2683" s="750"/>
      <c r="D2683" s="750"/>
      <c r="E2683" s="750"/>
      <c r="F2683" s="750"/>
      <c r="G2683" s="750"/>
      <c r="H2683" s="750"/>
      <c r="I2683" s="750"/>
      <c r="J2683" s="750"/>
    </row>
    <row r="2684" spans="1:10">
      <c r="A2684" s="750"/>
      <c r="B2684" s="750"/>
      <c r="C2684" s="750"/>
      <c r="D2684" s="750"/>
      <c r="E2684" s="750"/>
      <c r="F2684" s="750"/>
      <c r="G2684" s="750"/>
      <c r="H2684" s="750"/>
      <c r="I2684" s="750"/>
      <c r="J2684" s="750"/>
    </row>
    <row r="2685" spans="1:10">
      <c r="A2685" s="750"/>
      <c r="B2685" s="750"/>
      <c r="C2685" s="750"/>
      <c r="D2685" s="750"/>
      <c r="E2685" s="750"/>
      <c r="F2685" s="750"/>
      <c r="G2685" s="750"/>
      <c r="H2685" s="750"/>
      <c r="I2685" s="750"/>
      <c r="J2685" s="750"/>
    </row>
    <row r="2686" spans="1:10">
      <c r="A2686" s="750"/>
      <c r="B2686" s="750"/>
      <c r="C2686" s="750"/>
      <c r="D2686" s="750"/>
      <c r="E2686" s="750"/>
      <c r="F2686" s="750"/>
      <c r="G2686" s="750"/>
      <c r="H2686" s="750"/>
      <c r="I2686" s="750"/>
      <c r="J2686" s="750"/>
    </row>
    <row r="2687" spans="1:10">
      <c r="A2687" s="750"/>
      <c r="B2687" s="750"/>
      <c r="C2687" s="750"/>
      <c r="D2687" s="750"/>
      <c r="E2687" s="750"/>
      <c r="F2687" s="750"/>
      <c r="G2687" s="750"/>
      <c r="H2687" s="750"/>
      <c r="I2687" s="750"/>
      <c r="J2687" s="750"/>
    </row>
    <row r="2688" spans="1:10">
      <c r="A2688" s="750"/>
      <c r="B2688" s="750"/>
      <c r="C2688" s="750"/>
      <c r="D2688" s="750"/>
      <c r="E2688" s="750"/>
      <c r="F2688" s="750"/>
      <c r="G2688" s="750"/>
      <c r="H2688" s="750"/>
      <c r="I2688" s="750"/>
      <c r="J2688" s="750"/>
    </row>
    <row r="2689" spans="1:10">
      <c r="A2689" s="750"/>
      <c r="B2689" s="750"/>
      <c r="C2689" s="750"/>
      <c r="D2689" s="750"/>
      <c r="E2689" s="750"/>
      <c r="F2689" s="750"/>
      <c r="G2689" s="750"/>
      <c r="H2689" s="750"/>
      <c r="I2689" s="750"/>
      <c r="J2689" s="750"/>
    </row>
    <row r="2690" spans="1:10">
      <c r="A2690" s="750"/>
      <c r="B2690" s="750"/>
      <c r="C2690" s="750"/>
      <c r="D2690" s="750"/>
      <c r="E2690" s="750"/>
      <c r="F2690" s="750"/>
      <c r="G2690" s="750"/>
      <c r="H2690" s="750"/>
      <c r="I2690" s="750"/>
      <c r="J2690" s="750"/>
    </row>
    <row r="2691" spans="1:10">
      <c r="A2691" s="750"/>
      <c r="B2691" s="750"/>
      <c r="C2691" s="750"/>
      <c r="D2691" s="750"/>
      <c r="E2691" s="750"/>
      <c r="F2691" s="750"/>
      <c r="G2691" s="750"/>
      <c r="H2691" s="750"/>
      <c r="I2691" s="750"/>
      <c r="J2691" s="750"/>
    </row>
    <row r="2692" spans="1:10">
      <c r="A2692" s="750"/>
      <c r="B2692" s="750"/>
      <c r="C2692" s="750"/>
      <c r="D2692" s="750"/>
      <c r="E2692" s="750"/>
      <c r="F2692" s="750"/>
      <c r="G2692" s="750"/>
      <c r="H2692" s="750"/>
      <c r="I2692" s="750"/>
      <c r="J2692" s="750"/>
    </row>
    <row r="2693" spans="1:10">
      <c r="A2693" s="750"/>
      <c r="B2693" s="750"/>
      <c r="C2693" s="750"/>
      <c r="D2693" s="750"/>
      <c r="E2693" s="750"/>
      <c r="F2693" s="750"/>
      <c r="G2693" s="750"/>
      <c r="H2693" s="750"/>
      <c r="I2693" s="750"/>
      <c r="J2693" s="750"/>
    </row>
    <row r="2694" spans="1:10">
      <c r="A2694" s="750"/>
      <c r="B2694" s="750"/>
      <c r="C2694" s="750"/>
      <c r="D2694" s="750"/>
      <c r="E2694" s="750"/>
      <c r="F2694" s="750"/>
      <c r="G2694" s="750"/>
      <c r="H2694" s="750"/>
      <c r="I2694" s="750"/>
      <c r="J2694" s="750"/>
    </row>
    <row r="2695" spans="1:10">
      <c r="A2695" s="750"/>
      <c r="B2695" s="750"/>
      <c r="C2695" s="750"/>
      <c r="D2695" s="750"/>
      <c r="E2695" s="750"/>
      <c r="F2695" s="750"/>
      <c r="G2695" s="750"/>
      <c r="H2695" s="750"/>
      <c r="I2695" s="750"/>
      <c r="J2695" s="750"/>
    </row>
    <row r="2696" spans="1:10">
      <c r="A2696" s="750"/>
      <c r="B2696" s="750"/>
      <c r="C2696" s="750"/>
      <c r="D2696" s="750"/>
      <c r="E2696" s="750"/>
      <c r="F2696" s="750"/>
      <c r="G2696" s="750"/>
      <c r="H2696" s="750"/>
      <c r="I2696" s="750"/>
      <c r="J2696" s="750"/>
    </row>
    <row r="2697" spans="1:10">
      <c r="A2697" s="750"/>
      <c r="B2697" s="750"/>
      <c r="C2697" s="750"/>
      <c r="D2697" s="750"/>
      <c r="E2697" s="750"/>
      <c r="F2697" s="750"/>
      <c r="G2697" s="750"/>
      <c r="H2697" s="750"/>
      <c r="I2697" s="750"/>
      <c r="J2697" s="750"/>
    </row>
    <row r="2698" spans="1:10">
      <c r="A2698" s="750"/>
      <c r="B2698" s="750"/>
      <c r="C2698" s="750"/>
      <c r="D2698" s="750"/>
      <c r="E2698" s="750"/>
      <c r="F2698" s="750"/>
      <c r="G2698" s="750"/>
      <c r="H2698" s="750"/>
      <c r="I2698" s="750"/>
      <c r="J2698" s="750"/>
    </row>
    <row r="2699" spans="1:10">
      <c r="A2699" s="750"/>
      <c r="B2699" s="750"/>
      <c r="C2699" s="750"/>
      <c r="D2699" s="750"/>
      <c r="E2699" s="750"/>
      <c r="F2699" s="750"/>
      <c r="G2699" s="750"/>
      <c r="H2699" s="750"/>
      <c r="I2699" s="750"/>
      <c r="J2699" s="750"/>
    </row>
    <row r="2700" spans="1:10">
      <c r="A2700" s="750"/>
      <c r="B2700" s="750"/>
      <c r="C2700" s="750"/>
      <c r="D2700" s="750"/>
      <c r="E2700" s="750"/>
      <c r="F2700" s="750"/>
      <c r="G2700" s="750"/>
      <c r="H2700" s="750"/>
      <c r="I2700" s="750"/>
      <c r="J2700" s="750"/>
    </row>
    <row r="2701" spans="1:10">
      <c r="A2701" s="750"/>
      <c r="B2701" s="750"/>
      <c r="C2701" s="750"/>
      <c r="D2701" s="750"/>
      <c r="E2701" s="750"/>
      <c r="F2701" s="750"/>
      <c r="G2701" s="750"/>
      <c r="H2701" s="750"/>
      <c r="I2701" s="750"/>
      <c r="J2701" s="750"/>
    </row>
    <row r="2702" spans="1:10">
      <c r="A2702" s="750"/>
      <c r="B2702" s="750"/>
      <c r="C2702" s="750"/>
      <c r="D2702" s="750"/>
      <c r="E2702" s="750"/>
      <c r="F2702" s="750"/>
      <c r="G2702" s="750"/>
      <c r="H2702" s="750"/>
      <c r="I2702" s="750"/>
      <c r="J2702" s="750"/>
    </row>
    <row r="2703" spans="1:10">
      <c r="A2703" s="750"/>
      <c r="B2703" s="750"/>
      <c r="C2703" s="750"/>
      <c r="D2703" s="750"/>
      <c r="E2703" s="750"/>
      <c r="F2703" s="750"/>
      <c r="G2703" s="750"/>
      <c r="H2703" s="750"/>
      <c r="I2703" s="750"/>
      <c r="J2703" s="750"/>
    </row>
    <row r="2704" spans="1:10">
      <c r="A2704" s="750"/>
      <c r="B2704" s="750"/>
      <c r="C2704" s="750"/>
      <c r="D2704" s="750"/>
      <c r="E2704" s="750"/>
      <c r="F2704" s="750"/>
      <c r="G2704" s="750"/>
      <c r="H2704" s="750"/>
      <c r="I2704" s="750"/>
      <c r="J2704" s="750"/>
    </row>
  </sheetData>
  <mergeCells count="1">
    <mergeCell ref="A2536:J2704"/>
  </mergeCells>
  <hyperlinks>
    <hyperlink ref="F13" r:id="rId1" location="overview" xr:uid="{A3BE4CF1-D83A-1B41-9576-45011F2B013F}"/>
  </hyperlinks>
  <pageMargins left="0.7" right="0.7" top="0.75" bottom="0.75" header="0.3" footer="0.3"/>
  <pageSetup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38573-1AF5-4FCB-A5F4-6BC2ED91B528}">
  <sheetPr>
    <tabColor rgb="FFAFDEFF"/>
  </sheetPr>
  <dimension ref="B1:V3330"/>
  <sheetViews>
    <sheetView showGridLines="0" workbookViewId="0">
      <selection activeCell="K9" sqref="K9"/>
    </sheetView>
  </sheetViews>
  <sheetFormatPr baseColWidth="10" defaultColWidth="8.83203125" defaultRowHeight="12"/>
  <cols>
    <col min="1" max="2" width="3.1640625" style="1" customWidth="1"/>
    <col min="3" max="3" width="8.6640625" style="114" customWidth="1"/>
    <col min="4" max="4" width="10.1640625" style="1" customWidth="1"/>
    <col min="5" max="5" width="9.5" style="1" bestFit="1" customWidth="1"/>
    <col min="6" max="8" width="9" style="1" bestFit="1" customWidth="1"/>
    <col min="9" max="9" width="12.5" style="1" bestFit="1" customWidth="1"/>
    <col min="10" max="19" width="8.83203125" style="1"/>
    <col min="20" max="20" width="8.83203125" style="1" customWidth="1"/>
    <col min="21" max="21" width="8.83203125" style="1"/>
    <col min="22" max="22" width="10.1640625" style="1" bestFit="1" customWidth="1"/>
    <col min="23" max="25" width="8.83203125" style="1"/>
    <col min="26" max="26" width="8.83203125" style="1" customWidth="1"/>
    <col min="27" max="16384" width="8.83203125" style="1"/>
  </cols>
  <sheetData>
    <row r="1" spans="2:22" s="518" customFormat="1"/>
    <row r="2" spans="2:22" s="518" customFormat="1" ht="18">
      <c r="B2" s="462"/>
      <c r="C2" s="457"/>
    </row>
    <row r="3" spans="2:22" s="518" customFormat="1" ht="13">
      <c r="B3" s="459"/>
      <c r="C3" s="461" t="s">
        <v>856</v>
      </c>
    </row>
    <row r="4" spans="2:22" s="518" customFormat="1">
      <c r="B4" s="459"/>
      <c r="C4" s="460" t="s">
        <v>316</v>
      </c>
    </row>
    <row r="5" spans="2:22" s="518" customFormat="1" ht="7.75" customHeight="1">
      <c r="B5" s="542"/>
    </row>
    <row r="6" spans="2:22">
      <c r="B6" s="4"/>
      <c r="C6" s="1"/>
    </row>
    <row r="7" spans="2:22">
      <c r="B7" s="566"/>
      <c r="C7" s="520" t="s">
        <v>92</v>
      </c>
      <c r="D7" s="520" t="s">
        <v>210</v>
      </c>
      <c r="E7" s="520" t="s">
        <v>211</v>
      </c>
      <c r="F7" s="520" t="s">
        <v>212</v>
      </c>
      <c r="G7" s="520" t="s">
        <v>309</v>
      </c>
      <c r="H7" s="520" t="s">
        <v>310</v>
      </c>
      <c r="I7" s="520" t="s">
        <v>311</v>
      </c>
    </row>
    <row r="8" spans="2:22">
      <c r="C8" s="125">
        <v>46003</v>
      </c>
      <c r="D8" s="34">
        <v>230.02</v>
      </c>
      <c r="E8" s="115">
        <v>230.08</v>
      </c>
      <c r="F8" s="34">
        <v>225.12</v>
      </c>
      <c r="G8" s="34">
        <v>226.19</v>
      </c>
      <c r="H8" s="34">
        <v>226.19</v>
      </c>
      <c r="I8" s="29">
        <v>33011277</v>
      </c>
      <c r="K8" s="42" t="s">
        <v>312</v>
      </c>
    </row>
    <row r="9" spans="2:22" ht="16">
      <c r="C9" s="125">
        <v>46002</v>
      </c>
      <c r="D9" s="34">
        <v>230.71</v>
      </c>
      <c r="E9" s="115">
        <v>232.11</v>
      </c>
      <c r="F9" s="34">
        <v>228.69</v>
      </c>
      <c r="G9" s="34">
        <v>230.28</v>
      </c>
      <c r="H9" s="34">
        <v>230.28</v>
      </c>
      <c r="I9" s="29">
        <v>28249600</v>
      </c>
      <c r="K9" s="734" t="s">
        <v>858</v>
      </c>
      <c r="P9" s="731"/>
      <c r="Q9" s="731"/>
      <c r="R9" s="731"/>
      <c r="S9" s="731"/>
      <c r="T9" s="731"/>
      <c r="U9" s="731"/>
      <c r="V9" s="731"/>
    </row>
    <row r="10" spans="2:22">
      <c r="C10" s="125">
        <v>46001</v>
      </c>
      <c r="D10" s="34">
        <v>228.81</v>
      </c>
      <c r="E10" s="115">
        <v>232.42</v>
      </c>
      <c r="F10" s="34">
        <v>228.46</v>
      </c>
      <c r="G10" s="34">
        <v>231.78</v>
      </c>
      <c r="H10" s="34">
        <v>231.78</v>
      </c>
      <c r="I10" s="29">
        <v>38790700</v>
      </c>
      <c r="P10" s="125"/>
      <c r="Q10" s="34"/>
      <c r="R10" s="115"/>
      <c r="S10" s="34"/>
      <c r="T10" s="34"/>
      <c r="U10" s="34"/>
      <c r="V10" s="29"/>
    </row>
    <row r="11" spans="2:22">
      <c r="C11" s="125">
        <v>46000</v>
      </c>
      <c r="D11" s="34">
        <v>226.84</v>
      </c>
      <c r="E11" s="115">
        <v>228.57</v>
      </c>
      <c r="F11" s="34">
        <v>225.11</v>
      </c>
      <c r="G11" s="34">
        <v>227.92</v>
      </c>
      <c r="H11" s="34">
        <v>227.92</v>
      </c>
      <c r="I11" s="29">
        <v>25841700</v>
      </c>
      <c r="P11" s="125"/>
      <c r="Q11" s="34"/>
      <c r="R11" s="115"/>
      <c r="S11" s="34"/>
      <c r="T11" s="34"/>
      <c r="U11" s="34"/>
      <c r="V11" s="29"/>
    </row>
    <row r="12" spans="2:22">
      <c r="C12" s="125">
        <v>45999</v>
      </c>
      <c r="D12" s="34">
        <v>229.59</v>
      </c>
      <c r="E12" s="115">
        <v>230.83</v>
      </c>
      <c r="F12" s="34">
        <v>226.27</v>
      </c>
      <c r="G12" s="34">
        <v>226.89</v>
      </c>
      <c r="H12" s="34">
        <v>226.89</v>
      </c>
      <c r="I12" s="29">
        <v>35019200</v>
      </c>
      <c r="P12" s="125"/>
      <c r="Q12" s="34"/>
      <c r="R12" s="115"/>
      <c r="S12" s="34"/>
      <c r="T12" s="34"/>
      <c r="U12" s="34"/>
      <c r="V12" s="29"/>
    </row>
    <row r="13" spans="2:22">
      <c r="C13" s="125">
        <v>45996</v>
      </c>
      <c r="D13" s="34">
        <v>230.32</v>
      </c>
      <c r="E13" s="115">
        <v>231.24</v>
      </c>
      <c r="F13" s="34">
        <v>228.55</v>
      </c>
      <c r="G13" s="34">
        <v>229.53</v>
      </c>
      <c r="H13" s="34">
        <v>229.53</v>
      </c>
      <c r="I13" s="29">
        <v>33117400</v>
      </c>
      <c r="P13" s="125"/>
      <c r="Q13" s="34"/>
      <c r="R13" s="115"/>
      <c r="S13" s="34"/>
      <c r="T13" s="34"/>
      <c r="U13" s="34"/>
      <c r="V13" s="29"/>
    </row>
    <row r="14" spans="2:22">
      <c r="C14" s="125">
        <v>45995</v>
      </c>
      <c r="D14" s="34">
        <v>232.77</v>
      </c>
      <c r="E14" s="115">
        <v>233.5</v>
      </c>
      <c r="F14" s="34">
        <v>226.8</v>
      </c>
      <c r="G14" s="34">
        <v>229.11</v>
      </c>
      <c r="H14" s="34">
        <v>229.11</v>
      </c>
      <c r="I14" s="29">
        <v>45683200</v>
      </c>
      <c r="P14" s="125"/>
      <c r="Q14" s="34"/>
      <c r="R14" s="115"/>
      <c r="S14" s="34"/>
      <c r="T14" s="34"/>
      <c r="U14" s="34"/>
      <c r="V14" s="29"/>
    </row>
    <row r="15" spans="2:22">
      <c r="C15" s="125">
        <v>45994</v>
      </c>
      <c r="D15" s="34">
        <v>233.35</v>
      </c>
      <c r="E15" s="115">
        <v>233.38</v>
      </c>
      <c r="F15" s="34">
        <v>230.61</v>
      </c>
      <c r="G15" s="34">
        <v>232.38</v>
      </c>
      <c r="H15" s="34">
        <v>232.38</v>
      </c>
      <c r="I15" s="29">
        <v>35495100</v>
      </c>
      <c r="P15" s="125"/>
      <c r="Q15" s="34"/>
      <c r="R15" s="115"/>
      <c r="S15" s="34"/>
      <c r="T15" s="34"/>
      <c r="U15" s="34"/>
      <c r="V15" s="29"/>
    </row>
    <row r="16" spans="2:22">
      <c r="C16" s="125">
        <v>45993</v>
      </c>
      <c r="D16" s="34">
        <v>235.01</v>
      </c>
      <c r="E16" s="115">
        <v>238.97</v>
      </c>
      <c r="F16" s="34">
        <v>233.55</v>
      </c>
      <c r="G16" s="34">
        <v>234.42</v>
      </c>
      <c r="H16" s="34">
        <v>234.42</v>
      </c>
      <c r="I16" s="29">
        <v>45785400</v>
      </c>
      <c r="P16" s="125"/>
      <c r="Q16" s="34"/>
      <c r="R16" s="115"/>
      <c r="S16" s="34"/>
      <c r="T16" s="34"/>
      <c r="U16" s="34"/>
      <c r="V16" s="29"/>
    </row>
    <row r="17" spans="3:22">
      <c r="C17" s="125">
        <v>45992</v>
      </c>
      <c r="D17" s="34">
        <v>233.22</v>
      </c>
      <c r="E17" s="115">
        <v>235.8</v>
      </c>
      <c r="F17" s="34">
        <v>232.25</v>
      </c>
      <c r="G17" s="34">
        <v>233.88</v>
      </c>
      <c r="H17" s="34">
        <v>233.88</v>
      </c>
      <c r="I17" s="29">
        <v>42904000</v>
      </c>
      <c r="P17" s="125"/>
      <c r="Q17" s="34"/>
      <c r="R17" s="115"/>
      <c r="S17" s="34"/>
      <c r="T17" s="34"/>
      <c r="U17" s="34"/>
      <c r="V17" s="29"/>
    </row>
    <row r="18" spans="3:22">
      <c r="C18" s="125">
        <v>45989</v>
      </c>
      <c r="D18" s="34">
        <v>231.24</v>
      </c>
      <c r="E18" s="115">
        <v>233.29</v>
      </c>
      <c r="F18" s="34">
        <v>230.22</v>
      </c>
      <c r="G18" s="34">
        <v>233.22</v>
      </c>
      <c r="H18" s="34">
        <v>233.22</v>
      </c>
      <c r="I18" s="29">
        <v>20292300</v>
      </c>
      <c r="P18" s="125"/>
      <c r="Q18" s="34"/>
      <c r="R18" s="115"/>
      <c r="S18" s="34"/>
      <c r="T18" s="34"/>
      <c r="U18" s="34"/>
      <c r="V18" s="29"/>
    </row>
    <row r="19" spans="3:22">
      <c r="C19" s="125">
        <v>45987</v>
      </c>
      <c r="D19" s="34">
        <v>230.74</v>
      </c>
      <c r="E19" s="115">
        <v>231.75</v>
      </c>
      <c r="F19" s="34">
        <v>228.77</v>
      </c>
      <c r="G19" s="34">
        <v>229.16</v>
      </c>
      <c r="H19" s="34">
        <v>229.16</v>
      </c>
      <c r="I19" s="29">
        <v>38497900</v>
      </c>
      <c r="P19" s="125"/>
      <c r="Q19" s="34"/>
      <c r="R19" s="115"/>
      <c r="S19" s="34"/>
      <c r="T19" s="34"/>
      <c r="U19" s="34"/>
      <c r="V19" s="29"/>
    </row>
    <row r="20" spans="3:22">
      <c r="C20" s="125">
        <v>45986</v>
      </c>
      <c r="D20" s="34">
        <v>226.38</v>
      </c>
      <c r="E20" s="115">
        <v>230.52</v>
      </c>
      <c r="F20" s="34">
        <v>223.8</v>
      </c>
      <c r="G20" s="34">
        <v>229.67</v>
      </c>
      <c r="H20" s="34">
        <v>229.67</v>
      </c>
      <c r="I20" s="29">
        <v>39379300</v>
      </c>
      <c r="P20" s="125"/>
      <c r="Q20" s="34"/>
      <c r="R20" s="115"/>
      <c r="S20" s="34"/>
      <c r="T20" s="34"/>
      <c r="U20" s="34"/>
      <c r="V20" s="29"/>
    </row>
    <row r="21" spans="3:22">
      <c r="C21" s="125">
        <v>45985</v>
      </c>
      <c r="D21" s="34">
        <v>222.56</v>
      </c>
      <c r="E21" s="115">
        <v>227.33</v>
      </c>
      <c r="F21" s="34">
        <v>222.27</v>
      </c>
      <c r="G21" s="34">
        <v>226.28</v>
      </c>
      <c r="H21" s="34">
        <v>226.28</v>
      </c>
      <c r="I21" s="29">
        <v>54318400</v>
      </c>
      <c r="P21" s="125"/>
      <c r="Q21" s="34"/>
      <c r="R21" s="115"/>
      <c r="S21" s="34"/>
      <c r="T21" s="34"/>
      <c r="U21" s="34"/>
      <c r="V21" s="29"/>
    </row>
    <row r="22" spans="3:22">
      <c r="C22" s="125">
        <v>45982</v>
      </c>
      <c r="D22" s="34">
        <v>216.35</v>
      </c>
      <c r="E22" s="115">
        <v>222.21</v>
      </c>
      <c r="F22" s="34">
        <v>215.18</v>
      </c>
      <c r="G22" s="34">
        <v>220.69</v>
      </c>
      <c r="H22" s="34">
        <v>220.69</v>
      </c>
      <c r="I22" s="29">
        <v>68490500</v>
      </c>
      <c r="P22" s="125"/>
      <c r="Q22" s="34"/>
      <c r="R22" s="115"/>
      <c r="S22" s="34"/>
      <c r="T22" s="34"/>
      <c r="U22" s="34"/>
      <c r="V22" s="29"/>
    </row>
    <row r="23" spans="3:22">
      <c r="C23" s="125">
        <v>45981</v>
      </c>
      <c r="D23" s="34">
        <v>227.05</v>
      </c>
      <c r="E23" s="115">
        <v>227.41</v>
      </c>
      <c r="F23" s="34">
        <v>216.74</v>
      </c>
      <c r="G23" s="34">
        <v>217.14</v>
      </c>
      <c r="H23" s="34">
        <v>217.14</v>
      </c>
      <c r="I23" s="29">
        <v>50309000</v>
      </c>
      <c r="P23" s="125"/>
      <c r="Q23" s="34"/>
      <c r="R23" s="115"/>
      <c r="S23" s="34"/>
      <c r="T23" s="34"/>
      <c r="U23" s="34"/>
      <c r="V23" s="29"/>
    </row>
    <row r="24" spans="3:22">
      <c r="C24" s="125">
        <v>45980</v>
      </c>
      <c r="D24" s="34">
        <v>223.74</v>
      </c>
      <c r="E24" s="115">
        <v>223.74</v>
      </c>
      <c r="F24" s="34">
        <v>218.52</v>
      </c>
      <c r="G24" s="34">
        <v>222.69</v>
      </c>
      <c r="H24" s="34">
        <v>222.69</v>
      </c>
      <c r="I24" s="29">
        <v>58335600</v>
      </c>
      <c r="P24" s="125"/>
      <c r="Q24" s="34"/>
      <c r="R24" s="115"/>
      <c r="S24" s="34"/>
      <c r="T24" s="34"/>
      <c r="U24" s="34"/>
      <c r="V24" s="29"/>
    </row>
    <row r="25" spans="3:22">
      <c r="C25" s="125">
        <v>45979</v>
      </c>
      <c r="D25" s="34">
        <v>228.1</v>
      </c>
      <c r="E25" s="115">
        <v>230.2</v>
      </c>
      <c r="F25" s="34">
        <v>222.42</v>
      </c>
      <c r="G25" s="34">
        <v>222.55</v>
      </c>
      <c r="H25" s="34">
        <v>222.55</v>
      </c>
      <c r="I25" s="29">
        <v>60608400</v>
      </c>
      <c r="P25" s="125"/>
      <c r="Q25" s="34"/>
      <c r="R25" s="115"/>
      <c r="S25" s="34"/>
      <c r="T25" s="34"/>
      <c r="U25" s="34"/>
      <c r="V25" s="29"/>
    </row>
    <row r="26" spans="3:22">
      <c r="C26" s="125">
        <v>45978</v>
      </c>
      <c r="D26" s="34">
        <v>233.25</v>
      </c>
      <c r="E26" s="115">
        <v>234.6</v>
      </c>
      <c r="F26" s="34">
        <v>229.19</v>
      </c>
      <c r="G26" s="34">
        <v>232.87</v>
      </c>
      <c r="H26" s="34">
        <v>232.87</v>
      </c>
      <c r="I26" s="29">
        <v>59919000</v>
      </c>
      <c r="P26" s="125"/>
      <c r="Q26" s="34"/>
      <c r="R26" s="115"/>
      <c r="S26" s="34"/>
      <c r="T26" s="34"/>
      <c r="U26" s="34"/>
      <c r="V26" s="29"/>
    </row>
    <row r="27" spans="3:22">
      <c r="C27" s="125">
        <v>45975</v>
      </c>
      <c r="D27" s="34">
        <v>235.06</v>
      </c>
      <c r="E27" s="115">
        <v>238.73</v>
      </c>
      <c r="F27" s="34">
        <v>232.89</v>
      </c>
      <c r="G27" s="34">
        <v>234.69</v>
      </c>
      <c r="H27" s="34">
        <v>234.69</v>
      </c>
      <c r="I27" s="29">
        <v>38956700</v>
      </c>
      <c r="P27" s="125"/>
      <c r="Q27" s="34"/>
      <c r="R27" s="115"/>
      <c r="S27" s="34"/>
      <c r="T27" s="34"/>
      <c r="U27" s="34"/>
      <c r="V27" s="29"/>
    </row>
    <row r="28" spans="3:22">
      <c r="C28" s="125">
        <v>45974</v>
      </c>
      <c r="D28" s="34">
        <v>243.05</v>
      </c>
      <c r="E28" s="115">
        <v>243.75</v>
      </c>
      <c r="F28" s="34">
        <v>236.5</v>
      </c>
      <c r="G28" s="34">
        <v>237.58</v>
      </c>
      <c r="H28" s="34">
        <v>237.58</v>
      </c>
      <c r="I28" s="29">
        <v>41401700</v>
      </c>
      <c r="P28" s="125"/>
      <c r="Q28" s="34"/>
      <c r="R28" s="115"/>
      <c r="S28" s="34"/>
      <c r="T28" s="34"/>
      <c r="U28" s="34"/>
      <c r="V28" s="29"/>
    </row>
    <row r="29" spans="3:22">
      <c r="C29" s="125">
        <v>45973</v>
      </c>
      <c r="D29" s="34">
        <v>250.24</v>
      </c>
      <c r="E29" s="115">
        <v>250.37</v>
      </c>
      <c r="F29" s="34">
        <v>243.75</v>
      </c>
      <c r="G29" s="34">
        <v>244.2</v>
      </c>
      <c r="H29" s="34">
        <v>244.2</v>
      </c>
      <c r="I29" s="29">
        <v>31190100</v>
      </c>
      <c r="P29" s="125"/>
      <c r="Q29" s="34"/>
      <c r="R29" s="115"/>
      <c r="S29" s="34"/>
      <c r="T29" s="34"/>
      <c r="U29" s="34"/>
      <c r="V29" s="29"/>
    </row>
    <row r="30" spans="3:22">
      <c r="C30" s="125">
        <v>45972</v>
      </c>
      <c r="D30" s="34">
        <v>248.41</v>
      </c>
      <c r="E30" s="115">
        <v>249.75</v>
      </c>
      <c r="F30" s="34">
        <v>247.23</v>
      </c>
      <c r="G30" s="34">
        <v>249.1</v>
      </c>
      <c r="H30" s="34">
        <v>249.1</v>
      </c>
      <c r="I30" s="29">
        <v>23564100</v>
      </c>
      <c r="P30" s="125"/>
      <c r="Q30" s="34"/>
      <c r="R30" s="115"/>
      <c r="S30" s="34"/>
      <c r="T30" s="34"/>
      <c r="U30" s="34"/>
      <c r="V30" s="29"/>
    </row>
    <row r="31" spans="3:22">
      <c r="C31" s="125">
        <v>45971</v>
      </c>
      <c r="D31" s="34">
        <v>248.34</v>
      </c>
      <c r="E31" s="115">
        <v>251.75</v>
      </c>
      <c r="F31" s="34">
        <v>245.59</v>
      </c>
      <c r="G31" s="34">
        <v>248.4</v>
      </c>
      <c r="H31" s="34">
        <v>248.4</v>
      </c>
      <c r="I31" s="29">
        <v>36476500</v>
      </c>
      <c r="P31" s="125"/>
      <c r="Q31" s="34"/>
      <c r="R31" s="115"/>
      <c r="S31" s="34"/>
      <c r="T31" s="34"/>
      <c r="U31" s="34"/>
      <c r="V31" s="29"/>
    </row>
    <row r="32" spans="3:22">
      <c r="C32" s="125">
        <v>45968</v>
      </c>
      <c r="D32" s="34">
        <v>242.9</v>
      </c>
      <c r="E32" s="115">
        <v>244.9</v>
      </c>
      <c r="F32" s="34">
        <v>238.49</v>
      </c>
      <c r="G32" s="34">
        <v>244.41</v>
      </c>
      <c r="H32" s="34">
        <v>244.41</v>
      </c>
      <c r="I32" s="29">
        <v>46374300</v>
      </c>
      <c r="P32" s="125"/>
      <c r="Q32" s="34"/>
      <c r="R32" s="115"/>
      <c r="S32" s="34"/>
      <c r="T32" s="34"/>
      <c r="U32" s="34"/>
      <c r="V32" s="29"/>
    </row>
    <row r="33" spans="3:22">
      <c r="C33" s="125">
        <v>45967</v>
      </c>
      <c r="D33" s="34">
        <v>249.16</v>
      </c>
      <c r="E33" s="115">
        <v>250.38</v>
      </c>
      <c r="F33" s="34">
        <v>242.17</v>
      </c>
      <c r="G33" s="34">
        <v>243.04</v>
      </c>
      <c r="H33" s="34">
        <v>243.04</v>
      </c>
      <c r="I33" s="29">
        <v>46004200</v>
      </c>
      <c r="P33" s="125"/>
      <c r="Q33" s="34"/>
      <c r="R33" s="115"/>
      <c r="S33" s="34"/>
      <c r="T33" s="34"/>
      <c r="U33" s="34"/>
      <c r="V33" s="29"/>
    </row>
    <row r="34" spans="3:22">
      <c r="C34" s="125">
        <v>45966</v>
      </c>
      <c r="D34" s="34">
        <v>249.03</v>
      </c>
      <c r="E34" s="115">
        <v>251</v>
      </c>
      <c r="F34" s="34">
        <v>246.16</v>
      </c>
      <c r="G34" s="34">
        <v>250.2</v>
      </c>
      <c r="H34" s="34">
        <v>250.2</v>
      </c>
      <c r="I34" s="29">
        <v>40610700</v>
      </c>
      <c r="P34" s="125"/>
      <c r="Q34" s="34"/>
      <c r="R34" s="115"/>
      <c r="S34" s="34"/>
      <c r="T34" s="34"/>
      <c r="U34" s="34"/>
      <c r="V34" s="29"/>
    </row>
    <row r="35" spans="3:22">
      <c r="C35" s="125">
        <v>45965</v>
      </c>
      <c r="D35" s="34">
        <v>250.38</v>
      </c>
      <c r="E35" s="115">
        <v>257.01</v>
      </c>
      <c r="F35" s="34">
        <v>248.66</v>
      </c>
      <c r="G35" s="34">
        <v>249.32</v>
      </c>
      <c r="H35" s="34">
        <v>249.32</v>
      </c>
      <c r="I35" s="29">
        <v>51546300</v>
      </c>
      <c r="P35" s="125"/>
      <c r="Q35" s="34"/>
      <c r="R35" s="115"/>
      <c r="S35" s="34"/>
      <c r="T35" s="34"/>
      <c r="U35" s="34"/>
      <c r="V35" s="29"/>
    </row>
    <row r="36" spans="3:22">
      <c r="C36" s="125">
        <v>45964</v>
      </c>
      <c r="D36" s="34">
        <v>255.36</v>
      </c>
      <c r="E36" s="115">
        <v>258.60000000000002</v>
      </c>
      <c r="F36" s="34">
        <v>252.9</v>
      </c>
      <c r="G36" s="34">
        <v>254</v>
      </c>
      <c r="H36" s="34">
        <v>254</v>
      </c>
      <c r="I36" s="29">
        <v>95997800</v>
      </c>
      <c r="P36" s="125"/>
      <c r="Q36" s="34"/>
      <c r="R36" s="115"/>
      <c r="S36" s="34"/>
      <c r="T36" s="34"/>
      <c r="U36" s="34"/>
      <c r="V36" s="29"/>
    </row>
    <row r="37" spans="3:22">
      <c r="C37" s="125">
        <v>45961</v>
      </c>
      <c r="D37" s="34">
        <v>250.1</v>
      </c>
      <c r="E37" s="115">
        <v>250.5</v>
      </c>
      <c r="F37" s="34">
        <v>243.98</v>
      </c>
      <c r="G37" s="34">
        <v>244.22</v>
      </c>
      <c r="H37" s="34">
        <v>244.22</v>
      </c>
      <c r="I37" s="29">
        <v>166340800</v>
      </c>
      <c r="P37" s="125"/>
      <c r="Q37" s="34"/>
      <c r="R37" s="115"/>
      <c r="S37" s="34"/>
      <c r="T37" s="34"/>
      <c r="U37" s="34"/>
      <c r="V37" s="29"/>
    </row>
    <row r="38" spans="3:22">
      <c r="C38" s="125">
        <v>45960</v>
      </c>
      <c r="D38" s="34">
        <v>227.06</v>
      </c>
      <c r="E38" s="115">
        <v>228.44</v>
      </c>
      <c r="F38" s="34">
        <v>222.75</v>
      </c>
      <c r="G38" s="34">
        <v>222.86</v>
      </c>
      <c r="H38" s="34">
        <v>222.86</v>
      </c>
      <c r="I38" s="29">
        <v>102252900</v>
      </c>
      <c r="P38" s="125"/>
      <c r="Q38" s="34"/>
      <c r="R38" s="115"/>
      <c r="S38" s="34"/>
      <c r="T38" s="34"/>
      <c r="U38" s="34"/>
      <c r="V38" s="29"/>
    </row>
    <row r="39" spans="3:22">
      <c r="C39" s="125">
        <v>45959</v>
      </c>
      <c r="D39" s="34">
        <v>231.67</v>
      </c>
      <c r="E39" s="115">
        <v>232.82</v>
      </c>
      <c r="F39" s="34">
        <v>227.76</v>
      </c>
      <c r="G39" s="34">
        <v>230.3</v>
      </c>
      <c r="H39" s="34">
        <v>230.3</v>
      </c>
      <c r="I39" s="29">
        <v>52036200</v>
      </c>
      <c r="P39" s="125"/>
      <c r="Q39" s="34"/>
      <c r="R39" s="115"/>
      <c r="S39" s="34"/>
      <c r="T39" s="34"/>
      <c r="U39" s="34"/>
      <c r="V39" s="29"/>
    </row>
    <row r="40" spans="3:22">
      <c r="C40" s="125">
        <v>45958</v>
      </c>
      <c r="D40" s="34">
        <v>228.22</v>
      </c>
      <c r="E40" s="115">
        <v>231.49</v>
      </c>
      <c r="F40" s="34">
        <v>226.21</v>
      </c>
      <c r="G40" s="34">
        <v>229.25</v>
      </c>
      <c r="H40" s="34">
        <v>229.25</v>
      </c>
      <c r="I40" s="29">
        <v>47100000</v>
      </c>
      <c r="P40" s="125"/>
      <c r="Q40" s="34"/>
      <c r="R40" s="115"/>
      <c r="S40" s="34"/>
      <c r="T40" s="34"/>
      <c r="U40" s="34"/>
      <c r="V40" s="29"/>
    </row>
    <row r="41" spans="3:22">
      <c r="C41" s="125">
        <v>45957</v>
      </c>
      <c r="D41" s="34">
        <v>227.66</v>
      </c>
      <c r="E41" s="115">
        <v>228.4</v>
      </c>
      <c r="F41" s="34">
        <v>225.54</v>
      </c>
      <c r="G41" s="34">
        <v>226.97</v>
      </c>
      <c r="H41" s="34">
        <v>226.97</v>
      </c>
      <c r="I41" s="29">
        <v>38267000</v>
      </c>
      <c r="P41" s="125"/>
      <c r="Q41" s="34"/>
      <c r="R41" s="115"/>
      <c r="S41" s="34"/>
      <c r="T41" s="34"/>
      <c r="U41" s="34"/>
      <c r="V41" s="29"/>
    </row>
    <row r="42" spans="3:22">
      <c r="C42" s="125">
        <v>45954</v>
      </c>
      <c r="D42" s="34">
        <v>221.97</v>
      </c>
      <c r="E42" s="115">
        <v>225.4</v>
      </c>
      <c r="F42" s="34">
        <v>221.9</v>
      </c>
      <c r="G42" s="34">
        <v>224.21</v>
      </c>
      <c r="H42" s="34">
        <v>224.21</v>
      </c>
      <c r="I42" s="29">
        <v>38685100</v>
      </c>
      <c r="P42" s="125"/>
      <c r="Q42" s="34"/>
      <c r="R42" s="115"/>
      <c r="S42" s="34"/>
      <c r="T42" s="34"/>
      <c r="U42" s="34"/>
      <c r="V42" s="29"/>
    </row>
    <row r="43" spans="3:22">
      <c r="C43" s="125">
        <v>45953</v>
      </c>
      <c r="D43" s="34">
        <v>219</v>
      </c>
      <c r="E43" s="115">
        <v>221.3</v>
      </c>
      <c r="F43" s="34">
        <v>218.18</v>
      </c>
      <c r="G43" s="34">
        <v>221.09</v>
      </c>
      <c r="H43" s="34">
        <v>221.09</v>
      </c>
      <c r="I43" s="29">
        <v>31540000</v>
      </c>
      <c r="P43" s="125"/>
      <c r="Q43" s="34"/>
      <c r="R43" s="115"/>
      <c r="S43" s="34"/>
      <c r="T43" s="34"/>
      <c r="U43" s="34"/>
      <c r="V43" s="29"/>
    </row>
    <row r="44" spans="3:22">
      <c r="C44" s="125">
        <v>45952</v>
      </c>
      <c r="D44" s="34">
        <v>219.3</v>
      </c>
      <c r="E44" s="115">
        <v>220.01</v>
      </c>
      <c r="F44" s="34">
        <v>216.52</v>
      </c>
      <c r="G44" s="34">
        <v>217.95</v>
      </c>
      <c r="H44" s="34">
        <v>217.95</v>
      </c>
      <c r="I44" s="29">
        <v>44308500</v>
      </c>
      <c r="P44" s="125"/>
      <c r="Q44" s="34"/>
      <c r="R44" s="115"/>
      <c r="S44" s="34"/>
      <c r="T44" s="34"/>
      <c r="U44" s="34"/>
      <c r="V44" s="29"/>
    </row>
    <row r="45" spans="3:22">
      <c r="C45" s="125">
        <v>45951</v>
      </c>
      <c r="D45" s="34">
        <v>218.43</v>
      </c>
      <c r="E45" s="115">
        <v>223.32</v>
      </c>
      <c r="F45" s="34">
        <v>217.99</v>
      </c>
      <c r="G45" s="34">
        <v>222.03</v>
      </c>
      <c r="H45" s="34">
        <v>222.03</v>
      </c>
      <c r="I45" s="29">
        <v>50494600</v>
      </c>
      <c r="P45" s="125"/>
      <c r="Q45" s="34"/>
      <c r="R45" s="115"/>
      <c r="S45" s="34"/>
      <c r="T45" s="34"/>
      <c r="U45" s="34"/>
      <c r="V45" s="29"/>
    </row>
    <row r="46" spans="3:22">
      <c r="C46" s="125">
        <v>45950</v>
      </c>
      <c r="D46" s="34">
        <v>213.88</v>
      </c>
      <c r="E46" s="115">
        <v>216.69</v>
      </c>
      <c r="F46" s="34">
        <v>213.59</v>
      </c>
      <c r="G46" s="34">
        <v>216.48</v>
      </c>
      <c r="H46" s="34">
        <v>216.48</v>
      </c>
      <c r="I46" s="29">
        <v>38882800</v>
      </c>
      <c r="P46" s="125"/>
      <c r="Q46" s="34"/>
      <c r="R46" s="115"/>
      <c r="S46" s="34"/>
      <c r="T46" s="34"/>
      <c r="U46" s="34"/>
      <c r="V46" s="29"/>
    </row>
    <row r="47" spans="3:22">
      <c r="C47" s="125">
        <v>45947</v>
      </c>
      <c r="D47" s="34">
        <v>214.56</v>
      </c>
      <c r="E47" s="115">
        <v>214.8</v>
      </c>
      <c r="F47" s="34">
        <v>211.03</v>
      </c>
      <c r="G47" s="34">
        <v>213.04</v>
      </c>
      <c r="H47" s="34">
        <v>213.04</v>
      </c>
      <c r="I47" s="29">
        <v>45986900</v>
      </c>
      <c r="P47" s="125"/>
      <c r="Q47" s="34"/>
      <c r="R47" s="115"/>
      <c r="S47" s="34"/>
      <c r="T47" s="34"/>
      <c r="U47" s="34"/>
      <c r="V47" s="29"/>
    </row>
    <row r="48" spans="3:22">
      <c r="C48" s="125">
        <v>45946</v>
      </c>
      <c r="D48" s="34">
        <v>215.67</v>
      </c>
      <c r="E48" s="115">
        <v>218.59</v>
      </c>
      <c r="F48" s="34">
        <v>212.81</v>
      </c>
      <c r="G48" s="34">
        <v>214.47</v>
      </c>
      <c r="H48" s="34">
        <v>214.47</v>
      </c>
      <c r="I48" s="29">
        <v>42414600</v>
      </c>
      <c r="P48" s="125"/>
      <c r="Q48" s="34"/>
      <c r="R48" s="115"/>
      <c r="S48" s="34"/>
      <c r="T48" s="34"/>
      <c r="U48" s="34"/>
      <c r="V48" s="29"/>
    </row>
    <row r="49" spans="3:22">
      <c r="C49" s="125">
        <v>45945</v>
      </c>
      <c r="D49" s="34">
        <v>216.62</v>
      </c>
      <c r="E49" s="115">
        <v>217.71</v>
      </c>
      <c r="F49" s="34">
        <v>212.66</v>
      </c>
      <c r="G49" s="34">
        <v>215.57</v>
      </c>
      <c r="H49" s="34">
        <v>215.57</v>
      </c>
      <c r="I49" s="29">
        <v>45909500</v>
      </c>
      <c r="P49" s="125"/>
      <c r="Q49" s="34"/>
      <c r="R49" s="115"/>
      <c r="S49" s="34"/>
      <c r="T49" s="34"/>
      <c r="U49" s="34"/>
      <c r="V49" s="29"/>
    </row>
    <row r="50" spans="3:22">
      <c r="C50" s="125">
        <v>45944</v>
      </c>
      <c r="D50" s="34">
        <v>215.56</v>
      </c>
      <c r="E50" s="115">
        <v>219.32</v>
      </c>
      <c r="F50" s="34">
        <v>212.6</v>
      </c>
      <c r="G50" s="34">
        <v>216.39</v>
      </c>
      <c r="H50" s="34">
        <v>216.39</v>
      </c>
      <c r="I50" s="29">
        <v>45665600</v>
      </c>
      <c r="P50" s="125"/>
      <c r="Q50" s="34"/>
      <c r="R50" s="115"/>
      <c r="S50" s="34"/>
      <c r="T50" s="34"/>
      <c r="U50" s="34"/>
      <c r="V50" s="29"/>
    </row>
    <row r="51" spans="3:22">
      <c r="C51" s="125">
        <v>45943</v>
      </c>
      <c r="D51" s="34">
        <v>217.7</v>
      </c>
      <c r="E51" s="115">
        <v>220.68</v>
      </c>
      <c r="F51" s="34">
        <v>217.04</v>
      </c>
      <c r="G51" s="34">
        <v>220.07</v>
      </c>
      <c r="H51" s="34">
        <v>220.07</v>
      </c>
      <c r="I51" s="29">
        <v>37809700</v>
      </c>
      <c r="P51" s="125"/>
      <c r="Q51" s="34"/>
      <c r="R51" s="115"/>
      <c r="S51" s="34"/>
      <c r="T51" s="34"/>
      <c r="U51" s="34"/>
      <c r="V51" s="29"/>
    </row>
    <row r="52" spans="3:22">
      <c r="C52" s="125">
        <v>45940</v>
      </c>
      <c r="D52" s="34">
        <v>226.21</v>
      </c>
      <c r="E52" s="115">
        <v>228.25</v>
      </c>
      <c r="F52" s="34">
        <v>216</v>
      </c>
      <c r="G52" s="34">
        <v>216.37</v>
      </c>
      <c r="H52" s="34">
        <v>216.37</v>
      </c>
      <c r="I52" s="29">
        <v>72367500</v>
      </c>
      <c r="P52" s="125"/>
      <c r="Q52" s="34"/>
      <c r="R52" s="115"/>
      <c r="S52" s="34"/>
      <c r="T52" s="34"/>
      <c r="U52" s="34"/>
      <c r="V52" s="29"/>
    </row>
    <row r="53" spans="3:22">
      <c r="C53" s="125">
        <v>45939</v>
      </c>
      <c r="D53" s="34">
        <v>225</v>
      </c>
      <c r="E53" s="115">
        <v>228.21</v>
      </c>
      <c r="F53" s="34">
        <v>221.75</v>
      </c>
      <c r="G53" s="34">
        <v>227.74</v>
      </c>
      <c r="H53" s="34">
        <v>227.74</v>
      </c>
      <c r="I53" s="29">
        <v>46412100</v>
      </c>
      <c r="P53" s="125"/>
      <c r="Q53" s="34"/>
      <c r="R53" s="115"/>
      <c r="S53" s="34"/>
      <c r="T53" s="34"/>
      <c r="U53" s="34"/>
      <c r="V53" s="29"/>
    </row>
    <row r="54" spans="3:22">
      <c r="C54" s="125">
        <v>45938</v>
      </c>
      <c r="D54" s="34">
        <v>222.92</v>
      </c>
      <c r="E54" s="115">
        <v>226.73</v>
      </c>
      <c r="F54" s="34">
        <v>221.19</v>
      </c>
      <c r="G54" s="34">
        <v>225.22</v>
      </c>
      <c r="H54" s="34">
        <v>225.22</v>
      </c>
      <c r="I54" s="29">
        <v>46686000</v>
      </c>
      <c r="P54" s="125"/>
      <c r="Q54" s="34"/>
      <c r="R54" s="115"/>
      <c r="S54" s="34"/>
      <c r="T54" s="34"/>
      <c r="U54" s="34"/>
      <c r="V54" s="29"/>
    </row>
    <row r="55" spans="3:22">
      <c r="C55" s="125">
        <v>45937</v>
      </c>
      <c r="D55" s="34">
        <v>220.88</v>
      </c>
      <c r="E55" s="115">
        <v>222.89</v>
      </c>
      <c r="F55" s="34">
        <v>220.17</v>
      </c>
      <c r="G55" s="34">
        <v>221.78</v>
      </c>
      <c r="H55" s="34">
        <v>221.78</v>
      </c>
      <c r="I55" s="29">
        <v>31194700</v>
      </c>
      <c r="P55" s="125"/>
      <c r="Q55" s="34"/>
      <c r="R55" s="115"/>
      <c r="S55" s="34"/>
      <c r="T55" s="34"/>
      <c r="U55" s="34"/>
      <c r="V55" s="29"/>
    </row>
    <row r="56" spans="3:22">
      <c r="C56" s="125">
        <v>45936</v>
      </c>
      <c r="D56" s="34">
        <v>221</v>
      </c>
      <c r="E56" s="115">
        <v>221.73</v>
      </c>
      <c r="F56" s="34">
        <v>216.03</v>
      </c>
      <c r="G56" s="34">
        <v>220.9</v>
      </c>
      <c r="H56" s="34">
        <v>220.9</v>
      </c>
      <c r="I56" s="29">
        <v>43690900</v>
      </c>
      <c r="P56" s="125"/>
      <c r="Q56" s="34"/>
      <c r="R56" s="115"/>
      <c r="S56" s="34"/>
      <c r="T56" s="34"/>
      <c r="U56" s="34"/>
      <c r="V56" s="29"/>
    </row>
    <row r="57" spans="3:22">
      <c r="C57" s="125">
        <v>45933</v>
      </c>
      <c r="D57" s="34">
        <v>223.44</v>
      </c>
      <c r="E57" s="115">
        <v>224.2</v>
      </c>
      <c r="F57" s="34">
        <v>219.34</v>
      </c>
      <c r="G57" s="34">
        <v>219.51</v>
      </c>
      <c r="H57" s="34">
        <v>219.51</v>
      </c>
      <c r="I57" s="29">
        <v>43639000</v>
      </c>
      <c r="P57" s="125"/>
      <c r="Q57" s="34"/>
      <c r="R57" s="115"/>
      <c r="S57" s="34"/>
      <c r="T57" s="34"/>
      <c r="U57" s="34"/>
      <c r="V57" s="29"/>
    </row>
    <row r="58" spans="3:22">
      <c r="C58" s="125">
        <v>45932</v>
      </c>
      <c r="D58" s="34">
        <v>221.01</v>
      </c>
      <c r="E58" s="115">
        <v>222.81</v>
      </c>
      <c r="F58" s="34">
        <v>218.95</v>
      </c>
      <c r="G58" s="34">
        <v>222.41</v>
      </c>
      <c r="H58" s="34">
        <v>222.41</v>
      </c>
      <c r="I58" s="29">
        <v>41258600</v>
      </c>
      <c r="P58" s="125"/>
      <c r="Q58" s="34"/>
      <c r="R58" s="115"/>
      <c r="S58" s="34"/>
      <c r="T58" s="34"/>
      <c r="U58" s="34"/>
      <c r="V58" s="29"/>
    </row>
    <row r="59" spans="3:22">
      <c r="C59" s="125">
        <v>45931</v>
      </c>
      <c r="D59" s="34">
        <v>217.36</v>
      </c>
      <c r="E59" s="115">
        <v>222.15</v>
      </c>
      <c r="F59" s="34">
        <v>216.61</v>
      </c>
      <c r="G59" s="34">
        <v>220.63</v>
      </c>
      <c r="H59" s="34">
        <v>220.63</v>
      </c>
      <c r="I59" s="29">
        <v>43933800</v>
      </c>
      <c r="P59" s="125"/>
      <c r="Q59" s="34"/>
      <c r="R59" s="115"/>
      <c r="S59" s="34"/>
      <c r="T59" s="34"/>
      <c r="U59" s="34"/>
      <c r="V59" s="29"/>
    </row>
    <row r="60" spans="3:22">
      <c r="C60" s="125">
        <v>45930</v>
      </c>
      <c r="D60" s="34">
        <v>222.03</v>
      </c>
      <c r="E60" s="115">
        <v>222.24</v>
      </c>
      <c r="F60" s="34">
        <v>217.89</v>
      </c>
      <c r="G60" s="34">
        <v>219.57</v>
      </c>
      <c r="H60" s="34">
        <v>219.57</v>
      </c>
      <c r="I60" s="29">
        <v>48396400</v>
      </c>
      <c r="P60" s="125"/>
      <c r="Q60" s="34"/>
      <c r="R60" s="115"/>
      <c r="S60" s="34"/>
      <c r="T60" s="34"/>
      <c r="U60" s="34"/>
      <c r="V60" s="29"/>
    </row>
    <row r="61" spans="3:22">
      <c r="C61" s="125">
        <v>45929</v>
      </c>
      <c r="D61" s="34">
        <v>220.08</v>
      </c>
      <c r="E61" s="115">
        <v>222.6</v>
      </c>
      <c r="F61" s="34">
        <v>219.3</v>
      </c>
      <c r="G61" s="34">
        <v>222.17</v>
      </c>
      <c r="H61" s="34">
        <v>222.17</v>
      </c>
      <c r="I61" s="29">
        <v>44259200</v>
      </c>
      <c r="P61" s="125"/>
      <c r="Q61" s="34"/>
      <c r="R61" s="115"/>
      <c r="S61" s="34"/>
      <c r="T61" s="34"/>
      <c r="U61" s="34"/>
      <c r="V61" s="29"/>
    </row>
    <row r="62" spans="3:22">
      <c r="C62" s="125">
        <v>45926</v>
      </c>
      <c r="D62" s="34">
        <v>219.08</v>
      </c>
      <c r="E62" s="115">
        <v>221.05</v>
      </c>
      <c r="F62" s="34">
        <v>218.02</v>
      </c>
      <c r="G62" s="34">
        <v>219.78</v>
      </c>
      <c r="H62" s="34">
        <v>219.78</v>
      </c>
      <c r="I62" s="29">
        <v>41650100</v>
      </c>
      <c r="P62" s="125"/>
      <c r="Q62" s="34"/>
      <c r="R62" s="115"/>
      <c r="S62" s="34"/>
      <c r="T62" s="34"/>
      <c r="U62" s="34"/>
      <c r="V62" s="29"/>
    </row>
    <row r="63" spans="3:22">
      <c r="C63" s="125">
        <v>45925</v>
      </c>
      <c r="D63" s="34">
        <v>220.06</v>
      </c>
      <c r="E63" s="115">
        <v>220.67</v>
      </c>
      <c r="F63" s="34">
        <v>216.47</v>
      </c>
      <c r="G63" s="34">
        <v>218.15</v>
      </c>
      <c r="H63" s="34">
        <v>218.15</v>
      </c>
      <c r="I63" s="29">
        <v>52226300</v>
      </c>
      <c r="P63" s="125"/>
      <c r="Q63" s="34"/>
      <c r="R63" s="115"/>
      <c r="S63" s="34"/>
      <c r="T63" s="34"/>
      <c r="U63" s="34"/>
      <c r="V63" s="29"/>
    </row>
    <row r="64" spans="3:22">
      <c r="C64" s="125">
        <v>45924</v>
      </c>
      <c r="D64" s="34">
        <v>224.15</v>
      </c>
      <c r="E64" s="115">
        <v>224.56</v>
      </c>
      <c r="F64" s="34">
        <v>219.45</v>
      </c>
      <c r="G64" s="34">
        <v>220.21</v>
      </c>
      <c r="H64" s="34">
        <v>220.21</v>
      </c>
      <c r="I64" s="29">
        <v>49509000</v>
      </c>
      <c r="P64" s="125"/>
      <c r="Q64" s="34"/>
      <c r="R64" s="115"/>
      <c r="S64" s="34"/>
      <c r="T64" s="34"/>
      <c r="U64" s="34"/>
      <c r="V64" s="29"/>
    </row>
    <row r="65" spans="3:22">
      <c r="C65" s="125">
        <v>45923</v>
      </c>
      <c r="D65" s="34">
        <v>227.83</v>
      </c>
      <c r="E65" s="115">
        <v>227.86</v>
      </c>
      <c r="F65" s="34">
        <v>220.07</v>
      </c>
      <c r="G65" s="34">
        <v>220.71</v>
      </c>
      <c r="H65" s="34">
        <v>220.71</v>
      </c>
      <c r="I65" s="29">
        <v>70956200</v>
      </c>
      <c r="P65" s="125"/>
      <c r="Q65" s="34"/>
      <c r="R65" s="115"/>
      <c r="S65" s="34"/>
      <c r="T65" s="34"/>
      <c r="U65" s="34"/>
      <c r="V65" s="29"/>
    </row>
    <row r="66" spans="3:22">
      <c r="C66" s="125">
        <v>45922</v>
      </c>
      <c r="D66" s="34">
        <v>230.56</v>
      </c>
      <c r="E66" s="115">
        <v>230.57</v>
      </c>
      <c r="F66" s="34">
        <v>227.51</v>
      </c>
      <c r="G66" s="34">
        <v>227.63</v>
      </c>
      <c r="H66" s="34">
        <v>227.63</v>
      </c>
      <c r="I66" s="29">
        <v>45914500</v>
      </c>
      <c r="P66" s="125"/>
      <c r="Q66" s="34"/>
      <c r="R66" s="115"/>
      <c r="S66" s="34"/>
      <c r="T66" s="34"/>
      <c r="U66" s="34"/>
      <c r="V66" s="29"/>
    </row>
    <row r="67" spans="3:22">
      <c r="C67" s="125">
        <v>45919</v>
      </c>
      <c r="D67" s="34">
        <v>232.37</v>
      </c>
      <c r="E67" s="115">
        <v>234.16</v>
      </c>
      <c r="F67" s="34">
        <v>229.7</v>
      </c>
      <c r="G67" s="34">
        <v>231.48</v>
      </c>
      <c r="H67" s="34">
        <v>231.48</v>
      </c>
      <c r="I67" s="29">
        <v>97943200</v>
      </c>
      <c r="P67" s="125"/>
      <c r="Q67" s="34"/>
      <c r="R67" s="115"/>
      <c r="S67" s="34"/>
      <c r="T67" s="34"/>
      <c r="U67" s="34"/>
      <c r="V67" s="29"/>
    </row>
    <row r="68" spans="3:22">
      <c r="C68" s="125">
        <v>45918</v>
      </c>
      <c r="D68" s="34">
        <v>232.5</v>
      </c>
      <c r="E68" s="115">
        <v>233.48</v>
      </c>
      <c r="F68" s="34">
        <v>228.79</v>
      </c>
      <c r="G68" s="34">
        <v>231.23</v>
      </c>
      <c r="H68" s="34">
        <v>231.23</v>
      </c>
      <c r="I68" s="29">
        <v>37931700</v>
      </c>
      <c r="P68" s="125"/>
      <c r="Q68" s="34"/>
      <c r="R68" s="115"/>
      <c r="S68" s="34"/>
      <c r="T68" s="34"/>
      <c r="U68" s="34"/>
      <c r="V68" s="29"/>
    </row>
    <row r="69" spans="3:22">
      <c r="C69" s="125">
        <v>45917</v>
      </c>
      <c r="D69" s="34">
        <v>233.77</v>
      </c>
      <c r="E69" s="115">
        <v>234.3</v>
      </c>
      <c r="F69" s="34">
        <v>228.71</v>
      </c>
      <c r="G69" s="34">
        <v>231.62</v>
      </c>
      <c r="H69" s="34">
        <v>231.62</v>
      </c>
      <c r="I69" s="29">
        <v>42815200</v>
      </c>
      <c r="P69" s="125"/>
      <c r="Q69" s="34"/>
      <c r="R69" s="115"/>
      <c r="S69" s="34"/>
      <c r="T69" s="34"/>
      <c r="U69" s="34"/>
      <c r="V69" s="29"/>
    </row>
    <row r="70" spans="3:22">
      <c r="C70" s="125">
        <v>45916</v>
      </c>
      <c r="D70" s="34">
        <v>232.94</v>
      </c>
      <c r="E70" s="115">
        <v>235.9</v>
      </c>
      <c r="F70" s="34">
        <v>232.23</v>
      </c>
      <c r="G70" s="34">
        <v>234.05</v>
      </c>
      <c r="H70" s="34">
        <v>234.05</v>
      </c>
      <c r="I70" s="29">
        <v>38203900</v>
      </c>
      <c r="P70" s="125"/>
      <c r="Q70" s="34"/>
      <c r="R70" s="115"/>
      <c r="S70" s="34"/>
      <c r="T70" s="34"/>
      <c r="U70" s="34"/>
      <c r="V70" s="29"/>
    </row>
    <row r="71" spans="3:22">
      <c r="C71" s="125">
        <v>45915</v>
      </c>
      <c r="D71" s="34">
        <v>230.63</v>
      </c>
      <c r="E71" s="115">
        <v>233.73</v>
      </c>
      <c r="F71" s="34">
        <v>230.32</v>
      </c>
      <c r="G71" s="34">
        <v>231.43</v>
      </c>
      <c r="H71" s="34">
        <v>231.43</v>
      </c>
      <c r="I71" s="29">
        <v>33243300</v>
      </c>
      <c r="P71" s="125"/>
      <c r="Q71" s="34"/>
      <c r="R71" s="115"/>
      <c r="S71" s="34"/>
      <c r="T71" s="34"/>
      <c r="U71" s="34"/>
      <c r="V71" s="29"/>
    </row>
    <row r="72" spans="3:22">
      <c r="C72" s="125">
        <v>45912</v>
      </c>
      <c r="D72" s="34">
        <v>230.35</v>
      </c>
      <c r="E72" s="115">
        <v>230.79</v>
      </c>
      <c r="F72" s="34">
        <v>226.29</v>
      </c>
      <c r="G72" s="34">
        <v>228.15</v>
      </c>
      <c r="H72" s="34">
        <v>228.15</v>
      </c>
      <c r="I72" s="29">
        <v>38496200</v>
      </c>
      <c r="P72" s="125"/>
      <c r="Q72" s="34"/>
      <c r="R72" s="115"/>
      <c r="S72" s="34"/>
      <c r="T72" s="34"/>
      <c r="U72" s="34"/>
      <c r="V72" s="29"/>
    </row>
    <row r="73" spans="3:22">
      <c r="C73" s="125">
        <v>45911</v>
      </c>
      <c r="D73" s="34">
        <v>231.49</v>
      </c>
      <c r="E73" s="115">
        <v>231.53</v>
      </c>
      <c r="F73" s="34">
        <v>229.34</v>
      </c>
      <c r="G73" s="34">
        <v>229.95</v>
      </c>
      <c r="H73" s="34">
        <v>229.95</v>
      </c>
      <c r="I73" s="29">
        <v>37485600</v>
      </c>
      <c r="P73" s="125"/>
      <c r="Q73" s="34"/>
      <c r="R73" s="115"/>
      <c r="S73" s="34"/>
      <c r="T73" s="34"/>
      <c r="U73" s="34"/>
      <c r="V73" s="29"/>
    </row>
    <row r="74" spans="3:22">
      <c r="C74" s="125">
        <v>45910</v>
      </c>
      <c r="D74" s="34">
        <v>237.52</v>
      </c>
      <c r="E74" s="115">
        <v>237.68</v>
      </c>
      <c r="F74" s="34">
        <v>229.1</v>
      </c>
      <c r="G74" s="34">
        <v>230.33</v>
      </c>
      <c r="H74" s="34">
        <v>230.33</v>
      </c>
      <c r="I74" s="29">
        <v>60907700</v>
      </c>
      <c r="P74" s="125"/>
      <c r="Q74" s="34"/>
      <c r="R74" s="115"/>
      <c r="S74" s="34"/>
      <c r="T74" s="34"/>
      <c r="U74" s="34"/>
      <c r="V74" s="29"/>
    </row>
    <row r="75" spans="3:22">
      <c r="C75" s="125">
        <v>45909</v>
      </c>
      <c r="D75" s="34">
        <v>236.36</v>
      </c>
      <c r="E75" s="115">
        <v>238.85</v>
      </c>
      <c r="F75" s="34">
        <v>235.08</v>
      </c>
      <c r="G75" s="34">
        <v>238.24</v>
      </c>
      <c r="H75" s="34">
        <v>238.24</v>
      </c>
      <c r="I75" s="29">
        <v>27033800</v>
      </c>
      <c r="P75" s="125"/>
      <c r="Q75" s="34"/>
      <c r="R75" s="115"/>
      <c r="S75" s="34"/>
      <c r="T75" s="34"/>
      <c r="U75" s="34"/>
      <c r="V75" s="29"/>
    </row>
    <row r="76" spans="3:22">
      <c r="C76" s="125">
        <v>45908</v>
      </c>
      <c r="D76" s="34">
        <v>234.94</v>
      </c>
      <c r="E76" s="115">
        <v>237.6</v>
      </c>
      <c r="F76" s="34">
        <v>233.75</v>
      </c>
      <c r="G76" s="34">
        <v>235.84</v>
      </c>
      <c r="H76" s="34">
        <v>235.84</v>
      </c>
      <c r="I76" s="29">
        <v>33947100</v>
      </c>
      <c r="P76" s="125"/>
      <c r="Q76" s="34"/>
      <c r="R76" s="115"/>
      <c r="S76" s="34"/>
      <c r="T76" s="34"/>
      <c r="U76" s="34"/>
      <c r="V76" s="29"/>
    </row>
    <row r="77" spans="3:22">
      <c r="C77" s="125">
        <v>45905</v>
      </c>
      <c r="D77" s="34">
        <v>235.19</v>
      </c>
      <c r="E77" s="115">
        <v>236</v>
      </c>
      <c r="F77" s="34">
        <v>231.93</v>
      </c>
      <c r="G77" s="34">
        <v>232.33</v>
      </c>
      <c r="H77" s="34">
        <v>232.33</v>
      </c>
      <c r="I77" s="29">
        <v>36721800</v>
      </c>
      <c r="P77" s="125"/>
      <c r="Q77" s="34"/>
      <c r="R77" s="115"/>
      <c r="S77" s="34"/>
      <c r="T77" s="34"/>
      <c r="U77" s="34"/>
      <c r="V77" s="29"/>
    </row>
    <row r="78" spans="3:22">
      <c r="C78" s="125">
        <v>45904</v>
      </c>
      <c r="D78" s="34">
        <v>231.19</v>
      </c>
      <c r="E78" s="115">
        <v>235.77</v>
      </c>
      <c r="F78" s="34">
        <v>230.78</v>
      </c>
      <c r="G78" s="34">
        <v>235.68</v>
      </c>
      <c r="H78" s="34">
        <v>235.68</v>
      </c>
      <c r="I78" s="29">
        <v>59391800</v>
      </c>
      <c r="P78" s="125"/>
      <c r="Q78" s="34"/>
      <c r="R78" s="115"/>
      <c r="S78" s="34"/>
      <c r="T78" s="34"/>
      <c r="U78" s="34"/>
      <c r="V78" s="29"/>
    </row>
    <row r="79" spans="3:22">
      <c r="C79" s="125">
        <v>45903</v>
      </c>
      <c r="D79" s="34">
        <v>225.21</v>
      </c>
      <c r="E79" s="115">
        <v>227.17</v>
      </c>
      <c r="F79" s="34">
        <v>224.36</v>
      </c>
      <c r="G79" s="34">
        <v>225.99</v>
      </c>
      <c r="H79" s="34">
        <v>225.99</v>
      </c>
      <c r="I79" s="29">
        <v>29223100</v>
      </c>
      <c r="P79" s="125"/>
      <c r="Q79" s="34"/>
      <c r="R79" s="115"/>
      <c r="S79" s="34"/>
      <c r="T79" s="34"/>
      <c r="U79" s="34"/>
      <c r="V79" s="29"/>
    </row>
    <row r="80" spans="3:22">
      <c r="C80" s="125">
        <v>45902</v>
      </c>
      <c r="D80" s="34">
        <v>223.52</v>
      </c>
      <c r="E80" s="115">
        <v>226.17</v>
      </c>
      <c r="F80" s="34">
        <v>221.83</v>
      </c>
      <c r="G80" s="34">
        <v>225.34</v>
      </c>
      <c r="H80" s="34">
        <v>225.34</v>
      </c>
      <c r="I80" s="29">
        <v>38843900</v>
      </c>
      <c r="P80" s="125"/>
      <c r="Q80" s="34"/>
      <c r="R80" s="115"/>
      <c r="S80" s="34"/>
      <c r="T80" s="34"/>
      <c r="U80" s="34"/>
      <c r="V80" s="29"/>
    </row>
    <row r="81" spans="3:22">
      <c r="C81" s="125">
        <v>45898</v>
      </c>
      <c r="D81" s="34">
        <v>231.32</v>
      </c>
      <c r="E81" s="115">
        <v>231.81</v>
      </c>
      <c r="F81" s="34">
        <v>228.16</v>
      </c>
      <c r="G81" s="34">
        <v>229</v>
      </c>
      <c r="H81" s="34">
        <v>229</v>
      </c>
      <c r="I81" s="29">
        <v>26199200</v>
      </c>
      <c r="P81" s="125"/>
      <c r="Q81" s="34"/>
      <c r="R81" s="115"/>
      <c r="S81" s="34"/>
      <c r="T81" s="34"/>
      <c r="U81" s="34"/>
      <c r="V81" s="29"/>
    </row>
    <row r="82" spans="3:22">
      <c r="C82" s="125">
        <v>45897</v>
      </c>
      <c r="D82" s="34">
        <v>229.01</v>
      </c>
      <c r="E82" s="115">
        <v>232.71</v>
      </c>
      <c r="F82" s="34">
        <v>228.02</v>
      </c>
      <c r="G82" s="34">
        <v>231.6</v>
      </c>
      <c r="H82" s="34">
        <v>231.6</v>
      </c>
      <c r="I82" s="29">
        <v>33679600</v>
      </c>
      <c r="P82" s="125"/>
      <c r="Q82" s="34"/>
      <c r="R82" s="115"/>
      <c r="S82" s="34"/>
      <c r="T82" s="34"/>
      <c r="U82" s="34"/>
      <c r="V82" s="29"/>
    </row>
    <row r="83" spans="3:22">
      <c r="C83" s="125">
        <v>45896</v>
      </c>
      <c r="D83" s="34">
        <v>228.57</v>
      </c>
      <c r="E83" s="115">
        <v>229.87</v>
      </c>
      <c r="F83" s="34">
        <v>227.81</v>
      </c>
      <c r="G83" s="34">
        <v>229.12</v>
      </c>
      <c r="H83" s="34">
        <v>229.12</v>
      </c>
      <c r="I83" s="29">
        <v>21254500</v>
      </c>
      <c r="P83" s="125"/>
      <c r="Q83" s="34"/>
      <c r="R83" s="115"/>
      <c r="S83" s="34"/>
      <c r="T83" s="34"/>
      <c r="U83" s="34"/>
      <c r="V83" s="29"/>
    </row>
    <row r="84" spans="3:22">
      <c r="C84" s="125">
        <v>45895</v>
      </c>
      <c r="D84" s="34">
        <v>227.11</v>
      </c>
      <c r="E84" s="115">
        <v>229</v>
      </c>
      <c r="F84" s="34">
        <v>226.02</v>
      </c>
      <c r="G84" s="34">
        <v>228.71</v>
      </c>
      <c r="H84" s="34">
        <v>228.71</v>
      </c>
      <c r="I84" s="29">
        <v>26105400</v>
      </c>
      <c r="P84" s="125"/>
      <c r="Q84" s="34"/>
      <c r="R84" s="115"/>
      <c r="S84" s="34"/>
      <c r="T84" s="34"/>
      <c r="U84" s="34"/>
      <c r="V84" s="29"/>
    </row>
    <row r="85" spans="3:22">
      <c r="C85" s="125">
        <v>45894</v>
      </c>
      <c r="D85" s="34">
        <v>227.35</v>
      </c>
      <c r="E85" s="115">
        <v>229.6</v>
      </c>
      <c r="F85" s="34">
        <v>227.31</v>
      </c>
      <c r="G85" s="34">
        <v>227.94</v>
      </c>
      <c r="H85" s="34">
        <v>227.94</v>
      </c>
      <c r="I85" s="29">
        <v>22633700</v>
      </c>
      <c r="P85" s="125"/>
      <c r="Q85" s="34"/>
      <c r="R85" s="115"/>
      <c r="S85" s="34"/>
      <c r="T85" s="34"/>
      <c r="U85" s="34"/>
      <c r="V85" s="29"/>
    </row>
    <row r="86" spans="3:22">
      <c r="C86" s="125">
        <v>45891</v>
      </c>
      <c r="D86" s="34">
        <v>222.79</v>
      </c>
      <c r="E86" s="115">
        <v>229.14</v>
      </c>
      <c r="F86" s="34">
        <v>220.82</v>
      </c>
      <c r="G86" s="34">
        <v>228.84</v>
      </c>
      <c r="H86" s="34">
        <v>228.84</v>
      </c>
      <c r="I86" s="29">
        <v>37315300</v>
      </c>
      <c r="P86" s="125"/>
      <c r="Q86" s="34"/>
      <c r="R86" s="115"/>
      <c r="S86" s="34"/>
      <c r="T86" s="34"/>
      <c r="U86" s="34"/>
      <c r="V86" s="29"/>
    </row>
    <row r="87" spans="3:22">
      <c r="C87" s="125">
        <v>45890</v>
      </c>
      <c r="D87" s="34">
        <v>222.65</v>
      </c>
      <c r="E87" s="115">
        <v>222.78</v>
      </c>
      <c r="F87" s="34">
        <v>220.5</v>
      </c>
      <c r="G87" s="34">
        <v>221.95</v>
      </c>
      <c r="H87" s="34">
        <v>221.95</v>
      </c>
      <c r="I87" s="29">
        <v>32140500</v>
      </c>
      <c r="P87" s="125"/>
      <c r="Q87" s="34"/>
      <c r="R87" s="115"/>
      <c r="S87" s="34"/>
      <c r="T87" s="34"/>
      <c r="U87" s="34"/>
      <c r="V87" s="29"/>
    </row>
    <row r="88" spans="3:22">
      <c r="C88" s="125">
        <v>45889</v>
      </c>
      <c r="D88" s="34">
        <v>227.12</v>
      </c>
      <c r="E88" s="115">
        <v>227.27</v>
      </c>
      <c r="F88" s="34">
        <v>220.92</v>
      </c>
      <c r="G88" s="34">
        <v>223.81</v>
      </c>
      <c r="H88" s="34">
        <v>223.81</v>
      </c>
      <c r="I88" s="29">
        <v>36604300</v>
      </c>
      <c r="P88" s="125"/>
      <c r="Q88" s="34"/>
      <c r="R88" s="115"/>
      <c r="S88" s="34"/>
      <c r="T88" s="34"/>
      <c r="U88" s="34"/>
      <c r="V88" s="29"/>
    </row>
    <row r="89" spans="3:22">
      <c r="C89" s="125">
        <v>45888</v>
      </c>
      <c r="D89" s="34">
        <v>230.09</v>
      </c>
      <c r="E89" s="115">
        <v>230.53</v>
      </c>
      <c r="F89" s="34">
        <v>227.12</v>
      </c>
      <c r="G89" s="34">
        <v>228.01</v>
      </c>
      <c r="H89" s="34">
        <v>228.01</v>
      </c>
      <c r="I89" s="29">
        <v>29891000</v>
      </c>
      <c r="P89" s="125"/>
      <c r="Q89" s="34"/>
      <c r="R89" s="115"/>
      <c r="S89" s="34"/>
      <c r="T89" s="34"/>
      <c r="U89" s="34"/>
      <c r="V89" s="29"/>
    </row>
    <row r="90" spans="3:22">
      <c r="C90" s="125">
        <v>45887</v>
      </c>
      <c r="D90" s="34">
        <v>230.23</v>
      </c>
      <c r="E90" s="115">
        <v>231.91</v>
      </c>
      <c r="F90" s="34">
        <v>228.33</v>
      </c>
      <c r="G90" s="34">
        <v>231.49</v>
      </c>
      <c r="H90" s="34">
        <v>231.49</v>
      </c>
      <c r="I90" s="29">
        <v>25248900</v>
      </c>
      <c r="P90" s="125"/>
      <c r="Q90" s="34"/>
      <c r="R90" s="115"/>
      <c r="S90" s="34"/>
      <c r="T90" s="34"/>
      <c r="U90" s="34"/>
      <c r="V90" s="29"/>
    </row>
    <row r="91" spans="3:22">
      <c r="C91" s="125">
        <v>45884</v>
      </c>
      <c r="D91" s="34">
        <v>232.58</v>
      </c>
      <c r="E91" s="115">
        <v>234.08</v>
      </c>
      <c r="F91" s="34">
        <v>229.81</v>
      </c>
      <c r="G91" s="34">
        <v>231.03</v>
      </c>
      <c r="H91" s="34">
        <v>231.03</v>
      </c>
      <c r="I91" s="29">
        <v>39649200</v>
      </c>
      <c r="P91" s="125"/>
      <c r="Q91" s="34"/>
      <c r="R91" s="115"/>
      <c r="S91" s="34"/>
      <c r="T91" s="34"/>
      <c r="U91" s="34"/>
      <c r="V91" s="29"/>
    </row>
    <row r="92" spans="3:22">
      <c r="C92" s="125">
        <v>45883</v>
      </c>
      <c r="D92" s="34">
        <v>227.4</v>
      </c>
      <c r="E92" s="115">
        <v>233.11</v>
      </c>
      <c r="F92" s="34">
        <v>227.02</v>
      </c>
      <c r="G92" s="34">
        <v>230.98</v>
      </c>
      <c r="H92" s="34">
        <v>230.98</v>
      </c>
      <c r="I92" s="29">
        <v>61545800</v>
      </c>
      <c r="P92" s="125"/>
      <c r="Q92" s="34"/>
      <c r="R92" s="115"/>
      <c r="S92" s="34"/>
      <c r="T92" s="34"/>
      <c r="U92" s="34"/>
      <c r="V92" s="29"/>
    </row>
    <row r="93" spans="3:22">
      <c r="C93" s="125">
        <v>45882</v>
      </c>
      <c r="D93" s="34">
        <v>222</v>
      </c>
      <c r="E93" s="115">
        <v>224.92</v>
      </c>
      <c r="F93" s="34">
        <v>222</v>
      </c>
      <c r="G93" s="34">
        <v>224.56</v>
      </c>
      <c r="H93" s="34">
        <v>224.56</v>
      </c>
      <c r="I93" s="29">
        <v>36508300</v>
      </c>
      <c r="P93" s="125"/>
      <c r="Q93" s="34"/>
      <c r="R93" s="115"/>
      <c r="S93" s="34"/>
      <c r="T93" s="34"/>
      <c r="U93" s="34"/>
      <c r="V93" s="29"/>
    </row>
    <row r="94" spans="3:22">
      <c r="C94" s="125">
        <v>45881</v>
      </c>
      <c r="D94" s="34">
        <v>222.23</v>
      </c>
      <c r="E94" s="115">
        <v>223.5</v>
      </c>
      <c r="F94" s="34">
        <v>219.05</v>
      </c>
      <c r="G94" s="34">
        <v>221.47</v>
      </c>
      <c r="H94" s="34">
        <v>221.47</v>
      </c>
      <c r="I94" s="29">
        <v>37185800</v>
      </c>
      <c r="P94" s="125"/>
      <c r="Q94" s="34"/>
      <c r="R94" s="115"/>
      <c r="S94" s="34"/>
      <c r="T94" s="34"/>
      <c r="U94" s="34"/>
      <c r="V94" s="29"/>
    </row>
    <row r="95" spans="3:22">
      <c r="C95" s="125">
        <v>45880</v>
      </c>
      <c r="D95" s="34">
        <v>221.78</v>
      </c>
      <c r="E95" s="115">
        <v>223.05</v>
      </c>
      <c r="F95" s="34">
        <v>220.4</v>
      </c>
      <c r="G95" s="34">
        <v>221.3</v>
      </c>
      <c r="H95" s="34">
        <v>221.3</v>
      </c>
      <c r="I95" s="29">
        <v>31646200</v>
      </c>
      <c r="P95" s="125"/>
      <c r="Q95" s="34"/>
      <c r="R95" s="115"/>
      <c r="S95" s="34"/>
      <c r="T95" s="34"/>
      <c r="U95" s="34"/>
      <c r="V95" s="29"/>
    </row>
    <row r="96" spans="3:22">
      <c r="C96" s="125">
        <v>45877</v>
      </c>
      <c r="D96" s="34">
        <v>223.14</v>
      </c>
      <c r="E96" s="115">
        <v>223.8</v>
      </c>
      <c r="F96" s="34">
        <v>221.88</v>
      </c>
      <c r="G96" s="34">
        <v>222.69</v>
      </c>
      <c r="H96" s="34">
        <v>222.69</v>
      </c>
      <c r="I96" s="29">
        <v>32970500</v>
      </c>
      <c r="P96" s="125"/>
      <c r="Q96" s="34"/>
      <c r="R96" s="115"/>
      <c r="S96" s="34"/>
      <c r="T96" s="34"/>
      <c r="U96" s="34"/>
      <c r="V96" s="29"/>
    </row>
    <row r="97" spans="3:22">
      <c r="C97" s="125">
        <v>45876</v>
      </c>
      <c r="D97" s="34">
        <v>221</v>
      </c>
      <c r="E97" s="115">
        <v>226.22</v>
      </c>
      <c r="F97" s="34">
        <v>220.82</v>
      </c>
      <c r="G97" s="34">
        <v>223.13</v>
      </c>
      <c r="H97" s="34">
        <v>223.13</v>
      </c>
      <c r="I97" s="29">
        <v>40603500</v>
      </c>
      <c r="P97" s="125"/>
      <c r="Q97" s="34"/>
      <c r="R97" s="115"/>
      <c r="S97" s="34"/>
      <c r="T97" s="34"/>
      <c r="U97" s="34"/>
      <c r="V97" s="29"/>
    </row>
    <row r="98" spans="3:22">
      <c r="C98" s="125">
        <v>45875</v>
      </c>
      <c r="D98" s="34">
        <v>214.7</v>
      </c>
      <c r="E98" s="115">
        <v>222.65</v>
      </c>
      <c r="F98" s="34">
        <v>213.74</v>
      </c>
      <c r="G98" s="34">
        <v>222.31</v>
      </c>
      <c r="H98" s="34">
        <v>222.31</v>
      </c>
      <c r="I98" s="29">
        <v>54823000</v>
      </c>
      <c r="P98" s="125"/>
      <c r="Q98" s="34"/>
      <c r="R98" s="115"/>
      <c r="S98" s="34"/>
      <c r="T98" s="34"/>
      <c r="U98" s="34"/>
      <c r="V98" s="29"/>
    </row>
    <row r="99" spans="3:22">
      <c r="C99" s="125">
        <v>45874</v>
      </c>
      <c r="D99" s="34">
        <v>213.05</v>
      </c>
      <c r="E99" s="115">
        <v>216.3</v>
      </c>
      <c r="F99" s="34">
        <v>212.87</v>
      </c>
      <c r="G99" s="34">
        <v>213.75</v>
      </c>
      <c r="H99" s="34">
        <v>213.75</v>
      </c>
      <c r="I99" s="29">
        <v>51505100</v>
      </c>
      <c r="P99" s="125"/>
      <c r="Q99" s="34"/>
      <c r="R99" s="115"/>
      <c r="S99" s="34"/>
      <c r="T99" s="34"/>
      <c r="U99" s="34"/>
      <c r="V99" s="29"/>
    </row>
    <row r="100" spans="3:22">
      <c r="C100" s="125">
        <v>45873</v>
      </c>
      <c r="D100" s="34">
        <v>217.4</v>
      </c>
      <c r="E100" s="115">
        <v>217.44</v>
      </c>
      <c r="F100" s="34">
        <v>211.42</v>
      </c>
      <c r="G100" s="34">
        <v>211.65</v>
      </c>
      <c r="H100" s="34">
        <v>211.65</v>
      </c>
      <c r="I100" s="29">
        <v>77890100</v>
      </c>
      <c r="P100" s="125"/>
      <c r="Q100" s="34"/>
      <c r="R100" s="115"/>
      <c r="S100" s="34"/>
      <c r="T100" s="34"/>
      <c r="U100" s="34"/>
      <c r="V100" s="29"/>
    </row>
    <row r="101" spans="3:22">
      <c r="C101" s="125">
        <v>45870</v>
      </c>
      <c r="D101" s="34">
        <v>217.21</v>
      </c>
      <c r="E101" s="115">
        <v>220.44</v>
      </c>
      <c r="F101" s="34">
        <v>212.8</v>
      </c>
      <c r="G101" s="34">
        <v>214.75</v>
      </c>
      <c r="H101" s="34">
        <v>214.75</v>
      </c>
      <c r="I101" s="29">
        <v>122258800</v>
      </c>
      <c r="P101" s="125"/>
      <c r="Q101" s="34"/>
      <c r="R101" s="115"/>
      <c r="S101" s="34"/>
      <c r="T101" s="34"/>
      <c r="U101" s="34"/>
      <c r="V101" s="29"/>
    </row>
    <row r="102" spans="3:22">
      <c r="C102" s="125">
        <v>45869</v>
      </c>
      <c r="D102" s="34">
        <v>235.77</v>
      </c>
      <c r="E102" s="115">
        <v>236.53</v>
      </c>
      <c r="F102" s="34">
        <v>231.4</v>
      </c>
      <c r="G102" s="34">
        <v>234.11</v>
      </c>
      <c r="H102" s="34">
        <v>234.11</v>
      </c>
      <c r="I102" s="29">
        <v>104357300</v>
      </c>
      <c r="P102" s="125"/>
      <c r="Q102" s="34"/>
      <c r="R102" s="115"/>
      <c r="S102" s="34"/>
      <c r="T102" s="34"/>
      <c r="U102" s="34"/>
      <c r="V102" s="29"/>
    </row>
    <row r="103" spans="3:22">
      <c r="C103" s="125">
        <v>45868</v>
      </c>
      <c r="D103" s="34">
        <v>231.64</v>
      </c>
      <c r="E103" s="115">
        <v>231.8</v>
      </c>
      <c r="F103" s="34">
        <v>229.29</v>
      </c>
      <c r="G103" s="34">
        <v>230.19</v>
      </c>
      <c r="H103" s="34">
        <v>230.19</v>
      </c>
      <c r="I103" s="29">
        <v>32993300</v>
      </c>
      <c r="P103" s="125"/>
      <c r="Q103" s="34"/>
      <c r="R103" s="115"/>
      <c r="S103" s="34"/>
      <c r="T103" s="34"/>
      <c r="U103" s="34"/>
      <c r="V103" s="29"/>
    </row>
    <row r="104" spans="3:22">
      <c r="C104" s="125">
        <v>45867</v>
      </c>
      <c r="D104" s="34">
        <v>234.15</v>
      </c>
      <c r="E104" s="115">
        <v>234.72</v>
      </c>
      <c r="F104" s="34">
        <v>230.31</v>
      </c>
      <c r="G104" s="34">
        <v>231.01</v>
      </c>
      <c r="H104" s="34">
        <v>231.01</v>
      </c>
      <c r="I104" s="29">
        <v>33716200</v>
      </c>
      <c r="P104" s="125"/>
      <c r="Q104" s="34"/>
      <c r="R104" s="115"/>
      <c r="S104" s="34"/>
      <c r="T104" s="34"/>
      <c r="U104" s="34"/>
      <c r="V104" s="29"/>
    </row>
    <row r="105" spans="3:22">
      <c r="C105" s="125">
        <v>45866</v>
      </c>
      <c r="D105" s="34">
        <v>233.35</v>
      </c>
      <c r="E105" s="115">
        <v>234.29</v>
      </c>
      <c r="F105" s="34">
        <v>232.25</v>
      </c>
      <c r="G105" s="34">
        <v>232.79</v>
      </c>
      <c r="H105" s="34">
        <v>232.79</v>
      </c>
      <c r="I105" s="29">
        <v>26300100</v>
      </c>
      <c r="P105" s="125"/>
      <c r="Q105" s="34"/>
      <c r="R105" s="115"/>
      <c r="S105" s="34"/>
      <c r="T105" s="34"/>
      <c r="U105" s="34"/>
      <c r="V105" s="29"/>
    </row>
    <row r="106" spans="3:22">
      <c r="C106" s="125">
        <v>45863</v>
      </c>
      <c r="D106" s="34">
        <v>232.22</v>
      </c>
      <c r="E106" s="115">
        <v>232.48</v>
      </c>
      <c r="F106" s="34">
        <v>231.18</v>
      </c>
      <c r="G106" s="34">
        <v>231.44</v>
      </c>
      <c r="H106" s="34">
        <v>231.44</v>
      </c>
      <c r="I106" s="29">
        <v>28712100</v>
      </c>
      <c r="P106" s="125"/>
      <c r="Q106" s="34"/>
      <c r="R106" s="115"/>
      <c r="S106" s="34"/>
      <c r="T106" s="34"/>
      <c r="U106" s="34"/>
      <c r="V106" s="29"/>
    </row>
    <row r="107" spans="3:22">
      <c r="C107" s="125">
        <v>45862</v>
      </c>
      <c r="D107" s="34">
        <v>229.17</v>
      </c>
      <c r="E107" s="115">
        <v>236</v>
      </c>
      <c r="F107" s="34">
        <v>228.64</v>
      </c>
      <c r="G107" s="34">
        <v>232.23</v>
      </c>
      <c r="H107" s="34">
        <v>232.23</v>
      </c>
      <c r="I107" s="29">
        <v>42902300</v>
      </c>
      <c r="P107" s="125"/>
      <c r="Q107" s="34"/>
      <c r="R107" s="115"/>
      <c r="S107" s="34"/>
      <c r="T107" s="34"/>
      <c r="U107" s="34"/>
      <c r="V107" s="29"/>
    </row>
    <row r="108" spans="3:22">
      <c r="C108" s="125">
        <v>45861</v>
      </c>
      <c r="D108" s="34">
        <v>228.47</v>
      </c>
      <c r="E108" s="115">
        <v>228.79</v>
      </c>
      <c r="F108" s="34">
        <v>227.09</v>
      </c>
      <c r="G108" s="34">
        <v>228.29</v>
      </c>
      <c r="H108" s="34">
        <v>228.29</v>
      </c>
      <c r="I108" s="29">
        <v>28294900</v>
      </c>
      <c r="P108" s="125"/>
      <c r="Q108" s="34"/>
      <c r="R108" s="115"/>
      <c r="S108" s="34"/>
      <c r="T108" s="34"/>
      <c r="U108" s="34"/>
      <c r="V108" s="29"/>
    </row>
    <row r="109" spans="3:22">
      <c r="C109" s="125">
        <v>45860</v>
      </c>
      <c r="D109" s="34">
        <v>229.68</v>
      </c>
      <c r="E109" s="115">
        <v>230</v>
      </c>
      <c r="F109" s="34">
        <v>226.35</v>
      </c>
      <c r="G109" s="34">
        <v>227.47</v>
      </c>
      <c r="H109" s="34">
        <v>227.47</v>
      </c>
      <c r="I109" s="29">
        <v>37483700</v>
      </c>
      <c r="P109" s="125"/>
      <c r="Q109" s="34"/>
      <c r="R109" s="115"/>
      <c r="S109" s="34"/>
      <c r="T109" s="34"/>
      <c r="U109" s="34"/>
      <c r="V109" s="29"/>
    </row>
    <row r="110" spans="3:22">
      <c r="C110" s="125">
        <v>45859</v>
      </c>
      <c r="D110" s="34">
        <v>225.84</v>
      </c>
      <c r="E110" s="115">
        <v>229.69</v>
      </c>
      <c r="F110" s="34">
        <v>225.65</v>
      </c>
      <c r="G110" s="34">
        <v>229.3</v>
      </c>
      <c r="H110" s="34">
        <v>229.3</v>
      </c>
      <c r="I110" s="29">
        <v>40297600</v>
      </c>
      <c r="P110" s="125"/>
      <c r="Q110" s="34"/>
      <c r="R110" s="115"/>
      <c r="S110" s="34"/>
      <c r="T110" s="34"/>
      <c r="U110" s="34"/>
      <c r="V110" s="29"/>
    </row>
    <row r="111" spans="3:22">
      <c r="C111" s="125">
        <v>45856</v>
      </c>
      <c r="D111" s="34">
        <v>225.14</v>
      </c>
      <c r="E111" s="115">
        <v>226.4</v>
      </c>
      <c r="F111" s="34">
        <v>222.98</v>
      </c>
      <c r="G111" s="34">
        <v>226.13</v>
      </c>
      <c r="H111" s="34">
        <v>226.13</v>
      </c>
      <c r="I111" s="29">
        <v>37833800</v>
      </c>
      <c r="P111" s="125"/>
      <c r="Q111" s="34"/>
      <c r="R111" s="115"/>
      <c r="S111" s="34"/>
      <c r="T111" s="34"/>
      <c r="U111" s="34"/>
      <c r="V111" s="29"/>
    </row>
    <row r="112" spans="3:22">
      <c r="C112" s="125">
        <v>45855</v>
      </c>
      <c r="D112" s="34">
        <v>223.32</v>
      </c>
      <c r="E112" s="115">
        <v>224.5</v>
      </c>
      <c r="F112" s="34">
        <v>222.51</v>
      </c>
      <c r="G112" s="34">
        <v>223.88</v>
      </c>
      <c r="H112" s="34">
        <v>223.88</v>
      </c>
      <c r="I112" s="29">
        <v>31855800</v>
      </c>
      <c r="P112" s="125"/>
      <c r="Q112" s="34"/>
      <c r="R112" s="115"/>
      <c r="S112" s="34"/>
      <c r="T112" s="34"/>
      <c r="U112" s="34"/>
      <c r="V112" s="29"/>
    </row>
    <row r="113" spans="3:22">
      <c r="C113" s="125">
        <v>45854</v>
      </c>
      <c r="D113" s="34">
        <v>225.88</v>
      </c>
      <c r="E113" s="115">
        <v>226.1</v>
      </c>
      <c r="F113" s="34">
        <v>222.18</v>
      </c>
      <c r="G113" s="34">
        <v>223.19</v>
      </c>
      <c r="H113" s="34">
        <v>223.19</v>
      </c>
      <c r="I113" s="29">
        <v>39535900</v>
      </c>
      <c r="P113" s="125"/>
      <c r="Q113" s="34"/>
      <c r="R113" s="115"/>
      <c r="S113" s="34"/>
      <c r="T113" s="34"/>
      <c r="U113" s="34"/>
      <c r="V113" s="29"/>
    </row>
    <row r="114" spans="3:22">
      <c r="C114" s="125">
        <v>45853</v>
      </c>
      <c r="D114" s="34">
        <v>226.2</v>
      </c>
      <c r="E114" s="115">
        <v>227.27</v>
      </c>
      <c r="F114" s="34">
        <v>225.46</v>
      </c>
      <c r="G114" s="34">
        <v>226.35</v>
      </c>
      <c r="H114" s="34">
        <v>226.35</v>
      </c>
      <c r="I114" s="29">
        <v>34907300</v>
      </c>
      <c r="P114" s="125"/>
      <c r="Q114" s="34"/>
      <c r="R114" s="115"/>
      <c r="S114" s="34"/>
      <c r="T114" s="34"/>
      <c r="U114" s="34"/>
      <c r="V114" s="29"/>
    </row>
    <row r="115" spans="3:22">
      <c r="C115" s="125">
        <v>45852</v>
      </c>
      <c r="D115" s="34">
        <v>225.07</v>
      </c>
      <c r="E115" s="115">
        <v>226.66</v>
      </c>
      <c r="F115" s="34">
        <v>224.24</v>
      </c>
      <c r="G115" s="34">
        <v>225.69</v>
      </c>
      <c r="H115" s="34">
        <v>225.69</v>
      </c>
      <c r="I115" s="29">
        <v>35702600</v>
      </c>
      <c r="P115" s="125"/>
      <c r="Q115" s="34"/>
      <c r="R115" s="115"/>
      <c r="S115" s="34"/>
      <c r="T115" s="34"/>
      <c r="U115" s="34"/>
      <c r="V115" s="29"/>
    </row>
    <row r="116" spans="3:22">
      <c r="C116" s="125">
        <v>45849</v>
      </c>
      <c r="D116" s="34">
        <v>223.58</v>
      </c>
      <c r="E116" s="115">
        <v>226.68</v>
      </c>
      <c r="F116" s="34">
        <v>222.37</v>
      </c>
      <c r="G116" s="34">
        <v>225.02</v>
      </c>
      <c r="H116" s="34">
        <v>225.02</v>
      </c>
      <c r="I116" s="29">
        <v>50518300</v>
      </c>
      <c r="P116" s="125"/>
      <c r="Q116" s="34"/>
      <c r="R116" s="115"/>
      <c r="S116" s="34"/>
      <c r="T116" s="34"/>
      <c r="U116" s="34"/>
      <c r="V116" s="29"/>
    </row>
    <row r="117" spans="3:22">
      <c r="C117" s="125">
        <v>45848</v>
      </c>
      <c r="D117" s="34">
        <v>221.55</v>
      </c>
      <c r="E117" s="115">
        <v>222.79</v>
      </c>
      <c r="F117" s="34">
        <v>219.7</v>
      </c>
      <c r="G117" s="34">
        <v>222.26</v>
      </c>
      <c r="H117" s="34">
        <v>222.26</v>
      </c>
      <c r="I117" s="29">
        <v>30370600</v>
      </c>
      <c r="P117" s="125"/>
      <c r="Q117" s="34"/>
      <c r="R117" s="115"/>
      <c r="S117" s="34"/>
      <c r="T117" s="34"/>
      <c r="U117" s="34"/>
      <c r="V117" s="29"/>
    </row>
    <row r="118" spans="3:22">
      <c r="C118" s="125">
        <v>45847</v>
      </c>
      <c r="D118" s="34">
        <v>221.07</v>
      </c>
      <c r="E118" s="115">
        <v>224.29</v>
      </c>
      <c r="F118" s="34">
        <v>220.47</v>
      </c>
      <c r="G118" s="34">
        <v>222.54</v>
      </c>
      <c r="H118" s="34">
        <v>222.54</v>
      </c>
      <c r="I118" s="29">
        <v>38155100</v>
      </c>
      <c r="P118" s="125"/>
      <c r="Q118" s="34"/>
      <c r="R118" s="115"/>
      <c r="S118" s="34"/>
      <c r="T118" s="34"/>
      <c r="U118" s="34"/>
      <c r="V118" s="29"/>
    </row>
    <row r="119" spans="3:22">
      <c r="C119" s="125">
        <v>45846</v>
      </c>
      <c r="D119" s="34">
        <v>223.92</v>
      </c>
      <c r="E119" s="115">
        <v>224</v>
      </c>
      <c r="F119" s="34">
        <v>218.43</v>
      </c>
      <c r="G119" s="34">
        <v>219.36</v>
      </c>
      <c r="H119" s="34">
        <v>219.36</v>
      </c>
      <c r="I119" s="29">
        <v>45692000</v>
      </c>
      <c r="P119" s="125"/>
      <c r="Q119" s="34"/>
      <c r="R119" s="115"/>
      <c r="S119" s="34"/>
      <c r="T119" s="34"/>
      <c r="U119" s="34"/>
      <c r="V119" s="29"/>
    </row>
    <row r="120" spans="3:22">
      <c r="C120" s="125">
        <v>45845</v>
      </c>
      <c r="D120" s="34">
        <v>223</v>
      </c>
      <c r="E120" s="115">
        <v>224.29</v>
      </c>
      <c r="F120" s="34">
        <v>222.37</v>
      </c>
      <c r="G120" s="34">
        <v>223.47</v>
      </c>
      <c r="H120" s="34">
        <v>223.47</v>
      </c>
      <c r="I120" s="29">
        <v>36604100</v>
      </c>
      <c r="P120" s="125"/>
      <c r="Q120" s="34"/>
      <c r="R120" s="115"/>
      <c r="S120" s="34"/>
      <c r="T120" s="34"/>
      <c r="U120" s="34"/>
      <c r="V120" s="29"/>
    </row>
    <row r="121" spans="3:22">
      <c r="C121" s="125">
        <v>45841</v>
      </c>
      <c r="D121" s="34">
        <v>221.82</v>
      </c>
      <c r="E121" s="115">
        <v>224.01</v>
      </c>
      <c r="F121" s="34">
        <v>221.36</v>
      </c>
      <c r="G121" s="34">
        <v>223.41</v>
      </c>
      <c r="H121" s="34">
        <v>223.41</v>
      </c>
      <c r="I121" s="29">
        <v>29632400</v>
      </c>
      <c r="P121" s="125"/>
      <c r="Q121" s="34"/>
      <c r="R121" s="115"/>
      <c r="S121" s="34"/>
      <c r="T121" s="34"/>
      <c r="U121" s="34"/>
      <c r="V121" s="29"/>
    </row>
    <row r="122" spans="3:22">
      <c r="C122" s="125">
        <v>45840</v>
      </c>
      <c r="D122" s="34">
        <v>219.73</v>
      </c>
      <c r="E122" s="115">
        <v>221.6</v>
      </c>
      <c r="F122" s="34">
        <v>219.06</v>
      </c>
      <c r="G122" s="34">
        <v>219.92</v>
      </c>
      <c r="H122" s="34">
        <v>219.92</v>
      </c>
      <c r="I122" s="29">
        <v>30894200</v>
      </c>
      <c r="P122" s="125"/>
      <c r="Q122" s="34"/>
      <c r="R122" s="115"/>
      <c r="S122" s="34"/>
      <c r="T122" s="34"/>
      <c r="U122" s="34"/>
      <c r="V122" s="29"/>
    </row>
    <row r="123" spans="3:22">
      <c r="C123" s="125">
        <v>45839</v>
      </c>
      <c r="D123" s="34">
        <v>219.5</v>
      </c>
      <c r="E123" s="115">
        <v>221.88</v>
      </c>
      <c r="F123" s="34">
        <v>217.93</v>
      </c>
      <c r="G123" s="34">
        <v>220.46</v>
      </c>
      <c r="H123" s="34">
        <v>220.46</v>
      </c>
      <c r="I123" s="29">
        <v>39256800</v>
      </c>
      <c r="P123" s="125"/>
      <c r="Q123" s="34"/>
      <c r="R123" s="115"/>
      <c r="S123" s="34"/>
      <c r="T123" s="34"/>
      <c r="U123" s="34"/>
      <c r="V123" s="29"/>
    </row>
    <row r="124" spans="3:22">
      <c r="C124" s="125">
        <v>45838</v>
      </c>
      <c r="D124" s="34">
        <v>223.52</v>
      </c>
      <c r="E124" s="115">
        <v>223.82</v>
      </c>
      <c r="F124" s="34">
        <v>219.12</v>
      </c>
      <c r="G124" s="34">
        <v>219.39</v>
      </c>
      <c r="H124" s="34">
        <v>219.39</v>
      </c>
      <c r="I124" s="29">
        <v>58887800</v>
      </c>
      <c r="P124" s="125"/>
      <c r="Q124" s="34"/>
      <c r="R124" s="115"/>
      <c r="S124" s="34"/>
      <c r="T124" s="34"/>
      <c r="U124" s="34"/>
      <c r="V124" s="29"/>
    </row>
    <row r="125" spans="3:22">
      <c r="C125" s="125">
        <v>45835</v>
      </c>
      <c r="D125" s="34">
        <v>219.92</v>
      </c>
      <c r="E125" s="115">
        <v>223.3</v>
      </c>
      <c r="F125" s="34">
        <v>216.74</v>
      </c>
      <c r="G125" s="34">
        <v>223.3</v>
      </c>
      <c r="H125" s="34">
        <v>223.3</v>
      </c>
      <c r="I125" s="29">
        <v>119217100</v>
      </c>
      <c r="P125" s="125"/>
      <c r="Q125" s="34"/>
      <c r="R125" s="115"/>
      <c r="S125" s="34"/>
      <c r="T125" s="34"/>
      <c r="U125" s="34"/>
      <c r="V125" s="29"/>
    </row>
    <row r="126" spans="3:22">
      <c r="C126" s="125">
        <v>45834</v>
      </c>
      <c r="D126" s="34">
        <v>213.12</v>
      </c>
      <c r="E126" s="115">
        <v>218.04</v>
      </c>
      <c r="F126" s="34">
        <v>212.01</v>
      </c>
      <c r="G126" s="34">
        <v>217.12</v>
      </c>
      <c r="H126" s="34">
        <v>217.12</v>
      </c>
      <c r="I126" s="29">
        <v>50480800</v>
      </c>
      <c r="P126" s="125"/>
      <c r="Q126" s="34"/>
      <c r="R126" s="115"/>
      <c r="S126" s="34"/>
      <c r="T126" s="34"/>
      <c r="U126" s="34"/>
      <c r="V126" s="29"/>
    </row>
    <row r="127" spans="3:22">
      <c r="C127" s="125">
        <v>45833</v>
      </c>
      <c r="D127" s="34">
        <v>214.62</v>
      </c>
      <c r="E127" s="115">
        <v>216.03</v>
      </c>
      <c r="F127" s="34">
        <v>211.11</v>
      </c>
      <c r="G127" s="34">
        <v>211.99</v>
      </c>
      <c r="H127" s="34">
        <v>211.99</v>
      </c>
      <c r="I127" s="29">
        <v>31755700</v>
      </c>
      <c r="P127" s="125"/>
      <c r="Q127" s="34"/>
      <c r="R127" s="115"/>
      <c r="S127" s="34"/>
      <c r="T127" s="34"/>
      <c r="U127" s="34"/>
      <c r="V127" s="29"/>
    </row>
    <row r="128" spans="3:22">
      <c r="C128" s="125">
        <v>45832</v>
      </c>
      <c r="D128" s="34">
        <v>212.14</v>
      </c>
      <c r="E128" s="115">
        <v>214.34</v>
      </c>
      <c r="F128" s="34">
        <v>211.05</v>
      </c>
      <c r="G128" s="34">
        <v>212.77</v>
      </c>
      <c r="H128" s="34">
        <v>212.77</v>
      </c>
      <c r="I128" s="29">
        <v>38378800</v>
      </c>
      <c r="P128" s="125"/>
      <c r="Q128" s="34"/>
      <c r="R128" s="115"/>
      <c r="S128" s="34"/>
      <c r="T128" s="34"/>
      <c r="U128" s="34"/>
      <c r="V128" s="29"/>
    </row>
    <row r="129" spans="3:22">
      <c r="C129" s="125">
        <v>45831</v>
      </c>
      <c r="D129" s="34">
        <v>209.79</v>
      </c>
      <c r="E129" s="115">
        <v>210.39</v>
      </c>
      <c r="F129" s="34">
        <v>207.31</v>
      </c>
      <c r="G129" s="34">
        <v>208.47</v>
      </c>
      <c r="H129" s="34">
        <v>208.47</v>
      </c>
      <c r="I129" s="29">
        <v>37311700</v>
      </c>
      <c r="P129" s="125"/>
      <c r="Q129" s="34"/>
      <c r="R129" s="115"/>
      <c r="S129" s="34"/>
      <c r="T129" s="34"/>
      <c r="U129" s="34"/>
      <c r="V129" s="29"/>
    </row>
    <row r="130" spans="3:22">
      <c r="C130" s="125">
        <v>45828</v>
      </c>
      <c r="D130" s="34">
        <v>214.68</v>
      </c>
      <c r="E130" s="115">
        <v>214.89</v>
      </c>
      <c r="F130" s="34">
        <v>208.27</v>
      </c>
      <c r="G130" s="34">
        <v>209.69</v>
      </c>
      <c r="H130" s="34">
        <v>209.69</v>
      </c>
      <c r="I130" s="29">
        <v>75350700</v>
      </c>
      <c r="P130" s="125"/>
      <c r="Q130" s="34"/>
      <c r="R130" s="115"/>
      <c r="S130" s="34"/>
      <c r="T130" s="34"/>
      <c r="U130" s="34"/>
      <c r="V130" s="29"/>
    </row>
    <row r="131" spans="3:22">
      <c r="C131" s="125">
        <v>45826</v>
      </c>
      <c r="D131" s="34">
        <v>215.09</v>
      </c>
      <c r="E131" s="115">
        <v>217.96</v>
      </c>
      <c r="F131" s="34">
        <v>212.34</v>
      </c>
      <c r="G131" s="34">
        <v>212.52</v>
      </c>
      <c r="H131" s="34">
        <v>212.52</v>
      </c>
      <c r="I131" s="29">
        <v>44360500</v>
      </c>
      <c r="P131" s="125"/>
      <c r="Q131" s="34"/>
      <c r="R131" s="115"/>
      <c r="S131" s="34"/>
      <c r="T131" s="34"/>
      <c r="U131" s="34"/>
      <c r="V131" s="29"/>
    </row>
    <row r="132" spans="3:22">
      <c r="C132" s="125">
        <v>45825</v>
      </c>
      <c r="D132" s="34">
        <v>215.2</v>
      </c>
      <c r="E132" s="115">
        <v>217.41</v>
      </c>
      <c r="F132" s="34">
        <v>214.56</v>
      </c>
      <c r="G132" s="34">
        <v>214.82</v>
      </c>
      <c r="H132" s="34">
        <v>214.82</v>
      </c>
      <c r="I132" s="29">
        <v>32086300</v>
      </c>
      <c r="P132" s="125"/>
      <c r="Q132" s="34"/>
      <c r="R132" s="115"/>
      <c r="S132" s="34"/>
      <c r="T132" s="34"/>
      <c r="U132" s="34"/>
      <c r="V132" s="29"/>
    </row>
    <row r="133" spans="3:22">
      <c r="C133" s="125">
        <v>45824</v>
      </c>
      <c r="D133" s="34">
        <v>212.31</v>
      </c>
      <c r="E133" s="115">
        <v>217.06</v>
      </c>
      <c r="F133" s="34">
        <v>211.6</v>
      </c>
      <c r="G133" s="34">
        <v>216.1</v>
      </c>
      <c r="H133" s="34">
        <v>216.1</v>
      </c>
      <c r="I133" s="29">
        <v>33284200</v>
      </c>
      <c r="P133" s="125"/>
      <c r="Q133" s="34"/>
      <c r="R133" s="115"/>
      <c r="S133" s="34"/>
      <c r="T133" s="34"/>
      <c r="U133" s="34"/>
      <c r="V133" s="29"/>
    </row>
    <row r="134" spans="3:22">
      <c r="C134" s="125">
        <v>45821</v>
      </c>
      <c r="D134" s="34">
        <v>209.96</v>
      </c>
      <c r="E134" s="115">
        <v>214.05</v>
      </c>
      <c r="F134" s="34">
        <v>209.62</v>
      </c>
      <c r="G134" s="34">
        <v>212.1</v>
      </c>
      <c r="H134" s="34">
        <v>212.1</v>
      </c>
      <c r="I134" s="29">
        <v>29337800</v>
      </c>
      <c r="P134" s="125"/>
      <c r="Q134" s="34"/>
      <c r="R134" s="115"/>
      <c r="S134" s="34"/>
      <c r="T134" s="34"/>
      <c r="U134" s="34"/>
      <c r="V134" s="29"/>
    </row>
    <row r="135" spans="3:22">
      <c r="C135" s="125">
        <v>45820</v>
      </c>
      <c r="D135" s="34">
        <v>211.78</v>
      </c>
      <c r="E135" s="115">
        <v>213.58</v>
      </c>
      <c r="F135" s="34">
        <v>211.33</v>
      </c>
      <c r="G135" s="34">
        <v>213.24</v>
      </c>
      <c r="H135" s="34">
        <v>213.24</v>
      </c>
      <c r="I135" s="29">
        <v>27640000</v>
      </c>
      <c r="P135" s="125"/>
      <c r="Q135" s="34"/>
      <c r="R135" s="115"/>
      <c r="S135" s="34"/>
      <c r="T135" s="34"/>
      <c r="U135" s="34"/>
      <c r="V135" s="29"/>
    </row>
    <row r="136" spans="3:22">
      <c r="C136" s="125">
        <v>45819</v>
      </c>
      <c r="D136" s="34">
        <v>217.41</v>
      </c>
      <c r="E136" s="115">
        <v>218.4</v>
      </c>
      <c r="F136" s="34">
        <v>212.89</v>
      </c>
      <c r="G136" s="34">
        <v>213.2</v>
      </c>
      <c r="H136" s="34">
        <v>213.2</v>
      </c>
      <c r="I136" s="29">
        <v>39326000</v>
      </c>
      <c r="P136" s="125"/>
      <c r="Q136" s="34"/>
      <c r="R136" s="115"/>
      <c r="S136" s="34"/>
      <c r="T136" s="34"/>
      <c r="U136" s="34"/>
      <c r="V136" s="29"/>
    </row>
    <row r="137" spans="3:22">
      <c r="C137" s="125">
        <v>45818</v>
      </c>
      <c r="D137" s="34">
        <v>216.78</v>
      </c>
      <c r="E137" s="115">
        <v>217.69</v>
      </c>
      <c r="F137" s="34">
        <v>214.15</v>
      </c>
      <c r="G137" s="34">
        <v>217.61</v>
      </c>
      <c r="H137" s="34">
        <v>217.61</v>
      </c>
      <c r="I137" s="29">
        <v>31303300</v>
      </c>
      <c r="P137" s="125"/>
      <c r="Q137" s="34"/>
      <c r="R137" s="115"/>
      <c r="S137" s="34"/>
      <c r="T137" s="34"/>
      <c r="U137" s="34"/>
      <c r="V137" s="29"/>
    </row>
    <row r="138" spans="3:22">
      <c r="C138" s="125">
        <v>45817</v>
      </c>
      <c r="D138" s="34">
        <v>214.75</v>
      </c>
      <c r="E138" s="115">
        <v>217.85</v>
      </c>
      <c r="F138" s="34">
        <v>212.88</v>
      </c>
      <c r="G138" s="34">
        <v>216.98</v>
      </c>
      <c r="H138" s="34">
        <v>216.98</v>
      </c>
      <c r="I138" s="29">
        <v>38102500</v>
      </c>
      <c r="P138" s="125"/>
      <c r="Q138" s="34"/>
      <c r="R138" s="115"/>
      <c r="S138" s="34"/>
      <c r="T138" s="34"/>
      <c r="U138" s="34"/>
      <c r="V138" s="29"/>
    </row>
    <row r="139" spans="3:22">
      <c r="C139" s="125">
        <v>45814</v>
      </c>
      <c r="D139" s="34">
        <v>212.4</v>
      </c>
      <c r="E139" s="115">
        <v>213.87</v>
      </c>
      <c r="F139" s="34">
        <v>210.5</v>
      </c>
      <c r="G139" s="34">
        <v>213.57</v>
      </c>
      <c r="H139" s="34">
        <v>213.57</v>
      </c>
      <c r="I139" s="29">
        <v>39832500</v>
      </c>
      <c r="P139" s="125"/>
      <c r="Q139" s="34"/>
      <c r="R139" s="115"/>
      <c r="S139" s="34"/>
      <c r="T139" s="34"/>
      <c r="U139" s="34"/>
      <c r="V139" s="29"/>
    </row>
    <row r="140" spans="3:22">
      <c r="C140" s="125">
        <v>45813</v>
      </c>
      <c r="D140" s="34">
        <v>209.55</v>
      </c>
      <c r="E140" s="115">
        <v>212.81</v>
      </c>
      <c r="F140" s="34">
        <v>207.56</v>
      </c>
      <c r="G140" s="34">
        <v>207.91</v>
      </c>
      <c r="H140" s="34">
        <v>207.91</v>
      </c>
      <c r="I140" s="29">
        <v>51864200</v>
      </c>
      <c r="P140" s="125"/>
      <c r="Q140" s="34"/>
      <c r="R140" s="115"/>
      <c r="S140" s="34"/>
      <c r="T140" s="34"/>
      <c r="U140" s="34"/>
      <c r="V140" s="29"/>
    </row>
    <row r="141" spans="3:22">
      <c r="C141" s="125">
        <v>45812</v>
      </c>
      <c r="D141" s="34">
        <v>206.55</v>
      </c>
      <c r="E141" s="115">
        <v>208.18</v>
      </c>
      <c r="F141" s="34">
        <v>205.18</v>
      </c>
      <c r="G141" s="34">
        <v>207.23</v>
      </c>
      <c r="H141" s="34">
        <v>207.23</v>
      </c>
      <c r="I141" s="29">
        <v>29915600</v>
      </c>
      <c r="P141" s="125"/>
      <c r="Q141" s="34"/>
      <c r="R141" s="115"/>
      <c r="S141" s="34"/>
      <c r="T141" s="34"/>
      <c r="U141" s="34"/>
      <c r="V141" s="29"/>
    </row>
    <row r="142" spans="3:22">
      <c r="C142" s="125">
        <v>45811</v>
      </c>
      <c r="D142" s="34">
        <v>207.11</v>
      </c>
      <c r="E142" s="115">
        <v>208.95</v>
      </c>
      <c r="F142" s="34">
        <v>205.03</v>
      </c>
      <c r="G142" s="34">
        <v>205.71</v>
      </c>
      <c r="H142" s="34">
        <v>205.71</v>
      </c>
      <c r="I142" s="29">
        <v>33139100</v>
      </c>
      <c r="P142" s="125"/>
      <c r="Q142" s="34"/>
      <c r="R142" s="115"/>
      <c r="S142" s="34"/>
      <c r="T142" s="34"/>
      <c r="U142" s="34"/>
      <c r="V142" s="29"/>
    </row>
    <row r="143" spans="3:22">
      <c r="C143" s="125">
        <v>45810</v>
      </c>
      <c r="D143" s="34">
        <v>204.98</v>
      </c>
      <c r="E143" s="115">
        <v>207</v>
      </c>
      <c r="F143" s="34">
        <v>202.68</v>
      </c>
      <c r="G143" s="34">
        <v>206.65</v>
      </c>
      <c r="H143" s="34">
        <v>206.65</v>
      </c>
      <c r="I143" s="29">
        <v>29113300</v>
      </c>
      <c r="P143" s="125"/>
      <c r="Q143" s="34"/>
      <c r="R143" s="115"/>
      <c r="S143" s="34"/>
      <c r="T143" s="34"/>
      <c r="U143" s="34"/>
      <c r="V143" s="29"/>
    </row>
    <row r="144" spans="3:22">
      <c r="C144" s="125">
        <v>45807</v>
      </c>
      <c r="D144" s="34">
        <v>204.84</v>
      </c>
      <c r="E144" s="115">
        <v>205.99</v>
      </c>
      <c r="F144" s="34">
        <v>201.7</v>
      </c>
      <c r="G144" s="34">
        <v>205.01</v>
      </c>
      <c r="H144" s="34">
        <v>205.01</v>
      </c>
      <c r="I144" s="29">
        <v>51679400</v>
      </c>
      <c r="P144" s="125"/>
      <c r="Q144" s="34"/>
      <c r="R144" s="115"/>
      <c r="S144" s="34"/>
      <c r="T144" s="34"/>
      <c r="U144" s="34"/>
      <c r="V144" s="29"/>
    </row>
    <row r="145" spans="3:22">
      <c r="C145" s="125">
        <v>45806</v>
      </c>
      <c r="D145" s="34">
        <v>208.03</v>
      </c>
      <c r="E145" s="115">
        <v>208.81</v>
      </c>
      <c r="F145" s="34">
        <v>204.23</v>
      </c>
      <c r="G145" s="34">
        <v>205.7</v>
      </c>
      <c r="H145" s="34">
        <v>205.7</v>
      </c>
      <c r="I145" s="29">
        <v>34650000</v>
      </c>
      <c r="P145" s="125"/>
      <c r="Q145" s="34"/>
      <c r="R145" s="115"/>
      <c r="S145" s="34"/>
      <c r="T145" s="34"/>
      <c r="U145" s="34"/>
      <c r="V145" s="29"/>
    </row>
    <row r="146" spans="3:22">
      <c r="C146" s="125">
        <v>45805</v>
      </c>
      <c r="D146" s="34">
        <v>205.92</v>
      </c>
      <c r="E146" s="115">
        <v>207.66</v>
      </c>
      <c r="F146" s="34">
        <v>204.41</v>
      </c>
      <c r="G146" s="34">
        <v>204.72</v>
      </c>
      <c r="H146" s="34">
        <v>204.72</v>
      </c>
      <c r="I146" s="29">
        <v>28549800</v>
      </c>
      <c r="P146" s="125"/>
      <c r="Q146" s="34"/>
      <c r="R146" s="115"/>
      <c r="S146" s="34"/>
      <c r="T146" s="34"/>
      <c r="U146" s="34"/>
      <c r="V146" s="29"/>
    </row>
    <row r="147" spans="3:22">
      <c r="C147" s="125">
        <v>45804</v>
      </c>
      <c r="D147" s="34">
        <v>203.09</v>
      </c>
      <c r="E147" s="115">
        <v>206.69</v>
      </c>
      <c r="F147" s="34">
        <v>202.19</v>
      </c>
      <c r="G147" s="34">
        <v>206.02</v>
      </c>
      <c r="H147" s="34">
        <v>206.02</v>
      </c>
      <c r="I147" s="29">
        <v>34892000</v>
      </c>
      <c r="P147" s="125"/>
      <c r="Q147" s="34"/>
      <c r="R147" s="115"/>
      <c r="S147" s="34"/>
      <c r="T147" s="34"/>
      <c r="U147" s="34"/>
      <c r="V147" s="29"/>
    </row>
    <row r="148" spans="3:22">
      <c r="C148" s="125">
        <v>45800</v>
      </c>
      <c r="D148" s="34">
        <v>198.9</v>
      </c>
      <c r="E148" s="115">
        <v>202.37</v>
      </c>
      <c r="F148" s="34">
        <v>197.85</v>
      </c>
      <c r="G148" s="34">
        <v>200.99</v>
      </c>
      <c r="H148" s="34">
        <v>200.99</v>
      </c>
      <c r="I148" s="29">
        <v>33393500</v>
      </c>
      <c r="P148" s="125"/>
      <c r="Q148" s="34"/>
      <c r="R148" s="115"/>
      <c r="S148" s="34"/>
      <c r="T148" s="34"/>
      <c r="U148" s="34"/>
      <c r="V148" s="29"/>
    </row>
    <row r="149" spans="3:22">
      <c r="C149" s="125">
        <v>45799</v>
      </c>
      <c r="D149" s="34">
        <v>201.38</v>
      </c>
      <c r="E149" s="115">
        <v>205.76</v>
      </c>
      <c r="F149" s="34">
        <v>200.16</v>
      </c>
      <c r="G149" s="34">
        <v>203.1</v>
      </c>
      <c r="H149" s="34">
        <v>203.1</v>
      </c>
      <c r="I149" s="29">
        <v>38938900</v>
      </c>
      <c r="P149" s="125"/>
      <c r="Q149" s="34"/>
      <c r="R149" s="115"/>
      <c r="S149" s="34"/>
      <c r="T149" s="34"/>
      <c r="U149" s="34"/>
      <c r="V149" s="29"/>
    </row>
    <row r="150" spans="3:22">
      <c r="C150" s="125">
        <v>45798</v>
      </c>
      <c r="D150" s="34">
        <v>201.61</v>
      </c>
      <c r="E150" s="115">
        <v>203.46</v>
      </c>
      <c r="F150" s="34">
        <v>200.06</v>
      </c>
      <c r="G150" s="34">
        <v>201.12</v>
      </c>
      <c r="H150" s="34">
        <v>201.12</v>
      </c>
      <c r="I150" s="29">
        <v>42460900</v>
      </c>
      <c r="P150" s="125"/>
      <c r="Q150" s="34"/>
      <c r="R150" s="115"/>
      <c r="S150" s="34"/>
      <c r="T150" s="34"/>
      <c r="U150" s="34"/>
      <c r="V150" s="29"/>
    </row>
    <row r="151" spans="3:22">
      <c r="C151" s="125">
        <v>45797</v>
      </c>
      <c r="D151" s="34">
        <v>204.63</v>
      </c>
      <c r="E151" s="115">
        <v>205.59</v>
      </c>
      <c r="F151" s="34">
        <v>202.65</v>
      </c>
      <c r="G151" s="34">
        <v>204.07</v>
      </c>
      <c r="H151" s="34">
        <v>204.07</v>
      </c>
      <c r="I151" s="29">
        <v>29470400</v>
      </c>
      <c r="P151" s="125"/>
      <c r="Q151" s="34"/>
      <c r="R151" s="115"/>
      <c r="S151" s="34"/>
      <c r="T151" s="34"/>
      <c r="U151" s="34"/>
      <c r="V151" s="29"/>
    </row>
    <row r="152" spans="3:22">
      <c r="C152" s="125">
        <v>45796</v>
      </c>
      <c r="D152" s="34">
        <v>201.65</v>
      </c>
      <c r="E152" s="115">
        <v>206.62</v>
      </c>
      <c r="F152" s="34">
        <v>201.26</v>
      </c>
      <c r="G152" s="34">
        <v>206.16</v>
      </c>
      <c r="H152" s="34">
        <v>206.16</v>
      </c>
      <c r="I152" s="29">
        <v>34314800</v>
      </c>
      <c r="P152" s="125"/>
      <c r="Q152" s="34"/>
      <c r="R152" s="115"/>
      <c r="S152" s="34"/>
      <c r="T152" s="34"/>
      <c r="U152" s="34"/>
      <c r="V152" s="29"/>
    </row>
    <row r="153" spans="3:22">
      <c r="C153" s="125">
        <v>45793</v>
      </c>
      <c r="D153" s="34">
        <v>206.85</v>
      </c>
      <c r="E153" s="115">
        <v>206.85</v>
      </c>
      <c r="F153" s="34">
        <v>204.37</v>
      </c>
      <c r="G153" s="34">
        <v>205.59</v>
      </c>
      <c r="H153" s="34">
        <v>205.59</v>
      </c>
      <c r="I153" s="29">
        <v>43318500</v>
      </c>
      <c r="P153" s="125"/>
      <c r="Q153" s="34"/>
      <c r="R153" s="115"/>
      <c r="S153" s="34"/>
      <c r="T153" s="34"/>
      <c r="U153" s="34"/>
      <c r="V153" s="29"/>
    </row>
    <row r="154" spans="3:22">
      <c r="C154" s="125">
        <v>45792</v>
      </c>
      <c r="D154" s="34">
        <v>206.45</v>
      </c>
      <c r="E154" s="115">
        <v>206.88</v>
      </c>
      <c r="F154" s="34">
        <v>202.67</v>
      </c>
      <c r="G154" s="34">
        <v>205.17</v>
      </c>
      <c r="H154" s="34">
        <v>205.17</v>
      </c>
      <c r="I154" s="29">
        <v>64347300</v>
      </c>
      <c r="P154" s="125"/>
      <c r="Q154" s="34"/>
      <c r="R154" s="115"/>
      <c r="S154" s="34"/>
      <c r="T154" s="34"/>
      <c r="U154" s="34"/>
      <c r="V154" s="29"/>
    </row>
    <row r="155" spans="3:22">
      <c r="C155" s="125">
        <v>45791</v>
      </c>
      <c r="D155" s="34">
        <v>211.45</v>
      </c>
      <c r="E155" s="115">
        <v>211.93</v>
      </c>
      <c r="F155" s="34">
        <v>208.85</v>
      </c>
      <c r="G155" s="34">
        <v>210.25</v>
      </c>
      <c r="H155" s="34">
        <v>210.25</v>
      </c>
      <c r="I155" s="29">
        <v>38492100</v>
      </c>
      <c r="P155" s="125"/>
      <c r="Q155" s="34"/>
      <c r="R155" s="115"/>
      <c r="S155" s="34"/>
      <c r="T155" s="34"/>
      <c r="U155" s="34"/>
      <c r="V155" s="29"/>
    </row>
    <row r="156" spans="3:22">
      <c r="C156" s="125">
        <v>45790</v>
      </c>
      <c r="D156" s="34">
        <v>211.08</v>
      </c>
      <c r="E156" s="115">
        <v>214.84</v>
      </c>
      <c r="F156" s="34">
        <v>210.1</v>
      </c>
      <c r="G156" s="34">
        <v>211.37</v>
      </c>
      <c r="H156" s="34">
        <v>211.37</v>
      </c>
      <c r="I156" s="29">
        <v>56193700</v>
      </c>
      <c r="P156" s="125"/>
      <c r="Q156" s="34"/>
      <c r="R156" s="115"/>
      <c r="S156" s="34"/>
      <c r="T156" s="34"/>
      <c r="U156" s="34"/>
      <c r="V156" s="29"/>
    </row>
    <row r="157" spans="3:22">
      <c r="C157" s="125">
        <v>45789</v>
      </c>
      <c r="D157" s="34">
        <v>210.71</v>
      </c>
      <c r="E157" s="115">
        <v>211.66</v>
      </c>
      <c r="F157" s="34">
        <v>205.75</v>
      </c>
      <c r="G157" s="34">
        <v>208.64</v>
      </c>
      <c r="H157" s="34">
        <v>208.64</v>
      </c>
      <c r="I157" s="29">
        <v>75205000</v>
      </c>
      <c r="P157" s="125"/>
      <c r="Q157" s="34"/>
      <c r="R157" s="115"/>
      <c r="S157" s="34"/>
      <c r="T157" s="34"/>
      <c r="U157" s="34"/>
      <c r="V157" s="29"/>
    </row>
    <row r="158" spans="3:22">
      <c r="C158" s="125">
        <v>45786</v>
      </c>
      <c r="D158" s="34">
        <v>193.38</v>
      </c>
      <c r="E158" s="115">
        <v>194.69</v>
      </c>
      <c r="F158" s="34">
        <v>191.16</v>
      </c>
      <c r="G158" s="34">
        <v>193.06</v>
      </c>
      <c r="H158" s="34">
        <v>193.06</v>
      </c>
      <c r="I158" s="29">
        <v>29663100</v>
      </c>
      <c r="P158" s="125"/>
      <c r="Q158" s="34"/>
      <c r="R158" s="115"/>
      <c r="S158" s="34"/>
      <c r="T158" s="34"/>
      <c r="U158" s="34"/>
      <c r="V158" s="29"/>
    </row>
    <row r="159" spans="3:22">
      <c r="C159" s="125">
        <v>45785</v>
      </c>
      <c r="D159" s="34">
        <v>191.43</v>
      </c>
      <c r="E159" s="115">
        <v>194.33</v>
      </c>
      <c r="F159" s="34">
        <v>188.82</v>
      </c>
      <c r="G159" s="34">
        <v>192.08</v>
      </c>
      <c r="H159" s="34">
        <v>192.08</v>
      </c>
      <c r="I159" s="29">
        <v>41043600</v>
      </c>
      <c r="P159" s="125"/>
      <c r="Q159" s="34"/>
      <c r="R159" s="115"/>
      <c r="S159" s="34"/>
      <c r="T159" s="34"/>
      <c r="U159" s="34"/>
      <c r="V159" s="29"/>
    </row>
    <row r="160" spans="3:22">
      <c r="C160" s="125">
        <v>45784</v>
      </c>
      <c r="D160" s="34">
        <v>185.56</v>
      </c>
      <c r="E160" s="115">
        <v>190.99</v>
      </c>
      <c r="F160" s="34">
        <v>185.01</v>
      </c>
      <c r="G160" s="34">
        <v>188.71</v>
      </c>
      <c r="H160" s="34">
        <v>188.71</v>
      </c>
      <c r="I160" s="29">
        <v>43948600</v>
      </c>
      <c r="P160" s="125"/>
      <c r="Q160" s="34"/>
      <c r="R160" s="115"/>
      <c r="S160" s="34"/>
      <c r="T160" s="34"/>
      <c r="U160" s="34"/>
      <c r="V160" s="29"/>
    </row>
    <row r="161" spans="3:22">
      <c r="C161" s="125">
        <v>45783</v>
      </c>
      <c r="D161" s="34">
        <v>184.57</v>
      </c>
      <c r="E161" s="115">
        <v>187.93</v>
      </c>
      <c r="F161" s="34">
        <v>183.85</v>
      </c>
      <c r="G161" s="34">
        <v>185.01</v>
      </c>
      <c r="H161" s="34">
        <v>185.01</v>
      </c>
      <c r="I161" s="29">
        <v>29314100</v>
      </c>
      <c r="P161" s="125"/>
      <c r="Q161" s="34"/>
      <c r="R161" s="115"/>
      <c r="S161" s="34"/>
      <c r="T161" s="34"/>
      <c r="U161" s="34"/>
      <c r="V161" s="29"/>
    </row>
    <row r="162" spans="3:22">
      <c r="C162" s="125">
        <v>45782</v>
      </c>
      <c r="D162" s="34">
        <v>186.51</v>
      </c>
      <c r="E162" s="115">
        <v>188.18</v>
      </c>
      <c r="F162" s="34">
        <v>185.53</v>
      </c>
      <c r="G162" s="34">
        <v>186.35</v>
      </c>
      <c r="H162" s="34">
        <v>186.35</v>
      </c>
      <c r="I162" s="29">
        <v>35217500</v>
      </c>
      <c r="P162" s="125"/>
      <c r="Q162" s="34"/>
      <c r="R162" s="115"/>
      <c r="S162" s="34"/>
      <c r="T162" s="34"/>
      <c r="U162" s="34"/>
      <c r="V162" s="29"/>
    </row>
    <row r="163" spans="3:22">
      <c r="C163" s="125">
        <v>45779</v>
      </c>
      <c r="D163" s="34">
        <v>191.44</v>
      </c>
      <c r="E163" s="115">
        <v>192.88</v>
      </c>
      <c r="F163" s="34">
        <v>186.4</v>
      </c>
      <c r="G163" s="34">
        <v>189.98</v>
      </c>
      <c r="H163" s="34">
        <v>189.98</v>
      </c>
      <c r="I163" s="29">
        <v>77903500</v>
      </c>
      <c r="P163" s="125"/>
      <c r="Q163" s="34"/>
      <c r="R163" s="115"/>
      <c r="S163" s="34"/>
      <c r="T163" s="34"/>
      <c r="U163" s="34"/>
      <c r="V163" s="29"/>
    </row>
    <row r="164" spans="3:22">
      <c r="C164" s="125">
        <v>45778</v>
      </c>
      <c r="D164" s="34">
        <v>190.63</v>
      </c>
      <c r="E164" s="115">
        <v>191.81</v>
      </c>
      <c r="F164" s="34">
        <v>187.5</v>
      </c>
      <c r="G164" s="34">
        <v>190.2</v>
      </c>
      <c r="H164" s="34">
        <v>190.2</v>
      </c>
      <c r="I164" s="29">
        <v>74266000</v>
      </c>
      <c r="P164" s="125"/>
      <c r="Q164" s="34"/>
      <c r="R164" s="115"/>
      <c r="S164" s="34"/>
      <c r="T164" s="34"/>
      <c r="U164" s="34"/>
      <c r="V164" s="29"/>
    </row>
    <row r="165" spans="3:22">
      <c r="C165" s="125">
        <v>45777</v>
      </c>
      <c r="D165" s="34">
        <v>182.17</v>
      </c>
      <c r="E165" s="115">
        <v>185.05</v>
      </c>
      <c r="F165" s="34">
        <v>178.85</v>
      </c>
      <c r="G165" s="34">
        <v>184.42</v>
      </c>
      <c r="H165" s="34">
        <v>184.42</v>
      </c>
      <c r="I165" s="29">
        <v>55176500</v>
      </c>
      <c r="P165" s="125"/>
      <c r="Q165" s="34"/>
      <c r="R165" s="115"/>
      <c r="S165" s="34"/>
      <c r="T165" s="34"/>
      <c r="U165" s="34"/>
      <c r="V165" s="29"/>
    </row>
    <row r="166" spans="3:22">
      <c r="C166" s="125">
        <v>45776</v>
      </c>
      <c r="D166" s="34">
        <v>183.99</v>
      </c>
      <c r="E166" s="115">
        <v>188.02</v>
      </c>
      <c r="F166" s="34">
        <v>183.68</v>
      </c>
      <c r="G166" s="34">
        <v>187.39</v>
      </c>
      <c r="H166" s="34">
        <v>187.39</v>
      </c>
      <c r="I166" s="29">
        <v>41667300</v>
      </c>
      <c r="P166" s="125"/>
      <c r="Q166" s="34"/>
      <c r="R166" s="115"/>
      <c r="S166" s="34"/>
      <c r="T166" s="34"/>
      <c r="U166" s="34"/>
      <c r="V166" s="29"/>
    </row>
    <row r="167" spans="3:22">
      <c r="C167" s="125">
        <v>45775</v>
      </c>
      <c r="D167" s="34">
        <v>190.11</v>
      </c>
      <c r="E167" s="115">
        <v>190.22</v>
      </c>
      <c r="F167" s="34">
        <v>184.89</v>
      </c>
      <c r="G167" s="34">
        <v>187.7</v>
      </c>
      <c r="H167" s="34">
        <v>187.7</v>
      </c>
      <c r="I167" s="29">
        <v>33224700</v>
      </c>
      <c r="P167" s="125"/>
      <c r="Q167" s="34"/>
      <c r="R167" s="115"/>
      <c r="S167" s="34"/>
      <c r="T167" s="34"/>
      <c r="U167" s="34"/>
      <c r="V167" s="29"/>
    </row>
    <row r="168" spans="3:22">
      <c r="C168" s="125">
        <v>45772</v>
      </c>
      <c r="D168" s="34">
        <v>187.62</v>
      </c>
      <c r="E168" s="115">
        <v>189.94</v>
      </c>
      <c r="F168" s="34">
        <v>185.49</v>
      </c>
      <c r="G168" s="34">
        <v>188.99</v>
      </c>
      <c r="H168" s="34">
        <v>188.99</v>
      </c>
      <c r="I168" s="29">
        <v>36414300</v>
      </c>
      <c r="P168" s="125"/>
      <c r="Q168" s="34"/>
      <c r="R168" s="115"/>
      <c r="S168" s="34"/>
      <c r="T168" s="34"/>
      <c r="U168" s="34"/>
      <c r="V168" s="29"/>
    </row>
    <row r="169" spans="3:22">
      <c r="C169" s="125">
        <v>45771</v>
      </c>
      <c r="D169" s="34">
        <v>180.92</v>
      </c>
      <c r="E169" s="115">
        <v>186.74</v>
      </c>
      <c r="F169" s="34">
        <v>180.18</v>
      </c>
      <c r="G169" s="34">
        <v>186.54</v>
      </c>
      <c r="H169" s="34">
        <v>186.54</v>
      </c>
      <c r="I169" s="29">
        <v>43763200</v>
      </c>
      <c r="P169" s="125"/>
      <c r="Q169" s="34"/>
      <c r="R169" s="115"/>
      <c r="S169" s="34"/>
      <c r="T169" s="34"/>
      <c r="U169" s="34"/>
      <c r="V169" s="29"/>
    </row>
    <row r="170" spans="3:22">
      <c r="C170" s="125">
        <v>45770</v>
      </c>
      <c r="D170" s="34">
        <v>183.45</v>
      </c>
      <c r="E170" s="115">
        <v>187.38</v>
      </c>
      <c r="F170" s="34">
        <v>180.19</v>
      </c>
      <c r="G170" s="34">
        <v>180.6</v>
      </c>
      <c r="H170" s="34">
        <v>180.6</v>
      </c>
      <c r="I170" s="29">
        <v>63470100</v>
      </c>
      <c r="P170" s="125"/>
      <c r="Q170" s="34"/>
      <c r="R170" s="115"/>
      <c r="S170" s="34"/>
      <c r="T170" s="34"/>
      <c r="U170" s="34"/>
      <c r="V170" s="29"/>
    </row>
    <row r="171" spans="3:22">
      <c r="C171" s="125">
        <v>45769</v>
      </c>
      <c r="D171" s="34">
        <v>169.85</v>
      </c>
      <c r="E171" s="115">
        <v>176.78</v>
      </c>
      <c r="F171" s="34">
        <v>169.35</v>
      </c>
      <c r="G171" s="34">
        <v>173.18</v>
      </c>
      <c r="H171" s="34">
        <v>173.18</v>
      </c>
      <c r="I171" s="29">
        <v>56607200</v>
      </c>
      <c r="P171" s="125"/>
      <c r="Q171" s="34"/>
      <c r="R171" s="115"/>
      <c r="S171" s="34"/>
      <c r="T171" s="34"/>
      <c r="U171" s="34"/>
      <c r="V171" s="29"/>
    </row>
    <row r="172" spans="3:22">
      <c r="C172" s="125">
        <v>45768</v>
      </c>
      <c r="D172" s="34">
        <v>169.6</v>
      </c>
      <c r="E172" s="115">
        <v>169.6</v>
      </c>
      <c r="F172" s="34">
        <v>165.29</v>
      </c>
      <c r="G172" s="34">
        <v>167.32</v>
      </c>
      <c r="H172" s="34">
        <v>167.32</v>
      </c>
      <c r="I172" s="29">
        <v>48126100</v>
      </c>
      <c r="P172" s="125"/>
      <c r="Q172" s="34"/>
      <c r="R172" s="115"/>
      <c r="S172" s="34"/>
      <c r="T172" s="34"/>
      <c r="U172" s="34"/>
      <c r="V172" s="29"/>
    </row>
    <row r="173" spans="3:22">
      <c r="C173" s="125">
        <v>45764</v>
      </c>
      <c r="D173" s="34">
        <v>176</v>
      </c>
      <c r="E173" s="115">
        <v>176.21</v>
      </c>
      <c r="F173" s="34">
        <v>172</v>
      </c>
      <c r="G173" s="34">
        <v>172.61</v>
      </c>
      <c r="H173" s="34">
        <v>172.61</v>
      </c>
      <c r="I173" s="29">
        <v>44726500</v>
      </c>
      <c r="P173" s="125"/>
      <c r="Q173" s="34"/>
      <c r="R173" s="115"/>
      <c r="S173" s="34"/>
      <c r="T173" s="34"/>
      <c r="U173" s="34"/>
      <c r="V173" s="29"/>
    </row>
    <row r="174" spans="3:22">
      <c r="C174" s="125">
        <v>45763</v>
      </c>
      <c r="D174" s="34">
        <v>176.29</v>
      </c>
      <c r="E174" s="115">
        <v>179.1</v>
      </c>
      <c r="F174" s="34">
        <v>171.41</v>
      </c>
      <c r="G174" s="34">
        <v>174.33</v>
      </c>
      <c r="H174" s="34">
        <v>174.33</v>
      </c>
      <c r="I174" s="29">
        <v>51875300</v>
      </c>
      <c r="P174" s="125"/>
      <c r="Q174" s="34"/>
      <c r="R174" s="115"/>
      <c r="S174" s="34"/>
      <c r="T174" s="34"/>
      <c r="U174" s="34"/>
      <c r="V174" s="29"/>
    </row>
    <row r="175" spans="3:22">
      <c r="C175" s="125">
        <v>45762</v>
      </c>
      <c r="D175" s="34">
        <v>181.41</v>
      </c>
      <c r="E175" s="115">
        <v>182.35</v>
      </c>
      <c r="F175" s="34">
        <v>177.93</v>
      </c>
      <c r="G175" s="34">
        <v>179.59</v>
      </c>
      <c r="H175" s="34">
        <v>179.59</v>
      </c>
      <c r="I175" s="29">
        <v>43642000</v>
      </c>
      <c r="P175" s="125"/>
      <c r="Q175" s="34"/>
      <c r="R175" s="115"/>
      <c r="S175" s="34"/>
      <c r="T175" s="34"/>
      <c r="U175" s="34"/>
      <c r="V175" s="29"/>
    </row>
    <row r="176" spans="3:22">
      <c r="C176" s="125">
        <v>45761</v>
      </c>
      <c r="D176" s="34">
        <v>186.84</v>
      </c>
      <c r="E176" s="115">
        <v>187.44</v>
      </c>
      <c r="F176" s="34">
        <v>179.23</v>
      </c>
      <c r="G176" s="34">
        <v>182.12</v>
      </c>
      <c r="H176" s="34">
        <v>182.12</v>
      </c>
      <c r="I176" s="29">
        <v>48002500</v>
      </c>
      <c r="P176" s="125"/>
      <c r="Q176" s="34"/>
      <c r="R176" s="115"/>
      <c r="S176" s="34"/>
      <c r="T176" s="34"/>
      <c r="U176" s="34"/>
      <c r="V176" s="29"/>
    </row>
    <row r="177" spans="3:22">
      <c r="C177" s="125">
        <v>45758</v>
      </c>
      <c r="D177" s="34">
        <v>179.93</v>
      </c>
      <c r="E177" s="115">
        <v>185.86</v>
      </c>
      <c r="F177" s="34">
        <v>178</v>
      </c>
      <c r="G177" s="34">
        <v>184.87</v>
      </c>
      <c r="H177" s="34">
        <v>184.87</v>
      </c>
      <c r="I177" s="29">
        <v>50594300</v>
      </c>
      <c r="P177" s="125"/>
      <c r="Q177" s="34"/>
      <c r="R177" s="115"/>
      <c r="S177" s="34"/>
      <c r="T177" s="34"/>
      <c r="U177" s="34"/>
      <c r="V177" s="29"/>
    </row>
    <row r="178" spans="3:22">
      <c r="C178" s="125">
        <v>45757</v>
      </c>
      <c r="D178" s="34">
        <v>185.44</v>
      </c>
      <c r="E178" s="115">
        <v>186.87</v>
      </c>
      <c r="F178" s="34">
        <v>175.85</v>
      </c>
      <c r="G178" s="34">
        <v>181.22</v>
      </c>
      <c r="H178" s="34">
        <v>181.22</v>
      </c>
      <c r="I178" s="29">
        <v>68302000</v>
      </c>
      <c r="P178" s="125"/>
      <c r="Q178" s="34"/>
      <c r="R178" s="115"/>
      <c r="S178" s="34"/>
      <c r="T178" s="34"/>
      <c r="U178" s="34"/>
      <c r="V178" s="29"/>
    </row>
    <row r="179" spans="3:22">
      <c r="C179" s="125">
        <v>45756</v>
      </c>
      <c r="D179" s="34">
        <v>172.12</v>
      </c>
      <c r="E179" s="115">
        <v>192.65</v>
      </c>
      <c r="F179" s="34">
        <v>169.93</v>
      </c>
      <c r="G179" s="34">
        <v>191.1</v>
      </c>
      <c r="H179" s="34">
        <v>191.1</v>
      </c>
      <c r="I179" s="29">
        <v>116804300</v>
      </c>
      <c r="P179" s="125"/>
      <c r="Q179" s="34"/>
      <c r="R179" s="115"/>
      <c r="S179" s="34"/>
      <c r="T179" s="34"/>
      <c r="U179" s="34"/>
      <c r="V179" s="29"/>
    </row>
    <row r="180" spans="3:22">
      <c r="C180" s="125">
        <v>45755</v>
      </c>
      <c r="D180" s="34">
        <v>185.23</v>
      </c>
      <c r="E180" s="115">
        <v>185.9</v>
      </c>
      <c r="F180" s="34">
        <v>168.57</v>
      </c>
      <c r="G180" s="34">
        <v>170.66</v>
      </c>
      <c r="H180" s="34">
        <v>170.66</v>
      </c>
      <c r="I180" s="29">
        <v>87710400</v>
      </c>
      <c r="P180" s="125"/>
      <c r="Q180" s="34"/>
      <c r="R180" s="115"/>
      <c r="S180" s="34"/>
      <c r="T180" s="34"/>
      <c r="U180" s="34"/>
      <c r="V180" s="29"/>
    </row>
    <row r="181" spans="3:22">
      <c r="C181" s="125">
        <v>45754</v>
      </c>
      <c r="D181" s="34">
        <v>162</v>
      </c>
      <c r="E181" s="115">
        <v>183.41</v>
      </c>
      <c r="F181" s="34">
        <v>161.38</v>
      </c>
      <c r="G181" s="34">
        <v>175.26</v>
      </c>
      <c r="H181" s="34">
        <v>175.26</v>
      </c>
      <c r="I181" s="29">
        <v>109327100</v>
      </c>
      <c r="P181" s="125"/>
      <c r="Q181" s="34"/>
      <c r="R181" s="115"/>
      <c r="S181" s="34"/>
      <c r="T181" s="34"/>
      <c r="U181" s="34"/>
      <c r="V181" s="29"/>
    </row>
    <row r="182" spans="3:22">
      <c r="C182" s="125">
        <v>45751</v>
      </c>
      <c r="D182" s="34">
        <v>167.15</v>
      </c>
      <c r="E182" s="115">
        <v>178.14</v>
      </c>
      <c r="F182" s="34">
        <v>166</v>
      </c>
      <c r="G182" s="34">
        <v>171</v>
      </c>
      <c r="H182" s="34">
        <v>171</v>
      </c>
      <c r="I182" s="29">
        <v>123159400</v>
      </c>
      <c r="P182" s="125"/>
      <c r="Q182" s="34"/>
      <c r="R182" s="115"/>
      <c r="S182" s="34"/>
      <c r="T182" s="34"/>
      <c r="U182" s="34"/>
      <c r="V182" s="29"/>
    </row>
    <row r="183" spans="3:22">
      <c r="C183" s="125">
        <v>45750</v>
      </c>
      <c r="D183" s="34">
        <v>183</v>
      </c>
      <c r="E183" s="115">
        <v>184.13</v>
      </c>
      <c r="F183" s="34">
        <v>176.92</v>
      </c>
      <c r="G183" s="34">
        <v>178.41</v>
      </c>
      <c r="H183" s="34">
        <v>178.41</v>
      </c>
      <c r="I183" s="29">
        <v>95553600</v>
      </c>
      <c r="P183" s="125"/>
      <c r="Q183" s="34"/>
      <c r="R183" s="115"/>
      <c r="S183" s="34"/>
      <c r="T183" s="34"/>
      <c r="U183" s="34"/>
      <c r="V183" s="29"/>
    </row>
    <row r="184" spans="3:22">
      <c r="C184" s="125">
        <v>45749</v>
      </c>
      <c r="D184" s="34">
        <v>187.66</v>
      </c>
      <c r="E184" s="115">
        <v>198.34</v>
      </c>
      <c r="F184" s="34">
        <v>187.66</v>
      </c>
      <c r="G184" s="34">
        <v>196.01</v>
      </c>
      <c r="H184" s="34">
        <v>196.01</v>
      </c>
      <c r="I184" s="29">
        <v>53679200</v>
      </c>
      <c r="P184" s="125"/>
      <c r="Q184" s="34"/>
      <c r="R184" s="115"/>
      <c r="S184" s="34"/>
      <c r="T184" s="34"/>
      <c r="U184" s="34"/>
      <c r="V184" s="29"/>
    </row>
    <row r="185" spans="3:22">
      <c r="C185" s="125">
        <v>45748</v>
      </c>
      <c r="D185" s="34">
        <v>187.86</v>
      </c>
      <c r="E185" s="115">
        <v>193.93</v>
      </c>
      <c r="F185" s="34">
        <v>187.2</v>
      </c>
      <c r="G185" s="34">
        <v>192.17</v>
      </c>
      <c r="H185" s="34">
        <v>192.17</v>
      </c>
      <c r="I185" s="29">
        <v>41267300</v>
      </c>
      <c r="P185" s="125"/>
      <c r="Q185" s="34"/>
      <c r="R185" s="115"/>
      <c r="S185" s="34"/>
      <c r="T185" s="34"/>
      <c r="U185" s="34"/>
      <c r="V185" s="29"/>
    </row>
    <row r="186" spans="3:22">
      <c r="C186" s="125">
        <v>45747</v>
      </c>
      <c r="D186" s="34">
        <v>188.19</v>
      </c>
      <c r="E186" s="115">
        <v>191.33</v>
      </c>
      <c r="F186" s="34">
        <v>184.4</v>
      </c>
      <c r="G186" s="34">
        <v>190.26</v>
      </c>
      <c r="H186" s="34">
        <v>190.26</v>
      </c>
      <c r="I186" s="29">
        <v>63547600</v>
      </c>
      <c r="P186" s="125"/>
      <c r="Q186" s="34"/>
      <c r="R186" s="115"/>
      <c r="S186" s="34"/>
      <c r="T186" s="34"/>
      <c r="U186" s="34"/>
      <c r="V186" s="29"/>
    </row>
    <row r="187" spans="3:22">
      <c r="C187" s="125">
        <v>45744</v>
      </c>
      <c r="D187" s="34">
        <v>198.42</v>
      </c>
      <c r="E187" s="115">
        <v>199.26</v>
      </c>
      <c r="F187" s="34">
        <v>191.88</v>
      </c>
      <c r="G187" s="34">
        <v>192.72</v>
      </c>
      <c r="H187" s="34">
        <v>192.72</v>
      </c>
      <c r="I187" s="29">
        <v>52548200</v>
      </c>
      <c r="P187" s="125"/>
      <c r="Q187" s="34"/>
      <c r="R187" s="115"/>
      <c r="S187" s="34"/>
      <c r="T187" s="34"/>
      <c r="U187" s="34"/>
      <c r="V187" s="29"/>
    </row>
    <row r="188" spans="3:22">
      <c r="C188" s="125">
        <v>45743</v>
      </c>
      <c r="D188" s="34">
        <v>200.89</v>
      </c>
      <c r="E188" s="115">
        <v>203.79</v>
      </c>
      <c r="F188" s="34">
        <v>199.28</v>
      </c>
      <c r="G188" s="34">
        <v>201.36</v>
      </c>
      <c r="H188" s="34">
        <v>201.36</v>
      </c>
      <c r="I188" s="29">
        <v>27317700</v>
      </c>
      <c r="P188" s="125"/>
      <c r="Q188" s="34"/>
      <c r="R188" s="115"/>
      <c r="S188" s="34"/>
      <c r="T188" s="34"/>
      <c r="U188" s="34"/>
      <c r="V188" s="29"/>
    </row>
    <row r="189" spans="3:22">
      <c r="C189" s="125">
        <v>45742</v>
      </c>
      <c r="D189" s="34">
        <v>205.84</v>
      </c>
      <c r="E189" s="115">
        <v>206.01</v>
      </c>
      <c r="F189" s="34">
        <v>199.93</v>
      </c>
      <c r="G189" s="34">
        <v>201.13</v>
      </c>
      <c r="H189" s="34">
        <v>201.13</v>
      </c>
      <c r="I189" s="29">
        <v>32855300</v>
      </c>
      <c r="P189" s="125"/>
      <c r="Q189" s="34"/>
      <c r="R189" s="115"/>
      <c r="S189" s="34"/>
      <c r="T189" s="34"/>
      <c r="U189" s="34"/>
      <c r="V189" s="29"/>
    </row>
    <row r="190" spans="3:22">
      <c r="C190" s="125">
        <v>45741</v>
      </c>
      <c r="D190" s="34">
        <v>203.6</v>
      </c>
      <c r="E190" s="115">
        <v>206.21</v>
      </c>
      <c r="F190" s="34">
        <v>203.22</v>
      </c>
      <c r="G190" s="34">
        <v>205.71</v>
      </c>
      <c r="H190" s="34">
        <v>205.71</v>
      </c>
      <c r="I190" s="29">
        <v>31171200</v>
      </c>
      <c r="P190" s="125"/>
      <c r="Q190" s="34"/>
      <c r="R190" s="115"/>
      <c r="S190" s="34"/>
      <c r="T190" s="34"/>
      <c r="U190" s="34"/>
      <c r="V190" s="29"/>
    </row>
    <row r="191" spans="3:22">
      <c r="C191" s="125">
        <v>45740</v>
      </c>
      <c r="D191" s="34">
        <v>200</v>
      </c>
      <c r="E191" s="115">
        <v>203.64</v>
      </c>
      <c r="F191" s="34">
        <v>199.95</v>
      </c>
      <c r="G191" s="34">
        <v>203.26</v>
      </c>
      <c r="H191" s="34">
        <v>203.26</v>
      </c>
      <c r="I191" s="29">
        <v>41625400</v>
      </c>
      <c r="P191" s="125"/>
      <c r="Q191" s="34"/>
      <c r="R191" s="115"/>
      <c r="S191" s="34"/>
      <c r="T191" s="34"/>
      <c r="U191" s="34"/>
      <c r="V191" s="29"/>
    </row>
    <row r="192" spans="3:22">
      <c r="C192" s="125">
        <v>45737</v>
      </c>
      <c r="D192" s="34">
        <v>192.9</v>
      </c>
      <c r="E192" s="115">
        <v>196.99</v>
      </c>
      <c r="F192" s="34">
        <v>192.52</v>
      </c>
      <c r="G192" s="34">
        <v>196.21</v>
      </c>
      <c r="H192" s="34">
        <v>196.21</v>
      </c>
      <c r="I192" s="29">
        <v>60056900</v>
      </c>
      <c r="P192" s="125"/>
      <c r="Q192" s="34"/>
      <c r="R192" s="115"/>
      <c r="S192" s="34"/>
      <c r="T192" s="34"/>
      <c r="U192" s="34"/>
      <c r="V192" s="29"/>
    </row>
    <row r="193" spans="3:22">
      <c r="C193" s="125">
        <v>45736</v>
      </c>
      <c r="D193" s="34">
        <v>193.07</v>
      </c>
      <c r="E193" s="115">
        <v>199.32</v>
      </c>
      <c r="F193" s="34">
        <v>192.3</v>
      </c>
      <c r="G193" s="34">
        <v>194.95</v>
      </c>
      <c r="H193" s="34">
        <v>194.95</v>
      </c>
      <c r="I193" s="29">
        <v>38921100</v>
      </c>
      <c r="P193" s="125"/>
      <c r="Q193" s="34"/>
      <c r="R193" s="115"/>
      <c r="S193" s="34"/>
      <c r="T193" s="34"/>
      <c r="U193" s="34"/>
      <c r="V193" s="29"/>
    </row>
    <row r="194" spans="3:22">
      <c r="C194" s="125">
        <v>45735</v>
      </c>
      <c r="D194" s="34">
        <v>193.38</v>
      </c>
      <c r="E194" s="115">
        <v>195.97</v>
      </c>
      <c r="F194" s="34">
        <v>191.96</v>
      </c>
      <c r="G194" s="34">
        <v>195.54</v>
      </c>
      <c r="H194" s="34">
        <v>195.54</v>
      </c>
      <c r="I194" s="29">
        <v>39442900</v>
      </c>
      <c r="P194" s="125"/>
      <c r="Q194" s="34"/>
      <c r="R194" s="115"/>
      <c r="S194" s="34"/>
      <c r="T194" s="34"/>
      <c r="U194" s="34"/>
      <c r="V194" s="29"/>
    </row>
    <row r="195" spans="3:22">
      <c r="C195" s="125">
        <v>45734</v>
      </c>
      <c r="D195" s="34">
        <v>192.52</v>
      </c>
      <c r="E195" s="115">
        <v>194</v>
      </c>
      <c r="F195" s="34">
        <v>189.38</v>
      </c>
      <c r="G195" s="34">
        <v>192.82</v>
      </c>
      <c r="H195" s="34">
        <v>192.82</v>
      </c>
      <c r="I195" s="29">
        <v>40414900</v>
      </c>
      <c r="P195" s="125"/>
      <c r="Q195" s="34"/>
      <c r="R195" s="115"/>
      <c r="S195" s="34"/>
      <c r="T195" s="34"/>
      <c r="U195" s="34"/>
      <c r="V195" s="29"/>
    </row>
    <row r="196" spans="3:22">
      <c r="C196" s="125">
        <v>45733</v>
      </c>
      <c r="D196" s="34">
        <v>198.77</v>
      </c>
      <c r="E196" s="115">
        <v>199</v>
      </c>
      <c r="F196" s="34">
        <v>194.32</v>
      </c>
      <c r="G196" s="34">
        <v>195.74</v>
      </c>
      <c r="H196" s="34">
        <v>195.74</v>
      </c>
      <c r="I196" s="29">
        <v>47341800</v>
      </c>
      <c r="P196" s="125"/>
      <c r="Q196" s="34"/>
      <c r="R196" s="115"/>
      <c r="S196" s="34"/>
      <c r="T196" s="34"/>
      <c r="U196" s="34"/>
      <c r="V196" s="29"/>
    </row>
    <row r="197" spans="3:22">
      <c r="C197" s="125">
        <v>45730</v>
      </c>
      <c r="D197" s="34">
        <v>197.41</v>
      </c>
      <c r="E197" s="115">
        <v>198.65</v>
      </c>
      <c r="F197" s="34">
        <v>195.32</v>
      </c>
      <c r="G197" s="34">
        <v>197.95</v>
      </c>
      <c r="H197" s="34">
        <v>197.95</v>
      </c>
      <c r="I197" s="29">
        <v>38096700</v>
      </c>
      <c r="P197" s="125"/>
      <c r="Q197" s="34"/>
      <c r="R197" s="115"/>
      <c r="S197" s="34"/>
      <c r="T197" s="34"/>
      <c r="U197" s="34"/>
      <c r="V197" s="29"/>
    </row>
    <row r="198" spans="3:22">
      <c r="C198" s="125">
        <v>45729</v>
      </c>
      <c r="D198" s="34">
        <v>198.17</v>
      </c>
      <c r="E198" s="115">
        <v>198.88</v>
      </c>
      <c r="F198" s="34">
        <v>191.82</v>
      </c>
      <c r="G198" s="34">
        <v>193.89</v>
      </c>
      <c r="H198" s="34">
        <v>193.89</v>
      </c>
      <c r="I198" s="29">
        <v>41270800</v>
      </c>
      <c r="P198" s="125"/>
      <c r="Q198" s="34"/>
      <c r="R198" s="115"/>
      <c r="S198" s="34"/>
      <c r="T198" s="34"/>
      <c r="U198" s="34"/>
      <c r="V198" s="29"/>
    </row>
    <row r="199" spans="3:22">
      <c r="C199" s="125">
        <v>45728</v>
      </c>
      <c r="D199" s="34">
        <v>200.72</v>
      </c>
      <c r="E199" s="115">
        <v>201.52</v>
      </c>
      <c r="F199" s="34">
        <v>195.29</v>
      </c>
      <c r="G199" s="34">
        <v>198.89</v>
      </c>
      <c r="H199" s="34">
        <v>198.89</v>
      </c>
      <c r="I199" s="29">
        <v>43679300</v>
      </c>
      <c r="P199" s="125"/>
      <c r="Q199" s="34"/>
      <c r="R199" s="115"/>
      <c r="S199" s="34"/>
      <c r="T199" s="34"/>
      <c r="U199" s="34"/>
      <c r="V199" s="29"/>
    </row>
    <row r="200" spans="3:22">
      <c r="C200" s="125">
        <v>45727</v>
      </c>
      <c r="D200" s="34">
        <v>193.9</v>
      </c>
      <c r="E200" s="115">
        <v>200.18</v>
      </c>
      <c r="F200" s="34">
        <v>193.4</v>
      </c>
      <c r="G200" s="34">
        <v>196.59</v>
      </c>
      <c r="H200" s="34">
        <v>196.59</v>
      </c>
      <c r="I200" s="29">
        <v>54002900</v>
      </c>
      <c r="P200" s="125"/>
      <c r="Q200" s="34"/>
      <c r="R200" s="115"/>
      <c r="S200" s="34"/>
      <c r="T200" s="34"/>
      <c r="U200" s="34"/>
      <c r="V200" s="29"/>
    </row>
    <row r="201" spans="3:22">
      <c r="C201" s="125">
        <v>45726</v>
      </c>
      <c r="D201" s="34">
        <v>195.6</v>
      </c>
      <c r="E201" s="115">
        <v>196.73</v>
      </c>
      <c r="F201" s="34">
        <v>190.85</v>
      </c>
      <c r="G201" s="34">
        <v>194.54</v>
      </c>
      <c r="H201" s="34">
        <v>194.54</v>
      </c>
      <c r="I201" s="29">
        <v>62350900</v>
      </c>
      <c r="P201" s="125"/>
      <c r="Q201" s="34"/>
      <c r="R201" s="115"/>
      <c r="S201" s="34"/>
      <c r="T201" s="34"/>
      <c r="U201" s="34"/>
      <c r="V201" s="29"/>
    </row>
    <row r="202" spans="3:22">
      <c r="C202" s="125">
        <v>45723</v>
      </c>
      <c r="D202" s="34">
        <v>199.49</v>
      </c>
      <c r="E202" s="115">
        <v>202.27</v>
      </c>
      <c r="F202" s="34">
        <v>192.53</v>
      </c>
      <c r="G202" s="34">
        <v>199.25</v>
      </c>
      <c r="H202" s="34">
        <v>199.25</v>
      </c>
      <c r="I202" s="29">
        <v>59802800</v>
      </c>
      <c r="P202" s="125"/>
      <c r="Q202" s="34"/>
      <c r="R202" s="115"/>
      <c r="S202" s="34"/>
      <c r="T202" s="34"/>
      <c r="U202" s="34"/>
      <c r="V202" s="29"/>
    </row>
    <row r="203" spans="3:22">
      <c r="C203" s="125">
        <v>45722</v>
      </c>
      <c r="D203" s="34">
        <v>204.4</v>
      </c>
      <c r="E203" s="115">
        <v>205.77</v>
      </c>
      <c r="F203" s="34">
        <v>198.3</v>
      </c>
      <c r="G203" s="34">
        <v>200.7</v>
      </c>
      <c r="H203" s="34">
        <v>200.7</v>
      </c>
      <c r="I203" s="29">
        <v>49863800</v>
      </c>
      <c r="P203" s="125"/>
      <c r="Q203" s="34"/>
      <c r="R203" s="115"/>
      <c r="S203" s="34"/>
      <c r="T203" s="34"/>
      <c r="U203" s="34"/>
      <c r="V203" s="29"/>
    </row>
    <row r="204" spans="3:22">
      <c r="C204" s="125">
        <v>45721</v>
      </c>
      <c r="D204" s="34">
        <v>204.8</v>
      </c>
      <c r="E204" s="115">
        <v>209.98</v>
      </c>
      <c r="F204" s="34">
        <v>203.26</v>
      </c>
      <c r="G204" s="34">
        <v>208.36</v>
      </c>
      <c r="H204" s="34">
        <v>208.36</v>
      </c>
      <c r="I204" s="29">
        <v>38610100</v>
      </c>
      <c r="P204" s="125"/>
      <c r="Q204" s="34"/>
      <c r="R204" s="115"/>
      <c r="S204" s="34"/>
      <c r="T204" s="34"/>
      <c r="U204" s="34"/>
      <c r="V204" s="29"/>
    </row>
    <row r="205" spans="3:22">
      <c r="C205" s="125">
        <v>45720</v>
      </c>
      <c r="D205" s="34">
        <v>200.11</v>
      </c>
      <c r="E205" s="115">
        <v>206.8</v>
      </c>
      <c r="F205" s="34">
        <v>197.43</v>
      </c>
      <c r="G205" s="34">
        <v>203.8</v>
      </c>
      <c r="H205" s="34">
        <v>203.8</v>
      </c>
      <c r="I205" s="29">
        <v>60853100</v>
      </c>
      <c r="P205" s="125"/>
      <c r="Q205" s="34"/>
      <c r="R205" s="115"/>
      <c r="S205" s="34"/>
      <c r="T205" s="34"/>
      <c r="U205" s="34"/>
      <c r="V205" s="29"/>
    </row>
    <row r="206" spans="3:22">
      <c r="C206" s="125">
        <v>45719</v>
      </c>
      <c r="D206" s="34">
        <v>213.35</v>
      </c>
      <c r="E206" s="115">
        <v>214.01</v>
      </c>
      <c r="F206" s="34">
        <v>202.55</v>
      </c>
      <c r="G206" s="34">
        <v>205.02</v>
      </c>
      <c r="H206" s="34">
        <v>205.02</v>
      </c>
      <c r="I206" s="29">
        <v>42948400</v>
      </c>
      <c r="P206" s="125"/>
      <c r="Q206" s="34"/>
      <c r="R206" s="115"/>
      <c r="S206" s="34"/>
      <c r="T206" s="34"/>
      <c r="U206" s="34"/>
      <c r="V206" s="29"/>
    </row>
    <row r="207" spans="3:22">
      <c r="C207" s="125">
        <v>45716</v>
      </c>
      <c r="D207" s="34">
        <v>208.65</v>
      </c>
      <c r="E207" s="115">
        <v>212.62</v>
      </c>
      <c r="F207" s="34">
        <v>206.99</v>
      </c>
      <c r="G207" s="34">
        <v>212.28</v>
      </c>
      <c r="H207" s="34">
        <v>212.28</v>
      </c>
      <c r="I207" s="29">
        <v>51771700</v>
      </c>
      <c r="P207" s="125"/>
      <c r="Q207" s="34"/>
      <c r="R207" s="115"/>
      <c r="S207" s="34"/>
      <c r="T207" s="34"/>
      <c r="U207" s="34"/>
      <c r="V207" s="29"/>
    </row>
    <row r="208" spans="3:22">
      <c r="C208" s="125">
        <v>45715</v>
      </c>
      <c r="D208" s="34">
        <v>218.35</v>
      </c>
      <c r="E208" s="115">
        <v>219.97</v>
      </c>
      <c r="F208" s="34">
        <v>208.37</v>
      </c>
      <c r="G208" s="34">
        <v>208.74</v>
      </c>
      <c r="H208" s="34">
        <v>208.74</v>
      </c>
      <c r="I208" s="29">
        <v>40548600</v>
      </c>
      <c r="P208" s="125"/>
      <c r="Q208" s="34"/>
      <c r="R208" s="115"/>
      <c r="S208" s="34"/>
      <c r="T208" s="34"/>
      <c r="U208" s="34"/>
      <c r="V208" s="29"/>
    </row>
    <row r="209" spans="3:22">
      <c r="C209" s="125">
        <v>45714</v>
      </c>
      <c r="D209" s="34">
        <v>214.94</v>
      </c>
      <c r="E209" s="115">
        <v>218.16</v>
      </c>
      <c r="F209" s="34">
        <v>213.09</v>
      </c>
      <c r="G209" s="34">
        <v>214.35</v>
      </c>
      <c r="H209" s="34">
        <v>214.35</v>
      </c>
      <c r="I209" s="29">
        <v>39120600</v>
      </c>
      <c r="P209" s="125"/>
      <c r="Q209" s="34"/>
      <c r="R209" s="115"/>
      <c r="S209" s="34"/>
      <c r="T209" s="34"/>
      <c r="U209" s="34"/>
      <c r="V209" s="29"/>
    </row>
    <row r="210" spans="3:22">
      <c r="C210" s="125">
        <v>45713</v>
      </c>
      <c r="D210" s="34">
        <v>211.63</v>
      </c>
      <c r="E210" s="115">
        <v>213.34</v>
      </c>
      <c r="F210" s="34">
        <v>204.16</v>
      </c>
      <c r="G210" s="34">
        <v>212.8</v>
      </c>
      <c r="H210" s="34">
        <v>212.8</v>
      </c>
      <c r="I210" s="29">
        <v>58958000</v>
      </c>
      <c r="P210" s="125"/>
      <c r="Q210" s="34"/>
      <c r="R210" s="115"/>
      <c r="S210" s="34"/>
      <c r="T210" s="34"/>
      <c r="U210" s="34"/>
      <c r="V210" s="29"/>
    </row>
    <row r="211" spans="3:22">
      <c r="C211" s="125">
        <v>45712</v>
      </c>
      <c r="D211" s="34">
        <v>217.45</v>
      </c>
      <c r="E211" s="115">
        <v>217.72</v>
      </c>
      <c r="F211" s="34">
        <v>212.42</v>
      </c>
      <c r="G211" s="34">
        <v>212.71</v>
      </c>
      <c r="H211" s="34">
        <v>212.71</v>
      </c>
      <c r="I211" s="29">
        <v>42387600</v>
      </c>
      <c r="P211" s="125"/>
      <c r="Q211" s="34"/>
      <c r="R211" s="115"/>
      <c r="S211" s="34"/>
      <c r="T211" s="34"/>
      <c r="U211" s="34"/>
      <c r="V211" s="29"/>
    </row>
    <row r="212" spans="3:22">
      <c r="C212" s="125">
        <v>45709</v>
      </c>
      <c r="D212" s="34">
        <v>223.28</v>
      </c>
      <c r="E212" s="115">
        <v>223.31</v>
      </c>
      <c r="F212" s="34">
        <v>214.74</v>
      </c>
      <c r="G212" s="34">
        <v>216.58</v>
      </c>
      <c r="H212" s="34">
        <v>216.58</v>
      </c>
      <c r="I212" s="29">
        <v>55323900</v>
      </c>
      <c r="P212" s="125"/>
      <c r="Q212" s="34"/>
      <c r="R212" s="115"/>
      <c r="S212" s="34"/>
      <c r="T212" s="34"/>
      <c r="U212" s="34"/>
      <c r="V212" s="29"/>
    </row>
    <row r="213" spans="3:22">
      <c r="C213" s="125">
        <v>45708</v>
      </c>
      <c r="D213" s="34">
        <v>224.78</v>
      </c>
      <c r="E213" s="115">
        <v>225.13</v>
      </c>
      <c r="F213" s="34">
        <v>221.81</v>
      </c>
      <c r="G213" s="34">
        <v>222.88</v>
      </c>
      <c r="H213" s="34">
        <v>222.88</v>
      </c>
      <c r="I213" s="29">
        <v>30001700</v>
      </c>
      <c r="P213" s="125"/>
      <c r="Q213" s="34"/>
      <c r="R213" s="115"/>
      <c r="S213" s="34"/>
      <c r="T213" s="34"/>
      <c r="U213" s="34"/>
      <c r="V213" s="29"/>
    </row>
    <row r="214" spans="3:22">
      <c r="C214" s="125">
        <v>45707</v>
      </c>
      <c r="D214" s="34">
        <v>225.52</v>
      </c>
      <c r="E214" s="115">
        <v>226.83</v>
      </c>
      <c r="F214" s="34">
        <v>223.71</v>
      </c>
      <c r="G214" s="34">
        <v>226.63</v>
      </c>
      <c r="H214" s="34">
        <v>226.63</v>
      </c>
      <c r="I214" s="29">
        <v>28566700</v>
      </c>
      <c r="P214" s="125"/>
      <c r="Q214" s="34"/>
      <c r="R214" s="115"/>
      <c r="S214" s="34"/>
      <c r="T214" s="34"/>
      <c r="U214" s="34"/>
      <c r="V214" s="29"/>
    </row>
    <row r="215" spans="3:22">
      <c r="C215" s="125">
        <v>45706</v>
      </c>
      <c r="D215" s="34">
        <v>228.82</v>
      </c>
      <c r="E215" s="115">
        <v>229.3</v>
      </c>
      <c r="F215" s="34">
        <v>223.72</v>
      </c>
      <c r="G215" s="34">
        <v>226.65</v>
      </c>
      <c r="H215" s="34">
        <v>226.65</v>
      </c>
      <c r="I215" s="29">
        <v>42975100</v>
      </c>
      <c r="P215" s="125"/>
      <c r="Q215" s="34"/>
      <c r="R215" s="115"/>
      <c r="S215" s="34"/>
      <c r="T215" s="34"/>
      <c r="U215" s="34"/>
      <c r="V215" s="29"/>
    </row>
    <row r="216" spans="3:22">
      <c r="C216" s="125">
        <v>45702</v>
      </c>
      <c r="D216" s="34">
        <v>229.2</v>
      </c>
      <c r="E216" s="115">
        <v>229.89</v>
      </c>
      <c r="F216" s="34">
        <v>227.23</v>
      </c>
      <c r="G216" s="34">
        <v>228.68</v>
      </c>
      <c r="H216" s="34">
        <v>228.68</v>
      </c>
      <c r="I216" s="29">
        <v>27031100</v>
      </c>
      <c r="P216" s="125"/>
      <c r="Q216" s="34"/>
      <c r="R216" s="115"/>
      <c r="S216" s="34"/>
      <c r="T216" s="34"/>
      <c r="U216" s="34"/>
      <c r="V216" s="29"/>
    </row>
    <row r="217" spans="3:22">
      <c r="C217" s="125">
        <v>45701</v>
      </c>
      <c r="D217" s="34">
        <v>228.85</v>
      </c>
      <c r="E217" s="115">
        <v>230.42</v>
      </c>
      <c r="F217" s="34">
        <v>227.52</v>
      </c>
      <c r="G217" s="34">
        <v>230.37</v>
      </c>
      <c r="H217" s="34">
        <v>230.37</v>
      </c>
      <c r="I217" s="29">
        <v>31346500</v>
      </c>
      <c r="P217" s="125"/>
      <c r="Q217" s="34"/>
      <c r="R217" s="115"/>
      <c r="S217" s="34"/>
      <c r="T217" s="34"/>
      <c r="U217" s="34"/>
      <c r="V217" s="29"/>
    </row>
    <row r="218" spans="3:22">
      <c r="C218" s="125">
        <v>45700</v>
      </c>
      <c r="D218" s="34">
        <v>230.46</v>
      </c>
      <c r="E218" s="115">
        <v>231.18</v>
      </c>
      <c r="F218" s="34">
        <v>228.16</v>
      </c>
      <c r="G218" s="34">
        <v>228.93</v>
      </c>
      <c r="H218" s="34">
        <v>228.93</v>
      </c>
      <c r="I218" s="29">
        <v>32285200</v>
      </c>
      <c r="P218" s="125"/>
      <c r="Q218" s="34"/>
      <c r="R218" s="115"/>
      <c r="S218" s="34"/>
      <c r="T218" s="34"/>
      <c r="U218" s="34"/>
      <c r="V218" s="29"/>
    </row>
    <row r="219" spans="3:22">
      <c r="C219" s="125">
        <v>45699</v>
      </c>
      <c r="D219" s="34">
        <v>231.92</v>
      </c>
      <c r="E219" s="115">
        <v>233.44</v>
      </c>
      <c r="F219" s="34">
        <v>230.13</v>
      </c>
      <c r="G219" s="34">
        <v>232.76</v>
      </c>
      <c r="H219" s="34">
        <v>232.76</v>
      </c>
      <c r="I219" s="29">
        <v>23713700</v>
      </c>
      <c r="P219" s="125"/>
      <c r="Q219" s="34"/>
      <c r="R219" s="115"/>
      <c r="S219" s="34"/>
      <c r="T219" s="34"/>
      <c r="U219" s="34"/>
      <c r="V219" s="29"/>
    </row>
    <row r="220" spans="3:22">
      <c r="C220" s="125">
        <v>45698</v>
      </c>
      <c r="D220" s="34">
        <v>230.55</v>
      </c>
      <c r="E220" s="115">
        <v>233.92</v>
      </c>
      <c r="F220" s="34">
        <v>229.2</v>
      </c>
      <c r="G220" s="34">
        <v>233.14</v>
      </c>
      <c r="H220" s="34">
        <v>233.14</v>
      </c>
      <c r="I220" s="29">
        <v>35419900</v>
      </c>
      <c r="P220" s="125"/>
      <c r="Q220" s="34"/>
      <c r="R220" s="115"/>
      <c r="S220" s="34"/>
      <c r="T220" s="34"/>
      <c r="U220" s="34"/>
      <c r="V220" s="29"/>
    </row>
    <row r="221" spans="3:22">
      <c r="C221" s="125">
        <v>45695</v>
      </c>
      <c r="D221" s="34">
        <v>232.5</v>
      </c>
      <c r="E221" s="115">
        <v>234.81</v>
      </c>
      <c r="F221" s="34">
        <v>228.06</v>
      </c>
      <c r="G221" s="34">
        <v>229.15</v>
      </c>
      <c r="H221" s="34">
        <v>229.15</v>
      </c>
      <c r="I221" s="29">
        <v>77539300</v>
      </c>
      <c r="P221" s="125"/>
      <c r="Q221" s="34"/>
      <c r="R221" s="115"/>
      <c r="S221" s="34"/>
      <c r="T221" s="34"/>
      <c r="U221" s="34"/>
      <c r="V221" s="29"/>
    </row>
    <row r="222" spans="3:22">
      <c r="C222" s="125">
        <v>45694</v>
      </c>
      <c r="D222" s="34">
        <v>238.01</v>
      </c>
      <c r="E222" s="115">
        <v>239.66</v>
      </c>
      <c r="F222" s="34">
        <v>236.01</v>
      </c>
      <c r="G222" s="34">
        <v>238.83</v>
      </c>
      <c r="H222" s="34">
        <v>238.83</v>
      </c>
      <c r="I222" s="29">
        <v>60897100</v>
      </c>
      <c r="P222" s="125"/>
      <c r="Q222" s="34"/>
      <c r="R222" s="115"/>
      <c r="S222" s="34"/>
      <c r="T222" s="34"/>
      <c r="U222" s="34"/>
      <c r="V222" s="29"/>
    </row>
    <row r="223" spans="3:22">
      <c r="C223" s="125">
        <v>45693</v>
      </c>
      <c r="D223" s="34">
        <v>237.02</v>
      </c>
      <c r="E223" s="115">
        <v>238.32</v>
      </c>
      <c r="F223" s="34">
        <v>235.2</v>
      </c>
      <c r="G223" s="34">
        <v>236.17</v>
      </c>
      <c r="H223" s="34">
        <v>236.17</v>
      </c>
      <c r="I223" s="29">
        <v>38727300</v>
      </c>
      <c r="P223" s="125"/>
      <c r="Q223" s="34"/>
      <c r="R223" s="115"/>
      <c r="S223" s="34"/>
      <c r="T223" s="34"/>
      <c r="U223" s="34"/>
      <c r="V223" s="29"/>
    </row>
    <row r="224" spans="3:22">
      <c r="C224" s="125">
        <v>45692</v>
      </c>
      <c r="D224" s="34">
        <v>239.01</v>
      </c>
      <c r="E224" s="115">
        <v>242.52</v>
      </c>
      <c r="F224" s="34">
        <v>238.03</v>
      </c>
      <c r="G224" s="34">
        <v>242.06</v>
      </c>
      <c r="H224" s="34">
        <v>242.06</v>
      </c>
      <c r="I224" s="29">
        <v>29713800</v>
      </c>
      <c r="P224" s="125"/>
      <c r="Q224" s="34"/>
      <c r="R224" s="115"/>
      <c r="S224" s="34"/>
      <c r="T224" s="34"/>
      <c r="U224" s="34"/>
      <c r="V224" s="29"/>
    </row>
    <row r="225" spans="3:22">
      <c r="C225" s="125">
        <v>45691</v>
      </c>
      <c r="D225" s="34">
        <v>234.06</v>
      </c>
      <c r="E225" s="115">
        <v>239.25</v>
      </c>
      <c r="F225" s="34">
        <v>232.9</v>
      </c>
      <c r="G225" s="34">
        <v>237.42</v>
      </c>
      <c r="H225" s="34">
        <v>237.42</v>
      </c>
      <c r="I225" s="29">
        <v>37285900</v>
      </c>
      <c r="P225" s="125"/>
      <c r="Q225" s="34"/>
      <c r="R225" s="115"/>
      <c r="S225" s="34"/>
      <c r="T225" s="34"/>
      <c r="U225" s="34"/>
      <c r="V225" s="29"/>
    </row>
    <row r="226" spans="3:22">
      <c r="C226" s="125">
        <v>45688</v>
      </c>
      <c r="D226" s="34">
        <v>236.5</v>
      </c>
      <c r="E226" s="115">
        <v>240.29</v>
      </c>
      <c r="F226" s="34">
        <v>236.41</v>
      </c>
      <c r="G226" s="34">
        <v>237.68</v>
      </c>
      <c r="H226" s="34">
        <v>237.68</v>
      </c>
      <c r="I226" s="29">
        <v>36110200</v>
      </c>
      <c r="P226" s="125"/>
      <c r="Q226" s="34"/>
      <c r="R226" s="115"/>
      <c r="S226" s="34"/>
      <c r="T226" s="34"/>
      <c r="U226" s="34"/>
      <c r="V226" s="29"/>
    </row>
    <row r="227" spans="3:22">
      <c r="C227" s="125">
        <v>45687</v>
      </c>
      <c r="D227" s="34">
        <v>237.14</v>
      </c>
      <c r="E227" s="115">
        <v>237.95</v>
      </c>
      <c r="F227" s="34">
        <v>232.22</v>
      </c>
      <c r="G227" s="34">
        <v>234.64</v>
      </c>
      <c r="H227" s="34">
        <v>234.64</v>
      </c>
      <c r="I227" s="29">
        <v>32020700</v>
      </c>
      <c r="P227" s="125"/>
      <c r="Q227" s="34"/>
      <c r="R227" s="115"/>
      <c r="S227" s="34"/>
      <c r="T227" s="34"/>
      <c r="U227" s="34"/>
      <c r="V227" s="29"/>
    </row>
    <row r="228" spans="3:22">
      <c r="C228" s="125">
        <v>45686</v>
      </c>
      <c r="D228" s="34">
        <v>239.02</v>
      </c>
      <c r="E228" s="115">
        <v>240.39</v>
      </c>
      <c r="F228" s="34">
        <v>236.15</v>
      </c>
      <c r="G228" s="34">
        <v>237.07</v>
      </c>
      <c r="H228" s="34">
        <v>237.07</v>
      </c>
      <c r="I228" s="29">
        <v>26091700</v>
      </c>
      <c r="P228" s="125"/>
      <c r="Q228" s="34"/>
      <c r="R228" s="115"/>
      <c r="S228" s="34"/>
      <c r="T228" s="34"/>
      <c r="U228" s="34"/>
      <c r="V228" s="29"/>
    </row>
    <row r="229" spans="3:22">
      <c r="C229" s="125">
        <v>45685</v>
      </c>
      <c r="D229" s="34">
        <v>234.29</v>
      </c>
      <c r="E229" s="115">
        <v>241.77</v>
      </c>
      <c r="F229" s="34">
        <v>233.98</v>
      </c>
      <c r="G229" s="34">
        <v>238.15</v>
      </c>
      <c r="H229" s="34">
        <v>238.15</v>
      </c>
      <c r="I229" s="29">
        <v>41587200</v>
      </c>
      <c r="P229" s="125"/>
      <c r="Q229" s="34"/>
      <c r="R229" s="115"/>
      <c r="S229" s="34"/>
      <c r="T229" s="34"/>
      <c r="U229" s="34"/>
      <c r="V229" s="29"/>
    </row>
    <row r="230" spans="3:22">
      <c r="C230" s="125">
        <v>45684</v>
      </c>
      <c r="D230" s="34">
        <v>226.21</v>
      </c>
      <c r="E230" s="115">
        <v>235.61</v>
      </c>
      <c r="F230" s="34">
        <v>225.86</v>
      </c>
      <c r="G230" s="34">
        <v>235.42</v>
      </c>
      <c r="H230" s="34">
        <v>235.42</v>
      </c>
      <c r="I230" s="29">
        <v>49428300</v>
      </c>
      <c r="P230" s="125"/>
      <c r="Q230" s="34"/>
      <c r="R230" s="115"/>
      <c r="S230" s="34"/>
      <c r="T230" s="34"/>
      <c r="U230" s="34"/>
      <c r="V230" s="29"/>
    </row>
    <row r="231" spans="3:22">
      <c r="C231" s="125">
        <v>45681</v>
      </c>
      <c r="D231" s="34">
        <v>234.5</v>
      </c>
      <c r="E231" s="115">
        <v>236.4</v>
      </c>
      <c r="F231" s="34">
        <v>232.93</v>
      </c>
      <c r="G231" s="34">
        <v>234.85</v>
      </c>
      <c r="H231" s="34">
        <v>234.85</v>
      </c>
      <c r="I231" s="29">
        <v>25890700</v>
      </c>
      <c r="P231" s="125"/>
      <c r="Q231" s="34"/>
      <c r="R231" s="115"/>
      <c r="S231" s="34"/>
      <c r="T231" s="34"/>
      <c r="U231" s="34"/>
      <c r="V231" s="29"/>
    </row>
    <row r="232" spans="3:22">
      <c r="C232" s="125">
        <v>45680</v>
      </c>
      <c r="D232" s="34">
        <v>234.1</v>
      </c>
      <c r="E232" s="115">
        <v>235.52</v>
      </c>
      <c r="F232" s="34">
        <v>231.51</v>
      </c>
      <c r="G232" s="34">
        <v>235.42</v>
      </c>
      <c r="H232" s="34">
        <v>235.42</v>
      </c>
      <c r="I232" s="29">
        <v>26404400</v>
      </c>
      <c r="P232" s="125"/>
      <c r="Q232" s="34"/>
      <c r="R232" s="115"/>
      <c r="S232" s="34"/>
      <c r="T232" s="34"/>
      <c r="U232" s="34"/>
      <c r="V232" s="29"/>
    </row>
    <row r="233" spans="3:22">
      <c r="C233" s="125">
        <v>45679</v>
      </c>
      <c r="D233" s="34">
        <v>232.02</v>
      </c>
      <c r="E233" s="115">
        <v>235.44</v>
      </c>
      <c r="F233" s="34">
        <v>231.19</v>
      </c>
      <c r="G233" s="34">
        <v>235.01</v>
      </c>
      <c r="H233" s="34">
        <v>235.01</v>
      </c>
      <c r="I233" s="29">
        <v>41448200</v>
      </c>
      <c r="P233" s="125"/>
      <c r="Q233" s="34"/>
      <c r="R233" s="115"/>
      <c r="S233" s="34"/>
      <c r="T233" s="34"/>
      <c r="U233" s="34"/>
      <c r="V233" s="29"/>
    </row>
    <row r="234" spans="3:22">
      <c r="C234" s="125">
        <v>45678</v>
      </c>
      <c r="D234" s="34">
        <v>228.9</v>
      </c>
      <c r="E234" s="115">
        <v>231.78</v>
      </c>
      <c r="F234" s="34">
        <v>226.94</v>
      </c>
      <c r="G234" s="34">
        <v>230.71</v>
      </c>
      <c r="H234" s="34">
        <v>230.71</v>
      </c>
      <c r="I234" s="29">
        <v>39951500</v>
      </c>
      <c r="P234" s="125"/>
      <c r="Q234" s="34"/>
      <c r="R234" s="115"/>
      <c r="S234" s="34"/>
      <c r="T234" s="34"/>
      <c r="U234" s="34"/>
      <c r="V234" s="29"/>
    </row>
    <row r="235" spans="3:22">
      <c r="C235" s="125">
        <v>45674</v>
      </c>
      <c r="D235" s="34">
        <v>225.84</v>
      </c>
      <c r="E235" s="115">
        <v>226.51</v>
      </c>
      <c r="F235" s="34">
        <v>223.08</v>
      </c>
      <c r="G235" s="34">
        <v>225.94</v>
      </c>
      <c r="H235" s="34">
        <v>225.94</v>
      </c>
      <c r="I235" s="29">
        <v>42370100</v>
      </c>
      <c r="P235" s="125"/>
      <c r="Q235" s="34"/>
      <c r="R235" s="115"/>
      <c r="S235" s="34"/>
      <c r="T235" s="34"/>
      <c r="U235" s="34"/>
      <c r="V235" s="29"/>
    </row>
    <row r="236" spans="3:22">
      <c r="C236" s="125">
        <v>45673</v>
      </c>
      <c r="D236" s="34">
        <v>224.42</v>
      </c>
      <c r="E236" s="115">
        <v>224.65</v>
      </c>
      <c r="F236" s="34">
        <v>220.31</v>
      </c>
      <c r="G236" s="34">
        <v>220.66</v>
      </c>
      <c r="H236" s="34">
        <v>220.66</v>
      </c>
      <c r="I236" s="29">
        <v>24757300</v>
      </c>
      <c r="P236" s="125"/>
      <c r="Q236" s="34"/>
      <c r="R236" s="115"/>
      <c r="S236" s="34"/>
      <c r="T236" s="34"/>
      <c r="U236" s="34"/>
      <c r="V236" s="29"/>
    </row>
    <row r="237" spans="3:22">
      <c r="C237" s="125">
        <v>45672</v>
      </c>
      <c r="D237" s="34">
        <v>222.83</v>
      </c>
      <c r="E237" s="115">
        <v>223.57</v>
      </c>
      <c r="F237" s="34">
        <v>220.75</v>
      </c>
      <c r="G237" s="34">
        <v>223.35</v>
      </c>
      <c r="H237" s="34">
        <v>223.35</v>
      </c>
      <c r="I237" s="29">
        <v>31291300</v>
      </c>
      <c r="P237" s="125"/>
      <c r="Q237" s="34"/>
      <c r="R237" s="115"/>
      <c r="S237" s="34"/>
      <c r="T237" s="34"/>
      <c r="U237" s="34"/>
      <c r="V237" s="29"/>
    </row>
    <row r="238" spans="3:22">
      <c r="C238" s="125">
        <v>45671</v>
      </c>
      <c r="D238" s="34">
        <v>220.44</v>
      </c>
      <c r="E238" s="115">
        <v>221.82</v>
      </c>
      <c r="F238" s="34">
        <v>216.2</v>
      </c>
      <c r="G238" s="34">
        <v>217.76</v>
      </c>
      <c r="H238" s="34">
        <v>217.76</v>
      </c>
      <c r="I238" s="29">
        <v>24711700</v>
      </c>
      <c r="P238" s="125"/>
      <c r="Q238" s="34"/>
      <c r="R238" s="115"/>
      <c r="S238" s="34"/>
      <c r="T238" s="34"/>
      <c r="U238" s="34"/>
      <c r="V238" s="29"/>
    </row>
    <row r="239" spans="3:22">
      <c r="C239" s="125">
        <v>45670</v>
      </c>
      <c r="D239" s="34">
        <v>218.06</v>
      </c>
      <c r="E239" s="115">
        <v>219.4</v>
      </c>
      <c r="F239" s="34">
        <v>216.47</v>
      </c>
      <c r="G239" s="34">
        <v>218.46</v>
      </c>
      <c r="H239" s="34">
        <v>218.46</v>
      </c>
      <c r="I239" s="29">
        <v>27262700</v>
      </c>
      <c r="P239" s="125"/>
      <c r="Q239" s="34"/>
      <c r="R239" s="115"/>
      <c r="S239" s="34"/>
      <c r="T239" s="34"/>
      <c r="U239" s="34"/>
      <c r="V239" s="29"/>
    </row>
    <row r="240" spans="3:22">
      <c r="C240" s="125">
        <v>45667</v>
      </c>
      <c r="D240" s="34">
        <v>221.46</v>
      </c>
      <c r="E240" s="115">
        <v>221.71</v>
      </c>
      <c r="F240" s="34">
        <v>216.5</v>
      </c>
      <c r="G240" s="34">
        <v>218.94</v>
      </c>
      <c r="H240" s="34">
        <v>218.94</v>
      </c>
      <c r="I240" s="29">
        <v>36811500</v>
      </c>
      <c r="P240" s="125"/>
      <c r="Q240" s="34"/>
      <c r="R240" s="115"/>
      <c r="S240" s="34"/>
      <c r="T240" s="34"/>
      <c r="U240" s="34"/>
      <c r="V240" s="29"/>
    </row>
    <row r="241" spans="3:22">
      <c r="C241" s="125">
        <v>45665</v>
      </c>
      <c r="D241" s="34">
        <v>223.19</v>
      </c>
      <c r="E241" s="115">
        <v>223.52</v>
      </c>
      <c r="F241" s="34">
        <v>220.2</v>
      </c>
      <c r="G241" s="34">
        <v>222.13</v>
      </c>
      <c r="H241" s="34">
        <v>222.13</v>
      </c>
      <c r="I241" s="29">
        <v>25033300</v>
      </c>
      <c r="P241" s="125"/>
      <c r="Q241" s="34"/>
      <c r="R241" s="115"/>
      <c r="S241" s="34"/>
      <c r="T241" s="34"/>
      <c r="U241" s="34"/>
      <c r="V241" s="29"/>
    </row>
    <row r="242" spans="3:22">
      <c r="C242" s="125">
        <v>45664</v>
      </c>
      <c r="D242" s="34">
        <v>227.9</v>
      </c>
      <c r="E242" s="115">
        <v>228.38</v>
      </c>
      <c r="F242" s="34">
        <v>221.46</v>
      </c>
      <c r="G242" s="34">
        <v>222.11</v>
      </c>
      <c r="H242" s="34">
        <v>222.11</v>
      </c>
      <c r="I242" s="29">
        <v>28084200</v>
      </c>
      <c r="P242" s="125"/>
      <c r="Q242" s="34"/>
      <c r="R242" s="115"/>
      <c r="S242" s="34"/>
      <c r="T242" s="34"/>
      <c r="U242" s="34"/>
      <c r="V242" s="29"/>
    </row>
    <row r="243" spans="3:22">
      <c r="C243" s="125">
        <v>45663</v>
      </c>
      <c r="D243" s="34">
        <v>226.78</v>
      </c>
      <c r="E243" s="115">
        <v>228.84</v>
      </c>
      <c r="F243" s="34">
        <v>224.84</v>
      </c>
      <c r="G243" s="34">
        <v>227.61</v>
      </c>
      <c r="H243" s="34">
        <v>227.61</v>
      </c>
      <c r="I243" s="29">
        <v>31849800</v>
      </c>
      <c r="P243" s="125"/>
      <c r="Q243" s="34"/>
      <c r="R243" s="115"/>
      <c r="S243" s="34"/>
      <c r="T243" s="34"/>
      <c r="U243" s="34"/>
      <c r="V243" s="29"/>
    </row>
    <row r="244" spans="3:22">
      <c r="C244" s="125">
        <v>45660</v>
      </c>
      <c r="D244" s="34">
        <v>222.51</v>
      </c>
      <c r="E244" s="115">
        <v>225.36</v>
      </c>
      <c r="F244" s="34">
        <v>221.62</v>
      </c>
      <c r="G244" s="34">
        <v>224.19</v>
      </c>
      <c r="H244" s="34">
        <v>224.19</v>
      </c>
      <c r="I244" s="29">
        <v>27515600</v>
      </c>
      <c r="P244" s="125"/>
      <c r="Q244" s="34"/>
      <c r="R244" s="115"/>
      <c r="S244" s="34"/>
      <c r="T244" s="34"/>
      <c r="U244" s="34"/>
      <c r="V244" s="29"/>
    </row>
    <row r="245" spans="3:22">
      <c r="C245" s="125">
        <v>45659</v>
      </c>
      <c r="D245" s="34">
        <v>222.03</v>
      </c>
      <c r="E245" s="115">
        <v>225.15</v>
      </c>
      <c r="F245" s="34">
        <v>218.19</v>
      </c>
      <c r="G245" s="34">
        <v>220.22</v>
      </c>
      <c r="H245" s="34">
        <v>220.22</v>
      </c>
      <c r="I245" s="29">
        <v>33956600</v>
      </c>
      <c r="P245" s="125"/>
      <c r="Q245" s="34"/>
      <c r="R245" s="115"/>
      <c r="S245" s="34"/>
      <c r="T245" s="34"/>
      <c r="U245" s="34"/>
      <c r="V245" s="29"/>
    </row>
    <row r="246" spans="3:22">
      <c r="C246" s="125">
        <v>45657</v>
      </c>
      <c r="D246" s="34">
        <v>222.97</v>
      </c>
      <c r="E246" s="115">
        <v>223.23</v>
      </c>
      <c r="F246" s="34">
        <v>218.94</v>
      </c>
      <c r="G246" s="34">
        <v>219.39</v>
      </c>
      <c r="H246" s="34">
        <v>219.39</v>
      </c>
      <c r="I246" s="29">
        <v>24819700</v>
      </c>
      <c r="P246" s="125"/>
      <c r="Q246" s="34"/>
      <c r="R246" s="115"/>
      <c r="S246" s="34"/>
      <c r="T246" s="34"/>
      <c r="U246" s="34"/>
      <c r="V246" s="29"/>
    </row>
    <row r="247" spans="3:22">
      <c r="C247" s="125">
        <v>45656</v>
      </c>
      <c r="D247" s="34">
        <v>220.06</v>
      </c>
      <c r="E247" s="115">
        <v>223</v>
      </c>
      <c r="F247" s="34">
        <v>218.43</v>
      </c>
      <c r="G247" s="34">
        <v>221.3</v>
      </c>
      <c r="H247" s="34">
        <v>221.3</v>
      </c>
      <c r="I247" s="29">
        <v>28321200</v>
      </c>
      <c r="P247" s="125"/>
      <c r="Q247" s="34"/>
      <c r="R247" s="115"/>
      <c r="S247" s="34"/>
      <c r="T247" s="34"/>
      <c r="U247" s="34"/>
      <c r="V247" s="29"/>
    </row>
    <row r="248" spans="3:22">
      <c r="C248" s="125">
        <v>45653</v>
      </c>
      <c r="D248" s="34">
        <v>225.6</v>
      </c>
      <c r="E248" s="115">
        <v>226.03</v>
      </c>
      <c r="F248" s="34">
        <v>220.9</v>
      </c>
      <c r="G248" s="34">
        <v>223.75</v>
      </c>
      <c r="H248" s="34">
        <v>223.75</v>
      </c>
      <c r="I248" s="29">
        <v>27367100</v>
      </c>
      <c r="P248" s="125"/>
      <c r="Q248" s="34"/>
      <c r="R248" s="115"/>
      <c r="S248" s="34"/>
      <c r="T248" s="34"/>
      <c r="U248" s="34"/>
      <c r="V248" s="29"/>
    </row>
    <row r="249" spans="3:22">
      <c r="C249" s="125">
        <v>45652</v>
      </c>
      <c r="D249" s="34">
        <v>228.5</v>
      </c>
      <c r="E249" s="115">
        <v>228.5</v>
      </c>
      <c r="F249" s="34">
        <v>226.67</v>
      </c>
      <c r="G249" s="34">
        <v>227.05</v>
      </c>
      <c r="H249" s="34">
        <v>227.05</v>
      </c>
      <c r="I249" s="29">
        <v>16146700</v>
      </c>
      <c r="P249" s="125"/>
      <c r="Q249" s="34"/>
      <c r="R249" s="115"/>
      <c r="S249" s="34"/>
      <c r="T249" s="34"/>
      <c r="U249" s="34"/>
      <c r="V249" s="29"/>
    </row>
    <row r="250" spans="3:22">
      <c r="C250" s="125">
        <v>45650</v>
      </c>
      <c r="D250" s="34">
        <v>226.94</v>
      </c>
      <c r="E250" s="115">
        <v>229.14</v>
      </c>
      <c r="F250" s="34">
        <v>226.13</v>
      </c>
      <c r="G250" s="34">
        <v>229.05</v>
      </c>
      <c r="H250" s="34">
        <v>229.05</v>
      </c>
      <c r="I250" s="29">
        <v>15007500</v>
      </c>
      <c r="P250" s="125"/>
      <c r="Q250" s="34"/>
      <c r="R250" s="115"/>
      <c r="S250" s="34"/>
      <c r="T250" s="34"/>
      <c r="U250" s="34"/>
      <c r="V250" s="29"/>
    </row>
    <row r="251" spans="3:22">
      <c r="C251" s="125">
        <v>45649</v>
      </c>
      <c r="D251" s="34">
        <v>225.01</v>
      </c>
      <c r="E251" s="115">
        <v>226.88</v>
      </c>
      <c r="F251" s="34">
        <v>223.9</v>
      </c>
      <c r="G251" s="34">
        <v>225.06</v>
      </c>
      <c r="H251" s="34">
        <v>225.06</v>
      </c>
      <c r="I251" s="29">
        <v>28070000</v>
      </c>
      <c r="P251" s="125"/>
      <c r="Q251" s="34"/>
      <c r="R251" s="115"/>
      <c r="S251" s="34"/>
      <c r="T251" s="34"/>
      <c r="U251" s="34"/>
      <c r="V251" s="29"/>
    </row>
    <row r="252" spans="3:22">
      <c r="C252" s="125">
        <v>45646</v>
      </c>
      <c r="D252" s="34">
        <v>219.84</v>
      </c>
      <c r="E252" s="115">
        <v>226.21</v>
      </c>
      <c r="F252" s="34">
        <v>218.73</v>
      </c>
      <c r="G252" s="34">
        <v>224.92</v>
      </c>
      <c r="H252" s="34">
        <v>224.92</v>
      </c>
      <c r="I252" s="29">
        <v>88279200</v>
      </c>
      <c r="P252" s="125"/>
      <c r="Q252" s="34"/>
      <c r="R252" s="115"/>
      <c r="S252" s="34"/>
      <c r="T252" s="34"/>
      <c r="U252" s="34"/>
      <c r="V252" s="29"/>
    </row>
    <row r="253" spans="3:22">
      <c r="C253" s="125">
        <v>45645</v>
      </c>
      <c r="D253" s="34">
        <v>224.91</v>
      </c>
      <c r="E253" s="115">
        <v>226.09</v>
      </c>
      <c r="F253" s="34">
        <v>222.92</v>
      </c>
      <c r="G253" s="34">
        <v>223.29</v>
      </c>
      <c r="H253" s="34">
        <v>223.29</v>
      </c>
      <c r="I253" s="29">
        <v>39918700</v>
      </c>
      <c r="P253" s="125"/>
      <c r="Q253" s="34"/>
      <c r="R253" s="115"/>
      <c r="S253" s="34"/>
      <c r="T253" s="34"/>
      <c r="U253" s="34"/>
      <c r="V253" s="29"/>
    </row>
    <row r="254" spans="3:22">
      <c r="C254" s="125">
        <v>45644</v>
      </c>
      <c r="D254" s="34">
        <v>230.77</v>
      </c>
      <c r="E254" s="115">
        <v>231.4</v>
      </c>
      <c r="F254" s="34">
        <v>220.11</v>
      </c>
      <c r="G254" s="34">
        <v>220.52</v>
      </c>
      <c r="H254" s="34">
        <v>220.52</v>
      </c>
      <c r="I254" s="29">
        <v>43281400</v>
      </c>
      <c r="P254" s="125"/>
      <c r="Q254" s="34"/>
      <c r="R254" s="115"/>
      <c r="S254" s="34"/>
      <c r="T254" s="34"/>
      <c r="U254" s="34"/>
      <c r="V254" s="29"/>
    </row>
    <row r="255" spans="3:22">
      <c r="C255" s="125">
        <v>45643</v>
      </c>
      <c r="D255" s="34">
        <v>232.39</v>
      </c>
      <c r="E255" s="115">
        <v>232.73</v>
      </c>
      <c r="F255" s="34">
        <v>227.85</v>
      </c>
      <c r="G255" s="34">
        <v>231.15</v>
      </c>
      <c r="H255" s="34">
        <v>231.15</v>
      </c>
      <c r="I255" s="29">
        <v>35948100</v>
      </c>
      <c r="P255" s="125"/>
      <c r="Q255" s="34"/>
      <c r="R255" s="115"/>
      <c r="S255" s="34"/>
      <c r="T255" s="34"/>
      <c r="U255" s="34"/>
      <c r="V255" s="29"/>
    </row>
    <row r="256" spans="3:22">
      <c r="C256" s="125">
        <v>45642</v>
      </c>
      <c r="D256" s="34">
        <v>230.23</v>
      </c>
      <c r="E256" s="115">
        <v>233</v>
      </c>
      <c r="F256" s="34">
        <v>228.01</v>
      </c>
      <c r="G256" s="34">
        <v>232.93</v>
      </c>
      <c r="H256" s="34">
        <v>232.93</v>
      </c>
      <c r="I256" s="29">
        <v>37552100</v>
      </c>
      <c r="P256" s="125"/>
      <c r="Q256" s="34"/>
      <c r="R256" s="115"/>
      <c r="S256" s="34"/>
      <c r="T256" s="34"/>
      <c r="U256" s="34"/>
      <c r="V256" s="29"/>
    </row>
    <row r="257" spans="3:22">
      <c r="C257" s="125">
        <v>45639</v>
      </c>
      <c r="D257" s="34">
        <v>228.4</v>
      </c>
      <c r="E257" s="115">
        <v>230.2</v>
      </c>
      <c r="F257" s="34">
        <v>225.86</v>
      </c>
      <c r="G257" s="34">
        <v>227.46</v>
      </c>
      <c r="H257" s="34">
        <v>227.46</v>
      </c>
      <c r="I257" s="29">
        <v>28768100</v>
      </c>
      <c r="P257" s="125"/>
      <c r="Q257" s="34"/>
      <c r="R257" s="115"/>
      <c r="S257" s="34"/>
      <c r="T257" s="34"/>
      <c r="U257" s="34"/>
      <c r="V257" s="29"/>
    </row>
    <row r="258" spans="3:22">
      <c r="C258" s="125">
        <v>45638</v>
      </c>
      <c r="D258" s="34">
        <v>229.83</v>
      </c>
      <c r="E258" s="115">
        <v>231.09</v>
      </c>
      <c r="F258" s="34">
        <v>227.63</v>
      </c>
      <c r="G258" s="34">
        <v>228.97</v>
      </c>
      <c r="H258" s="34">
        <v>228.97</v>
      </c>
      <c r="I258" s="29">
        <v>28204100</v>
      </c>
      <c r="P258" s="125"/>
      <c r="Q258" s="34"/>
      <c r="R258" s="115"/>
      <c r="S258" s="34"/>
      <c r="T258" s="34"/>
      <c r="U258" s="34"/>
      <c r="V258" s="29"/>
    </row>
    <row r="259" spans="3:22">
      <c r="C259" s="125">
        <v>45637</v>
      </c>
      <c r="D259" s="34">
        <v>226.41</v>
      </c>
      <c r="E259" s="115">
        <v>231.2</v>
      </c>
      <c r="F259" s="34">
        <v>226.26</v>
      </c>
      <c r="G259" s="34">
        <v>230.26</v>
      </c>
      <c r="H259" s="34">
        <v>230.26</v>
      </c>
      <c r="I259" s="29">
        <v>35385800</v>
      </c>
      <c r="P259" s="125"/>
      <c r="Q259" s="34"/>
      <c r="R259" s="115"/>
      <c r="S259" s="34"/>
      <c r="T259" s="34"/>
      <c r="U259" s="34"/>
      <c r="V259" s="29"/>
    </row>
    <row r="260" spans="3:22">
      <c r="C260" s="125">
        <v>45636</v>
      </c>
      <c r="D260" s="34">
        <v>226.09</v>
      </c>
      <c r="E260" s="115">
        <v>229.06</v>
      </c>
      <c r="F260" s="34">
        <v>224.2</v>
      </c>
      <c r="G260" s="34">
        <v>225.04</v>
      </c>
      <c r="H260" s="34">
        <v>225.04</v>
      </c>
      <c r="I260" s="29">
        <v>31199900</v>
      </c>
      <c r="P260" s="125"/>
      <c r="Q260" s="34"/>
      <c r="R260" s="115"/>
      <c r="S260" s="34"/>
      <c r="T260" s="34"/>
      <c r="U260" s="34"/>
      <c r="V260" s="29"/>
    </row>
    <row r="261" spans="3:22">
      <c r="C261" s="125">
        <v>45635</v>
      </c>
      <c r="D261" s="34">
        <v>227.21</v>
      </c>
      <c r="E261" s="115">
        <v>230.08</v>
      </c>
      <c r="F261" s="34">
        <v>225.67</v>
      </c>
      <c r="G261" s="34">
        <v>226.09</v>
      </c>
      <c r="H261" s="34">
        <v>226.09</v>
      </c>
      <c r="I261" s="29">
        <v>46819400</v>
      </c>
      <c r="P261" s="125"/>
      <c r="Q261" s="34"/>
      <c r="R261" s="115"/>
      <c r="S261" s="34"/>
      <c r="T261" s="34"/>
      <c r="U261" s="34"/>
      <c r="V261" s="29"/>
    </row>
    <row r="262" spans="3:22">
      <c r="C262" s="125">
        <v>45632</v>
      </c>
      <c r="D262" s="34">
        <v>220.75</v>
      </c>
      <c r="E262" s="115">
        <v>227.15</v>
      </c>
      <c r="F262" s="34">
        <v>220.6</v>
      </c>
      <c r="G262" s="34">
        <v>227.03</v>
      </c>
      <c r="H262" s="34">
        <v>227.03</v>
      </c>
      <c r="I262" s="29">
        <v>44178100</v>
      </c>
      <c r="P262" s="125"/>
      <c r="Q262" s="34"/>
      <c r="R262" s="115"/>
      <c r="S262" s="34"/>
      <c r="T262" s="34"/>
      <c r="U262" s="34"/>
      <c r="V262" s="29"/>
    </row>
    <row r="263" spans="3:22">
      <c r="C263" s="125">
        <v>45631</v>
      </c>
      <c r="D263" s="34">
        <v>218.03</v>
      </c>
      <c r="E263" s="115">
        <v>222.15</v>
      </c>
      <c r="F263" s="34">
        <v>217.3</v>
      </c>
      <c r="G263" s="34">
        <v>220.55</v>
      </c>
      <c r="H263" s="34">
        <v>220.55</v>
      </c>
      <c r="I263" s="29">
        <v>41140200</v>
      </c>
      <c r="P263" s="125"/>
      <c r="Q263" s="34"/>
      <c r="R263" s="115"/>
      <c r="S263" s="34"/>
      <c r="T263" s="34"/>
      <c r="U263" s="34"/>
      <c r="V263" s="29"/>
    </row>
    <row r="264" spans="3:22">
      <c r="C264" s="125">
        <v>45630</v>
      </c>
      <c r="D264" s="34">
        <v>215.96</v>
      </c>
      <c r="E264" s="115">
        <v>220</v>
      </c>
      <c r="F264" s="34">
        <v>215.75</v>
      </c>
      <c r="G264" s="34">
        <v>218.16</v>
      </c>
      <c r="H264" s="34">
        <v>218.16</v>
      </c>
      <c r="I264" s="29">
        <v>48745700</v>
      </c>
      <c r="P264" s="125"/>
      <c r="Q264" s="34"/>
      <c r="R264" s="115"/>
      <c r="S264" s="34"/>
      <c r="T264" s="34"/>
      <c r="U264" s="34"/>
      <c r="V264" s="29"/>
    </row>
    <row r="265" spans="3:22">
      <c r="C265" s="125">
        <v>45629</v>
      </c>
      <c r="D265" s="34">
        <v>210.31</v>
      </c>
      <c r="E265" s="115">
        <v>214.02</v>
      </c>
      <c r="F265" s="34">
        <v>209.65</v>
      </c>
      <c r="G265" s="34">
        <v>213.44</v>
      </c>
      <c r="H265" s="34">
        <v>213.44</v>
      </c>
      <c r="I265" s="29">
        <v>32214800</v>
      </c>
      <c r="P265" s="125"/>
      <c r="Q265" s="34"/>
      <c r="R265" s="115"/>
      <c r="S265" s="34"/>
      <c r="T265" s="34"/>
      <c r="U265" s="34"/>
      <c r="V265" s="29"/>
    </row>
    <row r="266" spans="3:22">
      <c r="C266" s="125">
        <v>45628</v>
      </c>
      <c r="D266" s="34">
        <v>209.96</v>
      </c>
      <c r="E266" s="115">
        <v>212.99</v>
      </c>
      <c r="F266" s="34">
        <v>209.51</v>
      </c>
      <c r="G266" s="34">
        <v>210.71</v>
      </c>
      <c r="H266" s="34">
        <v>210.71</v>
      </c>
      <c r="I266" s="29">
        <v>39523200</v>
      </c>
      <c r="P266" s="125"/>
      <c r="Q266" s="34"/>
      <c r="R266" s="115"/>
      <c r="S266" s="34"/>
      <c r="T266" s="34"/>
      <c r="U266" s="34"/>
      <c r="V266" s="29"/>
    </row>
    <row r="267" spans="3:22">
      <c r="C267" s="125">
        <v>45625</v>
      </c>
      <c r="D267" s="34">
        <v>205.83</v>
      </c>
      <c r="E267" s="115">
        <v>208.2</v>
      </c>
      <c r="F267" s="34">
        <v>204.59</v>
      </c>
      <c r="G267" s="34">
        <v>207.89</v>
      </c>
      <c r="H267" s="34">
        <v>207.89</v>
      </c>
      <c r="I267" s="29">
        <v>24892400</v>
      </c>
      <c r="P267" s="125"/>
      <c r="Q267" s="34"/>
      <c r="R267" s="115"/>
      <c r="S267" s="34"/>
      <c r="T267" s="34"/>
      <c r="U267" s="34"/>
      <c r="V267" s="29"/>
    </row>
    <row r="268" spans="3:22">
      <c r="C268" s="125">
        <v>45623</v>
      </c>
      <c r="D268" s="34">
        <v>206.98</v>
      </c>
      <c r="E268" s="115">
        <v>207.64</v>
      </c>
      <c r="F268" s="34">
        <v>205.05</v>
      </c>
      <c r="G268" s="34">
        <v>205.74</v>
      </c>
      <c r="H268" s="34">
        <v>205.74</v>
      </c>
      <c r="I268" s="29">
        <v>28061600</v>
      </c>
      <c r="P268" s="125"/>
      <c r="Q268" s="34"/>
      <c r="R268" s="115"/>
      <c r="S268" s="34"/>
      <c r="T268" s="34"/>
      <c r="U268" s="34"/>
      <c r="V268" s="29"/>
    </row>
    <row r="269" spans="3:22">
      <c r="C269" s="125">
        <v>45622</v>
      </c>
      <c r="D269" s="34">
        <v>201.9</v>
      </c>
      <c r="E269" s="115">
        <v>208</v>
      </c>
      <c r="F269" s="34">
        <v>201.79</v>
      </c>
      <c r="G269" s="34">
        <v>207.86</v>
      </c>
      <c r="H269" s="34">
        <v>207.86</v>
      </c>
      <c r="I269" s="29">
        <v>41673700</v>
      </c>
      <c r="P269" s="125"/>
      <c r="Q269" s="34"/>
      <c r="R269" s="115"/>
      <c r="S269" s="34"/>
      <c r="T269" s="34"/>
      <c r="U269" s="34"/>
      <c r="V269" s="29"/>
    </row>
    <row r="270" spans="3:22">
      <c r="C270" s="125">
        <v>45621</v>
      </c>
      <c r="D270" s="34">
        <v>199.28</v>
      </c>
      <c r="E270" s="115">
        <v>201.95</v>
      </c>
      <c r="F270" s="34">
        <v>199</v>
      </c>
      <c r="G270" s="34">
        <v>201.45</v>
      </c>
      <c r="H270" s="34">
        <v>201.45</v>
      </c>
      <c r="I270" s="29">
        <v>40685700</v>
      </c>
      <c r="P270" s="125"/>
      <c r="Q270" s="34"/>
      <c r="R270" s="115"/>
      <c r="S270" s="34"/>
      <c r="T270" s="34"/>
      <c r="U270" s="34"/>
      <c r="V270" s="29"/>
    </row>
    <row r="271" spans="3:22">
      <c r="C271" s="125">
        <v>45618</v>
      </c>
      <c r="D271" s="34">
        <v>198.25</v>
      </c>
      <c r="E271" s="115">
        <v>199.26</v>
      </c>
      <c r="F271" s="34">
        <v>196.75</v>
      </c>
      <c r="G271" s="34">
        <v>197.12</v>
      </c>
      <c r="H271" s="34">
        <v>197.12</v>
      </c>
      <c r="I271" s="29">
        <v>31530800</v>
      </c>
      <c r="P271" s="125"/>
      <c r="Q271" s="34"/>
      <c r="R271" s="115"/>
      <c r="S271" s="34"/>
      <c r="T271" s="34"/>
      <c r="U271" s="34"/>
      <c r="V271" s="29"/>
    </row>
    <row r="272" spans="3:22">
      <c r="C272" s="125">
        <v>45617</v>
      </c>
      <c r="D272" s="34">
        <v>203.49</v>
      </c>
      <c r="E272" s="115">
        <v>203.49</v>
      </c>
      <c r="F272" s="34">
        <v>195.75</v>
      </c>
      <c r="G272" s="34">
        <v>198.38</v>
      </c>
      <c r="H272" s="34">
        <v>198.38</v>
      </c>
      <c r="I272" s="29">
        <v>58800000</v>
      </c>
      <c r="P272" s="125"/>
      <c r="Q272" s="34"/>
      <c r="R272" s="115"/>
      <c r="S272" s="34"/>
      <c r="T272" s="34"/>
      <c r="U272" s="34"/>
      <c r="V272" s="29"/>
    </row>
    <row r="273" spans="3:22">
      <c r="C273" s="125">
        <v>45616</v>
      </c>
      <c r="D273" s="34">
        <v>202.98</v>
      </c>
      <c r="E273" s="115">
        <v>203.13</v>
      </c>
      <c r="F273" s="34">
        <v>199.45</v>
      </c>
      <c r="G273" s="34">
        <v>202.88</v>
      </c>
      <c r="H273" s="34">
        <v>202.88</v>
      </c>
      <c r="I273" s="29">
        <v>32769000</v>
      </c>
      <c r="P273" s="125"/>
      <c r="Q273" s="34"/>
      <c r="R273" s="115"/>
      <c r="S273" s="34"/>
      <c r="T273" s="34"/>
      <c r="U273" s="34"/>
      <c r="V273" s="29"/>
    </row>
    <row r="274" spans="3:22">
      <c r="C274" s="125">
        <v>45615</v>
      </c>
      <c r="D274" s="34">
        <v>199.33</v>
      </c>
      <c r="E274" s="115">
        <v>205.3</v>
      </c>
      <c r="F274" s="34">
        <v>198.78</v>
      </c>
      <c r="G274" s="34">
        <v>204.61</v>
      </c>
      <c r="H274" s="34">
        <v>204.61</v>
      </c>
      <c r="I274" s="29">
        <v>31197900</v>
      </c>
      <c r="P274" s="125"/>
      <c r="Q274" s="34"/>
      <c r="R274" s="115"/>
      <c r="S274" s="34"/>
      <c r="T274" s="34"/>
      <c r="U274" s="34"/>
      <c r="V274" s="29"/>
    </row>
    <row r="275" spans="3:22">
      <c r="C275" s="125">
        <v>45614</v>
      </c>
      <c r="D275" s="34">
        <v>204.15</v>
      </c>
      <c r="E275" s="115">
        <v>204.67</v>
      </c>
      <c r="F275" s="34">
        <v>200.95</v>
      </c>
      <c r="G275" s="34">
        <v>201.7</v>
      </c>
      <c r="H275" s="34">
        <v>201.7</v>
      </c>
      <c r="I275" s="29">
        <v>36409900</v>
      </c>
      <c r="P275" s="125"/>
      <c r="Q275" s="34"/>
      <c r="R275" s="115"/>
      <c r="S275" s="34"/>
      <c r="T275" s="34"/>
      <c r="U275" s="34"/>
      <c r="V275" s="29"/>
    </row>
    <row r="276" spans="3:22">
      <c r="C276" s="125">
        <v>45611</v>
      </c>
      <c r="D276" s="34">
        <v>206.76</v>
      </c>
      <c r="E276" s="115">
        <v>207.34</v>
      </c>
      <c r="F276" s="34">
        <v>199.61</v>
      </c>
      <c r="G276" s="34">
        <v>202.61</v>
      </c>
      <c r="H276" s="34">
        <v>202.61</v>
      </c>
      <c r="I276" s="29">
        <v>86591100</v>
      </c>
      <c r="P276" s="125"/>
      <c r="Q276" s="34"/>
      <c r="R276" s="115"/>
      <c r="S276" s="34"/>
      <c r="T276" s="34"/>
      <c r="U276" s="34"/>
      <c r="V276" s="29"/>
    </row>
    <row r="277" spans="3:22">
      <c r="C277" s="125">
        <v>45610</v>
      </c>
      <c r="D277" s="34">
        <v>214.16</v>
      </c>
      <c r="E277" s="115">
        <v>215.9</v>
      </c>
      <c r="F277" s="34">
        <v>210.88</v>
      </c>
      <c r="G277" s="34">
        <v>211.48</v>
      </c>
      <c r="H277" s="34">
        <v>211.48</v>
      </c>
      <c r="I277" s="29">
        <v>42620300</v>
      </c>
      <c r="P277" s="125"/>
      <c r="Q277" s="34"/>
      <c r="R277" s="115"/>
      <c r="S277" s="34"/>
      <c r="T277" s="34"/>
      <c r="U277" s="34"/>
      <c r="V277" s="29"/>
    </row>
    <row r="278" spans="3:22">
      <c r="C278" s="125">
        <v>45609</v>
      </c>
      <c r="D278" s="34">
        <v>209.4</v>
      </c>
      <c r="E278" s="115">
        <v>215.09</v>
      </c>
      <c r="F278" s="34">
        <v>209.14</v>
      </c>
      <c r="G278" s="34">
        <v>214.1</v>
      </c>
      <c r="H278" s="34">
        <v>214.1</v>
      </c>
      <c r="I278" s="29">
        <v>46212900</v>
      </c>
      <c r="P278" s="125"/>
      <c r="Q278" s="34"/>
      <c r="R278" s="115"/>
      <c r="S278" s="34"/>
      <c r="T278" s="34"/>
      <c r="U278" s="34"/>
      <c r="V278" s="29"/>
    </row>
    <row r="279" spans="3:22">
      <c r="C279" s="125">
        <v>45608</v>
      </c>
      <c r="D279" s="34">
        <v>208.37</v>
      </c>
      <c r="E279" s="115">
        <v>209.54</v>
      </c>
      <c r="F279" s="34">
        <v>206.01</v>
      </c>
      <c r="G279" s="34">
        <v>208.91</v>
      </c>
      <c r="H279" s="34">
        <v>208.91</v>
      </c>
      <c r="I279" s="29">
        <v>38942900</v>
      </c>
      <c r="P279" s="125"/>
      <c r="Q279" s="34"/>
      <c r="R279" s="115"/>
      <c r="S279" s="34"/>
      <c r="T279" s="34"/>
      <c r="U279" s="34"/>
      <c r="V279" s="29"/>
    </row>
    <row r="280" spans="3:22">
      <c r="C280" s="125">
        <v>45607</v>
      </c>
      <c r="D280" s="34">
        <v>208.5</v>
      </c>
      <c r="E280" s="115">
        <v>209.65</v>
      </c>
      <c r="F280" s="34">
        <v>205.59</v>
      </c>
      <c r="G280" s="34">
        <v>206.84</v>
      </c>
      <c r="H280" s="34">
        <v>206.84</v>
      </c>
      <c r="I280" s="29">
        <v>35456000</v>
      </c>
      <c r="P280" s="125"/>
      <c r="Q280" s="34"/>
      <c r="R280" s="115"/>
      <c r="S280" s="34"/>
      <c r="T280" s="34"/>
      <c r="U280" s="34"/>
      <c r="V280" s="29"/>
    </row>
    <row r="281" spans="3:22">
      <c r="C281" s="125">
        <v>45604</v>
      </c>
      <c r="D281" s="34">
        <v>209.72</v>
      </c>
      <c r="E281" s="115">
        <v>209.96</v>
      </c>
      <c r="F281" s="34">
        <v>207.44</v>
      </c>
      <c r="G281" s="34">
        <v>208.18</v>
      </c>
      <c r="H281" s="34">
        <v>208.18</v>
      </c>
      <c r="I281" s="29">
        <v>36075800</v>
      </c>
      <c r="P281" s="125"/>
      <c r="Q281" s="34"/>
      <c r="R281" s="115"/>
      <c r="S281" s="34"/>
      <c r="T281" s="34"/>
      <c r="U281" s="34"/>
      <c r="V281" s="29"/>
    </row>
    <row r="282" spans="3:22">
      <c r="C282" s="125">
        <v>45603</v>
      </c>
      <c r="D282" s="34">
        <v>207.44</v>
      </c>
      <c r="E282" s="115">
        <v>212.25</v>
      </c>
      <c r="F282" s="34">
        <v>207.19</v>
      </c>
      <c r="G282" s="34">
        <v>210.05</v>
      </c>
      <c r="H282" s="34">
        <v>210.05</v>
      </c>
      <c r="I282" s="29">
        <v>52878400</v>
      </c>
      <c r="P282" s="125"/>
      <c r="Q282" s="34"/>
      <c r="R282" s="115"/>
      <c r="S282" s="34"/>
      <c r="T282" s="34"/>
      <c r="U282" s="34"/>
      <c r="V282" s="29"/>
    </row>
    <row r="283" spans="3:22">
      <c r="C283" s="125">
        <v>45602</v>
      </c>
      <c r="D283" s="34">
        <v>200.01</v>
      </c>
      <c r="E283" s="115">
        <v>207.55</v>
      </c>
      <c r="F283" s="34">
        <v>199.14</v>
      </c>
      <c r="G283" s="34">
        <v>207.09</v>
      </c>
      <c r="H283" s="34">
        <v>207.09</v>
      </c>
      <c r="I283" s="29">
        <v>72292200</v>
      </c>
      <c r="P283" s="125"/>
      <c r="Q283" s="34"/>
      <c r="R283" s="115"/>
      <c r="S283" s="34"/>
      <c r="T283" s="34"/>
      <c r="U283" s="34"/>
      <c r="V283" s="29"/>
    </row>
    <row r="284" spans="3:22">
      <c r="C284" s="125">
        <v>45601</v>
      </c>
      <c r="D284" s="34">
        <v>196.04</v>
      </c>
      <c r="E284" s="115">
        <v>199.82</v>
      </c>
      <c r="F284" s="34">
        <v>195.99</v>
      </c>
      <c r="G284" s="34">
        <v>199.5</v>
      </c>
      <c r="H284" s="34">
        <v>199.5</v>
      </c>
      <c r="I284" s="29">
        <v>30564800</v>
      </c>
      <c r="P284" s="125"/>
      <c r="Q284" s="34"/>
      <c r="R284" s="115"/>
      <c r="S284" s="34"/>
      <c r="T284" s="34"/>
      <c r="U284" s="34"/>
      <c r="V284" s="29"/>
    </row>
    <row r="285" spans="3:22">
      <c r="C285" s="125">
        <v>45600</v>
      </c>
      <c r="D285" s="34">
        <v>196.45</v>
      </c>
      <c r="E285" s="115">
        <v>197.33</v>
      </c>
      <c r="F285" s="34">
        <v>194.31</v>
      </c>
      <c r="G285" s="34">
        <v>195.78</v>
      </c>
      <c r="H285" s="34">
        <v>195.78</v>
      </c>
      <c r="I285" s="29">
        <v>38492100</v>
      </c>
      <c r="P285" s="125"/>
      <c r="Q285" s="34"/>
      <c r="R285" s="115"/>
      <c r="S285" s="34"/>
      <c r="T285" s="34"/>
      <c r="U285" s="34"/>
      <c r="V285" s="29"/>
    </row>
    <row r="286" spans="3:22">
      <c r="C286" s="125">
        <v>45597</v>
      </c>
      <c r="D286" s="34">
        <v>199</v>
      </c>
      <c r="E286" s="115">
        <v>200.5</v>
      </c>
      <c r="F286" s="34">
        <v>197.02</v>
      </c>
      <c r="G286" s="34">
        <v>197.93</v>
      </c>
      <c r="H286" s="34">
        <v>197.93</v>
      </c>
      <c r="I286" s="29">
        <v>99687800</v>
      </c>
      <c r="P286" s="125"/>
      <c r="Q286" s="34"/>
      <c r="R286" s="115"/>
      <c r="S286" s="34"/>
      <c r="T286" s="34"/>
      <c r="U286" s="34"/>
      <c r="V286" s="29"/>
    </row>
    <row r="287" spans="3:22">
      <c r="C287" s="125">
        <v>45596</v>
      </c>
      <c r="D287" s="34">
        <v>190.51</v>
      </c>
      <c r="E287" s="115">
        <v>190.6</v>
      </c>
      <c r="F287" s="34">
        <v>185.23</v>
      </c>
      <c r="G287" s="34">
        <v>186.4</v>
      </c>
      <c r="H287" s="34">
        <v>186.4</v>
      </c>
      <c r="I287" s="29">
        <v>75146800</v>
      </c>
      <c r="P287" s="125"/>
      <c r="Q287" s="34"/>
      <c r="R287" s="115"/>
      <c r="S287" s="34"/>
      <c r="T287" s="34"/>
      <c r="U287" s="34"/>
      <c r="V287" s="29"/>
    </row>
    <row r="288" spans="3:22">
      <c r="C288" s="125">
        <v>45595</v>
      </c>
      <c r="D288" s="34">
        <v>194.7</v>
      </c>
      <c r="E288" s="115">
        <v>195.61</v>
      </c>
      <c r="F288" s="34">
        <v>192.42</v>
      </c>
      <c r="G288" s="34">
        <v>192.73</v>
      </c>
      <c r="H288" s="34">
        <v>192.73</v>
      </c>
      <c r="I288" s="29">
        <v>37707600</v>
      </c>
      <c r="P288" s="125"/>
      <c r="Q288" s="34"/>
      <c r="R288" s="115"/>
      <c r="S288" s="34"/>
      <c r="T288" s="34"/>
      <c r="U288" s="34"/>
      <c r="V288" s="29"/>
    </row>
    <row r="289" spans="3:22">
      <c r="C289" s="125">
        <v>45594</v>
      </c>
      <c r="D289" s="34">
        <v>188.58</v>
      </c>
      <c r="E289" s="115">
        <v>191.46</v>
      </c>
      <c r="F289" s="34">
        <v>187.82</v>
      </c>
      <c r="G289" s="34">
        <v>190.83</v>
      </c>
      <c r="H289" s="34">
        <v>190.83</v>
      </c>
      <c r="I289" s="29">
        <v>35690200</v>
      </c>
      <c r="P289" s="125"/>
      <c r="Q289" s="34"/>
      <c r="R289" s="115"/>
      <c r="S289" s="34"/>
      <c r="T289" s="34"/>
      <c r="U289" s="34"/>
      <c r="V289" s="29"/>
    </row>
    <row r="290" spans="3:22">
      <c r="C290" s="125">
        <v>45593</v>
      </c>
      <c r="D290" s="34">
        <v>189.57</v>
      </c>
      <c r="E290" s="115">
        <v>190.21</v>
      </c>
      <c r="F290" s="34">
        <v>188.21</v>
      </c>
      <c r="G290" s="34">
        <v>188.39</v>
      </c>
      <c r="H290" s="34">
        <v>188.39</v>
      </c>
      <c r="I290" s="29">
        <v>27930800</v>
      </c>
      <c r="P290" s="125"/>
      <c r="Q290" s="34"/>
      <c r="R290" s="115"/>
      <c r="S290" s="34"/>
      <c r="T290" s="34"/>
      <c r="U290" s="34"/>
      <c r="V290" s="29"/>
    </row>
    <row r="291" spans="3:22">
      <c r="C291" s="125">
        <v>45590</v>
      </c>
      <c r="D291" s="34">
        <v>187.85</v>
      </c>
      <c r="E291" s="115">
        <v>190.45</v>
      </c>
      <c r="F291" s="34">
        <v>187.53</v>
      </c>
      <c r="G291" s="34">
        <v>187.83</v>
      </c>
      <c r="H291" s="34">
        <v>187.83</v>
      </c>
      <c r="I291" s="29">
        <v>29362100</v>
      </c>
      <c r="P291" s="125"/>
      <c r="Q291" s="34"/>
      <c r="R291" s="115"/>
      <c r="S291" s="34"/>
      <c r="T291" s="34"/>
      <c r="U291" s="34"/>
      <c r="V291" s="29"/>
    </row>
    <row r="292" spans="3:22">
      <c r="C292" s="125">
        <v>45589</v>
      </c>
      <c r="D292" s="34">
        <v>185.25</v>
      </c>
      <c r="E292" s="115">
        <v>187.11</v>
      </c>
      <c r="F292" s="34">
        <v>183.86</v>
      </c>
      <c r="G292" s="34">
        <v>186.38</v>
      </c>
      <c r="H292" s="34">
        <v>186.38</v>
      </c>
      <c r="I292" s="29">
        <v>21647400</v>
      </c>
      <c r="P292" s="125"/>
      <c r="Q292" s="34"/>
      <c r="R292" s="115"/>
      <c r="S292" s="34"/>
      <c r="T292" s="34"/>
      <c r="U292" s="34"/>
      <c r="V292" s="29"/>
    </row>
    <row r="293" spans="3:22">
      <c r="C293" s="125">
        <v>45588</v>
      </c>
      <c r="D293" s="34">
        <v>188.85</v>
      </c>
      <c r="E293" s="115">
        <v>189.16</v>
      </c>
      <c r="F293" s="34">
        <v>183.69</v>
      </c>
      <c r="G293" s="34">
        <v>184.71</v>
      </c>
      <c r="H293" s="34">
        <v>184.71</v>
      </c>
      <c r="I293" s="29">
        <v>31937100</v>
      </c>
      <c r="P293" s="125"/>
      <c r="Q293" s="34"/>
      <c r="R293" s="115"/>
      <c r="S293" s="34"/>
      <c r="T293" s="34"/>
      <c r="U293" s="34"/>
      <c r="V293" s="29"/>
    </row>
    <row r="294" spans="3:22">
      <c r="C294" s="125">
        <v>45587</v>
      </c>
      <c r="D294" s="34">
        <v>188.35</v>
      </c>
      <c r="E294" s="115">
        <v>191.52</v>
      </c>
      <c r="F294" s="34">
        <v>186.98</v>
      </c>
      <c r="G294" s="34">
        <v>189.7</v>
      </c>
      <c r="H294" s="34">
        <v>189.7</v>
      </c>
      <c r="I294" s="29">
        <v>29650600</v>
      </c>
      <c r="P294" s="125"/>
      <c r="Q294" s="34"/>
      <c r="R294" s="115"/>
      <c r="S294" s="34"/>
      <c r="T294" s="34"/>
      <c r="U294" s="34"/>
      <c r="V294" s="29"/>
    </row>
    <row r="295" spans="3:22">
      <c r="C295" s="125">
        <v>45586</v>
      </c>
      <c r="D295" s="34">
        <v>188.05</v>
      </c>
      <c r="E295" s="115">
        <v>189.46</v>
      </c>
      <c r="F295" s="34">
        <v>186.4</v>
      </c>
      <c r="G295" s="34">
        <v>189.07</v>
      </c>
      <c r="H295" s="34">
        <v>189.07</v>
      </c>
      <c r="I295" s="29">
        <v>24639400</v>
      </c>
      <c r="P295" s="125"/>
      <c r="Q295" s="34"/>
      <c r="R295" s="115"/>
      <c r="S295" s="34"/>
      <c r="T295" s="34"/>
      <c r="U295" s="34"/>
      <c r="V295" s="29"/>
    </row>
    <row r="296" spans="3:22">
      <c r="C296" s="125">
        <v>45583</v>
      </c>
      <c r="D296" s="34">
        <v>187.15</v>
      </c>
      <c r="E296" s="115">
        <v>190.74</v>
      </c>
      <c r="F296" s="34">
        <v>186.28</v>
      </c>
      <c r="G296" s="34">
        <v>188.99</v>
      </c>
      <c r="H296" s="34">
        <v>188.99</v>
      </c>
      <c r="I296" s="29">
        <v>37417700</v>
      </c>
      <c r="P296" s="125"/>
      <c r="Q296" s="34"/>
      <c r="R296" s="115"/>
      <c r="S296" s="34"/>
      <c r="T296" s="34"/>
      <c r="U296" s="34"/>
      <c r="V296" s="29"/>
    </row>
    <row r="297" spans="3:22">
      <c r="C297" s="125">
        <v>45582</v>
      </c>
      <c r="D297" s="34">
        <v>188.22</v>
      </c>
      <c r="E297" s="115">
        <v>188.94</v>
      </c>
      <c r="F297" s="34">
        <v>186</v>
      </c>
      <c r="G297" s="34">
        <v>187.53</v>
      </c>
      <c r="H297" s="34">
        <v>187.53</v>
      </c>
      <c r="I297" s="29">
        <v>25039400</v>
      </c>
      <c r="P297" s="125"/>
      <c r="Q297" s="34"/>
      <c r="R297" s="115"/>
      <c r="S297" s="34"/>
      <c r="T297" s="34"/>
      <c r="U297" s="34"/>
      <c r="V297" s="29"/>
    </row>
    <row r="298" spans="3:22">
      <c r="C298" s="125">
        <v>45581</v>
      </c>
      <c r="D298" s="34">
        <v>187.05</v>
      </c>
      <c r="E298" s="115">
        <v>187.78</v>
      </c>
      <c r="F298" s="34">
        <v>185.61</v>
      </c>
      <c r="G298" s="34">
        <v>186.89</v>
      </c>
      <c r="H298" s="34">
        <v>186.89</v>
      </c>
      <c r="I298" s="29">
        <v>23456800</v>
      </c>
      <c r="P298" s="125"/>
      <c r="Q298" s="34"/>
      <c r="R298" s="115"/>
      <c r="S298" s="34"/>
      <c r="T298" s="34"/>
      <c r="U298" s="34"/>
      <c r="V298" s="29"/>
    </row>
    <row r="299" spans="3:22">
      <c r="C299" s="125">
        <v>45580</v>
      </c>
      <c r="D299" s="34">
        <v>187.63</v>
      </c>
      <c r="E299" s="115">
        <v>188.41</v>
      </c>
      <c r="F299" s="34">
        <v>184.58</v>
      </c>
      <c r="G299" s="34">
        <v>187.69</v>
      </c>
      <c r="H299" s="34">
        <v>187.69</v>
      </c>
      <c r="I299" s="29">
        <v>32178900</v>
      </c>
      <c r="P299" s="125"/>
      <c r="Q299" s="34"/>
      <c r="R299" s="115"/>
      <c r="S299" s="34"/>
      <c r="T299" s="34"/>
      <c r="U299" s="34"/>
      <c r="V299" s="29"/>
    </row>
    <row r="300" spans="3:22">
      <c r="C300" s="125">
        <v>45579</v>
      </c>
      <c r="D300" s="34">
        <v>189.78</v>
      </c>
      <c r="E300" s="115">
        <v>189.83</v>
      </c>
      <c r="F300" s="34">
        <v>187.36</v>
      </c>
      <c r="G300" s="34">
        <v>187.54</v>
      </c>
      <c r="H300" s="34">
        <v>187.54</v>
      </c>
      <c r="I300" s="29">
        <v>22614400</v>
      </c>
      <c r="P300" s="125"/>
      <c r="Q300" s="34"/>
      <c r="R300" s="115"/>
      <c r="S300" s="34"/>
      <c r="T300" s="34"/>
      <c r="U300" s="34"/>
      <c r="V300" s="29"/>
    </row>
    <row r="301" spans="3:22">
      <c r="C301" s="125">
        <v>45576</v>
      </c>
      <c r="D301" s="34">
        <v>186.63</v>
      </c>
      <c r="E301" s="115">
        <v>189.93</v>
      </c>
      <c r="F301" s="34">
        <v>186.3</v>
      </c>
      <c r="G301" s="34">
        <v>188.82</v>
      </c>
      <c r="H301" s="34">
        <v>188.82</v>
      </c>
      <c r="I301" s="29">
        <v>25751600</v>
      </c>
      <c r="P301" s="125"/>
      <c r="Q301" s="34"/>
      <c r="R301" s="115"/>
      <c r="S301" s="34"/>
      <c r="T301" s="34"/>
      <c r="U301" s="34"/>
      <c r="V301" s="29"/>
    </row>
    <row r="302" spans="3:22">
      <c r="C302" s="125">
        <v>45575</v>
      </c>
      <c r="D302" s="34">
        <v>187.13</v>
      </c>
      <c r="E302" s="115">
        <v>188.13</v>
      </c>
      <c r="F302" s="34">
        <v>185.83</v>
      </c>
      <c r="G302" s="34">
        <v>186.65</v>
      </c>
      <c r="H302" s="34">
        <v>186.65</v>
      </c>
      <c r="I302" s="29">
        <v>27785000</v>
      </c>
      <c r="P302" s="125"/>
      <c r="Q302" s="34"/>
      <c r="R302" s="115"/>
      <c r="S302" s="34"/>
      <c r="T302" s="34"/>
      <c r="U302" s="34"/>
      <c r="V302" s="29"/>
    </row>
    <row r="303" spans="3:22">
      <c r="C303" s="125">
        <v>45574</v>
      </c>
      <c r="D303" s="34">
        <v>182.82</v>
      </c>
      <c r="E303" s="115">
        <v>185.85</v>
      </c>
      <c r="F303" s="34">
        <v>182.05</v>
      </c>
      <c r="G303" s="34">
        <v>185.17</v>
      </c>
      <c r="H303" s="34">
        <v>185.17</v>
      </c>
      <c r="I303" s="29">
        <v>26343100</v>
      </c>
      <c r="P303" s="125"/>
      <c r="Q303" s="34"/>
      <c r="R303" s="115"/>
      <c r="S303" s="34"/>
      <c r="T303" s="34"/>
      <c r="U303" s="34"/>
      <c r="V303" s="29"/>
    </row>
    <row r="304" spans="3:22">
      <c r="C304" s="125">
        <v>45573</v>
      </c>
      <c r="D304" s="34">
        <v>181.92</v>
      </c>
      <c r="E304" s="115">
        <v>183.09</v>
      </c>
      <c r="F304" s="34">
        <v>180.92</v>
      </c>
      <c r="G304" s="34">
        <v>182.72</v>
      </c>
      <c r="H304" s="34">
        <v>182.72</v>
      </c>
      <c r="I304" s="29">
        <v>26372100</v>
      </c>
      <c r="P304" s="125"/>
      <c r="Q304" s="34"/>
      <c r="R304" s="115"/>
      <c r="S304" s="34"/>
      <c r="T304" s="34"/>
      <c r="U304" s="34"/>
      <c r="V304" s="29"/>
    </row>
    <row r="305" spans="3:22">
      <c r="C305" s="125">
        <v>45572</v>
      </c>
      <c r="D305" s="34">
        <v>182.95</v>
      </c>
      <c r="E305" s="115">
        <v>183.6</v>
      </c>
      <c r="F305" s="34">
        <v>180.25</v>
      </c>
      <c r="G305" s="34">
        <v>180.8</v>
      </c>
      <c r="H305" s="34">
        <v>180.8</v>
      </c>
      <c r="I305" s="29">
        <v>42364200</v>
      </c>
      <c r="P305" s="125"/>
      <c r="Q305" s="34"/>
      <c r="R305" s="115"/>
      <c r="S305" s="34"/>
      <c r="T305" s="34"/>
      <c r="U305" s="34"/>
      <c r="V305" s="29"/>
    </row>
    <row r="306" spans="3:22">
      <c r="C306" s="125">
        <v>45569</v>
      </c>
      <c r="D306" s="34">
        <v>185.75</v>
      </c>
      <c r="E306" s="115">
        <v>187.6</v>
      </c>
      <c r="F306" s="34">
        <v>183.6</v>
      </c>
      <c r="G306" s="34">
        <v>186.51</v>
      </c>
      <c r="H306" s="34">
        <v>186.51</v>
      </c>
      <c r="I306" s="29">
        <v>40890300</v>
      </c>
      <c r="P306" s="125"/>
      <c r="Q306" s="34"/>
      <c r="R306" s="115"/>
      <c r="S306" s="34"/>
      <c r="T306" s="34"/>
      <c r="U306" s="34"/>
      <c r="V306" s="29"/>
    </row>
    <row r="307" spans="3:22">
      <c r="C307" s="125">
        <v>45568</v>
      </c>
      <c r="D307" s="34">
        <v>183.05</v>
      </c>
      <c r="E307" s="115">
        <v>183.44</v>
      </c>
      <c r="F307" s="34">
        <v>180.88</v>
      </c>
      <c r="G307" s="34">
        <v>181.96</v>
      </c>
      <c r="H307" s="34">
        <v>181.96</v>
      </c>
      <c r="I307" s="29">
        <v>30204300</v>
      </c>
      <c r="P307" s="125"/>
      <c r="Q307" s="34"/>
      <c r="R307" s="115"/>
      <c r="S307" s="34"/>
      <c r="T307" s="34"/>
      <c r="U307" s="34"/>
      <c r="V307" s="29"/>
    </row>
    <row r="308" spans="3:22">
      <c r="C308" s="125">
        <v>45567</v>
      </c>
      <c r="D308" s="34">
        <v>184.44</v>
      </c>
      <c r="E308" s="115">
        <v>186.6</v>
      </c>
      <c r="F308" s="34">
        <v>184.04</v>
      </c>
      <c r="G308" s="34">
        <v>184.76</v>
      </c>
      <c r="H308" s="34">
        <v>184.76</v>
      </c>
      <c r="I308" s="29">
        <v>23704100</v>
      </c>
      <c r="P308" s="125"/>
      <c r="Q308" s="34"/>
      <c r="R308" s="115"/>
      <c r="S308" s="34"/>
      <c r="T308" s="34"/>
      <c r="U308" s="34"/>
      <c r="V308" s="29"/>
    </row>
    <row r="309" spans="3:22">
      <c r="C309" s="125">
        <v>45566</v>
      </c>
      <c r="D309" s="34">
        <v>184.9</v>
      </c>
      <c r="E309" s="115">
        <v>186.19</v>
      </c>
      <c r="F309" s="34">
        <v>183.45</v>
      </c>
      <c r="G309" s="34">
        <v>185.13</v>
      </c>
      <c r="H309" s="34">
        <v>185.13</v>
      </c>
      <c r="I309" s="29">
        <v>36044900</v>
      </c>
      <c r="P309" s="125"/>
      <c r="Q309" s="34"/>
      <c r="R309" s="115"/>
      <c r="S309" s="34"/>
      <c r="T309" s="34"/>
      <c r="U309" s="34"/>
      <c r="V309" s="29"/>
    </row>
    <row r="310" spans="3:22">
      <c r="C310" s="125">
        <v>45565</v>
      </c>
      <c r="D310" s="34">
        <v>187.14</v>
      </c>
      <c r="E310" s="115">
        <v>188.49</v>
      </c>
      <c r="F310" s="34">
        <v>184.65</v>
      </c>
      <c r="G310" s="34">
        <v>186.33</v>
      </c>
      <c r="H310" s="34">
        <v>186.33</v>
      </c>
      <c r="I310" s="29">
        <v>41583900</v>
      </c>
      <c r="P310" s="125"/>
      <c r="Q310" s="34"/>
      <c r="R310" s="115"/>
      <c r="S310" s="34"/>
      <c r="T310" s="34"/>
      <c r="U310" s="34"/>
      <c r="V310" s="29"/>
    </row>
    <row r="311" spans="3:22">
      <c r="C311" s="125">
        <v>45562</v>
      </c>
      <c r="D311" s="34">
        <v>190.68</v>
      </c>
      <c r="E311" s="115">
        <v>190.9</v>
      </c>
      <c r="F311" s="34">
        <v>187.34</v>
      </c>
      <c r="G311" s="34">
        <v>187.97</v>
      </c>
      <c r="H311" s="34">
        <v>187.97</v>
      </c>
      <c r="I311" s="29">
        <v>36002300</v>
      </c>
      <c r="P311" s="125"/>
      <c r="Q311" s="34"/>
      <c r="R311" s="115"/>
      <c r="S311" s="34"/>
      <c r="T311" s="34"/>
      <c r="U311" s="34"/>
      <c r="V311" s="29"/>
    </row>
    <row r="312" spans="3:22">
      <c r="C312" s="125">
        <v>45561</v>
      </c>
      <c r="D312" s="34">
        <v>194.31</v>
      </c>
      <c r="E312" s="115">
        <v>194.53</v>
      </c>
      <c r="F312" s="34">
        <v>189.54</v>
      </c>
      <c r="G312" s="34">
        <v>191.16</v>
      </c>
      <c r="H312" s="34">
        <v>191.16</v>
      </c>
      <c r="I312" s="29">
        <v>36334900</v>
      </c>
      <c r="P312" s="125"/>
      <c r="Q312" s="34"/>
      <c r="R312" s="115"/>
      <c r="S312" s="34"/>
      <c r="T312" s="34"/>
      <c r="U312" s="34"/>
      <c r="V312" s="29"/>
    </row>
    <row r="313" spans="3:22">
      <c r="C313" s="125">
        <v>45560</v>
      </c>
      <c r="D313" s="34">
        <v>193.75</v>
      </c>
      <c r="E313" s="115">
        <v>193.95</v>
      </c>
      <c r="F313" s="34">
        <v>192.16</v>
      </c>
      <c r="G313" s="34">
        <v>192.53</v>
      </c>
      <c r="H313" s="34">
        <v>192.53</v>
      </c>
      <c r="I313" s="29">
        <v>26391100</v>
      </c>
      <c r="P313" s="125"/>
      <c r="Q313" s="34"/>
      <c r="R313" s="115"/>
      <c r="S313" s="34"/>
      <c r="T313" s="34"/>
      <c r="U313" s="34"/>
      <c r="V313" s="29"/>
    </row>
    <row r="314" spans="3:22">
      <c r="C314" s="125">
        <v>45559</v>
      </c>
      <c r="D314" s="34">
        <v>194.27</v>
      </c>
      <c r="E314" s="115">
        <v>195.37</v>
      </c>
      <c r="F314" s="34">
        <v>190.13</v>
      </c>
      <c r="G314" s="34">
        <v>193.96</v>
      </c>
      <c r="H314" s="34">
        <v>193.96</v>
      </c>
      <c r="I314" s="29">
        <v>43478900</v>
      </c>
      <c r="P314" s="125"/>
      <c r="Q314" s="34"/>
      <c r="R314" s="115"/>
      <c r="S314" s="34"/>
      <c r="T314" s="34"/>
      <c r="U314" s="34"/>
      <c r="V314" s="29"/>
    </row>
    <row r="315" spans="3:22">
      <c r="C315" s="125">
        <v>45558</v>
      </c>
      <c r="D315" s="34">
        <v>191.64</v>
      </c>
      <c r="E315" s="115">
        <v>194.45</v>
      </c>
      <c r="F315" s="34">
        <v>190.57</v>
      </c>
      <c r="G315" s="34">
        <v>193.88</v>
      </c>
      <c r="H315" s="34">
        <v>193.88</v>
      </c>
      <c r="I315" s="29">
        <v>36993100</v>
      </c>
      <c r="P315" s="125"/>
      <c r="Q315" s="34"/>
      <c r="R315" s="115"/>
      <c r="S315" s="34"/>
      <c r="T315" s="34"/>
      <c r="U315" s="34"/>
      <c r="V315" s="29"/>
    </row>
    <row r="316" spans="3:22">
      <c r="C316" s="125">
        <v>45555</v>
      </c>
      <c r="D316" s="34">
        <v>190.23</v>
      </c>
      <c r="E316" s="115">
        <v>191.84</v>
      </c>
      <c r="F316" s="34">
        <v>187.41</v>
      </c>
      <c r="G316" s="34">
        <v>191.6</v>
      </c>
      <c r="H316" s="34">
        <v>191.6</v>
      </c>
      <c r="I316" s="29">
        <v>100378600</v>
      </c>
      <c r="P316" s="125"/>
      <c r="Q316" s="34"/>
      <c r="R316" s="115"/>
      <c r="S316" s="34"/>
      <c r="T316" s="34"/>
      <c r="U316" s="34"/>
      <c r="V316" s="29"/>
    </row>
    <row r="317" spans="3:22">
      <c r="C317" s="125">
        <v>45554</v>
      </c>
      <c r="D317" s="34">
        <v>190.04</v>
      </c>
      <c r="E317" s="115">
        <v>190.99</v>
      </c>
      <c r="F317" s="34">
        <v>188.47</v>
      </c>
      <c r="G317" s="34">
        <v>189.87</v>
      </c>
      <c r="H317" s="34">
        <v>189.87</v>
      </c>
      <c r="I317" s="29">
        <v>39543200</v>
      </c>
      <c r="P317" s="125"/>
      <c r="Q317" s="34"/>
      <c r="R317" s="115"/>
      <c r="S317" s="34"/>
      <c r="T317" s="34"/>
      <c r="U317" s="34"/>
      <c r="V317" s="29"/>
    </row>
    <row r="318" spans="3:22">
      <c r="C318" s="125">
        <v>45553</v>
      </c>
      <c r="D318" s="34">
        <v>186.45</v>
      </c>
      <c r="E318" s="115">
        <v>188.8</v>
      </c>
      <c r="F318" s="34">
        <v>185.06</v>
      </c>
      <c r="G318" s="34">
        <v>186.43</v>
      </c>
      <c r="H318" s="34">
        <v>186.43</v>
      </c>
      <c r="I318" s="29">
        <v>34448100</v>
      </c>
      <c r="P318" s="125"/>
      <c r="Q318" s="34"/>
      <c r="R318" s="115"/>
      <c r="S318" s="34"/>
      <c r="T318" s="34"/>
      <c r="U318" s="34"/>
      <c r="V318" s="29"/>
    </row>
    <row r="319" spans="3:22">
      <c r="C319" s="125">
        <v>45552</v>
      </c>
      <c r="D319" s="34">
        <v>186.85</v>
      </c>
      <c r="E319" s="115">
        <v>189.45</v>
      </c>
      <c r="F319" s="34">
        <v>186.14</v>
      </c>
      <c r="G319" s="34">
        <v>186.88</v>
      </c>
      <c r="H319" s="34">
        <v>186.88</v>
      </c>
      <c r="I319" s="29">
        <v>26091700</v>
      </c>
      <c r="P319" s="125"/>
      <c r="Q319" s="34"/>
      <c r="R319" s="115"/>
      <c r="S319" s="34"/>
      <c r="T319" s="34"/>
      <c r="U319" s="34"/>
      <c r="V319" s="29"/>
    </row>
    <row r="320" spans="3:22">
      <c r="C320" s="125">
        <v>45551</v>
      </c>
      <c r="D320" s="34">
        <v>185.29</v>
      </c>
      <c r="E320" s="115">
        <v>185.81</v>
      </c>
      <c r="F320" s="34">
        <v>183.36</v>
      </c>
      <c r="G320" s="34">
        <v>184.89</v>
      </c>
      <c r="H320" s="34">
        <v>184.89</v>
      </c>
      <c r="I320" s="29">
        <v>26065500</v>
      </c>
      <c r="P320" s="125"/>
      <c r="Q320" s="34"/>
      <c r="R320" s="115"/>
      <c r="S320" s="34"/>
      <c r="T320" s="34"/>
      <c r="U320" s="34"/>
      <c r="V320" s="29"/>
    </row>
    <row r="321" spans="3:22">
      <c r="C321" s="125">
        <v>45548</v>
      </c>
      <c r="D321" s="34">
        <v>187</v>
      </c>
      <c r="E321" s="115">
        <v>188.5</v>
      </c>
      <c r="F321" s="34">
        <v>185.91</v>
      </c>
      <c r="G321" s="34">
        <v>186.49</v>
      </c>
      <c r="H321" s="34">
        <v>186.49</v>
      </c>
      <c r="I321" s="29">
        <v>26495400</v>
      </c>
      <c r="P321" s="125"/>
      <c r="Q321" s="34"/>
      <c r="R321" s="115"/>
      <c r="S321" s="34"/>
      <c r="T321" s="34"/>
      <c r="U321" s="34"/>
      <c r="V321" s="29"/>
    </row>
    <row r="322" spans="3:22">
      <c r="C322" s="125">
        <v>45547</v>
      </c>
      <c r="D322" s="34">
        <v>184.8</v>
      </c>
      <c r="E322" s="115">
        <v>187.41</v>
      </c>
      <c r="F322" s="34">
        <v>183.54</v>
      </c>
      <c r="G322" s="34">
        <v>187</v>
      </c>
      <c r="H322" s="34">
        <v>187</v>
      </c>
      <c r="I322" s="29">
        <v>33544200</v>
      </c>
      <c r="P322" s="125"/>
      <c r="Q322" s="34"/>
      <c r="R322" s="115"/>
      <c r="S322" s="34"/>
      <c r="T322" s="34"/>
      <c r="U322" s="34"/>
      <c r="V322" s="29"/>
    </row>
    <row r="323" spans="3:22">
      <c r="C323" s="125">
        <v>45546</v>
      </c>
      <c r="D323" s="34">
        <v>180.1</v>
      </c>
      <c r="E323" s="115">
        <v>184.99</v>
      </c>
      <c r="F323" s="34">
        <v>175.73</v>
      </c>
      <c r="G323" s="34">
        <v>184.52</v>
      </c>
      <c r="H323" s="34">
        <v>184.52</v>
      </c>
      <c r="I323" s="29">
        <v>42564700</v>
      </c>
      <c r="P323" s="125"/>
      <c r="Q323" s="34"/>
      <c r="R323" s="115"/>
      <c r="S323" s="34"/>
      <c r="T323" s="34"/>
      <c r="U323" s="34"/>
      <c r="V323" s="29"/>
    </row>
    <row r="324" spans="3:22">
      <c r="C324" s="125">
        <v>45545</v>
      </c>
      <c r="D324" s="34">
        <v>177.49</v>
      </c>
      <c r="E324" s="115">
        <v>180.5</v>
      </c>
      <c r="F324" s="34">
        <v>176.79</v>
      </c>
      <c r="G324" s="34">
        <v>179.55</v>
      </c>
      <c r="H324" s="34">
        <v>179.55</v>
      </c>
      <c r="I324" s="29">
        <v>36233800</v>
      </c>
      <c r="P324" s="125"/>
      <c r="Q324" s="34"/>
      <c r="R324" s="115"/>
      <c r="S324" s="34"/>
      <c r="T324" s="34"/>
      <c r="U324" s="34"/>
      <c r="V324" s="29"/>
    </row>
    <row r="325" spans="3:22">
      <c r="C325" s="125">
        <v>45544</v>
      </c>
      <c r="D325" s="34">
        <v>174.53</v>
      </c>
      <c r="E325" s="115">
        <v>175.85</v>
      </c>
      <c r="F325" s="34">
        <v>173.51</v>
      </c>
      <c r="G325" s="34">
        <v>175.4</v>
      </c>
      <c r="H325" s="34">
        <v>175.4</v>
      </c>
      <c r="I325" s="29">
        <v>29037400</v>
      </c>
      <c r="P325" s="125"/>
      <c r="Q325" s="34"/>
      <c r="R325" s="115"/>
      <c r="S325" s="34"/>
      <c r="T325" s="34"/>
      <c r="U325" s="34"/>
      <c r="V325" s="29"/>
    </row>
    <row r="326" spans="3:22">
      <c r="C326" s="125">
        <v>45541</v>
      </c>
      <c r="D326" s="34">
        <v>177.24</v>
      </c>
      <c r="E326" s="115">
        <v>178.38</v>
      </c>
      <c r="F326" s="34">
        <v>171.16</v>
      </c>
      <c r="G326" s="34">
        <v>171.39</v>
      </c>
      <c r="H326" s="34">
        <v>171.39</v>
      </c>
      <c r="I326" s="29">
        <v>41466500</v>
      </c>
      <c r="P326" s="125"/>
      <c r="Q326" s="34"/>
      <c r="R326" s="115"/>
      <c r="S326" s="34"/>
      <c r="T326" s="34"/>
      <c r="U326" s="34"/>
      <c r="V326" s="29"/>
    </row>
    <row r="327" spans="3:22">
      <c r="C327" s="125">
        <v>45540</v>
      </c>
      <c r="D327" s="34">
        <v>175</v>
      </c>
      <c r="E327" s="115">
        <v>179.88</v>
      </c>
      <c r="F327" s="34">
        <v>175</v>
      </c>
      <c r="G327" s="34">
        <v>177.89</v>
      </c>
      <c r="H327" s="34">
        <v>177.89</v>
      </c>
      <c r="I327" s="29">
        <v>40170500</v>
      </c>
      <c r="P327" s="125"/>
      <c r="Q327" s="34"/>
      <c r="R327" s="115"/>
      <c r="S327" s="34"/>
      <c r="T327" s="34"/>
      <c r="U327" s="34"/>
      <c r="V327" s="29"/>
    </row>
    <row r="328" spans="3:22">
      <c r="C328" s="125">
        <v>45539</v>
      </c>
      <c r="D328" s="34">
        <v>174.48</v>
      </c>
      <c r="E328" s="115">
        <v>175.98</v>
      </c>
      <c r="F328" s="34">
        <v>172.54</v>
      </c>
      <c r="G328" s="34">
        <v>173.33</v>
      </c>
      <c r="H328" s="34">
        <v>173.33</v>
      </c>
      <c r="I328" s="29">
        <v>30309200</v>
      </c>
      <c r="P328" s="125"/>
      <c r="Q328" s="34"/>
      <c r="R328" s="115"/>
      <c r="S328" s="34"/>
      <c r="T328" s="34"/>
      <c r="U328" s="34"/>
      <c r="V328" s="29"/>
    </row>
    <row r="329" spans="3:22">
      <c r="C329" s="125">
        <v>45538</v>
      </c>
      <c r="D329" s="34">
        <v>177.55</v>
      </c>
      <c r="E329" s="115">
        <v>178.26</v>
      </c>
      <c r="F329" s="34">
        <v>175.26</v>
      </c>
      <c r="G329" s="34">
        <v>176.25</v>
      </c>
      <c r="H329" s="34">
        <v>176.25</v>
      </c>
      <c r="I329" s="29">
        <v>37817500</v>
      </c>
      <c r="P329" s="125"/>
      <c r="Q329" s="34"/>
      <c r="R329" s="115"/>
      <c r="S329" s="34"/>
      <c r="T329" s="34"/>
      <c r="U329" s="34"/>
      <c r="V329" s="29"/>
    </row>
    <row r="330" spans="3:22">
      <c r="C330" s="125">
        <v>45534</v>
      </c>
      <c r="D330" s="34">
        <v>172.78</v>
      </c>
      <c r="E330" s="115">
        <v>178.9</v>
      </c>
      <c r="F330" s="34">
        <v>172.6</v>
      </c>
      <c r="G330" s="34">
        <v>178.5</v>
      </c>
      <c r="H330" s="34">
        <v>178.5</v>
      </c>
      <c r="I330" s="29">
        <v>43429400</v>
      </c>
      <c r="P330" s="125"/>
      <c r="Q330" s="34"/>
      <c r="R330" s="115"/>
      <c r="S330" s="34"/>
      <c r="T330" s="34"/>
      <c r="U330" s="34"/>
      <c r="V330" s="29"/>
    </row>
    <row r="331" spans="3:22">
      <c r="C331" s="125">
        <v>45533</v>
      </c>
      <c r="D331" s="34">
        <v>173.22</v>
      </c>
      <c r="E331" s="115">
        <v>174.29</v>
      </c>
      <c r="F331" s="34">
        <v>170.81</v>
      </c>
      <c r="G331" s="34">
        <v>172.12</v>
      </c>
      <c r="H331" s="34">
        <v>172.12</v>
      </c>
      <c r="I331" s="29">
        <v>26407800</v>
      </c>
      <c r="P331" s="125"/>
      <c r="Q331" s="34"/>
      <c r="R331" s="115"/>
      <c r="S331" s="34"/>
      <c r="T331" s="34"/>
      <c r="U331" s="34"/>
      <c r="V331" s="29"/>
    </row>
    <row r="332" spans="3:22">
      <c r="C332" s="125">
        <v>45532</v>
      </c>
      <c r="D332" s="34">
        <v>173.69</v>
      </c>
      <c r="E332" s="115">
        <v>173.69</v>
      </c>
      <c r="F332" s="34">
        <v>168.92</v>
      </c>
      <c r="G332" s="34">
        <v>170.8</v>
      </c>
      <c r="H332" s="34">
        <v>170.8</v>
      </c>
      <c r="I332" s="29">
        <v>29045000</v>
      </c>
      <c r="P332" s="125"/>
      <c r="Q332" s="34"/>
      <c r="R332" s="115"/>
      <c r="S332" s="34"/>
      <c r="T332" s="34"/>
      <c r="U332" s="34"/>
      <c r="V332" s="29"/>
    </row>
    <row r="333" spans="3:22">
      <c r="C333" s="125">
        <v>45531</v>
      </c>
      <c r="D333" s="34">
        <v>174.15</v>
      </c>
      <c r="E333" s="115">
        <v>174.89</v>
      </c>
      <c r="F333" s="34">
        <v>172.25</v>
      </c>
      <c r="G333" s="34">
        <v>173.12</v>
      </c>
      <c r="H333" s="34">
        <v>173.12</v>
      </c>
      <c r="I333" s="29">
        <v>29842000</v>
      </c>
      <c r="P333" s="125"/>
      <c r="Q333" s="34"/>
      <c r="R333" s="115"/>
      <c r="S333" s="34"/>
      <c r="T333" s="34"/>
      <c r="U333" s="34"/>
      <c r="V333" s="29"/>
    </row>
    <row r="334" spans="3:22">
      <c r="C334" s="125">
        <v>45530</v>
      </c>
      <c r="D334" s="34">
        <v>176.7</v>
      </c>
      <c r="E334" s="115">
        <v>177.47</v>
      </c>
      <c r="F334" s="34">
        <v>174.3</v>
      </c>
      <c r="G334" s="34">
        <v>175.5</v>
      </c>
      <c r="H334" s="34">
        <v>175.5</v>
      </c>
      <c r="I334" s="29">
        <v>22366200</v>
      </c>
      <c r="P334" s="125"/>
      <c r="Q334" s="34"/>
      <c r="R334" s="115"/>
      <c r="S334" s="34"/>
      <c r="T334" s="34"/>
      <c r="U334" s="34"/>
      <c r="V334" s="29"/>
    </row>
    <row r="335" spans="3:22">
      <c r="C335" s="125">
        <v>45527</v>
      </c>
      <c r="D335" s="34">
        <v>177.34</v>
      </c>
      <c r="E335" s="115">
        <v>178.97</v>
      </c>
      <c r="F335" s="34">
        <v>175.24</v>
      </c>
      <c r="G335" s="34">
        <v>177.04</v>
      </c>
      <c r="H335" s="34">
        <v>177.04</v>
      </c>
      <c r="I335" s="29">
        <v>29150100</v>
      </c>
      <c r="P335" s="125"/>
      <c r="Q335" s="34"/>
      <c r="R335" s="115"/>
      <c r="S335" s="34"/>
      <c r="T335" s="34"/>
      <c r="U335" s="34"/>
      <c r="V335" s="29"/>
    </row>
    <row r="336" spans="3:22">
      <c r="C336" s="125">
        <v>45526</v>
      </c>
      <c r="D336" s="34">
        <v>181.38</v>
      </c>
      <c r="E336" s="115">
        <v>181.47</v>
      </c>
      <c r="F336" s="34">
        <v>175.68</v>
      </c>
      <c r="G336" s="34">
        <v>176.13</v>
      </c>
      <c r="H336" s="34">
        <v>176.13</v>
      </c>
      <c r="I336" s="29">
        <v>32047500</v>
      </c>
      <c r="P336" s="125"/>
      <c r="Q336" s="34"/>
      <c r="R336" s="115"/>
      <c r="S336" s="34"/>
      <c r="T336" s="34"/>
      <c r="U336" s="34"/>
      <c r="V336" s="29"/>
    </row>
    <row r="337" spans="3:22">
      <c r="C337" s="125">
        <v>45525</v>
      </c>
      <c r="D337" s="34">
        <v>179.92</v>
      </c>
      <c r="E337" s="115">
        <v>182.39</v>
      </c>
      <c r="F337" s="34">
        <v>178.89</v>
      </c>
      <c r="G337" s="34">
        <v>180.11</v>
      </c>
      <c r="H337" s="34">
        <v>180.11</v>
      </c>
      <c r="I337" s="29">
        <v>35599100</v>
      </c>
      <c r="P337" s="125"/>
      <c r="Q337" s="34"/>
      <c r="R337" s="115"/>
      <c r="S337" s="34"/>
      <c r="T337" s="34"/>
      <c r="U337" s="34"/>
      <c r="V337" s="29"/>
    </row>
    <row r="338" spans="3:22">
      <c r="C338" s="125">
        <v>45524</v>
      </c>
      <c r="D338" s="34">
        <v>177.92</v>
      </c>
      <c r="E338" s="115">
        <v>179.01</v>
      </c>
      <c r="F338" s="34">
        <v>177.43</v>
      </c>
      <c r="G338" s="34">
        <v>178.88</v>
      </c>
      <c r="H338" s="34">
        <v>178.88</v>
      </c>
      <c r="I338" s="29">
        <v>26255200</v>
      </c>
      <c r="P338" s="125"/>
      <c r="Q338" s="34"/>
      <c r="R338" s="115"/>
      <c r="S338" s="34"/>
      <c r="T338" s="34"/>
      <c r="U338" s="34"/>
      <c r="V338" s="29"/>
    </row>
    <row r="339" spans="3:22">
      <c r="C339" s="125">
        <v>45523</v>
      </c>
      <c r="D339" s="34">
        <v>177.64</v>
      </c>
      <c r="E339" s="115">
        <v>178.3</v>
      </c>
      <c r="F339" s="34">
        <v>176.16</v>
      </c>
      <c r="G339" s="34">
        <v>178.22</v>
      </c>
      <c r="H339" s="34">
        <v>178.22</v>
      </c>
      <c r="I339" s="29">
        <v>31129800</v>
      </c>
      <c r="P339" s="125"/>
      <c r="Q339" s="34"/>
      <c r="R339" s="115"/>
      <c r="S339" s="34"/>
      <c r="T339" s="34"/>
      <c r="U339" s="34"/>
      <c r="V339" s="29"/>
    </row>
    <row r="340" spans="3:22">
      <c r="C340" s="125">
        <v>45520</v>
      </c>
      <c r="D340" s="34">
        <v>177.04</v>
      </c>
      <c r="E340" s="115">
        <v>178.34</v>
      </c>
      <c r="F340" s="34">
        <v>176.26</v>
      </c>
      <c r="G340" s="34">
        <v>177.06</v>
      </c>
      <c r="H340" s="34">
        <v>177.06</v>
      </c>
      <c r="I340" s="29">
        <v>31489200</v>
      </c>
      <c r="P340" s="125"/>
      <c r="Q340" s="34"/>
      <c r="R340" s="115"/>
      <c r="S340" s="34"/>
      <c r="T340" s="34"/>
      <c r="U340" s="34"/>
      <c r="V340" s="29"/>
    </row>
    <row r="341" spans="3:22">
      <c r="C341" s="125">
        <v>45519</v>
      </c>
      <c r="D341" s="34">
        <v>174.86</v>
      </c>
      <c r="E341" s="115">
        <v>177.91</v>
      </c>
      <c r="F341" s="34">
        <v>173.99</v>
      </c>
      <c r="G341" s="34">
        <v>177.59</v>
      </c>
      <c r="H341" s="34">
        <v>177.59</v>
      </c>
      <c r="I341" s="29">
        <v>51698500</v>
      </c>
      <c r="P341" s="125"/>
      <c r="Q341" s="34"/>
      <c r="R341" s="115"/>
      <c r="S341" s="34"/>
      <c r="T341" s="34"/>
      <c r="U341" s="34"/>
      <c r="V341" s="29"/>
    </row>
    <row r="342" spans="3:22">
      <c r="C342" s="125">
        <v>45518</v>
      </c>
      <c r="D342" s="34">
        <v>172.11</v>
      </c>
      <c r="E342" s="115">
        <v>172.28</v>
      </c>
      <c r="F342" s="34">
        <v>168.86</v>
      </c>
      <c r="G342" s="34">
        <v>170.1</v>
      </c>
      <c r="H342" s="34">
        <v>170.1</v>
      </c>
      <c r="I342" s="29">
        <v>28843800</v>
      </c>
      <c r="P342" s="125"/>
      <c r="Q342" s="34"/>
      <c r="R342" s="115"/>
      <c r="S342" s="34"/>
      <c r="T342" s="34"/>
      <c r="U342" s="34"/>
      <c r="V342" s="29"/>
    </row>
    <row r="343" spans="3:22">
      <c r="C343" s="125">
        <v>45517</v>
      </c>
      <c r="D343" s="34">
        <v>167.81</v>
      </c>
      <c r="E343" s="115">
        <v>171.04</v>
      </c>
      <c r="F343" s="34">
        <v>167.1</v>
      </c>
      <c r="G343" s="34">
        <v>170.23</v>
      </c>
      <c r="H343" s="34">
        <v>170.23</v>
      </c>
      <c r="I343" s="29">
        <v>39237900</v>
      </c>
      <c r="P343" s="125"/>
      <c r="Q343" s="34"/>
      <c r="R343" s="115"/>
      <c r="S343" s="34"/>
      <c r="T343" s="34"/>
      <c r="U343" s="34"/>
      <c r="V343" s="29"/>
    </row>
    <row r="344" spans="3:22">
      <c r="C344" s="125">
        <v>45516</v>
      </c>
      <c r="D344" s="34">
        <v>168.14</v>
      </c>
      <c r="E344" s="115">
        <v>168.55</v>
      </c>
      <c r="F344" s="34">
        <v>166.11</v>
      </c>
      <c r="G344" s="34">
        <v>166.8</v>
      </c>
      <c r="H344" s="34">
        <v>166.8</v>
      </c>
      <c r="I344" s="29">
        <v>30072800</v>
      </c>
      <c r="P344" s="125"/>
      <c r="Q344" s="34"/>
      <c r="R344" s="115"/>
      <c r="S344" s="34"/>
      <c r="T344" s="34"/>
      <c r="U344" s="34"/>
      <c r="V344" s="29"/>
    </row>
    <row r="345" spans="3:22">
      <c r="C345" s="125">
        <v>45513</v>
      </c>
      <c r="D345" s="34">
        <v>166.4</v>
      </c>
      <c r="E345" s="115">
        <v>168.55</v>
      </c>
      <c r="F345" s="34">
        <v>165.85</v>
      </c>
      <c r="G345" s="34">
        <v>166.94</v>
      </c>
      <c r="H345" s="34">
        <v>166.94</v>
      </c>
      <c r="I345" s="29">
        <v>36401000</v>
      </c>
      <c r="P345" s="125"/>
      <c r="Q345" s="34"/>
      <c r="R345" s="115"/>
      <c r="S345" s="34"/>
      <c r="T345" s="34"/>
      <c r="U345" s="34"/>
      <c r="V345" s="29"/>
    </row>
    <row r="346" spans="3:22">
      <c r="C346" s="125">
        <v>45512</v>
      </c>
      <c r="D346" s="34">
        <v>165.17</v>
      </c>
      <c r="E346" s="115">
        <v>166.69</v>
      </c>
      <c r="F346" s="34">
        <v>162.55000000000001</v>
      </c>
      <c r="G346" s="34">
        <v>165.8</v>
      </c>
      <c r="H346" s="34">
        <v>165.8</v>
      </c>
      <c r="I346" s="29">
        <v>44616200</v>
      </c>
      <c r="P346" s="125"/>
      <c r="Q346" s="34"/>
      <c r="R346" s="115"/>
      <c r="S346" s="34"/>
      <c r="T346" s="34"/>
      <c r="U346" s="34"/>
      <c r="V346" s="29"/>
    </row>
    <row r="347" spans="3:22">
      <c r="C347" s="125">
        <v>45511</v>
      </c>
      <c r="D347" s="34">
        <v>166.55</v>
      </c>
      <c r="E347" s="115">
        <v>167.58</v>
      </c>
      <c r="F347" s="34">
        <v>161.43</v>
      </c>
      <c r="G347" s="34">
        <v>162.77000000000001</v>
      </c>
      <c r="H347" s="34">
        <v>162.77000000000001</v>
      </c>
      <c r="I347" s="29">
        <v>48408200</v>
      </c>
      <c r="P347" s="125"/>
      <c r="Q347" s="34"/>
      <c r="R347" s="115"/>
      <c r="S347" s="34"/>
      <c r="T347" s="34"/>
      <c r="U347" s="34"/>
      <c r="V347" s="29"/>
    </row>
    <row r="348" spans="3:22">
      <c r="C348" s="125">
        <v>45510</v>
      </c>
      <c r="D348" s="34">
        <v>161.71</v>
      </c>
      <c r="E348" s="115">
        <v>165.08</v>
      </c>
      <c r="F348" s="34">
        <v>158.54</v>
      </c>
      <c r="G348" s="34">
        <v>161.93</v>
      </c>
      <c r="H348" s="34">
        <v>161.93</v>
      </c>
      <c r="I348" s="29">
        <v>59950800</v>
      </c>
      <c r="P348" s="125"/>
      <c r="Q348" s="34"/>
      <c r="R348" s="115"/>
      <c r="S348" s="34"/>
      <c r="T348" s="34"/>
      <c r="U348" s="34"/>
      <c r="V348" s="29"/>
    </row>
    <row r="349" spans="3:22">
      <c r="C349" s="125">
        <v>45509</v>
      </c>
      <c r="D349" s="34">
        <v>154.21</v>
      </c>
      <c r="E349" s="115">
        <v>162.96</v>
      </c>
      <c r="F349" s="34">
        <v>151.61000000000001</v>
      </c>
      <c r="G349" s="34">
        <v>161.02000000000001</v>
      </c>
      <c r="H349" s="34">
        <v>161.02000000000001</v>
      </c>
      <c r="I349" s="29">
        <v>83149400</v>
      </c>
      <c r="P349" s="125"/>
      <c r="Q349" s="34"/>
      <c r="R349" s="115"/>
      <c r="S349" s="34"/>
      <c r="T349" s="34"/>
      <c r="U349" s="34"/>
      <c r="V349" s="29"/>
    </row>
    <row r="350" spans="3:22">
      <c r="C350" s="125">
        <v>45506</v>
      </c>
      <c r="D350" s="34">
        <v>166.75</v>
      </c>
      <c r="E350" s="115">
        <v>168.77</v>
      </c>
      <c r="F350" s="34">
        <v>160.55000000000001</v>
      </c>
      <c r="G350" s="34">
        <v>167.9</v>
      </c>
      <c r="H350" s="34">
        <v>167.9</v>
      </c>
      <c r="I350" s="29">
        <v>141448400</v>
      </c>
      <c r="P350" s="125"/>
      <c r="Q350" s="34"/>
      <c r="R350" s="115"/>
      <c r="S350" s="34"/>
      <c r="T350" s="34"/>
      <c r="U350" s="34"/>
      <c r="V350" s="29"/>
    </row>
    <row r="351" spans="3:22">
      <c r="C351" s="125">
        <v>45505</v>
      </c>
      <c r="D351" s="34">
        <v>189.29</v>
      </c>
      <c r="E351" s="115">
        <v>190.6</v>
      </c>
      <c r="F351" s="34">
        <v>181.87</v>
      </c>
      <c r="G351" s="34">
        <v>184.07</v>
      </c>
      <c r="H351" s="34">
        <v>184.07</v>
      </c>
      <c r="I351" s="29">
        <v>70435600</v>
      </c>
      <c r="P351" s="125"/>
      <c r="Q351" s="34"/>
      <c r="R351" s="115"/>
      <c r="S351" s="34"/>
      <c r="T351" s="34"/>
      <c r="U351" s="34"/>
      <c r="V351" s="29"/>
    </row>
    <row r="352" spans="3:22">
      <c r="C352" s="125">
        <v>45504</v>
      </c>
      <c r="D352" s="34">
        <v>185.05</v>
      </c>
      <c r="E352" s="115">
        <v>187.94</v>
      </c>
      <c r="F352" s="34">
        <v>184.46</v>
      </c>
      <c r="G352" s="34">
        <v>186.98</v>
      </c>
      <c r="H352" s="34">
        <v>186.98</v>
      </c>
      <c r="I352" s="29">
        <v>41667300</v>
      </c>
      <c r="P352" s="125"/>
      <c r="Q352" s="34"/>
      <c r="R352" s="115"/>
      <c r="S352" s="34"/>
      <c r="T352" s="34"/>
      <c r="U352" s="34"/>
      <c r="V352" s="29"/>
    </row>
    <row r="353" spans="3:22">
      <c r="C353" s="125">
        <v>45503</v>
      </c>
      <c r="D353" s="34">
        <v>184.72</v>
      </c>
      <c r="E353" s="115">
        <v>185.86</v>
      </c>
      <c r="F353" s="34">
        <v>179.38</v>
      </c>
      <c r="G353" s="34">
        <v>181.71</v>
      </c>
      <c r="H353" s="34">
        <v>181.71</v>
      </c>
      <c r="I353" s="29">
        <v>39508600</v>
      </c>
      <c r="P353" s="125"/>
      <c r="Q353" s="34"/>
      <c r="R353" s="115"/>
      <c r="S353" s="34"/>
      <c r="T353" s="34"/>
      <c r="U353" s="34"/>
      <c r="V353" s="29"/>
    </row>
    <row r="354" spans="3:22">
      <c r="C354" s="125">
        <v>45502</v>
      </c>
      <c r="D354" s="34">
        <v>183.84</v>
      </c>
      <c r="E354" s="115">
        <v>184.75</v>
      </c>
      <c r="F354" s="34">
        <v>182.38</v>
      </c>
      <c r="G354" s="34">
        <v>183.2</v>
      </c>
      <c r="H354" s="34">
        <v>183.2</v>
      </c>
      <c r="I354" s="29">
        <v>33270100</v>
      </c>
      <c r="P354" s="125"/>
      <c r="Q354" s="34"/>
      <c r="R354" s="115"/>
      <c r="S354" s="34"/>
      <c r="T354" s="34"/>
      <c r="U354" s="34"/>
      <c r="V354" s="29"/>
    </row>
    <row r="355" spans="3:22">
      <c r="C355" s="125">
        <v>45499</v>
      </c>
      <c r="D355" s="34">
        <v>180.39</v>
      </c>
      <c r="E355" s="115">
        <v>183.19</v>
      </c>
      <c r="F355" s="34">
        <v>180.24</v>
      </c>
      <c r="G355" s="34">
        <v>182.5</v>
      </c>
      <c r="H355" s="34">
        <v>182.5</v>
      </c>
      <c r="I355" s="29">
        <v>29506000</v>
      </c>
      <c r="P355" s="125"/>
      <c r="Q355" s="34"/>
      <c r="R355" s="115"/>
      <c r="S355" s="34"/>
      <c r="T355" s="34"/>
      <c r="U355" s="34"/>
      <c r="V355" s="29"/>
    </row>
    <row r="356" spans="3:22">
      <c r="C356" s="125">
        <v>45498</v>
      </c>
      <c r="D356" s="34">
        <v>182.91</v>
      </c>
      <c r="E356" s="115">
        <v>183.9</v>
      </c>
      <c r="F356" s="34">
        <v>176.8</v>
      </c>
      <c r="G356" s="34">
        <v>179.85</v>
      </c>
      <c r="H356" s="34">
        <v>179.85</v>
      </c>
      <c r="I356" s="29">
        <v>44464200</v>
      </c>
      <c r="P356" s="125"/>
      <c r="Q356" s="34"/>
      <c r="R356" s="115"/>
      <c r="S356" s="34"/>
      <c r="T356" s="34"/>
      <c r="U356" s="34"/>
      <c r="V356" s="29"/>
    </row>
    <row r="357" spans="3:22">
      <c r="C357" s="125">
        <v>45497</v>
      </c>
      <c r="D357" s="34">
        <v>183.2</v>
      </c>
      <c r="E357" s="115">
        <v>185.45</v>
      </c>
      <c r="F357" s="34">
        <v>180.41</v>
      </c>
      <c r="G357" s="34">
        <v>180.83</v>
      </c>
      <c r="H357" s="34">
        <v>180.83</v>
      </c>
      <c r="I357" s="29">
        <v>41532400</v>
      </c>
      <c r="P357" s="125"/>
      <c r="Q357" s="34"/>
      <c r="R357" s="115"/>
      <c r="S357" s="34"/>
      <c r="T357" s="34"/>
      <c r="U357" s="34"/>
      <c r="V357" s="29"/>
    </row>
    <row r="358" spans="3:22">
      <c r="C358" s="125">
        <v>45496</v>
      </c>
      <c r="D358" s="34">
        <v>184.1</v>
      </c>
      <c r="E358" s="115">
        <v>189.39</v>
      </c>
      <c r="F358" s="34">
        <v>183.56</v>
      </c>
      <c r="G358" s="34">
        <v>186.41</v>
      </c>
      <c r="H358" s="34">
        <v>186.41</v>
      </c>
      <c r="I358" s="29">
        <v>47537700</v>
      </c>
      <c r="P358" s="125"/>
      <c r="Q358" s="34"/>
      <c r="R358" s="115"/>
      <c r="S358" s="34"/>
      <c r="T358" s="34"/>
      <c r="U358" s="34"/>
      <c r="V358" s="29"/>
    </row>
    <row r="359" spans="3:22">
      <c r="C359" s="125">
        <v>45495</v>
      </c>
      <c r="D359" s="34">
        <v>185</v>
      </c>
      <c r="E359" s="115">
        <v>185.06</v>
      </c>
      <c r="F359" s="34">
        <v>182.48</v>
      </c>
      <c r="G359" s="34">
        <v>182.55</v>
      </c>
      <c r="H359" s="34">
        <v>182.55</v>
      </c>
      <c r="I359" s="29">
        <v>39931900</v>
      </c>
      <c r="P359" s="125"/>
      <c r="Q359" s="34"/>
      <c r="R359" s="115"/>
      <c r="S359" s="34"/>
      <c r="T359" s="34"/>
      <c r="U359" s="34"/>
      <c r="V359" s="29"/>
    </row>
    <row r="360" spans="3:22">
      <c r="C360" s="125">
        <v>45492</v>
      </c>
      <c r="D360" s="34">
        <v>181.14</v>
      </c>
      <c r="E360" s="115">
        <v>184.93</v>
      </c>
      <c r="F360" s="34">
        <v>180.11</v>
      </c>
      <c r="G360" s="34">
        <v>183.13</v>
      </c>
      <c r="H360" s="34">
        <v>183.13</v>
      </c>
      <c r="I360" s="29">
        <v>43081800</v>
      </c>
      <c r="P360" s="125"/>
      <c r="Q360" s="34"/>
      <c r="R360" s="115"/>
      <c r="S360" s="34"/>
      <c r="T360" s="34"/>
      <c r="U360" s="34"/>
      <c r="V360" s="29"/>
    </row>
    <row r="361" spans="3:22">
      <c r="C361" s="125">
        <v>45491</v>
      </c>
      <c r="D361" s="34">
        <v>189.59</v>
      </c>
      <c r="E361" s="115">
        <v>189.68</v>
      </c>
      <c r="F361" s="34">
        <v>181.45</v>
      </c>
      <c r="G361" s="34">
        <v>183.75</v>
      </c>
      <c r="H361" s="34">
        <v>183.75</v>
      </c>
      <c r="I361" s="29">
        <v>51043600</v>
      </c>
      <c r="P361" s="125"/>
      <c r="Q361" s="34"/>
      <c r="R361" s="115"/>
      <c r="S361" s="34"/>
      <c r="T361" s="34"/>
      <c r="U361" s="34"/>
      <c r="V361" s="29"/>
    </row>
    <row r="362" spans="3:22">
      <c r="C362" s="125">
        <v>45490</v>
      </c>
      <c r="D362" s="34">
        <v>191.35</v>
      </c>
      <c r="E362" s="115">
        <v>191.58</v>
      </c>
      <c r="F362" s="34">
        <v>185.99</v>
      </c>
      <c r="G362" s="34">
        <v>187.93</v>
      </c>
      <c r="H362" s="34">
        <v>187.93</v>
      </c>
      <c r="I362" s="29">
        <v>48076100</v>
      </c>
      <c r="P362" s="125"/>
      <c r="Q362" s="34"/>
      <c r="R362" s="115"/>
      <c r="S362" s="34"/>
      <c r="T362" s="34"/>
      <c r="U362" s="34"/>
      <c r="V362" s="29"/>
    </row>
    <row r="363" spans="3:22">
      <c r="C363" s="125">
        <v>45489</v>
      </c>
      <c r="D363" s="34">
        <v>195.59</v>
      </c>
      <c r="E363" s="115">
        <v>196.62</v>
      </c>
      <c r="F363" s="34">
        <v>192.24</v>
      </c>
      <c r="G363" s="34">
        <v>193.02</v>
      </c>
      <c r="H363" s="34">
        <v>193.02</v>
      </c>
      <c r="I363" s="29">
        <v>33994700</v>
      </c>
      <c r="P363" s="125"/>
      <c r="Q363" s="34"/>
      <c r="R363" s="115"/>
      <c r="S363" s="34"/>
      <c r="T363" s="34"/>
      <c r="U363" s="34"/>
      <c r="V363" s="29"/>
    </row>
    <row r="364" spans="3:22">
      <c r="C364" s="125">
        <v>45488</v>
      </c>
      <c r="D364" s="34">
        <v>194.56</v>
      </c>
      <c r="E364" s="115">
        <v>196.19</v>
      </c>
      <c r="F364" s="34">
        <v>190.83</v>
      </c>
      <c r="G364" s="34">
        <v>192.72</v>
      </c>
      <c r="H364" s="34">
        <v>192.72</v>
      </c>
      <c r="I364" s="29">
        <v>40683200</v>
      </c>
      <c r="P364" s="125"/>
      <c r="Q364" s="34"/>
      <c r="R364" s="115"/>
      <c r="S364" s="34"/>
      <c r="T364" s="34"/>
      <c r="U364" s="34"/>
      <c r="V364" s="29"/>
    </row>
    <row r="365" spans="3:22">
      <c r="C365" s="125">
        <v>45485</v>
      </c>
      <c r="D365" s="34">
        <v>194.8</v>
      </c>
      <c r="E365" s="115">
        <v>196.47</v>
      </c>
      <c r="F365" s="34">
        <v>193.83</v>
      </c>
      <c r="G365" s="34">
        <v>194.49</v>
      </c>
      <c r="H365" s="34">
        <v>194.49</v>
      </c>
      <c r="I365" s="29">
        <v>30598500</v>
      </c>
      <c r="P365" s="125"/>
      <c r="Q365" s="34"/>
      <c r="R365" s="115"/>
      <c r="S365" s="34"/>
      <c r="T365" s="34"/>
      <c r="U365" s="34"/>
      <c r="V365" s="29"/>
    </row>
    <row r="366" spans="3:22">
      <c r="C366" s="125">
        <v>45484</v>
      </c>
      <c r="D366" s="34">
        <v>200.09</v>
      </c>
      <c r="E366" s="115">
        <v>200.27</v>
      </c>
      <c r="F366" s="34">
        <v>192.86</v>
      </c>
      <c r="G366" s="34">
        <v>195.05</v>
      </c>
      <c r="H366" s="34">
        <v>195.05</v>
      </c>
      <c r="I366" s="29">
        <v>44565000</v>
      </c>
      <c r="P366" s="125"/>
      <c r="Q366" s="34"/>
      <c r="R366" s="115"/>
      <c r="S366" s="34"/>
      <c r="T366" s="34"/>
      <c r="U366" s="34"/>
      <c r="V366" s="29"/>
    </row>
    <row r="367" spans="3:22">
      <c r="C367" s="125">
        <v>45483</v>
      </c>
      <c r="D367" s="34">
        <v>200</v>
      </c>
      <c r="E367" s="115">
        <v>200.11</v>
      </c>
      <c r="F367" s="34">
        <v>197.69</v>
      </c>
      <c r="G367" s="34">
        <v>199.79</v>
      </c>
      <c r="H367" s="34">
        <v>199.79</v>
      </c>
      <c r="I367" s="29">
        <v>32883800</v>
      </c>
      <c r="P367" s="125"/>
      <c r="Q367" s="34"/>
      <c r="R367" s="115"/>
      <c r="S367" s="34"/>
      <c r="T367" s="34"/>
      <c r="U367" s="34"/>
      <c r="V367" s="29"/>
    </row>
    <row r="368" spans="3:22">
      <c r="C368" s="125">
        <v>45482</v>
      </c>
      <c r="D368" s="34">
        <v>199.4</v>
      </c>
      <c r="E368" s="115">
        <v>200.57</v>
      </c>
      <c r="F368" s="34">
        <v>199.05</v>
      </c>
      <c r="G368" s="34">
        <v>199.34</v>
      </c>
      <c r="H368" s="34">
        <v>199.34</v>
      </c>
      <c r="I368" s="29">
        <v>32700100</v>
      </c>
      <c r="P368" s="125"/>
      <c r="Q368" s="34"/>
      <c r="R368" s="115"/>
      <c r="S368" s="34"/>
      <c r="T368" s="34"/>
      <c r="U368" s="34"/>
      <c r="V368" s="29"/>
    </row>
    <row r="369" spans="3:22">
      <c r="C369" s="125">
        <v>45481</v>
      </c>
      <c r="D369" s="34">
        <v>200.04</v>
      </c>
      <c r="E369" s="115">
        <v>201.2</v>
      </c>
      <c r="F369" s="34">
        <v>197.96</v>
      </c>
      <c r="G369" s="34">
        <v>199.29</v>
      </c>
      <c r="H369" s="34">
        <v>199.29</v>
      </c>
      <c r="I369" s="29">
        <v>34767300</v>
      </c>
      <c r="P369" s="125"/>
      <c r="Q369" s="34"/>
      <c r="R369" s="115"/>
      <c r="S369" s="34"/>
      <c r="T369" s="34"/>
      <c r="U369" s="34"/>
      <c r="V369" s="29"/>
    </row>
    <row r="370" spans="3:22">
      <c r="C370" s="125">
        <v>45478</v>
      </c>
      <c r="D370" s="34">
        <v>198.65</v>
      </c>
      <c r="E370" s="115">
        <v>200.55</v>
      </c>
      <c r="F370" s="34">
        <v>198.17</v>
      </c>
      <c r="G370" s="34">
        <v>200</v>
      </c>
      <c r="H370" s="34">
        <v>200</v>
      </c>
      <c r="I370" s="29">
        <v>39858900</v>
      </c>
      <c r="P370" s="125"/>
      <c r="Q370" s="34"/>
      <c r="R370" s="115"/>
      <c r="S370" s="34"/>
      <c r="T370" s="34"/>
      <c r="U370" s="34"/>
      <c r="V370" s="29"/>
    </row>
    <row r="371" spans="3:22">
      <c r="C371" s="125">
        <v>45476</v>
      </c>
      <c r="D371" s="34">
        <v>199.94</v>
      </c>
      <c r="E371" s="115">
        <v>200.03</v>
      </c>
      <c r="F371" s="34">
        <v>196.76</v>
      </c>
      <c r="G371" s="34">
        <v>197.59</v>
      </c>
      <c r="H371" s="34">
        <v>197.59</v>
      </c>
      <c r="I371" s="29">
        <v>31597900</v>
      </c>
      <c r="P371" s="125"/>
      <c r="Q371" s="34"/>
      <c r="R371" s="115"/>
      <c r="S371" s="34"/>
      <c r="T371" s="34"/>
      <c r="U371" s="34"/>
      <c r="V371" s="29"/>
    </row>
    <row r="372" spans="3:22">
      <c r="C372" s="125">
        <v>45475</v>
      </c>
      <c r="D372" s="34">
        <v>197.28</v>
      </c>
      <c r="E372" s="115">
        <v>200.43</v>
      </c>
      <c r="F372" s="34">
        <v>195.93</v>
      </c>
      <c r="G372" s="34">
        <v>200</v>
      </c>
      <c r="H372" s="34">
        <v>200</v>
      </c>
      <c r="I372" s="29">
        <v>45600000</v>
      </c>
      <c r="P372" s="125"/>
      <c r="Q372" s="34"/>
      <c r="R372" s="115"/>
      <c r="S372" s="34"/>
      <c r="T372" s="34"/>
      <c r="U372" s="34"/>
      <c r="V372" s="29"/>
    </row>
    <row r="373" spans="3:22">
      <c r="C373" s="125">
        <v>45474</v>
      </c>
      <c r="D373" s="34">
        <v>193.49</v>
      </c>
      <c r="E373" s="115">
        <v>198.3</v>
      </c>
      <c r="F373" s="34">
        <v>192.82</v>
      </c>
      <c r="G373" s="34">
        <v>197.2</v>
      </c>
      <c r="H373" s="34">
        <v>197.2</v>
      </c>
      <c r="I373" s="29">
        <v>41192000</v>
      </c>
      <c r="P373" s="125"/>
      <c r="Q373" s="34"/>
      <c r="R373" s="115"/>
      <c r="S373" s="34"/>
      <c r="T373" s="34"/>
      <c r="U373" s="34"/>
      <c r="V373" s="29"/>
    </row>
    <row r="374" spans="3:22">
      <c r="C374" s="125">
        <v>45471</v>
      </c>
      <c r="D374" s="34">
        <v>197.73</v>
      </c>
      <c r="E374" s="115">
        <v>198.85</v>
      </c>
      <c r="F374" s="34">
        <v>192.5</v>
      </c>
      <c r="G374" s="34">
        <v>193.25</v>
      </c>
      <c r="H374" s="34">
        <v>193.25</v>
      </c>
      <c r="I374" s="29">
        <v>76930200</v>
      </c>
      <c r="P374" s="125"/>
      <c r="Q374" s="34"/>
      <c r="R374" s="115"/>
      <c r="S374" s="34"/>
      <c r="T374" s="34"/>
      <c r="U374" s="34"/>
      <c r="V374" s="29"/>
    </row>
    <row r="375" spans="3:22">
      <c r="C375" s="125">
        <v>45470</v>
      </c>
      <c r="D375" s="34">
        <v>195.01</v>
      </c>
      <c r="E375" s="115">
        <v>199.84</v>
      </c>
      <c r="F375" s="34">
        <v>194.2</v>
      </c>
      <c r="G375" s="34">
        <v>197.85</v>
      </c>
      <c r="H375" s="34">
        <v>197.85</v>
      </c>
      <c r="I375" s="29">
        <v>74397500</v>
      </c>
      <c r="P375" s="125"/>
      <c r="Q375" s="34"/>
      <c r="R375" s="115"/>
      <c r="S375" s="34"/>
      <c r="T375" s="34"/>
      <c r="U375" s="34"/>
      <c r="V375" s="29"/>
    </row>
    <row r="376" spans="3:22">
      <c r="C376" s="125">
        <v>45469</v>
      </c>
      <c r="D376" s="34">
        <v>186.92</v>
      </c>
      <c r="E376" s="115">
        <v>194.8</v>
      </c>
      <c r="F376" s="34">
        <v>186.26</v>
      </c>
      <c r="G376" s="34">
        <v>193.61</v>
      </c>
      <c r="H376" s="34">
        <v>193.61</v>
      </c>
      <c r="I376" s="29">
        <v>65103900</v>
      </c>
      <c r="P376" s="125"/>
      <c r="Q376" s="34"/>
      <c r="R376" s="115"/>
      <c r="S376" s="34"/>
      <c r="T376" s="34"/>
      <c r="U376" s="34"/>
      <c r="V376" s="29"/>
    </row>
    <row r="377" spans="3:22">
      <c r="C377" s="125">
        <v>45468</v>
      </c>
      <c r="D377" s="34">
        <v>186.81</v>
      </c>
      <c r="E377" s="115">
        <v>188.84</v>
      </c>
      <c r="F377" s="34">
        <v>185.42</v>
      </c>
      <c r="G377" s="34">
        <v>186.34</v>
      </c>
      <c r="H377" s="34">
        <v>186.34</v>
      </c>
      <c r="I377" s="29">
        <v>45366400</v>
      </c>
      <c r="P377" s="125"/>
      <c r="Q377" s="34"/>
      <c r="R377" s="115"/>
      <c r="S377" s="34"/>
      <c r="T377" s="34"/>
      <c r="U377" s="34"/>
      <c r="V377" s="29"/>
    </row>
    <row r="378" spans="3:22">
      <c r="C378" s="125">
        <v>45467</v>
      </c>
      <c r="D378" s="34">
        <v>189.33</v>
      </c>
      <c r="E378" s="115">
        <v>191</v>
      </c>
      <c r="F378" s="34">
        <v>185.33</v>
      </c>
      <c r="G378" s="34">
        <v>185.57</v>
      </c>
      <c r="H378" s="34">
        <v>185.57</v>
      </c>
      <c r="I378" s="29">
        <v>50610400</v>
      </c>
      <c r="P378" s="125"/>
      <c r="Q378" s="34"/>
      <c r="R378" s="115"/>
      <c r="S378" s="34"/>
      <c r="T378" s="34"/>
      <c r="U378" s="34"/>
      <c r="V378" s="29"/>
    </row>
    <row r="379" spans="3:22">
      <c r="C379" s="125">
        <v>45464</v>
      </c>
      <c r="D379" s="34">
        <v>187.8</v>
      </c>
      <c r="E379" s="115">
        <v>189.28</v>
      </c>
      <c r="F379" s="34">
        <v>185.86</v>
      </c>
      <c r="G379" s="34">
        <v>189.08</v>
      </c>
      <c r="H379" s="34">
        <v>189.08</v>
      </c>
      <c r="I379" s="29">
        <v>70792500</v>
      </c>
      <c r="P379" s="125"/>
      <c r="Q379" s="34"/>
      <c r="R379" s="115"/>
      <c r="S379" s="34"/>
      <c r="T379" s="34"/>
      <c r="U379" s="34"/>
      <c r="V379" s="29"/>
    </row>
    <row r="380" spans="3:22">
      <c r="C380" s="125">
        <v>45463</v>
      </c>
      <c r="D380" s="34">
        <v>182.91</v>
      </c>
      <c r="E380" s="115">
        <v>186.51</v>
      </c>
      <c r="F380" s="34">
        <v>182.72</v>
      </c>
      <c r="G380" s="34">
        <v>186.1</v>
      </c>
      <c r="H380" s="34">
        <v>186.1</v>
      </c>
      <c r="I380" s="29">
        <v>44726800</v>
      </c>
      <c r="P380" s="125"/>
      <c r="Q380" s="34"/>
      <c r="R380" s="115"/>
      <c r="S380" s="34"/>
      <c r="T380" s="34"/>
      <c r="U380" s="34"/>
      <c r="V380" s="29"/>
    </row>
    <row r="381" spans="3:22">
      <c r="C381" s="125">
        <v>45461</v>
      </c>
      <c r="D381" s="34">
        <v>183.74</v>
      </c>
      <c r="E381" s="115">
        <v>184.29</v>
      </c>
      <c r="F381" s="34">
        <v>181.43</v>
      </c>
      <c r="G381" s="34">
        <v>182.81</v>
      </c>
      <c r="H381" s="34">
        <v>182.81</v>
      </c>
      <c r="I381" s="29">
        <v>36659200</v>
      </c>
      <c r="P381" s="125"/>
      <c r="Q381" s="34"/>
      <c r="R381" s="115"/>
      <c r="S381" s="34"/>
      <c r="T381" s="34"/>
      <c r="U381" s="34"/>
      <c r="V381" s="29"/>
    </row>
    <row r="382" spans="3:22">
      <c r="C382" s="125">
        <v>45460</v>
      </c>
      <c r="D382" s="34">
        <v>182.52</v>
      </c>
      <c r="E382" s="115">
        <v>185</v>
      </c>
      <c r="F382" s="34">
        <v>181.22</v>
      </c>
      <c r="G382" s="34">
        <v>184.06</v>
      </c>
      <c r="H382" s="34">
        <v>184.06</v>
      </c>
      <c r="I382" s="29">
        <v>35601900</v>
      </c>
      <c r="P382" s="125"/>
      <c r="Q382" s="34"/>
      <c r="R382" s="115"/>
      <c r="S382" s="34"/>
      <c r="T382" s="34"/>
      <c r="U382" s="34"/>
      <c r="V382" s="29"/>
    </row>
    <row r="383" spans="3:22">
      <c r="C383" s="125">
        <v>45457</v>
      </c>
      <c r="D383" s="34">
        <v>183.08</v>
      </c>
      <c r="E383" s="115">
        <v>183.72</v>
      </c>
      <c r="F383" s="34">
        <v>182.23</v>
      </c>
      <c r="G383" s="34">
        <v>183.66</v>
      </c>
      <c r="H383" s="34">
        <v>183.66</v>
      </c>
      <c r="I383" s="29">
        <v>25456400</v>
      </c>
      <c r="P383" s="125"/>
      <c r="Q383" s="34"/>
      <c r="R383" s="115"/>
      <c r="S383" s="34"/>
      <c r="T383" s="34"/>
      <c r="U383" s="34"/>
      <c r="V383" s="29"/>
    </row>
    <row r="384" spans="3:22">
      <c r="C384" s="125">
        <v>45456</v>
      </c>
      <c r="D384" s="34">
        <v>186.09</v>
      </c>
      <c r="E384" s="115">
        <v>187.67</v>
      </c>
      <c r="F384" s="34">
        <v>182.67</v>
      </c>
      <c r="G384" s="34">
        <v>183.83</v>
      </c>
      <c r="H384" s="34">
        <v>183.83</v>
      </c>
      <c r="I384" s="29">
        <v>39721500</v>
      </c>
      <c r="P384" s="125"/>
      <c r="Q384" s="34"/>
      <c r="R384" s="115"/>
      <c r="S384" s="34"/>
      <c r="T384" s="34"/>
      <c r="U384" s="34"/>
      <c r="V384" s="29"/>
    </row>
    <row r="385" spans="3:22">
      <c r="C385" s="125">
        <v>45455</v>
      </c>
      <c r="D385" s="34">
        <v>188.02</v>
      </c>
      <c r="E385" s="115">
        <v>188.35</v>
      </c>
      <c r="F385" s="34">
        <v>185.43</v>
      </c>
      <c r="G385" s="34">
        <v>186.89</v>
      </c>
      <c r="H385" s="34">
        <v>186.89</v>
      </c>
      <c r="I385" s="29">
        <v>33984200</v>
      </c>
      <c r="P385" s="125"/>
      <c r="Q385" s="34"/>
      <c r="R385" s="115"/>
      <c r="S385" s="34"/>
      <c r="T385" s="34"/>
      <c r="U385" s="34"/>
      <c r="V385" s="29"/>
    </row>
    <row r="386" spans="3:22">
      <c r="C386" s="125">
        <v>45454</v>
      </c>
      <c r="D386" s="34">
        <v>187.06</v>
      </c>
      <c r="E386" s="115">
        <v>187.77</v>
      </c>
      <c r="F386" s="34">
        <v>184.54</v>
      </c>
      <c r="G386" s="34">
        <v>187.23</v>
      </c>
      <c r="H386" s="34">
        <v>187.23</v>
      </c>
      <c r="I386" s="29">
        <v>27265100</v>
      </c>
      <c r="P386" s="125"/>
      <c r="Q386" s="34"/>
      <c r="R386" s="115"/>
      <c r="S386" s="34"/>
      <c r="T386" s="34"/>
      <c r="U386" s="34"/>
      <c r="V386" s="29"/>
    </row>
    <row r="387" spans="3:22">
      <c r="C387" s="125">
        <v>45453</v>
      </c>
      <c r="D387" s="34">
        <v>184.07</v>
      </c>
      <c r="E387" s="115">
        <v>187.23</v>
      </c>
      <c r="F387" s="34">
        <v>183.79</v>
      </c>
      <c r="G387" s="34">
        <v>187.06</v>
      </c>
      <c r="H387" s="34">
        <v>187.06</v>
      </c>
      <c r="I387" s="29">
        <v>34445600</v>
      </c>
      <c r="P387" s="125"/>
      <c r="Q387" s="34"/>
      <c r="R387" s="115"/>
      <c r="S387" s="34"/>
      <c r="T387" s="34"/>
      <c r="U387" s="34"/>
      <c r="V387" s="29"/>
    </row>
    <row r="388" spans="3:22">
      <c r="C388" s="125">
        <v>45450</v>
      </c>
      <c r="D388" s="34">
        <v>184.9</v>
      </c>
      <c r="E388" s="115">
        <v>186.29</v>
      </c>
      <c r="F388" s="34">
        <v>183.36</v>
      </c>
      <c r="G388" s="34">
        <v>184.3</v>
      </c>
      <c r="H388" s="34">
        <v>184.3</v>
      </c>
      <c r="I388" s="29">
        <v>28021500</v>
      </c>
      <c r="P388" s="125"/>
      <c r="Q388" s="34"/>
      <c r="R388" s="115"/>
      <c r="S388" s="34"/>
      <c r="T388" s="34"/>
      <c r="U388" s="34"/>
      <c r="V388" s="29"/>
    </row>
    <row r="389" spans="3:22">
      <c r="C389" s="125">
        <v>45449</v>
      </c>
      <c r="D389" s="34">
        <v>181.75</v>
      </c>
      <c r="E389" s="115">
        <v>185</v>
      </c>
      <c r="F389" s="34">
        <v>181.49</v>
      </c>
      <c r="G389" s="34">
        <v>185</v>
      </c>
      <c r="H389" s="34">
        <v>185</v>
      </c>
      <c r="I389" s="29">
        <v>31371200</v>
      </c>
      <c r="P389" s="125"/>
      <c r="Q389" s="34"/>
      <c r="R389" s="115"/>
      <c r="S389" s="34"/>
      <c r="T389" s="34"/>
      <c r="U389" s="34"/>
      <c r="V389" s="29"/>
    </row>
    <row r="390" spans="3:22">
      <c r="C390" s="125">
        <v>45448</v>
      </c>
      <c r="D390" s="34">
        <v>180.1</v>
      </c>
      <c r="E390" s="115">
        <v>181.5</v>
      </c>
      <c r="F390" s="34">
        <v>178.75</v>
      </c>
      <c r="G390" s="34">
        <v>181.28</v>
      </c>
      <c r="H390" s="34">
        <v>181.28</v>
      </c>
      <c r="I390" s="29">
        <v>32116400</v>
      </c>
      <c r="P390" s="125"/>
      <c r="Q390" s="34"/>
      <c r="R390" s="115"/>
      <c r="S390" s="34"/>
      <c r="T390" s="34"/>
      <c r="U390" s="34"/>
      <c r="V390" s="29"/>
    </row>
    <row r="391" spans="3:22">
      <c r="C391" s="125">
        <v>45447</v>
      </c>
      <c r="D391" s="34">
        <v>177.64</v>
      </c>
      <c r="E391" s="115">
        <v>179.82</v>
      </c>
      <c r="F391" s="34">
        <v>176.44</v>
      </c>
      <c r="G391" s="34">
        <v>179.34</v>
      </c>
      <c r="H391" s="34">
        <v>179.34</v>
      </c>
      <c r="I391" s="29">
        <v>27198400</v>
      </c>
      <c r="P391" s="125"/>
      <c r="Q391" s="34"/>
      <c r="R391" s="115"/>
      <c r="S391" s="34"/>
      <c r="T391" s="34"/>
      <c r="U391" s="34"/>
      <c r="V391" s="29"/>
    </row>
    <row r="392" spans="3:22">
      <c r="C392" s="125">
        <v>45446</v>
      </c>
      <c r="D392" s="34">
        <v>177.7</v>
      </c>
      <c r="E392" s="115">
        <v>178.7</v>
      </c>
      <c r="F392" s="34">
        <v>175.92</v>
      </c>
      <c r="G392" s="34">
        <v>178.34</v>
      </c>
      <c r="H392" s="34">
        <v>178.34</v>
      </c>
      <c r="I392" s="29">
        <v>30786600</v>
      </c>
      <c r="P392" s="125"/>
      <c r="Q392" s="34"/>
      <c r="R392" s="115"/>
      <c r="S392" s="34"/>
      <c r="T392" s="34"/>
      <c r="U392" s="34"/>
      <c r="V392" s="29"/>
    </row>
    <row r="393" spans="3:22">
      <c r="C393" s="125">
        <v>45443</v>
      </c>
      <c r="D393" s="34">
        <v>178.3</v>
      </c>
      <c r="E393" s="115">
        <v>179.21</v>
      </c>
      <c r="F393" s="34">
        <v>173.87</v>
      </c>
      <c r="G393" s="34">
        <v>176.44</v>
      </c>
      <c r="H393" s="34">
        <v>176.44</v>
      </c>
      <c r="I393" s="29">
        <v>58903900</v>
      </c>
      <c r="P393" s="125"/>
      <c r="Q393" s="34"/>
      <c r="R393" s="115"/>
      <c r="S393" s="34"/>
      <c r="T393" s="34"/>
      <c r="U393" s="34"/>
      <c r="V393" s="29"/>
    </row>
    <row r="394" spans="3:22">
      <c r="C394" s="125">
        <v>45442</v>
      </c>
      <c r="D394" s="34">
        <v>181.31</v>
      </c>
      <c r="E394" s="115">
        <v>181.34</v>
      </c>
      <c r="F394" s="34">
        <v>178.36</v>
      </c>
      <c r="G394" s="34">
        <v>179.32</v>
      </c>
      <c r="H394" s="34">
        <v>179.32</v>
      </c>
      <c r="I394" s="29">
        <v>29184700</v>
      </c>
      <c r="P394" s="125"/>
      <c r="Q394" s="34"/>
      <c r="R394" s="115"/>
      <c r="S394" s="34"/>
      <c r="T394" s="34"/>
      <c r="U394" s="34"/>
      <c r="V394" s="29"/>
    </row>
    <row r="395" spans="3:22">
      <c r="C395" s="125">
        <v>45441</v>
      </c>
      <c r="D395" s="34">
        <v>181.7</v>
      </c>
      <c r="E395" s="115">
        <v>184.08</v>
      </c>
      <c r="F395" s="34">
        <v>181.55</v>
      </c>
      <c r="G395" s="34">
        <v>182.02</v>
      </c>
      <c r="H395" s="34">
        <v>182.02</v>
      </c>
      <c r="I395" s="29">
        <v>32009300</v>
      </c>
      <c r="P395" s="125"/>
      <c r="Q395" s="34"/>
      <c r="R395" s="115"/>
      <c r="S395" s="34"/>
      <c r="T395" s="34"/>
      <c r="U395" s="34"/>
      <c r="V395" s="29"/>
    </row>
    <row r="396" spans="3:22">
      <c r="C396" s="125">
        <v>45440</v>
      </c>
      <c r="D396" s="34">
        <v>179.93</v>
      </c>
      <c r="E396" s="115">
        <v>182.24</v>
      </c>
      <c r="F396" s="34">
        <v>179.49</v>
      </c>
      <c r="G396" s="34">
        <v>182.15</v>
      </c>
      <c r="H396" s="34">
        <v>182.15</v>
      </c>
      <c r="I396" s="29">
        <v>29927000</v>
      </c>
      <c r="P396" s="125"/>
      <c r="Q396" s="34"/>
      <c r="R396" s="115"/>
      <c r="S396" s="34"/>
      <c r="T396" s="34"/>
      <c r="U396" s="34"/>
      <c r="V396" s="29"/>
    </row>
    <row r="397" spans="3:22">
      <c r="C397" s="125">
        <v>45436</v>
      </c>
      <c r="D397" s="34">
        <v>181.65</v>
      </c>
      <c r="E397" s="115">
        <v>182.44</v>
      </c>
      <c r="F397" s="34">
        <v>180.3</v>
      </c>
      <c r="G397" s="34">
        <v>180.75</v>
      </c>
      <c r="H397" s="34">
        <v>180.75</v>
      </c>
      <c r="I397" s="29">
        <v>27471600</v>
      </c>
      <c r="P397" s="125"/>
      <c r="Q397" s="34"/>
      <c r="R397" s="115"/>
      <c r="S397" s="34"/>
      <c r="T397" s="34"/>
      <c r="U397" s="34"/>
      <c r="V397" s="29"/>
    </row>
    <row r="398" spans="3:22">
      <c r="C398" s="125">
        <v>45435</v>
      </c>
      <c r="D398" s="34">
        <v>183.66</v>
      </c>
      <c r="E398" s="115">
        <v>184.76</v>
      </c>
      <c r="F398" s="34">
        <v>180.08</v>
      </c>
      <c r="G398" s="34">
        <v>181.05</v>
      </c>
      <c r="H398" s="34">
        <v>181.05</v>
      </c>
      <c r="I398" s="29">
        <v>33670200</v>
      </c>
      <c r="P398" s="125"/>
      <c r="Q398" s="34"/>
      <c r="R398" s="115"/>
      <c r="S398" s="34"/>
      <c r="T398" s="34"/>
      <c r="U398" s="34"/>
      <c r="V398" s="29"/>
    </row>
    <row r="399" spans="3:22">
      <c r="C399" s="125">
        <v>45434</v>
      </c>
      <c r="D399" s="34">
        <v>183.88</v>
      </c>
      <c r="E399" s="115">
        <v>185.22</v>
      </c>
      <c r="F399" s="34">
        <v>181.97</v>
      </c>
      <c r="G399" s="34">
        <v>183.13</v>
      </c>
      <c r="H399" s="34">
        <v>183.13</v>
      </c>
      <c r="I399" s="29">
        <v>28148800</v>
      </c>
      <c r="P399" s="125"/>
      <c r="Q399" s="34"/>
      <c r="R399" s="115"/>
      <c r="S399" s="34"/>
      <c r="T399" s="34"/>
      <c r="U399" s="34"/>
      <c r="V399" s="29"/>
    </row>
    <row r="400" spans="3:22">
      <c r="C400" s="125">
        <v>45433</v>
      </c>
      <c r="D400" s="34">
        <v>182.3</v>
      </c>
      <c r="E400" s="115">
        <v>183.26</v>
      </c>
      <c r="F400" s="34">
        <v>180.75</v>
      </c>
      <c r="G400" s="34">
        <v>183.15</v>
      </c>
      <c r="H400" s="34">
        <v>183.15</v>
      </c>
      <c r="I400" s="29">
        <v>50839100</v>
      </c>
      <c r="P400" s="125"/>
      <c r="Q400" s="34"/>
      <c r="R400" s="115"/>
      <c r="S400" s="34"/>
      <c r="T400" s="34"/>
      <c r="U400" s="34"/>
      <c r="V400" s="29"/>
    </row>
    <row r="401" spans="3:22">
      <c r="C401" s="125">
        <v>45432</v>
      </c>
      <c r="D401" s="34">
        <v>184.34</v>
      </c>
      <c r="E401" s="115">
        <v>186.67</v>
      </c>
      <c r="F401" s="34">
        <v>183.28</v>
      </c>
      <c r="G401" s="34">
        <v>183.54</v>
      </c>
      <c r="H401" s="34">
        <v>183.54</v>
      </c>
      <c r="I401" s="29">
        <v>30511800</v>
      </c>
      <c r="P401" s="125"/>
      <c r="Q401" s="34"/>
      <c r="R401" s="115"/>
      <c r="S401" s="34"/>
      <c r="T401" s="34"/>
      <c r="U401" s="34"/>
      <c r="V401" s="29"/>
    </row>
    <row r="402" spans="3:22">
      <c r="C402" s="125">
        <v>45429</v>
      </c>
      <c r="D402" s="34">
        <v>183.76</v>
      </c>
      <c r="E402" s="115">
        <v>185.3</v>
      </c>
      <c r="F402" s="34">
        <v>183.35</v>
      </c>
      <c r="G402" s="34">
        <v>184.7</v>
      </c>
      <c r="H402" s="34">
        <v>184.7</v>
      </c>
      <c r="I402" s="29">
        <v>33175700</v>
      </c>
      <c r="P402" s="125"/>
      <c r="Q402" s="34"/>
      <c r="R402" s="115"/>
      <c r="S402" s="34"/>
      <c r="T402" s="34"/>
      <c r="U402" s="34"/>
      <c r="V402" s="29"/>
    </row>
    <row r="403" spans="3:22">
      <c r="C403" s="125">
        <v>45428</v>
      </c>
      <c r="D403" s="34">
        <v>185.6</v>
      </c>
      <c r="E403" s="115">
        <v>187.31</v>
      </c>
      <c r="F403" s="34">
        <v>183.46</v>
      </c>
      <c r="G403" s="34">
        <v>183.63</v>
      </c>
      <c r="H403" s="34">
        <v>183.63</v>
      </c>
      <c r="I403" s="29">
        <v>38834500</v>
      </c>
      <c r="P403" s="125"/>
      <c r="Q403" s="34"/>
      <c r="R403" s="115"/>
      <c r="S403" s="34"/>
      <c r="T403" s="34"/>
      <c r="U403" s="34"/>
      <c r="V403" s="29"/>
    </row>
    <row r="404" spans="3:22">
      <c r="C404" s="125">
        <v>45427</v>
      </c>
      <c r="D404" s="34">
        <v>185.97</v>
      </c>
      <c r="E404" s="115">
        <v>186.72</v>
      </c>
      <c r="F404" s="34">
        <v>182.73</v>
      </c>
      <c r="G404" s="34">
        <v>185.99</v>
      </c>
      <c r="H404" s="34">
        <v>185.99</v>
      </c>
      <c r="I404" s="29">
        <v>75459900</v>
      </c>
      <c r="P404" s="125"/>
      <c r="Q404" s="34"/>
      <c r="R404" s="115"/>
      <c r="S404" s="34"/>
      <c r="T404" s="34"/>
      <c r="U404" s="34"/>
      <c r="V404" s="29"/>
    </row>
    <row r="405" spans="3:22">
      <c r="C405" s="125">
        <v>45426</v>
      </c>
      <c r="D405" s="34">
        <v>183.82</v>
      </c>
      <c r="E405" s="115">
        <v>187.72</v>
      </c>
      <c r="F405" s="34">
        <v>183.45</v>
      </c>
      <c r="G405" s="34">
        <v>187.07</v>
      </c>
      <c r="H405" s="34">
        <v>187.07</v>
      </c>
      <c r="I405" s="29">
        <v>38698200</v>
      </c>
      <c r="P405" s="125"/>
      <c r="Q405" s="34"/>
      <c r="R405" s="115"/>
      <c r="S405" s="34"/>
      <c r="T405" s="34"/>
      <c r="U405" s="34"/>
      <c r="V405" s="29"/>
    </row>
    <row r="406" spans="3:22">
      <c r="C406" s="125">
        <v>45425</v>
      </c>
      <c r="D406" s="34">
        <v>188</v>
      </c>
      <c r="E406" s="115">
        <v>188.31</v>
      </c>
      <c r="F406" s="34">
        <v>185.36</v>
      </c>
      <c r="G406" s="34">
        <v>186.57</v>
      </c>
      <c r="H406" s="34">
        <v>186.57</v>
      </c>
      <c r="I406" s="29">
        <v>24898600</v>
      </c>
      <c r="P406" s="125"/>
      <c r="Q406" s="34"/>
      <c r="R406" s="115"/>
      <c r="S406" s="34"/>
      <c r="T406" s="34"/>
      <c r="U406" s="34"/>
      <c r="V406" s="29"/>
    </row>
    <row r="407" spans="3:22">
      <c r="C407" s="125">
        <v>45422</v>
      </c>
      <c r="D407" s="34">
        <v>189.16</v>
      </c>
      <c r="E407" s="115">
        <v>189.89</v>
      </c>
      <c r="F407" s="34">
        <v>186.93</v>
      </c>
      <c r="G407" s="34">
        <v>187.48</v>
      </c>
      <c r="H407" s="34">
        <v>187.48</v>
      </c>
      <c r="I407" s="29">
        <v>34141800</v>
      </c>
      <c r="P407" s="125"/>
      <c r="Q407" s="34"/>
      <c r="R407" s="115"/>
      <c r="S407" s="34"/>
      <c r="T407" s="34"/>
      <c r="U407" s="34"/>
      <c r="V407" s="29"/>
    </row>
    <row r="408" spans="3:22">
      <c r="C408" s="125">
        <v>45421</v>
      </c>
      <c r="D408" s="34">
        <v>188.88</v>
      </c>
      <c r="E408" s="115">
        <v>191.7</v>
      </c>
      <c r="F408" s="34">
        <v>187.44</v>
      </c>
      <c r="G408" s="34">
        <v>189.5</v>
      </c>
      <c r="H408" s="34">
        <v>189.5</v>
      </c>
      <c r="I408" s="29">
        <v>43368400</v>
      </c>
      <c r="P408" s="125"/>
      <c r="Q408" s="34"/>
      <c r="R408" s="115"/>
      <c r="S408" s="34"/>
      <c r="T408" s="34"/>
      <c r="U408" s="34"/>
      <c r="V408" s="29"/>
    </row>
    <row r="409" spans="3:22">
      <c r="C409" s="125">
        <v>45420</v>
      </c>
      <c r="D409" s="34">
        <v>187.44</v>
      </c>
      <c r="E409" s="115">
        <v>188.43</v>
      </c>
      <c r="F409" s="34">
        <v>186.39</v>
      </c>
      <c r="G409" s="34">
        <v>188</v>
      </c>
      <c r="H409" s="34">
        <v>188</v>
      </c>
      <c r="I409" s="29">
        <v>26136400</v>
      </c>
      <c r="P409" s="125"/>
      <c r="Q409" s="34"/>
      <c r="R409" s="115"/>
      <c r="S409" s="34"/>
      <c r="T409" s="34"/>
      <c r="U409" s="34"/>
      <c r="V409" s="29"/>
    </row>
    <row r="410" spans="3:22">
      <c r="C410" s="125">
        <v>45419</v>
      </c>
      <c r="D410" s="34">
        <v>188.92</v>
      </c>
      <c r="E410" s="115">
        <v>189.94</v>
      </c>
      <c r="F410" s="34">
        <v>187.31</v>
      </c>
      <c r="G410" s="34">
        <v>188.76</v>
      </c>
      <c r="H410" s="34">
        <v>188.76</v>
      </c>
      <c r="I410" s="29">
        <v>34048900</v>
      </c>
      <c r="P410" s="125"/>
      <c r="Q410" s="34"/>
      <c r="R410" s="115"/>
      <c r="S410" s="34"/>
      <c r="T410" s="34"/>
      <c r="U410" s="34"/>
      <c r="V410" s="29"/>
    </row>
    <row r="411" spans="3:22">
      <c r="C411" s="125">
        <v>45418</v>
      </c>
      <c r="D411" s="34">
        <v>186.28</v>
      </c>
      <c r="E411" s="115">
        <v>188.75</v>
      </c>
      <c r="F411" s="34">
        <v>184.8</v>
      </c>
      <c r="G411" s="34">
        <v>188.7</v>
      </c>
      <c r="H411" s="34">
        <v>188.7</v>
      </c>
      <c r="I411" s="29">
        <v>34725300</v>
      </c>
      <c r="P411" s="125"/>
      <c r="Q411" s="34"/>
      <c r="R411" s="115"/>
      <c r="S411" s="34"/>
      <c r="T411" s="34"/>
      <c r="U411" s="34"/>
      <c r="V411" s="29"/>
    </row>
    <row r="412" spans="3:22">
      <c r="C412" s="125">
        <v>45415</v>
      </c>
      <c r="D412" s="34">
        <v>186.99</v>
      </c>
      <c r="E412" s="115">
        <v>187.87</v>
      </c>
      <c r="F412" s="34">
        <v>185.42</v>
      </c>
      <c r="G412" s="34">
        <v>186.21</v>
      </c>
      <c r="H412" s="34">
        <v>186.21</v>
      </c>
      <c r="I412" s="29">
        <v>39172000</v>
      </c>
      <c r="P412" s="125"/>
      <c r="Q412" s="34"/>
      <c r="R412" s="115"/>
      <c r="S412" s="34"/>
      <c r="T412" s="34"/>
      <c r="U412" s="34"/>
      <c r="V412" s="29"/>
    </row>
    <row r="413" spans="3:22">
      <c r="C413" s="125">
        <v>45414</v>
      </c>
      <c r="D413" s="34">
        <v>180.85</v>
      </c>
      <c r="E413" s="115">
        <v>185.1</v>
      </c>
      <c r="F413" s="34">
        <v>179.91</v>
      </c>
      <c r="G413" s="34">
        <v>184.72</v>
      </c>
      <c r="H413" s="34">
        <v>184.72</v>
      </c>
      <c r="I413" s="29">
        <v>54303500</v>
      </c>
      <c r="P413" s="125"/>
      <c r="Q413" s="34"/>
      <c r="R413" s="115"/>
      <c r="S413" s="34"/>
      <c r="T413" s="34"/>
      <c r="U413" s="34"/>
      <c r="V413" s="29"/>
    </row>
    <row r="414" spans="3:22">
      <c r="C414" s="125">
        <v>45413</v>
      </c>
      <c r="D414" s="34">
        <v>181.64</v>
      </c>
      <c r="E414" s="115">
        <v>185.15</v>
      </c>
      <c r="F414" s="34">
        <v>176.56</v>
      </c>
      <c r="G414" s="34">
        <v>179</v>
      </c>
      <c r="H414" s="34">
        <v>179</v>
      </c>
      <c r="I414" s="29">
        <v>94645100</v>
      </c>
      <c r="P414" s="125"/>
      <c r="Q414" s="34"/>
      <c r="R414" s="115"/>
      <c r="S414" s="34"/>
      <c r="T414" s="34"/>
      <c r="U414" s="34"/>
      <c r="V414" s="29"/>
    </row>
    <row r="415" spans="3:22">
      <c r="C415" s="125">
        <v>45412</v>
      </c>
      <c r="D415" s="34">
        <v>181.09</v>
      </c>
      <c r="E415" s="115">
        <v>182.99</v>
      </c>
      <c r="F415" s="34">
        <v>174.8</v>
      </c>
      <c r="G415" s="34">
        <v>175</v>
      </c>
      <c r="H415" s="34">
        <v>175</v>
      </c>
      <c r="I415" s="29">
        <v>94639800</v>
      </c>
      <c r="P415" s="125"/>
      <c r="Q415" s="34"/>
      <c r="R415" s="115"/>
      <c r="S415" s="34"/>
      <c r="T415" s="34"/>
      <c r="U415" s="34"/>
      <c r="V415" s="29"/>
    </row>
    <row r="416" spans="3:22">
      <c r="C416" s="125">
        <v>45411</v>
      </c>
      <c r="D416" s="34">
        <v>182.75</v>
      </c>
      <c r="E416" s="115">
        <v>183.53</v>
      </c>
      <c r="F416" s="34">
        <v>179.39</v>
      </c>
      <c r="G416" s="34">
        <v>180.96</v>
      </c>
      <c r="H416" s="34">
        <v>180.96</v>
      </c>
      <c r="I416" s="29">
        <v>54063900</v>
      </c>
      <c r="P416" s="125"/>
      <c r="Q416" s="34"/>
      <c r="R416" s="115"/>
      <c r="S416" s="34"/>
      <c r="T416" s="34"/>
      <c r="U416" s="34"/>
      <c r="V416" s="29"/>
    </row>
    <row r="417" spans="3:22">
      <c r="C417" s="125">
        <v>45408</v>
      </c>
      <c r="D417" s="34">
        <v>177.8</v>
      </c>
      <c r="E417" s="115">
        <v>180.82</v>
      </c>
      <c r="F417" s="34">
        <v>176.13</v>
      </c>
      <c r="G417" s="34">
        <v>179.62</v>
      </c>
      <c r="H417" s="34">
        <v>179.62</v>
      </c>
      <c r="I417" s="29">
        <v>43919800</v>
      </c>
      <c r="P417" s="125"/>
      <c r="Q417" s="34"/>
      <c r="R417" s="115"/>
      <c r="S417" s="34"/>
      <c r="T417" s="34"/>
      <c r="U417" s="34"/>
      <c r="V417" s="29"/>
    </row>
    <row r="418" spans="3:22">
      <c r="C418" s="125">
        <v>45407</v>
      </c>
      <c r="D418" s="34">
        <v>169.68</v>
      </c>
      <c r="E418" s="115">
        <v>173.92</v>
      </c>
      <c r="F418" s="34">
        <v>166.32</v>
      </c>
      <c r="G418" s="34">
        <v>173.67</v>
      </c>
      <c r="H418" s="34">
        <v>173.67</v>
      </c>
      <c r="I418" s="29">
        <v>49249400</v>
      </c>
      <c r="P418" s="125"/>
      <c r="Q418" s="34"/>
      <c r="R418" s="115"/>
      <c r="S418" s="34"/>
      <c r="T418" s="34"/>
      <c r="U418" s="34"/>
      <c r="V418" s="29"/>
    </row>
    <row r="419" spans="3:22">
      <c r="C419" s="125">
        <v>45406</v>
      </c>
      <c r="D419" s="34">
        <v>179.94</v>
      </c>
      <c r="E419" s="115">
        <v>180.32</v>
      </c>
      <c r="F419" s="34">
        <v>176.18</v>
      </c>
      <c r="G419" s="34">
        <v>176.59</v>
      </c>
      <c r="H419" s="34">
        <v>176.59</v>
      </c>
      <c r="I419" s="29">
        <v>34185100</v>
      </c>
      <c r="P419" s="125"/>
      <c r="Q419" s="34"/>
      <c r="R419" s="115"/>
      <c r="S419" s="34"/>
      <c r="T419" s="34"/>
      <c r="U419" s="34"/>
      <c r="V419" s="29"/>
    </row>
    <row r="420" spans="3:22">
      <c r="C420" s="125">
        <v>45405</v>
      </c>
      <c r="D420" s="34">
        <v>178.08</v>
      </c>
      <c r="E420" s="115">
        <v>179.93</v>
      </c>
      <c r="F420" s="34">
        <v>175.98</v>
      </c>
      <c r="G420" s="34">
        <v>179.54</v>
      </c>
      <c r="H420" s="34">
        <v>179.54</v>
      </c>
      <c r="I420" s="29">
        <v>37046500</v>
      </c>
      <c r="P420" s="125"/>
      <c r="Q420" s="34"/>
      <c r="R420" s="115"/>
      <c r="S420" s="34"/>
      <c r="T420" s="34"/>
      <c r="U420" s="34"/>
      <c r="V420" s="29"/>
    </row>
    <row r="421" spans="3:22">
      <c r="C421" s="125">
        <v>45404</v>
      </c>
      <c r="D421" s="34">
        <v>176.94</v>
      </c>
      <c r="E421" s="115">
        <v>178.87</v>
      </c>
      <c r="F421" s="34">
        <v>174.56</v>
      </c>
      <c r="G421" s="34">
        <v>177.23</v>
      </c>
      <c r="H421" s="34">
        <v>177.23</v>
      </c>
      <c r="I421" s="29">
        <v>37924900</v>
      </c>
      <c r="P421" s="125"/>
      <c r="Q421" s="34"/>
      <c r="R421" s="115"/>
      <c r="S421" s="34"/>
      <c r="T421" s="34"/>
      <c r="U421" s="34"/>
      <c r="V421" s="29"/>
    </row>
    <row r="422" spans="3:22">
      <c r="C422" s="125">
        <v>45401</v>
      </c>
      <c r="D422" s="34">
        <v>178.74</v>
      </c>
      <c r="E422" s="115">
        <v>179</v>
      </c>
      <c r="F422" s="34">
        <v>173.44</v>
      </c>
      <c r="G422" s="34">
        <v>174.63</v>
      </c>
      <c r="H422" s="34">
        <v>174.63</v>
      </c>
      <c r="I422" s="29">
        <v>56000700</v>
      </c>
      <c r="P422" s="125"/>
      <c r="Q422" s="34"/>
      <c r="R422" s="115"/>
      <c r="S422" s="34"/>
      <c r="T422" s="34"/>
      <c r="U422" s="34"/>
      <c r="V422" s="29"/>
    </row>
    <row r="423" spans="3:22">
      <c r="C423" s="125">
        <v>45400</v>
      </c>
      <c r="D423" s="34">
        <v>181.47</v>
      </c>
      <c r="E423" s="115">
        <v>182.39</v>
      </c>
      <c r="F423" s="34">
        <v>178.65</v>
      </c>
      <c r="G423" s="34">
        <v>179.22</v>
      </c>
      <c r="H423" s="34">
        <v>179.22</v>
      </c>
      <c r="I423" s="29">
        <v>30723800</v>
      </c>
      <c r="P423" s="125"/>
      <c r="Q423" s="34"/>
      <c r="R423" s="115"/>
      <c r="S423" s="34"/>
      <c r="T423" s="34"/>
      <c r="U423" s="34"/>
      <c r="V423" s="29"/>
    </row>
    <row r="424" spans="3:22">
      <c r="C424" s="125">
        <v>45399</v>
      </c>
      <c r="D424" s="34">
        <v>184.31</v>
      </c>
      <c r="E424" s="115">
        <v>184.57</v>
      </c>
      <c r="F424" s="34">
        <v>179.82</v>
      </c>
      <c r="G424" s="34">
        <v>181.28</v>
      </c>
      <c r="H424" s="34">
        <v>181.28</v>
      </c>
      <c r="I424" s="29">
        <v>31359700</v>
      </c>
      <c r="P424" s="125"/>
      <c r="Q424" s="34"/>
      <c r="R424" s="115"/>
      <c r="S424" s="34"/>
      <c r="T424" s="34"/>
      <c r="U424" s="34"/>
      <c r="V424" s="29"/>
    </row>
    <row r="425" spans="3:22">
      <c r="C425" s="125">
        <v>45398</v>
      </c>
      <c r="D425" s="34">
        <v>183.27</v>
      </c>
      <c r="E425" s="115">
        <v>184.83</v>
      </c>
      <c r="F425" s="34">
        <v>182.26</v>
      </c>
      <c r="G425" s="34">
        <v>183.32</v>
      </c>
      <c r="H425" s="34">
        <v>183.32</v>
      </c>
      <c r="I425" s="29">
        <v>32891300</v>
      </c>
      <c r="P425" s="125"/>
      <c r="Q425" s="34"/>
      <c r="R425" s="115"/>
      <c r="S425" s="34"/>
      <c r="T425" s="34"/>
      <c r="U425" s="34"/>
      <c r="V425" s="29"/>
    </row>
    <row r="426" spans="3:22">
      <c r="C426" s="125">
        <v>45397</v>
      </c>
      <c r="D426" s="34">
        <v>187.43</v>
      </c>
      <c r="E426" s="115">
        <v>188.69</v>
      </c>
      <c r="F426" s="34">
        <v>183</v>
      </c>
      <c r="G426" s="34">
        <v>183.62</v>
      </c>
      <c r="H426" s="34">
        <v>183.62</v>
      </c>
      <c r="I426" s="29">
        <v>48052400</v>
      </c>
      <c r="P426" s="125"/>
      <c r="Q426" s="34"/>
      <c r="R426" s="115"/>
      <c r="S426" s="34"/>
      <c r="T426" s="34"/>
      <c r="U426" s="34"/>
      <c r="V426" s="29"/>
    </row>
    <row r="427" spans="3:22">
      <c r="C427" s="125">
        <v>45394</v>
      </c>
      <c r="D427" s="34">
        <v>187.72</v>
      </c>
      <c r="E427" s="115">
        <v>188.38</v>
      </c>
      <c r="F427" s="34">
        <v>185.08</v>
      </c>
      <c r="G427" s="34">
        <v>186.13</v>
      </c>
      <c r="H427" s="34">
        <v>186.13</v>
      </c>
      <c r="I427" s="29">
        <v>38608800</v>
      </c>
      <c r="P427" s="125"/>
      <c r="Q427" s="34"/>
      <c r="R427" s="115"/>
      <c r="S427" s="34"/>
      <c r="T427" s="34"/>
      <c r="U427" s="34"/>
      <c r="V427" s="29"/>
    </row>
    <row r="428" spans="3:22">
      <c r="C428" s="125">
        <v>45393</v>
      </c>
      <c r="D428" s="34">
        <v>186.74</v>
      </c>
      <c r="E428" s="115">
        <v>189.77</v>
      </c>
      <c r="F428" s="34">
        <v>185.51</v>
      </c>
      <c r="G428" s="34">
        <v>189.05</v>
      </c>
      <c r="H428" s="34">
        <v>189.05</v>
      </c>
      <c r="I428" s="29">
        <v>40020700</v>
      </c>
      <c r="P428" s="125"/>
      <c r="Q428" s="34"/>
      <c r="R428" s="115"/>
      <c r="S428" s="34"/>
      <c r="T428" s="34"/>
      <c r="U428" s="34"/>
      <c r="V428" s="29"/>
    </row>
    <row r="429" spans="3:22">
      <c r="C429" s="125">
        <v>45392</v>
      </c>
      <c r="D429" s="34">
        <v>182.77</v>
      </c>
      <c r="E429" s="115">
        <v>186.27</v>
      </c>
      <c r="F429" s="34">
        <v>182.67</v>
      </c>
      <c r="G429" s="34">
        <v>185.95</v>
      </c>
      <c r="H429" s="34">
        <v>185.95</v>
      </c>
      <c r="I429" s="29">
        <v>35879200</v>
      </c>
      <c r="P429" s="125"/>
      <c r="Q429" s="34"/>
      <c r="R429" s="115"/>
      <c r="S429" s="34"/>
      <c r="T429" s="34"/>
      <c r="U429" s="34"/>
      <c r="V429" s="29"/>
    </row>
    <row r="430" spans="3:22">
      <c r="C430" s="125">
        <v>45391</v>
      </c>
      <c r="D430" s="34">
        <v>187.24</v>
      </c>
      <c r="E430" s="115">
        <v>187.34</v>
      </c>
      <c r="F430" s="34">
        <v>184.2</v>
      </c>
      <c r="G430" s="34">
        <v>185.67</v>
      </c>
      <c r="H430" s="34">
        <v>185.67</v>
      </c>
      <c r="I430" s="29">
        <v>36520100</v>
      </c>
      <c r="P430" s="125"/>
      <c r="Q430" s="34"/>
      <c r="R430" s="115"/>
      <c r="S430" s="34"/>
      <c r="T430" s="34"/>
      <c r="U430" s="34"/>
      <c r="V430" s="29"/>
    </row>
    <row r="431" spans="3:22">
      <c r="C431" s="125">
        <v>45390</v>
      </c>
      <c r="D431" s="34">
        <v>186.9</v>
      </c>
      <c r="E431" s="115">
        <v>187.29</v>
      </c>
      <c r="F431" s="34">
        <v>184.81</v>
      </c>
      <c r="G431" s="34">
        <v>185.19</v>
      </c>
      <c r="H431" s="34">
        <v>185.19</v>
      </c>
      <c r="I431" s="29">
        <v>39221300</v>
      </c>
      <c r="P431" s="125"/>
      <c r="Q431" s="34"/>
      <c r="R431" s="115"/>
      <c r="S431" s="34"/>
      <c r="T431" s="34"/>
      <c r="U431" s="34"/>
      <c r="V431" s="29"/>
    </row>
    <row r="432" spans="3:22">
      <c r="C432" s="125">
        <v>45387</v>
      </c>
      <c r="D432" s="34">
        <v>182.38</v>
      </c>
      <c r="E432" s="115">
        <v>186.27</v>
      </c>
      <c r="F432" s="34">
        <v>181.97</v>
      </c>
      <c r="G432" s="34">
        <v>185.07</v>
      </c>
      <c r="H432" s="34">
        <v>185.07</v>
      </c>
      <c r="I432" s="29">
        <v>42374000</v>
      </c>
      <c r="P432" s="125"/>
      <c r="Q432" s="34"/>
      <c r="R432" s="115"/>
      <c r="S432" s="34"/>
      <c r="T432" s="34"/>
      <c r="U432" s="34"/>
      <c r="V432" s="29"/>
    </row>
    <row r="433" spans="3:22">
      <c r="C433" s="125">
        <v>45386</v>
      </c>
      <c r="D433" s="34">
        <v>184</v>
      </c>
      <c r="E433" s="115">
        <v>185.1</v>
      </c>
      <c r="F433" s="34">
        <v>180</v>
      </c>
      <c r="G433" s="34">
        <v>180</v>
      </c>
      <c r="H433" s="34">
        <v>180</v>
      </c>
      <c r="I433" s="29">
        <v>41624300</v>
      </c>
      <c r="P433" s="125"/>
      <c r="Q433" s="34"/>
      <c r="R433" s="115"/>
      <c r="S433" s="34"/>
      <c r="T433" s="34"/>
      <c r="U433" s="34"/>
      <c r="V433" s="29"/>
    </row>
    <row r="434" spans="3:22">
      <c r="C434" s="125">
        <v>45385</v>
      </c>
      <c r="D434" s="34">
        <v>179.9</v>
      </c>
      <c r="E434" s="115">
        <v>182.87</v>
      </c>
      <c r="F434" s="34">
        <v>179.8</v>
      </c>
      <c r="G434" s="34">
        <v>182.41</v>
      </c>
      <c r="H434" s="34">
        <v>182.41</v>
      </c>
      <c r="I434" s="29">
        <v>31046600</v>
      </c>
      <c r="P434" s="125"/>
      <c r="Q434" s="34"/>
      <c r="R434" s="115"/>
      <c r="S434" s="34"/>
      <c r="T434" s="34"/>
      <c r="U434" s="34"/>
      <c r="V434" s="29"/>
    </row>
    <row r="435" spans="3:22">
      <c r="C435" s="125">
        <v>45384</v>
      </c>
      <c r="D435" s="34">
        <v>179.07</v>
      </c>
      <c r="E435" s="115">
        <v>180.79</v>
      </c>
      <c r="F435" s="34">
        <v>178.38</v>
      </c>
      <c r="G435" s="34">
        <v>180.69</v>
      </c>
      <c r="H435" s="34">
        <v>180.69</v>
      </c>
      <c r="I435" s="29">
        <v>32611500</v>
      </c>
      <c r="P435" s="125"/>
      <c r="Q435" s="34"/>
      <c r="R435" s="115"/>
      <c r="S435" s="34"/>
      <c r="T435" s="34"/>
      <c r="U435" s="34"/>
      <c r="V435" s="29"/>
    </row>
    <row r="436" spans="3:22">
      <c r="C436" s="125">
        <v>45383</v>
      </c>
      <c r="D436" s="34">
        <v>180.79</v>
      </c>
      <c r="E436" s="115">
        <v>183</v>
      </c>
      <c r="F436" s="34">
        <v>179.95</v>
      </c>
      <c r="G436" s="34">
        <v>180.97</v>
      </c>
      <c r="H436" s="34">
        <v>180.97</v>
      </c>
      <c r="I436" s="29">
        <v>29174500</v>
      </c>
      <c r="P436" s="125"/>
      <c r="Q436" s="34"/>
      <c r="R436" s="115"/>
      <c r="S436" s="34"/>
      <c r="T436" s="34"/>
      <c r="U436" s="34"/>
      <c r="V436" s="29"/>
    </row>
    <row r="437" spans="3:22">
      <c r="C437" s="125">
        <v>45379</v>
      </c>
      <c r="D437" s="34">
        <v>180.17</v>
      </c>
      <c r="E437" s="115">
        <v>181.7</v>
      </c>
      <c r="F437" s="34">
        <v>179.26</v>
      </c>
      <c r="G437" s="34">
        <v>180.38</v>
      </c>
      <c r="H437" s="34">
        <v>180.38</v>
      </c>
      <c r="I437" s="29">
        <v>38051600</v>
      </c>
      <c r="P437" s="125"/>
      <c r="Q437" s="34"/>
      <c r="R437" s="115"/>
      <c r="S437" s="34"/>
      <c r="T437" s="34"/>
      <c r="U437" s="34"/>
      <c r="V437" s="29"/>
    </row>
    <row r="438" spans="3:22">
      <c r="C438" s="125">
        <v>45378</v>
      </c>
      <c r="D438" s="34">
        <v>179.88</v>
      </c>
      <c r="E438" s="115">
        <v>180</v>
      </c>
      <c r="F438" s="34">
        <v>177.31</v>
      </c>
      <c r="G438" s="34">
        <v>179.83</v>
      </c>
      <c r="H438" s="34">
        <v>179.83</v>
      </c>
      <c r="I438" s="29">
        <v>33272600</v>
      </c>
      <c r="P438" s="125"/>
      <c r="Q438" s="34"/>
      <c r="R438" s="115"/>
      <c r="S438" s="34"/>
      <c r="T438" s="34"/>
      <c r="U438" s="34"/>
      <c r="V438" s="29"/>
    </row>
    <row r="439" spans="3:22">
      <c r="C439" s="125">
        <v>45377</v>
      </c>
      <c r="D439" s="34">
        <v>180.15</v>
      </c>
      <c r="E439" s="115">
        <v>180.45</v>
      </c>
      <c r="F439" s="34">
        <v>177.95</v>
      </c>
      <c r="G439" s="34">
        <v>178.3</v>
      </c>
      <c r="H439" s="34">
        <v>178.3</v>
      </c>
      <c r="I439" s="29">
        <v>29659000</v>
      </c>
      <c r="P439" s="125"/>
      <c r="Q439" s="34"/>
      <c r="R439" s="115"/>
      <c r="S439" s="34"/>
      <c r="T439" s="34"/>
      <c r="U439" s="34"/>
      <c r="V439" s="29"/>
    </row>
    <row r="440" spans="3:22">
      <c r="C440" s="125">
        <v>45376</v>
      </c>
      <c r="D440" s="34">
        <v>178.01</v>
      </c>
      <c r="E440" s="115">
        <v>180.99</v>
      </c>
      <c r="F440" s="34">
        <v>177.24</v>
      </c>
      <c r="G440" s="34">
        <v>179.71</v>
      </c>
      <c r="H440" s="34">
        <v>179.71</v>
      </c>
      <c r="I440" s="29">
        <v>29815500</v>
      </c>
      <c r="P440" s="125"/>
      <c r="Q440" s="34"/>
      <c r="R440" s="115"/>
      <c r="S440" s="34"/>
      <c r="T440" s="34"/>
      <c r="U440" s="34"/>
      <c r="V440" s="29"/>
    </row>
    <row r="441" spans="3:22">
      <c r="C441" s="125">
        <v>45373</v>
      </c>
      <c r="D441" s="34">
        <v>177.75</v>
      </c>
      <c r="E441" s="115">
        <v>179.26</v>
      </c>
      <c r="F441" s="34">
        <v>176.75</v>
      </c>
      <c r="G441" s="34">
        <v>178.87</v>
      </c>
      <c r="H441" s="34">
        <v>178.87</v>
      </c>
      <c r="I441" s="29">
        <v>27995400</v>
      </c>
      <c r="P441" s="125"/>
      <c r="Q441" s="34"/>
      <c r="R441" s="115"/>
      <c r="S441" s="34"/>
      <c r="T441" s="34"/>
      <c r="U441" s="34"/>
      <c r="V441" s="29"/>
    </row>
    <row r="442" spans="3:22">
      <c r="C442" s="125">
        <v>45372</v>
      </c>
      <c r="D442" s="34">
        <v>179.99</v>
      </c>
      <c r="E442" s="115">
        <v>181.42</v>
      </c>
      <c r="F442" s="34">
        <v>178.15</v>
      </c>
      <c r="G442" s="34">
        <v>178.15</v>
      </c>
      <c r="H442" s="34">
        <v>178.15</v>
      </c>
      <c r="I442" s="29">
        <v>32824300</v>
      </c>
      <c r="P442" s="125"/>
      <c r="Q442" s="34"/>
      <c r="R442" s="115"/>
      <c r="S442" s="34"/>
      <c r="T442" s="34"/>
      <c r="U442" s="34"/>
      <c r="V442" s="29"/>
    </row>
    <row r="443" spans="3:22">
      <c r="C443" s="125">
        <v>45371</v>
      </c>
      <c r="D443" s="34">
        <v>176.14</v>
      </c>
      <c r="E443" s="115">
        <v>178.53</v>
      </c>
      <c r="F443" s="34">
        <v>174.64</v>
      </c>
      <c r="G443" s="34">
        <v>178.15</v>
      </c>
      <c r="H443" s="34">
        <v>178.15</v>
      </c>
      <c r="I443" s="29">
        <v>29947200</v>
      </c>
      <c r="P443" s="125"/>
      <c r="Q443" s="34"/>
      <c r="R443" s="115"/>
      <c r="S443" s="34"/>
      <c r="T443" s="34"/>
      <c r="U443" s="34"/>
      <c r="V443" s="29"/>
    </row>
    <row r="444" spans="3:22">
      <c r="C444" s="125">
        <v>45370</v>
      </c>
      <c r="D444" s="34">
        <v>174.22</v>
      </c>
      <c r="E444" s="115">
        <v>176.09</v>
      </c>
      <c r="F444" s="34">
        <v>173.52</v>
      </c>
      <c r="G444" s="34">
        <v>175.9</v>
      </c>
      <c r="H444" s="34">
        <v>175.9</v>
      </c>
      <c r="I444" s="29">
        <v>26880900</v>
      </c>
      <c r="P444" s="125"/>
      <c r="Q444" s="34"/>
      <c r="R444" s="115"/>
      <c r="S444" s="34"/>
      <c r="T444" s="34"/>
      <c r="U444" s="34"/>
      <c r="V444" s="29"/>
    </row>
    <row r="445" spans="3:22">
      <c r="C445" s="125">
        <v>45369</v>
      </c>
      <c r="D445" s="34">
        <v>175.8</v>
      </c>
      <c r="E445" s="115">
        <v>176.69</v>
      </c>
      <c r="F445" s="34">
        <v>174.28</v>
      </c>
      <c r="G445" s="34">
        <v>174.48</v>
      </c>
      <c r="H445" s="34">
        <v>174.48</v>
      </c>
      <c r="I445" s="29">
        <v>31250700</v>
      </c>
      <c r="P445" s="125"/>
      <c r="Q445" s="34"/>
      <c r="R445" s="115"/>
      <c r="S445" s="34"/>
      <c r="T445" s="34"/>
      <c r="U445" s="34"/>
      <c r="V445" s="29"/>
    </row>
    <row r="446" spans="3:22">
      <c r="C446" s="125">
        <v>45366</v>
      </c>
      <c r="D446" s="34">
        <v>176.64</v>
      </c>
      <c r="E446" s="115">
        <v>177.93</v>
      </c>
      <c r="F446" s="34">
        <v>173.9</v>
      </c>
      <c r="G446" s="34">
        <v>174.42</v>
      </c>
      <c r="H446" s="34">
        <v>174.42</v>
      </c>
      <c r="I446" s="29">
        <v>72147400</v>
      </c>
      <c r="P446" s="125"/>
      <c r="Q446" s="34"/>
      <c r="R446" s="115"/>
      <c r="S446" s="34"/>
      <c r="T446" s="34"/>
      <c r="U446" s="34"/>
      <c r="V446" s="29"/>
    </row>
    <row r="447" spans="3:22">
      <c r="C447" s="125">
        <v>45365</v>
      </c>
      <c r="D447" s="34">
        <v>177.69</v>
      </c>
      <c r="E447" s="115">
        <v>179.53</v>
      </c>
      <c r="F447" s="34">
        <v>176.47</v>
      </c>
      <c r="G447" s="34">
        <v>178.75</v>
      </c>
      <c r="H447" s="34">
        <v>178.75</v>
      </c>
      <c r="I447" s="29">
        <v>43705800</v>
      </c>
      <c r="P447" s="125"/>
      <c r="Q447" s="34"/>
      <c r="R447" s="115"/>
      <c r="S447" s="34"/>
      <c r="T447" s="34"/>
      <c r="U447" s="34"/>
      <c r="V447" s="29"/>
    </row>
    <row r="448" spans="3:22">
      <c r="C448" s="125">
        <v>45364</v>
      </c>
      <c r="D448" s="34">
        <v>175.9</v>
      </c>
      <c r="E448" s="115">
        <v>177.62</v>
      </c>
      <c r="F448" s="34">
        <v>175.55</v>
      </c>
      <c r="G448" s="34">
        <v>176.56</v>
      </c>
      <c r="H448" s="34">
        <v>176.56</v>
      </c>
      <c r="I448" s="29">
        <v>30772600</v>
      </c>
      <c r="P448" s="125"/>
      <c r="Q448" s="34"/>
      <c r="R448" s="115"/>
      <c r="S448" s="34"/>
      <c r="T448" s="34"/>
      <c r="U448" s="34"/>
      <c r="V448" s="29"/>
    </row>
    <row r="449" spans="3:22">
      <c r="C449" s="125">
        <v>45363</v>
      </c>
      <c r="D449" s="34">
        <v>173.5</v>
      </c>
      <c r="E449" s="115">
        <v>176.76</v>
      </c>
      <c r="F449" s="34">
        <v>171.98</v>
      </c>
      <c r="G449" s="34">
        <v>175.39</v>
      </c>
      <c r="H449" s="34">
        <v>175.39</v>
      </c>
      <c r="I449" s="29">
        <v>36610600</v>
      </c>
      <c r="P449" s="125"/>
      <c r="Q449" s="34"/>
      <c r="R449" s="115"/>
      <c r="S449" s="34"/>
      <c r="T449" s="34"/>
      <c r="U449" s="34"/>
      <c r="V449" s="29"/>
    </row>
    <row r="450" spans="3:22">
      <c r="C450" s="125">
        <v>45362</v>
      </c>
      <c r="D450" s="34">
        <v>174.31</v>
      </c>
      <c r="E450" s="115">
        <v>174.47</v>
      </c>
      <c r="F450" s="34">
        <v>171.47</v>
      </c>
      <c r="G450" s="34">
        <v>171.96</v>
      </c>
      <c r="H450" s="34">
        <v>171.96</v>
      </c>
      <c r="I450" s="29">
        <v>28484800</v>
      </c>
      <c r="P450" s="125"/>
      <c r="Q450" s="34"/>
      <c r="R450" s="115"/>
      <c r="S450" s="34"/>
      <c r="T450" s="34"/>
      <c r="U450" s="34"/>
      <c r="V450" s="29"/>
    </row>
    <row r="451" spans="3:22">
      <c r="C451" s="125">
        <v>45359</v>
      </c>
      <c r="D451" s="34">
        <v>176.44</v>
      </c>
      <c r="E451" s="115">
        <v>178.79</v>
      </c>
      <c r="F451" s="34">
        <v>174.33</v>
      </c>
      <c r="G451" s="34">
        <v>175.35</v>
      </c>
      <c r="H451" s="34">
        <v>175.35</v>
      </c>
      <c r="I451" s="29">
        <v>37893200</v>
      </c>
      <c r="P451" s="125"/>
      <c r="Q451" s="34"/>
      <c r="R451" s="115"/>
      <c r="S451" s="34"/>
      <c r="T451" s="34"/>
      <c r="U451" s="34"/>
      <c r="V451" s="29"/>
    </row>
    <row r="452" spans="3:22">
      <c r="C452" s="125">
        <v>45358</v>
      </c>
      <c r="D452" s="34">
        <v>174.83</v>
      </c>
      <c r="E452" s="115">
        <v>177.99</v>
      </c>
      <c r="F452" s="34">
        <v>173.72</v>
      </c>
      <c r="G452" s="34">
        <v>176.82</v>
      </c>
      <c r="H452" s="34">
        <v>176.82</v>
      </c>
      <c r="I452" s="29">
        <v>34063300</v>
      </c>
      <c r="P452" s="125"/>
      <c r="Q452" s="34"/>
      <c r="R452" s="115"/>
      <c r="S452" s="34"/>
      <c r="T452" s="34"/>
      <c r="U452" s="34"/>
      <c r="V452" s="29"/>
    </row>
    <row r="453" spans="3:22">
      <c r="C453" s="125">
        <v>45357</v>
      </c>
      <c r="D453" s="34">
        <v>175.54</v>
      </c>
      <c r="E453" s="115">
        <v>176.46</v>
      </c>
      <c r="F453" s="34">
        <v>173.26</v>
      </c>
      <c r="G453" s="34">
        <v>173.51</v>
      </c>
      <c r="H453" s="34">
        <v>173.51</v>
      </c>
      <c r="I453" s="29">
        <v>32090900</v>
      </c>
      <c r="P453" s="125"/>
      <c r="Q453" s="34"/>
      <c r="R453" s="115"/>
      <c r="S453" s="34"/>
      <c r="T453" s="34"/>
      <c r="U453" s="34"/>
      <c r="V453" s="29"/>
    </row>
    <row r="454" spans="3:22">
      <c r="C454" s="125">
        <v>45356</v>
      </c>
      <c r="D454" s="34">
        <v>176.93</v>
      </c>
      <c r="E454" s="115">
        <v>176.93</v>
      </c>
      <c r="F454" s="34">
        <v>173.3</v>
      </c>
      <c r="G454" s="34">
        <v>174.12</v>
      </c>
      <c r="H454" s="34">
        <v>174.12</v>
      </c>
      <c r="I454" s="29">
        <v>37228300</v>
      </c>
      <c r="P454" s="125"/>
      <c r="Q454" s="34"/>
      <c r="R454" s="115"/>
      <c r="S454" s="34"/>
      <c r="T454" s="34"/>
      <c r="U454" s="34"/>
      <c r="V454" s="29"/>
    </row>
    <row r="455" spans="3:22">
      <c r="C455" s="125">
        <v>45355</v>
      </c>
      <c r="D455" s="34">
        <v>177.53</v>
      </c>
      <c r="E455" s="115">
        <v>180.14</v>
      </c>
      <c r="F455" s="34">
        <v>177.49</v>
      </c>
      <c r="G455" s="34">
        <v>177.58</v>
      </c>
      <c r="H455" s="34">
        <v>177.58</v>
      </c>
      <c r="I455" s="29">
        <v>37381500</v>
      </c>
      <c r="P455" s="125"/>
      <c r="Q455" s="34"/>
      <c r="R455" s="115"/>
      <c r="S455" s="34"/>
      <c r="T455" s="34"/>
      <c r="U455" s="34"/>
      <c r="V455" s="29"/>
    </row>
    <row r="456" spans="3:22">
      <c r="C456" s="125">
        <v>45352</v>
      </c>
      <c r="D456" s="34">
        <v>176.75</v>
      </c>
      <c r="E456" s="115">
        <v>178.73</v>
      </c>
      <c r="F456" s="34">
        <v>176.07</v>
      </c>
      <c r="G456" s="34">
        <v>178.22</v>
      </c>
      <c r="H456" s="34">
        <v>178.22</v>
      </c>
      <c r="I456" s="29">
        <v>31981200</v>
      </c>
      <c r="P456" s="125"/>
      <c r="Q456" s="34"/>
      <c r="R456" s="115"/>
      <c r="S456" s="34"/>
      <c r="T456" s="34"/>
      <c r="U456" s="34"/>
      <c r="V456" s="29"/>
    </row>
    <row r="457" spans="3:22">
      <c r="C457" s="125">
        <v>45351</v>
      </c>
      <c r="D457" s="34">
        <v>173.01</v>
      </c>
      <c r="E457" s="115">
        <v>177.22</v>
      </c>
      <c r="F457" s="34">
        <v>172.85</v>
      </c>
      <c r="G457" s="34">
        <v>176.76</v>
      </c>
      <c r="H457" s="34">
        <v>176.76</v>
      </c>
      <c r="I457" s="29">
        <v>53805400</v>
      </c>
      <c r="P457" s="125"/>
      <c r="Q457" s="34"/>
      <c r="R457" s="115"/>
      <c r="S457" s="34"/>
      <c r="T457" s="34"/>
      <c r="U457" s="34"/>
      <c r="V457" s="29"/>
    </row>
    <row r="458" spans="3:22">
      <c r="C458" s="125">
        <v>45350</v>
      </c>
      <c r="D458" s="34">
        <v>172.44</v>
      </c>
      <c r="E458" s="115">
        <v>174.05</v>
      </c>
      <c r="F458" s="34">
        <v>172.27</v>
      </c>
      <c r="G458" s="34">
        <v>173.16</v>
      </c>
      <c r="H458" s="34">
        <v>173.16</v>
      </c>
      <c r="I458" s="29">
        <v>28180500</v>
      </c>
      <c r="P458" s="125"/>
      <c r="Q458" s="34"/>
      <c r="R458" s="115"/>
      <c r="S458" s="34"/>
      <c r="T458" s="34"/>
      <c r="U458" s="34"/>
      <c r="V458" s="29"/>
    </row>
    <row r="459" spans="3:22">
      <c r="C459" s="125">
        <v>45349</v>
      </c>
      <c r="D459" s="34">
        <v>174.08</v>
      </c>
      <c r="E459" s="115">
        <v>174.62</v>
      </c>
      <c r="F459" s="34">
        <v>172.86</v>
      </c>
      <c r="G459" s="34">
        <v>173.54</v>
      </c>
      <c r="H459" s="34">
        <v>173.54</v>
      </c>
      <c r="I459" s="29">
        <v>31141700</v>
      </c>
      <c r="P459" s="125"/>
      <c r="Q459" s="34"/>
      <c r="R459" s="115"/>
      <c r="S459" s="34"/>
      <c r="T459" s="34"/>
      <c r="U459" s="34"/>
      <c r="V459" s="29"/>
    </row>
    <row r="460" spans="3:22">
      <c r="C460" s="125">
        <v>45348</v>
      </c>
      <c r="D460" s="34">
        <v>175.7</v>
      </c>
      <c r="E460" s="115">
        <v>176.37</v>
      </c>
      <c r="F460" s="34">
        <v>174.26</v>
      </c>
      <c r="G460" s="34">
        <v>174.73</v>
      </c>
      <c r="H460" s="34">
        <v>174.73</v>
      </c>
      <c r="I460" s="29">
        <v>44368600</v>
      </c>
      <c r="P460" s="125"/>
      <c r="Q460" s="34"/>
      <c r="R460" s="115"/>
      <c r="S460" s="34"/>
      <c r="T460" s="34"/>
      <c r="U460" s="34"/>
      <c r="V460" s="29"/>
    </row>
    <row r="461" spans="3:22">
      <c r="C461" s="125">
        <v>45345</v>
      </c>
      <c r="D461" s="34">
        <v>174.28</v>
      </c>
      <c r="E461" s="115">
        <v>175.75</v>
      </c>
      <c r="F461" s="34">
        <v>173.7</v>
      </c>
      <c r="G461" s="34">
        <v>174.99</v>
      </c>
      <c r="H461" s="34">
        <v>174.99</v>
      </c>
      <c r="I461" s="29">
        <v>59715200</v>
      </c>
      <c r="P461" s="125"/>
      <c r="Q461" s="34"/>
      <c r="R461" s="115"/>
      <c r="S461" s="34"/>
      <c r="T461" s="34"/>
      <c r="U461" s="34"/>
      <c r="V461" s="29"/>
    </row>
    <row r="462" spans="3:22">
      <c r="C462" s="125">
        <v>45344</v>
      </c>
      <c r="D462" s="34">
        <v>173.1</v>
      </c>
      <c r="E462" s="115">
        <v>174.8</v>
      </c>
      <c r="F462" s="34">
        <v>171.77</v>
      </c>
      <c r="G462" s="34">
        <v>174.58</v>
      </c>
      <c r="H462" s="34">
        <v>174.58</v>
      </c>
      <c r="I462" s="29">
        <v>55392400</v>
      </c>
      <c r="P462" s="125"/>
      <c r="Q462" s="34"/>
      <c r="R462" s="115"/>
      <c r="S462" s="34"/>
      <c r="T462" s="34"/>
      <c r="U462" s="34"/>
      <c r="V462" s="29"/>
    </row>
    <row r="463" spans="3:22">
      <c r="C463" s="125">
        <v>45343</v>
      </c>
      <c r="D463" s="34">
        <v>168.94</v>
      </c>
      <c r="E463" s="115">
        <v>170.23</v>
      </c>
      <c r="F463" s="34">
        <v>167.14</v>
      </c>
      <c r="G463" s="34">
        <v>168.59</v>
      </c>
      <c r="H463" s="34">
        <v>168.59</v>
      </c>
      <c r="I463" s="29">
        <v>44420100</v>
      </c>
      <c r="P463" s="125"/>
      <c r="Q463" s="34"/>
      <c r="R463" s="115"/>
      <c r="S463" s="34"/>
      <c r="T463" s="34"/>
      <c r="U463" s="34"/>
      <c r="V463" s="29"/>
    </row>
    <row r="464" spans="3:22">
      <c r="C464" s="125">
        <v>45342</v>
      </c>
      <c r="D464" s="34">
        <v>167.83</v>
      </c>
      <c r="E464" s="115">
        <v>168.71</v>
      </c>
      <c r="F464" s="34">
        <v>165.74</v>
      </c>
      <c r="G464" s="34">
        <v>167.08</v>
      </c>
      <c r="H464" s="34">
        <v>167.08</v>
      </c>
      <c r="I464" s="29">
        <v>41980300</v>
      </c>
      <c r="P464" s="125"/>
      <c r="Q464" s="34"/>
      <c r="R464" s="115"/>
      <c r="S464" s="34"/>
      <c r="T464" s="34"/>
      <c r="U464" s="34"/>
      <c r="V464" s="29"/>
    </row>
    <row r="465" spans="3:22">
      <c r="C465" s="125">
        <v>45338</v>
      </c>
      <c r="D465" s="34">
        <v>168.74</v>
      </c>
      <c r="E465" s="115">
        <v>170.42</v>
      </c>
      <c r="F465" s="34">
        <v>167.17</v>
      </c>
      <c r="G465" s="34">
        <v>169.51</v>
      </c>
      <c r="H465" s="34">
        <v>169.51</v>
      </c>
      <c r="I465" s="29">
        <v>48107700</v>
      </c>
      <c r="P465" s="125"/>
      <c r="Q465" s="34"/>
      <c r="R465" s="115"/>
      <c r="S465" s="34"/>
      <c r="T465" s="34"/>
      <c r="U465" s="34"/>
      <c r="V465" s="29"/>
    </row>
    <row r="466" spans="3:22">
      <c r="C466" s="125">
        <v>45337</v>
      </c>
      <c r="D466" s="34">
        <v>170.58</v>
      </c>
      <c r="E466" s="115">
        <v>171.17</v>
      </c>
      <c r="F466" s="34">
        <v>167.59</v>
      </c>
      <c r="G466" s="34">
        <v>169.8</v>
      </c>
      <c r="H466" s="34">
        <v>169.8</v>
      </c>
      <c r="I466" s="29">
        <v>49855200</v>
      </c>
      <c r="P466" s="125"/>
      <c r="Q466" s="34"/>
      <c r="R466" s="115"/>
      <c r="S466" s="34"/>
      <c r="T466" s="34"/>
      <c r="U466" s="34"/>
      <c r="V466" s="29"/>
    </row>
    <row r="467" spans="3:22">
      <c r="C467" s="125">
        <v>45336</v>
      </c>
      <c r="D467" s="34">
        <v>169.21</v>
      </c>
      <c r="E467" s="115">
        <v>171.21</v>
      </c>
      <c r="F467" s="34">
        <v>168.28</v>
      </c>
      <c r="G467" s="34">
        <v>170.98</v>
      </c>
      <c r="H467" s="34">
        <v>170.98</v>
      </c>
      <c r="I467" s="29">
        <v>42815500</v>
      </c>
      <c r="P467" s="125"/>
      <c r="Q467" s="34"/>
      <c r="R467" s="115"/>
      <c r="S467" s="34"/>
      <c r="T467" s="34"/>
      <c r="U467" s="34"/>
      <c r="V467" s="29"/>
    </row>
    <row r="468" spans="3:22">
      <c r="C468" s="125">
        <v>45335</v>
      </c>
      <c r="D468" s="34">
        <v>167.73</v>
      </c>
      <c r="E468" s="115">
        <v>170.95</v>
      </c>
      <c r="F468" s="34">
        <v>165.75</v>
      </c>
      <c r="G468" s="34">
        <v>168.64</v>
      </c>
      <c r="H468" s="34">
        <v>168.64</v>
      </c>
      <c r="I468" s="29">
        <v>56345100</v>
      </c>
      <c r="P468" s="125"/>
      <c r="Q468" s="34"/>
      <c r="R468" s="115"/>
      <c r="S468" s="34"/>
      <c r="T468" s="34"/>
      <c r="U468" s="34"/>
      <c r="V468" s="29"/>
    </row>
    <row r="469" spans="3:22">
      <c r="C469" s="125">
        <v>45334</v>
      </c>
      <c r="D469" s="34">
        <v>174.8</v>
      </c>
      <c r="E469" s="115">
        <v>175.39</v>
      </c>
      <c r="F469" s="34">
        <v>171.54</v>
      </c>
      <c r="G469" s="34">
        <v>172.34</v>
      </c>
      <c r="H469" s="34">
        <v>172.34</v>
      </c>
      <c r="I469" s="29">
        <v>51050400</v>
      </c>
      <c r="P469" s="125"/>
      <c r="Q469" s="34"/>
      <c r="R469" s="115"/>
      <c r="S469" s="34"/>
      <c r="T469" s="34"/>
      <c r="U469" s="34"/>
      <c r="V469" s="29"/>
    </row>
    <row r="470" spans="3:22">
      <c r="C470" s="125">
        <v>45331</v>
      </c>
      <c r="D470" s="34">
        <v>170.9</v>
      </c>
      <c r="E470" s="115">
        <v>175</v>
      </c>
      <c r="F470" s="34">
        <v>170.58</v>
      </c>
      <c r="G470" s="34">
        <v>174.45</v>
      </c>
      <c r="H470" s="34">
        <v>174.45</v>
      </c>
      <c r="I470" s="29">
        <v>56986000</v>
      </c>
      <c r="P470" s="125"/>
      <c r="Q470" s="34"/>
      <c r="R470" s="115"/>
      <c r="S470" s="34"/>
      <c r="T470" s="34"/>
      <c r="U470" s="34"/>
      <c r="V470" s="29"/>
    </row>
    <row r="471" spans="3:22">
      <c r="C471" s="125">
        <v>45330</v>
      </c>
      <c r="D471" s="34">
        <v>169.65</v>
      </c>
      <c r="E471" s="115">
        <v>171.43</v>
      </c>
      <c r="F471" s="34">
        <v>168.88</v>
      </c>
      <c r="G471" s="34">
        <v>169.84</v>
      </c>
      <c r="H471" s="34">
        <v>169.84</v>
      </c>
      <c r="I471" s="29">
        <v>42316500</v>
      </c>
      <c r="P471" s="125"/>
      <c r="Q471" s="34"/>
      <c r="R471" s="115"/>
      <c r="S471" s="34"/>
      <c r="T471" s="34"/>
      <c r="U471" s="34"/>
      <c r="V471" s="29"/>
    </row>
    <row r="472" spans="3:22">
      <c r="C472" s="125">
        <v>45329</v>
      </c>
      <c r="D472" s="34">
        <v>169.48</v>
      </c>
      <c r="E472" s="115">
        <v>170.88</v>
      </c>
      <c r="F472" s="34">
        <v>168.94</v>
      </c>
      <c r="G472" s="34">
        <v>170.53</v>
      </c>
      <c r="H472" s="34">
        <v>170.53</v>
      </c>
      <c r="I472" s="29">
        <v>47174100</v>
      </c>
      <c r="P472" s="125"/>
      <c r="Q472" s="34"/>
      <c r="R472" s="115"/>
      <c r="S472" s="34"/>
      <c r="T472" s="34"/>
      <c r="U472" s="34"/>
      <c r="V472" s="29"/>
    </row>
    <row r="473" spans="3:22">
      <c r="C473" s="125">
        <v>45328</v>
      </c>
      <c r="D473" s="34">
        <v>169.39</v>
      </c>
      <c r="E473" s="115">
        <v>170.71</v>
      </c>
      <c r="F473" s="34">
        <v>167.65</v>
      </c>
      <c r="G473" s="34">
        <v>169.15</v>
      </c>
      <c r="H473" s="34">
        <v>169.15</v>
      </c>
      <c r="I473" s="29">
        <v>42505500</v>
      </c>
      <c r="P473" s="125"/>
      <c r="Q473" s="34"/>
      <c r="R473" s="115"/>
      <c r="S473" s="34"/>
      <c r="T473" s="34"/>
      <c r="U473" s="34"/>
      <c r="V473" s="29"/>
    </row>
    <row r="474" spans="3:22">
      <c r="C474" s="125">
        <v>45327</v>
      </c>
      <c r="D474" s="34">
        <v>170.2</v>
      </c>
      <c r="E474" s="115">
        <v>170.55</v>
      </c>
      <c r="F474" s="34">
        <v>167.7</v>
      </c>
      <c r="G474" s="34">
        <v>170.31</v>
      </c>
      <c r="H474" s="34">
        <v>170.31</v>
      </c>
      <c r="I474" s="29">
        <v>55081300</v>
      </c>
      <c r="P474" s="125"/>
      <c r="Q474" s="34"/>
      <c r="R474" s="115"/>
      <c r="S474" s="34"/>
      <c r="T474" s="34"/>
      <c r="U474" s="34"/>
      <c r="V474" s="29"/>
    </row>
    <row r="475" spans="3:22">
      <c r="C475" s="125">
        <v>45324</v>
      </c>
      <c r="D475" s="34">
        <v>169.19</v>
      </c>
      <c r="E475" s="115">
        <v>172.5</v>
      </c>
      <c r="F475" s="34">
        <v>167.33</v>
      </c>
      <c r="G475" s="34">
        <v>171.81</v>
      </c>
      <c r="H475" s="34">
        <v>171.81</v>
      </c>
      <c r="I475" s="29">
        <v>117218300</v>
      </c>
      <c r="P475" s="125"/>
      <c r="Q475" s="34"/>
      <c r="R475" s="115"/>
      <c r="S475" s="34"/>
      <c r="T475" s="34"/>
      <c r="U475" s="34"/>
      <c r="V475" s="29"/>
    </row>
    <row r="476" spans="3:22">
      <c r="C476" s="125">
        <v>45323</v>
      </c>
      <c r="D476" s="34">
        <v>155.87</v>
      </c>
      <c r="E476" s="115">
        <v>159.76</v>
      </c>
      <c r="F476" s="34">
        <v>155.62</v>
      </c>
      <c r="G476" s="34">
        <v>159.28</v>
      </c>
      <c r="H476" s="34">
        <v>159.28</v>
      </c>
      <c r="I476" s="29">
        <v>76542400</v>
      </c>
      <c r="P476" s="125"/>
      <c r="Q476" s="34"/>
      <c r="R476" s="115"/>
      <c r="S476" s="34"/>
      <c r="T476" s="34"/>
      <c r="U476" s="34"/>
      <c r="V476" s="29"/>
    </row>
    <row r="477" spans="3:22">
      <c r="C477" s="125">
        <v>45322</v>
      </c>
      <c r="D477" s="34">
        <v>157</v>
      </c>
      <c r="E477" s="115">
        <v>159.01</v>
      </c>
      <c r="F477" s="34">
        <v>154.81</v>
      </c>
      <c r="G477" s="34">
        <v>155.19999999999999</v>
      </c>
      <c r="H477" s="34">
        <v>155.19999999999999</v>
      </c>
      <c r="I477" s="29">
        <v>50284400</v>
      </c>
      <c r="P477" s="125"/>
      <c r="Q477" s="34"/>
      <c r="R477" s="115"/>
      <c r="S477" s="34"/>
      <c r="T477" s="34"/>
      <c r="U477" s="34"/>
      <c r="V477" s="29"/>
    </row>
    <row r="478" spans="3:22">
      <c r="C478" s="125">
        <v>45321</v>
      </c>
      <c r="D478" s="34">
        <v>160.69999999999999</v>
      </c>
      <c r="E478" s="115">
        <v>161.72999999999999</v>
      </c>
      <c r="F478" s="34">
        <v>158.49</v>
      </c>
      <c r="G478" s="34">
        <v>159</v>
      </c>
      <c r="H478" s="34">
        <v>159</v>
      </c>
      <c r="I478" s="29">
        <v>45207400</v>
      </c>
      <c r="P478" s="125"/>
      <c r="Q478" s="34"/>
      <c r="R478" s="115"/>
      <c r="S478" s="34"/>
      <c r="T478" s="34"/>
      <c r="U478" s="34"/>
      <c r="V478" s="29"/>
    </row>
    <row r="479" spans="3:22">
      <c r="C479" s="125">
        <v>45320</v>
      </c>
      <c r="D479" s="34">
        <v>159.34</v>
      </c>
      <c r="E479" s="115">
        <v>161.29</v>
      </c>
      <c r="F479" s="34">
        <v>158.9</v>
      </c>
      <c r="G479" s="34">
        <v>161.26</v>
      </c>
      <c r="H479" s="34">
        <v>161.26</v>
      </c>
      <c r="I479" s="29">
        <v>45270400</v>
      </c>
      <c r="P479" s="125"/>
      <c r="Q479" s="34"/>
      <c r="R479" s="115"/>
      <c r="S479" s="34"/>
      <c r="T479" s="34"/>
      <c r="U479" s="34"/>
      <c r="V479" s="29"/>
    </row>
    <row r="480" spans="3:22">
      <c r="C480" s="125">
        <v>45317</v>
      </c>
      <c r="D480" s="34">
        <v>158.41999999999999</v>
      </c>
      <c r="E480" s="115">
        <v>160.72</v>
      </c>
      <c r="F480" s="34">
        <v>157.91</v>
      </c>
      <c r="G480" s="34">
        <v>159.12</v>
      </c>
      <c r="H480" s="34">
        <v>159.12</v>
      </c>
      <c r="I480" s="29">
        <v>51047400</v>
      </c>
      <c r="P480" s="125"/>
      <c r="Q480" s="34"/>
      <c r="R480" s="115"/>
      <c r="S480" s="34"/>
      <c r="T480" s="34"/>
      <c r="U480" s="34"/>
      <c r="V480" s="29"/>
    </row>
    <row r="481" spans="3:22">
      <c r="C481" s="125">
        <v>45316</v>
      </c>
      <c r="D481" s="34">
        <v>156.94999999999999</v>
      </c>
      <c r="E481" s="115">
        <v>158.51</v>
      </c>
      <c r="F481" s="34">
        <v>154.55000000000001</v>
      </c>
      <c r="G481" s="34">
        <v>157.75</v>
      </c>
      <c r="H481" s="34">
        <v>157.75</v>
      </c>
      <c r="I481" s="29">
        <v>43638600</v>
      </c>
      <c r="P481" s="125"/>
      <c r="Q481" s="34"/>
      <c r="R481" s="115"/>
      <c r="S481" s="34"/>
      <c r="T481" s="34"/>
      <c r="U481" s="34"/>
      <c r="V481" s="29"/>
    </row>
    <row r="482" spans="3:22">
      <c r="C482" s="125">
        <v>45315</v>
      </c>
      <c r="D482" s="34">
        <v>157.80000000000001</v>
      </c>
      <c r="E482" s="115">
        <v>158.51</v>
      </c>
      <c r="F482" s="34">
        <v>156.47999999999999</v>
      </c>
      <c r="G482" s="34">
        <v>156.87</v>
      </c>
      <c r="H482" s="34">
        <v>156.87</v>
      </c>
      <c r="I482" s="29">
        <v>48547300</v>
      </c>
      <c r="P482" s="125"/>
      <c r="Q482" s="34"/>
      <c r="R482" s="115"/>
      <c r="S482" s="34"/>
      <c r="T482" s="34"/>
      <c r="U482" s="34"/>
      <c r="V482" s="29"/>
    </row>
    <row r="483" spans="3:22">
      <c r="C483" s="125">
        <v>45314</v>
      </c>
      <c r="D483" s="34">
        <v>154.85</v>
      </c>
      <c r="E483" s="115">
        <v>156.21</v>
      </c>
      <c r="F483" s="34">
        <v>153.93</v>
      </c>
      <c r="G483" s="34">
        <v>156.02000000000001</v>
      </c>
      <c r="H483" s="34">
        <v>156.02000000000001</v>
      </c>
      <c r="I483" s="29">
        <v>37986000</v>
      </c>
      <c r="P483" s="125"/>
      <c r="Q483" s="34"/>
      <c r="R483" s="115"/>
      <c r="S483" s="34"/>
      <c r="T483" s="34"/>
      <c r="U483" s="34"/>
      <c r="V483" s="29"/>
    </row>
    <row r="484" spans="3:22">
      <c r="C484" s="125">
        <v>45313</v>
      </c>
      <c r="D484" s="34">
        <v>156.88999999999999</v>
      </c>
      <c r="E484" s="115">
        <v>157.05000000000001</v>
      </c>
      <c r="F484" s="34">
        <v>153.9</v>
      </c>
      <c r="G484" s="34">
        <v>154.78</v>
      </c>
      <c r="H484" s="34">
        <v>154.78</v>
      </c>
      <c r="I484" s="29">
        <v>43687500</v>
      </c>
      <c r="P484" s="125"/>
      <c r="Q484" s="34"/>
      <c r="R484" s="115"/>
      <c r="S484" s="34"/>
      <c r="T484" s="34"/>
      <c r="U484" s="34"/>
      <c r="V484" s="29"/>
    </row>
    <row r="485" spans="3:22">
      <c r="C485" s="125">
        <v>45310</v>
      </c>
      <c r="D485" s="34">
        <v>153.83000000000001</v>
      </c>
      <c r="E485" s="115">
        <v>155.76</v>
      </c>
      <c r="F485" s="34">
        <v>152.74</v>
      </c>
      <c r="G485" s="34">
        <v>155.34</v>
      </c>
      <c r="H485" s="34">
        <v>155.34</v>
      </c>
      <c r="I485" s="29">
        <v>51651600</v>
      </c>
      <c r="P485" s="125"/>
      <c r="Q485" s="34"/>
      <c r="R485" s="115"/>
      <c r="S485" s="34"/>
      <c r="T485" s="34"/>
      <c r="U485" s="34"/>
      <c r="V485" s="29"/>
    </row>
    <row r="486" spans="3:22">
      <c r="C486" s="125">
        <v>45309</v>
      </c>
      <c r="D486" s="34">
        <v>152.77000000000001</v>
      </c>
      <c r="E486" s="115">
        <v>153.78</v>
      </c>
      <c r="F486" s="34">
        <v>151.82</v>
      </c>
      <c r="G486" s="34">
        <v>153.5</v>
      </c>
      <c r="H486" s="34">
        <v>153.5</v>
      </c>
      <c r="I486" s="29">
        <v>37850200</v>
      </c>
      <c r="P486" s="125"/>
      <c r="Q486" s="34"/>
      <c r="R486" s="115"/>
      <c r="S486" s="34"/>
      <c r="T486" s="34"/>
      <c r="U486" s="34"/>
      <c r="V486" s="29"/>
    </row>
    <row r="487" spans="3:22">
      <c r="C487" s="125">
        <v>45308</v>
      </c>
      <c r="D487" s="34">
        <v>151.49</v>
      </c>
      <c r="E487" s="115">
        <v>152.15</v>
      </c>
      <c r="F487" s="34">
        <v>149.91</v>
      </c>
      <c r="G487" s="34">
        <v>151.71</v>
      </c>
      <c r="H487" s="34">
        <v>151.71</v>
      </c>
      <c r="I487" s="29">
        <v>34953400</v>
      </c>
      <c r="P487" s="125"/>
      <c r="Q487" s="34"/>
      <c r="R487" s="115"/>
      <c r="S487" s="34"/>
      <c r="T487" s="34"/>
      <c r="U487" s="34"/>
      <c r="V487" s="29"/>
    </row>
    <row r="488" spans="3:22">
      <c r="C488" s="125">
        <v>45307</v>
      </c>
      <c r="D488" s="34">
        <v>153.53</v>
      </c>
      <c r="E488" s="115">
        <v>154.99</v>
      </c>
      <c r="F488" s="34">
        <v>152.15</v>
      </c>
      <c r="G488" s="34">
        <v>153.16</v>
      </c>
      <c r="H488" s="34">
        <v>153.16</v>
      </c>
      <c r="I488" s="29">
        <v>41384600</v>
      </c>
      <c r="P488" s="125"/>
      <c r="Q488" s="34"/>
      <c r="R488" s="115"/>
      <c r="S488" s="34"/>
      <c r="T488" s="34"/>
      <c r="U488" s="34"/>
      <c r="V488" s="29"/>
    </row>
    <row r="489" spans="3:22">
      <c r="C489" s="125">
        <v>45303</v>
      </c>
      <c r="D489" s="34">
        <v>155.38999999999999</v>
      </c>
      <c r="E489" s="115">
        <v>156.19999999999999</v>
      </c>
      <c r="F489" s="34">
        <v>154.01</v>
      </c>
      <c r="G489" s="34">
        <v>154.62</v>
      </c>
      <c r="H489" s="34">
        <v>154.62</v>
      </c>
      <c r="I489" s="29">
        <v>40484200</v>
      </c>
      <c r="P489" s="125"/>
      <c r="Q489" s="34"/>
      <c r="R489" s="115"/>
      <c r="S489" s="34"/>
      <c r="T489" s="34"/>
      <c r="U489" s="34"/>
      <c r="V489" s="29"/>
    </row>
    <row r="490" spans="3:22">
      <c r="C490" s="125">
        <v>45302</v>
      </c>
      <c r="D490" s="34">
        <v>155.04</v>
      </c>
      <c r="E490" s="115">
        <v>157.16999999999999</v>
      </c>
      <c r="F490" s="34">
        <v>153.12</v>
      </c>
      <c r="G490" s="34">
        <v>155.18</v>
      </c>
      <c r="H490" s="34">
        <v>155.18</v>
      </c>
      <c r="I490" s="29">
        <v>49072700</v>
      </c>
      <c r="P490" s="125"/>
      <c r="Q490" s="34"/>
      <c r="R490" s="115"/>
      <c r="S490" s="34"/>
      <c r="T490" s="34"/>
      <c r="U490" s="34"/>
      <c r="V490" s="29"/>
    </row>
    <row r="491" spans="3:22">
      <c r="C491" s="125">
        <v>45301</v>
      </c>
      <c r="D491" s="34">
        <v>152.06</v>
      </c>
      <c r="E491" s="115">
        <v>154.41999999999999</v>
      </c>
      <c r="F491" s="34">
        <v>151.88</v>
      </c>
      <c r="G491" s="34">
        <v>153.72999999999999</v>
      </c>
      <c r="H491" s="34">
        <v>153.72999999999999</v>
      </c>
      <c r="I491" s="29">
        <v>44421800</v>
      </c>
      <c r="P491" s="125"/>
      <c r="Q491" s="34"/>
      <c r="R491" s="115"/>
      <c r="S491" s="34"/>
      <c r="T491" s="34"/>
      <c r="U491" s="34"/>
      <c r="V491" s="29"/>
    </row>
    <row r="492" spans="3:22">
      <c r="C492" s="125">
        <v>45300</v>
      </c>
      <c r="D492" s="34">
        <v>148.33000000000001</v>
      </c>
      <c r="E492" s="115">
        <v>151.71</v>
      </c>
      <c r="F492" s="34">
        <v>148.21</v>
      </c>
      <c r="G492" s="34">
        <v>151.37</v>
      </c>
      <c r="H492" s="34">
        <v>151.37</v>
      </c>
      <c r="I492" s="29">
        <v>43812600</v>
      </c>
      <c r="P492" s="125"/>
      <c r="Q492" s="34"/>
      <c r="R492" s="115"/>
      <c r="S492" s="34"/>
      <c r="T492" s="34"/>
      <c r="U492" s="34"/>
      <c r="V492" s="29"/>
    </row>
    <row r="493" spans="3:22">
      <c r="C493" s="125">
        <v>45299</v>
      </c>
      <c r="D493" s="34">
        <v>146.74</v>
      </c>
      <c r="E493" s="115">
        <v>149.4</v>
      </c>
      <c r="F493" s="34">
        <v>146.15</v>
      </c>
      <c r="G493" s="34">
        <v>149.1</v>
      </c>
      <c r="H493" s="34">
        <v>149.1</v>
      </c>
      <c r="I493" s="29">
        <v>46757100</v>
      </c>
      <c r="P493" s="125"/>
      <c r="Q493" s="34"/>
      <c r="R493" s="115"/>
      <c r="S493" s="34"/>
      <c r="T493" s="34"/>
      <c r="U493" s="34"/>
      <c r="V493" s="29"/>
    </row>
    <row r="494" spans="3:22">
      <c r="C494" s="125">
        <v>45296</v>
      </c>
      <c r="D494" s="34">
        <v>144.69</v>
      </c>
      <c r="E494" s="115">
        <v>146.59</v>
      </c>
      <c r="F494" s="34">
        <v>144.53</v>
      </c>
      <c r="G494" s="34">
        <v>145.24</v>
      </c>
      <c r="H494" s="34">
        <v>145.24</v>
      </c>
      <c r="I494" s="29">
        <v>45153100</v>
      </c>
      <c r="P494" s="125"/>
      <c r="Q494" s="34"/>
      <c r="R494" s="115"/>
      <c r="S494" s="34"/>
      <c r="T494" s="34"/>
      <c r="U494" s="34"/>
      <c r="V494" s="29"/>
    </row>
    <row r="495" spans="3:22">
      <c r="C495" s="125">
        <v>45295</v>
      </c>
      <c r="D495" s="34">
        <v>145.59</v>
      </c>
      <c r="E495" s="115">
        <v>147.38</v>
      </c>
      <c r="F495" s="34">
        <v>144.05000000000001</v>
      </c>
      <c r="G495" s="34">
        <v>144.57</v>
      </c>
      <c r="H495" s="34">
        <v>144.57</v>
      </c>
      <c r="I495" s="29">
        <v>56039800</v>
      </c>
      <c r="P495" s="125"/>
      <c r="Q495" s="34"/>
      <c r="R495" s="115"/>
      <c r="S495" s="34"/>
      <c r="T495" s="34"/>
      <c r="U495" s="34"/>
      <c r="V495" s="29"/>
    </row>
    <row r="496" spans="3:22">
      <c r="C496" s="125">
        <v>45294</v>
      </c>
      <c r="D496" s="34">
        <v>149.19999999999999</v>
      </c>
      <c r="E496" s="115">
        <v>151.05000000000001</v>
      </c>
      <c r="F496" s="34">
        <v>148.33000000000001</v>
      </c>
      <c r="G496" s="34">
        <v>148.47</v>
      </c>
      <c r="H496" s="34">
        <v>148.47</v>
      </c>
      <c r="I496" s="29">
        <v>49425500</v>
      </c>
      <c r="P496" s="125"/>
      <c r="Q496" s="34"/>
      <c r="R496" s="115"/>
      <c r="S496" s="34"/>
      <c r="T496" s="34"/>
      <c r="U496" s="34"/>
      <c r="V496" s="29"/>
    </row>
    <row r="497" spans="3:22">
      <c r="C497" s="125">
        <v>45293</v>
      </c>
      <c r="D497" s="34">
        <v>151.54</v>
      </c>
      <c r="E497" s="115">
        <v>152.38</v>
      </c>
      <c r="F497" s="34">
        <v>148.38999999999999</v>
      </c>
      <c r="G497" s="34">
        <v>149.93</v>
      </c>
      <c r="H497" s="34">
        <v>149.93</v>
      </c>
      <c r="I497" s="29">
        <v>47339400</v>
      </c>
      <c r="P497" s="125"/>
      <c r="Q497" s="34"/>
      <c r="R497" s="115"/>
      <c r="S497" s="34"/>
      <c r="T497" s="34"/>
      <c r="U497" s="34"/>
      <c r="V497" s="29"/>
    </row>
    <row r="498" spans="3:22">
      <c r="C498" s="125">
        <v>45289</v>
      </c>
      <c r="D498" s="34">
        <v>153.1</v>
      </c>
      <c r="E498" s="115">
        <v>153.88999999999999</v>
      </c>
      <c r="F498" s="34">
        <v>151.03</v>
      </c>
      <c r="G498" s="34">
        <v>151.94</v>
      </c>
      <c r="H498" s="34">
        <v>151.94</v>
      </c>
      <c r="I498" s="29">
        <v>39823200</v>
      </c>
      <c r="P498" s="125"/>
      <c r="Q498" s="34"/>
      <c r="R498" s="115"/>
      <c r="S498" s="34"/>
      <c r="T498" s="34"/>
      <c r="U498" s="34"/>
      <c r="V498" s="29"/>
    </row>
    <row r="499" spans="3:22">
      <c r="C499" s="125">
        <v>45288</v>
      </c>
      <c r="D499" s="34">
        <v>153.72</v>
      </c>
      <c r="E499" s="115">
        <v>154.08000000000001</v>
      </c>
      <c r="F499" s="34">
        <v>152.94999999999999</v>
      </c>
      <c r="G499" s="34">
        <v>153.38</v>
      </c>
      <c r="H499" s="34">
        <v>153.38</v>
      </c>
      <c r="I499" s="29">
        <v>27057000</v>
      </c>
      <c r="P499" s="125"/>
      <c r="Q499" s="34"/>
      <c r="R499" s="115"/>
      <c r="S499" s="34"/>
      <c r="T499" s="34"/>
      <c r="U499" s="34"/>
      <c r="V499" s="29"/>
    </row>
    <row r="500" spans="3:22">
      <c r="C500" s="125">
        <v>45287</v>
      </c>
      <c r="D500" s="34">
        <v>153.56</v>
      </c>
      <c r="E500" s="115">
        <v>154.78</v>
      </c>
      <c r="F500" s="34">
        <v>153.12</v>
      </c>
      <c r="G500" s="34">
        <v>153.34</v>
      </c>
      <c r="H500" s="34">
        <v>153.34</v>
      </c>
      <c r="I500" s="29">
        <v>31434700</v>
      </c>
      <c r="P500" s="125"/>
      <c r="Q500" s="34"/>
      <c r="R500" s="115"/>
      <c r="S500" s="34"/>
      <c r="T500" s="34"/>
      <c r="U500" s="34"/>
      <c r="V500" s="29"/>
    </row>
    <row r="501" spans="3:22">
      <c r="C501" s="125">
        <v>45286</v>
      </c>
      <c r="D501" s="34">
        <v>153.56</v>
      </c>
      <c r="E501" s="115">
        <v>153.97999999999999</v>
      </c>
      <c r="F501" s="34">
        <v>153.03</v>
      </c>
      <c r="G501" s="34">
        <v>153.41</v>
      </c>
      <c r="H501" s="34">
        <v>153.41</v>
      </c>
      <c r="I501" s="29">
        <v>25067200</v>
      </c>
      <c r="P501" s="125"/>
      <c r="Q501" s="34"/>
      <c r="R501" s="115"/>
      <c r="S501" s="34"/>
      <c r="T501" s="34"/>
      <c r="U501" s="34"/>
      <c r="V501" s="29"/>
    </row>
    <row r="502" spans="3:22">
      <c r="C502" s="125">
        <v>45282</v>
      </c>
      <c r="D502" s="34">
        <v>153.77000000000001</v>
      </c>
      <c r="E502" s="115">
        <v>154.35</v>
      </c>
      <c r="F502" s="34">
        <v>152.71</v>
      </c>
      <c r="G502" s="34">
        <v>153.41999999999999</v>
      </c>
      <c r="H502" s="34">
        <v>153.41999999999999</v>
      </c>
      <c r="I502" s="29">
        <v>29514100</v>
      </c>
      <c r="P502" s="125"/>
      <c r="Q502" s="34"/>
      <c r="R502" s="115"/>
      <c r="S502" s="34"/>
      <c r="T502" s="34"/>
      <c r="U502" s="34"/>
      <c r="V502" s="29"/>
    </row>
    <row r="503" spans="3:22">
      <c r="C503" s="125">
        <v>45281</v>
      </c>
      <c r="D503" s="34">
        <v>153.30000000000001</v>
      </c>
      <c r="E503" s="115">
        <v>153.97</v>
      </c>
      <c r="F503" s="34">
        <v>152.1</v>
      </c>
      <c r="G503" s="34">
        <v>153.84</v>
      </c>
      <c r="H503" s="34">
        <v>153.84</v>
      </c>
      <c r="I503" s="29">
        <v>36305700</v>
      </c>
      <c r="P503" s="125"/>
      <c r="Q503" s="34"/>
      <c r="R503" s="115"/>
      <c r="S503" s="34"/>
      <c r="T503" s="34"/>
      <c r="U503" s="34"/>
      <c r="V503" s="29"/>
    </row>
    <row r="504" spans="3:22">
      <c r="C504" s="125">
        <v>45280</v>
      </c>
      <c r="D504" s="34">
        <v>152.9</v>
      </c>
      <c r="E504" s="115">
        <v>155.63</v>
      </c>
      <c r="F504" s="34">
        <v>151.56</v>
      </c>
      <c r="G504" s="34">
        <v>152.12</v>
      </c>
      <c r="H504" s="34">
        <v>152.12</v>
      </c>
      <c r="I504" s="29">
        <v>50322100</v>
      </c>
      <c r="P504" s="125"/>
      <c r="Q504" s="34"/>
      <c r="R504" s="115"/>
      <c r="S504" s="34"/>
      <c r="T504" s="34"/>
      <c r="U504" s="34"/>
      <c r="V504" s="29"/>
    </row>
    <row r="505" spans="3:22">
      <c r="C505" s="125">
        <v>45279</v>
      </c>
      <c r="D505" s="34">
        <v>154.4</v>
      </c>
      <c r="E505" s="115">
        <v>155.12</v>
      </c>
      <c r="F505" s="34">
        <v>152.69</v>
      </c>
      <c r="G505" s="34">
        <v>153.79</v>
      </c>
      <c r="H505" s="34">
        <v>153.79</v>
      </c>
      <c r="I505" s="29">
        <v>43171300</v>
      </c>
      <c r="P505" s="125"/>
      <c r="Q505" s="34"/>
      <c r="R505" s="115"/>
      <c r="S505" s="34"/>
      <c r="T505" s="34"/>
      <c r="U505" s="34"/>
      <c r="V505" s="29"/>
    </row>
    <row r="506" spans="3:22">
      <c r="C506" s="125">
        <v>45278</v>
      </c>
      <c r="D506" s="34">
        <v>150.56</v>
      </c>
      <c r="E506" s="115">
        <v>154.85</v>
      </c>
      <c r="F506" s="34">
        <v>150.05000000000001</v>
      </c>
      <c r="G506" s="34">
        <v>154.07</v>
      </c>
      <c r="H506" s="34">
        <v>154.07</v>
      </c>
      <c r="I506" s="29">
        <v>62512800</v>
      </c>
      <c r="P506" s="125"/>
      <c r="Q506" s="34"/>
      <c r="R506" s="115"/>
      <c r="S506" s="34"/>
      <c r="T506" s="34"/>
      <c r="U506" s="34"/>
      <c r="V506" s="29"/>
    </row>
    <row r="507" spans="3:22">
      <c r="C507" s="125">
        <v>45275</v>
      </c>
      <c r="D507" s="34">
        <v>148.38</v>
      </c>
      <c r="E507" s="115">
        <v>150.57</v>
      </c>
      <c r="F507" s="34">
        <v>147.88</v>
      </c>
      <c r="G507" s="34">
        <v>149.97</v>
      </c>
      <c r="H507" s="34">
        <v>149.97</v>
      </c>
      <c r="I507" s="29">
        <v>110089300</v>
      </c>
      <c r="P507" s="125"/>
      <c r="Q507" s="34"/>
      <c r="R507" s="115"/>
      <c r="S507" s="34"/>
      <c r="T507" s="34"/>
      <c r="U507" s="34"/>
      <c r="V507" s="29"/>
    </row>
    <row r="508" spans="3:22">
      <c r="C508" s="125">
        <v>45274</v>
      </c>
      <c r="D508" s="34">
        <v>149.93</v>
      </c>
      <c r="E508" s="115">
        <v>150.54</v>
      </c>
      <c r="F508" s="34">
        <v>145.52000000000001</v>
      </c>
      <c r="G508" s="34">
        <v>147.41999999999999</v>
      </c>
      <c r="H508" s="34">
        <v>147.41999999999999</v>
      </c>
      <c r="I508" s="29">
        <v>58400800</v>
      </c>
      <c r="P508" s="125"/>
      <c r="Q508" s="34"/>
      <c r="R508" s="115"/>
      <c r="S508" s="34"/>
      <c r="T508" s="34"/>
      <c r="U508" s="34"/>
      <c r="V508" s="29"/>
    </row>
    <row r="509" spans="3:22">
      <c r="C509" s="125">
        <v>45273</v>
      </c>
      <c r="D509" s="34">
        <v>148.12</v>
      </c>
      <c r="E509" s="115">
        <v>149.46</v>
      </c>
      <c r="F509" s="34">
        <v>146.82</v>
      </c>
      <c r="G509" s="34">
        <v>148.84</v>
      </c>
      <c r="H509" s="34">
        <v>148.84</v>
      </c>
      <c r="I509" s="29">
        <v>52766200</v>
      </c>
      <c r="P509" s="125"/>
      <c r="Q509" s="34"/>
      <c r="R509" s="115"/>
      <c r="S509" s="34"/>
      <c r="T509" s="34"/>
      <c r="U509" s="34"/>
      <c r="V509" s="29"/>
    </row>
    <row r="510" spans="3:22">
      <c r="C510" s="125">
        <v>45272</v>
      </c>
      <c r="D510" s="34">
        <v>145.52000000000001</v>
      </c>
      <c r="E510" s="115">
        <v>147.5</v>
      </c>
      <c r="F510" s="34">
        <v>145.30000000000001</v>
      </c>
      <c r="G510" s="34">
        <v>147.47999999999999</v>
      </c>
      <c r="H510" s="34">
        <v>147.47999999999999</v>
      </c>
      <c r="I510" s="29">
        <v>44944300</v>
      </c>
      <c r="P510" s="125"/>
      <c r="Q510" s="34"/>
      <c r="R510" s="115"/>
      <c r="S510" s="34"/>
      <c r="T510" s="34"/>
      <c r="U510" s="34"/>
      <c r="V510" s="29"/>
    </row>
    <row r="511" spans="3:22">
      <c r="C511" s="125">
        <v>45271</v>
      </c>
      <c r="D511" s="34">
        <v>145.66</v>
      </c>
      <c r="E511" s="115">
        <v>146.19</v>
      </c>
      <c r="F511" s="34">
        <v>143.63999999999999</v>
      </c>
      <c r="G511" s="34">
        <v>145.88999999999999</v>
      </c>
      <c r="H511" s="34">
        <v>145.88999999999999</v>
      </c>
      <c r="I511" s="29">
        <v>50907300</v>
      </c>
      <c r="P511" s="125"/>
      <c r="Q511" s="34"/>
      <c r="R511" s="115"/>
      <c r="S511" s="34"/>
      <c r="T511" s="34"/>
      <c r="U511" s="34"/>
      <c r="V511" s="29"/>
    </row>
    <row r="512" spans="3:22">
      <c r="C512" s="125">
        <v>45268</v>
      </c>
      <c r="D512" s="34">
        <v>145.47999999999999</v>
      </c>
      <c r="E512" s="115">
        <v>147.84</v>
      </c>
      <c r="F512" s="34">
        <v>145.4</v>
      </c>
      <c r="G512" s="34">
        <v>147.41999999999999</v>
      </c>
      <c r="H512" s="34">
        <v>147.41999999999999</v>
      </c>
      <c r="I512" s="29">
        <v>41906000</v>
      </c>
      <c r="P512" s="125"/>
      <c r="Q512" s="34"/>
      <c r="R512" s="115"/>
      <c r="S512" s="34"/>
      <c r="T512" s="34"/>
      <c r="U512" s="34"/>
      <c r="V512" s="29"/>
    </row>
    <row r="513" spans="3:22">
      <c r="C513" s="125">
        <v>45267</v>
      </c>
      <c r="D513" s="34">
        <v>146.15</v>
      </c>
      <c r="E513" s="115">
        <v>147.91999999999999</v>
      </c>
      <c r="F513" s="34">
        <v>145.34</v>
      </c>
      <c r="G513" s="34">
        <v>146.88</v>
      </c>
      <c r="H513" s="34">
        <v>146.88</v>
      </c>
      <c r="I513" s="29">
        <v>52352800</v>
      </c>
      <c r="P513" s="125"/>
      <c r="Q513" s="34"/>
      <c r="R513" s="115"/>
      <c r="S513" s="34"/>
      <c r="T513" s="34"/>
      <c r="U513" s="34"/>
      <c r="V513" s="29"/>
    </row>
    <row r="514" spans="3:22">
      <c r="C514" s="125">
        <v>45266</v>
      </c>
      <c r="D514" s="34">
        <v>147.58000000000001</v>
      </c>
      <c r="E514" s="115">
        <v>147.85</v>
      </c>
      <c r="F514" s="34">
        <v>144.28</v>
      </c>
      <c r="G514" s="34">
        <v>144.52000000000001</v>
      </c>
      <c r="H514" s="34">
        <v>144.52000000000001</v>
      </c>
      <c r="I514" s="29">
        <v>39679000</v>
      </c>
      <c r="P514" s="125"/>
      <c r="Q514" s="34"/>
      <c r="R514" s="115"/>
      <c r="S514" s="34"/>
      <c r="T514" s="34"/>
      <c r="U514" s="34"/>
      <c r="V514" s="29"/>
    </row>
    <row r="515" spans="3:22">
      <c r="C515" s="125">
        <v>45265</v>
      </c>
      <c r="D515" s="34">
        <v>143.55000000000001</v>
      </c>
      <c r="E515" s="115">
        <v>148.57</v>
      </c>
      <c r="F515" s="34">
        <v>143.13</v>
      </c>
      <c r="G515" s="34">
        <v>146.88</v>
      </c>
      <c r="H515" s="34">
        <v>146.88</v>
      </c>
      <c r="I515" s="29">
        <v>46822400</v>
      </c>
      <c r="P515" s="125"/>
      <c r="Q515" s="34"/>
      <c r="R515" s="115"/>
      <c r="S515" s="34"/>
      <c r="T515" s="34"/>
      <c r="U515" s="34"/>
      <c r="V515" s="29"/>
    </row>
    <row r="516" spans="3:22">
      <c r="C516" s="125">
        <v>45264</v>
      </c>
      <c r="D516" s="34">
        <v>145.25</v>
      </c>
      <c r="E516" s="115">
        <v>145.35</v>
      </c>
      <c r="F516" s="34">
        <v>142.81</v>
      </c>
      <c r="G516" s="34">
        <v>144.84</v>
      </c>
      <c r="H516" s="34">
        <v>144.84</v>
      </c>
      <c r="I516" s="29">
        <v>48294200</v>
      </c>
      <c r="P516" s="125"/>
      <c r="Q516" s="34"/>
      <c r="R516" s="115"/>
      <c r="S516" s="34"/>
      <c r="T516" s="34"/>
      <c r="U516" s="34"/>
      <c r="V516" s="29"/>
    </row>
    <row r="517" spans="3:22">
      <c r="C517" s="125">
        <v>45261</v>
      </c>
      <c r="D517" s="34">
        <v>146</v>
      </c>
      <c r="E517" s="115">
        <v>147.25</v>
      </c>
      <c r="F517" s="34">
        <v>145.55000000000001</v>
      </c>
      <c r="G517" s="34">
        <v>147.03</v>
      </c>
      <c r="H517" s="34">
        <v>147.03</v>
      </c>
      <c r="I517" s="29">
        <v>39951800</v>
      </c>
      <c r="P517" s="125"/>
      <c r="Q517" s="34"/>
      <c r="R517" s="115"/>
      <c r="S517" s="34"/>
      <c r="T517" s="34"/>
      <c r="U517" s="34"/>
      <c r="V517" s="29"/>
    </row>
    <row r="518" spans="3:22">
      <c r="C518" s="125">
        <v>45260</v>
      </c>
      <c r="D518" s="34">
        <v>144.76</v>
      </c>
      <c r="E518" s="115">
        <v>146.93</v>
      </c>
      <c r="F518" s="34">
        <v>144.33000000000001</v>
      </c>
      <c r="G518" s="34">
        <v>146.09</v>
      </c>
      <c r="H518" s="34">
        <v>146.09</v>
      </c>
      <c r="I518" s="29">
        <v>65814000</v>
      </c>
      <c r="P518" s="125"/>
      <c r="Q518" s="34"/>
      <c r="R518" s="115"/>
      <c r="S518" s="34"/>
      <c r="T518" s="34"/>
      <c r="U518" s="34"/>
      <c r="V518" s="29"/>
    </row>
    <row r="519" spans="3:22">
      <c r="C519" s="125">
        <v>45259</v>
      </c>
      <c r="D519" s="34">
        <v>147.85</v>
      </c>
      <c r="E519" s="115">
        <v>148.54</v>
      </c>
      <c r="F519" s="34">
        <v>145.97</v>
      </c>
      <c r="G519" s="34">
        <v>146.32</v>
      </c>
      <c r="H519" s="34">
        <v>146.32</v>
      </c>
      <c r="I519" s="29">
        <v>40610900</v>
      </c>
      <c r="P519" s="125"/>
      <c r="Q519" s="34"/>
      <c r="R519" s="115"/>
      <c r="S519" s="34"/>
      <c r="T519" s="34"/>
      <c r="U519" s="34"/>
      <c r="V519" s="29"/>
    </row>
    <row r="520" spans="3:22">
      <c r="C520" s="125">
        <v>45258</v>
      </c>
      <c r="D520" s="34">
        <v>146.97999999999999</v>
      </c>
      <c r="E520" s="115">
        <v>147.6</v>
      </c>
      <c r="F520" s="34">
        <v>145.53</v>
      </c>
      <c r="G520" s="34">
        <v>147.03</v>
      </c>
      <c r="H520" s="34">
        <v>147.03</v>
      </c>
      <c r="I520" s="29">
        <v>42711700</v>
      </c>
      <c r="P520" s="125"/>
      <c r="Q520" s="34"/>
      <c r="R520" s="115"/>
      <c r="S520" s="34"/>
      <c r="T520" s="34"/>
      <c r="U520" s="34"/>
      <c r="V520" s="29"/>
    </row>
    <row r="521" spans="3:22">
      <c r="C521" s="125">
        <v>45257</v>
      </c>
      <c r="D521" s="34">
        <v>147.53</v>
      </c>
      <c r="E521" s="115">
        <v>149.26</v>
      </c>
      <c r="F521" s="34">
        <v>146.88</v>
      </c>
      <c r="G521" s="34">
        <v>147.72999999999999</v>
      </c>
      <c r="H521" s="34">
        <v>147.72999999999999</v>
      </c>
      <c r="I521" s="29">
        <v>53762400</v>
      </c>
      <c r="P521" s="125"/>
      <c r="Q521" s="34"/>
      <c r="R521" s="115"/>
      <c r="S521" s="34"/>
      <c r="T521" s="34"/>
      <c r="U521" s="34"/>
      <c r="V521" s="29"/>
    </row>
    <row r="522" spans="3:22">
      <c r="C522" s="125">
        <v>45254</v>
      </c>
      <c r="D522" s="34">
        <v>146.69999999999999</v>
      </c>
      <c r="E522" s="115">
        <v>147.19999999999999</v>
      </c>
      <c r="F522" s="34">
        <v>145.32</v>
      </c>
      <c r="G522" s="34">
        <v>146.74</v>
      </c>
      <c r="H522" s="34">
        <v>146.74</v>
      </c>
      <c r="I522" s="29">
        <v>22378400</v>
      </c>
      <c r="P522" s="125"/>
      <c r="Q522" s="34"/>
      <c r="R522" s="115"/>
      <c r="S522" s="34"/>
      <c r="T522" s="34"/>
      <c r="U522" s="34"/>
      <c r="V522" s="29"/>
    </row>
    <row r="523" spans="3:22">
      <c r="C523" s="125">
        <v>45252</v>
      </c>
      <c r="D523" s="34">
        <v>144.57</v>
      </c>
      <c r="E523" s="115">
        <v>147.74</v>
      </c>
      <c r="F523" s="34">
        <v>144.57</v>
      </c>
      <c r="G523" s="34">
        <v>146.71</v>
      </c>
      <c r="H523" s="34">
        <v>146.71</v>
      </c>
      <c r="I523" s="29">
        <v>45669100</v>
      </c>
      <c r="P523" s="125"/>
      <c r="Q523" s="34"/>
      <c r="R523" s="115"/>
      <c r="S523" s="34"/>
      <c r="T523" s="34"/>
      <c r="U523" s="34"/>
      <c r="V523" s="29"/>
    </row>
    <row r="524" spans="3:22">
      <c r="C524" s="125">
        <v>45251</v>
      </c>
      <c r="D524" s="34">
        <v>143.91</v>
      </c>
      <c r="E524" s="115">
        <v>144.05000000000001</v>
      </c>
      <c r="F524" s="34">
        <v>141.5</v>
      </c>
      <c r="G524" s="34">
        <v>143.9</v>
      </c>
      <c r="H524" s="34">
        <v>143.9</v>
      </c>
      <c r="I524" s="29">
        <v>71226000</v>
      </c>
      <c r="P524" s="125"/>
      <c r="Q524" s="34"/>
      <c r="R524" s="115"/>
      <c r="S524" s="34"/>
      <c r="T524" s="34"/>
      <c r="U524" s="34"/>
      <c r="V524" s="29"/>
    </row>
    <row r="525" spans="3:22">
      <c r="C525" s="125">
        <v>45250</v>
      </c>
      <c r="D525" s="34">
        <v>145.13</v>
      </c>
      <c r="E525" s="115">
        <v>146.63</v>
      </c>
      <c r="F525" s="34">
        <v>144.72999999999999</v>
      </c>
      <c r="G525" s="34">
        <v>146.13</v>
      </c>
      <c r="H525" s="34">
        <v>146.13</v>
      </c>
      <c r="I525" s="29">
        <v>41951200</v>
      </c>
      <c r="P525" s="125"/>
      <c r="Q525" s="34"/>
      <c r="R525" s="115"/>
      <c r="S525" s="34"/>
      <c r="T525" s="34"/>
      <c r="U525" s="34"/>
      <c r="V525" s="29"/>
    </row>
    <row r="526" spans="3:22">
      <c r="C526" s="125">
        <v>45247</v>
      </c>
      <c r="D526" s="34">
        <v>142.66</v>
      </c>
      <c r="E526" s="115">
        <v>145.22999999999999</v>
      </c>
      <c r="F526" s="34">
        <v>142.54</v>
      </c>
      <c r="G526" s="34">
        <v>145.18</v>
      </c>
      <c r="H526" s="34">
        <v>145.18</v>
      </c>
      <c r="I526" s="29">
        <v>49636700</v>
      </c>
      <c r="P526" s="125"/>
      <c r="Q526" s="34"/>
      <c r="R526" s="115"/>
      <c r="S526" s="34"/>
      <c r="T526" s="34"/>
      <c r="U526" s="34"/>
      <c r="V526" s="29"/>
    </row>
    <row r="527" spans="3:22">
      <c r="C527" s="125">
        <v>45246</v>
      </c>
      <c r="D527" s="34">
        <v>140.91</v>
      </c>
      <c r="E527" s="115">
        <v>143.32</v>
      </c>
      <c r="F527" s="34">
        <v>139.52000000000001</v>
      </c>
      <c r="G527" s="34">
        <v>142.83000000000001</v>
      </c>
      <c r="H527" s="34">
        <v>142.83000000000001</v>
      </c>
      <c r="I527" s="29">
        <v>49653500</v>
      </c>
      <c r="P527" s="125"/>
      <c r="Q527" s="34"/>
      <c r="R527" s="115"/>
      <c r="S527" s="34"/>
      <c r="T527" s="34"/>
      <c r="U527" s="34"/>
      <c r="V527" s="29"/>
    </row>
    <row r="528" spans="3:22">
      <c r="C528" s="125">
        <v>45245</v>
      </c>
      <c r="D528" s="34">
        <v>147.06</v>
      </c>
      <c r="E528" s="115">
        <v>147.29</v>
      </c>
      <c r="F528" s="34">
        <v>142.59</v>
      </c>
      <c r="G528" s="34">
        <v>143.19999999999999</v>
      </c>
      <c r="H528" s="34">
        <v>143.19999999999999</v>
      </c>
      <c r="I528" s="29">
        <v>63875700</v>
      </c>
      <c r="P528" s="125"/>
      <c r="Q528" s="34"/>
      <c r="R528" s="115"/>
      <c r="S528" s="34"/>
      <c r="T528" s="34"/>
      <c r="U528" s="34"/>
      <c r="V528" s="29"/>
    </row>
    <row r="529" spans="3:22">
      <c r="C529" s="125">
        <v>45244</v>
      </c>
      <c r="D529" s="34">
        <v>145</v>
      </c>
      <c r="E529" s="115">
        <v>147.26</v>
      </c>
      <c r="F529" s="34">
        <v>144.68</v>
      </c>
      <c r="G529" s="34">
        <v>145.80000000000001</v>
      </c>
      <c r="H529" s="34">
        <v>145.80000000000001</v>
      </c>
      <c r="I529" s="29">
        <v>56674600</v>
      </c>
      <c r="P529" s="125"/>
      <c r="Q529" s="34"/>
      <c r="R529" s="115"/>
      <c r="S529" s="34"/>
      <c r="T529" s="34"/>
      <c r="U529" s="34"/>
      <c r="V529" s="29"/>
    </row>
    <row r="530" spans="3:22">
      <c r="C530" s="125">
        <v>45243</v>
      </c>
      <c r="D530" s="34">
        <v>142.08000000000001</v>
      </c>
      <c r="E530" s="115">
        <v>143.22999999999999</v>
      </c>
      <c r="F530" s="34">
        <v>140.66999999999999</v>
      </c>
      <c r="G530" s="34">
        <v>142.59</v>
      </c>
      <c r="H530" s="34">
        <v>142.59</v>
      </c>
      <c r="I530" s="29">
        <v>35680600</v>
      </c>
      <c r="P530" s="125"/>
      <c r="Q530" s="34"/>
      <c r="R530" s="115"/>
      <c r="S530" s="34"/>
      <c r="T530" s="34"/>
      <c r="U530" s="34"/>
      <c r="V530" s="29"/>
    </row>
    <row r="531" spans="3:22">
      <c r="C531" s="125">
        <v>45240</v>
      </c>
      <c r="D531" s="34">
        <v>140.46</v>
      </c>
      <c r="E531" s="115">
        <v>143.65</v>
      </c>
      <c r="F531" s="34">
        <v>139.91</v>
      </c>
      <c r="G531" s="34">
        <v>143.56</v>
      </c>
      <c r="H531" s="34">
        <v>143.56</v>
      </c>
      <c r="I531" s="29">
        <v>49287800</v>
      </c>
      <c r="P531" s="125"/>
      <c r="Q531" s="34"/>
      <c r="R531" s="115"/>
      <c r="S531" s="34"/>
      <c r="T531" s="34"/>
      <c r="U531" s="34"/>
      <c r="V531" s="29"/>
    </row>
    <row r="532" spans="3:22">
      <c r="C532" s="125">
        <v>45239</v>
      </c>
      <c r="D532" s="34">
        <v>142.02000000000001</v>
      </c>
      <c r="E532" s="115">
        <v>142.65</v>
      </c>
      <c r="F532" s="34">
        <v>139.84</v>
      </c>
      <c r="G532" s="34">
        <v>140.6</v>
      </c>
      <c r="H532" s="34">
        <v>140.6</v>
      </c>
      <c r="I532" s="29">
        <v>36235400</v>
      </c>
      <c r="P532" s="125"/>
      <c r="Q532" s="34"/>
      <c r="R532" s="115"/>
      <c r="S532" s="34"/>
      <c r="T532" s="34"/>
      <c r="U532" s="34"/>
      <c r="V532" s="29"/>
    </row>
    <row r="533" spans="3:22">
      <c r="C533" s="125">
        <v>45238</v>
      </c>
      <c r="D533" s="34">
        <v>142.97</v>
      </c>
      <c r="E533" s="115">
        <v>143.12</v>
      </c>
      <c r="F533" s="34">
        <v>141.22</v>
      </c>
      <c r="G533" s="34">
        <v>142.08000000000001</v>
      </c>
      <c r="H533" s="34">
        <v>142.08000000000001</v>
      </c>
      <c r="I533" s="29">
        <v>44521700</v>
      </c>
      <c r="P533" s="125"/>
      <c r="Q533" s="34"/>
      <c r="R533" s="115"/>
      <c r="S533" s="34"/>
      <c r="T533" s="34"/>
      <c r="U533" s="34"/>
      <c r="V533" s="29"/>
    </row>
    <row r="534" spans="3:22">
      <c r="C534" s="125">
        <v>45237</v>
      </c>
      <c r="D534" s="34">
        <v>140.55000000000001</v>
      </c>
      <c r="E534" s="115">
        <v>143.37</v>
      </c>
      <c r="F534" s="34">
        <v>140.5</v>
      </c>
      <c r="G534" s="34">
        <v>142.71</v>
      </c>
      <c r="H534" s="34">
        <v>142.71</v>
      </c>
      <c r="I534" s="29">
        <v>53553500</v>
      </c>
      <c r="P534" s="125"/>
      <c r="Q534" s="34"/>
      <c r="R534" s="115"/>
      <c r="S534" s="34"/>
      <c r="T534" s="34"/>
      <c r="U534" s="34"/>
      <c r="V534" s="29"/>
    </row>
    <row r="535" spans="3:22">
      <c r="C535" s="125">
        <v>45236</v>
      </c>
      <c r="D535" s="34">
        <v>138.76</v>
      </c>
      <c r="E535" s="115">
        <v>140.72999999999999</v>
      </c>
      <c r="F535" s="34">
        <v>138.36000000000001</v>
      </c>
      <c r="G535" s="34">
        <v>139.74</v>
      </c>
      <c r="H535" s="34">
        <v>139.74</v>
      </c>
      <c r="I535" s="29">
        <v>44970400</v>
      </c>
      <c r="P535" s="125"/>
      <c r="Q535" s="34"/>
      <c r="R535" s="115"/>
      <c r="S535" s="34"/>
      <c r="T535" s="34"/>
      <c r="U535" s="34"/>
      <c r="V535" s="29"/>
    </row>
    <row r="536" spans="3:22">
      <c r="C536" s="125">
        <v>45233</v>
      </c>
      <c r="D536" s="34">
        <v>138.99</v>
      </c>
      <c r="E536" s="115">
        <v>139.49</v>
      </c>
      <c r="F536" s="34">
        <v>137.44999999999999</v>
      </c>
      <c r="G536" s="34">
        <v>138.6</v>
      </c>
      <c r="H536" s="34">
        <v>138.6</v>
      </c>
      <c r="I536" s="29">
        <v>44059800</v>
      </c>
      <c r="P536" s="125"/>
      <c r="Q536" s="34"/>
      <c r="R536" s="115"/>
      <c r="S536" s="34"/>
      <c r="T536" s="34"/>
      <c r="U536" s="34"/>
      <c r="V536" s="29"/>
    </row>
    <row r="537" spans="3:22">
      <c r="C537" s="125">
        <v>45232</v>
      </c>
      <c r="D537" s="34">
        <v>138.72999999999999</v>
      </c>
      <c r="E537" s="115">
        <v>138.81</v>
      </c>
      <c r="F537" s="34">
        <v>136.47</v>
      </c>
      <c r="G537" s="34">
        <v>138.07</v>
      </c>
      <c r="H537" s="34">
        <v>138.07</v>
      </c>
      <c r="I537" s="29">
        <v>52236700</v>
      </c>
      <c r="P537" s="125"/>
      <c r="Q537" s="34"/>
      <c r="R537" s="115"/>
      <c r="S537" s="34"/>
      <c r="T537" s="34"/>
      <c r="U537" s="34"/>
      <c r="V537" s="29"/>
    </row>
    <row r="538" spans="3:22">
      <c r="C538" s="125">
        <v>45231</v>
      </c>
      <c r="D538" s="34">
        <v>133.96</v>
      </c>
      <c r="E538" s="115">
        <v>137.35</v>
      </c>
      <c r="F538" s="34">
        <v>133.71</v>
      </c>
      <c r="G538" s="34">
        <v>137</v>
      </c>
      <c r="H538" s="34">
        <v>137</v>
      </c>
      <c r="I538" s="29">
        <v>61529400</v>
      </c>
      <c r="P538" s="125"/>
      <c r="Q538" s="34"/>
      <c r="R538" s="115"/>
      <c r="S538" s="34"/>
      <c r="T538" s="34"/>
      <c r="U538" s="34"/>
      <c r="V538" s="29"/>
    </row>
    <row r="539" spans="3:22">
      <c r="C539" s="125">
        <v>45230</v>
      </c>
      <c r="D539" s="34">
        <v>132.75</v>
      </c>
      <c r="E539" s="115">
        <v>133.57</v>
      </c>
      <c r="F539" s="34">
        <v>131.71</v>
      </c>
      <c r="G539" s="34">
        <v>133.09</v>
      </c>
      <c r="H539" s="34">
        <v>133.09</v>
      </c>
      <c r="I539" s="29">
        <v>51589400</v>
      </c>
      <c r="P539" s="125"/>
      <c r="Q539" s="34"/>
      <c r="R539" s="115"/>
      <c r="S539" s="34"/>
      <c r="T539" s="34"/>
      <c r="U539" s="34"/>
      <c r="V539" s="29"/>
    </row>
    <row r="540" spans="3:22">
      <c r="C540" s="125">
        <v>45229</v>
      </c>
      <c r="D540" s="34">
        <v>129.72</v>
      </c>
      <c r="E540" s="115">
        <v>133</v>
      </c>
      <c r="F540" s="34">
        <v>128.56</v>
      </c>
      <c r="G540" s="34">
        <v>132.71</v>
      </c>
      <c r="H540" s="34">
        <v>132.71</v>
      </c>
      <c r="I540" s="29">
        <v>72485500</v>
      </c>
      <c r="P540" s="125"/>
      <c r="Q540" s="34"/>
      <c r="R540" s="115"/>
      <c r="S540" s="34"/>
      <c r="T540" s="34"/>
      <c r="U540" s="34"/>
      <c r="V540" s="29"/>
    </row>
    <row r="541" spans="3:22">
      <c r="C541" s="125">
        <v>45226</v>
      </c>
      <c r="D541" s="34">
        <v>126.2</v>
      </c>
      <c r="E541" s="115">
        <v>130.02000000000001</v>
      </c>
      <c r="F541" s="34">
        <v>125.52</v>
      </c>
      <c r="G541" s="34">
        <v>127.74</v>
      </c>
      <c r="H541" s="34">
        <v>127.74</v>
      </c>
      <c r="I541" s="29">
        <v>125309300</v>
      </c>
      <c r="P541" s="125"/>
      <c r="Q541" s="34"/>
      <c r="R541" s="115"/>
      <c r="S541" s="34"/>
      <c r="T541" s="34"/>
      <c r="U541" s="34"/>
      <c r="V541" s="29"/>
    </row>
    <row r="542" spans="3:22">
      <c r="C542" s="125">
        <v>45225</v>
      </c>
      <c r="D542" s="34">
        <v>120.63</v>
      </c>
      <c r="E542" s="115">
        <v>121.64</v>
      </c>
      <c r="F542" s="34">
        <v>118.35</v>
      </c>
      <c r="G542" s="34">
        <v>119.57</v>
      </c>
      <c r="H542" s="34">
        <v>119.57</v>
      </c>
      <c r="I542" s="29">
        <v>100419500</v>
      </c>
      <c r="P542" s="125"/>
      <c r="Q542" s="34"/>
      <c r="R542" s="115"/>
      <c r="S542" s="34"/>
      <c r="T542" s="34"/>
      <c r="U542" s="34"/>
      <c r="V542" s="29"/>
    </row>
    <row r="543" spans="3:22">
      <c r="C543" s="125">
        <v>45224</v>
      </c>
      <c r="D543" s="34">
        <v>126.04</v>
      </c>
      <c r="E543" s="115">
        <v>126.34</v>
      </c>
      <c r="F543" s="34">
        <v>120.79</v>
      </c>
      <c r="G543" s="34">
        <v>121.39</v>
      </c>
      <c r="H543" s="34">
        <v>121.39</v>
      </c>
      <c r="I543" s="29">
        <v>74577500</v>
      </c>
      <c r="P543" s="125"/>
      <c r="Q543" s="34"/>
      <c r="R543" s="115"/>
      <c r="S543" s="34"/>
      <c r="T543" s="34"/>
      <c r="U543" s="34"/>
      <c r="V543" s="29"/>
    </row>
    <row r="544" spans="3:22">
      <c r="C544" s="125">
        <v>45223</v>
      </c>
      <c r="D544" s="34">
        <v>127.74</v>
      </c>
      <c r="E544" s="115">
        <v>128.80000000000001</v>
      </c>
      <c r="F544" s="34">
        <v>126.34</v>
      </c>
      <c r="G544" s="34">
        <v>128.56</v>
      </c>
      <c r="H544" s="34">
        <v>128.56</v>
      </c>
      <c r="I544" s="29">
        <v>46477400</v>
      </c>
      <c r="P544" s="125"/>
      <c r="Q544" s="34"/>
      <c r="R544" s="115"/>
      <c r="S544" s="34"/>
      <c r="T544" s="34"/>
      <c r="U544" s="34"/>
      <c r="V544" s="29"/>
    </row>
    <row r="545" spans="3:22">
      <c r="C545" s="125">
        <v>45222</v>
      </c>
      <c r="D545" s="34">
        <v>124.63</v>
      </c>
      <c r="E545" s="115">
        <v>127.88</v>
      </c>
      <c r="F545" s="34">
        <v>123.98</v>
      </c>
      <c r="G545" s="34">
        <v>126.56</v>
      </c>
      <c r="H545" s="34">
        <v>126.56</v>
      </c>
      <c r="I545" s="29">
        <v>48260000</v>
      </c>
      <c r="P545" s="125"/>
      <c r="Q545" s="34"/>
      <c r="R545" s="115"/>
      <c r="S545" s="34"/>
      <c r="T545" s="34"/>
      <c r="U545" s="34"/>
      <c r="V545" s="29"/>
    </row>
    <row r="546" spans="3:22">
      <c r="C546" s="125">
        <v>45219</v>
      </c>
      <c r="D546" s="34">
        <v>128.05000000000001</v>
      </c>
      <c r="E546" s="115">
        <v>128.16999999999999</v>
      </c>
      <c r="F546" s="34">
        <v>124.97</v>
      </c>
      <c r="G546" s="34">
        <v>125.17</v>
      </c>
      <c r="H546" s="34">
        <v>125.17</v>
      </c>
      <c r="I546" s="29">
        <v>56406400</v>
      </c>
      <c r="P546" s="125"/>
      <c r="Q546" s="34"/>
      <c r="R546" s="115"/>
      <c r="S546" s="34"/>
      <c r="T546" s="34"/>
      <c r="U546" s="34"/>
      <c r="V546" s="29"/>
    </row>
    <row r="547" spans="3:22">
      <c r="C547" s="125">
        <v>45218</v>
      </c>
      <c r="D547" s="34">
        <v>130.57</v>
      </c>
      <c r="E547" s="115">
        <v>132.24</v>
      </c>
      <c r="F547" s="34">
        <v>127.47</v>
      </c>
      <c r="G547" s="34">
        <v>128.4</v>
      </c>
      <c r="H547" s="34">
        <v>128.4</v>
      </c>
      <c r="I547" s="29">
        <v>60961400</v>
      </c>
      <c r="P547" s="125"/>
      <c r="Q547" s="34"/>
      <c r="R547" s="115"/>
      <c r="S547" s="34"/>
      <c r="T547" s="34"/>
      <c r="U547" s="34"/>
      <c r="V547" s="29"/>
    </row>
    <row r="548" spans="3:22">
      <c r="C548" s="125">
        <v>45217</v>
      </c>
      <c r="D548" s="34">
        <v>129.9</v>
      </c>
      <c r="E548" s="115">
        <v>130.66999999999999</v>
      </c>
      <c r="F548" s="34">
        <v>127.51</v>
      </c>
      <c r="G548" s="34">
        <v>128.13</v>
      </c>
      <c r="H548" s="34">
        <v>128.13</v>
      </c>
      <c r="I548" s="29">
        <v>42699500</v>
      </c>
      <c r="P548" s="125"/>
      <c r="Q548" s="34"/>
      <c r="R548" s="115"/>
      <c r="S548" s="34"/>
      <c r="T548" s="34"/>
      <c r="U548" s="34"/>
      <c r="V548" s="29"/>
    </row>
    <row r="549" spans="3:22">
      <c r="C549" s="125">
        <v>45216</v>
      </c>
      <c r="D549" s="34">
        <v>130.38999999999999</v>
      </c>
      <c r="E549" s="115">
        <v>132.58000000000001</v>
      </c>
      <c r="F549" s="34">
        <v>128.71</v>
      </c>
      <c r="G549" s="34">
        <v>131.47</v>
      </c>
      <c r="H549" s="34">
        <v>131.47</v>
      </c>
      <c r="I549" s="29">
        <v>49344600</v>
      </c>
      <c r="P549" s="125"/>
      <c r="Q549" s="34"/>
      <c r="R549" s="115"/>
      <c r="S549" s="34"/>
      <c r="T549" s="34"/>
      <c r="U549" s="34"/>
      <c r="V549" s="29"/>
    </row>
    <row r="550" spans="3:22">
      <c r="C550" s="125">
        <v>45215</v>
      </c>
      <c r="D550" s="34">
        <v>130.69</v>
      </c>
      <c r="E550" s="115">
        <v>133.07</v>
      </c>
      <c r="F550" s="34">
        <v>130.43</v>
      </c>
      <c r="G550" s="34">
        <v>132.55000000000001</v>
      </c>
      <c r="H550" s="34">
        <v>132.55000000000001</v>
      </c>
      <c r="I550" s="29">
        <v>42832900</v>
      </c>
      <c r="P550" s="125"/>
      <c r="Q550" s="34"/>
      <c r="R550" s="115"/>
      <c r="S550" s="34"/>
      <c r="T550" s="34"/>
      <c r="U550" s="34"/>
      <c r="V550" s="29"/>
    </row>
    <row r="551" spans="3:22">
      <c r="C551" s="125">
        <v>45212</v>
      </c>
      <c r="D551" s="34">
        <v>132.97999999999999</v>
      </c>
      <c r="E551" s="115">
        <v>133.31</v>
      </c>
      <c r="F551" s="34">
        <v>128.94999999999999</v>
      </c>
      <c r="G551" s="34">
        <v>129.79</v>
      </c>
      <c r="H551" s="34">
        <v>129.79</v>
      </c>
      <c r="I551" s="29">
        <v>45786600</v>
      </c>
      <c r="P551" s="125"/>
      <c r="Q551" s="34"/>
      <c r="R551" s="115"/>
      <c r="S551" s="34"/>
      <c r="T551" s="34"/>
      <c r="U551" s="34"/>
      <c r="V551" s="29"/>
    </row>
    <row r="552" spans="3:22">
      <c r="C552" s="125">
        <v>45211</v>
      </c>
      <c r="D552" s="34">
        <v>132.16999999999999</v>
      </c>
      <c r="E552" s="115">
        <v>134.47999999999999</v>
      </c>
      <c r="F552" s="34">
        <v>131.22999999999999</v>
      </c>
      <c r="G552" s="34">
        <v>132.33000000000001</v>
      </c>
      <c r="H552" s="34">
        <v>132.33000000000001</v>
      </c>
      <c r="I552" s="29">
        <v>55528600</v>
      </c>
      <c r="P552" s="125"/>
      <c r="Q552" s="34"/>
      <c r="R552" s="115"/>
      <c r="S552" s="34"/>
      <c r="T552" s="34"/>
      <c r="U552" s="34"/>
      <c r="V552" s="29"/>
    </row>
    <row r="553" spans="3:22">
      <c r="C553" s="125">
        <v>45210</v>
      </c>
      <c r="D553" s="34">
        <v>129.74</v>
      </c>
      <c r="E553" s="115">
        <v>132.05000000000001</v>
      </c>
      <c r="F553" s="34">
        <v>129.61000000000001</v>
      </c>
      <c r="G553" s="34">
        <v>131.83000000000001</v>
      </c>
      <c r="H553" s="34">
        <v>131.83000000000001</v>
      </c>
      <c r="I553" s="29">
        <v>40741800</v>
      </c>
      <c r="P553" s="125"/>
      <c r="Q553" s="34"/>
      <c r="R553" s="115"/>
      <c r="S553" s="34"/>
      <c r="T553" s="34"/>
      <c r="U553" s="34"/>
      <c r="V553" s="29"/>
    </row>
    <row r="554" spans="3:22">
      <c r="C554" s="125">
        <v>45209</v>
      </c>
      <c r="D554" s="34">
        <v>128.82</v>
      </c>
      <c r="E554" s="115">
        <v>130.74</v>
      </c>
      <c r="F554" s="34">
        <v>128.05000000000001</v>
      </c>
      <c r="G554" s="34">
        <v>129.47999999999999</v>
      </c>
      <c r="H554" s="34">
        <v>129.47999999999999</v>
      </c>
      <c r="I554" s="29">
        <v>42178600</v>
      </c>
      <c r="P554" s="125"/>
      <c r="Q554" s="34"/>
      <c r="R554" s="115"/>
      <c r="S554" s="34"/>
      <c r="T554" s="34"/>
      <c r="U554" s="34"/>
      <c r="V554" s="29"/>
    </row>
    <row r="555" spans="3:22">
      <c r="C555" s="125">
        <v>45208</v>
      </c>
      <c r="D555" s="34">
        <v>126.22</v>
      </c>
      <c r="E555" s="115">
        <v>128.79</v>
      </c>
      <c r="F555" s="34">
        <v>124.76</v>
      </c>
      <c r="G555" s="34">
        <v>128.26</v>
      </c>
      <c r="H555" s="34">
        <v>128.26</v>
      </c>
      <c r="I555" s="29">
        <v>38773700</v>
      </c>
      <c r="P555" s="125"/>
      <c r="Q555" s="34"/>
      <c r="R555" s="115"/>
      <c r="S555" s="34"/>
      <c r="T555" s="34"/>
      <c r="U555" s="34"/>
      <c r="V555" s="29"/>
    </row>
    <row r="556" spans="3:22">
      <c r="C556" s="125">
        <v>45205</v>
      </c>
      <c r="D556" s="34">
        <v>124.16</v>
      </c>
      <c r="E556" s="115">
        <v>128.44999999999999</v>
      </c>
      <c r="F556" s="34">
        <v>124.13</v>
      </c>
      <c r="G556" s="34">
        <v>127.96</v>
      </c>
      <c r="H556" s="34">
        <v>127.96</v>
      </c>
      <c r="I556" s="29">
        <v>46836700</v>
      </c>
      <c r="P556" s="125"/>
      <c r="Q556" s="34"/>
      <c r="R556" s="115"/>
      <c r="S556" s="34"/>
      <c r="T556" s="34"/>
      <c r="U556" s="34"/>
      <c r="V556" s="29"/>
    </row>
    <row r="557" spans="3:22">
      <c r="C557" s="125">
        <v>45204</v>
      </c>
      <c r="D557" s="34">
        <v>126.71</v>
      </c>
      <c r="E557" s="115">
        <v>126.73</v>
      </c>
      <c r="F557" s="34">
        <v>124.33</v>
      </c>
      <c r="G557" s="34">
        <v>125.96</v>
      </c>
      <c r="H557" s="34">
        <v>125.96</v>
      </c>
      <c r="I557" s="29">
        <v>39660600</v>
      </c>
      <c r="P557" s="125"/>
      <c r="Q557" s="34"/>
      <c r="R557" s="115"/>
      <c r="S557" s="34"/>
      <c r="T557" s="34"/>
      <c r="U557" s="34"/>
      <c r="V557" s="29"/>
    </row>
    <row r="558" spans="3:22">
      <c r="C558" s="125">
        <v>45203</v>
      </c>
      <c r="D558" s="34">
        <v>126.06</v>
      </c>
      <c r="E558" s="115">
        <v>127.36</v>
      </c>
      <c r="F558" s="34">
        <v>125.68</v>
      </c>
      <c r="G558" s="34">
        <v>127</v>
      </c>
      <c r="H558" s="34">
        <v>127</v>
      </c>
      <c r="I558" s="29">
        <v>44203900</v>
      </c>
      <c r="P558" s="125"/>
      <c r="Q558" s="34"/>
      <c r="R558" s="115"/>
      <c r="S558" s="34"/>
      <c r="T558" s="34"/>
      <c r="U558" s="34"/>
      <c r="V558" s="29"/>
    </row>
    <row r="559" spans="3:22">
      <c r="C559" s="125">
        <v>45202</v>
      </c>
      <c r="D559" s="34">
        <v>128.06</v>
      </c>
      <c r="E559" s="115">
        <v>128.52000000000001</v>
      </c>
      <c r="F559" s="34">
        <v>124.25</v>
      </c>
      <c r="G559" s="34">
        <v>124.72</v>
      </c>
      <c r="H559" s="34">
        <v>124.72</v>
      </c>
      <c r="I559" s="29">
        <v>51565000</v>
      </c>
      <c r="P559" s="125"/>
      <c r="Q559" s="34"/>
      <c r="R559" s="115"/>
      <c r="S559" s="34"/>
      <c r="T559" s="34"/>
      <c r="U559" s="34"/>
      <c r="V559" s="29"/>
    </row>
    <row r="560" spans="3:22">
      <c r="C560" s="125">
        <v>45201</v>
      </c>
      <c r="D560" s="34">
        <v>127.28</v>
      </c>
      <c r="E560" s="115">
        <v>130.47</v>
      </c>
      <c r="F560" s="34">
        <v>126.54</v>
      </c>
      <c r="G560" s="34">
        <v>129.46</v>
      </c>
      <c r="H560" s="34">
        <v>129.46</v>
      </c>
      <c r="I560" s="29">
        <v>48029700</v>
      </c>
      <c r="P560" s="125"/>
      <c r="Q560" s="34"/>
      <c r="R560" s="115"/>
      <c r="S560" s="34"/>
      <c r="T560" s="34"/>
      <c r="U560" s="34"/>
      <c r="V560" s="29"/>
    </row>
    <row r="561" spans="3:22">
      <c r="C561" s="125">
        <v>45198</v>
      </c>
      <c r="D561" s="34">
        <v>128.19999999999999</v>
      </c>
      <c r="E561" s="115">
        <v>129.15</v>
      </c>
      <c r="F561" s="34">
        <v>126.32</v>
      </c>
      <c r="G561" s="34">
        <v>127.12</v>
      </c>
      <c r="H561" s="34">
        <v>127.12</v>
      </c>
      <c r="I561" s="29">
        <v>62411700</v>
      </c>
      <c r="P561" s="125"/>
      <c r="Q561" s="34"/>
      <c r="R561" s="115"/>
      <c r="S561" s="34"/>
      <c r="T561" s="34"/>
      <c r="U561" s="34"/>
      <c r="V561" s="29"/>
    </row>
    <row r="562" spans="3:22">
      <c r="C562" s="125">
        <v>45197</v>
      </c>
      <c r="D562" s="34">
        <v>124.04</v>
      </c>
      <c r="E562" s="115">
        <v>126.58</v>
      </c>
      <c r="F562" s="34">
        <v>123.04</v>
      </c>
      <c r="G562" s="34">
        <v>125.98</v>
      </c>
      <c r="H562" s="34">
        <v>125.98</v>
      </c>
      <c r="I562" s="29">
        <v>54555000</v>
      </c>
      <c r="P562" s="125"/>
      <c r="Q562" s="34"/>
      <c r="R562" s="115"/>
      <c r="S562" s="34"/>
      <c r="T562" s="34"/>
      <c r="U562" s="34"/>
      <c r="V562" s="29"/>
    </row>
    <row r="563" spans="3:22">
      <c r="C563" s="125">
        <v>45196</v>
      </c>
      <c r="D563" s="34">
        <v>125.76</v>
      </c>
      <c r="E563" s="115">
        <v>127.48</v>
      </c>
      <c r="F563" s="34">
        <v>124.13</v>
      </c>
      <c r="G563" s="34">
        <v>125.98</v>
      </c>
      <c r="H563" s="34">
        <v>125.98</v>
      </c>
      <c r="I563" s="29">
        <v>66553400</v>
      </c>
      <c r="P563" s="125"/>
      <c r="Q563" s="34"/>
      <c r="R563" s="115"/>
      <c r="S563" s="34"/>
      <c r="T563" s="34"/>
      <c r="U563" s="34"/>
      <c r="V563" s="29"/>
    </row>
    <row r="564" spans="3:22">
      <c r="C564" s="125">
        <v>45195</v>
      </c>
      <c r="D564" s="34">
        <v>130.12</v>
      </c>
      <c r="E564" s="115">
        <v>130.38999999999999</v>
      </c>
      <c r="F564" s="34">
        <v>125.28</v>
      </c>
      <c r="G564" s="34">
        <v>125.98</v>
      </c>
      <c r="H564" s="34">
        <v>125.98</v>
      </c>
      <c r="I564" s="29">
        <v>73048200</v>
      </c>
      <c r="P564" s="125"/>
      <c r="Q564" s="34"/>
      <c r="R564" s="115"/>
      <c r="S564" s="34"/>
      <c r="T564" s="34"/>
      <c r="U564" s="34"/>
      <c r="V564" s="29"/>
    </row>
    <row r="565" spans="3:22">
      <c r="C565" s="125">
        <v>45194</v>
      </c>
      <c r="D565" s="34">
        <v>129.36000000000001</v>
      </c>
      <c r="E565" s="115">
        <v>131.78</v>
      </c>
      <c r="F565" s="34">
        <v>128.77000000000001</v>
      </c>
      <c r="G565" s="34">
        <v>131.27000000000001</v>
      </c>
      <c r="H565" s="34">
        <v>131.27000000000001</v>
      </c>
      <c r="I565" s="29">
        <v>46017800</v>
      </c>
      <c r="P565" s="125"/>
      <c r="Q565" s="34"/>
      <c r="R565" s="115"/>
      <c r="S565" s="34"/>
      <c r="T565" s="34"/>
      <c r="U565" s="34"/>
      <c r="V565" s="29"/>
    </row>
    <row r="566" spans="3:22">
      <c r="C566" s="125">
        <v>45191</v>
      </c>
      <c r="D566" s="34">
        <v>131.11000000000001</v>
      </c>
      <c r="E566" s="115">
        <v>132.03</v>
      </c>
      <c r="F566" s="34">
        <v>128.52000000000001</v>
      </c>
      <c r="G566" s="34">
        <v>129.12</v>
      </c>
      <c r="H566" s="34">
        <v>129.12</v>
      </c>
      <c r="I566" s="29">
        <v>59904300</v>
      </c>
      <c r="P566" s="125"/>
      <c r="Q566" s="34"/>
      <c r="R566" s="115"/>
      <c r="S566" s="34"/>
      <c r="T566" s="34"/>
      <c r="U566" s="34"/>
      <c r="V566" s="29"/>
    </row>
    <row r="567" spans="3:22">
      <c r="C567" s="125">
        <v>45190</v>
      </c>
      <c r="D567" s="34">
        <v>131.94</v>
      </c>
      <c r="E567" s="115">
        <v>132.24</v>
      </c>
      <c r="F567" s="34">
        <v>129.31</v>
      </c>
      <c r="G567" s="34">
        <v>129.33000000000001</v>
      </c>
      <c r="H567" s="34">
        <v>129.33000000000001</v>
      </c>
      <c r="I567" s="29">
        <v>70343300</v>
      </c>
      <c r="P567" s="125"/>
      <c r="Q567" s="34"/>
      <c r="R567" s="115"/>
      <c r="S567" s="34"/>
      <c r="T567" s="34"/>
      <c r="U567" s="34"/>
      <c r="V567" s="29"/>
    </row>
    <row r="568" spans="3:22">
      <c r="C568" s="125">
        <v>45189</v>
      </c>
      <c r="D568" s="34">
        <v>138.55000000000001</v>
      </c>
      <c r="E568" s="115">
        <v>139.37</v>
      </c>
      <c r="F568" s="34">
        <v>135.19999999999999</v>
      </c>
      <c r="G568" s="34">
        <v>135.29</v>
      </c>
      <c r="H568" s="34">
        <v>135.29</v>
      </c>
      <c r="I568" s="29">
        <v>46263700</v>
      </c>
      <c r="P568" s="125"/>
      <c r="Q568" s="34"/>
      <c r="R568" s="115"/>
      <c r="S568" s="34"/>
      <c r="T568" s="34"/>
      <c r="U568" s="34"/>
      <c r="V568" s="29"/>
    </row>
    <row r="569" spans="3:22">
      <c r="C569" s="125">
        <v>45188</v>
      </c>
      <c r="D569" s="34">
        <v>138.69999999999999</v>
      </c>
      <c r="E569" s="115">
        <v>138.84</v>
      </c>
      <c r="F569" s="34">
        <v>135.56</v>
      </c>
      <c r="G569" s="34">
        <v>137.63</v>
      </c>
      <c r="H569" s="34">
        <v>137.63</v>
      </c>
      <c r="I569" s="29">
        <v>61482500</v>
      </c>
      <c r="P569" s="125"/>
      <c r="Q569" s="34"/>
      <c r="R569" s="115"/>
      <c r="S569" s="34"/>
      <c r="T569" s="34"/>
      <c r="U569" s="34"/>
      <c r="V569" s="29"/>
    </row>
    <row r="570" spans="3:22">
      <c r="C570" s="125">
        <v>45187</v>
      </c>
      <c r="D570" s="34">
        <v>140.47999999999999</v>
      </c>
      <c r="E570" s="115">
        <v>141.75</v>
      </c>
      <c r="F570" s="34">
        <v>139.22</v>
      </c>
      <c r="G570" s="34">
        <v>139.97999999999999</v>
      </c>
      <c r="H570" s="34">
        <v>139.97999999999999</v>
      </c>
      <c r="I570" s="29">
        <v>42823500</v>
      </c>
      <c r="P570" s="125"/>
      <c r="Q570" s="34"/>
      <c r="R570" s="115"/>
      <c r="S570" s="34"/>
      <c r="T570" s="34"/>
      <c r="U570" s="34"/>
      <c r="V570" s="29"/>
    </row>
    <row r="571" spans="3:22">
      <c r="C571" s="125">
        <v>45184</v>
      </c>
      <c r="D571" s="34">
        <v>142.69</v>
      </c>
      <c r="E571" s="115">
        <v>143.57</v>
      </c>
      <c r="F571" s="34">
        <v>140.09</v>
      </c>
      <c r="G571" s="34">
        <v>140.38999999999999</v>
      </c>
      <c r="H571" s="34">
        <v>140.38999999999999</v>
      </c>
      <c r="I571" s="29">
        <v>102909300</v>
      </c>
      <c r="P571" s="125"/>
      <c r="Q571" s="34"/>
      <c r="R571" s="115"/>
      <c r="S571" s="34"/>
      <c r="T571" s="34"/>
      <c r="U571" s="34"/>
      <c r="V571" s="29"/>
    </row>
    <row r="572" spans="3:22">
      <c r="C572" s="125">
        <v>45183</v>
      </c>
      <c r="D572" s="34">
        <v>145.08000000000001</v>
      </c>
      <c r="E572" s="115">
        <v>145.86000000000001</v>
      </c>
      <c r="F572" s="34">
        <v>142.94999999999999</v>
      </c>
      <c r="G572" s="34">
        <v>144.72</v>
      </c>
      <c r="H572" s="34">
        <v>144.72</v>
      </c>
      <c r="I572" s="29">
        <v>64033600</v>
      </c>
      <c r="P572" s="125"/>
      <c r="Q572" s="34"/>
      <c r="R572" s="115"/>
      <c r="S572" s="34"/>
      <c r="T572" s="34"/>
      <c r="U572" s="34"/>
      <c r="V572" s="29"/>
    </row>
    <row r="573" spans="3:22">
      <c r="C573" s="125">
        <v>45182</v>
      </c>
      <c r="D573" s="34">
        <v>140.94999999999999</v>
      </c>
      <c r="E573" s="115">
        <v>144.97999999999999</v>
      </c>
      <c r="F573" s="34">
        <v>140.87</v>
      </c>
      <c r="G573" s="34">
        <v>144.85</v>
      </c>
      <c r="H573" s="34">
        <v>144.85</v>
      </c>
      <c r="I573" s="29">
        <v>60465200</v>
      </c>
      <c r="P573" s="125"/>
      <c r="Q573" s="34"/>
      <c r="R573" s="115"/>
      <c r="S573" s="34"/>
      <c r="T573" s="34"/>
      <c r="U573" s="34"/>
      <c r="V573" s="29"/>
    </row>
    <row r="574" spans="3:22">
      <c r="C574" s="125">
        <v>45181</v>
      </c>
      <c r="D574" s="34">
        <v>142.32</v>
      </c>
      <c r="E574" s="115">
        <v>143</v>
      </c>
      <c r="F574" s="34">
        <v>140.61000000000001</v>
      </c>
      <c r="G574" s="34">
        <v>141.22999999999999</v>
      </c>
      <c r="H574" s="34">
        <v>141.22999999999999</v>
      </c>
      <c r="I574" s="29">
        <v>42668500</v>
      </c>
      <c r="P574" s="125"/>
      <c r="Q574" s="34"/>
      <c r="R574" s="115"/>
      <c r="S574" s="34"/>
      <c r="T574" s="34"/>
      <c r="U574" s="34"/>
      <c r="V574" s="29"/>
    </row>
    <row r="575" spans="3:22">
      <c r="C575" s="125">
        <v>45180</v>
      </c>
      <c r="D575" s="34">
        <v>138.75</v>
      </c>
      <c r="E575" s="115">
        <v>143.62</v>
      </c>
      <c r="F575" s="34">
        <v>138.63999999999999</v>
      </c>
      <c r="G575" s="34">
        <v>143.1</v>
      </c>
      <c r="H575" s="34">
        <v>143.1</v>
      </c>
      <c r="I575" s="29">
        <v>56764500</v>
      </c>
      <c r="P575" s="125"/>
      <c r="Q575" s="34"/>
      <c r="R575" s="115"/>
      <c r="S575" s="34"/>
      <c r="T575" s="34"/>
      <c r="U575" s="34"/>
      <c r="V575" s="29"/>
    </row>
    <row r="576" spans="3:22">
      <c r="C576" s="125">
        <v>45177</v>
      </c>
      <c r="D576" s="34">
        <v>136.86000000000001</v>
      </c>
      <c r="E576" s="115">
        <v>138.85</v>
      </c>
      <c r="F576" s="34">
        <v>136.75</v>
      </c>
      <c r="G576" s="34">
        <v>138.22999999999999</v>
      </c>
      <c r="H576" s="34">
        <v>138.22999999999999</v>
      </c>
      <c r="I576" s="29">
        <v>38348200</v>
      </c>
      <c r="P576" s="125"/>
      <c r="Q576" s="34"/>
      <c r="R576" s="115"/>
      <c r="S576" s="34"/>
      <c r="T576" s="34"/>
      <c r="U576" s="34"/>
      <c r="V576" s="29"/>
    </row>
    <row r="577" spans="3:22">
      <c r="C577" s="125">
        <v>45176</v>
      </c>
      <c r="D577" s="34">
        <v>133.9</v>
      </c>
      <c r="E577" s="115">
        <v>138.03</v>
      </c>
      <c r="F577" s="34">
        <v>133.16</v>
      </c>
      <c r="G577" s="34">
        <v>137.85</v>
      </c>
      <c r="H577" s="34">
        <v>137.85</v>
      </c>
      <c r="I577" s="29">
        <v>48498900</v>
      </c>
      <c r="P577" s="125"/>
      <c r="Q577" s="34"/>
      <c r="R577" s="115"/>
      <c r="S577" s="34"/>
      <c r="T577" s="34"/>
      <c r="U577" s="34"/>
      <c r="V577" s="29"/>
    </row>
    <row r="578" spans="3:22">
      <c r="C578" s="125">
        <v>45175</v>
      </c>
      <c r="D578" s="34">
        <v>136.32</v>
      </c>
      <c r="E578" s="115">
        <v>137.44999999999999</v>
      </c>
      <c r="F578" s="34">
        <v>134.61000000000001</v>
      </c>
      <c r="G578" s="34">
        <v>135.36000000000001</v>
      </c>
      <c r="H578" s="34">
        <v>135.36000000000001</v>
      </c>
      <c r="I578" s="29">
        <v>41785500</v>
      </c>
      <c r="P578" s="125"/>
      <c r="Q578" s="34"/>
      <c r="R578" s="115"/>
      <c r="S578" s="34"/>
      <c r="T578" s="34"/>
      <c r="U578" s="34"/>
      <c r="V578" s="29"/>
    </row>
    <row r="579" spans="3:22">
      <c r="C579" s="125">
        <v>45174</v>
      </c>
      <c r="D579" s="34">
        <v>137.72999999999999</v>
      </c>
      <c r="E579" s="115">
        <v>137.80000000000001</v>
      </c>
      <c r="F579" s="34">
        <v>135.82</v>
      </c>
      <c r="G579" s="34">
        <v>137.27000000000001</v>
      </c>
      <c r="H579" s="34">
        <v>137.27000000000001</v>
      </c>
      <c r="I579" s="29">
        <v>40636700</v>
      </c>
      <c r="P579" s="125"/>
      <c r="Q579" s="34"/>
      <c r="R579" s="115"/>
      <c r="S579" s="34"/>
      <c r="T579" s="34"/>
      <c r="U579" s="34"/>
      <c r="V579" s="29"/>
    </row>
    <row r="580" spans="3:22">
      <c r="C580" s="125">
        <v>45170</v>
      </c>
      <c r="D580" s="34">
        <v>139.46</v>
      </c>
      <c r="E580" s="115">
        <v>139.96</v>
      </c>
      <c r="F580" s="34">
        <v>136.88</v>
      </c>
      <c r="G580" s="34">
        <v>138.12</v>
      </c>
      <c r="H580" s="34">
        <v>138.12</v>
      </c>
      <c r="I580" s="29">
        <v>40991500</v>
      </c>
      <c r="P580" s="125"/>
      <c r="Q580" s="34"/>
      <c r="R580" s="115"/>
      <c r="S580" s="34"/>
      <c r="T580" s="34"/>
      <c r="U580" s="34"/>
      <c r="V580" s="29"/>
    </row>
    <row r="581" spans="3:22">
      <c r="C581" s="125">
        <v>45169</v>
      </c>
      <c r="D581" s="34">
        <v>135.06</v>
      </c>
      <c r="E581" s="115">
        <v>138.79</v>
      </c>
      <c r="F581" s="34">
        <v>135</v>
      </c>
      <c r="G581" s="34">
        <v>138.01</v>
      </c>
      <c r="H581" s="34">
        <v>138.01</v>
      </c>
      <c r="I581" s="29">
        <v>58781300</v>
      </c>
      <c r="P581" s="125"/>
      <c r="Q581" s="34"/>
      <c r="R581" s="115"/>
      <c r="S581" s="34"/>
      <c r="T581" s="34"/>
      <c r="U581" s="34"/>
      <c r="V581" s="29"/>
    </row>
    <row r="582" spans="3:22">
      <c r="C582" s="125">
        <v>45168</v>
      </c>
      <c r="D582" s="34">
        <v>134.93</v>
      </c>
      <c r="E582" s="115">
        <v>135.68</v>
      </c>
      <c r="F582" s="34">
        <v>133.91999999999999</v>
      </c>
      <c r="G582" s="34">
        <v>135.07</v>
      </c>
      <c r="H582" s="34">
        <v>135.07</v>
      </c>
      <c r="I582" s="29">
        <v>36137000</v>
      </c>
      <c r="P582" s="125"/>
      <c r="Q582" s="34"/>
      <c r="R582" s="115"/>
      <c r="S582" s="34"/>
      <c r="T582" s="34"/>
      <c r="U582" s="34"/>
      <c r="V582" s="29"/>
    </row>
    <row r="583" spans="3:22">
      <c r="C583" s="125">
        <v>45167</v>
      </c>
      <c r="D583" s="34">
        <v>133.38</v>
      </c>
      <c r="E583" s="115">
        <v>135.13999999999999</v>
      </c>
      <c r="F583" s="34">
        <v>133.25</v>
      </c>
      <c r="G583" s="34">
        <v>134.91</v>
      </c>
      <c r="H583" s="34">
        <v>134.91</v>
      </c>
      <c r="I583" s="29">
        <v>38646100</v>
      </c>
      <c r="P583" s="125"/>
      <c r="Q583" s="34"/>
      <c r="R583" s="115"/>
      <c r="S583" s="34"/>
      <c r="T583" s="34"/>
      <c r="U583" s="34"/>
      <c r="V583" s="29"/>
    </row>
    <row r="584" spans="3:22">
      <c r="C584" s="125">
        <v>45166</v>
      </c>
      <c r="D584" s="34">
        <v>133.78</v>
      </c>
      <c r="E584" s="115">
        <v>133.94999999999999</v>
      </c>
      <c r="F584" s="34">
        <v>131.85</v>
      </c>
      <c r="G584" s="34">
        <v>133.13999999999999</v>
      </c>
      <c r="H584" s="34">
        <v>133.13999999999999</v>
      </c>
      <c r="I584" s="29">
        <v>34108400</v>
      </c>
      <c r="P584" s="125"/>
      <c r="Q584" s="34"/>
      <c r="R584" s="115"/>
      <c r="S584" s="34"/>
      <c r="T584" s="34"/>
      <c r="U584" s="34"/>
      <c r="V584" s="29"/>
    </row>
    <row r="585" spans="3:22">
      <c r="C585" s="125">
        <v>45163</v>
      </c>
      <c r="D585" s="34">
        <v>132.47</v>
      </c>
      <c r="E585" s="115">
        <v>133.87</v>
      </c>
      <c r="F585" s="34">
        <v>130.58000000000001</v>
      </c>
      <c r="G585" s="34">
        <v>133.26</v>
      </c>
      <c r="H585" s="34">
        <v>133.26</v>
      </c>
      <c r="I585" s="29">
        <v>44147500</v>
      </c>
      <c r="P585" s="125"/>
      <c r="Q585" s="34"/>
      <c r="R585" s="115"/>
      <c r="S585" s="34"/>
      <c r="T585" s="34"/>
      <c r="U585" s="34"/>
      <c r="V585" s="29"/>
    </row>
    <row r="586" spans="3:22">
      <c r="C586" s="125">
        <v>45162</v>
      </c>
      <c r="D586" s="34">
        <v>136.4</v>
      </c>
      <c r="E586" s="115">
        <v>136.78</v>
      </c>
      <c r="F586" s="34">
        <v>131.83000000000001</v>
      </c>
      <c r="G586" s="34">
        <v>131.84</v>
      </c>
      <c r="H586" s="34">
        <v>131.84</v>
      </c>
      <c r="I586" s="29">
        <v>43646300</v>
      </c>
      <c r="P586" s="125"/>
      <c r="Q586" s="34"/>
      <c r="R586" s="115"/>
      <c r="S586" s="34"/>
      <c r="T586" s="34"/>
      <c r="U586" s="34"/>
      <c r="V586" s="29"/>
    </row>
    <row r="587" spans="3:22">
      <c r="C587" s="125">
        <v>45161</v>
      </c>
      <c r="D587" s="34">
        <v>134.5</v>
      </c>
      <c r="E587" s="115">
        <v>135.94999999999999</v>
      </c>
      <c r="F587" s="34">
        <v>133.22</v>
      </c>
      <c r="G587" s="34">
        <v>135.52000000000001</v>
      </c>
      <c r="H587" s="34">
        <v>135.52000000000001</v>
      </c>
      <c r="I587" s="29">
        <v>42801000</v>
      </c>
      <c r="P587" s="125"/>
      <c r="Q587" s="34"/>
      <c r="R587" s="115"/>
      <c r="S587" s="34"/>
      <c r="T587" s="34"/>
      <c r="U587" s="34"/>
      <c r="V587" s="29"/>
    </row>
    <row r="588" spans="3:22">
      <c r="C588" s="125">
        <v>45160</v>
      </c>
      <c r="D588" s="34">
        <v>135.08000000000001</v>
      </c>
      <c r="E588" s="115">
        <v>135.65</v>
      </c>
      <c r="F588" s="34">
        <v>133.72999999999999</v>
      </c>
      <c r="G588" s="34">
        <v>134.25</v>
      </c>
      <c r="H588" s="34">
        <v>134.25</v>
      </c>
      <c r="I588" s="29">
        <v>32905400</v>
      </c>
      <c r="P588" s="125"/>
      <c r="Q588" s="34"/>
      <c r="R588" s="115"/>
      <c r="S588" s="34"/>
      <c r="T588" s="34"/>
      <c r="U588" s="34"/>
      <c r="V588" s="29"/>
    </row>
    <row r="589" spans="3:22">
      <c r="C589" s="125">
        <v>45159</v>
      </c>
      <c r="D589" s="34">
        <v>133.74</v>
      </c>
      <c r="E589" s="115">
        <v>135.19</v>
      </c>
      <c r="F589" s="34">
        <v>132.71</v>
      </c>
      <c r="G589" s="34">
        <v>134.68</v>
      </c>
      <c r="H589" s="34">
        <v>134.68</v>
      </c>
      <c r="I589" s="29">
        <v>41442500</v>
      </c>
      <c r="P589" s="125"/>
      <c r="Q589" s="34"/>
      <c r="R589" s="115"/>
      <c r="S589" s="34"/>
      <c r="T589" s="34"/>
      <c r="U589" s="34"/>
      <c r="V589" s="29"/>
    </row>
    <row r="590" spans="3:22">
      <c r="C590" s="125">
        <v>45156</v>
      </c>
      <c r="D590" s="34">
        <v>131.62</v>
      </c>
      <c r="E590" s="115">
        <v>134.07</v>
      </c>
      <c r="F590" s="34">
        <v>131.15</v>
      </c>
      <c r="G590" s="34">
        <v>133.22</v>
      </c>
      <c r="H590" s="34">
        <v>133.22</v>
      </c>
      <c r="I590" s="29">
        <v>48497700</v>
      </c>
      <c r="P590" s="125"/>
      <c r="Q590" s="34"/>
      <c r="R590" s="115"/>
      <c r="S590" s="34"/>
      <c r="T590" s="34"/>
      <c r="U590" s="34"/>
      <c r="V590" s="29"/>
    </row>
    <row r="591" spans="3:22">
      <c r="C591" s="125">
        <v>45155</v>
      </c>
      <c r="D591" s="34">
        <v>135.46</v>
      </c>
      <c r="E591" s="115">
        <v>136.09</v>
      </c>
      <c r="F591" s="34">
        <v>133.53</v>
      </c>
      <c r="G591" s="34">
        <v>133.97999999999999</v>
      </c>
      <c r="H591" s="34">
        <v>133.97999999999999</v>
      </c>
      <c r="I591" s="29">
        <v>48354100</v>
      </c>
      <c r="P591" s="125"/>
      <c r="Q591" s="34"/>
      <c r="R591" s="115"/>
      <c r="S591" s="34"/>
      <c r="T591" s="34"/>
      <c r="U591" s="34"/>
      <c r="V591" s="29"/>
    </row>
    <row r="592" spans="3:22">
      <c r="C592" s="125">
        <v>45154</v>
      </c>
      <c r="D592" s="34">
        <v>137.19</v>
      </c>
      <c r="E592" s="115">
        <v>137.27000000000001</v>
      </c>
      <c r="F592" s="34">
        <v>135.01</v>
      </c>
      <c r="G592" s="34">
        <v>135.07</v>
      </c>
      <c r="H592" s="34">
        <v>135.07</v>
      </c>
      <c r="I592" s="29">
        <v>41675900</v>
      </c>
      <c r="P592" s="125"/>
      <c r="Q592" s="34"/>
      <c r="R592" s="115"/>
      <c r="S592" s="34"/>
      <c r="T592" s="34"/>
      <c r="U592" s="34"/>
      <c r="V592" s="29"/>
    </row>
    <row r="593" spans="3:22">
      <c r="C593" s="125">
        <v>45153</v>
      </c>
      <c r="D593" s="34">
        <v>140.05000000000001</v>
      </c>
      <c r="E593" s="115">
        <v>141.28</v>
      </c>
      <c r="F593" s="34">
        <v>137.22999999999999</v>
      </c>
      <c r="G593" s="34">
        <v>137.66999999999999</v>
      </c>
      <c r="H593" s="34">
        <v>137.66999999999999</v>
      </c>
      <c r="I593" s="29">
        <v>42781500</v>
      </c>
      <c r="P593" s="125"/>
      <c r="Q593" s="34"/>
      <c r="R593" s="115"/>
      <c r="S593" s="34"/>
      <c r="T593" s="34"/>
      <c r="U593" s="34"/>
      <c r="V593" s="29"/>
    </row>
    <row r="594" spans="3:22">
      <c r="C594" s="125">
        <v>45152</v>
      </c>
      <c r="D594" s="34">
        <v>138.30000000000001</v>
      </c>
      <c r="E594" s="115">
        <v>140.59</v>
      </c>
      <c r="F594" s="34">
        <v>137.75</v>
      </c>
      <c r="G594" s="34">
        <v>140.57</v>
      </c>
      <c r="H594" s="34">
        <v>140.57</v>
      </c>
      <c r="I594" s="29">
        <v>47148700</v>
      </c>
      <c r="P594" s="125"/>
      <c r="Q594" s="34"/>
      <c r="R594" s="115"/>
      <c r="S594" s="34"/>
      <c r="T594" s="34"/>
      <c r="U594" s="34"/>
      <c r="V594" s="29"/>
    </row>
    <row r="595" spans="3:22">
      <c r="C595" s="125">
        <v>45149</v>
      </c>
      <c r="D595" s="34">
        <v>137.4</v>
      </c>
      <c r="E595" s="115">
        <v>139.33000000000001</v>
      </c>
      <c r="F595" s="34">
        <v>137</v>
      </c>
      <c r="G595" s="34">
        <v>138.41</v>
      </c>
      <c r="H595" s="34">
        <v>138.41</v>
      </c>
      <c r="I595" s="29">
        <v>42905800</v>
      </c>
      <c r="P595" s="125"/>
      <c r="Q595" s="34"/>
      <c r="R595" s="115"/>
      <c r="S595" s="34"/>
      <c r="T595" s="34"/>
      <c r="U595" s="34"/>
      <c r="V595" s="29"/>
    </row>
    <row r="596" spans="3:22">
      <c r="C596" s="125">
        <v>45148</v>
      </c>
      <c r="D596" s="34">
        <v>139.07</v>
      </c>
      <c r="E596" s="115">
        <v>140.41</v>
      </c>
      <c r="F596" s="34">
        <v>137.49</v>
      </c>
      <c r="G596" s="34">
        <v>138.56</v>
      </c>
      <c r="H596" s="34">
        <v>138.56</v>
      </c>
      <c r="I596" s="29">
        <v>58928400</v>
      </c>
      <c r="P596" s="125"/>
      <c r="Q596" s="34"/>
      <c r="R596" s="115"/>
      <c r="S596" s="34"/>
      <c r="T596" s="34"/>
      <c r="U596" s="34"/>
      <c r="V596" s="29"/>
    </row>
    <row r="597" spans="3:22">
      <c r="C597" s="125">
        <v>45147</v>
      </c>
      <c r="D597" s="34">
        <v>139.97</v>
      </c>
      <c r="E597" s="115">
        <v>140.32</v>
      </c>
      <c r="F597" s="34">
        <v>137.1</v>
      </c>
      <c r="G597" s="34">
        <v>137.85</v>
      </c>
      <c r="H597" s="34">
        <v>137.85</v>
      </c>
      <c r="I597" s="29">
        <v>50017300</v>
      </c>
      <c r="P597" s="125"/>
      <c r="Q597" s="34"/>
      <c r="R597" s="115"/>
      <c r="S597" s="34"/>
      <c r="T597" s="34"/>
      <c r="U597" s="34"/>
      <c r="V597" s="29"/>
    </row>
    <row r="598" spans="3:22">
      <c r="C598" s="125">
        <v>45146</v>
      </c>
      <c r="D598" s="34">
        <v>140.62</v>
      </c>
      <c r="E598" s="115">
        <v>140.84</v>
      </c>
      <c r="F598" s="34">
        <v>138.41999999999999</v>
      </c>
      <c r="G598" s="34">
        <v>139.94</v>
      </c>
      <c r="H598" s="34">
        <v>139.94</v>
      </c>
      <c r="I598" s="29">
        <v>51710500</v>
      </c>
      <c r="P598" s="125"/>
      <c r="Q598" s="34"/>
      <c r="R598" s="115"/>
      <c r="S598" s="34"/>
      <c r="T598" s="34"/>
      <c r="U598" s="34"/>
      <c r="V598" s="29"/>
    </row>
    <row r="599" spans="3:22">
      <c r="C599" s="125">
        <v>45145</v>
      </c>
      <c r="D599" s="34">
        <v>140.99</v>
      </c>
      <c r="E599" s="115">
        <v>142.54</v>
      </c>
      <c r="F599" s="34">
        <v>138.94999999999999</v>
      </c>
      <c r="G599" s="34">
        <v>142.22</v>
      </c>
      <c r="H599" s="34">
        <v>142.22</v>
      </c>
      <c r="I599" s="29">
        <v>71213100</v>
      </c>
      <c r="P599" s="125"/>
      <c r="Q599" s="34"/>
      <c r="R599" s="115"/>
      <c r="S599" s="34"/>
      <c r="T599" s="34"/>
      <c r="U599" s="34"/>
      <c r="V599" s="29"/>
    </row>
    <row r="600" spans="3:22">
      <c r="C600" s="125">
        <v>45142</v>
      </c>
      <c r="D600" s="34">
        <v>141.06</v>
      </c>
      <c r="E600" s="115">
        <v>143.63</v>
      </c>
      <c r="F600" s="34">
        <v>139.32</v>
      </c>
      <c r="G600" s="34">
        <v>139.57</v>
      </c>
      <c r="H600" s="34">
        <v>139.57</v>
      </c>
      <c r="I600" s="29">
        <v>153128500</v>
      </c>
      <c r="P600" s="125"/>
      <c r="Q600" s="34"/>
      <c r="R600" s="115"/>
      <c r="S600" s="34"/>
      <c r="T600" s="34"/>
      <c r="U600" s="34"/>
      <c r="V600" s="29"/>
    </row>
    <row r="601" spans="3:22">
      <c r="C601" s="125">
        <v>45141</v>
      </c>
      <c r="D601" s="34">
        <v>127.48</v>
      </c>
      <c r="E601" s="115">
        <v>129.84</v>
      </c>
      <c r="F601" s="34">
        <v>126.41</v>
      </c>
      <c r="G601" s="34">
        <v>128.91</v>
      </c>
      <c r="H601" s="34">
        <v>128.91</v>
      </c>
      <c r="I601" s="29">
        <v>88585200</v>
      </c>
      <c r="P601" s="125"/>
      <c r="Q601" s="34"/>
      <c r="R601" s="115"/>
      <c r="S601" s="34"/>
      <c r="T601" s="34"/>
      <c r="U601" s="34"/>
      <c r="V601" s="29"/>
    </row>
    <row r="602" spans="3:22">
      <c r="C602" s="125">
        <v>45140</v>
      </c>
      <c r="D602" s="34">
        <v>130.15</v>
      </c>
      <c r="E602" s="115">
        <v>130.22999999999999</v>
      </c>
      <c r="F602" s="34">
        <v>126.82</v>
      </c>
      <c r="G602" s="34">
        <v>128.21</v>
      </c>
      <c r="H602" s="34">
        <v>128.21</v>
      </c>
      <c r="I602" s="29">
        <v>51027600</v>
      </c>
      <c r="P602" s="125"/>
      <c r="Q602" s="34"/>
      <c r="R602" s="115"/>
      <c r="S602" s="34"/>
      <c r="T602" s="34"/>
      <c r="U602" s="34"/>
      <c r="V602" s="29"/>
    </row>
    <row r="603" spans="3:22">
      <c r="C603" s="125">
        <v>45139</v>
      </c>
      <c r="D603" s="34">
        <v>133.55000000000001</v>
      </c>
      <c r="E603" s="115">
        <v>133.69</v>
      </c>
      <c r="F603" s="34">
        <v>131.62</v>
      </c>
      <c r="G603" s="34">
        <v>131.69</v>
      </c>
      <c r="H603" s="34">
        <v>131.69</v>
      </c>
      <c r="I603" s="29">
        <v>42098500</v>
      </c>
      <c r="P603" s="125"/>
      <c r="Q603" s="34"/>
      <c r="R603" s="115"/>
      <c r="S603" s="34"/>
      <c r="T603" s="34"/>
      <c r="U603" s="34"/>
      <c r="V603" s="29"/>
    </row>
    <row r="604" spans="3:22">
      <c r="C604" s="125">
        <v>45138</v>
      </c>
      <c r="D604" s="34">
        <v>133.19999999999999</v>
      </c>
      <c r="E604" s="115">
        <v>133.87</v>
      </c>
      <c r="F604" s="34">
        <v>132.38</v>
      </c>
      <c r="G604" s="34">
        <v>133.68</v>
      </c>
      <c r="H604" s="34">
        <v>133.68</v>
      </c>
      <c r="I604" s="29">
        <v>41901500</v>
      </c>
      <c r="P604" s="125"/>
      <c r="Q604" s="34"/>
      <c r="R604" s="115"/>
      <c r="S604" s="34"/>
      <c r="T604" s="34"/>
      <c r="U604" s="34"/>
      <c r="V604" s="29"/>
    </row>
    <row r="605" spans="3:22">
      <c r="C605" s="125">
        <v>45135</v>
      </c>
      <c r="D605" s="34">
        <v>129.69</v>
      </c>
      <c r="E605" s="115">
        <v>133.01</v>
      </c>
      <c r="F605" s="34">
        <v>129.33000000000001</v>
      </c>
      <c r="G605" s="34">
        <v>132.21</v>
      </c>
      <c r="H605" s="34">
        <v>132.21</v>
      </c>
      <c r="I605" s="29">
        <v>46317400</v>
      </c>
      <c r="P605" s="125"/>
      <c r="Q605" s="34"/>
      <c r="R605" s="115"/>
      <c r="S605" s="34"/>
      <c r="T605" s="34"/>
      <c r="U605" s="34"/>
      <c r="V605" s="29"/>
    </row>
    <row r="606" spans="3:22">
      <c r="C606" s="125">
        <v>45134</v>
      </c>
      <c r="D606" s="34">
        <v>131</v>
      </c>
      <c r="E606" s="115">
        <v>132.63</v>
      </c>
      <c r="F606" s="34">
        <v>127.79</v>
      </c>
      <c r="G606" s="34">
        <v>128.25</v>
      </c>
      <c r="H606" s="34">
        <v>128.25</v>
      </c>
      <c r="I606" s="29">
        <v>52610700</v>
      </c>
      <c r="P606" s="125"/>
      <c r="Q606" s="34"/>
      <c r="R606" s="115"/>
      <c r="S606" s="34"/>
      <c r="T606" s="34"/>
      <c r="U606" s="34"/>
      <c r="V606" s="29"/>
    </row>
    <row r="607" spans="3:22">
      <c r="C607" s="125">
        <v>45133</v>
      </c>
      <c r="D607" s="34">
        <v>126.51</v>
      </c>
      <c r="E607" s="115">
        <v>129.08000000000001</v>
      </c>
      <c r="F607" s="34">
        <v>126.11</v>
      </c>
      <c r="G607" s="34">
        <v>128.15</v>
      </c>
      <c r="H607" s="34">
        <v>128.15</v>
      </c>
      <c r="I607" s="29">
        <v>53910100</v>
      </c>
      <c r="P607" s="125"/>
      <c r="Q607" s="34"/>
      <c r="R607" s="115"/>
      <c r="S607" s="34"/>
      <c r="T607" s="34"/>
      <c r="U607" s="34"/>
      <c r="V607" s="29"/>
    </row>
    <row r="608" spans="3:22">
      <c r="C608" s="125">
        <v>45132</v>
      </c>
      <c r="D608" s="34">
        <v>129.31</v>
      </c>
      <c r="E608" s="115">
        <v>129.58000000000001</v>
      </c>
      <c r="F608" s="34">
        <v>128.53</v>
      </c>
      <c r="G608" s="34">
        <v>129.13</v>
      </c>
      <c r="H608" s="34">
        <v>129.13</v>
      </c>
      <c r="I608" s="29">
        <v>39236700</v>
      </c>
      <c r="P608" s="125"/>
      <c r="Q608" s="34"/>
      <c r="R608" s="115"/>
      <c r="S608" s="34"/>
      <c r="T608" s="34"/>
      <c r="U608" s="34"/>
      <c r="V608" s="29"/>
    </row>
    <row r="609" spans="3:22">
      <c r="C609" s="125">
        <v>45131</v>
      </c>
      <c r="D609" s="34">
        <v>130.31</v>
      </c>
      <c r="E609" s="115">
        <v>131.66</v>
      </c>
      <c r="F609" s="34">
        <v>128.35</v>
      </c>
      <c r="G609" s="34">
        <v>128.80000000000001</v>
      </c>
      <c r="H609" s="34">
        <v>128.80000000000001</v>
      </c>
      <c r="I609" s="29">
        <v>45591100</v>
      </c>
      <c r="P609" s="125"/>
      <c r="Q609" s="34"/>
      <c r="R609" s="115"/>
      <c r="S609" s="34"/>
      <c r="T609" s="34"/>
      <c r="U609" s="34"/>
      <c r="V609" s="29"/>
    </row>
    <row r="610" spans="3:22">
      <c r="C610" s="125">
        <v>45128</v>
      </c>
      <c r="D610" s="34">
        <v>131.34</v>
      </c>
      <c r="E610" s="115">
        <v>131.37</v>
      </c>
      <c r="F610" s="34">
        <v>128.41999999999999</v>
      </c>
      <c r="G610" s="34">
        <v>130</v>
      </c>
      <c r="H610" s="34">
        <v>130</v>
      </c>
      <c r="I610" s="29">
        <v>133307300</v>
      </c>
      <c r="P610" s="125"/>
      <c r="Q610" s="34"/>
      <c r="R610" s="115"/>
      <c r="S610" s="34"/>
      <c r="T610" s="34"/>
      <c r="U610" s="34"/>
      <c r="V610" s="29"/>
    </row>
    <row r="611" spans="3:22">
      <c r="C611" s="125">
        <v>45127</v>
      </c>
      <c r="D611" s="34">
        <v>134.07</v>
      </c>
      <c r="E611" s="115">
        <v>134.79</v>
      </c>
      <c r="F611" s="34">
        <v>129.33000000000001</v>
      </c>
      <c r="G611" s="34">
        <v>129.96</v>
      </c>
      <c r="H611" s="34">
        <v>129.96</v>
      </c>
      <c r="I611" s="29">
        <v>59820600</v>
      </c>
      <c r="P611" s="125"/>
      <c r="Q611" s="34"/>
      <c r="R611" s="115"/>
      <c r="S611" s="34"/>
      <c r="T611" s="34"/>
      <c r="U611" s="34"/>
      <c r="V611" s="29"/>
    </row>
    <row r="612" spans="3:22">
      <c r="C612" s="125">
        <v>45126</v>
      </c>
      <c r="D612" s="34">
        <v>133.38999999999999</v>
      </c>
      <c r="E612" s="115">
        <v>135.99</v>
      </c>
      <c r="F612" s="34">
        <v>132.53</v>
      </c>
      <c r="G612" s="34">
        <v>135.36000000000001</v>
      </c>
      <c r="H612" s="34">
        <v>135.36000000000001</v>
      </c>
      <c r="I612" s="29">
        <v>54531000</v>
      </c>
      <c r="P612" s="125"/>
      <c r="Q612" s="34"/>
      <c r="R612" s="115"/>
      <c r="S612" s="34"/>
      <c r="T612" s="34"/>
      <c r="U612" s="34"/>
      <c r="V612" s="29"/>
    </row>
    <row r="613" spans="3:22">
      <c r="C613" s="125">
        <v>45125</v>
      </c>
      <c r="D613" s="34">
        <v>132.71</v>
      </c>
      <c r="E613" s="115">
        <v>133.86000000000001</v>
      </c>
      <c r="F613" s="34">
        <v>131.35</v>
      </c>
      <c r="G613" s="34">
        <v>132.83000000000001</v>
      </c>
      <c r="H613" s="34">
        <v>132.83000000000001</v>
      </c>
      <c r="I613" s="29">
        <v>54882900</v>
      </c>
      <c r="P613" s="125"/>
      <c r="Q613" s="34"/>
      <c r="R613" s="115"/>
      <c r="S613" s="34"/>
      <c r="T613" s="34"/>
      <c r="U613" s="34"/>
      <c r="V613" s="29"/>
    </row>
    <row r="614" spans="3:22">
      <c r="C614" s="125">
        <v>45124</v>
      </c>
      <c r="D614" s="34">
        <v>134.56</v>
      </c>
      <c r="E614" s="115">
        <v>135.62</v>
      </c>
      <c r="F614" s="34">
        <v>133.21</v>
      </c>
      <c r="G614" s="34">
        <v>133.56</v>
      </c>
      <c r="H614" s="34">
        <v>133.56</v>
      </c>
      <c r="I614" s="29">
        <v>48450200</v>
      </c>
      <c r="P614" s="125"/>
      <c r="Q614" s="34"/>
      <c r="R614" s="115"/>
      <c r="S614" s="34"/>
      <c r="T614" s="34"/>
      <c r="U614" s="34"/>
      <c r="V614" s="29"/>
    </row>
    <row r="615" spans="3:22">
      <c r="C615" s="125">
        <v>45121</v>
      </c>
      <c r="D615" s="34">
        <v>134.06</v>
      </c>
      <c r="E615" s="115">
        <v>136.65</v>
      </c>
      <c r="F615" s="34">
        <v>134.06</v>
      </c>
      <c r="G615" s="34">
        <v>134.68</v>
      </c>
      <c r="H615" s="34">
        <v>134.68</v>
      </c>
      <c r="I615" s="29">
        <v>54487100</v>
      </c>
      <c r="P615" s="125"/>
      <c r="Q615" s="34"/>
      <c r="R615" s="115"/>
      <c r="S615" s="34"/>
      <c r="T615" s="34"/>
      <c r="U615" s="34"/>
      <c r="V615" s="29"/>
    </row>
    <row r="616" spans="3:22">
      <c r="C616" s="125">
        <v>45120</v>
      </c>
      <c r="D616" s="34">
        <v>134.04</v>
      </c>
      <c r="E616" s="115">
        <v>134.66999999999999</v>
      </c>
      <c r="F616" s="34">
        <v>132.71</v>
      </c>
      <c r="G616" s="34">
        <v>134.30000000000001</v>
      </c>
      <c r="H616" s="34">
        <v>134.30000000000001</v>
      </c>
      <c r="I616" s="29">
        <v>61170900</v>
      </c>
      <c r="P616" s="125"/>
      <c r="Q616" s="34"/>
      <c r="R616" s="115"/>
      <c r="S616" s="34"/>
      <c r="T616" s="34"/>
      <c r="U616" s="34"/>
      <c r="V616" s="29"/>
    </row>
    <row r="617" spans="3:22">
      <c r="C617" s="125">
        <v>45119</v>
      </c>
      <c r="D617" s="34">
        <v>130.31</v>
      </c>
      <c r="E617" s="115">
        <v>131.26</v>
      </c>
      <c r="F617" s="34">
        <v>128.83000000000001</v>
      </c>
      <c r="G617" s="34">
        <v>130.80000000000001</v>
      </c>
      <c r="H617" s="34">
        <v>130.80000000000001</v>
      </c>
      <c r="I617" s="29">
        <v>54022800</v>
      </c>
      <c r="P617" s="125"/>
      <c r="Q617" s="34"/>
      <c r="R617" s="115"/>
      <c r="S617" s="34"/>
      <c r="T617" s="34"/>
      <c r="U617" s="34"/>
      <c r="V617" s="29"/>
    </row>
    <row r="618" spans="3:22">
      <c r="C618" s="125">
        <v>45118</v>
      </c>
      <c r="D618" s="34">
        <v>127.75</v>
      </c>
      <c r="E618" s="115">
        <v>129.77000000000001</v>
      </c>
      <c r="F618" s="34">
        <v>127.35</v>
      </c>
      <c r="G618" s="34">
        <v>128.78</v>
      </c>
      <c r="H618" s="34">
        <v>128.78</v>
      </c>
      <c r="I618" s="29">
        <v>49951500</v>
      </c>
      <c r="P618" s="125"/>
      <c r="Q618" s="34"/>
      <c r="R618" s="115"/>
      <c r="S618" s="34"/>
      <c r="T618" s="34"/>
      <c r="U618" s="34"/>
      <c r="V618" s="29"/>
    </row>
    <row r="619" spans="3:22">
      <c r="C619" s="125">
        <v>45117</v>
      </c>
      <c r="D619" s="34">
        <v>129.07</v>
      </c>
      <c r="E619" s="115">
        <v>129.28</v>
      </c>
      <c r="F619" s="34">
        <v>125.92</v>
      </c>
      <c r="G619" s="34">
        <v>127.13</v>
      </c>
      <c r="H619" s="34">
        <v>127.13</v>
      </c>
      <c r="I619" s="29">
        <v>61889300</v>
      </c>
      <c r="P619" s="125"/>
      <c r="Q619" s="34"/>
      <c r="R619" s="115"/>
      <c r="S619" s="34"/>
      <c r="T619" s="34"/>
      <c r="U619" s="34"/>
      <c r="V619" s="29"/>
    </row>
    <row r="620" spans="3:22">
      <c r="C620" s="125">
        <v>45114</v>
      </c>
      <c r="D620" s="34">
        <v>128.59</v>
      </c>
      <c r="E620" s="115">
        <v>130.97</v>
      </c>
      <c r="F620" s="34">
        <v>128.13</v>
      </c>
      <c r="G620" s="34">
        <v>129.78</v>
      </c>
      <c r="H620" s="34">
        <v>129.78</v>
      </c>
      <c r="I620" s="29">
        <v>41992300</v>
      </c>
      <c r="P620" s="125"/>
      <c r="Q620" s="34"/>
      <c r="R620" s="115"/>
      <c r="S620" s="34"/>
      <c r="T620" s="34"/>
      <c r="U620" s="34"/>
      <c r="V620" s="29"/>
    </row>
    <row r="621" spans="3:22">
      <c r="C621" s="125">
        <v>45113</v>
      </c>
      <c r="D621" s="34">
        <v>128.25</v>
      </c>
      <c r="E621" s="115">
        <v>128.72999999999999</v>
      </c>
      <c r="F621" s="34">
        <v>127.37</v>
      </c>
      <c r="G621" s="34">
        <v>128.36000000000001</v>
      </c>
      <c r="H621" s="34">
        <v>128.36000000000001</v>
      </c>
      <c r="I621" s="29">
        <v>40639900</v>
      </c>
      <c r="P621" s="125"/>
      <c r="Q621" s="34"/>
      <c r="R621" s="115"/>
      <c r="S621" s="34"/>
      <c r="T621" s="34"/>
      <c r="U621" s="34"/>
      <c r="V621" s="29"/>
    </row>
    <row r="622" spans="3:22">
      <c r="C622" s="125">
        <v>45112</v>
      </c>
      <c r="D622" s="34">
        <v>130.24</v>
      </c>
      <c r="E622" s="115">
        <v>131.4</v>
      </c>
      <c r="F622" s="34">
        <v>129.63999999999999</v>
      </c>
      <c r="G622" s="34">
        <v>130.38</v>
      </c>
      <c r="H622" s="34">
        <v>130.38</v>
      </c>
      <c r="I622" s="29">
        <v>35895400</v>
      </c>
      <c r="P622" s="125"/>
      <c r="Q622" s="34"/>
      <c r="R622" s="115"/>
      <c r="S622" s="34"/>
      <c r="T622" s="34"/>
      <c r="U622" s="34"/>
      <c r="V622" s="29"/>
    </row>
    <row r="623" spans="3:22">
      <c r="C623" s="125">
        <v>45110</v>
      </c>
      <c r="D623" s="34">
        <v>130.82</v>
      </c>
      <c r="E623" s="115">
        <v>131.85</v>
      </c>
      <c r="F623" s="34">
        <v>130.07</v>
      </c>
      <c r="G623" s="34">
        <v>130.22</v>
      </c>
      <c r="H623" s="34">
        <v>130.22</v>
      </c>
      <c r="I623" s="29">
        <v>28264800</v>
      </c>
      <c r="P623" s="125"/>
      <c r="Q623" s="34"/>
      <c r="R623" s="115"/>
      <c r="S623" s="34"/>
      <c r="T623" s="34"/>
      <c r="U623" s="34"/>
      <c r="V623" s="29"/>
    </row>
    <row r="624" spans="3:22">
      <c r="C624" s="125">
        <v>45107</v>
      </c>
      <c r="D624" s="34">
        <v>129.47</v>
      </c>
      <c r="E624" s="115">
        <v>131.25</v>
      </c>
      <c r="F624" s="34">
        <v>128.94999999999999</v>
      </c>
      <c r="G624" s="34">
        <v>130.36000000000001</v>
      </c>
      <c r="H624" s="34">
        <v>130.36000000000001</v>
      </c>
      <c r="I624" s="29">
        <v>54350700</v>
      </c>
      <c r="P624" s="125"/>
      <c r="Q624" s="34"/>
      <c r="R624" s="115"/>
      <c r="S624" s="34"/>
      <c r="T624" s="34"/>
      <c r="U624" s="34"/>
      <c r="V624" s="29"/>
    </row>
    <row r="625" spans="3:22">
      <c r="C625" s="125">
        <v>45106</v>
      </c>
      <c r="D625" s="34">
        <v>128.77000000000001</v>
      </c>
      <c r="E625" s="115">
        <v>129.26</v>
      </c>
      <c r="F625" s="34">
        <v>127.26</v>
      </c>
      <c r="G625" s="34">
        <v>127.9</v>
      </c>
      <c r="H625" s="34">
        <v>127.9</v>
      </c>
      <c r="I625" s="29">
        <v>40761000</v>
      </c>
      <c r="P625" s="125"/>
      <c r="Q625" s="34"/>
      <c r="R625" s="115"/>
      <c r="S625" s="34"/>
      <c r="T625" s="34"/>
      <c r="U625" s="34"/>
      <c r="V625" s="29"/>
    </row>
    <row r="626" spans="3:22">
      <c r="C626" s="125">
        <v>45105</v>
      </c>
      <c r="D626" s="34">
        <v>128.94</v>
      </c>
      <c r="E626" s="115">
        <v>131.47999999999999</v>
      </c>
      <c r="F626" s="34">
        <v>128.44</v>
      </c>
      <c r="G626" s="34">
        <v>129.04</v>
      </c>
      <c r="H626" s="34">
        <v>129.04</v>
      </c>
      <c r="I626" s="29">
        <v>52149500</v>
      </c>
      <c r="P626" s="125"/>
      <c r="Q626" s="34"/>
      <c r="R626" s="115"/>
      <c r="S626" s="34"/>
      <c r="T626" s="34"/>
      <c r="U626" s="34"/>
      <c r="V626" s="29"/>
    </row>
    <row r="627" spans="3:22">
      <c r="C627" s="125">
        <v>45104</v>
      </c>
      <c r="D627" s="34">
        <v>128.63</v>
      </c>
      <c r="E627" s="115">
        <v>130.09</v>
      </c>
      <c r="F627" s="34">
        <v>127.55</v>
      </c>
      <c r="G627" s="34">
        <v>129.18</v>
      </c>
      <c r="H627" s="34">
        <v>129.18</v>
      </c>
      <c r="I627" s="29">
        <v>46801000</v>
      </c>
      <c r="P627" s="125"/>
      <c r="Q627" s="34"/>
      <c r="R627" s="115"/>
      <c r="S627" s="34"/>
      <c r="T627" s="34"/>
      <c r="U627" s="34"/>
      <c r="V627" s="29"/>
    </row>
    <row r="628" spans="3:22">
      <c r="C628" s="125">
        <v>45103</v>
      </c>
      <c r="D628" s="34">
        <v>129.33000000000001</v>
      </c>
      <c r="E628" s="115">
        <v>131.49</v>
      </c>
      <c r="F628" s="34">
        <v>127.1</v>
      </c>
      <c r="G628" s="34">
        <v>127.33</v>
      </c>
      <c r="H628" s="34">
        <v>127.33</v>
      </c>
      <c r="I628" s="29">
        <v>59989300</v>
      </c>
      <c r="P628" s="125"/>
      <c r="Q628" s="34"/>
      <c r="R628" s="115"/>
      <c r="S628" s="34"/>
      <c r="T628" s="34"/>
      <c r="U628" s="34"/>
      <c r="V628" s="29"/>
    </row>
    <row r="629" spans="3:22">
      <c r="C629" s="125">
        <v>45100</v>
      </c>
      <c r="D629" s="34">
        <v>129.11000000000001</v>
      </c>
      <c r="E629" s="115">
        <v>130.84</v>
      </c>
      <c r="F629" s="34">
        <v>128.28</v>
      </c>
      <c r="G629" s="34">
        <v>129.33000000000001</v>
      </c>
      <c r="H629" s="34">
        <v>129.33000000000001</v>
      </c>
      <c r="I629" s="29">
        <v>71927800</v>
      </c>
      <c r="P629" s="125"/>
      <c r="Q629" s="34"/>
      <c r="R629" s="115"/>
      <c r="S629" s="34"/>
      <c r="T629" s="34"/>
      <c r="U629" s="34"/>
      <c r="V629" s="29"/>
    </row>
    <row r="630" spans="3:22">
      <c r="C630" s="125">
        <v>45099</v>
      </c>
      <c r="D630" s="34">
        <v>125.31</v>
      </c>
      <c r="E630" s="115">
        <v>130.33000000000001</v>
      </c>
      <c r="F630" s="34">
        <v>125.14</v>
      </c>
      <c r="G630" s="34">
        <v>130.15</v>
      </c>
      <c r="H630" s="34">
        <v>130.15</v>
      </c>
      <c r="I630" s="29">
        <v>90354600</v>
      </c>
      <c r="P630" s="125"/>
      <c r="Q630" s="34"/>
      <c r="R630" s="115"/>
      <c r="S630" s="34"/>
      <c r="T630" s="34"/>
      <c r="U630" s="34"/>
      <c r="V630" s="29"/>
    </row>
    <row r="631" spans="3:22">
      <c r="C631" s="125">
        <v>45098</v>
      </c>
      <c r="D631" s="34">
        <v>125.64</v>
      </c>
      <c r="E631" s="115">
        <v>126.73</v>
      </c>
      <c r="F631" s="34">
        <v>123.85</v>
      </c>
      <c r="G631" s="34">
        <v>124.83</v>
      </c>
      <c r="H631" s="34">
        <v>124.83</v>
      </c>
      <c r="I631" s="29">
        <v>52137700</v>
      </c>
      <c r="P631" s="125"/>
      <c r="Q631" s="34"/>
      <c r="R631" s="115"/>
      <c r="S631" s="34"/>
      <c r="T631" s="34"/>
      <c r="U631" s="34"/>
      <c r="V631" s="29"/>
    </row>
    <row r="632" spans="3:22">
      <c r="C632" s="125">
        <v>45097</v>
      </c>
      <c r="D632" s="34">
        <v>124.97</v>
      </c>
      <c r="E632" s="115">
        <v>127.25</v>
      </c>
      <c r="F632" s="34">
        <v>124.5</v>
      </c>
      <c r="G632" s="34">
        <v>125.78</v>
      </c>
      <c r="H632" s="34">
        <v>125.78</v>
      </c>
      <c r="I632" s="29">
        <v>56930100</v>
      </c>
      <c r="P632" s="125"/>
      <c r="Q632" s="34"/>
      <c r="R632" s="115"/>
      <c r="S632" s="34"/>
      <c r="T632" s="34"/>
      <c r="U632" s="34"/>
      <c r="V632" s="29"/>
    </row>
    <row r="633" spans="3:22">
      <c r="C633" s="125">
        <v>45093</v>
      </c>
      <c r="D633" s="34">
        <v>127.71</v>
      </c>
      <c r="E633" s="115">
        <v>127.9</v>
      </c>
      <c r="F633" s="34">
        <v>125.3</v>
      </c>
      <c r="G633" s="34">
        <v>125.49</v>
      </c>
      <c r="H633" s="34">
        <v>125.49</v>
      </c>
      <c r="I633" s="29">
        <v>84247100</v>
      </c>
      <c r="P633" s="125"/>
      <c r="Q633" s="34"/>
      <c r="R633" s="115"/>
      <c r="S633" s="34"/>
      <c r="T633" s="34"/>
      <c r="U633" s="34"/>
      <c r="V633" s="29"/>
    </row>
    <row r="634" spans="3:22">
      <c r="C634" s="125">
        <v>45092</v>
      </c>
      <c r="D634" s="34">
        <v>125.21</v>
      </c>
      <c r="E634" s="115">
        <v>127.69</v>
      </c>
      <c r="F634" s="34">
        <v>124.32</v>
      </c>
      <c r="G634" s="34">
        <v>127.11</v>
      </c>
      <c r="H634" s="34">
        <v>127.11</v>
      </c>
      <c r="I634" s="29">
        <v>60458500</v>
      </c>
      <c r="P634" s="125"/>
      <c r="Q634" s="34"/>
      <c r="R634" s="115"/>
      <c r="S634" s="34"/>
      <c r="T634" s="34"/>
      <c r="U634" s="34"/>
      <c r="V634" s="29"/>
    </row>
    <row r="635" spans="3:22">
      <c r="C635" s="125">
        <v>45091</v>
      </c>
      <c r="D635" s="34">
        <v>126.7</v>
      </c>
      <c r="E635" s="115">
        <v>126.95</v>
      </c>
      <c r="F635" s="34">
        <v>124.12</v>
      </c>
      <c r="G635" s="34">
        <v>126.42</v>
      </c>
      <c r="H635" s="34">
        <v>126.42</v>
      </c>
      <c r="I635" s="29">
        <v>52422500</v>
      </c>
      <c r="P635" s="125"/>
      <c r="Q635" s="34"/>
      <c r="R635" s="115"/>
      <c r="S635" s="34"/>
      <c r="T635" s="34"/>
      <c r="U635" s="34"/>
      <c r="V635" s="29"/>
    </row>
    <row r="636" spans="3:22">
      <c r="C636" s="125">
        <v>45090</v>
      </c>
      <c r="D636" s="34">
        <v>128.12</v>
      </c>
      <c r="E636" s="115">
        <v>128.41</v>
      </c>
      <c r="F636" s="34">
        <v>125.18</v>
      </c>
      <c r="G636" s="34">
        <v>126.66</v>
      </c>
      <c r="H636" s="34">
        <v>126.66</v>
      </c>
      <c r="I636" s="29">
        <v>50564800</v>
      </c>
      <c r="P636" s="125"/>
      <c r="Q636" s="34"/>
      <c r="R636" s="115"/>
      <c r="S636" s="34"/>
      <c r="T636" s="34"/>
      <c r="U636" s="34"/>
      <c r="V636" s="29"/>
    </row>
    <row r="637" spans="3:22">
      <c r="C637" s="125">
        <v>45089</v>
      </c>
      <c r="D637" s="34">
        <v>124.02</v>
      </c>
      <c r="E637" s="115">
        <v>126.78</v>
      </c>
      <c r="F637" s="34">
        <v>123.53</v>
      </c>
      <c r="G637" s="34">
        <v>126.57</v>
      </c>
      <c r="H637" s="34">
        <v>126.57</v>
      </c>
      <c r="I637" s="29">
        <v>51338000</v>
      </c>
      <c r="P637" s="125"/>
      <c r="Q637" s="34"/>
      <c r="R637" s="115"/>
      <c r="S637" s="34"/>
      <c r="T637" s="34"/>
      <c r="U637" s="34"/>
      <c r="V637" s="29"/>
    </row>
    <row r="638" spans="3:22">
      <c r="C638" s="125">
        <v>45086</v>
      </c>
      <c r="D638" s="34">
        <v>124.08</v>
      </c>
      <c r="E638" s="115">
        <v>125.8</v>
      </c>
      <c r="F638" s="34">
        <v>123.19</v>
      </c>
      <c r="G638" s="34">
        <v>123.43</v>
      </c>
      <c r="H638" s="34">
        <v>123.43</v>
      </c>
      <c r="I638" s="29">
        <v>51396000</v>
      </c>
      <c r="P638" s="125"/>
      <c r="Q638" s="34"/>
      <c r="R638" s="115"/>
      <c r="S638" s="34"/>
      <c r="T638" s="34"/>
      <c r="U638" s="34"/>
      <c r="V638" s="29"/>
    </row>
    <row r="639" spans="3:22">
      <c r="C639" s="125">
        <v>45085</v>
      </c>
      <c r="D639" s="34">
        <v>123.01</v>
      </c>
      <c r="E639" s="115">
        <v>125.63</v>
      </c>
      <c r="F639" s="34">
        <v>122.26</v>
      </c>
      <c r="G639" s="34">
        <v>124.25</v>
      </c>
      <c r="H639" s="34">
        <v>124.25</v>
      </c>
      <c r="I639" s="29">
        <v>62159300</v>
      </c>
      <c r="P639" s="125"/>
      <c r="Q639" s="34"/>
      <c r="R639" s="115"/>
      <c r="S639" s="34"/>
      <c r="T639" s="34"/>
      <c r="U639" s="34"/>
      <c r="V639" s="29"/>
    </row>
    <row r="640" spans="3:22">
      <c r="C640" s="125">
        <v>45084</v>
      </c>
      <c r="D640" s="34">
        <v>127.01</v>
      </c>
      <c r="E640" s="115">
        <v>127.37</v>
      </c>
      <c r="F640" s="34">
        <v>120.63</v>
      </c>
      <c r="G640" s="34">
        <v>121.23</v>
      </c>
      <c r="H640" s="34">
        <v>121.23</v>
      </c>
      <c r="I640" s="29">
        <v>95663300</v>
      </c>
      <c r="P640" s="125"/>
      <c r="Q640" s="34"/>
      <c r="R640" s="115"/>
      <c r="S640" s="34"/>
      <c r="T640" s="34"/>
      <c r="U640" s="34"/>
      <c r="V640" s="29"/>
    </row>
    <row r="641" spans="3:22">
      <c r="C641" s="125">
        <v>45083</v>
      </c>
      <c r="D641" s="34">
        <v>125.07</v>
      </c>
      <c r="E641" s="115">
        <v>127.4</v>
      </c>
      <c r="F641" s="34">
        <v>125</v>
      </c>
      <c r="G641" s="34">
        <v>126.61</v>
      </c>
      <c r="H641" s="34">
        <v>126.61</v>
      </c>
      <c r="I641" s="29">
        <v>45695200</v>
      </c>
      <c r="P641" s="125"/>
      <c r="Q641" s="34"/>
      <c r="R641" s="115"/>
      <c r="S641" s="34"/>
      <c r="T641" s="34"/>
      <c r="U641" s="34"/>
      <c r="V641" s="29"/>
    </row>
    <row r="642" spans="3:22">
      <c r="C642" s="125">
        <v>45082</v>
      </c>
      <c r="D642" s="34">
        <v>123.36</v>
      </c>
      <c r="E642" s="115">
        <v>125.8</v>
      </c>
      <c r="F642" s="34">
        <v>123.03</v>
      </c>
      <c r="G642" s="34">
        <v>125.3</v>
      </c>
      <c r="H642" s="34">
        <v>125.3</v>
      </c>
      <c r="I642" s="29">
        <v>47950100</v>
      </c>
      <c r="P642" s="125"/>
      <c r="Q642" s="34"/>
      <c r="R642" s="115"/>
      <c r="S642" s="34"/>
      <c r="T642" s="34"/>
      <c r="U642" s="34"/>
      <c r="V642" s="29"/>
    </row>
    <row r="643" spans="3:22">
      <c r="C643" s="125">
        <v>45079</v>
      </c>
      <c r="D643" s="34">
        <v>124.92</v>
      </c>
      <c r="E643" s="115">
        <v>126.39</v>
      </c>
      <c r="F643" s="34">
        <v>124.02</v>
      </c>
      <c r="G643" s="34">
        <v>124.25</v>
      </c>
      <c r="H643" s="34">
        <v>124.25</v>
      </c>
      <c r="I643" s="29">
        <v>61264400</v>
      </c>
      <c r="P643" s="125"/>
      <c r="Q643" s="34"/>
      <c r="R643" s="115"/>
      <c r="S643" s="34"/>
      <c r="T643" s="34"/>
      <c r="U643" s="34"/>
      <c r="V643" s="29"/>
    </row>
    <row r="644" spans="3:22">
      <c r="C644" s="125">
        <v>45078</v>
      </c>
      <c r="D644" s="34">
        <v>120.69</v>
      </c>
      <c r="E644" s="115">
        <v>123.49</v>
      </c>
      <c r="F644" s="34">
        <v>119.93</v>
      </c>
      <c r="G644" s="34">
        <v>122.77</v>
      </c>
      <c r="H644" s="34">
        <v>122.77</v>
      </c>
      <c r="I644" s="29">
        <v>54375100</v>
      </c>
      <c r="P644" s="125"/>
      <c r="Q644" s="34"/>
      <c r="R644" s="115"/>
      <c r="S644" s="34"/>
      <c r="T644" s="34"/>
      <c r="U644" s="34"/>
      <c r="V644" s="29"/>
    </row>
    <row r="645" spans="3:22">
      <c r="C645" s="125">
        <v>45077</v>
      </c>
      <c r="D645" s="34">
        <v>121.45</v>
      </c>
      <c r="E645" s="115">
        <v>122.04</v>
      </c>
      <c r="F645" s="34">
        <v>119.17</v>
      </c>
      <c r="G645" s="34">
        <v>120.58</v>
      </c>
      <c r="H645" s="34">
        <v>120.58</v>
      </c>
      <c r="I645" s="29">
        <v>72800800</v>
      </c>
      <c r="P645" s="125"/>
      <c r="Q645" s="34"/>
      <c r="R645" s="115"/>
      <c r="S645" s="34"/>
      <c r="T645" s="34"/>
      <c r="U645" s="34"/>
      <c r="V645" s="29"/>
    </row>
    <row r="646" spans="3:22">
      <c r="C646" s="125">
        <v>45076</v>
      </c>
      <c r="D646" s="34">
        <v>122.37</v>
      </c>
      <c r="E646" s="115">
        <v>122.92</v>
      </c>
      <c r="F646" s="34">
        <v>119.86</v>
      </c>
      <c r="G646" s="34">
        <v>121.66</v>
      </c>
      <c r="H646" s="34">
        <v>121.66</v>
      </c>
      <c r="I646" s="29">
        <v>64314800</v>
      </c>
      <c r="P646" s="125"/>
      <c r="Q646" s="34"/>
      <c r="R646" s="115"/>
      <c r="S646" s="34"/>
      <c r="T646" s="34"/>
      <c r="U646" s="34"/>
      <c r="V646" s="29"/>
    </row>
    <row r="647" spans="3:22">
      <c r="C647" s="125">
        <v>45072</v>
      </c>
      <c r="D647" s="34">
        <v>116.04</v>
      </c>
      <c r="E647" s="115">
        <v>121.5</v>
      </c>
      <c r="F647" s="34">
        <v>116.02</v>
      </c>
      <c r="G647" s="34">
        <v>120.11</v>
      </c>
      <c r="H647" s="34">
        <v>120.11</v>
      </c>
      <c r="I647" s="29">
        <v>96779900</v>
      </c>
      <c r="P647" s="125"/>
      <c r="Q647" s="34"/>
      <c r="R647" s="115"/>
      <c r="S647" s="34"/>
      <c r="T647" s="34"/>
      <c r="U647" s="34"/>
      <c r="V647" s="29"/>
    </row>
    <row r="648" spans="3:22">
      <c r="C648" s="125">
        <v>45071</v>
      </c>
      <c r="D648" s="34">
        <v>116.63</v>
      </c>
      <c r="E648" s="115">
        <v>116.87</v>
      </c>
      <c r="F648" s="34">
        <v>114.31</v>
      </c>
      <c r="G648" s="34">
        <v>115</v>
      </c>
      <c r="H648" s="34">
        <v>115</v>
      </c>
      <c r="I648" s="29">
        <v>66496700</v>
      </c>
      <c r="P648" s="125"/>
      <c r="Q648" s="34"/>
      <c r="R648" s="115"/>
      <c r="S648" s="34"/>
      <c r="T648" s="34"/>
      <c r="U648" s="34"/>
      <c r="V648" s="29"/>
    </row>
    <row r="649" spans="3:22">
      <c r="C649" s="125">
        <v>45070</v>
      </c>
      <c r="D649" s="34">
        <v>115.35</v>
      </c>
      <c r="E649" s="115">
        <v>117.34</v>
      </c>
      <c r="F649" s="34">
        <v>115.02</v>
      </c>
      <c r="G649" s="34">
        <v>116.75</v>
      </c>
      <c r="H649" s="34">
        <v>116.75</v>
      </c>
      <c r="I649" s="29">
        <v>63487900</v>
      </c>
      <c r="P649" s="125"/>
      <c r="Q649" s="34"/>
      <c r="R649" s="115"/>
      <c r="S649" s="34"/>
      <c r="T649" s="34"/>
      <c r="U649" s="34"/>
      <c r="V649" s="29"/>
    </row>
    <row r="650" spans="3:22">
      <c r="C650" s="125">
        <v>45069</v>
      </c>
      <c r="D650" s="34">
        <v>114.27</v>
      </c>
      <c r="E650" s="115">
        <v>117.14</v>
      </c>
      <c r="F650" s="34">
        <v>113.78</v>
      </c>
      <c r="G650" s="34">
        <v>114.99</v>
      </c>
      <c r="H650" s="34">
        <v>114.99</v>
      </c>
      <c r="I650" s="29">
        <v>67576300</v>
      </c>
      <c r="P650" s="125"/>
      <c r="Q650" s="34"/>
      <c r="R650" s="115"/>
      <c r="S650" s="34"/>
      <c r="T650" s="34"/>
      <c r="U650" s="34"/>
      <c r="V650" s="29"/>
    </row>
    <row r="651" spans="3:22">
      <c r="C651" s="125">
        <v>45068</v>
      </c>
      <c r="D651" s="34">
        <v>116.77</v>
      </c>
      <c r="E651" s="115">
        <v>116.77</v>
      </c>
      <c r="F651" s="34">
        <v>114.25</v>
      </c>
      <c r="G651" s="34">
        <v>115.01</v>
      </c>
      <c r="H651" s="34">
        <v>115.01</v>
      </c>
      <c r="I651" s="29">
        <v>70741100</v>
      </c>
      <c r="P651" s="125"/>
      <c r="Q651" s="34"/>
      <c r="R651" s="115"/>
      <c r="S651" s="34"/>
      <c r="T651" s="34"/>
      <c r="U651" s="34"/>
      <c r="V651" s="29"/>
    </row>
    <row r="652" spans="3:22">
      <c r="C652" s="125">
        <v>45065</v>
      </c>
      <c r="D652" s="34">
        <v>118.16</v>
      </c>
      <c r="E652" s="115">
        <v>118.31</v>
      </c>
      <c r="F652" s="34">
        <v>115.7</v>
      </c>
      <c r="G652" s="34">
        <v>116.25</v>
      </c>
      <c r="H652" s="34">
        <v>116.25</v>
      </c>
      <c r="I652" s="29">
        <v>55056300</v>
      </c>
      <c r="P652" s="125"/>
      <c r="Q652" s="34"/>
      <c r="R652" s="115"/>
      <c r="S652" s="34"/>
      <c r="T652" s="34"/>
      <c r="U652" s="34"/>
      <c r="V652" s="29"/>
    </row>
    <row r="653" spans="3:22">
      <c r="C653" s="125">
        <v>45064</v>
      </c>
      <c r="D653" s="34">
        <v>116.69</v>
      </c>
      <c r="E653" s="115">
        <v>118.6</v>
      </c>
      <c r="F653" s="34">
        <v>116.34</v>
      </c>
      <c r="G653" s="34">
        <v>118.15</v>
      </c>
      <c r="H653" s="34">
        <v>118.15</v>
      </c>
      <c r="I653" s="29">
        <v>73174100</v>
      </c>
      <c r="P653" s="125"/>
      <c r="Q653" s="34"/>
      <c r="R653" s="115"/>
      <c r="S653" s="34"/>
      <c r="T653" s="34"/>
      <c r="U653" s="34"/>
      <c r="V653" s="29"/>
    </row>
    <row r="654" spans="3:22">
      <c r="C654" s="125">
        <v>45063</v>
      </c>
      <c r="D654" s="34">
        <v>114.89</v>
      </c>
      <c r="E654" s="115">
        <v>115.83</v>
      </c>
      <c r="F654" s="34">
        <v>114.22</v>
      </c>
      <c r="G654" s="34">
        <v>115.5</v>
      </c>
      <c r="H654" s="34">
        <v>115.5</v>
      </c>
      <c r="I654" s="29">
        <v>65655200</v>
      </c>
      <c r="P654" s="125"/>
      <c r="Q654" s="34"/>
      <c r="R654" s="115"/>
      <c r="S654" s="34"/>
      <c r="T654" s="34"/>
      <c r="U654" s="34"/>
      <c r="V654" s="29"/>
    </row>
    <row r="655" spans="3:22">
      <c r="C655" s="125">
        <v>45062</v>
      </c>
      <c r="D655" s="34">
        <v>111.05</v>
      </c>
      <c r="E655" s="115">
        <v>114.79</v>
      </c>
      <c r="F655" s="34">
        <v>111.05</v>
      </c>
      <c r="G655" s="34">
        <v>113.4</v>
      </c>
      <c r="H655" s="34">
        <v>113.4</v>
      </c>
      <c r="I655" s="29">
        <v>71472900</v>
      </c>
      <c r="P655" s="125"/>
      <c r="Q655" s="34"/>
      <c r="R655" s="115"/>
      <c r="S655" s="34"/>
      <c r="T655" s="34"/>
      <c r="U655" s="34"/>
      <c r="V655" s="29"/>
    </row>
    <row r="656" spans="3:22">
      <c r="C656" s="125">
        <v>45061</v>
      </c>
      <c r="D656" s="34">
        <v>111.15</v>
      </c>
      <c r="E656" s="115">
        <v>112.29</v>
      </c>
      <c r="F656" s="34">
        <v>109.25</v>
      </c>
      <c r="G656" s="34">
        <v>111.2</v>
      </c>
      <c r="H656" s="34">
        <v>111.2</v>
      </c>
      <c r="I656" s="29">
        <v>53011100</v>
      </c>
      <c r="P656" s="125"/>
      <c r="Q656" s="34"/>
      <c r="R656" s="115"/>
      <c r="S656" s="34"/>
      <c r="T656" s="34"/>
      <c r="U656" s="34"/>
      <c r="V656" s="29"/>
    </row>
    <row r="657" spans="3:22">
      <c r="C657" s="125">
        <v>45058</v>
      </c>
      <c r="D657" s="34">
        <v>112.16</v>
      </c>
      <c r="E657" s="115">
        <v>112.64</v>
      </c>
      <c r="F657" s="34">
        <v>109.32</v>
      </c>
      <c r="G657" s="34">
        <v>110.26</v>
      </c>
      <c r="H657" s="34">
        <v>110.26</v>
      </c>
      <c r="I657" s="29">
        <v>49852700</v>
      </c>
      <c r="P657" s="125"/>
      <c r="Q657" s="34"/>
      <c r="R657" s="115"/>
      <c r="S657" s="34"/>
      <c r="T657" s="34"/>
      <c r="U657" s="34"/>
      <c r="V657" s="29"/>
    </row>
    <row r="658" spans="3:22">
      <c r="C658" s="125">
        <v>45057</v>
      </c>
      <c r="D658" s="34">
        <v>111.03</v>
      </c>
      <c r="E658" s="115">
        <v>113.28</v>
      </c>
      <c r="F658" s="34">
        <v>110.49</v>
      </c>
      <c r="G658" s="34">
        <v>112.18</v>
      </c>
      <c r="H658" s="34">
        <v>112.18</v>
      </c>
      <c r="I658" s="29">
        <v>74924800</v>
      </c>
      <c r="P658" s="125"/>
      <c r="Q658" s="34"/>
      <c r="R658" s="115"/>
      <c r="S658" s="34"/>
      <c r="T658" s="34"/>
      <c r="U658" s="34"/>
      <c r="V658" s="29"/>
    </row>
    <row r="659" spans="3:22">
      <c r="C659" s="125">
        <v>45056</v>
      </c>
      <c r="D659" s="34">
        <v>108.1</v>
      </c>
      <c r="E659" s="115">
        <v>110.67</v>
      </c>
      <c r="F659" s="34">
        <v>108.05</v>
      </c>
      <c r="G659" s="34">
        <v>110.19</v>
      </c>
      <c r="H659" s="34">
        <v>110.19</v>
      </c>
      <c r="I659" s="29">
        <v>78627600</v>
      </c>
      <c r="P659" s="125"/>
      <c r="Q659" s="34"/>
      <c r="R659" s="115"/>
      <c r="S659" s="34"/>
      <c r="T659" s="34"/>
      <c r="U659" s="34"/>
      <c r="V659" s="29"/>
    </row>
    <row r="660" spans="3:22">
      <c r="C660" s="125">
        <v>45055</v>
      </c>
      <c r="D660" s="34">
        <v>105.48</v>
      </c>
      <c r="E660" s="115">
        <v>106.79</v>
      </c>
      <c r="F660" s="34">
        <v>105.16</v>
      </c>
      <c r="G660" s="34">
        <v>106.62</v>
      </c>
      <c r="H660" s="34">
        <v>106.62</v>
      </c>
      <c r="I660" s="29">
        <v>44089400</v>
      </c>
      <c r="P660" s="125"/>
      <c r="Q660" s="34"/>
      <c r="R660" s="115"/>
      <c r="S660" s="34"/>
      <c r="T660" s="34"/>
      <c r="U660" s="34"/>
      <c r="V660" s="29"/>
    </row>
    <row r="661" spans="3:22">
      <c r="C661" s="125">
        <v>45054</v>
      </c>
      <c r="D661" s="34">
        <v>105.04</v>
      </c>
      <c r="E661" s="115">
        <v>106.1</v>
      </c>
      <c r="F661" s="34">
        <v>104.7</v>
      </c>
      <c r="G661" s="34">
        <v>105.83</v>
      </c>
      <c r="H661" s="34">
        <v>105.83</v>
      </c>
      <c r="I661" s="29">
        <v>49430900</v>
      </c>
      <c r="P661" s="125"/>
      <c r="Q661" s="34"/>
      <c r="R661" s="115"/>
      <c r="S661" s="34"/>
      <c r="T661" s="34"/>
      <c r="U661" s="34"/>
      <c r="V661" s="29"/>
    </row>
    <row r="662" spans="3:22">
      <c r="C662" s="125">
        <v>45051</v>
      </c>
      <c r="D662" s="34">
        <v>104.27</v>
      </c>
      <c r="E662" s="115">
        <v>105.76</v>
      </c>
      <c r="F662" s="34">
        <v>103.55</v>
      </c>
      <c r="G662" s="34">
        <v>105.66</v>
      </c>
      <c r="H662" s="34">
        <v>105.66</v>
      </c>
      <c r="I662" s="29">
        <v>56951700</v>
      </c>
      <c r="P662" s="125"/>
      <c r="Q662" s="34"/>
      <c r="R662" s="115"/>
      <c r="S662" s="34"/>
      <c r="T662" s="34"/>
      <c r="U662" s="34"/>
      <c r="V662" s="29"/>
    </row>
    <row r="663" spans="3:22">
      <c r="C663" s="125">
        <v>45050</v>
      </c>
      <c r="D663" s="34">
        <v>104.04</v>
      </c>
      <c r="E663" s="115">
        <v>105.39</v>
      </c>
      <c r="F663" s="34">
        <v>103.31</v>
      </c>
      <c r="G663" s="34">
        <v>104</v>
      </c>
      <c r="H663" s="34">
        <v>104</v>
      </c>
      <c r="I663" s="29">
        <v>45345500</v>
      </c>
      <c r="P663" s="125"/>
      <c r="Q663" s="34"/>
      <c r="R663" s="115"/>
      <c r="S663" s="34"/>
      <c r="T663" s="34"/>
      <c r="U663" s="34"/>
      <c r="V663" s="29"/>
    </row>
    <row r="664" spans="3:22">
      <c r="C664" s="125">
        <v>45049</v>
      </c>
      <c r="D664" s="34">
        <v>103.74</v>
      </c>
      <c r="E664" s="115">
        <v>105.96</v>
      </c>
      <c r="F664" s="34">
        <v>103.28</v>
      </c>
      <c r="G664" s="34">
        <v>103.65</v>
      </c>
      <c r="H664" s="34">
        <v>103.65</v>
      </c>
      <c r="I664" s="29">
        <v>65051900</v>
      </c>
      <c r="P664" s="125"/>
      <c r="Q664" s="34"/>
      <c r="R664" s="115"/>
      <c r="S664" s="34"/>
      <c r="T664" s="34"/>
      <c r="U664" s="34"/>
      <c r="V664" s="29"/>
    </row>
    <row r="665" spans="3:22">
      <c r="C665" s="125">
        <v>45048</v>
      </c>
      <c r="D665" s="34">
        <v>101.47</v>
      </c>
      <c r="E665" s="115">
        <v>103.9</v>
      </c>
      <c r="F665" s="34">
        <v>101.15</v>
      </c>
      <c r="G665" s="34">
        <v>103.63</v>
      </c>
      <c r="H665" s="34">
        <v>103.63</v>
      </c>
      <c r="I665" s="29">
        <v>73469400</v>
      </c>
      <c r="P665" s="125"/>
      <c r="Q665" s="34"/>
      <c r="R665" s="115"/>
      <c r="S665" s="34"/>
      <c r="T665" s="34"/>
      <c r="U665" s="34"/>
      <c r="V665" s="29"/>
    </row>
    <row r="666" spans="3:22">
      <c r="C666" s="125">
        <v>45047</v>
      </c>
      <c r="D666" s="34">
        <v>104.95</v>
      </c>
      <c r="E666" s="115">
        <v>105.23</v>
      </c>
      <c r="F666" s="34">
        <v>101.82</v>
      </c>
      <c r="G666" s="34">
        <v>102.05</v>
      </c>
      <c r="H666" s="34">
        <v>102.05</v>
      </c>
      <c r="I666" s="29">
        <v>74728100</v>
      </c>
      <c r="P666" s="125"/>
      <c r="Q666" s="34"/>
      <c r="R666" s="115"/>
      <c r="S666" s="34"/>
      <c r="T666" s="34"/>
      <c r="U666" s="34"/>
      <c r="V666" s="29"/>
    </row>
    <row r="667" spans="3:22">
      <c r="C667" s="125">
        <v>45044</v>
      </c>
      <c r="D667" s="34">
        <v>107.73</v>
      </c>
      <c r="E667" s="115">
        <v>109.48</v>
      </c>
      <c r="F667" s="34">
        <v>104.33</v>
      </c>
      <c r="G667" s="34">
        <v>105.45</v>
      </c>
      <c r="H667" s="34">
        <v>105.45</v>
      </c>
      <c r="I667" s="29">
        <v>130715900</v>
      </c>
      <c r="P667" s="125"/>
      <c r="Q667" s="34"/>
      <c r="R667" s="115"/>
      <c r="S667" s="34"/>
      <c r="T667" s="34"/>
      <c r="U667" s="34"/>
      <c r="V667" s="29"/>
    </row>
    <row r="668" spans="3:22">
      <c r="C668" s="125">
        <v>45043</v>
      </c>
      <c r="D668" s="34">
        <v>108.16</v>
      </c>
      <c r="E668" s="115">
        <v>110.86</v>
      </c>
      <c r="F668" s="34">
        <v>106.8</v>
      </c>
      <c r="G668" s="34">
        <v>109.82</v>
      </c>
      <c r="H668" s="34">
        <v>109.82</v>
      </c>
      <c r="I668" s="29">
        <v>149961200</v>
      </c>
      <c r="P668" s="125"/>
      <c r="Q668" s="34"/>
      <c r="R668" s="115"/>
      <c r="S668" s="34"/>
      <c r="T668" s="34"/>
      <c r="U668" s="34"/>
      <c r="V668" s="29"/>
    </row>
    <row r="669" spans="3:22">
      <c r="C669" s="125">
        <v>45042</v>
      </c>
      <c r="D669" s="34">
        <v>105.04</v>
      </c>
      <c r="E669" s="115">
        <v>106.62</v>
      </c>
      <c r="F669" s="34">
        <v>104.1</v>
      </c>
      <c r="G669" s="34">
        <v>104.98</v>
      </c>
      <c r="H669" s="34">
        <v>104.98</v>
      </c>
      <c r="I669" s="29">
        <v>73803800</v>
      </c>
      <c r="P669" s="125"/>
      <c r="Q669" s="34"/>
      <c r="R669" s="115"/>
      <c r="S669" s="34"/>
      <c r="T669" s="34"/>
      <c r="U669" s="34"/>
      <c r="V669" s="29"/>
    </row>
    <row r="670" spans="3:22">
      <c r="C670" s="125">
        <v>45041</v>
      </c>
      <c r="D670" s="34">
        <v>104.91</v>
      </c>
      <c r="E670" s="115">
        <v>105.45</v>
      </c>
      <c r="F670" s="34">
        <v>102.45</v>
      </c>
      <c r="G670" s="34">
        <v>102.57</v>
      </c>
      <c r="H670" s="34">
        <v>102.57</v>
      </c>
      <c r="I670" s="29">
        <v>65026800</v>
      </c>
      <c r="P670" s="125"/>
      <c r="Q670" s="34"/>
      <c r="R670" s="115"/>
      <c r="S670" s="34"/>
      <c r="T670" s="34"/>
      <c r="U670" s="34"/>
      <c r="V670" s="29"/>
    </row>
    <row r="671" spans="3:22">
      <c r="C671" s="125">
        <v>45040</v>
      </c>
      <c r="D671" s="34">
        <v>107.66</v>
      </c>
      <c r="E671" s="115">
        <v>109.23</v>
      </c>
      <c r="F671" s="34">
        <v>105.07</v>
      </c>
      <c r="G671" s="34">
        <v>106.21</v>
      </c>
      <c r="H671" s="34">
        <v>106.21</v>
      </c>
      <c r="I671" s="29">
        <v>69575600</v>
      </c>
      <c r="P671" s="125"/>
      <c r="Q671" s="34"/>
      <c r="R671" s="115"/>
      <c r="S671" s="34"/>
      <c r="T671" s="34"/>
      <c r="U671" s="34"/>
      <c r="V671" s="29"/>
    </row>
    <row r="672" spans="3:22">
      <c r="C672" s="125">
        <v>45037</v>
      </c>
      <c r="D672" s="34">
        <v>106.1</v>
      </c>
      <c r="E672" s="115">
        <v>108.15</v>
      </c>
      <c r="F672" s="34">
        <v>105.08</v>
      </c>
      <c r="G672" s="34">
        <v>106.96</v>
      </c>
      <c r="H672" s="34">
        <v>106.96</v>
      </c>
      <c r="I672" s="29">
        <v>86774200</v>
      </c>
      <c r="P672" s="125"/>
      <c r="Q672" s="34"/>
      <c r="R672" s="115"/>
      <c r="S672" s="34"/>
      <c r="T672" s="34"/>
      <c r="U672" s="34"/>
      <c r="V672" s="29"/>
    </row>
    <row r="673" spans="3:22">
      <c r="C673" s="125">
        <v>45036</v>
      </c>
      <c r="D673" s="34">
        <v>103.53</v>
      </c>
      <c r="E673" s="115">
        <v>105.25</v>
      </c>
      <c r="F673" s="34">
        <v>103.21</v>
      </c>
      <c r="G673" s="34">
        <v>103.81</v>
      </c>
      <c r="H673" s="34">
        <v>103.81</v>
      </c>
      <c r="I673" s="29">
        <v>57696900</v>
      </c>
      <c r="P673" s="125"/>
      <c r="Q673" s="34"/>
      <c r="R673" s="115"/>
      <c r="S673" s="34"/>
      <c r="T673" s="34"/>
      <c r="U673" s="34"/>
      <c r="V673" s="29"/>
    </row>
    <row r="674" spans="3:22">
      <c r="C674" s="125">
        <v>45035</v>
      </c>
      <c r="D674" s="34">
        <v>101.58</v>
      </c>
      <c r="E674" s="115">
        <v>105.12</v>
      </c>
      <c r="F674" s="34">
        <v>101.39</v>
      </c>
      <c r="G674" s="34">
        <v>104.3</v>
      </c>
      <c r="H674" s="34">
        <v>104.3</v>
      </c>
      <c r="I674" s="29">
        <v>58398900</v>
      </c>
      <c r="P674" s="125"/>
      <c r="Q674" s="34"/>
      <c r="R674" s="115"/>
      <c r="S674" s="34"/>
      <c r="T674" s="34"/>
      <c r="U674" s="34"/>
      <c r="V674" s="29"/>
    </row>
    <row r="675" spans="3:22">
      <c r="C675" s="125">
        <v>45034</v>
      </c>
      <c r="D675" s="34">
        <v>103.95</v>
      </c>
      <c r="E675" s="115">
        <v>104.2</v>
      </c>
      <c r="F675" s="34">
        <v>101.52</v>
      </c>
      <c r="G675" s="34">
        <v>102.3</v>
      </c>
      <c r="H675" s="34">
        <v>102.3</v>
      </c>
      <c r="I675" s="29">
        <v>39790500</v>
      </c>
      <c r="P675" s="125"/>
      <c r="Q675" s="34"/>
      <c r="R675" s="115"/>
      <c r="S675" s="34"/>
      <c r="T675" s="34"/>
      <c r="U675" s="34"/>
      <c r="V675" s="29"/>
    </row>
    <row r="676" spans="3:22">
      <c r="C676" s="125">
        <v>45033</v>
      </c>
      <c r="D676" s="34">
        <v>103.16</v>
      </c>
      <c r="E676" s="115">
        <v>103.73</v>
      </c>
      <c r="F676" s="34">
        <v>101.59</v>
      </c>
      <c r="G676" s="34">
        <v>102.74</v>
      </c>
      <c r="H676" s="34">
        <v>102.74</v>
      </c>
      <c r="I676" s="29">
        <v>39919500</v>
      </c>
      <c r="P676" s="125"/>
      <c r="Q676" s="34"/>
      <c r="R676" s="115"/>
      <c r="S676" s="34"/>
      <c r="T676" s="34"/>
      <c r="U676" s="34"/>
      <c r="V676" s="29"/>
    </row>
    <row r="677" spans="3:22">
      <c r="C677" s="125">
        <v>45030</v>
      </c>
      <c r="D677" s="34">
        <v>102.07</v>
      </c>
      <c r="E677" s="115">
        <v>103.2</v>
      </c>
      <c r="F677" s="34">
        <v>101.11</v>
      </c>
      <c r="G677" s="34">
        <v>102.51</v>
      </c>
      <c r="H677" s="34">
        <v>102.51</v>
      </c>
      <c r="I677" s="29">
        <v>51450500</v>
      </c>
      <c r="P677" s="125"/>
      <c r="Q677" s="34"/>
      <c r="R677" s="115"/>
      <c r="S677" s="34"/>
      <c r="T677" s="34"/>
      <c r="U677" s="34"/>
      <c r="V677" s="29"/>
    </row>
    <row r="678" spans="3:22">
      <c r="C678" s="125">
        <v>45029</v>
      </c>
      <c r="D678" s="34">
        <v>98.95</v>
      </c>
      <c r="E678" s="115">
        <v>102.57</v>
      </c>
      <c r="F678" s="34">
        <v>98.71</v>
      </c>
      <c r="G678" s="34">
        <v>102.4</v>
      </c>
      <c r="H678" s="34">
        <v>102.4</v>
      </c>
      <c r="I678" s="29">
        <v>67925100</v>
      </c>
      <c r="P678" s="125"/>
      <c r="Q678" s="34"/>
      <c r="R678" s="115"/>
      <c r="S678" s="34"/>
      <c r="T678" s="34"/>
      <c r="U678" s="34"/>
      <c r="V678" s="29"/>
    </row>
    <row r="679" spans="3:22">
      <c r="C679" s="125">
        <v>45028</v>
      </c>
      <c r="D679" s="34">
        <v>100.4</v>
      </c>
      <c r="E679" s="115">
        <v>100.51</v>
      </c>
      <c r="F679" s="34">
        <v>97.71</v>
      </c>
      <c r="G679" s="34">
        <v>97.83</v>
      </c>
      <c r="H679" s="34">
        <v>97.83</v>
      </c>
      <c r="I679" s="29">
        <v>56735000</v>
      </c>
      <c r="P679" s="125"/>
      <c r="Q679" s="34"/>
      <c r="R679" s="115"/>
      <c r="S679" s="34"/>
      <c r="T679" s="34"/>
      <c r="U679" s="34"/>
      <c r="V679" s="29"/>
    </row>
    <row r="680" spans="3:22">
      <c r="C680" s="125">
        <v>45027</v>
      </c>
      <c r="D680" s="34">
        <v>100.8</v>
      </c>
      <c r="E680" s="115">
        <v>101</v>
      </c>
      <c r="F680" s="34">
        <v>99.01</v>
      </c>
      <c r="G680" s="34">
        <v>99.92</v>
      </c>
      <c r="H680" s="34">
        <v>99.92</v>
      </c>
      <c r="I680" s="29">
        <v>60417800</v>
      </c>
      <c r="P680" s="125"/>
      <c r="Q680" s="34"/>
      <c r="R680" s="115"/>
      <c r="S680" s="34"/>
      <c r="T680" s="34"/>
      <c r="U680" s="34"/>
      <c r="V680" s="29"/>
    </row>
    <row r="681" spans="3:22">
      <c r="C681" s="125">
        <v>45026</v>
      </c>
      <c r="D681" s="34">
        <v>100.96</v>
      </c>
      <c r="E681" s="115">
        <v>102.2</v>
      </c>
      <c r="F681" s="34">
        <v>99.57</v>
      </c>
      <c r="G681" s="34">
        <v>102.17</v>
      </c>
      <c r="H681" s="34">
        <v>102.17</v>
      </c>
      <c r="I681" s="29">
        <v>37261200</v>
      </c>
      <c r="P681" s="125"/>
      <c r="Q681" s="34"/>
      <c r="R681" s="115"/>
      <c r="S681" s="34"/>
      <c r="T681" s="34"/>
      <c r="U681" s="34"/>
      <c r="V681" s="29"/>
    </row>
    <row r="682" spans="3:22">
      <c r="C682" s="125">
        <v>45022</v>
      </c>
      <c r="D682" s="34">
        <v>100.75</v>
      </c>
      <c r="E682" s="115">
        <v>102.38</v>
      </c>
      <c r="F682" s="34">
        <v>99.8</v>
      </c>
      <c r="G682" s="34">
        <v>102.06</v>
      </c>
      <c r="H682" s="34">
        <v>102.06</v>
      </c>
      <c r="I682" s="29">
        <v>43808000</v>
      </c>
      <c r="P682" s="125"/>
      <c r="Q682" s="34"/>
      <c r="R682" s="115"/>
      <c r="S682" s="34"/>
      <c r="T682" s="34"/>
      <c r="U682" s="34"/>
      <c r="V682" s="29"/>
    </row>
    <row r="683" spans="3:22">
      <c r="C683" s="125">
        <v>45021</v>
      </c>
      <c r="D683" s="34">
        <v>103.91</v>
      </c>
      <c r="E683" s="115">
        <v>103.91</v>
      </c>
      <c r="F683" s="34">
        <v>100.75</v>
      </c>
      <c r="G683" s="34">
        <v>101.1</v>
      </c>
      <c r="H683" s="34">
        <v>101.1</v>
      </c>
      <c r="I683" s="29">
        <v>45175400</v>
      </c>
      <c r="P683" s="125"/>
      <c r="Q683" s="34"/>
      <c r="R683" s="115"/>
      <c r="S683" s="34"/>
      <c r="T683" s="34"/>
      <c r="U683" s="34"/>
      <c r="V683" s="29"/>
    </row>
    <row r="684" spans="3:22">
      <c r="C684" s="125">
        <v>45020</v>
      </c>
      <c r="D684" s="34">
        <v>102.75</v>
      </c>
      <c r="E684" s="115">
        <v>104.2</v>
      </c>
      <c r="F684" s="34">
        <v>102.11</v>
      </c>
      <c r="G684" s="34">
        <v>103.95</v>
      </c>
      <c r="H684" s="34">
        <v>103.95</v>
      </c>
      <c r="I684" s="29">
        <v>48662500</v>
      </c>
      <c r="P684" s="125"/>
      <c r="Q684" s="34"/>
      <c r="R684" s="115"/>
      <c r="S684" s="34"/>
      <c r="T684" s="34"/>
      <c r="U684" s="34"/>
      <c r="V684" s="29"/>
    </row>
    <row r="685" spans="3:22">
      <c r="C685" s="125">
        <v>45019</v>
      </c>
      <c r="D685" s="34">
        <v>102.3</v>
      </c>
      <c r="E685" s="115">
        <v>103.29</v>
      </c>
      <c r="F685" s="34">
        <v>101.43</v>
      </c>
      <c r="G685" s="34">
        <v>102.41</v>
      </c>
      <c r="H685" s="34">
        <v>102.41</v>
      </c>
      <c r="I685" s="29">
        <v>41135700</v>
      </c>
      <c r="P685" s="125"/>
      <c r="Q685" s="34"/>
      <c r="R685" s="115"/>
      <c r="S685" s="34"/>
      <c r="T685" s="34"/>
      <c r="U685" s="34"/>
      <c r="V685" s="29"/>
    </row>
    <row r="686" spans="3:22">
      <c r="C686" s="125">
        <v>45016</v>
      </c>
      <c r="D686" s="34">
        <v>102.16</v>
      </c>
      <c r="E686" s="115">
        <v>103.49</v>
      </c>
      <c r="F686" s="34">
        <v>101.95</v>
      </c>
      <c r="G686" s="34">
        <v>103.29</v>
      </c>
      <c r="H686" s="34">
        <v>103.29</v>
      </c>
      <c r="I686" s="29">
        <v>56750300</v>
      </c>
      <c r="P686" s="125"/>
      <c r="Q686" s="34"/>
      <c r="R686" s="115"/>
      <c r="S686" s="34"/>
      <c r="T686" s="34"/>
      <c r="U686" s="34"/>
      <c r="V686" s="29"/>
    </row>
    <row r="687" spans="3:22">
      <c r="C687" s="125">
        <v>45015</v>
      </c>
      <c r="D687" s="34">
        <v>101.55</v>
      </c>
      <c r="E687" s="115">
        <v>103.04</v>
      </c>
      <c r="F687" s="34">
        <v>101.01</v>
      </c>
      <c r="G687" s="34">
        <v>102</v>
      </c>
      <c r="H687" s="34">
        <v>102</v>
      </c>
      <c r="I687" s="29">
        <v>53633400</v>
      </c>
      <c r="P687" s="125"/>
      <c r="Q687" s="34"/>
      <c r="R687" s="115"/>
      <c r="S687" s="34"/>
      <c r="T687" s="34"/>
      <c r="U687" s="34"/>
      <c r="V687" s="29"/>
    </row>
    <row r="688" spans="3:22">
      <c r="C688" s="125">
        <v>45014</v>
      </c>
      <c r="D688" s="34">
        <v>98.69</v>
      </c>
      <c r="E688" s="115">
        <v>100.42</v>
      </c>
      <c r="F688" s="34">
        <v>98.56</v>
      </c>
      <c r="G688" s="34">
        <v>100.25</v>
      </c>
      <c r="H688" s="34">
        <v>100.25</v>
      </c>
      <c r="I688" s="29">
        <v>49783300</v>
      </c>
      <c r="P688" s="125"/>
      <c r="Q688" s="34"/>
      <c r="R688" s="115"/>
      <c r="S688" s="34"/>
      <c r="T688" s="34"/>
      <c r="U688" s="34"/>
      <c r="V688" s="29"/>
    </row>
    <row r="689" spans="3:22">
      <c r="C689" s="125">
        <v>45013</v>
      </c>
      <c r="D689" s="34">
        <v>98.11</v>
      </c>
      <c r="E689" s="115">
        <v>98.44</v>
      </c>
      <c r="F689" s="34">
        <v>96.29</v>
      </c>
      <c r="G689" s="34">
        <v>97.24</v>
      </c>
      <c r="H689" s="34">
        <v>97.24</v>
      </c>
      <c r="I689" s="29">
        <v>38720100</v>
      </c>
      <c r="P689" s="125"/>
      <c r="Q689" s="34"/>
      <c r="R689" s="115"/>
      <c r="S689" s="34"/>
      <c r="T689" s="34"/>
      <c r="U689" s="34"/>
      <c r="V689" s="29"/>
    </row>
    <row r="690" spans="3:22">
      <c r="C690" s="125">
        <v>45012</v>
      </c>
      <c r="D690" s="34">
        <v>99.07</v>
      </c>
      <c r="E690" s="115">
        <v>99.34</v>
      </c>
      <c r="F690" s="34">
        <v>97.08</v>
      </c>
      <c r="G690" s="34">
        <v>98.04</v>
      </c>
      <c r="H690" s="34">
        <v>98.04</v>
      </c>
      <c r="I690" s="29">
        <v>46721300</v>
      </c>
      <c r="P690" s="125"/>
      <c r="Q690" s="34"/>
      <c r="R690" s="115"/>
      <c r="S690" s="34"/>
      <c r="T690" s="34"/>
      <c r="U690" s="34"/>
      <c r="V690" s="29"/>
    </row>
    <row r="691" spans="3:22">
      <c r="C691" s="125">
        <v>45009</v>
      </c>
      <c r="D691" s="34">
        <v>98.07</v>
      </c>
      <c r="E691" s="115">
        <v>98.3</v>
      </c>
      <c r="F691" s="34">
        <v>96.4</v>
      </c>
      <c r="G691" s="34">
        <v>98.13</v>
      </c>
      <c r="H691" s="34">
        <v>98.13</v>
      </c>
      <c r="I691" s="29">
        <v>56095400</v>
      </c>
      <c r="P691" s="125"/>
      <c r="Q691" s="34"/>
      <c r="R691" s="115"/>
      <c r="S691" s="34"/>
      <c r="T691" s="34"/>
      <c r="U691" s="34"/>
      <c r="V691" s="29"/>
    </row>
    <row r="692" spans="3:22">
      <c r="C692" s="125">
        <v>45008</v>
      </c>
      <c r="D692" s="34">
        <v>100.43</v>
      </c>
      <c r="E692" s="115">
        <v>101.06</v>
      </c>
      <c r="F692" s="34">
        <v>97.62</v>
      </c>
      <c r="G692" s="34">
        <v>98.71</v>
      </c>
      <c r="H692" s="34">
        <v>98.71</v>
      </c>
      <c r="I692" s="29">
        <v>57559300</v>
      </c>
      <c r="P692" s="125"/>
      <c r="Q692" s="34"/>
      <c r="R692" s="115"/>
      <c r="S692" s="34"/>
      <c r="T692" s="34"/>
      <c r="U692" s="34"/>
      <c r="V692" s="29"/>
    </row>
    <row r="693" spans="3:22">
      <c r="C693" s="125">
        <v>45007</v>
      </c>
      <c r="D693" s="34">
        <v>100.45</v>
      </c>
      <c r="E693" s="115">
        <v>102.1</v>
      </c>
      <c r="F693" s="34">
        <v>98.61</v>
      </c>
      <c r="G693" s="34">
        <v>98.7</v>
      </c>
      <c r="H693" s="34">
        <v>98.7</v>
      </c>
      <c r="I693" s="29">
        <v>57475400</v>
      </c>
      <c r="P693" s="125"/>
      <c r="Q693" s="34"/>
      <c r="R693" s="115"/>
      <c r="S693" s="34"/>
      <c r="T693" s="34"/>
      <c r="U693" s="34"/>
      <c r="V693" s="29"/>
    </row>
    <row r="694" spans="3:22">
      <c r="C694" s="125">
        <v>45006</v>
      </c>
      <c r="D694" s="34">
        <v>98.14</v>
      </c>
      <c r="E694" s="115">
        <v>100.85</v>
      </c>
      <c r="F694" s="34">
        <v>98</v>
      </c>
      <c r="G694" s="34">
        <v>100.61</v>
      </c>
      <c r="H694" s="34">
        <v>100.61</v>
      </c>
      <c r="I694" s="29">
        <v>58597300</v>
      </c>
      <c r="P694" s="125"/>
      <c r="Q694" s="34"/>
      <c r="R694" s="115"/>
      <c r="S694" s="34"/>
      <c r="T694" s="34"/>
      <c r="U694" s="34"/>
      <c r="V694" s="29"/>
    </row>
    <row r="695" spans="3:22">
      <c r="C695" s="125">
        <v>45005</v>
      </c>
      <c r="D695" s="34">
        <v>98.41</v>
      </c>
      <c r="E695" s="115">
        <v>98.48</v>
      </c>
      <c r="F695" s="34">
        <v>95.7</v>
      </c>
      <c r="G695" s="34">
        <v>97.71</v>
      </c>
      <c r="H695" s="34">
        <v>97.71</v>
      </c>
      <c r="I695" s="29">
        <v>62388900</v>
      </c>
      <c r="P695" s="125"/>
      <c r="Q695" s="34"/>
      <c r="R695" s="115"/>
      <c r="S695" s="34"/>
      <c r="T695" s="34"/>
      <c r="U695" s="34"/>
      <c r="V695" s="29"/>
    </row>
    <row r="696" spans="3:22">
      <c r="C696" s="125">
        <v>45002</v>
      </c>
      <c r="D696" s="34">
        <v>99.79</v>
      </c>
      <c r="E696" s="115">
        <v>100.66</v>
      </c>
      <c r="F696" s="34">
        <v>97.46</v>
      </c>
      <c r="G696" s="34">
        <v>98.95</v>
      </c>
      <c r="H696" s="34">
        <v>98.95</v>
      </c>
      <c r="I696" s="29">
        <v>87300200</v>
      </c>
      <c r="P696" s="125"/>
      <c r="Q696" s="34"/>
      <c r="R696" s="115"/>
      <c r="S696" s="34"/>
      <c r="T696" s="34"/>
      <c r="U696" s="34"/>
      <c r="V696" s="29"/>
    </row>
    <row r="697" spans="3:22">
      <c r="C697" s="125">
        <v>45001</v>
      </c>
      <c r="D697" s="34">
        <v>95.75</v>
      </c>
      <c r="E697" s="115">
        <v>100.99</v>
      </c>
      <c r="F697" s="34">
        <v>95.61</v>
      </c>
      <c r="G697" s="34">
        <v>100.04</v>
      </c>
      <c r="H697" s="34">
        <v>100.04</v>
      </c>
      <c r="I697" s="29">
        <v>84446900</v>
      </c>
      <c r="P697" s="125"/>
      <c r="Q697" s="34"/>
      <c r="R697" s="115"/>
      <c r="S697" s="34"/>
      <c r="T697" s="34"/>
      <c r="U697" s="34"/>
      <c r="V697" s="29"/>
    </row>
    <row r="698" spans="3:22">
      <c r="C698" s="125">
        <v>45001</v>
      </c>
      <c r="D698" s="34">
        <v>215.66999799999999</v>
      </c>
      <c r="E698" s="115">
        <v>219.80999800000001</v>
      </c>
      <c r="F698" s="34">
        <v>213.320007</v>
      </c>
      <c r="G698" s="34">
        <v>218.71000699999999</v>
      </c>
      <c r="H698" s="34">
        <v>218.71000699999999</v>
      </c>
      <c r="I698" s="29">
        <v>3555000</v>
      </c>
      <c r="P698" s="125"/>
      <c r="Q698" s="34"/>
      <c r="R698" s="115"/>
      <c r="S698" s="34"/>
      <c r="T698" s="34"/>
      <c r="U698" s="34"/>
      <c r="V698" s="29"/>
    </row>
    <row r="699" spans="3:22">
      <c r="C699" s="125">
        <v>45000</v>
      </c>
      <c r="D699" s="34">
        <v>93.22</v>
      </c>
      <c r="E699" s="115">
        <v>96.67</v>
      </c>
      <c r="F699" s="34">
        <v>93.07</v>
      </c>
      <c r="G699" s="34">
        <v>96.2</v>
      </c>
      <c r="H699" s="34">
        <v>96.2</v>
      </c>
      <c r="I699" s="29">
        <v>70731800</v>
      </c>
      <c r="P699" s="125"/>
      <c r="Q699" s="34"/>
      <c r="R699" s="115"/>
      <c r="S699" s="34"/>
      <c r="T699" s="34"/>
      <c r="U699" s="34"/>
      <c r="V699" s="29"/>
    </row>
    <row r="700" spans="3:22">
      <c r="C700" s="125">
        <v>45000</v>
      </c>
      <c r="D700" s="34">
        <v>219.39999399999999</v>
      </c>
      <c r="E700" s="115">
        <v>221.179993</v>
      </c>
      <c r="F700" s="34">
        <v>212.570007</v>
      </c>
      <c r="G700" s="34">
        <v>217.259995</v>
      </c>
      <c r="H700" s="34">
        <v>217.259995</v>
      </c>
      <c r="I700" s="29">
        <v>5471700</v>
      </c>
      <c r="P700" s="125"/>
      <c r="Q700" s="34"/>
      <c r="R700" s="115"/>
      <c r="S700" s="34"/>
      <c r="T700" s="34"/>
      <c r="U700" s="34"/>
      <c r="V700" s="29"/>
    </row>
    <row r="701" spans="3:22">
      <c r="C701" s="125">
        <v>44999</v>
      </c>
      <c r="D701" s="34">
        <v>93.83</v>
      </c>
      <c r="E701" s="115">
        <v>95.07</v>
      </c>
      <c r="F701" s="34">
        <v>92.71</v>
      </c>
      <c r="G701" s="34">
        <v>94.88</v>
      </c>
      <c r="H701" s="34">
        <v>94.88</v>
      </c>
      <c r="I701" s="29">
        <v>60912700</v>
      </c>
      <c r="P701" s="125"/>
      <c r="Q701" s="34"/>
      <c r="R701" s="115"/>
      <c r="S701" s="34"/>
      <c r="T701" s="34"/>
      <c r="U701" s="34"/>
      <c r="V701" s="29"/>
    </row>
    <row r="702" spans="3:22">
      <c r="C702" s="125">
        <v>44999</v>
      </c>
      <c r="D702" s="34">
        <v>228.990005</v>
      </c>
      <c r="E702" s="115">
        <v>229.58999600000001</v>
      </c>
      <c r="F702" s="34">
        <v>222.199997</v>
      </c>
      <c r="G702" s="34">
        <v>225.66999799999999</v>
      </c>
      <c r="H702" s="34">
        <v>225.66999799999999</v>
      </c>
      <c r="I702" s="29">
        <v>3754900</v>
      </c>
      <c r="P702" s="125"/>
      <c r="Q702" s="34"/>
      <c r="R702" s="115"/>
      <c r="S702" s="34"/>
      <c r="T702" s="34"/>
      <c r="U702" s="34"/>
      <c r="V702" s="29"/>
    </row>
    <row r="703" spans="3:22">
      <c r="C703" s="125">
        <v>44998</v>
      </c>
      <c r="D703" s="34">
        <v>89.97</v>
      </c>
      <c r="E703" s="115">
        <v>94.02</v>
      </c>
      <c r="F703" s="34">
        <v>88.12</v>
      </c>
      <c r="G703" s="34">
        <v>92.43</v>
      </c>
      <c r="H703" s="34">
        <v>92.43</v>
      </c>
      <c r="I703" s="29">
        <v>72397100</v>
      </c>
      <c r="P703" s="125"/>
      <c r="Q703" s="34"/>
      <c r="R703" s="115"/>
      <c r="S703" s="34"/>
      <c r="T703" s="34"/>
      <c r="U703" s="34"/>
      <c r="V703" s="29"/>
    </row>
    <row r="704" spans="3:22">
      <c r="C704" s="125">
        <v>44998</v>
      </c>
      <c r="D704" s="34">
        <v>222.58000200000001</v>
      </c>
      <c r="E704" s="115">
        <v>228.33000200000001</v>
      </c>
      <c r="F704" s="34">
        <v>221.53999300000001</v>
      </c>
      <c r="G704" s="34">
        <v>224.699997</v>
      </c>
      <c r="H704" s="34">
        <v>224.699997</v>
      </c>
      <c r="I704" s="29">
        <v>4885100</v>
      </c>
      <c r="P704" s="125"/>
      <c r="Q704" s="34"/>
      <c r="R704" s="115"/>
      <c r="S704" s="34"/>
      <c r="T704" s="34"/>
      <c r="U704" s="34"/>
      <c r="V704" s="29"/>
    </row>
    <row r="705" spans="3:22">
      <c r="C705" s="125">
        <v>44995</v>
      </c>
      <c r="D705" s="34">
        <v>92.67</v>
      </c>
      <c r="E705" s="115">
        <v>93.57</v>
      </c>
      <c r="F705" s="34">
        <v>90.25</v>
      </c>
      <c r="G705" s="34">
        <v>90.73</v>
      </c>
      <c r="H705" s="34">
        <v>90.73</v>
      </c>
      <c r="I705" s="29">
        <v>69827500</v>
      </c>
      <c r="P705" s="125"/>
      <c r="Q705" s="34"/>
      <c r="R705" s="115"/>
      <c r="S705" s="34"/>
      <c r="T705" s="34"/>
      <c r="U705" s="34"/>
      <c r="V705" s="29"/>
    </row>
    <row r="706" spans="3:22">
      <c r="C706" s="125">
        <v>44995</v>
      </c>
      <c r="D706" s="34">
        <v>236.30999800000001</v>
      </c>
      <c r="E706" s="115">
        <v>238.13000500000001</v>
      </c>
      <c r="F706" s="34">
        <v>225.800003</v>
      </c>
      <c r="G706" s="34">
        <v>227.009995</v>
      </c>
      <c r="H706" s="34">
        <v>227.009995</v>
      </c>
      <c r="I706" s="29">
        <v>5763200</v>
      </c>
      <c r="P706" s="125"/>
      <c r="Q706" s="34"/>
      <c r="R706" s="115"/>
      <c r="S706" s="34"/>
      <c r="T706" s="34"/>
      <c r="U706" s="34"/>
      <c r="V706" s="29"/>
    </row>
    <row r="707" spans="3:22">
      <c r="C707" s="125">
        <v>44994</v>
      </c>
      <c r="D707" s="34">
        <v>93.68</v>
      </c>
      <c r="E707" s="115">
        <v>96.21</v>
      </c>
      <c r="F707" s="34">
        <v>92.18</v>
      </c>
      <c r="G707" s="34">
        <v>92.25</v>
      </c>
      <c r="H707" s="34">
        <v>92.25</v>
      </c>
      <c r="I707" s="29">
        <v>56218700</v>
      </c>
      <c r="P707" s="125"/>
      <c r="Q707" s="34"/>
      <c r="R707" s="115"/>
      <c r="S707" s="34"/>
      <c r="T707" s="34"/>
      <c r="U707" s="34"/>
      <c r="V707" s="29"/>
    </row>
    <row r="708" spans="3:22">
      <c r="C708" s="125">
        <v>44994</v>
      </c>
      <c r="D708" s="34">
        <v>248.949997</v>
      </c>
      <c r="E708" s="115">
        <v>250.13000500000001</v>
      </c>
      <c r="F708" s="34">
        <v>240.61000100000001</v>
      </c>
      <c r="G708" s="34">
        <v>240.96000699999999</v>
      </c>
      <c r="H708" s="34">
        <v>240.96000699999999</v>
      </c>
      <c r="I708" s="29">
        <v>2518800</v>
      </c>
      <c r="P708" s="125"/>
      <c r="Q708" s="34"/>
      <c r="R708" s="115"/>
      <c r="S708" s="34"/>
      <c r="T708" s="34"/>
      <c r="U708" s="34"/>
      <c r="V708" s="29"/>
    </row>
    <row r="709" spans="3:22">
      <c r="C709" s="125">
        <v>44993</v>
      </c>
      <c r="D709" s="34">
        <v>93.6</v>
      </c>
      <c r="E709" s="115">
        <v>94.17</v>
      </c>
      <c r="F709" s="34">
        <v>92.18</v>
      </c>
      <c r="G709" s="34">
        <v>93.92</v>
      </c>
      <c r="H709" s="34">
        <v>93.92</v>
      </c>
      <c r="I709" s="29">
        <v>44899100</v>
      </c>
      <c r="P709" s="125"/>
      <c r="Q709" s="34"/>
      <c r="R709" s="115"/>
      <c r="S709" s="34"/>
      <c r="T709" s="34"/>
      <c r="U709" s="34"/>
      <c r="V709" s="29"/>
    </row>
    <row r="710" spans="3:22">
      <c r="C710" s="125">
        <v>44993</v>
      </c>
      <c r="D710" s="34">
        <v>247.990005</v>
      </c>
      <c r="E710" s="115">
        <v>251.11000100000001</v>
      </c>
      <c r="F710" s="34">
        <v>246.75</v>
      </c>
      <c r="G710" s="34">
        <v>248.720001</v>
      </c>
      <c r="H710" s="34">
        <v>248.720001</v>
      </c>
      <c r="I710" s="29">
        <v>2068600</v>
      </c>
      <c r="P710" s="125"/>
      <c r="Q710" s="34"/>
      <c r="R710" s="115"/>
      <c r="S710" s="34"/>
      <c r="T710" s="34"/>
      <c r="U710" s="34"/>
      <c r="V710" s="29"/>
    </row>
    <row r="711" spans="3:22">
      <c r="C711" s="125">
        <v>44992</v>
      </c>
      <c r="D711" s="34">
        <v>94.06</v>
      </c>
      <c r="E711" s="115">
        <v>95.09</v>
      </c>
      <c r="F711" s="34">
        <v>92.78</v>
      </c>
      <c r="G711" s="34">
        <v>93.55</v>
      </c>
      <c r="H711" s="34">
        <v>93.55</v>
      </c>
      <c r="I711" s="29">
        <v>49100700</v>
      </c>
      <c r="P711" s="125"/>
      <c r="Q711" s="34"/>
      <c r="R711" s="115"/>
      <c r="S711" s="34"/>
      <c r="T711" s="34"/>
      <c r="U711" s="34"/>
      <c r="V711" s="29"/>
    </row>
    <row r="712" spans="3:22">
      <c r="C712" s="125">
        <v>44992</v>
      </c>
      <c r="D712" s="34">
        <v>254.050003</v>
      </c>
      <c r="E712" s="115">
        <v>254.75</v>
      </c>
      <c r="F712" s="34">
        <v>245.949997</v>
      </c>
      <c r="G712" s="34">
        <v>246.13999899999999</v>
      </c>
      <c r="H712" s="34">
        <v>246.13999899999999</v>
      </c>
      <c r="I712" s="29">
        <v>3018400</v>
      </c>
      <c r="P712" s="125"/>
      <c r="Q712" s="34"/>
      <c r="R712" s="115"/>
      <c r="S712" s="34"/>
      <c r="T712" s="34"/>
      <c r="U712" s="34"/>
      <c r="V712" s="29"/>
    </row>
    <row r="713" spans="3:22">
      <c r="C713" s="125">
        <v>44991</v>
      </c>
      <c r="D713" s="34">
        <v>95.19</v>
      </c>
      <c r="E713" s="115">
        <v>96.55</v>
      </c>
      <c r="F713" s="34">
        <v>93.74</v>
      </c>
      <c r="G713" s="34">
        <v>93.75</v>
      </c>
      <c r="H713" s="34">
        <v>93.75</v>
      </c>
      <c r="I713" s="29">
        <v>52112400</v>
      </c>
      <c r="P713" s="125"/>
      <c r="Q713" s="34"/>
      <c r="R713" s="115"/>
      <c r="S713" s="34"/>
      <c r="T713" s="34"/>
      <c r="U713" s="34"/>
      <c r="V713" s="29"/>
    </row>
    <row r="714" spans="3:22">
      <c r="C714" s="125">
        <v>44991</v>
      </c>
      <c r="D714" s="34">
        <v>255.64999399999999</v>
      </c>
      <c r="E714" s="115">
        <v>255.699997</v>
      </c>
      <c r="F714" s="34">
        <v>251.58000200000001</v>
      </c>
      <c r="G714" s="34">
        <v>253.979996</v>
      </c>
      <c r="H714" s="34">
        <v>253.979996</v>
      </c>
      <c r="I714" s="29">
        <v>2317100</v>
      </c>
      <c r="P714" s="125"/>
      <c r="Q714" s="34"/>
      <c r="R714" s="115"/>
      <c r="S714" s="34"/>
      <c r="T714" s="34"/>
      <c r="U714" s="34"/>
      <c r="V714" s="29"/>
    </row>
    <row r="715" spans="3:22">
      <c r="C715" s="125">
        <v>44988</v>
      </c>
      <c r="D715" s="34">
        <v>92.74</v>
      </c>
      <c r="E715" s="115">
        <v>94.94</v>
      </c>
      <c r="F715" s="34">
        <v>92.66</v>
      </c>
      <c r="G715" s="34">
        <v>94.9</v>
      </c>
      <c r="H715" s="34">
        <v>94.9</v>
      </c>
      <c r="I715" s="29">
        <v>55759600</v>
      </c>
      <c r="P715" s="125"/>
      <c r="Q715" s="34"/>
      <c r="R715" s="115"/>
      <c r="S715" s="34"/>
      <c r="T715" s="34"/>
      <c r="U715" s="34"/>
      <c r="V715" s="29"/>
    </row>
    <row r="716" spans="3:22">
      <c r="C716" s="125">
        <v>44988</v>
      </c>
      <c r="D716" s="34">
        <v>252.38999899999999</v>
      </c>
      <c r="E716" s="115">
        <v>255.39999399999999</v>
      </c>
      <c r="F716" s="34">
        <v>249.91000399999999</v>
      </c>
      <c r="G716" s="34">
        <v>255.30999800000001</v>
      </c>
      <c r="H716" s="34">
        <v>255.30999800000001</v>
      </c>
      <c r="I716" s="29">
        <v>2313400</v>
      </c>
      <c r="P716" s="125"/>
      <c r="Q716" s="34"/>
      <c r="R716" s="115"/>
      <c r="S716" s="34"/>
      <c r="T716" s="34"/>
      <c r="U716" s="34"/>
      <c r="V716" s="29"/>
    </row>
    <row r="717" spans="3:22">
      <c r="C717" s="125">
        <v>44987</v>
      </c>
      <c r="D717" s="34">
        <v>91.41</v>
      </c>
      <c r="E717" s="115">
        <v>92.23</v>
      </c>
      <c r="F717" s="34">
        <v>90.39</v>
      </c>
      <c r="G717" s="34">
        <v>92.13</v>
      </c>
      <c r="H717" s="34">
        <v>92.13</v>
      </c>
      <c r="I717" s="29">
        <v>55509400</v>
      </c>
      <c r="P717" s="125"/>
      <c r="Q717" s="34"/>
      <c r="R717" s="115"/>
      <c r="S717" s="34"/>
      <c r="T717" s="34"/>
      <c r="U717" s="34"/>
      <c r="V717" s="29"/>
    </row>
    <row r="718" spans="3:22">
      <c r="C718" s="125">
        <v>44987</v>
      </c>
      <c r="D718" s="34">
        <v>246.509995</v>
      </c>
      <c r="E718" s="115">
        <v>252.490005</v>
      </c>
      <c r="F718" s="34">
        <v>246.13000500000001</v>
      </c>
      <c r="G718" s="34">
        <v>252.179993</v>
      </c>
      <c r="H718" s="34">
        <v>252.179993</v>
      </c>
      <c r="I718" s="29">
        <v>2676500</v>
      </c>
      <c r="P718" s="125"/>
      <c r="Q718" s="34"/>
      <c r="R718" s="115"/>
      <c r="S718" s="34"/>
      <c r="T718" s="34"/>
      <c r="U718" s="34"/>
      <c r="V718" s="29"/>
    </row>
    <row r="719" spans="3:22">
      <c r="C719" s="125">
        <v>44986</v>
      </c>
      <c r="D719" s="34">
        <v>93.87</v>
      </c>
      <c r="E719" s="115">
        <v>94.68</v>
      </c>
      <c r="F719" s="34">
        <v>91.59</v>
      </c>
      <c r="G719" s="34">
        <v>92.17</v>
      </c>
      <c r="H719" s="34">
        <v>92.17</v>
      </c>
      <c r="I719" s="29">
        <v>52299500</v>
      </c>
      <c r="P719" s="125"/>
      <c r="Q719" s="34"/>
      <c r="R719" s="115"/>
      <c r="S719" s="34"/>
      <c r="T719" s="34"/>
      <c r="U719" s="34"/>
      <c r="V719" s="29"/>
    </row>
    <row r="720" spans="3:22">
      <c r="C720" s="125">
        <v>44986</v>
      </c>
      <c r="D720" s="34">
        <v>242.009995</v>
      </c>
      <c r="E720" s="115">
        <v>249.699997</v>
      </c>
      <c r="F720" s="34">
        <v>241.570007</v>
      </c>
      <c r="G720" s="34">
        <v>248.66999799999999</v>
      </c>
      <c r="H720" s="34">
        <v>248.66999799999999</v>
      </c>
      <c r="I720" s="29">
        <v>4117700</v>
      </c>
      <c r="P720" s="125"/>
      <c r="Q720" s="34"/>
      <c r="R720" s="115"/>
      <c r="S720" s="34"/>
      <c r="T720" s="34"/>
      <c r="U720" s="34"/>
      <c r="V720" s="29"/>
    </row>
    <row r="721" spans="3:22">
      <c r="C721" s="125">
        <v>44985</v>
      </c>
      <c r="D721" s="34">
        <v>93.14</v>
      </c>
      <c r="E721" s="115">
        <v>94.69</v>
      </c>
      <c r="F721" s="34">
        <v>92.92</v>
      </c>
      <c r="G721" s="34">
        <v>94.23</v>
      </c>
      <c r="H721" s="34">
        <v>94.23</v>
      </c>
      <c r="I721" s="29">
        <v>43959300</v>
      </c>
      <c r="P721" s="125"/>
      <c r="Q721" s="34"/>
      <c r="R721" s="115"/>
      <c r="S721" s="34"/>
      <c r="T721" s="34"/>
      <c r="U721" s="34"/>
      <c r="V721" s="29"/>
    </row>
    <row r="722" spans="3:22">
      <c r="C722" s="125">
        <v>44985</v>
      </c>
      <c r="D722" s="34">
        <v>240.94000199999999</v>
      </c>
      <c r="E722" s="115">
        <v>241.10000600000001</v>
      </c>
      <c r="F722" s="34">
        <v>238.71000699999999</v>
      </c>
      <c r="G722" s="34">
        <v>239.550003</v>
      </c>
      <c r="H722" s="34">
        <v>239.550003</v>
      </c>
      <c r="I722" s="29">
        <v>2647700</v>
      </c>
      <c r="P722" s="125"/>
      <c r="Q722" s="34"/>
      <c r="R722" s="115"/>
      <c r="S722" s="34"/>
      <c r="T722" s="34"/>
      <c r="U722" s="34"/>
      <c r="V722" s="29"/>
    </row>
    <row r="723" spans="3:22">
      <c r="C723" s="125">
        <v>44984</v>
      </c>
      <c r="D723" s="34">
        <v>94.28</v>
      </c>
      <c r="E723" s="115">
        <v>94.78</v>
      </c>
      <c r="F723" s="34">
        <v>93.14</v>
      </c>
      <c r="G723" s="34">
        <v>93.76</v>
      </c>
      <c r="H723" s="34">
        <v>93.76</v>
      </c>
      <c r="I723" s="29">
        <v>47470300</v>
      </c>
      <c r="P723" s="125"/>
      <c r="Q723" s="34"/>
      <c r="R723" s="115"/>
      <c r="S723" s="34"/>
      <c r="T723" s="34"/>
      <c r="U723" s="34"/>
      <c r="V723" s="29"/>
    </row>
    <row r="724" spans="3:22">
      <c r="C724" s="125">
        <v>44984</v>
      </c>
      <c r="D724" s="34">
        <v>239.10000600000001</v>
      </c>
      <c r="E724" s="115">
        <v>241.25</v>
      </c>
      <c r="F724" s="34">
        <v>238.720001</v>
      </c>
      <c r="G724" s="34">
        <v>239.979996</v>
      </c>
      <c r="H724" s="34">
        <v>239.979996</v>
      </c>
      <c r="I724" s="29">
        <v>1720900</v>
      </c>
      <c r="P724" s="125"/>
      <c r="Q724" s="34"/>
      <c r="R724" s="115"/>
      <c r="S724" s="34"/>
      <c r="T724" s="34"/>
      <c r="U724" s="34"/>
      <c r="V724" s="29"/>
    </row>
    <row r="725" spans="3:22">
      <c r="C725" s="125">
        <v>44981</v>
      </c>
      <c r="D725" s="34">
        <v>93.53</v>
      </c>
      <c r="E725" s="115">
        <v>94.14</v>
      </c>
      <c r="F725" s="34">
        <v>92.32</v>
      </c>
      <c r="G725" s="34">
        <v>93.5</v>
      </c>
      <c r="H725" s="34">
        <v>93.5</v>
      </c>
      <c r="I725" s="29">
        <v>57053800</v>
      </c>
      <c r="P725" s="125"/>
      <c r="Q725" s="34"/>
      <c r="R725" s="115"/>
      <c r="S725" s="34"/>
      <c r="T725" s="34"/>
      <c r="U725" s="34"/>
      <c r="V725" s="29"/>
    </row>
    <row r="726" spans="3:22">
      <c r="C726" s="125">
        <v>44981</v>
      </c>
      <c r="D726" s="34">
        <v>235.229996</v>
      </c>
      <c r="E726" s="115">
        <v>236.69000199999999</v>
      </c>
      <c r="F726" s="34">
        <v>233.020004</v>
      </c>
      <c r="G726" s="34">
        <v>236.16999799999999</v>
      </c>
      <c r="H726" s="34">
        <v>236.16999799999999</v>
      </c>
      <c r="I726" s="29">
        <v>2105500</v>
      </c>
      <c r="P726" s="125"/>
      <c r="Q726" s="34"/>
      <c r="R726" s="115"/>
      <c r="S726" s="34"/>
      <c r="T726" s="34"/>
      <c r="U726" s="34"/>
      <c r="V726" s="29"/>
    </row>
    <row r="727" spans="3:22">
      <c r="C727" s="125">
        <v>44980</v>
      </c>
      <c r="D727" s="34">
        <v>96.12</v>
      </c>
      <c r="E727" s="115">
        <v>96.43</v>
      </c>
      <c r="F727" s="34">
        <v>93.67</v>
      </c>
      <c r="G727" s="34">
        <v>95.82</v>
      </c>
      <c r="H727" s="34">
        <v>95.82</v>
      </c>
      <c r="I727" s="29">
        <v>48467000</v>
      </c>
      <c r="P727" s="125"/>
      <c r="Q727" s="34"/>
      <c r="R727" s="115"/>
      <c r="S727" s="34"/>
      <c r="T727" s="34"/>
      <c r="U727" s="34"/>
      <c r="V727" s="29"/>
    </row>
    <row r="728" spans="3:22">
      <c r="C728" s="125">
        <v>44980</v>
      </c>
      <c r="D728" s="34">
        <v>240.66999799999999</v>
      </c>
      <c r="E728" s="115">
        <v>240.83000200000001</v>
      </c>
      <c r="F728" s="34">
        <v>235.60000600000001</v>
      </c>
      <c r="G728" s="34">
        <v>237.949997</v>
      </c>
      <c r="H728" s="34">
        <v>237.949997</v>
      </c>
      <c r="I728" s="29">
        <v>3219000</v>
      </c>
      <c r="P728" s="125"/>
      <c r="Q728" s="34"/>
      <c r="R728" s="115"/>
      <c r="S728" s="34"/>
      <c r="T728" s="34"/>
      <c r="U728" s="34"/>
      <c r="V728" s="29"/>
    </row>
    <row r="729" spans="3:22">
      <c r="C729" s="125">
        <v>44979</v>
      </c>
      <c r="D729" s="34">
        <v>95.1</v>
      </c>
      <c r="E729" s="115">
        <v>97.01</v>
      </c>
      <c r="F729" s="34">
        <v>94.8</v>
      </c>
      <c r="G729" s="34">
        <v>95.79</v>
      </c>
      <c r="H729" s="34">
        <v>95.79</v>
      </c>
      <c r="I729" s="29">
        <v>59534100</v>
      </c>
      <c r="P729" s="125"/>
      <c r="Q729" s="34"/>
      <c r="R729" s="115"/>
      <c r="S729" s="34"/>
      <c r="T729" s="34"/>
      <c r="U729" s="34"/>
      <c r="V729" s="29"/>
    </row>
    <row r="730" spans="3:22">
      <c r="C730" s="125">
        <v>44979</v>
      </c>
      <c r="D730" s="34">
        <v>241.19000199999999</v>
      </c>
      <c r="E730" s="115">
        <v>242.229996</v>
      </c>
      <c r="F730" s="34">
        <v>236.41999799999999</v>
      </c>
      <c r="G730" s="34">
        <v>237.88999899999999</v>
      </c>
      <c r="H730" s="34">
        <v>237.88999899999999</v>
      </c>
      <c r="I730" s="29">
        <v>3145200</v>
      </c>
      <c r="P730" s="125"/>
      <c r="Q730" s="34"/>
      <c r="R730" s="115"/>
      <c r="S730" s="34"/>
      <c r="T730" s="34"/>
      <c r="U730" s="34"/>
      <c r="V730" s="29"/>
    </row>
    <row r="731" spans="3:22">
      <c r="C731" s="125">
        <v>44978</v>
      </c>
      <c r="D731" s="34">
        <v>95.34</v>
      </c>
      <c r="E731" s="115">
        <v>95.61</v>
      </c>
      <c r="F731" s="34">
        <v>94.27</v>
      </c>
      <c r="G731" s="34">
        <v>94.58</v>
      </c>
      <c r="H731" s="34">
        <v>94.58</v>
      </c>
      <c r="I731" s="29">
        <v>56580400</v>
      </c>
      <c r="P731" s="125"/>
      <c r="Q731" s="34"/>
      <c r="R731" s="115"/>
      <c r="S731" s="34"/>
      <c r="T731" s="34"/>
      <c r="U731" s="34"/>
      <c r="V731" s="29"/>
    </row>
    <row r="732" spans="3:22">
      <c r="C732" s="125">
        <v>44978</v>
      </c>
      <c r="D732" s="34">
        <v>244.5</v>
      </c>
      <c r="E732" s="115">
        <v>248</v>
      </c>
      <c r="F732" s="34">
        <v>239.75</v>
      </c>
      <c r="G732" s="34">
        <v>240.71000699999999</v>
      </c>
      <c r="H732" s="34">
        <v>240.71000699999999</v>
      </c>
      <c r="I732" s="29">
        <v>3105900</v>
      </c>
      <c r="P732" s="125"/>
      <c r="Q732" s="34"/>
      <c r="R732" s="115"/>
      <c r="S732" s="34"/>
      <c r="T732" s="34"/>
      <c r="U732" s="34"/>
      <c r="V732" s="29"/>
    </row>
    <row r="733" spans="3:22">
      <c r="C733" s="125">
        <v>44974</v>
      </c>
      <c r="D733" s="34">
        <v>97.8</v>
      </c>
      <c r="E733" s="115">
        <v>97.94</v>
      </c>
      <c r="F733" s="34">
        <v>95.65</v>
      </c>
      <c r="G733" s="34">
        <v>97.2</v>
      </c>
      <c r="H733" s="34">
        <v>97.2</v>
      </c>
      <c r="I733" s="29">
        <v>60029400</v>
      </c>
      <c r="P733" s="125"/>
      <c r="Q733" s="34"/>
      <c r="R733" s="115"/>
      <c r="S733" s="34"/>
      <c r="T733" s="34"/>
      <c r="U733" s="34"/>
      <c r="V733" s="29"/>
    </row>
    <row r="734" spans="3:22">
      <c r="C734" s="125">
        <v>44974</v>
      </c>
      <c r="D734" s="34">
        <v>247.86000100000001</v>
      </c>
      <c r="E734" s="115">
        <v>250.86000100000001</v>
      </c>
      <c r="F734" s="34">
        <v>245.63000500000001</v>
      </c>
      <c r="G734" s="34">
        <v>247.78999300000001</v>
      </c>
      <c r="H734" s="34">
        <v>247.78999300000001</v>
      </c>
      <c r="I734" s="29">
        <v>3759300</v>
      </c>
      <c r="P734" s="125"/>
      <c r="Q734" s="34"/>
      <c r="R734" s="115"/>
      <c r="S734" s="34"/>
      <c r="T734" s="34"/>
      <c r="U734" s="34"/>
      <c r="V734" s="29"/>
    </row>
    <row r="735" spans="3:22">
      <c r="C735" s="125">
        <v>44973</v>
      </c>
      <c r="D735" s="34">
        <v>99.21</v>
      </c>
      <c r="E735" s="115">
        <v>100.63</v>
      </c>
      <c r="F735" s="34">
        <v>98.1</v>
      </c>
      <c r="G735" s="34">
        <v>98.15</v>
      </c>
      <c r="H735" s="34">
        <v>98.15</v>
      </c>
      <c r="I735" s="29">
        <v>56339200</v>
      </c>
      <c r="P735" s="125"/>
      <c r="Q735" s="34"/>
      <c r="R735" s="115"/>
      <c r="S735" s="34"/>
      <c r="T735" s="34"/>
      <c r="U735" s="34"/>
      <c r="V735" s="29"/>
    </row>
    <row r="736" spans="3:22">
      <c r="C736" s="125">
        <v>44973</v>
      </c>
      <c r="D736" s="34">
        <v>246.5</v>
      </c>
      <c r="E736" s="115">
        <v>248.529999</v>
      </c>
      <c r="F736" s="34">
        <v>244.520004</v>
      </c>
      <c r="G736" s="34">
        <v>246.520004</v>
      </c>
      <c r="H736" s="34">
        <v>246.520004</v>
      </c>
      <c r="I736" s="29">
        <v>1934900</v>
      </c>
      <c r="P736" s="125"/>
      <c r="Q736" s="34"/>
      <c r="R736" s="115"/>
      <c r="S736" s="34"/>
      <c r="T736" s="34"/>
      <c r="U736" s="34"/>
      <c r="V736" s="29"/>
    </row>
    <row r="737" spans="3:22">
      <c r="C737" s="125">
        <v>44972</v>
      </c>
      <c r="D737" s="34">
        <v>99.09</v>
      </c>
      <c r="E737" s="115">
        <v>101.17</v>
      </c>
      <c r="F737" s="34">
        <v>98.45</v>
      </c>
      <c r="G737" s="34">
        <v>101.16</v>
      </c>
      <c r="H737" s="34">
        <v>101.16</v>
      </c>
      <c r="I737" s="29">
        <v>47957600</v>
      </c>
      <c r="P737" s="125"/>
      <c r="Q737" s="34"/>
      <c r="R737" s="115"/>
      <c r="S737" s="34"/>
      <c r="T737" s="34"/>
      <c r="U737" s="34"/>
      <c r="V737" s="29"/>
    </row>
    <row r="738" spans="3:22">
      <c r="C738" s="125">
        <v>44972</v>
      </c>
      <c r="D738" s="34">
        <v>244.199997</v>
      </c>
      <c r="E738" s="115">
        <v>248.770004</v>
      </c>
      <c r="F738" s="34">
        <v>243.229996</v>
      </c>
      <c r="G738" s="34">
        <v>248.699997</v>
      </c>
      <c r="H738" s="34">
        <v>248.699997</v>
      </c>
      <c r="I738" s="29">
        <v>2398200</v>
      </c>
      <c r="P738" s="125"/>
      <c r="Q738" s="34"/>
      <c r="R738" s="115"/>
      <c r="S738" s="34"/>
      <c r="T738" s="34"/>
      <c r="U738" s="34"/>
      <c r="V738" s="29"/>
    </row>
    <row r="739" spans="3:22">
      <c r="C739" s="125">
        <v>44971</v>
      </c>
      <c r="D739" s="34">
        <v>98.41</v>
      </c>
      <c r="E739" s="115">
        <v>100.92</v>
      </c>
      <c r="F739" s="34">
        <v>97.52</v>
      </c>
      <c r="G739" s="34">
        <v>99.7</v>
      </c>
      <c r="H739" s="34">
        <v>99.7</v>
      </c>
      <c r="I739" s="29">
        <v>56202900</v>
      </c>
      <c r="P739" s="125"/>
      <c r="Q739" s="34"/>
      <c r="R739" s="115"/>
      <c r="S739" s="34"/>
      <c r="T739" s="34"/>
      <c r="U739" s="34"/>
      <c r="V739" s="29"/>
    </row>
    <row r="740" spans="3:22">
      <c r="C740" s="125">
        <v>44971</v>
      </c>
      <c r="D740" s="34">
        <v>247.009995</v>
      </c>
      <c r="E740" s="115">
        <v>247.30999800000001</v>
      </c>
      <c r="F740" s="34">
        <v>241.64999399999999</v>
      </c>
      <c r="G740" s="34">
        <v>244.36000100000001</v>
      </c>
      <c r="H740" s="34">
        <v>244.36000100000001</v>
      </c>
      <c r="I740" s="29">
        <v>2512900</v>
      </c>
      <c r="P740" s="125"/>
      <c r="Q740" s="34"/>
      <c r="R740" s="115"/>
      <c r="S740" s="34"/>
      <c r="T740" s="34"/>
      <c r="U740" s="34"/>
      <c r="V740" s="29"/>
    </row>
    <row r="741" spans="3:22">
      <c r="C741" s="125">
        <v>44970</v>
      </c>
      <c r="D741" s="34">
        <v>97.85</v>
      </c>
      <c r="E741" s="115">
        <v>99.68</v>
      </c>
      <c r="F741" s="34">
        <v>96.91</v>
      </c>
      <c r="G741" s="34">
        <v>99.54</v>
      </c>
      <c r="H741" s="34">
        <v>99.54</v>
      </c>
      <c r="I741" s="29">
        <v>52841500</v>
      </c>
      <c r="P741" s="125"/>
      <c r="Q741" s="34"/>
      <c r="R741" s="115"/>
      <c r="S741" s="34"/>
      <c r="T741" s="34"/>
      <c r="U741" s="34"/>
      <c r="V741" s="29"/>
    </row>
    <row r="742" spans="3:22">
      <c r="C742" s="125">
        <v>44970</v>
      </c>
      <c r="D742" s="34">
        <v>243.5</v>
      </c>
      <c r="E742" s="115">
        <v>248.38000500000001</v>
      </c>
      <c r="F742" s="34">
        <v>242.64999399999999</v>
      </c>
      <c r="G742" s="34">
        <v>248.14999399999999</v>
      </c>
      <c r="H742" s="34">
        <v>248.14999399999999</v>
      </c>
      <c r="I742" s="29">
        <v>3068100</v>
      </c>
      <c r="P742" s="125"/>
      <c r="Q742" s="34"/>
      <c r="R742" s="115"/>
      <c r="S742" s="34"/>
      <c r="T742" s="34"/>
      <c r="U742" s="34"/>
      <c r="V742" s="29"/>
    </row>
    <row r="743" spans="3:22">
      <c r="C743" s="125">
        <v>44967</v>
      </c>
      <c r="D743" s="34">
        <v>97.56</v>
      </c>
      <c r="E743" s="115">
        <v>98.82</v>
      </c>
      <c r="F743" s="34">
        <v>96.23</v>
      </c>
      <c r="G743" s="34">
        <v>97.61</v>
      </c>
      <c r="H743" s="34">
        <v>97.61</v>
      </c>
      <c r="I743" s="29">
        <v>52740100</v>
      </c>
      <c r="P743" s="125"/>
      <c r="Q743" s="34"/>
      <c r="R743" s="115"/>
      <c r="S743" s="34"/>
      <c r="T743" s="34"/>
      <c r="U743" s="34"/>
      <c r="V743" s="29"/>
    </row>
    <row r="744" spans="3:22">
      <c r="C744" s="125">
        <v>44967</v>
      </c>
      <c r="D744" s="34">
        <v>246.279999</v>
      </c>
      <c r="E744" s="115">
        <v>248.63000500000001</v>
      </c>
      <c r="F744" s="34">
        <v>244.63999899999999</v>
      </c>
      <c r="G744" s="34">
        <v>247.66999799999999</v>
      </c>
      <c r="H744" s="34">
        <v>247.66999799999999</v>
      </c>
      <c r="I744" s="29">
        <v>2820300</v>
      </c>
      <c r="P744" s="125"/>
      <c r="Q744" s="34"/>
      <c r="R744" s="115"/>
      <c r="S744" s="34"/>
      <c r="T744" s="34"/>
      <c r="U744" s="34"/>
      <c r="V744" s="29"/>
    </row>
    <row r="745" spans="3:22">
      <c r="C745" s="125">
        <v>44966</v>
      </c>
      <c r="D745" s="34">
        <v>101.32</v>
      </c>
      <c r="E745" s="115">
        <v>101.78</v>
      </c>
      <c r="F745" s="34">
        <v>97.57</v>
      </c>
      <c r="G745" s="34">
        <v>98.24</v>
      </c>
      <c r="H745" s="34">
        <v>98.24</v>
      </c>
      <c r="I745" s="29">
        <v>64622500</v>
      </c>
      <c r="P745" s="125"/>
      <c r="Q745" s="34"/>
      <c r="R745" s="115"/>
      <c r="S745" s="34"/>
      <c r="T745" s="34"/>
      <c r="U745" s="34"/>
      <c r="V745" s="29"/>
    </row>
    <row r="746" spans="3:22">
      <c r="C746" s="125">
        <v>44966</v>
      </c>
      <c r="D746" s="34">
        <v>250</v>
      </c>
      <c r="E746" s="115">
        <v>251.970001</v>
      </c>
      <c r="F746" s="34">
        <v>245.479996</v>
      </c>
      <c r="G746" s="34">
        <v>246.279999</v>
      </c>
      <c r="H746" s="34">
        <v>246.279999</v>
      </c>
      <c r="I746" s="29">
        <v>2464900</v>
      </c>
      <c r="P746" s="125"/>
      <c r="Q746" s="34"/>
      <c r="R746" s="115"/>
      <c r="S746" s="34"/>
      <c r="T746" s="34"/>
      <c r="U746" s="34"/>
      <c r="V746" s="29"/>
    </row>
    <row r="747" spans="3:22">
      <c r="C747" s="125">
        <v>44965</v>
      </c>
      <c r="D747" s="34">
        <v>102.04</v>
      </c>
      <c r="E747" s="115">
        <v>102.67</v>
      </c>
      <c r="F747" s="34">
        <v>98.78</v>
      </c>
      <c r="G747" s="34">
        <v>100.05</v>
      </c>
      <c r="H747" s="34">
        <v>100.05</v>
      </c>
      <c r="I747" s="29">
        <v>75878300</v>
      </c>
      <c r="P747" s="125"/>
      <c r="Q747" s="34"/>
      <c r="R747" s="115"/>
      <c r="S747" s="34"/>
      <c r="T747" s="34"/>
      <c r="U747" s="34"/>
      <c r="V747" s="29"/>
    </row>
    <row r="748" spans="3:22">
      <c r="C748" s="125">
        <v>44965</v>
      </c>
      <c r="D748" s="34">
        <v>248.10000600000001</v>
      </c>
      <c r="E748" s="115">
        <v>251.55999800000001</v>
      </c>
      <c r="F748" s="34">
        <v>247.08000200000001</v>
      </c>
      <c r="G748" s="34">
        <v>248.86999499999999</v>
      </c>
      <c r="H748" s="34">
        <v>248.86999499999999</v>
      </c>
      <c r="I748" s="29">
        <v>2300300</v>
      </c>
      <c r="P748" s="125"/>
      <c r="Q748" s="34"/>
      <c r="R748" s="115"/>
      <c r="S748" s="34"/>
      <c r="T748" s="34"/>
      <c r="U748" s="34"/>
      <c r="V748" s="29"/>
    </row>
    <row r="749" spans="3:22">
      <c r="C749" s="125">
        <v>44964</v>
      </c>
      <c r="D749" s="34">
        <v>101.17</v>
      </c>
      <c r="E749" s="115">
        <v>102.41</v>
      </c>
      <c r="F749" s="34">
        <v>98.08</v>
      </c>
      <c r="G749" s="34">
        <v>102.11</v>
      </c>
      <c r="H749" s="34">
        <v>102.11</v>
      </c>
      <c r="I749" s="29">
        <v>119501300</v>
      </c>
      <c r="P749" s="125"/>
      <c r="Q749" s="34"/>
      <c r="R749" s="115"/>
      <c r="S749" s="34"/>
      <c r="T749" s="34"/>
      <c r="U749" s="34"/>
      <c r="V749" s="29"/>
    </row>
    <row r="750" spans="3:22">
      <c r="C750" s="125">
        <v>44964</v>
      </c>
      <c r="D750" s="34">
        <v>250.550003</v>
      </c>
      <c r="E750" s="115">
        <v>252</v>
      </c>
      <c r="F750" s="34">
        <v>245.35000600000001</v>
      </c>
      <c r="G750" s="34">
        <v>249.66000399999999</v>
      </c>
      <c r="H750" s="34">
        <v>249.66000399999999</v>
      </c>
      <c r="I750" s="29">
        <v>3467900</v>
      </c>
      <c r="P750" s="125"/>
      <c r="Q750" s="34"/>
      <c r="R750" s="115"/>
      <c r="S750" s="34"/>
      <c r="T750" s="34"/>
      <c r="U750" s="34"/>
      <c r="V750" s="29"/>
    </row>
    <row r="751" spans="3:22">
      <c r="C751" s="125">
        <v>44963</v>
      </c>
      <c r="D751" s="34">
        <v>102.93</v>
      </c>
      <c r="E751" s="115">
        <v>103.95</v>
      </c>
      <c r="F751" s="34">
        <v>100.65</v>
      </c>
      <c r="G751" s="34">
        <v>102.18</v>
      </c>
      <c r="H751" s="34">
        <v>102.18</v>
      </c>
      <c r="I751" s="29">
        <v>81945200</v>
      </c>
      <c r="P751" s="125"/>
      <c r="Q751" s="34"/>
      <c r="R751" s="115"/>
      <c r="S751" s="34"/>
      <c r="T751" s="34"/>
      <c r="U751" s="34"/>
      <c r="V751" s="29"/>
    </row>
    <row r="752" spans="3:22">
      <c r="C752" s="125">
        <v>44963</v>
      </c>
      <c r="D752" s="34">
        <v>248.11000100000001</v>
      </c>
      <c r="E752" s="115">
        <v>252.13999899999999</v>
      </c>
      <c r="F752" s="34">
        <v>248</v>
      </c>
      <c r="G752" s="34">
        <v>251.41999799999999</v>
      </c>
      <c r="H752" s="34">
        <v>251.41999799999999</v>
      </c>
      <c r="I752" s="29">
        <v>3528800</v>
      </c>
      <c r="P752" s="125"/>
      <c r="Q752" s="34"/>
      <c r="R752" s="115"/>
      <c r="S752" s="34"/>
      <c r="T752" s="34"/>
      <c r="U752" s="34"/>
      <c r="V752" s="29"/>
    </row>
    <row r="753" spans="3:22">
      <c r="C753" s="125">
        <v>44960</v>
      </c>
      <c r="D753" s="34">
        <v>105.26</v>
      </c>
      <c r="E753" s="115">
        <v>108.78</v>
      </c>
      <c r="F753" s="34">
        <v>102.52</v>
      </c>
      <c r="G753" s="34">
        <v>103.39</v>
      </c>
      <c r="H753" s="34">
        <v>103.39</v>
      </c>
      <c r="I753" s="29">
        <v>144374800</v>
      </c>
      <c r="P753" s="125"/>
      <c r="Q753" s="34"/>
      <c r="R753" s="115"/>
      <c r="S753" s="34"/>
      <c r="T753" s="34"/>
      <c r="U753" s="34"/>
      <c r="V753" s="29"/>
    </row>
    <row r="754" spans="3:22">
      <c r="C754" s="125">
        <v>44960</v>
      </c>
      <c r="D754" s="34">
        <v>244</v>
      </c>
      <c r="E754" s="115">
        <v>250.949997</v>
      </c>
      <c r="F754" s="34">
        <v>243.13000500000001</v>
      </c>
      <c r="G754" s="34">
        <v>247.759995</v>
      </c>
      <c r="H754" s="34">
        <v>247.759995</v>
      </c>
      <c r="I754" s="29">
        <v>4134700</v>
      </c>
      <c r="P754" s="125"/>
      <c r="Q754" s="34"/>
      <c r="R754" s="115"/>
      <c r="S754" s="34"/>
      <c r="T754" s="34"/>
      <c r="U754" s="34"/>
      <c r="V754" s="29"/>
    </row>
    <row r="755" spans="3:22">
      <c r="C755" s="125">
        <v>44959</v>
      </c>
      <c r="D755" s="34">
        <v>110.25</v>
      </c>
      <c r="E755" s="115">
        <v>114</v>
      </c>
      <c r="F755" s="34">
        <v>108.88</v>
      </c>
      <c r="G755" s="34">
        <v>112.91</v>
      </c>
      <c r="H755" s="34">
        <v>112.91</v>
      </c>
      <c r="I755" s="29">
        <v>158154200</v>
      </c>
      <c r="P755" s="125"/>
      <c r="Q755" s="34"/>
      <c r="R755" s="115"/>
      <c r="S755" s="34"/>
      <c r="T755" s="34"/>
      <c r="U755" s="34"/>
      <c r="V755" s="29"/>
    </row>
    <row r="756" spans="3:22">
      <c r="C756" s="125">
        <v>44959</v>
      </c>
      <c r="D756" s="34">
        <v>249.33000200000001</v>
      </c>
      <c r="E756" s="115">
        <v>249.529999</v>
      </c>
      <c r="F756" s="34">
        <v>241.800003</v>
      </c>
      <c r="G756" s="34">
        <v>244.89999399999999</v>
      </c>
      <c r="H756" s="34">
        <v>244.89999399999999</v>
      </c>
      <c r="I756" s="29">
        <v>6130300</v>
      </c>
      <c r="P756" s="125"/>
      <c r="Q756" s="34"/>
      <c r="R756" s="115"/>
      <c r="S756" s="34"/>
      <c r="T756" s="34"/>
      <c r="U756" s="34"/>
      <c r="V756" s="29"/>
    </row>
    <row r="757" spans="3:22">
      <c r="C757" s="125">
        <v>44958</v>
      </c>
      <c r="D757" s="34">
        <v>102.53</v>
      </c>
      <c r="E757" s="115">
        <v>106.24</v>
      </c>
      <c r="F757" s="34">
        <v>101.24</v>
      </c>
      <c r="G757" s="34">
        <v>105.15</v>
      </c>
      <c r="H757" s="34">
        <v>105.15</v>
      </c>
      <c r="I757" s="29">
        <v>80450100</v>
      </c>
      <c r="P757" s="125"/>
      <c r="Q757" s="34"/>
      <c r="R757" s="115"/>
      <c r="S757" s="34"/>
      <c r="T757" s="34"/>
      <c r="U757" s="34"/>
      <c r="V757" s="29"/>
    </row>
    <row r="758" spans="3:22">
      <c r="C758" s="125">
        <v>44958</v>
      </c>
      <c r="D758" s="34">
        <v>251.75</v>
      </c>
      <c r="E758" s="115">
        <v>252.699997</v>
      </c>
      <c r="F758" s="34">
        <v>245.30999800000001</v>
      </c>
      <c r="G758" s="34">
        <v>249.53999300000001</v>
      </c>
      <c r="H758" s="34">
        <v>249.53999300000001</v>
      </c>
      <c r="I758" s="29">
        <v>6022000</v>
      </c>
      <c r="P758" s="125"/>
      <c r="Q758" s="34"/>
      <c r="R758" s="115"/>
      <c r="S758" s="34"/>
      <c r="T758" s="34"/>
      <c r="U758" s="34"/>
      <c r="V758" s="29"/>
    </row>
    <row r="759" spans="3:22">
      <c r="C759" s="125">
        <v>44957</v>
      </c>
      <c r="D759" s="34">
        <v>101.16</v>
      </c>
      <c r="E759" s="115">
        <v>103.35</v>
      </c>
      <c r="F759" s="34">
        <v>101.14</v>
      </c>
      <c r="G759" s="34">
        <v>103.13</v>
      </c>
      <c r="H759" s="34">
        <v>103.13</v>
      </c>
      <c r="I759" s="29">
        <v>66527300</v>
      </c>
      <c r="P759" s="125"/>
      <c r="Q759" s="34"/>
      <c r="R759" s="115"/>
      <c r="S759" s="34"/>
      <c r="T759" s="34"/>
      <c r="U759" s="34"/>
      <c r="V759" s="29"/>
    </row>
    <row r="760" spans="3:22">
      <c r="C760" s="125">
        <v>44957</v>
      </c>
      <c r="D760" s="34">
        <v>257</v>
      </c>
      <c r="E760" s="115">
        <v>257.39001500000001</v>
      </c>
      <c r="F760" s="34">
        <v>246.41000399999999</v>
      </c>
      <c r="G760" s="34">
        <v>252.28999300000001</v>
      </c>
      <c r="H760" s="34">
        <v>252.28999300000001</v>
      </c>
      <c r="I760" s="29">
        <v>10992100</v>
      </c>
      <c r="P760" s="125"/>
      <c r="Q760" s="34"/>
      <c r="R760" s="115"/>
      <c r="S760" s="34"/>
      <c r="T760" s="34"/>
      <c r="U760" s="34"/>
      <c r="V760" s="29"/>
    </row>
    <row r="761" spans="3:22">
      <c r="C761" s="125">
        <v>44956</v>
      </c>
      <c r="D761" s="34">
        <v>101.09</v>
      </c>
      <c r="E761" s="115">
        <v>101.74</v>
      </c>
      <c r="F761" s="34">
        <v>99.01</v>
      </c>
      <c r="G761" s="34">
        <v>100.55</v>
      </c>
      <c r="H761" s="34">
        <v>100.55</v>
      </c>
      <c r="I761" s="29">
        <v>70691900</v>
      </c>
      <c r="P761" s="125"/>
      <c r="Q761" s="34"/>
      <c r="R761" s="115"/>
      <c r="S761" s="34"/>
      <c r="T761" s="34"/>
      <c r="U761" s="34"/>
      <c r="V761" s="29"/>
    </row>
    <row r="762" spans="3:22">
      <c r="C762" s="125">
        <v>44956</v>
      </c>
      <c r="D762" s="34">
        <v>263.33999599999999</v>
      </c>
      <c r="E762" s="115">
        <v>265</v>
      </c>
      <c r="F762" s="34">
        <v>261.30999800000001</v>
      </c>
      <c r="G762" s="34">
        <v>261.5</v>
      </c>
      <c r="H762" s="34">
        <v>261.5</v>
      </c>
      <c r="I762" s="29">
        <v>3426900</v>
      </c>
      <c r="P762" s="125"/>
      <c r="Q762" s="34"/>
      <c r="R762" s="115"/>
      <c r="S762" s="34"/>
      <c r="T762" s="34"/>
      <c r="U762" s="34"/>
      <c r="V762" s="29"/>
    </row>
    <row r="763" spans="3:22">
      <c r="C763" s="125">
        <v>44953</v>
      </c>
      <c r="D763" s="34">
        <v>99.53</v>
      </c>
      <c r="E763" s="115">
        <v>103.49</v>
      </c>
      <c r="F763" s="34">
        <v>99.53</v>
      </c>
      <c r="G763" s="34">
        <v>102.24</v>
      </c>
      <c r="H763" s="34">
        <v>102.24</v>
      </c>
      <c r="I763" s="29">
        <v>87775600</v>
      </c>
      <c r="P763" s="125"/>
      <c r="Q763" s="34"/>
      <c r="R763" s="115"/>
      <c r="S763" s="34"/>
      <c r="T763" s="34"/>
      <c r="U763" s="34"/>
      <c r="V763" s="29"/>
    </row>
    <row r="764" spans="3:22">
      <c r="C764" s="125">
        <v>44953</v>
      </c>
      <c r="D764" s="34">
        <v>262.459991</v>
      </c>
      <c r="E764" s="115">
        <v>266.040009</v>
      </c>
      <c r="F764" s="34">
        <v>262.11999500000002</v>
      </c>
      <c r="G764" s="34">
        <v>264.540009</v>
      </c>
      <c r="H764" s="34">
        <v>264.540009</v>
      </c>
      <c r="I764" s="29">
        <v>2783000</v>
      </c>
      <c r="P764" s="125"/>
      <c r="Q764" s="34"/>
      <c r="R764" s="115"/>
      <c r="S764" s="34"/>
      <c r="T764" s="34"/>
      <c r="U764" s="34"/>
      <c r="V764" s="29"/>
    </row>
    <row r="765" spans="3:22">
      <c r="C765" s="125">
        <v>44952</v>
      </c>
      <c r="D765" s="34">
        <v>98.24</v>
      </c>
      <c r="E765" s="115">
        <v>99.49</v>
      </c>
      <c r="F765" s="34">
        <v>96.92</v>
      </c>
      <c r="G765" s="34">
        <v>99.22</v>
      </c>
      <c r="H765" s="34">
        <v>99.22</v>
      </c>
      <c r="I765" s="29">
        <v>68523600</v>
      </c>
      <c r="P765" s="125"/>
      <c r="Q765" s="34"/>
      <c r="R765" s="115"/>
      <c r="S765" s="34"/>
      <c r="T765" s="34"/>
      <c r="U765" s="34"/>
      <c r="V765" s="29"/>
    </row>
    <row r="766" spans="3:22">
      <c r="C766" s="125">
        <v>44952</v>
      </c>
      <c r="D766" s="34">
        <v>260</v>
      </c>
      <c r="E766" s="115">
        <v>262.26001000000002</v>
      </c>
      <c r="F766" s="34">
        <v>256.89001500000001</v>
      </c>
      <c r="G766" s="34">
        <v>262.11999500000002</v>
      </c>
      <c r="H766" s="34">
        <v>262.11999500000002</v>
      </c>
      <c r="I766" s="29">
        <v>2677200</v>
      </c>
      <c r="P766" s="125"/>
      <c r="Q766" s="34"/>
      <c r="R766" s="115"/>
      <c r="S766" s="34"/>
      <c r="T766" s="34"/>
      <c r="U766" s="34"/>
      <c r="V766" s="29"/>
    </row>
    <row r="767" spans="3:22">
      <c r="C767" s="125">
        <v>44951</v>
      </c>
      <c r="D767" s="34">
        <v>92.56</v>
      </c>
      <c r="E767" s="115">
        <v>97.24</v>
      </c>
      <c r="F767" s="34">
        <v>91.52</v>
      </c>
      <c r="G767" s="34">
        <v>97.18</v>
      </c>
      <c r="H767" s="34">
        <v>97.18</v>
      </c>
      <c r="I767" s="29">
        <v>94261600</v>
      </c>
      <c r="P767" s="125"/>
      <c r="Q767" s="34"/>
      <c r="R767" s="115"/>
      <c r="S767" s="34"/>
      <c r="T767" s="34"/>
      <c r="U767" s="34"/>
      <c r="V767" s="29"/>
    </row>
    <row r="768" spans="3:22">
      <c r="C768" s="125">
        <v>44951</v>
      </c>
      <c r="D768" s="34">
        <v>254.529999</v>
      </c>
      <c r="E768" s="115">
        <v>259.19000199999999</v>
      </c>
      <c r="F768" s="34">
        <v>254.320007</v>
      </c>
      <c r="G768" s="34">
        <v>258.44000199999999</v>
      </c>
      <c r="H768" s="34">
        <v>258.44000199999999</v>
      </c>
      <c r="I768" s="29">
        <v>2424900</v>
      </c>
      <c r="P768" s="125"/>
      <c r="Q768" s="34"/>
      <c r="R768" s="115"/>
      <c r="S768" s="34"/>
      <c r="T768" s="34"/>
      <c r="U768" s="34"/>
      <c r="V768" s="29"/>
    </row>
    <row r="769" spans="3:22">
      <c r="C769" s="125">
        <v>44950</v>
      </c>
      <c r="D769" s="34">
        <v>96.93</v>
      </c>
      <c r="E769" s="115">
        <v>98.09</v>
      </c>
      <c r="F769" s="34">
        <v>96</v>
      </c>
      <c r="G769" s="34">
        <v>96.32</v>
      </c>
      <c r="H769" s="34">
        <v>96.32</v>
      </c>
      <c r="I769" s="29">
        <v>66929500</v>
      </c>
      <c r="P769" s="125"/>
      <c r="Q769" s="34"/>
      <c r="R769" s="115"/>
      <c r="S769" s="34"/>
      <c r="T769" s="34"/>
      <c r="U769" s="34"/>
      <c r="V769" s="29"/>
    </row>
    <row r="770" spans="3:22">
      <c r="C770" s="125">
        <v>44950</v>
      </c>
      <c r="D770" s="34">
        <v>252.88000500000001</v>
      </c>
      <c r="E770" s="115">
        <v>259.04998799999998</v>
      </c>
      <c r="F770" s="34">
        <v>249.75</v>
      </c>
      <c r="G770" s="34">
        <v>257.60998499999999</v>
      </c>
      <c r="H770" s="34">
        <v>257.60998499999999</v>
      </c>
      <c r="I770" s="29">
        <v>3505100</v>
      </c>
      <c r="P770" s="125"/>
      <c r="Q770" s="34"/>
      <c r="R770" s="115"/>
      <c r="S770" s="34"/>
      <c r="T770" s="34"/>
      <c r="U770" s="34"/>
      <c r="V770" s="29"/>
    </row>
    <row r="771" spans="3:22">
      <c r="C771" s="125">
        <v>44949</v>
      </c>
      <c r="D771" s="34">
        <v>97.56</v>
      </c>
      <c r="E771" s="115">
        <v>97.78</v>
      </c>
      <c r="F771" s="34">
        <v>95.86</v>
      </c>
      <c r="G771" s="34">
        <v>97.52</v>
      </c>
      <c r="H771" s="34">
        <v>97.52</v>
      </c>
      <c r="I771" s="29">
        <v>76501100</v>
      </c>
      <c r="P771" s="125"/>
      <c r="Q771" s="34"/>
      <c r="R771" s="115"/>
      <c r="S771" s="34"/>
      <c r="T771" s="34"/>
      <c r="U771" s="34"/>
      <c r="V771" s="29"/>
    </row>
    <row r="772" spans="3:22">
      <c r="C772" s="125">
        <v>44949</v>
      </c>
      <c r="D772" s="34">
        <v>250.75</v>
      </c>
      <c r="E772" s="115">
        <v>253.679993</v>
      </c>
      <c r="F772" s="34">
        <v>249.270004</v>
      </c>
      <c r="G772" s="34">
        <v>252.699997</v>
      </c>
      <c r="H772" s="34">
        <v>252.699997</v>
      </c>
      <c r="I772" s="29">
        <v>2610200</v>
      </c>
      <c r="P772" s="125"/>
      <c r="Q772" s="34"/>
      <c r="R772" s="115"/>
      <c r="S772" s="34"/>
      <c r="T772" s="34"/>
      <c r="U772" s="34"/>
      <c r="V772" s="29"/>
    </row>
    <row r="773" spans="3:22">
      <c r="C773" s="125">
        <v>44946</v>
      </c>
      <c r="D773" s="34">
        <v>93.86</v>
      </c>
      <c r="E773" s="115">
        <v>97.35</v>
      </c>
      <c r="F773" s="34">
        <v>93.2</v>
      </c>
      <c r="G773" s="34">
        <v>97.25</v>
      </c>
      <c r="H773" s="34">
        <v>97.25</v>
      </c>
      <c r="I773" s="29">
        <v>67481500</v>
      </c>
      <c r="P773" s="125"/>
      <c r="Q773" s="34"/>
      <c r="R773" s="115"/>
      <c r="S773" s="34"/>
      <c r="T773" s="34"/>
      <c r="U773" s="34"/>
      <c r="V773" s="29"/>
    </row>
    <row r="774" spans="3:22">
      <c r="C774" s="125">
        <v>44946</v>
      </c>
      <c r="D774" s="34">
        <v>246.86999499999999</v>
      </c>
      <c r="E774" s="115">
        <v>249.91999799999999</v>
      </c>
      <c r="F774" s="34">
        <v>244.759995</v>
      </c>
      <c r="G774" s="34">
        <v>249.71000699999999</v>
      </c>
      <c r="H774" s="34">
        <v>249.71000699999999</v>
      </c>
      <c r="I774" s="29">
        <v>2964100</v>
      </c>
      <c r="P774" s="125"/>
      <c r="Q774" s="34"/>
      <c r="R774" s="115"/>
      <c r="S774" s="34"/>
      <c r="T774" s="34"/>
      <c r="U774" s="34"/>
      <c r="V774" s="29"/>
    </row>
    <row r="775" spans="3:22">
      <c r="C775" s="125">
        <v>44945</v>
      </c>
      <c r="D775" s="34">
        <v>94.74</v>
      </c>
      <c r="E775" s="115">
        <v>95.44</v>
      </c>
      <c r="F775" s="34">
        <v>92.86</v>
      </c>
      <c r="G775" s="34">
        <v>93.68</v>
      </c>
      <c r="H775" s="34">
        <v>93.68</v>
      </c>
      <c r="I775" s="29">
        <v>69002700</v>
      </c>
      <c r="P775" s="125"/>
      <c r="Q775" s="34"/>
      <c r="R775" s="115"/>
      <c r="S775" s="34"/>
      <c r="T775" s="34"/>
      <c r="U775" s="34"/>
      <c r="V775" s="29"/>
    </row>
    <row r="776" spans="3:22">
      <c r="C776" s="125">
        <v>44945</v>
      </c>
      <c r="D776" s="34">
        <v>250.479996</v>
      </c>
      <c r="E776" s="115">
        <v>251.25</v>
      </c>
      <c r="F776" s="34">
        <v>244.300003</v>
      </c>
      <c r="G776" s="34">
        <v>245.75</v>
      </c>
      <c r="H776" s="34">
        <v>245.75</v>
      </c>
      <c r="I776" s="29">
        <v>4885200</v>
      </c>
      <c r="P776" s="125"/>
      <c r="Q776" s="34"/>
      <c r="R776" s="115"/>
      <c r="S776" s="34"/>
      <c r="T776" s="34"/>
      <c r="U776" s="34"/>
      <c r="V776" s="29"/>
    </row>
    <row r="777" spans="3:22">
      <c r="C777" s="125">
        <v>44944</v>
      </c>
      <c r="D777" s="34">
        <v>97.25</v>
      </c>
      <c r="E777" s="115">
        <v>99.32</v>
      </c>
      <c r="F777" s="34">
        <v>95.38</v>
      </c>
      <c r="G777" s="34">
        <v>95.46</v>
      </c>
      <c r="H777" s="34">
        <v>95.46</v>
      </c>
      <c r="I777" s="29">
        <v>79570400</v>
      </c>
      <c r="P777" s="125"/>
      <c r="Q777" s="34"/>
      <c r="R777" s="115"/>
      <c r="S777" s="34"/>
      <c r="T777" s="34"/>
      <c r="U777" s="34"/>
      <c r="V777" s="29"/>
    </row>
    <row r="778" spans="3:22">
      <c r="C778" s="125">
        <v>44944</v>
      </c>
      <c r="D778" s="34">
        <v>257.27999899999998</v>
      </c>
      <c r="E778" s="115">
        <v>258.91000400000001</v>
      </c>
      <c r="F778" s="34">
        <v>252.070007</v>
      </c>
      <c r="G778" s="34">
        <v>252.820007</v>
      </c>
      <c r="H778" s="34">
        <v>251.62001000000001</v>
      </c>
      <c r="I778" s="29">
        <v>3361400</v>
      </c>
      <c r="P778" s="125"/>
      <c r="Q778" s="34"/>
      <c r="R778" s="115"/>
      <c r="S778" s="34"/>
      <c r="T778" s="34"/>
      <c r="U778" s="34"/>
      <c r="V778" s="29"/>
    </row>
    <row r="779" spans="3:22">
      <c r="C779" s="125">
        <v>44943</v>
      </c>
      <c r="D779" s="34">
        <v>98.68</v>
      </c>
      <c r="E779" s="115">
        <v>98.89</v>
      </c>
      <c r="F779" s="34">
        <v>95.73</v>
      </c>
      <c r="G779" s="34">
        <v>96.05</v>
      </c>
      <c r="H779" s="34">
        <v>96.05</v>
      </c>
      <c r="I779" s="29">
        <v>72755000</v>
      </c>
      <c r="P779" s="125"/>
      <c r="Q779" s="34"/>
      <c r="R779" s="115"/>
      <c r="S779" s="34"/>
      <c r="T779" s="34"/>
      <c r="U779" s="34"/>
      <c r="V779" s="29"/>
    </row>
    <row r="780" spans="3:22">
      <c r="C780" s="125">
        <v>44943</v>
      </c>
      <c r="D780" s="34">
        <v>258.85998499999999</v>
      </c>
      <c r="E780" s="115">
        <v>260.5</v>
      </c>
      <c r="F780" s="34">
        <v>255.94000199999999</v>
      </c>
      <c r="G780" s="34">
        <v>256.26001000000002</v>
      </c>
      <c r="H780" s="34">
        <v>255.04368600000001</v>
      </c>
      <c r="I780" s="29">
        <v>4100100</v>
      </c>
      <c r="P780" s="125"/>
      <c r="Q780" s="34"/>
      <c r="R780" s="115"/>
      <c r="S780" s="34"/>
      <c r="T780" s="34"/>
      <c r="U780" s="34"/>
      <c r="V780" s="29"/>
    </row>
    <row r="781" spans="3:22">
      <c r="C781" s="125">
        <v>44939</v>
      </c>
      <c r="D781" s="34">
        <v>94.18</v>
      </c>
      <c r="E781" s="115">
        <v>98.37</v>
      </c>
      <c r="F781" s="34">
        <v>94.12</v>
      </c>
      <c r="G781" s="34">
        <v>98.12</v>
      </c>
      <c r="H781" s="34">
        <v>98.12</v>
      </c>
      <c r="I781" s="29">
        <v>85549400</v>
      </c>
      <c r="P781" s="125"/>
      <c r="Q781" s="34"/>
      <c r="R781" s="115"/>
      <c r="S781" s="34"/>
      <c r="T781" s="34"/>
      <c r="U781" s="34"/>
      <c r="V781" s="29"/>
    </row>
    <row r="782" spans="3:22">
      <c r="C782" s="125">
        <v>44939</v>
      </c>
      <c r="D782" s="34">
        <v>256.79998799999998</v>
      </c>
      <c r="E782" s="115">
        <v>258.57998700000002</v>
      </c>
      <c r="F782" s="34">
        <v>255.229996</v>
      </c>
      <c r="G782" s="34">
        <v>258.459991</v>
      </c>
      <c r="H782" s="34">
        <v>257.23321499999997</v>
      </c>
      <c r="I782" s="29">
        <v>3067800</v>
      </c>
      <c r="P782" s="125"/>
      <c r="Q782" s="34"/>
      <c r="R782" s="115"/>
      <c r="S782" s="34"/>
      <c r="T782" s="34"/>
      <c r="U782" s="34"/>
      <c r="V782" s="29"/>
    </row>
    <row r="783" spans="3:22">
      <c r="C783" s="125">
        <v>44938</v>
      </c>
      <c r="D783" s="34">
        <v>96.93</v>
      </c>
      <c r="E783" s="115">
        <v>97.19</v>
      </c>
      <c r="F783" s="34">
        <v>93.5</v>
      </c>
      <c r="G783" s="34">
        <v>95.27</v>
      </c>
      <c r="H783" s="34">
        <v>95.27</v>
      </c>
      <c r="I783" s="29">
        <v>85254800</v>
      </c>
      <c r="P783" s="125"/>
      <c r="Q783" s="34"/>
      <c r="R783" s="115"/>
      <c r="S783" s="34"/>
      <c r="T783" s="34"/>
      <c r="U783" s="34"/>
      <c r="V783" s="29"/>
    </row>
    <row r="784" spans="3:22">
      <c r="C784" s="125">
        <v>44938</v>
      </c>
      <c r="D784" s="34">
        <v>252</v>
      </c>
      <c r="E784" s="115">
        <v>257.38000499999998</v>
      </c>
      <c r="F784" s="34">
        <v>251.009995</v>
      </c>
      <c r="G784" s="34">
        <v>255.070007</v>
      </c>
      <c r="H784" s="34">
        <v>253.859329</v>
      </c>
      <c r="I784" s="29">
        <v>3881500</v>
      </c>
      <c r="P784" s="125"/>
      <c r="Q784" s="34"/>
      <c r="R784" s="115"/>
      <c r="S784" s="34"/>
      <c r="T784" s="34"/>
      <c r="U784" s="34"/>
      <c r="V784" s="29"/>
    </row>
    <row r="785" spans="3:22">
      <c r="C785" s="125">
        <v>44937</v>
      </c>
      <c r="D785" s="34">
        <v>90.93</v>
      </c>
      <c r="E785" s="115">
        <v>95.26</v>
      </c>
      <c r="F785" s="34">
        <v>90.93</v>
      </c>
      <c r="G785" s="34">
        <v>95.09</v>
      </c>
      <c r="H785" s="34">
        <v>95.09</v>
      </c>
      <c r="I785" s="29">
        <v>103126200</v>
      </c>
      <c r="P785" s="125"/>
      <c r="Q785" s="34"/>
      <c r="R785" s="115"/>
      <c r="S785" s="34"/>
      <c r="T785" s="34"/>
      <c r="U785" s="34"/>
      <c r="V785" s="29"/>
    </row>
    <row r="786" spans="3:22">
      <c r="C786" s="125">
        <v>44937</v>
      </c>
      <c r="D786" s="34">
        <v>251.490005</v>
      </c>
      <c r="E786" s="115">
        <v>251.88999899999999</v>
      </c>
      <c r="F786" s="34">
        <v>247.13000500000001</v>
      </c>
      <c r="G786" s="34">
        <v>250.729996</v>
      </c>
      <c r="H786" s="34">
        <v>249.539917</v>
      </c>
      <c r="I786" s="29">
        <v>2402400</v>
      </c>
      <c r="P786" s="125"/>
      <c r="Q786" s="34"/>
      <c r="R786" s="115"/>
      <c r="S786" s="34"/>
      <c r="T786" s="34"/>
      <c r="U786" s="34"/>
      <c r="V786" s="29"/>
    </row>
    <row r="787" spans="3:22">
      <c r="C787" s="125">
        <v>44936</v>
      </c>
      <c r="D787" s="34">
        <v>87.57</v>
      </c>
      <c r="E787" s="115">
        <v>90.19</v>
      </c>
      <c r="F787" s="34">
        <v>87.29</v>
      </c>
      <c r="G787" s="34">
        <v>89.87</v>
      </c>
      <c r="H787" s="34">
        <v>89.87</v>
      </c>
      <c r="I787" s="29">
        <v>67756600</v>
      </c>
      <c r="P787" s="125"/>
      <c r="Q787" s="34"/>
      <c r="R787" s="115"/>
      <c r="S787" s="34"/>
      <c r="T787" s="34"/>
      <c r="U787" s="34"/>
      <c r="V787" s="29"/>
    </row>
    <row r="788" spans="3:22">
      <c r="C788" s="125">
        <v>44936</v>
      </c>
      <c r="D788" s="34">
        <v>246.949997</v>
      </c>
      <c r="E788" s="115">
        <v>250.83999600000001</v>
      </c>
      <c r="F788" s="34">
        <v>246.449997</v>
      </c>
      <c r="G788" s="34">
        <v>250.509995</v>
      </c>
      <c r="H788" s="34">
        <v>249.32096899999999</v>
      </c>
      <c r="I788" s="29">
        <v>3011900</v>
      </c>
      <c r="P788" s="125"/>
      <c r="Q788" s="34"/>
      <c r="R788" s="115"/>
      <c r="S788" s="34"/>
      <c r="T788" s="34"/>
      <c r="U788" s="34"/>
      <c r="V788" s="29"/>
    </row>
    <row r="789" spans="3:22">
      <c r="C789" s="125">
        <v>44935</v>
      </c>
      <c r="D789" s="34">
        <v>87.46</v>
      </c>
      <c r="E789" s="115">
        <v>89.48</v>
      </c>
      <c r="F789" s="34">
        <v>87.08</v>
      </c>
      <c r="G789" s="34">
        <v>87.36</v>
      </c>
      <c r="H789" s="34">
        <v>87.36</v>
      </c>
      <c r="I789" s="29">
        <v>65266100</v>
      </c>
      <c r="P789" s="125"/>
      <c r="Q789" s="34"/>
      <c r="R789" s="115"/>
      <c r="S789" s="34"/>
      <c r="T789" s="34"/>
      <c r="U789" s="34"/>
      <c r="V789" s="29"/>
    </row>
    <row r="790" spans="3:22">
      <c r="C790" s="125">
        <v>44935</v>
      </c>
      <c r="D790" s="34">
        <v>249.009995</v>
      </c>
      <c r="E790" s="115">
        <v>250.970001</v>
      </c>
      <c r="F790" s="34">
        <v>246</v>
      </c>
      <c r="G790" s="34">
        <v>246.61999499999999</v>
      </c>
      <c r="H790" s="34">
        <v>245.449432</v>
      </c>
      <c r="I790" s="29">
        <v>3417100</v>
      </c>
      <c r="P790" s="125"/>
      <c r="Q790" s="34"/>
      <c r="R790" s="115"/>
      <c r="S790" s="34"/>
      <c r="T790" s="34"/>
      <c r="U790" s="34"/>
      <c r="V790" s="29"/>
    </row>
    <row r="791" spans="3:22">
      <c r="C791" s="125">
        <v>44932</v>
      </c>
      <c r="D791" s="34">
        <v>83.03</v>
      </c>
      <c r="E791" s="115">
        <v>86.4</v>
      </c>
      <c r="F791" s="34">
        <v>81.430000000000007</v>
      </c>
      <c r="G791" s="34">
        <v>86.08</v>
      </c>
      <c r="H791" s="34">
        <v>86.08</v>
      </c>
      <c r="I791" s="29">
        <v>83303400</v>
      </c>
      <c r="P791" s="125"/>
      <c r="Q791" s="34"/>
      <c r="R791" s="115"/>
      <c r="S791" s="34"/>
      <c r="T791" s="34"/>
      <c r="U791" s="34"/>
      <c r="V791" s="29"/>
    </row>
    <row r="792" spans="3:22">
      <c r="C792" s="125">
        <v>44932</v>
      </c>
      <c r="D792" s="34">
        <v>242.88999899999999</v>
      </c>
      <c r="E792" s="115">
        <v>249.91000399999999</v>
      </c>
      <c r="F792" s="34">
        <v>242.240005</v>
      </c>
      <c r="G792" s="34">
        <v>248.86000100000001</v>
      </c>
      <c r="H792" s="34">
        <v>247.67880199999999</v>
      </c>
      <c r="I792" s="29">
        <v>3945100</v>
      </c>
      <c r="P792" s="125"/>
      <c r="Q792" s="34"/>
      <c r="R792" s="115"/>
      <c r="S792" s="34"/>
      <c r="T792" s="34"/>
      <c r="U792" s="34"/>
      <c r="V792" s="29"/>
    </row>
    <row r="793" spans="3:22">
      <c r="C793" s="125">
        <v>44931</v>
      </c>
      <c r="D793" s="34">
        <v>85.33</v>
      </c>
      <c r="E793" s="115">
        <v>85.42</v>
      </c>
      <c r="F793" s="34">
        <v>83.07</v>
      </c>
      <c r="G793" s="34">
        <v>83.12</v>
      </c>
      <c r="H793" s="34">
        <v>83.12</v>
      </c>
      <c r="I793" s="29">
        <v>67930800</v>
      </c>
      <c r="P793" s="125"/>
      <c r="Q793" s="34"/>
      <c r="R793" s="115"/>
      <c r="S793" s="34"/>
      <c r="T793" s="34"/>
      <c r="U793" s="34"/>
      <c r="V793" s="29"/>
    </row>
    <row r="794" spans="3:22">
      <c r="C794" s="125">
        <v>44931</v>
      </c>
      <c r="D794" s="34">
        <v>240.529999</v>
      </c>
      <c r="E794" s="115">
        <v>241.53999300000001</v>
      </c>
      <c r="F794" s="34">
        <v>237.55999800000001</v>
      </c>
      <c r="G794" s="34">
        <v>240.279999</v>
      </c>
      <c r="H794" s="34">
        <v>239.13952599999999</v>
      </c>
      <c r="I794" s="29">
        <v>2355900</v>
      </c>
      <c r="P794" s="125"/>
      <c r="Q794" s="34"/>
      <c r="R794" s="115"/>
      <c r="S794" s="34"/>
      <c r="T794" s="34"/>
      <c r="U794" s="34"/>
      <c r="V794" s="29"/>
    </row>
    <row r="795" spans="3:22">
      <c r="C795" s="125">
        <v>44930</v>
      </c>
      <c r="D795" s="34">
        <v>86.55</v>
      </c>
      <c r="E795" s="115">
        <v>86.98</v>
      </c>
      <c r="F795" s="34">
        <v>83.36</v>
      </c>
      <c r="G795" s="34">
        <v>85.14</v>
      </c>
      <c r="H795" s="34">
        <v>85.14</v>
      </c>
      <c r="I795" s="29">
        <v>68885100</v>
      </c>
      <c r="P795" s="125"/>
      <c r="Q795" s="34"/>
      <c r="R795" s="115"/>
      <c r="S795" s="34"/>
      <c r="T795" s="34"/>
      <c r="U795" s="34"/>
      <c r="V795" s="29"/>
    </row>
    <row r="796" spans="3:22">
      <c r="C796" s="125">
        <v>44930</v>
      </c>
      <c r="D796" s="34">
        <v>240</v>
      </c>
      <c r="E796" s="115">
        <v>242.13000500000001</v>
      </c>
      <c r="F796" s="34">
        <v>238.550003</v>
      </c>
      <c r="G796" s="34">
        <v>241.36000100000001</v>
      </c>
      <c r="H796" s="34">
        <v>240.21440100000001</v>
      </c>
      <c r="I796" s="29">
        <v>2387900</v>
      </c>
      <c r="P796" s="125"/>
      <c r="Q796" s="34"/>
      <c r="R796" s="115"/>
      <c r="S796" s="34"/>
      <c r="T796" s="34"/>
      <c r="U796" s="34"/>
      <c r="V796" s="29"/>
    </row>
    <row r="797" spans="3:22">
      <c r="C797" s="125">
        <v>44929</v>
      </c>
      <c r="D797" s="34">
        <v>85.46</v>
      </c>
      <c r="E797" s="115">
        <v>86.96</v>
      </c>
      <c r="F797" s="34">
        <v>84.21</v>
      </c>
      <c r="G797" s="34">
        <v>85.82</v>
      </c>
      <c r="H797" s="34">
        <v>85.82</v>
      </c>
      <c r="I797" s="29">
        <v>76706000</v>
      </c>
      <c r="P797" s="125"/>
      <c r="Q797" s="34"/>
      <c r="R797" s="115"/>
      <c r="S797" s="34"/>
      <c r="T797" s="34"/>
      <c r="U797" s="34"/>
      <c r="V797" s="29"/>
    </row>
    <row r="798" spans="3:22">
      <c r="C798" s="125">
        <v>44929</v>
      </c>
      <c r="D798" s="34">
        <v>240.679993</v>
      </c>
      <c r="E798" s="115">
        <v>240.679993</v>
      </c>
      <c r="F798" s="34">
        <v>236.199997</v>
      </c>
      <c r="G798" s="34">
        <v>238.88000500000001</v>
      </c>
      <c r="H798" s="34">
        <v>237.74617000000001</v>
      </c>
      <c r="I798" s="29">
        <v>2651900</v>
      </c>
      <c r="P798" s="125"/>
      <c r="Q798" s="34"/>
      <c r="R798" s="115"/>
      <c r="S798" s="34"/>
      <c r="T798" s="34"/>
      <c r="U798" s="34"/>
      <c r="V798" s="29"/>
    </row>
    <row r="799" spans="3:22">
      <c r="C799" s="125">
        <v>44925</v>
      </c>
      <c r="D799" s="34">
        <v>83.12</v>
      </c>
      <c r="E799" s="115">
        <v>84.05</v>
      </c>
      <c r="F799" s="34">
        <v>82.47</v>
      </c>
      <c r="G799" s="34">
        <v>84</v>
      </c>
      <c r="H799" s="34">
        <v>84</v>
      </c>
      <c r="I799" s="29">
        <v>62401200</v>
      </c>
      <c r="P799" s="125"/>
      <c r="Q799" s="34"/>
      <c r="R799" s="115"/>
      <c r="S799" s="34"/>
      <c r="T799" s="34"/>
      <c r="U799" s="34"/>
      <c r="V799" s="29"/>
    </row>
    <row r="800" spans="3:22">
      <c r="C800" s="125">
        <v>44925</v>
      </c>
      <c r="D800" s="34">
        <v>239.38999899999999</v>
      </c>
      <c r="E800" s="115">
        <v>240.16000399999999</v>
      </c>
      <c r="F800" s="34">
        <v>237.699997</v>
      </c>
      <c r="G800" s="34">
        <v>239.55999800000001</v>
      </c>
      <c r="H800" s="34">
        <v>238.422943</v>
      </c>
      <c r="I800" s="29">
        <v>1521100</v>
      </c>
      <c r="P800" s="125"/>
      <c r="Q800" s="34"/>
      <c r="R800" s="115"/>
      <c r="S800" s="34"/>
      <c r="T800" s="34"/>
      <c r="U800" s="34"/>
      <c r="V800" s="29"/>
    </row>
    <row r="801" spans="3:22">
      <c r="C801" s="125">
        <v>44924</v>
      </c>
      <c r="D801" s="34">
        <v>82.87</v>
      </c>
      <c r="E801" s="115">
        <v>84.55</v>
      </c>
      <c r="F801" s="34">
        <v>82.55</v>
      </c>
      <c r="G801" s="34">
        <v>84.18</v>
      </c>
      <c r="H801" s="34">
        <v>84.18</v>
      </c>
      <c r="I801" s="29">
        <v>54995900</v>
      </c>
      <c r="P801" s="125"/>
      <c r="Q801" s="34"/>
      <c r="R801" s="115"/>
      <c r="S801" s="34"/>
      <c r="T801" s="34"/>
      <c r="U801" s="34"/>
      <c r="V801" s="29"/>
    </row>
    <row r="802" spans="3:22">
      <c r="C802" s="125">
        <v>44924</v>
      </c>
      <c r="D802" s="34">
        <v>241.21000699999999</v>
      </c>
      <c r="E802" s="115">
        <v>241.61000100000001</v>
      </c>
      <c r="F802" s="34">
        <v>238.270004</v>
      </c>
      <c r="G802" s="34">
        <v>240.199997</v>
      </c>
      <c r="H802" s="34">
        <v>239.05990600000001</v>
      </c>
      <c r="I802" s="29">
        <v>1652500</v>
      </c>
      <c r="P802" s="125"/>
      <c r="Q802" s="34"/>
      <c r="R802" s="115"/>
      <c r="S802" s="34"/>
      <c r="T802" s="34"/>
      <c r="U802" s="34"/>
      <c r="V802" s="29"/>
    </row>
    <row r="803" spans="3:22">
      <c r="C803" s="125">
        <v>44923</v>
      </c>
      <c r="D803" s="34">
        <v>82.8</v>
      </c>
      <c r="E803" s="115">
        <v>83.48</v>
      </c>
      <c r="F803" s="34">
        <v>81.69</v>
      </c>
      <c r="G803" s="34">
        <v>81.819999999999993</v>
      </c>
      <c r="H803" s="34">
        <v>81.819999999999993</v>
      </c>
      <c r="I803" s="29">
        <v>58228600</v>
      </c>
      <c r="P803" s="125"/>
      <c r="Q803" s="34"/>
      <c r="R803" s="115"/>
      <c r="S803" s="34"/>
      <c r="T803" s="34"/>
      <c r="U803" s="34"/>
      <c r="V803" s="29"/>
    </row>
    <row r="804" spans="3:22">
      <c r="C804" s="125">
        <v>44923</v>
      </c>
      <c r="D804" s="34">
        <v>243.13999899999999</v>
      </c>
      <c r="E804" s="115">
        <v>243.820007</v>
      </c>
      <c r="F804" s="34">
        <v>238.279999</v>
      </c>
      <c r="G804" s="34">
        <v>239.38000500000001</v>
      </c>
      <c r="H804" s="34">
        <v>238.24380500000001</v>
      </c>
      <c r="I804" s="29">
        <v>2270000</v>
      </c>
      <c r="P804" s="125"/>
      <c r="Q804" s="34"/>
      <c r="R804" s="115"/>
      <c r="S804" s="34"/>
      <c r="T804" s="34"/>
      <c r="U804" s="34"/>
      <c r="V804" s="29"/>
    </row>
    <row r="805" spans="3:22">
      <c r="C805" s="125">
        <v>44922</v>
      </c>
      <c r="D805" s="34">
        <v>84.97</v>
      </c>
      <c r="E805" s="115">
        <v>85.35</v>
      </c>
      <c r="F805" s="34">
        <v>83</v>
      </c>
      <c r="G805" s="34">
        <v>83.04</v>
      </c>
      <c r="H805" s="34">
        <v>83.04</v>
      </c>
      <c r="I805" s="29">
        <v>57284000</v>
      </c>
      <c r="P805" s="125"/>
      <c r="Q805" s="34"/>
      <c r="R805" s="115"/>
      <c r="S805" s="34"/>
      <c r="T805" s="34"/>
      <c r="U805" s="34"/>
      <c r="V805" s="29"/>
    </row>
    <row r="806" spans="3:22">
      <c r="C806" s="125">
        <v>44922</v>
      </c>
      <c r="D806" s="34">
        <v>240.69000199999999</v>
      </c>
      <c r="E806" s="115">
        <v>245.050003</v>
      </c>
      <c r="F806" s="34">
        <v>239.720001</v>
      </c>
      <c r="G806" s="34">
        <v>243.13999899999999</v>
      </c>
      <c r="H806" s="34">
        <v>241.98594700000001</v>
      </c>
      <c r="I806" s="29">
        <v>3381500</v>
      </c>
      <c r="P806" s="125"/>
      <c r="Q806" s="34"/>
      <c r="R806" s="115"/>
      <c r="S806" s="34"/>
      <c r="T806" s="34"/>
      <c r="U806" s="34"/>
      <c r="V806" s="29"/>
    </row>
    <row r="807" spans="3:22">
      <c r="C807" s="125">
        <v>44918</v>
      </c>
      <c r="D807" s="34">
        <v>83.25</v>
      </c>
      <c r="E807" s="115">
        <v>85.78</v>
      </c>
      <c r="F807" s="34">
        <v>82.93</v>
      </c>
      <c r="G807" s="34">
        <v>85.25</v>
      </c>
      <c r="H807" s="34">
        <v>85.25</v>
      </c>
      <c r="I807" s="29">
        <v>57433700</v>
      </c>
      <c r="P807" s="125"/>
      <c r="Q807" s="34"/>
      <c r="R807" s="115"/>
      <c r="S807" s="34"/>
      <c r="T807" s="34"/>
      <c r="U807" s="34"/>
      <c r="V807" s="29"/>
    </row>
    <row r="808" spans="3:22">
      <c r="C808" s="125">
        <v>44918</v>
      </c>
      <c r="D808" s="34">
        <v>236.949997</v>
      </c>
      <c r="E808" s="115">
        <v>240.53999300000001</v>
      </c>
      <c r="F808" s="34">
        <v>236.5</v>
      </c>
      <c r="G808" s="34">
        <v>239.86999499999999</v>
      </c>
      <c r="H808" s="34">
        <v>238.731461</v>
      </c>
      <c r="I808" s="29">
        <v>1959900</v>
      </c>
      <c r="P808" s="125"/>
      <c r="Q808" s="34"/>
      <c r="R808" s="115"/>
      <c r="S808" s="34"/>
      <c r="T808" s="34"/>
      <c r="U808" s="34"/>
      <c r="V808" s="29"/>
    </row>
    <row r="809" spans="3:22">
      <c r="C809" s="125">
        <v>44917</v>
      </c>
      <c r="D809" s="34">
        <v>85.52</v>
      </c>
      <c r="E809" s="115">
        <v>85.68</v>
      </c>
      <c r="F809" s="34">
        <v>82.25</v>
      </c>
      <c r="G809" s="34">
        <v>83.79</v>
      </c>
      <c r="H809" s="34">
        <v>83.79</v>
      </c>
      <c r="I809" s="29">
        <v>81431300</v>
      </c>
      <c r="P809" s="125"/>
      <c r="Q809" s="34"/>
      <c r="R809" s="115"/>
      <c r="S809" s="34"/>
      <c r="T809" s="34"/>
      <c r="U809" s="34"/>
      <c r="V809" s="29"/>
    </row>
    <row r="810" spans="3:22">
      <c r="C810" s="125">
        <v>44917</v>
      </c>
      <c r="D810" s="34">
        <v>240.14999399999999</v>
      </c>
      <c r="E810" s="115">
        <v>240.800003</v>
      </c>
      <c r="F810" s="34">
        <v>233.03999300000001</v>
      </c>
      <c r="G810" s="34">
        <v>237.53999300000001</v>
      </c>
      <c r="H810" s="34">
        <v>236.412521</v>
      </c>
      <c r="I810" s="29">
        <v>3129900</v>
      </c>
      <c r="P810" s="125"/>
      <c r="Q810" s="34"/>
      <c r="R810" s="115"/>
      <c r="S810" s="34"/>
      <c r="T810" s="34"/>
      <c r="U810" s="34"/>
      <c r="V810" s="29"/>
    </row>
    <row r="811" spans="3:22">
      <c r="C811" s="125">
        <v>44916</v>
      </c>
      <c r="D811" s="34">
        <v>86.18</v>
      </c>
      <c r="E811" s="115">
        <v>87.23</v>
      </c>
      <c r="F811" s="34">
        <v>85.21</v>
      </c>
      <c r="G811" s="34">
        <v>86.77</v>
      </c>
      <c r="H811" s="34">
        <v>86.77</v>
      </c>
      <c r="I811" s="29">
        <v>59267200</v>
      </c>
      <c r="P811" s="125"/>
      <c r="Q811" s="34"/>
      <c r="R811" s="115"/>
      <c r="S811" s="34"/>
      <c r="T811" s="34"/>
      <c r="U811" s="34"/>
      <c r="V811" s="29"/>
    </row>
    <row r="812" spans="3:22">
      <c r="C812" s="125">
        <v>44916</v>
      </c>
      <c r="D812" s="34">
        <v>237.66000399999999</v>
      </c>
      <c r="E812" s="115">
        <v>241.91000399999999</v>
      </c>
      <c r="F812" s="34">
        <v>237.66000399999999</v>
      </c>
      <c r="G812" s="34">
        <v>241.729996</v>
      </c>
      <c r="H812" s="34">
        <v>240.58264199999999</v>
      </c>
      <c r="I812" s="29">
        <v>4143600</v>
      </c>
      <c r="P812" s="125"/>
      <c r="Q812" s="34"/>
      <c r="R812" s="115"/>
      <c r="S812" s="34"/>
      <c r="T812" s="34"/>
      <c r="U812" s="34"/>
      <c r="V812" s="29"/>
    </row>
    <row r="813" spans="3:22">
      <c r="C813" s="125">
        <v>44915</v>
      </c>
      <c r="D813" s="34">
        <v>85.33</v>
      </c>
      <c r="E813" s="115">
        <v>86.61</v>
      </c>
      <c r="F813" s="34">
        <v>84.33</v>
      </c>
      <c r="G813" s="34">
        <v>85.19</v>
      </c>
      <c r="H813" s="34">
        <v>85.19</v>
      </c>
      <c r="I813" s="29">
        <v>74348300</v>
      </c>
      <c r="P813" s="125"/>
      <c r="Q813" s="34"/>
      <c r="R813" s="115"/>
      <c r="S813" s="34"/>
      <c r="T813" s="34"/>
      <c r="U813" s="34"/>
      <c r="V813" s="29"/>
    </row>
    <row r="814" spans="3:22">
      <c r="C814" s="125">
        <v>44915</v>
      </c>
      <c r="D814" s="34">
        <v>232.44000199999999</v>
      </c>
      <c r="E814" s="115">
        <v>235.720001</v>
      </c>
      <c r="F814" s="34">
        <v>231.86000100000001</v>
      </c>
      <c r="G814" s="34">
        <v>235.13999899999999</v>
      </c>
      <c r="H814" s="34">
        <v>234.02392599999999</v>
      </c>
      <c r="I814" s="29">
        <v>2649900</v>
      </c>
      <c r="P814" s="125"/>
      <c r="Q814" s="34"/>
      <c r="R814" s="115"/>
      <c r="S814" s="34"/>
      <c r="T814" s="34"/>
      <c r="U814" s="34"/>
      <c r="V814" s="29"/>
    </row>
    <row r="815" spans="3:22">
      <c r="C815" s="125">
        <v>44914</v>
      </c>
      <c r="D815" s="34">
        <v>87.51</v>
      </c>
      <c r="E815" s="115">
        <v>87.63</v>
      </c>
      <c r="F815" s="34">
        <v>84.51</v>
      </c>
      <c r="G815" s="34">
        <v>84.92</v>
      </c>
      <c r="H815" s="34">
        <v>84.92</v>
      </c>
      <c r="I815" s="29">
        <v>83531500</v>
      </c>
      <c r="P815" s="125"/>
      <c r="Q815" s="34"/>
      <c r="R815" s="115"/>
      <c r="S815" s="34"/>
      <c r="T815" s="34"/>
      <c r="U815" s="34"/>
      <c r="V815" s="29"/>
    </row>
    <row r="816" spans="3:22">
      <c r="C816" s="125">
        <v>44914</v>
      </c>
      <c r="D816" s="34">
        <v>233.89999399999999</v>
      </c>
      <c r="E816" s="115">
        <v>236.929993</v>
      </c>
      <c r="F816" s="34">
        <v>230.929993</v>
      </c>
      <c r="G816" s="34">
        <v>232.28999300000001</v>
      </c>
      <c r="H816" s="34">
        <v>231.18743900000001</v>
      </c>
      <c r="I816" s="29">
        <v>2622400</v>
      </c>
      <c r="P816" s="125"/>
      <c r="Q816" s="34"/>
      <c r="R816" s="115"/>
      <c r="S816" s="34"/>
      <c r="T816" s="34"/>
      <c r="U816" s="34"/>
      <c r="V816" s="29"/>
    </row>
    <row r="817" spans="3:22">
      <c r="C817" s="125">
        <v>44911</v>
      </c>
      <c r="D817" s="34">
        <v>88.27</v>
      </c>
      <c r="E817" s="115">
        <v>89.35</v>
      </c>
      <c r="F817" s="34">
        <v>86.73</v>
      </c>
      <c r="G817" s="34">
        <v>87.86</v>
      </c>
      <c r="H817" s="34">
        <v>87.86</v>
      </c>
      <c r="I817" s="29">
        <v>146144100</v>
      </c>
      <c r="P817" s="125"/>
      <c r="Q817" s="34"/>
      <c r="R817" s="115"/>
      <c r="S817" s="34"/>
      <c r="T817" s="34"/>
      <c r="U817" s="34"/>
      <c r="V817" s="29"/>
    </row>
    <row r="818" spans="3:22">
      <c r="C818" s="125">
        <v>44911</v>
      </c>
      <c r="D818" s="34">
        <v>228.63000500000001</v>
      </c>
      <c r="E818" s="115">
        <v>233.220001</v>
      </c>
      <c r="F818" s="34">
        <v>228.050003</v>
      </c>
      <c r="G818" s="34">
        <v>232.720001</v>
      </c>
      <c r="H818" s="34">
        <v>231.61541700000001</v>
      </c>
      <c r="I818" s="29">
        <v>7610700</v>
      </c>
      <c r="P818" s="125"/>
      <c r="Q818" s="34"/>
      <c r="R818" s="115"/>
      <c r="S818" s="34"/>
      <c r="T818" s="34"/>
      <c r="U818" s="34"/>
      <c r="V818" s="29"/>
    </row>
    <row r="819" spans="3:22">
      <c r="C819" s="125">
        <v>44910</v>
      </c>
      <c r="D819" s="34">
        <v>89.89</v>
      </c>
      <c r="E819" s="115">
        <v>89.97</v>
      </c>
      <c r="F819" s="34">
        <v>87.47</v>
      </c>
      <c r="G819" s="34">
        <v>88.45</v>
      </c>
      <c r="H819" s="34">
        <v>88.45</v>
      </c>
      <c r="I819" s="29">
        <v>84802900</v>
      </c>
      <c r="P819" s="125"/>
      <c r="Q819" s="34"/>
      <c r="R819" s="115"/>
      <c r="S819" s="34"/>
      <c r="T819" s="34"/>
      <c r="U819" s="34"/>
      <c r="V819" s="29"/>
    </row>
    <row r="820" spans="3:22">
      <c r="C820" s="125">
        <v>44910</v>
      </c>
      <c r="D820" s="34">
        <v>232.16000399999999</v>
      </c>
      <c r="E820" s="115">
        <v>232.929993</v>
      </c>
      <c r="F820" s="34">
        <v>227.720001</v>
      </c>
      <c r="G820" s="34">
        <v>230.66000399999999</v>
      </c>
      <c r="H820" s="34">
        <v>229.56518600000001</v>
      </c>
      <c r="I820" s="29">
        <v>2953200</v>
      </c>
      <c r="P820" s="125"/>
      <c r="Q820" s="34"/>
      <c r="R820" s="115"/>
      <c r="S820" s="34"/>
      <c r="T820" s="34"/>
      <c r="U820" s="34"/>
      <c r="V820" s="29"/>
    </row>
    <row r="821" spans="3:22">
      <c r="C821" s="125">
        <v>44909</v>
      </c>
      <c r="D821" s="34">
        <v>92.5</v>
      </c>
      <c r="E821" s="115">
        <v>93.46</v>
      </c>
      <c r="F821" s="34">
        <v>89.87</v>
      </c>
      <c r="G821" s="34">
        <v>91.58</v>
      </c>
      <c r="H821" s="34">
        <v>91.58</v>
      </c>
      <c r="I821" s="29">
        <v>70298000</v>
      </c>
      <c r="P821" s="125"/>
      <c r="Q821" s="34"/>
      <c r="R821" s="115"/>
      <c r="S821" s="34"/>
      <c r="T821" s="34"/>
      <c r="U821" s="34"/>
      <c r="V821" s="29"/>
    </row>
    <row r="822" spans="3:22">
      <c r="C822" s="125">
        <v>44909</v>
      </c>
      <c r="D822" s="34">
        <v>236.05999800000001</v>
      </c>
      <c r="E822" s="115">
        <v>238.220001</v>
      </c>
      <c r="F822" s="34">
        <v>233.11999499999999</v>
      </c>
      <c r="G822" s="34">
        <v>234.479996</v>
      </c>
      <c r="H822" s="34">
        <v>233.36705000000001</v>
      </c>
      <c r="I822" s="29">
        <v>3513800</v>
      </c>
      <c r="P822" s="125"/>
      <c r="Q822" s="34"/>
      <c r="R822" s="115"/>
      <c r="S822" s="34"/>
      <c r="T822" s="34"/>
      <c r="U822" s="34"/>
      <c r="V822" s="29"/>
    </row>
    <row r="823" spans="3:22">
      <c r="C823" s="125">
        <v>44908</v>
      </c>
      <c r="D823" s="34">
        <v>95.23</v>
      </c>
      <c r="E823" s="115">
        <v>96.25</v>
      </c>
      <c r="F823" s="34">
        <v>90.52</v>
      </c>
      <c r="G823" s="34">
        <v>92.49</v>
      </c>
      <c r="H823" s="34">
        <v>92.49</v>
      </c>
      <c r="I823" s="29">
        <v>100212000</v>
      </c>
      <c r="P823" s="125"/>
      <c r="Q823" s="34"/>
      <c r="R823" s="115"/>
      <c r="S823" s="34"/>
      <c r="T823" s="34"/>
      <c r="U823" s="34"/>
      <c r="V823" s="29"/>
    </row>
    <row r="824" spans="3:22">
      <c r="C824" s="125">
        <v>44908</v>
      </c>
      <c r="D824" s="34">
        <v>237.820007</v>
      </c>
      <c r="E824" s="115">
        <v>237.91999799999999</v>
      </c>
      <c r="F824" s="34">
        <v>232.13000500000001</v>
      </c>
      <c r="G824" s="34">
        <v>235.490005</v>
      </c>
      <c r="H824" s="34">
        <v>234.37226899999999</v>
      </c>
      <c r="I824" s="29">
        <v>2945200</v>
      </c>
      <c r="P824" s="125"/>
      <c r="Q824" s="34"/>
      <c r="R824" s="115"/>
      <c r="S824" s="34"/>
      <c r="T824" s="34"/>
      <c r="U824" s="34"/>
      <c r="V824" s="29"/>
    </row>
    <row r="825" spans="3:22">
      <c r="C825" s="125">
        <v>44907</v>
      </c>
      <c r="D825" s="34">
        <v>89.21</v>
      </c>
      <c r="E825" s="115">
        <v>90.58</v>
      </c>
      <c r="F825" s="34">
        <v>87.87</v>
      </c>
      <c r="G825" s="34">
        <v>90.55</v>
      </c>
      <c r="H825" s="34">
        <v>90.55</v>
      </c>
      <c r="I825" s="29">
        <v>61999800</v>
      </c>
      <c r="P825" s="125"/>
      <c r="Q825" s="34"/>
      <c r="R825" s="115"/>
      <c r="S825" s="34"/>
      <c r="T825" s="34"/>
      <c r="U825" s="34"/>
      <c r="V825" s="29"/>
    </row>
    <row r="826" spans="3:22">
      <c r="C826" s="125">
        <v>44907</v>
      </c>
      <c r="D826" s="34">
        <v>227.550003</v>
      </c>
      <c r="E826" s="115">
        <v>233.39999399999999</v>
      </c>
      <c r="F826" s="34">
        <v>227.020004</v>
      </c>
      <c r="G826" s="34">
        <v>233.05999800000001</v>
      </c>
      <c r="H826" s="34">
        <v>231.95379600000001</v>
      </c>
      <c r="I826" s="29">
        <v>2709200</v>
      </c>
      <c r="P826" s="125"/>
      <c r="Q826" s="34"/>
      <c r="R826" s="115"/>
      <c r="S826" s="34"/>
      <c r="T826" s="34"/>
      <c r="U826" s="34"/>
      <c r="V826" s="29"/>
    </row>
    <row r="827" spans="3:22">
      <c r="C827" s="125">
        <v>44904</v>
      </c>
      <c r="D827" s="34">
        <v>88.9</v>
      </c>
      <c r="E827" s="115">
        <v>90.3</v>
      </c>
      <c r="F827" s="34">
        <v>88.63</v>
      </c>
      <c r="G827" s="34">
        <v>89.09</v>
      </c>
      <c r="H827" s="34">
        <v>89.09</v>
      </c>
      <c r="I827" s="29">
        <v>67398500</v>
      </c>
      <c r="P827" s="125"/>
      <c r="Q827" s="34"/>
      <c r="R827" s="115"/>
      <c r="S827" s="34"/>
      <c r="T827" s="34"/>
      <c r="U827" s="34"/>
      <c r="V827" s="29"/>
    </row>
    <row r="828" spans="3:22">
      <c r="C828" s="125">
        <v>44904</v>
      </c>
      <c r="D828" s="34">
        <v>232</v>
      </c>
      <c r="E828" s="115">
        <v>232.80999800000001</v>
      </c>
      <c r="F828" s="34">
        <v>227.19000199999999</v>
      </c>
      <c r="G828" s="34">
        <v>227.28999300000001</v>
      </c>
      <c r="H828" s="34">
        <v>226.21118200000001</v>
      </c>
      <c r="I828" s="29">
        <v>2257000</v>
      </c>
      <c r="P828" s="125"/>
      <c r="Q828" s="34"/>
      <c r="R828" s="115"/>
      <c r="S828" s="34"/>
      <c r="T828" s="34"/>
      <c r="U828" s="34"/>
      <c r="V828" s="29"/>
    </row>
    <row r="829" spans="3:22">
      <c r="C829" s="125">
        <v>44903</v>
      </c>
      <c r="D829" s="34">
        <v>89.24</v>
      </c>
      <c r="E829" s="115">
        <v>90.86</v>
      </c>
      <c r="F829" s="34">
        <v>87.88</v>
      </c>
      <c r="G829" s="34">
        <v>90.35</v>
      </c>
      <c r="H829" s="34">
        <v>90.35</v>
      </c>
      <c r="I829" s="29">
        <v>73305900</v>
      </c>
      <c r="P829" s="125"/>
      <c r="Q829" s="34"/>
      <c r="R829" s="115"/>
      <c r="S829" s="34"/>
      <c r="T829" s="34"/>
      <c r="U829" s="34"/>
      <c r="V829" s="29"/>
    </row>
    <row r="830" spans="3:22">
      <c r="C830" s="125">
        <v>44903</v>
      </c>
      <c r="D830" s="34">
        <v>230.91000399999999</v>
      </c>
      <c r="E830" s="115">
        <v>232.5</v>
      </c>
      <c r="F830" s="34">
        <v>229.53999300000001</v>
      </c>
      <c r="G830" s="34">
        <v>230.91999799999999</v>
      </c>
      <c r="H830" s="34">
        <v>229.82394400000001</v>
      </c>
      <c r="I830" s="29">
        <v>2189400</v>
      </c>
      <c r="P830" s="125"/>
      <c r="Q830" s="34"/>
      <c r="R830" s="115"/>
      <c r="S830" s="34"/>
      <c r="T830" s="34"/>
      <c r="U830" s="34"/>
      <c r="V830" s="29"/>
    </row>
    <row r="831" spans="3:22">
      <c r="C831" s="125">
        <v>44902</v>
      </c>
      <c r="D831" s="34">
        <v>88.34</v>
      </c>
      <c r="E831" s="115">
        <v>89.89</v>
      </c>
      <c r="F831" s="34">
        <v>87.48</v>
      </c>
      <c r="G831" s="34">
        <v>88.46</v>
      </c>
      <c r="H831" s="34">
        <v>88.46</v>
      </c>
      <c r="I831" s="29">
        <v>68086900</v>
      </c>
      <c r="P831" s="125"/>
      <c r="Q831" s="34"/>
      <c r="R831" s="115"/>
      <c r="S831" s="34"/>
      <c r="T831" s="34"/>
      <c r="U831" s="34"/>
      <c r="V831" s="29"/>
    </row>
    <row r="832" spans="3:22">
      <c r="C832" s="125">
        <v>44902</v>
      </c>
      <c r="D832" s="34">
        <v>227</v>
      </c>
      <c r="E832" s="115">
        <v>229.83999600000001</v>
      </c>
      <c r="F832" s="34">
        <v>225.779999</v>
      </c>
      <c r="G832" s="34">
        <v>228.979996</v>
      </c>
      <c r="H832" s="34">
        <v>227.893158</v>
      </c>
      <c r="I832" s="29">
        <v>3044000</v>
      </c>
      <c r="P832" s="125"/>
      <c r="Q832" s="34"/>
      <c r="R832" s="115"/>
      <c r="S832" s="34"/>
      <c r="T832" s="34"/>
      <c r="U832" s="34"/>
      <c r="V832" s="29"/>
    </row>
    <row r="833" spans="3:22">
      <c r="C833" s="125">
        <v>44901</v>
      </c>
      <c r="D833" s="34">
        <v>90.5</v>
      </c>
      <c r="E833" s="115">
        <v>91.04</v>
      </c>
      <c r="F833" s="34">
        <v>87.9</v>
      </c>
      <c r="G833" s="34">
        <v>88.25</v>
      </c>
      <c r="H833" s="34">
        <v>88.25</v>
      </c>
      <c r="I833" s="29">
        <v>75503600</v>
      </c>
      <c r="P833" s="125"/>
      <c r="Q833" s="34"/>
      <c r="R833" s="115"/>
      <c r="S833" s="34"/>
      <c r="T833" s="34"/>
      <c r="U833" s="34"/>
      <c r="V833" s="29"/>
    </row>
    <row r="834" spans="3:22">
      <c r="C834" s="125">
        <v>44901</v>
      </c>
      <c r="D834" s="34">
        <v>232.58999600000001</v>
      </c>
      <c r="E834" s="115">
        <v>233.050003</v>
      </c>
      <c r="F834" s="34">
        <v>225.55999800000001</v>
      </c>
      <c r="G834" s="34">
        <v>228.28999300000001</v>
      </c>
      <c r="H834" s="34">
        <v>227.206436</v>
      </c>
      <c r="I834" s="29">
        <v>3633800</v>
      </c>
      <c r="P834" s="125"/>
      <c r="Q834" s="34"/>
      <c r="R834" s="115"/>
      <c r="S834" s="34"/>
      <c r="T834" s="34"/>
      <c r="U834" s="34"/>
      <c r="V834" s="29"/>
    </row>
    <row r="835" spans="3:22">
      <c r="C835" s="125">
        <v>44900</v>
      </c>
      <c r="D835" s="34">
        <v>93.05</v>
      </c>
      <c r="E835" s="115">
        <v>94.06</v>
      </c>
      <c r="F835" s="34">
        <v>90.82</v>
      </c>
      <c r="G835" s="34">
        <v>91.01</v>
      </c>
      <c r="H835" s="34">
        <v>91.01</v>
      </c>
      <c r="I835" s="29">
        <v>71535500</v>
      </c>
      <c r="P835" s="125"/>
      <c r="Q835" s="34"/>
      <c r="R835" s="115"/>
      <c r="S835" s="34"/>
      <c r="T835" s="34"/>
      <c r="U835" s="34"/>
      <c r="V835" s="29"/>
    </row>
    <row r="836" spans="3:22">
      <c r="C836" s="125">
        <v>44900</v>
      </c>
      <c r="D836" s="34">
        <v>234.800003</v>
      </c>
      <c r="E836" s="115">
        <v>235.91000399999999</v>
      </c>
      <c r="F836" s="34">
        <v>232.259995</v>
      </c>
      <c r="G836" s="34">
        <v>232.570007</v>
      </c>
      <c r="H836" s="34">
        <v>231.46612500000001</v>
      </c>
      <c r="I836" s="29">
        <v>2064500</v>
      </c>
      <c r="P836" s="125"/>
      <c r="Q836" s="34"/>
      <c r="R836" s="115"/>
      <c r="S836" s="34"/>
      <c r="T836" s="34"/>
      <c r="U836" s="34"/>
      <c r="V836" s="29"/>
    </row>
    <row r="837" spans="3:22">
      <c r="C837" s="125">
        <v>44897</v>
      </c>
      <c r="D837" s="34">
        <v>94.48</v>
      </c>
      <c r="E837" s="115">
        <v>95.36</v>
      </c>
      <c r="F837" s="34">
        <v>93.78</v>
      </c>
      <c r="G837" s="34">
        <v>94.13</v>
      </c>
      <c r="H837" s="34">
        <v>94.13</v>
      </c>
      <c r="I837" s="29">
        <v>72496400</v>
      </c>
      <c r="P837" s="125"/>
      <c r="Q837" s="34"/>
      <c r="R837" s="115"/>
      <c r="S837" s="34"/>
      <c r="T837" s="34"/>
      <c r="U837" s="34"/>
      <c r="V837" s="29"/>
    </row>
    <row r="838" spans="3:22">
      <c r="C838" s="125">
        <v>44897</v>
      </c>
      <c r="D838" s="34">
        <v>233.88999899999999</v>
      </c>
      <c r="E838" s="115">
        <v>238.470001</v>
      </c>
      <c r="F838" s="34">
        <v>233.58999600000001</v>
      </c>
      <c r="G838" s="34">
        <v>236.13000500000001</v>
      </c>
      <c r="H838" s="34">
        <v>235.009232</v>
      </c>
      <c r="I838" s="29">
        <v>2218300</v>
      </c>
      <c r="P838" s="125"/>
      <c r="Q838" s="34"/>
      <c r="R838" s="115"/>
      <c r="S838" s="34"/>
      <c r="T838" s="34"/>
      <c r="U838" s="34"/>
      <c r="V838" s="29"/>
    </row>
    <row r="839" spans="3:22">
      <c r="C839" s="125">
        <v>44896</v>
      </c>
      <c r="D839" s="34">
        <v>96.99</v>
      </c>
      <c r="E839" s="115">
        <v>97.23</v>
      </c>
      <c r="F839" s="34">
        <v>94.92</v>
      </c>
      <c r="G839" s="34">
        <v>95.5</v>
      </c>
      <c r="H839" s="34">
        <v>95.5</v>
      </c>
      <c r="I839" s="29">
        <v>68488000</v>
      </c>
      <c r="P839" s="125"/>
      <c r="Q839" s="34"/>
      <c r="R839" s="115"/>
      <c r="S839" s="34"/>
      <c r="T839" s="34"/>
      <c r="U839" s="34"/>
      <c r="V839" s="29"/>
    </row>
    <row r="840" spans="3:22">
      <c r="C840" s="125">
        <v>44896</v>
      </c>
      <c r="D840" s="34">
        <v>236.89999399999999</v>
      </c>
      <c r="E840" s="115">
        <v>237</v>
      </c>
      <c r="F840" s="34">
        <v>231.94000199999999</v>
      </c>
      <c r="G840" s="34">
        <v>235.69000199999999</v>
      </c>
      <c r="H840" s="34">
        <v>234.57131999999999</v>
      </c>
      <c r="I840" s="29">
        <v>2504700</v>
      </c>
      <c r="P840" s="125"/>
      <c r="Q840" s="34"/>
      <c r="R840" s="115"/>
      <c r="S840" s="34"/>
      <c r="T840" s="34"/>
      <c r="U840" s="34"/>
      <c r="V840" s="29"/>
    </row>
    <row r="841" spans="3:22">
      <c r="C841" s="125">
        <v>44895</v>
      </c>
      <c r="D841" s="34">
        <v>92.47</v>
      </c>
      <c r="E841" s="115">
        <v>96.54</v>
      </c>
      <c r="F841" s="34">
        <v>91.53</v>
      </c>
      <c r="G841" s="34">
        <v>96.54</v>
      </c>
      <c r="H841" s="34">
        <v>96.54</v>
      </c>
      <c r="I841" s="29">
        <v>102805800</v>
      </c>
      <c r="P841" s="125"/>
      <c r="Q841" s="34"/>
      <c r="R841" s="115"/>
      <c r="S841" s="34"/>
      <c r="T841" s="34"/>
      <c r="U841" s="34"/>
      <c r="V841" s="29"/>
    </row>
    <row r="842" spans="3:22">
      <c r="C842" s="125">
        <v>44895</v>
      </c>
      <c r="D842" s="34">
        <v>235.89999399999999</v>
      </c>
      <c r="E842" s="115">
        <v>236.759995</v>
      </c>
      <c r="F842" s="34">
        <v>230.78999300000001</v>
      </c>
      <c r="G842" s="34">
        <v>236.41000399999999</v>
      </c>
      <c r="H842" s="34">
        <v>235.287903</v>
      </c>
      <c r="I842" s="29">
        <v>3850000</v>
      </c>
      <c r="P842" s="125"/>
      <c r="Q842" s="34"/>
      <c r="R842" s="115"/>
      <c r="S842" s="34"/>
      <c r="T842" s="34"/>
      <c r="U842" s="34"/>
      <c r="V842" s="29"/>
    </row>
    <row r="843" spans="3:22">
      <c r="C843" s="125">
        <v>44894</v>
      </c>
      <c r="D843" s="34">
        <v>94.04</v>
      </c>
      <c r="E843" s="115">
        <v>94.41</v>
      </c>
      <c r="F843" s="34">
        <v>91.44</v>
      </c>
      <c r="G843" s="34">
        <v>92.42</v>
      </c>
      <c r="H843" s="34">
        <v>92.42</v>
      </c>
      <c r="I843" s="29">
        <v>65567300</v>
      </c>
      <c r="P843" s="125"/>
      <c r="Q843" s="34"/>
      <c r="R843" s="115"/>
      <c r="S843" s="34"/>
      <c r="T843" s="34"/>
      <c r="U843" s="34"/>
      <c r="V843" s="29"/>
    </row>
    <row r="844" spans="3:22">
      <c r="C844" s="125">
        <v>44894</v>
      </c>
      <c r="D844" s="34">
        <v>233.300003</v>
      </c>
      <c r="E844" s="115">
        <v>235.729996</v>
      </c>
      <c r="F844" s="34">
        <v>231.550003</v>
      </c>
      <c r="G844" s="34">
        <v>235.11999499999999</v>
      </c>
      <c r="H844" s="34">
        <v>234.00401299999999</v>
      </c>
      <c r="I844" s="29">
        <v>2277900</v>
      </c>
      <c r="P844" s="125"/>
      <c r="Q844" s="34"/>
      <c r="R844" s="115"/>
      <c r="S844" s="34"/>
      <c r="T844" s="34"/>
      <c r="U844" s="34"/>
      <c r="V844" s="29"/>
    </row>
    <row r="845" spans="3:22">
      <c r="C845" s="125">
        <v>44893</v>
      </c>
      <c r="D845" s="34">
        <v>93.93</v>
      </c>
      <c r="E845" s="115">
        <v>96.4</v>
      </c>
      <c r="F845" s="34">
        <v>93.43</v>
      </c>
      <c r="G845" s="34">
        <v>93.95</v>
      </c>
      <c r="H845" s="34">
        <v>93.95</v>
      </c>
      <c r="I845" s="29">
        <v>74943100</v>
      </c>
      <c r="P845" s="125"/>
      <c r="Q845" s="34"/>
      <c r="R845" s="115"/>
      <c r="S845" s="34"/>
      <c r="T845" s="34"/>
      <c r="U845" s="34"/>
      <c r="V845" s="29"/>
    </row>
    <row r="846" spans="3:22">
      <c r="C846" s="125">
        <v>44893</v>
      </c>
      <c r="D846" s="34">
        <v>233.94000199999999</v>
      </c>
      <c r="E846" s="115">
        <v>234.96000699999999</v>
      </c>
      <c r="F846" s="34">
        <v>231.570007</v>
      </c>
      <c r="G846" s="34">
        <v>232.300003</v>
      </c>
      <c r="H846" s="34">
        <v>231.19740300000001</v>
      </c>
      <c r="I846" s="29">
        <v>2862100</v>
      </c>
      <c r="P846" s="125"/>
      <c r="Q846" s="34"/>
      <c r="R846" s="115"/>
      <c r="S846" s="34"/>
      <c r="T846" s="34"/>
      <c r="U846" s="34"/>
      <c r="V846" s="29"/>
    </row>
    <row r="847" spans="3:22">
      <c r="C847" s="125">
        <v>44890</v>
      </c>
      <c r="D847" s="34">
        <v>93.79</v>
      </c>
      <c r="E847" s="115">
        <v>94.43</v>
      </c>
      <c r="F847" s="34">
        <v>93.07</v>
      </c>
      <c r="G847" s="34">
        <v>93.41</v>
      </c>
      <c r="H847" s="34">
        <v>93.41</v>
      </c>
      <c r="I847" s="29">
        <v>35088600</v>
      </c>
      <c r="P847" s="125"/>
      <c r="Q847" s="34"/>
      <c r="R847" s="115"/>
      <c r="S847" s="34"/>
      <c r="T847" s="34"/>
      <c r="U847" s="34"/>
      <c r="V847" s="29"/>
    </row>
    <row r="848" spans="3:22">
      <c r="C848" s="125">
        <v>44890</v>
      </c>
      <c r="D848" s="34">
        <v>237</v>
      </c>
      <c r="E848" s="115">
        <v>237.490005</v>
      </c>
      <c r="F848" s="34">
        <v>235.19000199999999</v>
      </c>
      <c r="G848" s="34">
        <v>235.699997</v>
      </c>
      <c r="H848" s="34">
        <v>234.58126799999999</v>
      </c>
      <c r="I848" s="29">
        <v>1034800</v>
      </c>
      <c r="P848" s="125"/>
      <c r="Q848" s="34"/>
      <c r="R848" s="115"/>
      <c r="S848" s="34"/>
      <c r="T848" s="34"/>
      <c r="U848" s="34"/>
      <c r="V848" s="29"/>
    </row>
    <row r="849" spans="3:22">
      <c r="C849" s="125">
        <v>44888</v>
      </c>
      <c r="D849" s="34">
        <v>93.24</v>
      </c>
      <c r="E849" s="115">
        <v>94.58</v>
      </c>
      <c r="F849" s="34">
        <v>92.83</v>
      </c>
      <c r="G849" s="34">
        <v>94.13</v>
      </c>
      <c r="H849" s="34">
        <v>94.13</v>
      </c>
      <c r="I849" s="29">
        <v>59414700</v>
      </c>
      <c r="P849" s="125"/>
      <c r="Q849" s="34"/>
      <c r="R849" s="115"/>
      <c r="S849" s="34"/>
      <c r="T849" s="34"/>
      <c r="U849" s="34"/>
      <c r="V849" s="29"/>
    </row>
    <row r="850" spans="3:22">
      <c r="C850" s="125">
        <v>44888</v>
      </c>
      <c r="D850" s="34">
        <v>237.63000500000001</v>
      </c>
      <c r="E850" s="115">
        <v>239.63000500000001</v>
      </c>
      <c r="F850" s="34">
        <v>235.61000100000001</v>
      </c>
      <c r="G850" s="34">
        <v>236.91999799999999</v>
      </c>
      <c r="H850" s="34">
        <v>235.79547099999999</v>
      </c>
      <c r="I850" s="29">
        <v>2311300</v>
      </c>
      <c r="P850" s="125"/>
      <c r="Q850" s="34"/>
      <c r="R850" s="115"/>
      <c r="S850" s="34"/>
      <c r="T850" s="34"/>
      <c r="U850" s="34"/>
      <c r="V850" s="29"/>
    </row>
    <row r="851" spans="3:22">
      <c r="C851" s="125">
        <v>44887</v>
      </c>
      <c r="D851" s="34">
        <v>92.62</v>
      </c>
      <c r="E851" s="115">
        <v>93.35</v>
      </c>
      <c r="F851" s="34">
        <v>90.87</v>
      </c>
      <c r="G851" s="34">
        <v>93.2</v>
      </c>
      <c r="H851" s="34">
        <v>93.2</v>
      </c>
      <c r="I851" s="29">
        <v>62192000</v>
      </c>
      <c r="P851" s="125"/>
      <c r="Q851" s="34"/>
      <c r="R851" s="115"/>
      <c r="S851" s="34"/>
      <c r="T851" s="34"/>
      <c r="U851" s="34"/>
      <c r="V851" s="29"/>
    </row>
    <row r="852" spans="3:22">
      <c r="C852" s="125">
        <v>44887</v>
      </c>
      <c r="D852" s="34">
        <v>234</v>
      </c>
      <c r="E852" s="115">
        <v>237.479996</v>
      </c>
      <c r="F852" s="34">
        <v>233.36000100000001</v>
      </c>
      <c r="G852" s="34">
        <v>237.259995</v>
      </c>
      <c r="H852" s="34">
        <v>236.13385</v>
      </c>
      <c r="I852" s="29">
        <v>2523300</v>
      </c>
      <c r="P852" s="125"/>
      <c r="Q852" s="34"/>
      <c r="R852" s="115"/>
      <c r="S852" s="34"/>
      <c r="T852" s="34"/>
      <c r="U852" s="34"/>
      <c r="V852" s="29"/>
    </row>
    <row r="853" spans="3:22">
      <c r="C853" s="125">
        <v>44886</v>
      </c>
      <c r="D853" s="34">
        <v>93.97</v>
      </c>
      <c r="E853" s="115">
        <v>95.02</v>
      </c>
      <c r="F853" s="34">
        <v>90.59</v>
      </c>
      <c r="G853" s="34">
        <v>92.46</v>
      </c>
      <c r="H853" s="34">
        <v>92.46</v>
      </c>
      <c r="I853" s="29">
        <v>84330300</v>
      </c>
      <c r="P853" s="125"/>
      <c r="Q853" s="34"/>
      <c r="R853" s="115"/>
      <c r="S853" s="34"/>
      <c r="T853" s="34"/>
      <c r="U853" s="34"/>
      <c r="V853" s="29"/>
    </row>
    <row r="854" spans="3:22">
      <c r="C854" s="125">
        <v>44886</v>
      </c>
      <c r="D854" s="34">
        <v>231.550003</v>
      </c>
      <c r="E854" s="115">
        <v>233.66999799999999</v>
      </c>
      <c r="F854" s="34">
        <v>228.270004</v>
      </c>
      <c r="G854" s="34">
        <v>232.16999799999999</v>
      </c>
      <c r="H854" s="34">
        <v>231.06802400000001</v>
      </c>
      <c r="I854" s="29">
        <v>2522600</v>
      </c>
      <c r="P854" s="125"/>
      <c r="Q854" s="34"/>
      <c r="R854" s="115"/>
      <c r="S854" s="34"/>
      <c r="T854" s="34"/>
      <c r="U854" s="34"/>
      <c r="V854" s="29"/>
    </row>
    <row r="855" spans="3:22">
      <c r="C855" s="125">
        <v>44883</v>
      </c>
      <c r="D855" s="34">
        <v>95.95</v>
      </c>
      <c r="E855" s="115">
        <v>95.99</v>
      </c>
      <c r="F855" s="34">
        <v>92.48</v>
      </c>
      <c r="G855" s="34">
        <v>94.14</v>
      </c>
      <c r="H855" s="34">
        <v>94.14</v>
      </c>
      <c r="I855" s="29">
        <v>72428200</v>
      </c>
      <c r="P855" s="125"/>
      <c r="Q855" s="34"/>
      <c r="R855" s="115"/>
      <c r="S855" s="34"/>
      <c r="T855" s="34"/>
      <c r="U855" s="34"/>
      <c r="V855" s="29"/>
    </row>
    <row r="856" spans="3:22">
      <c r="C856" s="125">
        <v>44883</v>
      </c>
      <c r="D856" s="34">
        <v>230.85000600000001</v>
      </c>
      <c r="E856" s="115">
        <v>231.83999600000001</v>
      </c>
      <c r="F856" s="34">
        <v>227.63000500000001</v>
      </c>
      <c r="G856" s="34">
        <v>231.429993</v>
      </c>
      <c r="H856" s="34">
        <v>230.33152799999999</v>
      </c>
      <c r="I856" s="29">
        <v>2868700</v>
      </c>
      <c r="P856" s="125"/>
      <c r="Q856" s="34"/>
      <c r="R856" s="115"/>
      <c r="S856" s="34"/>
      <c r="T856" s="34"/>
      <c r="U856" s="34"/>
      <c r="V856" s="29"/>
    </row>
    <row r="857" spans="3:22">
      <c r="C857" s="125">
        <v>44882</v>
      </c>
      <c r="D857" s="34">
        <v>95.37</v>
      </c>
      <c r="E857" s="115">
        <v>96.97</v>
      </c>
      <c r="F857" s="34">
        <v>94.03</v>
      </c>
      <c r="G857" s="34">
        <v>94.85</v>
      </c>
      <c r="H857" s="34">
        <v>94.85</v>
      </c>
      <c r="I857" s="29">
        <v>82617900</v>
      </c>
      <c r="P857" s="125"/>
      <c r="Q857" s="34"/>
      <c r="R857" s="115"/>
      <c r="S857" s="34"/>
      <c r="T857" s="34"/>
      <c r="U857" s="34"/>
      <c r="V857" s="29"/>
    </row>
    <row r="858" spans="3:22">
      <c r="C858" s="125">
        <v>44882</v>
      </c>
      <c r="D858" s="34">
        <v>227.75</v>
      </c>
      <c r="E858" s="115">
        <v>230.529999</v>
      </c>
      <c r="F858" s="34">
        <v>225.509995</v>
      </c>
      <c r="G858" s="34">
        <v>230.44000199999999</v>
      </c>
      <c r="H858" s="34">
        <v>229.346237</v>
      </c>
      <c r="I858" s="29">
        <v>3256900</v>
      </c>
      <c r="P858" s="125"/>
      <c r="Q858" s="34"/>
      <c r="R858" s="115"/>
      <c r="S858" s="34"/>
      <c r="T858" s="34"/>
      <c r="U858" s="34"/>
      <c r="V858" s="29"/>
    </row>
    <row r="859" spans="3:22">
      <c r="C859" s="125">
        <v>44881</v>
      </c>
      <c r="D859" s="34">
        <v>96.85</v>
      </c>
      <c r="E859" s="115">
        <v>98.49</v>
      </c>
      <c r="F859" s="34">
        <v>95.54</v>
      </c>
      <c r="G859" s="34">
        <v>97.12</v>
      </c>
      <c r="H859" s="34">
        <v>97.12</v>
      </c>
      <c r="I859" s="29">
        <v>87958800</v>
      </c>
      <c r="P859" s="125"/>
      <c r="Q859" s="34"/>
      <c r="R859" s="115"/>
      <c r="S859" s="34"/>
      <c r="T859" s="34"/>
      <c r="U859" s="34"/>
      <c r="V859" s="29"/>
    </row>
    <row r="860" spans="3:22">
      <c r="C860" s="125">
        <v>44881</v>
      </c>
      <c r="D860" s="34">
        <v>234</v>
      </c>
      <c r="E860" s="115">
        <v>234.66000399999999</v>
      </c>
      <c r="F860" s="34">
        <v>230.83999600000001</v>
      </c>
      <c r="G860" s="34">
        <v>232.41999799999999</v>
      </c>
      <c r="H860" s="34">
        <v>231.316833</v>
      </c>
      <c r="I860" s="29">
        <v>3062000</v>
      </c>
      <c r="P860" s="125"/>
      <c r="Q860" s="34"/>
      <c r="R860" s="115"/>
      <c r="S860" s="34"/>
      <c r="T860" s="34"/>
      <c r="U860" s="34"/>
      <c r="V860" s="29"/>
    </row>
    <row r="861" spans="3:22">
      <c r="C861" s="125">
        <v>44880</v>
      </c>
      <c r="D861" s="34">
        <v>103.21</v>
      </c>
      <c r="E861" s="115">
        <v>103.79</v>
      </c>
      <c r="F861" s="34">
        <v>97.34</v>
      </c>
      <c r="G861" s="34">
        <v>98.94</v>
      </c>
      <c r="H861" s="34">
        <v>98.94</v>
      </c>
      <c r="I861" s="29">
        <v>111336300</v>
      </c>
      <c r="P861" s="125"/>
      <c r="Q861" s="34"/>
      <c r="R861" s="115"/>
      <c r="S861" s="34"/>
      <c r="T861" s="34"/>
      <c r="U861" s="34"/>
      <c r="V861" s="29"/>
    </row>
    <row r="862" spans="3:22">
      <c r="C862" s="125">
        <v>44880</v>
      </c>
      <c r="D862" s="34">
        <v>237.10000600000001</v>
      </c>
      <c r="E862" s="115">
        <v>239.39999399999999</v>
      </c>
      <c r="F862" s="34">
        <v>232.75</v>
      </c>
      <c r="G862" s="34">
        <v>234.58999600000001</v>
      </c>
      <c r="H862" s="34">
        <v>233.47653199999999</v>
      </c>
      <c r="I862" s="29">
        <v>3371000</v>
      </c>
      <c r="P862" s="125"/>
      <c r="Q862" s="34"/>
      <c r="R862" s="115"/>
      <c r="S862" s="34"/>
      <c r="T862" s="34"/>
      <c r="U862" s="34"/>
      <c r="V862" s="29"/>
    </row>
    <row r="863" spans="3:22">
      <c r="C863" s="125">
        <v>44879</v>
      </c>
      <c r="D863" s="34">
        <v>98.77</v>
      </c>
      <c r="E863" s="115">
        <v>100.12</v>
      </c>
      <c r="F863" s="34">
        <v>97.29</v>
      </c>
      <c r="G863" s="34">
        <v>98.49</v>
      </c>
      <c r="H863" s="34">
        <v>98.49</v>
      </c>
      <c r="I863" s="29">
        <v>99533100</v>
      </c>
      <c r="P863" s="125"/>
      <c r="Q863" s="34"/>
      <c r="R863" s="115"/>
      <c r="S863" s="34"/>
      <c r="T863" s="34"/>
      <c r="U863" s="34"/>
      <c r="V863" s="29"/>
    </row>
    <row r="864" spans="3:22">
      <c r="C864" s="125">
        <v>44879</v>
      </c>
      <c r="D864" s="34">
        <v>236</v>
      </c>
      <c r="E864" s="115">
        <v>239.85000600000001</v>
      </c>
      <c r="F864" s="34">
        <v>234.5</v>
      </c>
      <c r="G864" s="34">
        <v>236.5</v>
      </c>
      <c r="H864" s="34">
        <v>235.37747200000001</v>
      </c>
      <c r="I864" s="29">
        <v>3217700</v>
      </c>
      <c r="P864" s="125"/>
      <c r="Q864" s="34"/>
      <c r="R864" s="115"/>
      <c r="S864" s="34"/>
      <c r="T864" s="34"/>
      <c r="U864" s="34"/>
      <c r="V864" s="29"/>
    </row>
    <row r="865" spans="3:22">
      <c r="C865" s="125">
        <v>44876</v>
      </c>
      <c r="D865" s="34">
        <v>97.88</v>
      </c>
      <c r="E865" s="115">
        <v>101.19</v>
      </c>
      <c r="F865" s="34">
        <v>96.66</v>
      </c>
      <c r="G865" s="34">
        <v>100.79</v>
      </c>
      <c r="H865" s="34">
        <v>100.79</v>
      </c>
      <c r="I865" s="29">
        <v>111590500</v>
      </c>
      <c r="P865" s="125"/>
      <c r="Q865" s="34"/>
      <c r="R865" s="115"/>
      <c r="S865" s="34"/>
      <c r="T865" s="34"/>
      <c r="U865" s="34"/>
      <c r="V865" s="29"/>
    </row>
    <row r="866" spans="3:22">
      <c r="C866" s="125">
        <v>44876</v>
      </c>
      <c r="D866" s="34">
        <v>233</v>
      </c>
      <c r="E866" s="115">
        <v>238.39999399999999</v>
      </c>
      <c r="F866" s="34">
        <v>232</v>
      </c>
      <c r="G866" s="34">
        <v>236.490005</v>
      </c>
      <c r="H866" s="34">
        <v>235.36752300000001</v>
      </c>
      <c r="I866" s="29">
        <v>3585400</v>
      </c>
      <c r="P866" s="125"/>
      <c r="Q866" s="34"/>
      <c r="R866" s="115"/>
      <c r="S866" s="34"/>
      <c r="T866" s="34"/>
      <c r="U866" s="34"/>
      <c r="V866" s="29"/>
    </row>
    <row r="867" spans="3:22">
      <c r="C867" s="125">
        <v>44875</v>
      </c>
      <c r="D867" s="34">
        <v>92.94</v>
      </c>
      <c r="E867" s="115">
        <v>98.69</v>
      </c>
      <c r="F867" s="34">
        <v>91.65</v>
      </c>
      <c r="G867" s="34">
        <v>96.63</v>
      </c>
      <c r="H867" s="34">
        <v>96.63</v>
      </c>
      <c r="I867" s="29">
        <v>173414900</v>
      </c>
      <c r="P867" s="125"/>
      <c r="Q867" s="34"/>
      <c r="R867" s="115"/>
      <c r="S867" s="34"/>
      <c r="T867" s="34"/>
      <c r="U867" s="34"/>
      <c r="V867" s="29"/>
    </row>
    <row r="868" spans="3:22">
      <c r="C868" s="125">
        <v>44875</v>
      </c>
      <c r="D868" s="34">
        <v>232.220001</v>
      </c>
      <c r="E868" s="115">
        <v>232.58999600000001</v>
      </c>
      <c r="F868" s="34">
        <v>226.33000200000001</v>
      </c>
      <c r="G868" s="34">
        <v>232.449997</v>
      </c>
      <c r="H868" s="34">
        <v>231.34669500000001</v>
      </c>
      <c r="I868" s="29">
        <v>4590800</v>
      </c>
      <c r="P868" s="125"/>
      <c r="Q868" s="34"/>
      <c r="R868" s="115"/>
      <c r="S868" s="34"/>
      <c r="T868" s="34"/>
      <c r="U868" s="34"/>
      <c r="V868" s="29"/>
    </row>
    <row r="869" spans="3:22">
      <c r="C869" s="125">
        <v>44874</v>
      </c>
      <c r="D869" s="34">
        <v>89.47</v>
      </c>
      <c r="E869" s="115">
        <v>89.48</v>
      </c>
      <c r="F869" s="34">
        <v>85.87</v>
      </c>
      <c r="G869" s="34">
        <v>86.14</v>
      </c>
      <c r="H869" s="34">
        <v>86.14</v>
      </c>
      <c r="I869" s="29">
        <v>90796200</v>
      </c>
      <c r="P869" s="125"/>
      <c r="Q869" s="34"/>
      <c r="R869" s="115"/>
      <c r="S869" s="34"/>
      <c r="T869" s="34"/>
      <c r="U869" s="34"/>
      <c r="V869" s="29"/>
    </row>
    <row r="870" spans="3:22">
      <c r="C870" s="125">
        <v>44874</v>
      </c>
      <c r="D870" s="34">
        <v>226.070007</v>
      </c>
      <c r="E870" s="115">
        <v>229.13999899999999</v>
      </c>
      <c r="F870" s="34">
        <v>225.05999800000001</v>
      </c>
      <c r="G870" s="34">
        <v>225.53999300000001</v>
      </c>
      <c r="H870" s="34">
        <v>224.469482</v>
      </c>
      <c r="I870" s="29">
        <v>6248300</v>
      </c>
      <c r="P870" s="125"/>
      <c r="Q870" s="34"/>
      <c r="R870" s="115"/>
      <c r="S870" s="34"/>
      <c r="T870" s="34"/>
      <c r="U870" s="34"/>
      <c r="V870" s="29"/>
    </row>
    <row r="871" spans="3:22">
      <c r="C871" s="125">
        <v>44873</v>
      </c>
      <c r="D871" s="34">
        <v>90.79</v>
      </c>
      <c r="E871" s="115">
        <v>91.72</v>
      </c>
      <c r="F871" s="34">
        <v>88.23</v>
      </c>
      <c r="G871" s="34">
        <v>89.98</v>
      </c>
      <c r="H871" s="34">
        <v>89.98</v>
      </c>
      <c r="I871" s="29">
        <v>88703400</v>
      </c>
      <c r="P871" s="125"/>
      <c r="Q871" s="34"/>
      <c r="R871" s="115"/>
      <c r="S871" s="34"/>
      <c r="T871" s="34"/>
      <c r="U871" s="34"/>
      <c r="V871" s="29"/>
    </row>
    <row r="872" spans="3:22">
      <c r="C872" s="125">
        <v>44873</v>
      </c>
      <c r="D872" s="34">
        <v>228.61000100000001</v>
      </c>
      <c r="E872" s="115">
        <v>232.63000500000001</v>
      </c>
      <c r="F872" s="34">
        <v>226.66999799999999</v>
      </c>
      <c r="G872" s="34">
        <v>229.80999800000001</v>
      </c>
      <c r="H872" s="34">
        <v>228.719223</v>
      </c>
      <c r="I872" s="29">
        <v>3676600</v>
      </c>
      <c r="P872" s="125"/>
      <c r="Q872" s="34"/>
      <c r="R872" s="115"/>
      <c r="S872" s="34"/>
      <c r="T872" s="34"/>
      <c r="U872" s="34"/>
      <c r="V872" s="29"/>
    </row>
    <row r="873" spans="3:22">
      <c r="C873" s="125">
        <v>44872</v>
      </c>
      <c r="D873" s="34">
        <v>91.95</v>
      </c>
      <c r="E873" s="115">
        <v>92.1</v>
      </c>
      <c r="F873" s="34">
        <v>89.04</v>
      </c>
      <c r="G873" s="34">
        <v>90.53</v>
      </c>
      <c r="H873" s="34">
        <v>90.53</v>
      </c>
      <c r="I873" s="29">
        <v>77495700</v>
      </c>
      <c r="P873" s="125"/>
      <c r="Q873" s="34"/>
      <c r="R873" s="115"/>
      <c r="S873" s="34"/>
      <c r="T873" s="34"/>
      <c r="U873" s="34"/>
      <c r="V873" s="29"/>
    </row>
    <row r="874" spans="3:22">
      <c r="C874" s="125">
        <v>44872</v>
      </c>
      <c r="D874" s="34">
        <v>228</v>
      </c>
      <c r="E874" s="115">
        <v>229.13000500000001</v>
      </c>
      <c r="F874" s="34">
        <v>222.66999799999999</v>
      </c>
      <c r="G874" s="34">
        <v>228.61000100000001</v>
      </c>
      <c r="H874" s="34">
        <v>227.52491800000001</v>
      </c>
      <c r="I874" s="29">
        <v>3405600</v>
      </c>
      <c r="P874" s="125"/>
      <c r="Q874" s="34"/>
      <c r="R874" s="115"/>
      <c r="S874" s="34"/>
      <c r="T874" s="34"/>
      <c r="U874" s="34"/>
      <c r="V874" s="29"/>
    </row>
    <row r="875" spans="3:22">
      <c r="C875" s="125">
        <v>44869</v>
      </c>
      <c r="D875" s="34">
        <v>91.49</v>
      </c>
      <c r="E875" s="115">
        <v>92.44</v>
      </c>
      <c r="F875" s="34">
        <v>88.04</v>
      </c>
      <c r="G875" s="34">
        <v>90.98</v>
      </c>
      <c r="H875" s="34">
        <v>90.98</v>
      </c>
      <c r="I875" s="29">
        <v>129101300</v>
      </c>
      <c r="P875" s="125"/>
      <c r="Q875" s="34"/>
      <c r="R875" s="115"/>
      <c r="S875" s="34"/>
      <c r="T875" s="34"/>
      <c r="U875" s="34"/>
      <c r="V875" s="29"/>
    </row>
    <row r="876" spans="3:22">
      <c r="C876" s="125">
        <v>44869</v>
      </c>
      <c r="D876" s="34">
        <v>224.020004</v>
      </c>
      <c r="E876" s="115">
        <v>229.729996</v>
      </c>
      <c r="F876" s="34">
        <v>223.60000600000001</v>
      </c>
      <c r="G876" s="34">
        <v>227.85000600000001</v>
      </c>
      <c r="H876" s="34">
        <v>226.76852400000001</v>
      </c>
      <c r="I876" s="29">
        <v>4973800</v>
      </c>
      <c r="P876" s="125"/>
      <c r="Q876" s="34"/>
      <c r="R876" s="115"/>
      <c r="S876" s="34"/>
      <c r="T876" s="34"/>
      <c r="U876" s="34"/>
      <c r="V876" s="29"/>
    </row>
    <row r="877" spans="3:22">
      <c r="C877" s="125">
        <v>44868</v>
      </c>
      <c r="D877" s="34">
        <v>92.47</v>
      </c>
      <c r="E877" s="115">
        <v>93.5</v>
      </c>
      <c r="F877" s="34">
        <v>89.02</v>
      </c>
      <c r="G877" s="34">
        <v>89.3</v>
      </c>
      <c r="H877" s="34">
        <v>89.3</v>
      </c>
      <c r="I877" s="29">
        <v>136683300</v>
      </c>
      <c r="P877" s="125"/>
      <c r="Q877" s="34"/>
      <c r="R877" s="115"/>
      <c r="S877" s="34"/>
      <c r="T877" s="34"/>
      <c r="U877" s="34"/>
      <c r="V877" s="29"/>
    </row>
    <row r="878" spans="3:22">
      <c r="C878" s="125">
        <v>44868</v>
      </c>
      <c r="D878" s="34">
        <v>211.53999300000001</v>
      </c>
      <c r="E878" s="115">
        <v>221.78999300000001</v>
      </c>
      <c r="F878" s="34">
        <v>211.36000100000001</v>
      </c>
      <c r="G878" s="34">
        <v>219.259995</v>
      </c>
      <c r="H878" s="34">
        <v>218.21928399999999</v>
      </c>
      <c r="I878" s="29">
        <v>3570400</v>
      </c>
      <c r="P878" s="125"/>
      <c r="Q878" s="34"/>
      <c r="R878" s="115"/>
      <c r="S878" s="34"/>
      <c r="T878" s="34"/>
      <c r="U878" s="34"/>
      <c r="V878" s="29"/>
    </row>
    <row r="879" spans="3:22">
      <c r="C879" s="125">
        <v>44867</v>
      </c>
      <c r="D879" s="34">
        <v>97.32</v>
      </c>
      <c r="E879" s="115">
        <v>97.74</v>
      </c>
      <c r="F879" s="34">
        <v>92.01</v>
      </c>
      <c r="G879" s="34">
        <v>92.12</v>
      </c>
      <c r="H879" s="34">
        <v>92.12</v>
      </c>
      <c r="I879" s="29">
        <v>135761800</v>
      </c>
      <c r="P879" s="125"/>
      <c r="Q879" s="34"/>
      <c r="R879" s="115"/>
      <c r="S879" s="34"/>
      <c r="T879" s="34"/>
      <c r="U879" s="34"/>
      <c r="V879" s="29"/>
    </row>
    <row r="880" spans="3:22">
      <c r="C880" s="125">
        <v>44867</v>
      </c>
      <c r="D880" s="34">
        <v>217.60000600000001</v>
      </c>
      <c r="E880" s="115">
        <v>221.699997</v>
      </c>
      <c r="F880" s="34">
        <v>213.929993</v>
      </c>
      <c r="G880" s="34">
        <v>214.53999300000001</v>
      </c>
      <c r="H880" s="34">
        <v>213.52169799999999</v>
      </c>
      <c r="I880" s="29">
        <v>3150000</v>
      </c>
      <c r="P880" s="125"/>
      <c r="Q880" s="34"/>
      <c r="R880" s="115"/>
      <c r="S880" s="34"/>
      <c r="T880" s="34"/>
      <c r="U880" s="34"/>
      <c r="V880" s="29"/>
    </row>
    <row r="881" spans="3:22">
      <c r="C881" s="125">
        <v>44866</v>
      </c>
      <c r="D881" s="34">
        <v>103.99</v>
      </c>
      <c r="E881" s="115">
        <v>104.58</v>
      </c>
      <c r="F881" s="34">
        <v>96.06</v>
      </c>
      <c r="G881" s="34">
        <v>96.79</v>
      </c>
      <c r="H881" s="34">
        <v>96.79</v>
      </c>
      <c r="I881" s="29">
        <v>153370000</v>
      </c>
      <c r="P881" s="125"/>
      <c r="Q881" s="34"/>
      <c r="R881" s="115"/>
      <c r="S881" s="34"/>
      <c r="T881" s="34"/>
      <c r="U881" s="34"/>
      <c r="V881" s="29"/>
    </row>
    <row r="882" spans="3:22">
      <c r="C882" s="125">
        <v>44866</v>
      </c>
      <c r="D882" s="34">
        <v>218.63000500000001</v>
      </c>
      <c r="E882" s="115">
        <v>219.470001</v>
      </c>
      <c r="F882" s="34">
        <v>216.71000699999999</v>
      </c>
      <c r="G882" s="34">
        <v>218.5</v>
      </c>
      <c r="H882" s="34">
        <v>217.462906</v>
      </c>
      <c r="I882" s="29">
        <v>2717500</v>
      </c>
      <c r="P882" s="125"/>
      <c r="Q882" s="34"/>
      <c r="R882" s="115"/>
      <c r="S882" s="34"/>
      <c r="T882" s="34"/>
      <c r="U882" s="34"/>
      <c r="V882" s="29"/>
    </row>
    <row r="883" spans="3:22">
      <c r="C883" s="125">
        <v>44865</v>
      </c>
      <c r="D883" s="34">
        <v>103.56</v>
      </c>
      <c r="E883" s="115">
        <v>104.87</v>
      </c>
      <c r="F883" s="34">
        <v>100.74</v>
      </c>
      <c r="G883" s="34">
        <v>102.44</v>
      </c>
      <c r="H883" s="34">
        <v>102.44</v>
      </c>
      <c r="I883" s="29">
        <v>99251400</v>
      </c>
      <c r="P883" s="125"/>
      <c r="Q883" s="34"/>
      <c r="R883" s="115"/>
      <c r="S883" s="34"/>
      <c r="T883" s="34"/>
      <c r="U883" s="34"/>
      <c r="V883" s="29"/>
    </row>
    <row r="884" spans="3:22">
      <c r="C884" s="125">
        <v>44865</v>
      </c>
      <c r="D884" s="34">
        <v>215.33999600000001</v>
      </c>
      <c r="E884" s="115">
        <v>218.86999499999999</v>
      </c>
      <c r="F884" s="34">
        <v>215.009995</v>
      </c>
      <c r="G884" s="34">
        <v>216.46000699999999</v>
      </c>
      <c r="H884" s="34">
        <v>215.43258700000001</v>
      </c>
      <c r="I884" s="29">
        <v>3786100</v>
      </c>
      <c r="P884" s="125"/>
      <c r="Q884" s="34"/>
      <c r="R884" s="115"/>
      <c r="S884" s="34"/>
      <c r="T884" s="34"/>
      <c r="U884" s="34"/>
      <c r="V884" s="29"/>
    </row>
    <row r="885" spans="3:22">
      <c r="C885" s="125">
        <v>44862</v>
      </c>
      <c r="D885" s="34">
        <v>97.91</v>
      </c>
      <c r="E885" s="115">
        <v>103.96</v>
      </c>
      <c r="F885" s="34">
        <v>97.66</v>
      </c>
      <c r="G885" s="34">
        <v>103.41</v>
      </c>
      <c r="H885" s="34">
        <v>103.41</v>
      </c>
      <c r="I885" s="29">
        <v>223133400</v>
      </c>
      <c r="P885" s="125"/>
      <c r="Q885" s="34"/>
      <c r="R885" s="115"/>
      <c r="S885" s="34"/>
      <c r="T885" s="34"/>
      <c r="U885" s="34"/>
      <c r="V885" s="29"/>
    </row>
    <row r="886" spans="3:22">
      <c r="C886" s="125">
        <v>44862</v>
      </c>
      <c r="D886" s="34">
        <v>212.5</v>
      </c>
      <c r="E886" s="115">
        <v>219.5</v>
      </c>
      <c r="F886" s="34">
        <v>211.21000699999999</v>
      </c>
      <c r="G886" s="34">
        <v>219.33999600000001</v>
      </c>
      <c r="H886" s="34">
        <v>218.29892000000001</v>
      </c>
      <c r="I886" s="29">
        <v>5161000</v>
      </c>
      <c r="P886" s="125"/>
      <c r="Q886" s="34"/>
      <c r="R886" s="115"/>
      <c r="S886" s="34"/>
      <c r="T886" s="34"/>
      <c r="U886" s="34"/>
      <c r="V886" s="29"/>
    </row>
    <row r="887" spans="3:22">
      <c r="C887" s="125">
        <v>44861</v>
      </c>
      <c r="D887" s="34">
        <v>113.92</v>
      </c>
      <c r="E887" s="115">
        <v>114.12</v>
      </c>
      <c r="F887" s="34">
        <v>109.77</v>
      </c>
      <c r="G887" s="34">
        <v>110.96</v>
      </c>
      <c r="H887" s="34">
        <v>110.96</v>
      </c>
      <c r="I887" s="29">
        <v>129605400</v>
      </c>
      <c r="P887" s="125"/>
      <c r="Q887" s="34"/>
      <c r="R887" s="115"/>
      <c r="S887" s="34"/>
      <c r="T887" s="34"/>
      <c r="U887" s="34"/>
      <c r="V887" s="29"/>
    </row>
    <row r="888" spans="3:22">
      <c r="C888" s="125">
        <v>44861</v>
      </c>
      <c r="D888" s="34">
        <v>210.14999399999999</v>
      </c>
      <c r="E888" s="115">
        <v>217.13000500000001</v>
      </c>
      <c r="F888" s="34">
        <v>207.36999499999999</v>
      </c>
      <c r="G888" s="34">
        <v>212.13999899999999</v>
      </c>
      <c r="H888" s="34">
        <v>211.13308699999999</v>
      </c>
      <c r="I888" s="29">
        <v>7872200</v>
      </c>
      <c r="P888" s="125"/>
      <c r="Q888" s="34"/>
      <c r="R888" s="115"/>
      <c r="S888" s="34"/>
      <c r="T888" s="34"/>
      <c r="U888" s="34"/>
      <c r="V888" s="29"/>
    </row>
    <row r="889" spans="3:22">
      <c r="C889" s="125">
        <v>44860</v>
      </c>
      <c r="D889" s="34">
        <v>116</v>
      </c>
      <c r="E889" s="115">
        <v>119.35</v>
      </c>
      <c r="F889" s="34">
        <v>114.76</v>
      </c>
      <c r="G889" s="34">
        <v>115.66</v>
      </c>
      <c r="H889" s="34">
        <v>115.66</v>
      </c>
      <c r="I889" s="29">
        <v>68802300</v>
      </c>
      <c r="P889" s="125"/>
      <c r="Q889" s="34"/>
      <c r="R889" s="115"/>
      <c r="S889" s="34"/>
      <c r="T889" s="34"/>
      <c r="U889" s="34"/>
      <c r="V889" s="29"/>
    </row>
    <row r="890" spans="3:22">
      <c r="C890" s="125">
        <v>44860</v>
      </c>
      <c r="D890" s="34">
        <v>198.300003</v>
      </c>
      <c r="E890" s="115">
        <v>199.58000200000001</v>
      </c>
      <c r="F890" s="34">
        <v>194.570007</v>
      </c>
      <c r="G890" s="34">
        <v>196.96000699999999</v>
      </c>
      <c r="H890" s="34">
        <v>196.02514600000001</v>
      </c>
      <c r="I890" s="29">
        <v>3546000</v>
      </c>
      <c r="P890" s="125"/>
      <c r="Q890" s="34"/>
      <c r="R890" s="115"/>
      <c r="S890" s="34"/>
      <c r="T890" s="34"/>
      <c r="U890" s="34"/>
      <c r="V890" s="29"/>
    </row>
    <row r="891" spans="3:22">
      <c r="C891" s="125">
        <v>44859</v>
      </c>
      <c r="D891" s="34">
        <v>119.65</v>
      </c>
      <c r="E891" s="115">
        <v>121.32</v>
      </c>
      <c r="F891" s="34">
        <v>118.95</v>
      </c>
      <c r="G891" s="34">
        <v>120.6</v>
      </c>
      <c r="H891" s="34">
        <v>120.6</v>
      </c>
      <c r="I891" s="29">
        <v>50934600</v>
      </c>
      <c r="P891" s="125"/>
      <c r="Q891" s="34"/>
      <c r="R891" s="115"/>
      <c r="S891" s="34"/>
      <c r="T891" s="34"/>
      <c r="U891" s="34"/>
      <c r="V891" s="29"/>
    </row>
    <row r="892" spans="3:22" ht="18" customHeight="1">
      <c r="C892" s="125">
        <v>44859</v>
      </c>
      <c r="D892" s="34">
        <v>190.28999300000001</v>
      </c>
      <c r="E892" s="115">
        <v>195.66999799999999</v>
      </c>
      <c r="F892" s="34">
        <v>188.91999799999999</v>
      </c>
      <c r="G892" s="34">
        <v>194.83999600000001</v>
      </c>
      <c r="H892" s="34">
        <v>193.91520700000001</v>
      </c>
      <c r="I892" s="29">
        <v>2545000</v>
      </c>
      <c r="P892" s="125"/>
      <c r="Q892" s="34"/>
      <c r="R892" s="115"/>
      <c r="S892" s="34"/>
      <c r="T892" s="34"/>
      <c r="U892" s="34"/>
      <c r="V892" s="29"/>
    </row>
    <row r="893" spans="3:22">
      <c r="C893" s="125">
        <v>44858</v>
      </c>
      <c r="D893" s="34">
        <v>119.98</v>
      </c>
      <c r="E893" s="115">
        <v>120.39</v>
      </c>
      <c r="F893" s="34">
        <v>116.57</v>
      </c>
      <c r="G893" s="34">
        <v>119.82</v>
      </c>
      <c r="H893" s="34">
        <v>119.82</v>
      </c>
      <c r="I893" s="29">
        <v>49531500</v>
      </c>
      <c r="P893" s="125"/>
      <c r="Q893" s="34"/>
      <c r="R893" s="115"/>
      <c r="S893" s="34"/>
      <c r="T893" s="34"/>
      <c r="U893" s="34"/>
      <c r="V893" s="29"/>
    </row>
    <row r="894" spans="3:22">
      <c r="C894" s="125">
        <v>44858</v>
      </c>
      <c r="D894" s="34">
        <v>188.64999399999999</v>
      </c>
      <c r="E894" s="115">
        <v>192.13999899999999</v>
      </c>
      <c r="F894" s="34">
        <v>188.449997</v>
      </c>
      <c r="G894" s="34">
        <v>191.300003</v>
      </c>
      <c r="H894" s="34">
        <v>190.39201399999999</v>
      </c>
      <c r="I894" s="29">
        <v>2919500</v>
      </c>
      <c r="P894" s="125"/>
      <c r="Q894" s="34"/>
      <c r="R894" s="115"/>
      <c r="S894" s="34"/>
      <c r="T894" s="34"/>
      <c r="U894" s="34"/>
      <c r="V894" s="29"/>
    </row>
    <row r="895" spans="3:22">
      <c r="C895" s="125">
        <v>44855</v>
      </c>
      <c r="D895" s="34">
        <v>114.79</v>
      </c>
      <c r="E895" s="115">
        <v>119.59</v>
      </c>
      <c r="F895" s="34">
        <v>114.5</v>
      </c>
      <c r="G895" s="34">
        <v>119.32</v>
      </c>
      <c r="H895" s="34">
        <v>119.32</v>
      </c>
      <c r="I895" s="29">
        <v>55660500</v>
      </c>
      <c r="P895" s="125"/>
      <c r="Q895" s="34"/>
      <c r="R895" s="115"/>
      <c r="S895" s="34"/>
      <c r="T895" s="34"/>
      <c r="U895" s="34"/>
      <c r="V895" s="29"/>
    </row>
    <row r="896" spans="3:22">
      <c r="C896" s="125">
        <v>44855</v>
      </c>
      <c r="D896" s="34">
        <v>179.729996</v>
      </c>
      <c r="E896" s="115">
        <v>190.41000399999999</v>
      </c>
      <c r="F896" s="34">
        <v>179.21000699999999</v>
      </c>
      <c r="G896" s="34">
        <v>190.220001</v>
      </c>
      <c r="H896" s="34">
        <v>189.317139</v>
      </c>
      <c r="I896" s="29">
        <v>3483800</v>
      </c>
      <c r="P896" s="125"/>
      <c r="Q896" s="34"/>
      <c r="R896" s="115"/>
      <c r="S896" s="34"/>
      <c r="T896" s="34"/>
      <c r="U896" s="34"/>
      <c r="V896" s="29"/>
    </row>
    <row r="897" spans="3:22">
      <c r="C897" s="125">
        <v>44854</v>
      </c>
      <c r="D897" s="34">
        <v>113.83</v>
      </c>
      <c r="E897" s="115">
        <v>118.24</v>
      </c>
      <c r="F897" s="34">
        <v>113.51</v>
      </c>
      <c r="G897" s="34">
        <v>115.25</v>
      </c>
      <c r="H897" s="34">
        <v>115.25</v>
      </c>
      <c r="I897" s="29">
        <v>48795100</v>
      </c>
      <c r="P897" s="125"/>
      <c r="Q897" s="34"/>
      <c r="R897" s="115"/>
      <c r="S897" s="34"/>
      <c r="T897" s="34"/>
      <c r="U897" s="34"/>
      <c r="V897" s="29"/>
    </row>
    <row r="898" spans="3:22">
      <c r="C898" s="125">
        <v>44854</v>
      </c>
      <c r="D898" s="34">
        <v>184.53999300000001</v>
      </c>
      <c r="E898" s="115">
        <v>185.740005</v>
      </c>
      <c r="F898" s="34">
        <v>180.46000699999999</v>
      </c>
      <c r="G898" s="34">
        <v>180.53999300000001</v>
      </c>
      <c r="H898" s="34">
        <v>178.488754</v>
      </c>
      <c r="I898" s="29">
        <v>2953900</v>
      </c>
      <c r="P898" s="125"/>
      <c r="Q898" s="34"/>
      <c r="R898" s="115"/>
      <c r="S898" s="34"/>
      <c r="T898" s="34"/>
      <c r="U898" s="34"/>
      <c r="V898" s="29"/>
    </row>
    <row r="899" spans="3:22">
      <c r="C899" s="125">
        <v>44853</v>
      </c>
      <c r="D899" s="34">
        <v>114.71</v>
      </c>
      <c r="E899" s="115">
        <v>116.59</v>
      </c>
      <c r="F899" s="34">
        <v>113.22</v>
      </c>
      <c r="G899" s="34">
        <v>115.07</v>
      </c>
      <c r="H899" s="34">
        <v>115.07</v>
      </c>
      <c r="I899" s="29">
        <v>47198100</v>
      </c>
      <c r="P899" s="125"/>
      <c r="Q899" s="34"/>
      <c r="R899" s="115"/>
      <c r="S899" s="34"/>
      <c r="T899" s="34"/>
      <c r="U899" s="34"/>
      <c r="V899" s="29"/>
    </row>
    <row r="900" spans="3:22">
      <c r="C900" s="125">
        <v>44853</v>
      </c>
      <c r="D900" s="34">
        <v>182.94000199999999</v>
      </c>
      <c r="E900" s="115">
        <v>185.699997</v>
      </c>
      <c r="F900" s="34">
        <v>182</v>
      </c>
      <c r="G900" s="34">
        <v>184.41000399999999</v>
      </c>
      <c r="H900" s="34">
        <v>182.31480400000001</v>
      </c>
      <c r="I900" s="29">
        <v>2088700</v>
      </c>
      <c r="P900" s="125"/>
      <c r="Q900" s="34"/>
      <c r="R900" s="115"/>
      <c r="S900" s="34"/>
      <c r="T900" s="34"/>
      <c r="U900" s="34"/>
      <c r="V900" s="29"/>
    </row>
    <row r="901" spans="3:22">
      <c r="C901" s="125">
        <v>44852</v>
      </c>
      <c r="D901" s="34">
        <v>119.06</v>
      </c>
      <c r="E901" s="115">
        <v>119.52</v>
      </c>
      <c r="F901" s="34">
        <v>114.79</v>
      </c>
      <c r="G901" s="34">
        <v>116.36</v>
      </c>
      <c r="H901" s="34">
        <v>116.36</v>
      </c>
      <c r="I901" s="29">
        <v>65607400</v>
      </c>
      <c r="P901" s="125"/>
      <c r="Q901" s="34"/>
      <c r="R901" s="115"/>
      <c r="S901" s="34"/>
      <c r="T901" s="34"/>
      <c r="U901" s="34"/>
      <c r="V901" s="29"/>
    </row>
    <row r="902" spans="3:22">
      <c r="C902" s="125">
        <v>44852</v>
      </c>
      <c r="D902" s="34">
        <v>184.89999399999999</v>
      </c>
      <c r="E902" s="115">
        <v>185.529999</v>
      </c>
      <c r="F902" s="34">
        <v>180.91000399999999</v>
      </c>
      <c r="G902" s="34">
        <v>183.550003</v>
      </c>
      <c r="H902" s="34">
        <v>181.46456900000001</v>
      </c>
      <c r="I902" s="29">
        <v>2674000</v>
      </c>
      <c r="P902" s="125"/>
      <c r="Q902" s="34"/>
      <c r="R902" s="115"/>
      <c r="S902" s="34"/>
      <c r="T902" s="34"/>
      <c r="U902" s="34"/>
      <c r="V902" s="29"/>
    </row>
    <row r="903" spans="3:22">
      <c r="C903" s="125">
        <v>44851</v>
      </c>
      <c r="D903" s="34">
        <v>110.11</v>
      </c>
      <c r="E903" s="115">
        <v>114.19</v>
      </c>
      <c r="F903" s="34">
        <v>110.09</v>
      </c>
      <c r="G903" s="34">
        <v>113.79</v>
      </c>
      <c r="H903" s="34">
        <v>113.79</v>
      </c>
      <c r="I903" s="29">
        <v>62782000</v>
      </c>
      <c r="P903" s="125"/>
      <c r="Q903" s="34"/>
      <c r="R903" s="115"/>
      <c r="S903" s="34"/>
      <c r="T903" s="34"/>
      <c r="U903" s="34"/>
      <c r="V903" s="29"/>
    </row>
    <row r="904" spans="3:22">
      <c r="C904" s="125">
        <v>44851</v>
      </c>
      <c r="D904" s="34">
        <v>182.300003</v>
      </c>
      <c r="E904" s="115">
        <v>184.30999800000001</v>
      </c>
      <c r="F904" s="34">
        <v>179.199997</v>
      </c>
      <c r="G904" s="34">
        <v>180.800003</v>
      </c>
      <c r="H904" s="34">
        <v>178.74581900000001</v>
      </c>
      <c r="I904" s="29">
        <v>2940000</v>
      </c>
      <c r="P904" s="125"/>
      <c r="Q904" s="34"/>
      <c r="R904" s="115"/>
      <c r="S904" s="34"/>
      <c r="T904" s="34"/>
      <c r="U904" s="34"/>
      <c r="V904" s="29"/>
    </row>
    <row r="905" spans="3:22">
      <c r="C905" s="125">
        <v>44848</v>
      </c>
      <c r="D905" s="34">
        <v>114.1</v>
      </c>
      <c r="E905" s="115">
        <v>114.96</v>
      </c>
      <c r="F905" s="34">
        <v>106.6</v>
      </c>
      <c r="G905" s="34">
        <v>106.9</v>
      </c>
      <c r="H905" s="34">
        <v>106.9</v>
      </c>
      <c r="I905" s="29">
        <v>67737300</v>
      </c>
      <c r="P905" s="125"/>
      <c r="Q905" s="34"/>
      <c r="R905" s="115"/>
      <c r="S905" s="34"/>
      <c r="T905" s="34"/>
      <c r="U905" s="34"/>
      <c r="V905" s="29"/>
    </row>
    <row r="906" spans="3:22">
      <c r="C906" s="125">
        <v>44848</v>
      </c>
      <c r="D906" s="34">
        <v>183.75</v>
      </c>
      <c r="E906" s="115">
        <v>184.33000200000001</v>
      </c>
      <c r="F906" s="34">
        <v>177.529999</v>
      </c>
      <c r="G906" s="34">
        <v>178.19000199999999</v>
      </c>
      <c r="H906" s="34">
        <v>176.16546600000001</v>
      </c>
      <c r="I906" s="29">
        <v>2830200</v>
      </c>
      <c r="P906" s="125"/>
      <c r="Q906" s="34"/>
      <c r="R906" s="115"/>
      <c r="S906" s="34"/>
      <c r="T906" s="34"/>
      <c r="U906" s="34"/>
      <c r="V906" s="29"/>
    </row>
    <row r="907" spans="3:22">
      <c r="C907" s="125">
        <v>44847</v>
      </c>
      <c r="D907" s="34">
        <v>107.88</v>
      </c>
      <c r="E907" s="115">
        <v>113.44</v>
      </c>
      <c r="F907" s="34">
        <v>105.35</v>
      </c>
      <c r="G907" s="34">
        <v>112.53</v>
      </c>
      <c r="H907" s="34">
        <v>112.53</v>
      </c>
      <c r="I907" s="29">
        <v>86868100</v>
      </c>
      <c r="P907" s="125"/>
      <c r="Q907" s="34"/>
      <c r="R907" s="115"/>
      <c r="S907" s="34"/>
      <c r="T907" s="34"/>
      <c r="U907" s="34"/>
      <c r="V907" s="29"/>
    </row>
    <row r="908" spans="3:22">
      <c r="C908" s="125">
        <v>44847</v>
      </c>
      <c r="D908" s="34">
        <v>173.75</v>
      </c>
      <c r="E908" s="115">
        <v>184.949997</v>
      </c>
      <c r="F908" s="34">
        <v>172.71000699999999</v>
      </c>
      <c r="G908" s="34">
        <v>183.13999899999999</v>
      </c>
      <c r="H908" s="34">
        <v>181.059235</v>
      </c>
      <c r="I908" s="29">
        <v>3745900</v>
      </c>
      <c r="P908" s="125"/>
      <c r="Q908" s="34"/>
      <c r="R908" s="115"/>
      <c r="S908" s="34"/>
      <c r="T908" s="34"/>
      <c r="U908" s="34"/>
      <c r="V908" s="29"/>
    </row>
    <row r="909" spans="3:22">
      <c r="C909" s="125">
        <v>44846</v>
      </c>
      <c r="D909" s="34">
        <v>112.49</v>
      </c>
      <c r="E909" s="115">
        <v>113.83</v>
      </c>
      <c r="F909" s="34">
        <v>111.4</v>
      </c>
      <c r="G909" s="34">
        <v>112.9</v>
      </c>
      <c r="H909" s="34">
        <v>112.9</v>
      </c>
      <c r="I909" s="29">
        <v>45728700</v>
      </c>
      <c r="P909" s="125"/>
      <c r="Q909" s="34"/>
      <c r="R909" s="115"/>
      <c r="S909" s="34"/>
      <c r="T909" s="34"/>
      <c r="U909" s="34"/>
      <c r="V909" s="29"/>
    </row>
    <row r="910" spans="3:22">
      <c r="C910" s="125">
        <v>44846</v>
      </c>
      <c r="D910" s="34">
        <v>179.479996</v>
      </c>
      <c r="E910" s="115">
        <v>181.11999499999999</v>
      </c>
      <c r="F910" s="34">
        <v>178.779999</v>
      </c>
      <c r="G910" s="34">
        <v>179.5</v>
      </c>
      <c r="H910" s="34">
        <v>177.460587</v>
      </c>
      <c r="I910" s="29">
        <v>2260800</v>
      </c>
      <c r="P910" s="125"/>
      <c r="Q910" s="34"/>
      <c r="R910" s="115"/>
      <c r="S910" s="34"/>
      <c r="T910" s="34"/>
      <c r="U910" s="34"/>
      <c r="V910" s="29"/>
    </row>
    <row r="911" spans="3:22">
      <c r="C911" s="125">
        <v>44845</v>
      </c>
      <c r="D911" s="34">
        <v>112.71</v>
      </c>
      <c r="E911" s="115">
        <v>115.48</v>
      </c>
      <c r="F911" s="34">
        <v>110.39</v>
      </c>
      <c r="G911" s="34">
        <v>112.21</v>
      </c>
      <c r="H911" s="34">
        <v>112.21</v>
      </c>
      <c r="I911" s="29">
        <v>56432200</v>
      </c>
      <c r="P911" s="125"/>
      <c r="Q911" s="34"/>
      <c r="R911" s="115"/>
      <c r="S911" s="34"/>
      <c r="T911" s="34"/>
      <c r="U911" s="34"/>
      <c r="V911" s="29"/>
    </row>
    <row r="912" spans="3:22">
      <c r="C912" s="125">
        <v>44845</v>
      </c>
      <c r="D912" s="34">
        <v>176.820007</v>
      </c>
      <c r="E912" s="115">
        <v>183.08000200000001</v>
      </c>
      <c r="F912" s="34">
        <v>176.66999799999999</v>
      </c>
      <c r="G912" s="34">
        <v>179.75</v>
      </c>
      <c r="H912" s="34">
        <v>177.70774800000001</v>
      </c>
      <c r="I912" s="29">
        <v>2542400</v>
      </c>
      <c r="P912" s="125"/>
      <c r="Q912" s="34"/>
      <c r="R912" s="115"/>
      <c r="S912" s="34"/>
      <c r="T912" s="34"/>
      <c r="U912" s="34"/>
      <c r="V912" s="29"/>
    </row>
    <row r="913" spans="3:22">
      <c r="C913" s="125">
        <v>44844</v>
      </c>
      <c r="D913" s="34">
        <v>115.1</v>
      </c>
      <c r="E913" s="115">
        <v>116.25</v>
      </c>
      <c r="F913" s="34">
        <v>112.43</v>
      </c>
      <c r="G913" s="34">
        <v>113.67</v>
      </c>
      <c r="H913" s="34">
        <v>113.67</v>
      </c>
      <c r="I913" s="29">
        <v>42339700</v>
      </c>
      <c r="P913" s="125"/>
      <c r="Q913" s="34"/>
      <c r="R913" s="115"/>
      <c r="S913" s="34"/>
      <c r="T913" s="34"/>
      <c r="U913" s="34"/>
      <c r="V913" s="29"/>
    </row>
    <row r="914" spans="3:22">
      <c r="C914" s="125">
        <v>44844</v>
      </c>
      <c r="D914" s="34">
        <v>179.80999800000001</v>
      </c>
      <c r="E914" s="115">
        <v>181.16000399999999</v>
      </c>
      <c r="F914" s="34">
        <v>176.070007</v>
      </c>
      <c r="G914" s="34">
        <v>178.66999799999999</v>
      </c>
      <c r="H914" s="34">
        <v>176.64001500000001</v>
      </c>
      <c r="I914" s="29">
        <v>2633900</v>
      </c>
      <c r="P914" s="125"/>
      <c r="Q914" s="34"/>
      <c r="R914" s="115"/>
      <c r="S914" s="34"/>
      <c r="T914" s="34"/>
      <c r="U914" s="34"/>
      <c r="V914" s="29"/>
    </row>
    <row r="915" spans="3:22">
      <c r="C915" s="125">
        <v>44841</v>
      </c>
      <c r="D915" s="34">
        <v>118</v>
      </c>
      <c r="E915" s="115">
        <v>118.17</v>
      </c>
      <c r="F915" s="34">
        <v>113.88</v>
      </c>
      <c r="G915" s="34">
        <v>114.56</v>
      </c>
      <c r="H915" s="34">
        <v>114.56</v>
      </c>
      <c r="I915" s="29">
        <v>54678000</v>
      </c>
      <c r="P915" s="125"/>
      <c r="Q915" s="34"/>
      <c r="R915" s="115"/>
      <c r="S915" s="34"/>
      <c r="T915" s="34"/>
      <c r="U915" s="34"/>
      <c r="V915" s="29"/>
    </row>
    <row r="916" spans="3:22">
      <c r="C916" s="125">
        <v>44841</v>
      </c>
      <c r="D916" s="34">
        <v>176.720001</v>
      </c>
      <c r="E916" s="115">
        <v>178.96000699999999</v>
      </c>
      <c r="F916" s="34">
        <v>175.13999899999999</v>
      </c>
      <c r="G916" s="34">
        <v>177.550003</v>
      </c>
      <c r="H916" s="34">
        <v>175.53274500000001</v>
      </c>
      <c r="I916" s="29">
        <v>2759200</v>
      </c>
      <c r="P916" s="125"/>
      <c r="Q916" s="34"/>
      <c r="R916" s="115"/>
      <c r="S916" s="34"/>
      <c r="T916" s="34"/>
      <c r="U916" s="34"/>
      <c r="V916" s="29"/>
    </row>
    <row r="917" spans="3:22">
      <c r="C917" s="125">
        <v>44840</v>
      </c>
      <c r="D917" s="34">
        <v>120.77</v>
      </c>
      <c r="E917" s="115">
        <v>121.53</v>
      </c>
      <c r="F917" s="34">
        <v>119.5</v>
      </c>
      <c r="G917" s="34">
        <v>120.3</v>
      </c>
      <c r="H917" s="34">
        <v>120.3</v>
      </c>
      <c r="I917" s="29">
        <v>42253800</v>
      </c>
      <c r="P917" s="125"/>
      <c r="Q917" s="34"/>
      <c r="R917" s="115"/>
      <c r="S917" s="34"/>
      <c r="T917" s="34"/>
      <c r="U917" s="34"/>
      <c r="V917" s="29"/>
    </row>
    <row r="918" spans="3:22">
      <c r="C918" s="125">
        <v>44840</v>
      </c>
      <c r="D918" s="34">
        <v>177.41000399999999</v>
      </c>
      <c r="E918" s="115">
        <v>180.979996</v>
      </c>
      <c r="F918" s="34">
        <v>176.88999899999999</v>
      </c>
      <c r="G918" s="34">
        <v>178.80999800000001</v>
      </c>
      <c r="H918" s="34">
        <v>176.77842699999999</v>
      </c>
      <c r="I918" s="29">
        <v>2415000</v>
      </c>
      <c r="P918" s="125"/>
      <c r="Q918" s="34"/>
      <c r="R918" s="115"/>
      <c r="S918" s="34"/>
      <c r="T918" s="34"/>
      <c r="U918" s="34"/>
      <c r="V918" s="29"/>
    </row>
    <row r="919" spans="3:22">
      <c r="C919" s="125">
        <v>44839</v>
      </c>
      <c r="D919" s="34">
        <v>118.58</v>
      </c>
      <c r="E919" s="115">
        <v>121.75</v>
      </c>
      <c r="F919" s="34">
        <v>117.69</v>
      </c>
      <c r="G919" s="34">
        <v>120.95</v>
      </c>
      <c r="H919" s="34">
        <v>120.95</v>
      </c>
      <c r="I919" s="29">
        <v>48217500</v>
      </c>
      <c r="P919" s="125"/>
      <c r="Q919" s="34"/>
      <c r="R919" s="115"/>
      <c r="S919" s="34"/>
      <c r="T919" s="34"/>
      <c r="U919" s="34"/>
      <c r="V919" s="29"/>
    </row>
    <row r="920" spans="3:22">
      <c r="C920" s="125">
        <v>44839</v>
      </c>
      <c r="D920" s="34">
        <v>177.14999399999999</v>
      </c>
      <c r="E920" s="115">
        <v>180.259995</v>
      </c>
      <c r="F920" s="34">
        <v>176.69000199999999</v>
      </c>
      <c r="G920" s="34">
        <v>178.38000500000001</v>
      </c>
      <c r="H920" s="34">
        <v>176.35330200000001</v>
      </c>
      <c r="I920" s="29">
        <v>3067400</v>
      </c>
      <c r="P920" s="125"/>
      <c r="Q920" s="34"/>
      <c r="R920" s="115"/>
      <c r="S920" s="34"/>
      <c r="T920" s="34"/>
      <c r="U920" s="34"/>
      <c r="V920" s="29"/>
    </row>
    <row r="921" spans="3:22">
      <c r="C921" s="125">
        <v>44838</v>
      </c>
      <c r="D921" s="34">
        <v>119.89</v>
      </c>
      <c r="E921" s="115">
        <v>123</v>
      </c>
      <c r="F921" s="34">
        <v>119.79</v>
      </c>
      <c r="G921" s="34">
        <v>121.09</v>
      </c>
      <c r="H921" s="34">
        <v>121.09</v>
      </c>
      <c r="I921" s="29">
        <v>62812600</v>
      </c>
      <c r="P921" s="125"/>
      <c r="Q921" s="34"/>
      <c r="R921" s="115"/>
      <c r="S921" s="34"/>
      <c r="T921" s="34"/>
      <c r="U921" s="34"/>
      <c r="V921" s="29"/>
    </row>
    <row r="922" spans="3:22">
      <c r="C922" s="125">
        <v>44838</v>
      </c>
      <c r="D922" s="34">
        <v>174.300003</v>
      </c>
      <c r="E922" s="115">
        <v>180.19000199999999</v>
      </c>
      <c r="F922" s="34">
        <v>174.21000699999999</v>
      </c>
      <c r="G922" s="34">
        <v>179.63000500000001</v>
      </c>
      <c r="H922" s="34">
        <v>177.589111</v>
      </c>
      <c r="I922" s="29">
        <v>4008200</v>
      </c>
      <c r="P922" s="125"/>
      <c r="Q922" s="34"/>
      <c r="R922" s="115"/>
      <c r="S922" s="34"/>
      <c r="T922" s="34"/>
      <c r="U922" s="34"/>
      <c r="V922" s="29"/>
    </row>
    <row r="923" spans="3:22">
      <c r="C923" s="125">
        <v>44837</v>
      </c>
      <c r="D923" s="34">
        <v>113.58</v>
      </c>
      <c r="E923" s="115">
        <v>116.91</v>
      </c>
      <c r="F923" s="34">
        <v>112.45</v>
      </c>
      <c r="G923" s="34">
        <v>115.88</v>
      </c>
      <c r="H923" s="34">
        <v>115.88</v>
      </c>
      <c r="I923" s="29">
        <v>50941900</v>
      </c>
      <c r="P923" s="125"/>
      <c r="Q923" s="34"/>
      <c r="R923" s="115"/>
      <c r="S923" s="34"/>
      <c r="T923" s="34"/>
      <c r="U923" s="34"/>
      <c r="V923" s="29"/>
    </row>
    <row r="924" spans="3:22">
      <c r="C924" s="125">
        <v>44837</v>
      </c>
      <c r="D924" s="34">
        <v>167.429993</v>
      </c>
      <c r="E924" s="115">
        <v>173.36999499999999</v>
      </c>
      <c r="F924" s="34">
        <v>166.050003</v>
      </c>
      <c r="G924" s="34">
        <v>171.229996</v>
      </c>
      <c r="H924" s="34">
        <v>169.28454600000001</v>
      </c>
      <c r="I924" s="29">
        <v>3444700</v>
      </c>
      <c r="P924" s="125"/>
      <c r="Q924" s="34"/>
      <c r="R924" s="115"/>
      <c r="S924" s="34"/>
      <c r="T924" s="34"/>
      <c r="U924" s="34"/>
      <c r="V924" s="29"/>
    </row>
    <row r="925" spans="3:22">
      <c r="C925" s="125">
        <v>44834</v>
      </c>
      <c r="D925" s="34">
        <v>114.08</v>
      </c>
      <c r="E925" s="115">
        <v>116.92</v>
      </c>
      <c r="F925" s="34">
        <v>112.84</v>
      </c>
      <c r="G925" s="34">
        <v>113</v>
      </c>
      <c r="H925" s="34">
        <v>113</v>
      </c>
      <c r="I925" s="29">
        <v>59479600</v>
      </c>
      <c r="P925" s="125"/>
      <c r="Q925" s="34"/>
      <c r="R925" s="115"/>
      <c r="S925" s="34"/>
      <c r="T925" s="34"/>
      <c r="U925" s="34"/>
      <c r="V925" s="29"/>
    </row>
    <row r="926" spans="3:22">
      <c r="C926" s="125">
        <v>44834</v>
      </c>
      <c r="D926" s="34">
        <v>165.88999899999999</v>
      </c>
      <c r="E926" s="115">
        <v>167.779999</v>
      </c>
      <c r="F926" s="34">
        <v>163.88999899999999</v>
      </c>
      <c r="G926" s="34">
        <v>164.08000200000001</v>
      </c>
      <c r="H926" s="34">
        <v>162.21577500000001</v>
      </c>
      <c r="I926" s="29">
        <v>2963000</v>
      </c>
      <c r="P926" s="125"/>
      <c r="Q926" s="34"/>
      <c r="R926" s="115"/>
      <c r="S926" s="34"/>
      <c r="T926" s="34"/>
      <c r="U926" s="34"/>
      <c r="V926" s="29"/>
    </row>
    <row r="927" spans="3:22">
      <c r="C927" s="125">
        <v>44833</v>
      </c>
      <c r="D927" s="34">
        <v>115.6</v>
      </c>
      <c r="E927" s="115">
        <v>116.07</v>
      </c>
      <c r="F927" s="34">
        <v>113.06</v>
      </c>
      <c r="G927" s="34">
        <v>114.8</v>
      </c>
      <c r="H927" s="34">
        <v>114.8</v>
      </c>
      <c r="I927" s="29">
        <v>58969700</v>
      </c>
      <c r="P927" s="125"/>
      <c r="Q927" s="34"/>
      <c r="R927" s="115"/>
      <c r="S927" s="34"/>
      <c r="T927" s="34"/>
      <c r="U927" s="34"/>
      <c r="V927" s="29"/>
    </row>
    <row r="928" spans="3:22">
      <c r="C928" s="125">
        <v>44833</v>
      </c>
      <c r="D928" s="34">
        <v>165.699997</v>
      </c>
      <c r="E928" s="115">
        <v>166.58999600000001</v>
      </c>
      <c r="F928" s="34">
        <v>163.53999300000001</v>
      </c>
      <c r="G928" s="34">
        <v>165.89999399999999</v>
      </c>
      <c r="H928" s="34">
        <v>164.015106</v>
      </c>
      <c r="I928" s="29">
        <v>3518100</v>
      </c>
      <c r="P928" s="125"/>
      <c r="Q928" s="34"/>
      <c r="R928" s="115"/>
      <c r="S928" s="34"/>
      <c r="T928" s="34"/>
      <c r="U928" s="34"/>
      <c r="V928" s="29"/>
    </row>
    <row r="929" spans="3:22">
      <c r="C929" s="125">
        <v>44832</v>
      </c>
      <c r="D929" s="34">
        <v>114.38</v>
      </c>
      <c r="E929" s="115">
        <v>118.7</v>
      </c>
      <c r="F929" s="34">
        <v>113.8</v>
      </c>
      <c r="G929" s="34">
        <v>118.01</v>
      </c>
      <c r="H929" s="34">
        <v>118.01</v>
      </c>
      <c r="I929" s="29">
        <v>55763800</v>
      </c>
      <c r="P929" s="125"/>
      <c r="Q929" s="34"/>
      <c r="R929" s="115"/>
      <c r="S929" s="34"/>
      <c r="T929" s="34"/>
      <c r="U929" s="34"/>
      <c r="V929" s="29"/>
    </row>
    <row r="930" spans="3:22">
      <c r="C930" s="125">
        <v>44832</v>
      </c>
      <c r="D930" s="34">
        <v>164.5</v>
      </c>
      <c r="E930" s="115">
        <v>168.479996</v>
      </c>
      <c r="F930" s="34">
        <v>163.53999300000001</v>
      </c>
      <c r="G930" s="34">
        <v>167.759995</v>
      </c>
      <c r="H930" s="34">
        <v>165.85395800000001</v>
      </c>
      <c r="I930" s="29">
        <v>3694800</v>
      </c>
      <c r="P930" s="125"/>
      <c r="Q930" s="34"/>
      <c r="R930" s="115"/>
      <c r="S930" s="34"/>
      <c r="T930" s="34"/>
      <c r="U930" s="34"/>
      <c r="V930" s="29"/>
    </row>
    <row r="931" spans="3:22">
      <c r="C931" s="125">
        <v>44831</v>
      </c>
      <c r="D931" s="34">
        <v>117.2</v>
      </c>
      <c r="E931" s="115">
        <v>118.32</v>
      </c>
      <c r="F931" s="34">
        <v>113.05</v>
      </c>
      <c r="G931" s="34">
        <v>114.41</v>
      </c>
      <c r="H931" s="34">
        <v>114.41</v>
      </c>
      <c r="I931" s="29">
        <v>60094700</v>
      </c>
      <c r="P931" s="125"/>
      <c r="Q931" s="34"/>
      <c r="R931" s="115"/>
      <c r="S931" s="34"/>
      <c r="T931" s="34"/>
      <c r="U931" s="34"/>
      <c r="V931" s="29"/>
    </row>
    <row r="932" spans="3:22">
      <c r="C932" s="125">
        <v>44831</v>
      </c>
      <c r="D932" s="34">
        <v>164.46000699999999</v>
      </c>
      <c r="E932" s="115">
        <v>164.570007</v>
      </c>
      <c r="F932" s="34">
        <v>160.60000600000001</v>
      </c>
      <c r="G932" s="34">
        <v>162.44000199999999</v>
      </c>
      <c r="H932" s="34">
        <v>160.59442100000001</v>
      </c>
      <c r="I932" s="29">
        <v>2753500</v>
      </c>
      <c r="P932" s="125"/>
      <c r="Q932" s="34"/>
      <c r="R932" s="115"/>
      <c r="S932" s="34"/>
      <c r="T932" s="34"/>
      <c r="U932" s="34"/>
      <c r="V932" s="29"/>
    </row>
    <row r="933" spans="3:22">
      <c r="C933" s="125">
        <v>44830</v>
      </c>
      <c r="D933" s="34">
        <v>113.3</v>
      </c>
      <c r="E933" s="115">
        <v>117.34</v>
      </c>
      <c r="F933" s="34">
        <v>113.13</v>
      </c>
      <c r="G933" s="34">
        <v>115.15</v>
      </c>
      <c r="H933" s="34">
        <v>115.15</v>
      </c>
      <c r="I933" s="29">
        <v>62723300</v>
      </c>
      <c r="P933" s="125"/>
      <c r="Q933" s="34"/>
      <c r="R933" s="115"/>
      <c r="S933" s="34"/>
      <c r="T933" s="34"/>
      <c r="U933" s="34"/>
      <c r="V933" s="29"/>
    </row>
    <row r="934" spans="3:22">
      <c r="C934" s="125">
        <v>44830</v>
      </c>
      <c r="D934" s="34">
        <v>164</v>
      </c>
      <c r="E934" s="115">
        <v>165.85000600000001</v>
      </c>
      <c r="F934" s="34">
        <v>162.220001</v>
      </c>
      <c r="G934" s="34">
        <v>162.61999499999999</v>
      </c>
      <c r="H934" s="34">
        <v>160.77235400000001</v>
      </c>
      <c r="I934" s="29">
        <v>3213400</v>
      </c>
      <c r="P934" s="125"/>
      <c r="Q934" s="34"/>
      <c r="R934" s="115"/>
      <c r="S934" s="34"/>
      <c r="T934" s="34"/>
      <c r="U934" s="34"/>
      <c r="V934" s="29"/>
    </row>
    <row r="935" spans="3:22">
      <c r="C935" s="125">
        <v>44827</v>
      </c>
      <c r="D935" s="34">
        <v>116</v>
      </c>
      <c r="E935" s="115">
        <v>116.05</v>
      </c>
      <c r="F935" s="34">
        <v>112.06</v>
      </c>
      <c r="G935" s="34">
        <v>113.78</v>
      </c>
      <c r="H935" s="34">
        <v>113.78</v>
      </c>
      <c r="I935" s="29">
        <v>65126700</v>
      </c>
      <c r="P935" s="125"/>
      <c r="Q935" s="34"/>
      <c r="R935" s="115"/>
      <c r="S935" s="34"/>
      <c r="T935" s="34"/>
      <c r="U935" s="34"/>
      <c r="V935" s="29"/>
    </row>
    <row r="936" spans="3:22">
      <c r="C936" s="125">
        <v>44827</v>
      </c>
      <c r="D936" s="34">
        <v>168.66000399999999</v>
      </c>
      <c r="E936" s="115">
        <v>169.44000199999999</v>
      </c>
      <c r="F936" s="34">
        <v>161.729996</v>
      </c>
      <c r="G936" s="34">
        <v>164.240005</v>
      </c>
      <c r="H936" s="34">
        <v>162.37397799999999</v>
      </c>
      <c r="I936" s="29">
        <v>4047200</v>
      </c>
      <c r="P936" s="125"/>
      <c r="Q936" s="34"/>
      <c r="R936" s="115"/>
      <c r="S936" s="34"/>
      <c r="T936" s="34"/>
      <c r="U936" s="34"/>
      <c r="V936" s="29"/>
    </row>
    <row r="937" spans="3:22">
      <c r="C937" s="125">
        <v>44826</v>
      </c>
      <c r="D937" s="34">
        <v>117.08</v>
      </c>
      <c r="E937" s="115">
        <v>118.79</v>
      </c>
      <c r="F937" s="34">
        <v>116.26</v>
      </c>
      <c r="G937" s="34">
        <v>117.31</v>
      </c>
      <c r="H937" s="34">
        <v>117.31</v>
      </c>
      <c r="I937" s="29">
        <v>55229200</v>
      </c>
      <c r="P937" s="125"/>
      <c r="Q937" s="34"/>
      <c r="R937" s="115"/>
      <c r="S937" s="34"/>
      <c r="T937" s="34"/>
      <c r="U937" s="34"/>
      <c r="V937" s="29"/>
    </row>
    <row r="938" spans="3:22">
      <c r="C938" s="125">
        <v>44826</v>
      </c>
      <c r="D938" s="34">
        <v>172.699997</v>
      </c>
      <c r="E938" s="115">
        <v>174.61999499999999</v>
      </c>
      <c r="F938" s="34">
        <v>170.28999300000001</v>
      </c>
      <c r="G938" s="34">
        <v>170.550003</v>
      </c>
      <c r="H938" s="34">
        <v>168.61227400000001</v>
      </c>
      <c r="I938" s="29">
        <v>2508400</v>
      </c>
      <c r="P938" s="125"/>
      <c r="Q938" s="34"/>
      <c r="R938" s="115"/>
      <c r="S938" s="34"/>
      <c r="T938" s="34"/>
      <c r="U938" s="34"/>
      <c r="V938" s="29"/>
    </row>
    <row r="939" spans="3:22">
      <c r="C939" s="125">
        <v>44825</v>
      </c>
      <c r="D939" s="34">
        <v>122.49</v>
      </c>
      <c r="E939" s="115">
        <v>123.76</v>
      </c>
      <c r="F939" s="34">
        <v>118.45</v>
      </c>
      <c r="G939" s="34">
        <v>118.54</v>
      </c>
      <c r="H939" s="34">
        <v>118.54</v>
      </c>
      <c r="I939" s="29">
        <v>58498900</v>
      </c>
      <c r="P939" s="125"/>
      <c r="Q939" s="34"/>
      <c r="R939" s="115"/>
      <c r="S939" s="34"/>
      <c r="T939" s="34"/>
      <c r="U939" s="34"/>
      <c r="V939" s="29"/>
    </row>
    <row r="940" spans="3:22">
      <c r="C940" s="125">
        <v>44825</v>
      </c>
      <c r="D940" s="34">
        <v>179.279999</v>
      </c>
      <c r="E940" s="115">
        <v>180.490005</v>
      </c>
      <c r="F940" s="34">
        <v>171.88000500000001</v>
      </c>
      <c r="G940" s="34">
        <v>171.949997</v>
      </c>
      <c r="H940" s="34">
        <v>169.996353</v>
      </c>
      <c r="I940" s="29">
        <v>4061900</v>
      </c>
      <c r="P940" s="125"/>
      <c r="Q940" s="34"/>
      <c r="R940" s="115"/>
      <c r="S940" s="34"/>
      <c r="T940" s="34"/>
      <c r="U940" s="34"/>
      <c r="V940" s="29"/>
    </row>
    <row r="941" spans="3:22">
      <c r="C941" s="125">
        <v>44824</v>
      </c>
      <c r="D941" s="34">
        <v>123.35</v>
      </c>
      <c r="E941" s="115">
        <v>124.4</v>
      </c>
      <c r="F941" s="34">
        <v>121.14</v>
      </c>
      <c r="G941" s="34">
        <v>122.19</v>
      </c>
      <c r="H941" s="34">
        <v>122.19</v>
      </c>
      <c r="I941" s="29">
        <v>47698400</v>
      </c>
      <c r="P941" s="125"/>
      <c r="Q941" s="34"/>
      <c r="R941" s="115"/>
      <c r="S941" s="34"/>
      <c r="T941" s="34"/>
      <c r="U941" s="34"/>
      <c r="V941" s="29"/>
    </row>
    <row r="942" spans="3:22">
      <c r="C942" s="125">
        <v>44824</v>
      </c>
      <c r="D942" s="34">
        <v>180.58999600000001</v>
      </c>
      <c r="E942" s="115">
        <v>180.720001</v>
      </c>
      <c r="F942" s="34">
        <v>176.30999800000001</v>
      </c>
      <c r="G942" s="34">
        <v>177.990005</v>
      </c>
      <c r="H942" s="34">
        <v>175.96774300000001</v>
      </c>
      <c r="I942" s="29">
        <v>2512400</v>
      </c>
      <c r="P942" s="125"/>
      <c r="Q942" s="34"/>
      <c r="R942" s="115"/>
      <c r="S942" s="34"/>
      <c r="T942" s="34"/>
      <c r="U942" s="34"/>
      <c r="V942" s="29"/>
    </row>
    <row r="943" spans="3:22">
      <c r="C943" s="125">
        <v>44823</v>
      </c>
      <c r="D943" s="34">
        <v>122.16</v>
      </c>
      <c r="E943" s="115">
        <v>124.71</v>
      </c>
      <c r="F943" s="34">
        <v>121.8</v>
      </c>
      <c r="G943" s="34">
        <v>124.66</v>
      </c>
      <c r="H943" s="34">
        <v>124.66</v>
      </c>
      <c r="I943" s="29">
        <v>47279700</v>
      </c>
      <c r="P943" s="125"/>
      <c r="Q943" s="34"/>
      <c r="R943" s="115"/>
      <c r="S943" s="34"/>
      <c r="T943" s="34"/>
      <c r="U943" s="34"/>
      <c r="V943" s="29"/>
    </row>
    <row r="944" spans="3:22">
      <c r="C944" s="125">
        <v>44823</v>
      </c>
      <c r="D944" s="34">
        <v>177.25</v>
      </c>
      <c r="E944" s="115">
        <v>182.729996</v>
      </c>
      <c r="F944" s="34">
        <v>176.800003</v>
      </c>
      <c r="G944" s="34">
        <v>182.11000100000001</v>
      </c>
      <c r="H944" s="34">
        <v>180.04093900000001</v>
      </c>
      <c r="I944" s="29">
        <v>2923700</v>
      </c>
      <c r="P944" s="125"/>
      <c r="Q944" s="34"/>
      <c r="R944" s="115"/>
      <c r="S944" s="34"/>
      <c r="T944" s="34"/>
      <c r="U944" s="34"/>
      <c r="V944" s="29"/>
    </row>
    <row r="945" spans="3:22">
      <c r="C945" s="125">
        <v>44820</v>
      </c>
      <c r="D945" s="34">
        <v>122.78</v>
      </c>
      <c r="E945" s="115">
        <v>123.87</v>
      </c>
      <c r="F945" s="34">
        <v>120.7</v>
      </c>
      <c r="G945" s="34">
        <v>123.53</v>
      </c>
      <c r="H945" s="34">
        <v>123.53</v>
      </c>
      <c r="I945" s="29">
        <v>115667800</v>
      </c>
      <c r="P945" s="125"/>
      <c r="Q945" s="34"/>
      <c r="R945" s="115"/>
      <c r="S945" s="34"/>
      <c r="T945" s="34"/>
      <c r="U945" s="34"/>
      <c r="V945" s="29"/>
    </row>
    <row r="946" spans="3:22">
      <c r="C946" s="125">
        <v>44820</v>
      </c>
      <c r="D946" s="34">
        <v>180</v>
      </c>
      <c r="E946" s="115">
        <v>180.33999600000001</v>
      </c>
      <c r="F946" s="34">
        <v>177.770004</v>
      </c>
      <c r="G946" s="34">
        <v>179.470001</v>
      </c>
      <c r="H946" s="34">
        <v>177.430939</v>
      </c>
      <c r="I946" s="29">
        <v>5088300</v>
      </c>
      <c r="P946" s="125"/>
      <c r="Q946" s="34"/>
      <c r="R946" s="115"/>
      <c r="S946" s="34"/>
      <c r="T946" s="34"/>
      <c r="U946" s="34"/>
      <c r="V946" s="29"/>
    </row>
    <row r="947" spans="3:22">
      <c r="C947" s="125">
        <v>44819</v>
      </c>
      <c r="D947" s="34">
        <v>127.38</v>
      </c>
      <c r="E947" s="115">
        <v>130.37</v>
      </c>
      <c r="F947" s="34">
        <v>125.5</v>
      </c>
      <c r="G947" s="34">
        <v>126.28</v>
      </c>
      <c r="H947" s="34">
        <v>126.28</v>
      </c>
      <c r="I947" s="29">
        <v>52887200</v>
      </c>
      <c r="P947" s="125"/>
      <c r="Q947" s="34"/>
      <c r="R947" s="115"/>
      <c r="S947" s="34"/>
      <c r="T947" s="34"/>
      <c r="U947" s="34"/>
      <c r="V947" s="29"/>
    </row>
    <row r="948" spans="3:22">
      <c r="C948" s="125">
        <v>44819</v>
      </c>
      <c r="D948" s="34">
        <v>184.66999799999999</v>
      </c>
      <c r="E948" s="115">
        <v>186.53999300000001</v>
      </c>
      <c r="F948" s="34">
        <v>181.679993</v>
      </c>
      <c r="G948" s="34">
        <v>182.490005</v>
      </c>
      <c r="H948" s="34">
        <v>180.41662600000001</v>
      </c>
      <c r="I948" s="29">
        <v>1933100</v>
      </c>
      <c r="P948" s="125"/>
      <c r="Q948" s="34"/>
      <c r="R948" s="115"/>
      <c r="S948" s="34"/>
      <c r="T948" s="34"/>
      <c r="U948" s="34"/>
      <c r="V948" s="29"/>
    </row>
    <row r="949" spans="3:22">
      <c r="C949" s="125">
        <v>44818</v>
      </c>
      <c r="D949" s="34">
        <v>127.36</v>
      </c>
      <c r="E949" s="115">
        <v>128.84</v>
      </c>
      <c r="F949" s="34">
        <v>126.33</v>
      </c>
      <c r="G949" s="34">
        <v>128.55000000000001</v>
      </c>
      <c r="H949" s="34">
        <v>128.55000000000001</v>
      </c>
      <c r="I949" s="29">
        <v>45316800</v>
      </c>
      <c r="P949" s="125"/>
      <c r="Q949" s="34"/>
      <c r="R949" s="115"/>
      <c r="S949" s="34"/>
      <c r="T949" s="34"/>
      <c r="U949" s="34"/>
      <c r="V949" s="29"/>
    </row>
    <row r="950" spans="3:22">
      <c r="C950" s="125">
        <v>44818</v>
      </c>
      <c r="D950" s="34">
        <v>183.91999799999999</v>
      </c>
      <c r="E950" s="115">
        <v>185.13999899999999</v>
      </c>
      <c r="F950" s="34">
        <v>181.86999499999999</v>
      </c>
      <c r="G950" s="34">
        <v>184.64999399999999</v>
      </c>
      <c r="H950" s="34">
        <v>182.552063</v>
      </c>
      <c r="I950" s="29">
        <v>2295000</v>
      </c>
      <c r="P950" s="125"/>
      <c r="Q950" s="34"/>
      <c r="R950" s="115"/>
      <c r="S950" s="34"/>
      <c r="T950" s="34"/>
      <c r="U950" s="34"/>
      <c r="V950" s="29"/>
    </row>
    <row r="951" spans="3:22">
      <c r="C951" s="125">
        <v>44817</v>
      </c>
      <c r="D951" s="34">
        <v>131.01</v>
      </c>
      <c r="E951" s="115">
        <v>131.4</v>
      </c>
      <c r="F951" s="34">
        <v>126.27</v>
      </c>
      <c r="G951" s="34">
        <v>126.82</v>
      </c>
      <c r="H951" s="34">
        <v>126.82</v>
      </c>
      <c r="I951" s="29">
        <v>72694000</v>
      </c>
      <c r="P951" s="125"/>
      <c r="Q951" s="34"/>
      <c r="R951" s="115"/>
      <c r="S951" s="34"/>
      <c r="T951" s="34"/>
      <c r="U951" s="34"/>
      <c r="V951" s="29"/>
    </row>
    <row r="952" spans="3:22">
      <c r="C952" s="125">
        <v>44817</v>
      </c>
      <c r="D952" s="34">
        <v>187.85000600000001</v>
      </c>
      <c r="E952" s="115">
        <v>190.050003</v>
      </c>
      <c r="F952" s="34">
        <v>183.5</v>
      </c>
      <c r="G952" s="34">
        <v>184.30999800000001</v>
      </c>
      <c r="H952" s="34">
        <v>182.21592699999999</v>
      </c>
      <c r="I952" s="29">
        <v>2207500</v>
      </c>
      <c r="P952" s="125"/>
      <c r="Q952" s="34"/>
      <c r="R952" s="115"/>
      <c r="S952" s="34"/>
      <c r="T952" s="34"/>
      <c r="U952" s="34"/>
      <c r="V952" s="29"/>
    </row>
    <row r="953" spans="3:22">
      <c r="C953" s="125">
        <v>44816</v>
      </c>
      <c r="D953" s="34">
        <v>134.1</v>
      </c>
      <c r="E953" s="115">
        <v>136.49</v>
      </c>
      <c r="F953" s="34">
        <v>134</v>
      </c>
      <c r="G953" s="34">
        <v>136.44999999999999</v>
      </c>
      <c r="H953" s="34">
        <v>136.44999999999999</v>
      </c>
      <c r="I953" s="29">
        <v>53826900</v>
      </c>
      <c r="P953" s="125"/>
      <c r="Q953" s="34"/>
      <c r="R953" s="115"/>
      <c r="S953" s="34"/>
      <c r="T953" s="34"/>
      <c r="U953" s="34"/>
      <c r="V953" s="29"/>
    </row>
    <row r="954" spans="3:22">
      <c r="C954" s="125">
        <v>44816</v>
      </c>
      <c r="D954" s="34">
        <v>190.85000600000001</v>
      </c>
      <c r="E954" s="115">
        <v>192.699997</v>
      </c>
      <c r="F954" s="34">
        <v>190.61000100000001</v>
      </c>
      <c r="G954" s="34">
        <v>192.39999399999999</v>
      </c>
      <c r="H954" s="34">
        <v>190.21400499999999</v>
      </c>
      <c r="I954" s="29">
        <v>1937200</v>
      </c>
      <c r="P954" s="125"/>
      <c r="Q954" s="34"/>
      <c r="R954" s="115"/>
      <c r="S954" s="34"/>
      <c r="T954" s="34"/>
      <c r="U954" s="34"/>
      <c r="V954" s="29"/>
    </row>
    <row r="955" spans="3:22">
      <c r="C955" s="125">
        <v>44813</v>
      </c>
      <c r="D955" s="34">
        <v>130.91</v>
      </c>
      <c r="E955" s="115">
        <v>133.69</v>
      </c>
      <c r="F955" s="34">
        <v>130.76</v>
      </c>
      <c r="G955" s="34">
        <v>133.27000000000001</v>
      </c>
      <c r="H955" s="34">
        <v>133.27000000000001</v>
      </c>
      <c r="I955" s="29">
        <v>49387600</v>
      </c>
      <c r="P955" s="125"/>
      <c r="Q955" s="34"/>
      <c r="R955" s="115"/>
      <c r="S955" s="34"/>
      <c r="T955" s="34"/>
      <c r="U955" s="34"/>
      <c r="V955" s="29"/>
    </row>
    <row r="956" spans="3:22">
      <c r="C956" s="125">
        <v>44813</v>
      </c>
      <c r="D956" s="34">
        <v>187.550003</v>
      </c>
      <c r="E956" s="115">
        <v>189.759995</v>
      </c>
      <c r="F956" s="34">
        <v>187.220001</v>
      </c>
      <c r="G956" s="34">
        <v>189.490005</v>
      </c>
      <c r="H956" s="34">
        <v>187.337097</v>
      </c>
      <c r="I956" s="29">
        <v>2279600</v>
      </c>
      <c r="P956" s="125"/>
      <c r="Q956" s="34"/>
      <c r="R956" s="115"/>
      <c r="S956" s="34"/>
      <c r="T956" s="34"/>
      <c r="U956" s="34"/>
      <c r="V956" s="29"/>
    </row>
    <row r="957" spans="3:22">
      <c r="C957" s="125">
        <v>44812</v>
      </c>
      <c r="D957" s="34">
        <v>127.72</v>
      </c>
      <c r="E957" s="115">
        <v>130.28</v>
      </c>
      <c r="F957" s="34">
        <v>127.1</v>
      </c>
      <c r="G957" s="34">
        <v>129.82</v>
      </c>
      <c r="H957" s="34">
        <v>129.82</v>
      </c>
      <c r="I957" s="29">
        <v>43988500</v>
      </c>
      <c r="P957" s="125"/>
      <c r="Q957" s="34"/>
      <c r="R957" s="115"/>
      <c r="S957" s="34"/>
      <c r="T957" s="34"/>
      <c r="U957" s="34"/>
      <c r="V957" s="29"/>
    </row>
    <row r="958" spans="3:22">
      <c r="C958" s="125">
        <v>44812</v>
      </c>
      <c r="D958" s="34">
        <v>179.679993</v>
      </c>
      <c r="E958" s="115">
        <v>183.279999</v>
      </c>
      <c r="F958" s="34">
        <v>178.08000200000001</v>
      </c>
      <c r="G958" s="34">
        <v>183.14999399999999</v>
      </c>
      <c r="H958" s="34">
        <v>181.06912199999999</v>
      </c>
      <c r="I958" s="29">
        <v>2245700</v>
      </c>
      <c r="P958" s="125"/>
      <c r="Q958" s="34"/>
      <c r="R958" s="115"/>
      <c r="S958" s="34"/>
      <c r="T958" s="34"/>
      <c r="U958" s="34"/>
      <c r="V958" s="29"/>
    </row>
    <row r="959" spans="3:22">
      <c r="C959" s="125">
        <v>44811</v>
      </c>
      <c r="D959" s="34">
        <v>126.12</v>
      </c>
      <c r="E959" s="115">
        <v>129.82</v>
      </c>
      <c r="F959" s="34">
        <v>125.4</v>
      </c>
      <c r="G959" s="34">
        <v>129.47999999999999</v>
      </c>
      <c r="H959" s="34">
        <v>129.47999999999999</v>
      </c>
      <c r="I959" s="29">
        <v>47900300</v>
      </c>
      <c r="P959" s="125"/>
      <c r="Q959" s="34"/>
      <c r="R959" s="115"/>
      <c r="S959" s="34"/>
      <c r="T959" s="34"/>
      <c r="U959" s="34"/>
      <c r="V959" s="29"/>
    </row>
    <row r="960" spans="3:22">
      <c r="C960" s="125">
        <v>44811</v>
      </c>
      <c r="D960" s="34">
        <v>179.11000100000001</v>
      </c>
      <c r="E960" s="115">
        <v>181.83999600000001</v>
      </c>
      <c r="F960" s="34">
        <v>178.19000199999999</v>
      </c>
      <c r="G960" s="34">
        <v>180.86000100000001</v>
      </c>
      <c r="H960" s="34">
        <v>178.80512999999999</v>
      </c>
      <c r="I960" s="29">
        <v>2166900</v>
      </c>
      <c r="P960" s="125"/>
      <c r="Q960" s="34"/>
      <c r="R960" s="115"/>
      <c r="S960" s="34"/>
      <c r="T960" s="34"/>
      <c r="U960" s="34"/>
      <c r="V960" s="29"/>
    </row>
    <row r="961" spans="3:22">
      <c r="C961" s="125">
        <v>44810</v>
      </c>
      <c r="D961" s="34">
        <v>127.92</v>
      </c>
      <c r="E961" s="115">
        <v>128.62</v>
      </c>
      <c r="F961" s="34">
        <v>124.74</v>
      </c>
      <c r="G961" s="34">
        <v>126.11</v>
      </c>
      <c r="H961" s="34">
        <v>126.11</v>
      </c>
      <c r="I961" s="29">
        <v>43888600</v>
      </c>
      <c r="P961" s="125"/>
      <c r="Q961" s="34"/>
      <c r="R961" s="115"/>
      <c r="S961" s="34"/>
      <c r="T961" s="34"/>
      <c r="U961" s="34"/>
      <c r="V961" s="29"/>
    </row>
    <row r="962" spans="3:22">
      <c r="C962" s="125">
        <v>44810</v>
      </c>
      <c r="D962" s="34">
        <v>182.89999399999999</v>
      </c>
      <c r="E962" s="115">
        <v>183.66000399999999</v>
      </c>
      <c r="F962" s="34">
        <v>179.58999600000001</v>
      </c>
      <c r="G962" s="34">
        <v>180.66000399999999</v>
      </c>
      <c r="H962" s="34">
        <v>178.60740699999999</v>
      </c>
      <c r="I962" s="29">
        <v>2141700</v>
      </c>
      <c r="P962" s="125"/>
      <c r="Q962" s="34"/>
      <c r="R962" s="115"/>
      <c r="S962" s="34"/>
      <c r="T962" s="34"/>
      <c r="U962" s="34"/>
      <c r="V962" s="29"/>
    </row>
    <row r="963" spans="3:22">
      <c r="C963" s="125">
        <v>44806</v>
      </c>
      <c r="D963" s="34">
        <v>129.5</v>
      </c>
      <c r="E963" s="115">
        <v>131.38</v>
      </c>
      <c r="F963" s="34">
        <v>126.39</v>
      </c>
      <c r="G963" s="34">
        <v>127.51</v>
      </c>
      <c r="H963" s="34">
        <v>127.51</v>
      </c>
      <c r="I963" s="29">
        <v>57429800</v>
      </c>
      <c r="P963" s="125"/>
      <c r="Q963" s="34"/>
      <c r="R963" s="115"/>
      <c r="S963" s="34"/>
      <c r="T963" s="34"/>
      <c r="U963" s="34"/>
      <c r="V963" s="29"/>
    </row>
    <row r="964" spans="3:22">
      <c r="C964" s="125">
        <v>44806</v>
      </c>
      <c r="D964" s="34">
        <v>184.85000600000001</v>
      </c>
      <c r="E964" s="115">
        <v>185.740005</v>
      </c>
      <c r="F964" s="34">
        <v>179.85000600000001</v>
      </c>
      <c r="G964" s="34">
        <v>180.83000200000001</v>
      </c>
      <c r="H964" s="34">
        <v>178.77546699999999</v>
      </c>
      <c r="I964" s="29">
        <v>2185400</v>
      </c>
      <c r="P964" s="125"/>
      <c r="Q964" s="34"/>
      <c r="R964" s="115"/>
      <c r="S964" s="34"/>
      <c r="T964" s="34"/>
      <c r="U964" s="34"/>
      <c r="V964" s="29"/>
    </row>
    <row r="965" spans="3:22">
      <c r="C965" s="125">
        <v>44805</v>
      </c>
      <c r="D965" s="34">
        <v>126</v>
      </c>
      <c r="E965" s="115">
        <v>128.02000000000001</v>
      </c>
      <c r="F965" s="34">
        <v>123.66</v>
      </c>
      <c r="G965" s="34">
        <v>127.82</v>
      </c>
      <c r="H965" s="34">
        <v>127.82</v>
      </c>
      <c r="I965" s="29">
        <v>56636100</v>
      </c>
      <c r="P965" s="125"/>
      <c r="Q965" s="34"/>
      <c r="R965" s="115"/>
      <c r="S965" s="34"/>
      <c r="T965" s="34"/>
      <c r="U965" s="34"/>
      <c r="V965" s="29"/>
    </row>
    <row r="966" spans="3:22">
      <c r="C966" s="125">
        <v>44805</v>
      </c>
      <c r="D966" s="34">
        <v>182.270004</v>
      </c>
      <c r="E966" s="115">
        <v>183.21000699999999</v>
      </c>
      <c r="F966" s="34">
        <v>180.10000600000001</v>
      </c>
      <c r="G966" s="34">
        <v>182.44000199999999</v>
      </c>
      <c r="H966" s="34">
        <v>180.367188</v>
      </c>
      <c r="I966" s="29">
        <v>2686200</v>
      </c>
      <c r="P966" s="125"/>
      <c r="Q966" s="34"/>
      <c r="R966" s="115"/>
      <c r="S966" s="34"/>
      <c r="T966" s="34"/>
      <c r="U966" s="34"/>
      <c r="V966" s="29"/>
    </row>
    <row r="967" spans="3:22">
      <c r="C967" s="125">
        <v>44804</v>
      </c>
      <c r="D967" s="34">
        <v>129.44999999999999</v>
      </c>
      <c r="E967" s="115">
        <v>130.59</v>
      </c>
      <c r="F967" s="34">
        <v>126.74</v>
      </c>
      <c r="G967" s="34">
        <v>126.77</v>
      </c>
      <c r="H967" s="34">
        <v>126.77</v>
      </c>
      <c r="I967" s="29">
        <v>53648700</v>
      </c>
      <c r="P967" s="125"/>
      <c r="Q967" s="34"/>
      <c r="R967" s="115"/>
      <c r="S967" s="34"/>
      <c r="T967" s="34"/>
      <c r="U967" s="34"/>
      <c r="V967" s="29"/>
    </row>
    <row r="968" spans="3:22">
      <c r="C968" s="125">
        <v>44804</v>
      </c>
      <c r="D968" s="34">
        <v>186.63000500000001</v>
      </c>
      <c r="E968" s="115">
        <v>188.05999800000001</v>
      </c>
      <c r="F968" s="34">
        <v>184.5</v>
      </c>
      <c r="G968" s="34">
        <v>184.71000699999999</v>
      </c>
      <c r="H968" s="34">
        <v>182.61140399999999</v>
      </c>
      <c r="I968" s="29">
        <v>2656600</v>
      </c>
      <c r="P968" s="125"/>
      <c r="Q968" s="34"/>
      <c r="R968" s="115"/>
      <c r="S968" s="34"/>
      <c r="T968" s="34"/>
      <c r="U968" s="34"/>
      <c r="V968" s="29"/>
    </row>
    <row r="969" spans="3:22">
      <c r="C969" s="125">
        <v>44803</v>
      </c>
      <c r="D969" s="34">
        <v>131.25</v>
      </c>
      <c r="E969" s="115">
        <v>132.07</v>
      </c>
      <c r="F969" s="34">
        <v>126.85</v>
      </c>
      <c r="G969" s="34">
        <v>128.72999999999999</v>
      </c>
      <c r="H969" s="34">
        <v>128.72999999999999</v>
      </c>
      <c r="I969" s="29">
        <v>49203000</v>
      </c>
      <c r="P969" s="125"/>
      <c r="Q969" s="34"/>
      <c r="R969" s="115"/>
      <c r="S969" s="34"/>
      <c r="T969" s="34"/>
      <c r="U969" s="34"/>
      <c r="V969" s="29"/>
    </row>
    <row r="970" spans="3:22">
      <c r="C970" s="125">
        <v>44803</v>
      </c>
      <c r="D970" s="34">
        <v>191.5</v>
      </c>
      <c r="E970" s="115">
        <v>191.96000699999999</v>
      </c>
      <c r="F970" s="34">
        <v>184.58999600000001</v>
      </c>
      <c r="G970" s="34">
        <v>186.94000199999999</v>
      </c>
      <c r="H970" s="34">
        <v>184.81605500000001</v>
      </c>
      <c r="I970" s="29">
        <v>2691200</v>
      </c>
      <c r="P970" s="125"/>
      <c r="Q970" s="34"/>
      <c r="R970" s="115"/>
      <c r="S970" s="34"/>
      <c r="T970" s="34"/>
      <c r="U970" s="34"/>
      <c r="V970" s="29"/>
    </row>
    <row r="971" spans="3:22">
      <c r="C971" s="125">
        <v>44802</v>
      </c>
      <c r="D971" s="34">
        <v>129.9</v>
      </c>
      <c r="E971" s="115">
        <v>131.94999999999999</v>
      </c>
      <c r="F971" s="34">
        <v>128.77000000000001</v>
      </c>
      <c r="G971" s="34">
        <v>129.79</v>
      </c>
      <c r="H971" s="34">
        <v>129.79</v>
      </c>
      <c r="I971" s="29">
        <v>48101600</v>
      </c>
      <c r="P971" s="125"/>
      <c r="Q971" s="34"/>
      <c r="R971" s="115"/>
      <c r="S971" s="34"/>
      <c r="T971" s="34"/>
      <c r="U971" s="34"/>
      <c r="V971" s="29"/>
    </row>
    <row r="972" spans="3:22">
      <c r="C972" s="125">
        <v>44802</v>
      </c>
      <c r="D972" s="34">
        <v>190</v>
      </c>
      <c r="E972" s="115">
        <v>193.16999799999999</v>
      </c>
      <c r="F972" s="34">
        <v>189</v>
      </c>
      <c r="G972" s="34">
        <v>191.779999</v>
      </c>
      <c r="H972" s="34">
        <v>189.60105899999999</v>
      </c>
      <c r="I972" s="29">
        <v>1996600</v>
      </c>
      <c r="P972" s="125"/>
      <c r="Q972" s="34"/>
      <c r="R972" s="115"/>
      <c r="S972" s="34"/>
      <c r="T972" s="34"/>
      <c r="U972" s="34"/>
      <c r="V972" s="29"/>
    </row>
    <row r="973" spans="3:22">
      <c r="C973" s="125">
        <v>44799</v>
      </c>
      <c r="D973" s="34">
        <v>136.55000000000001</v>
      </c>
      <c r="E973" s="115">
        <v>137.83000000000001</v>
      </c>
      <c r="F973" s="34">
        <v>130.5</v>
      </c>
      <c r="G973" s="34">
        <v>130.75</v>
      </c>
      <c r="H973" s="34">
        <v>130.75</v>
      </c>
      <c r="I973" s="29">
        <v>53322700</v>
      </c>
      <c r="P973" s="125"/>
      <c r="Q973" s="34"/>
      <c r="R973" s="115"/>
      <c r="S973" s="34"/>
      <c r="T973" s="34"/>
      <c r="U973" s="34"/>
      <c r="V973" s="29"/>
    </row>
    <row r="974" spans="3:22">
      <c r="C974" s="125">
        <v>44799</v>
      </c>
      <c r="D974" s="34">
        <v>199.39999399999999</v>
      </c>
      <c r="E974" s="115">
        <v>200.36999499999999</v>
      </c>
      <c r="F974" s="34">
        <v>191.729996</v>
      </c>
      <c r="G974" s="34">
        <v>191.91999799999999</v>
      </c>
      <c r="H974" s="34">
        <v>189.73947100000001</v>
      </c>
      <c r="I974" s="29">
        <v>2560400</v>
      </c>
      <c r="P974" s="125"/>
      <c r="Q974" s="34"/>
      <c r="R974" s="115"/>
      <c r="S974" s="34"/>
      <c r="T974" s="34"/>
      <c r="U974" s="34"/>
      <c r="V974" s="29"/>
    </row>
    <row r="975" spans="3:22">
      <c r="C975" s="125">
        <v>44798</v>
      </c>
      <c r="D975" s="34">
        <v>135.26</v>
      </c>
      <c r="E975" s="115">
        <v>137.41999999999999</v>
      </c>
      <c r="F975" s="34">
        <v>134.28</v>
      </c>
      <c r="G975" s="34">
        <v>137.28</v>
      </c>
      <c r="H975" s="34">
        <v>137.28</v>
      </c>
      <c r="I975" s="29">
        <v>37496300</v>
      </c>
      <c r="P975" s="125"/>
      <c r="Q975" s="34"/>
      <c r="R975" s="115"/>
      <c r="S975" s="34"/>
      <c r="T975" s="34"/>
      <c r="U975" s="34"/>
      <c r="V975" s="29"/>
    </row>
    <row r="976" spans="3:22">
      <c r="C976" s="125">
        <v>44798</v>
      </c>
      <c r="D976" s="34">
        <v>195.490005</v>
      </c>
      <c r="E976" s="115">
        <v>198.91000399999999</v>
      </c>
      <c r="F976" s="34">
        <v>194.570007</v>
      </c>
      <c r="G976" s="34">
        <v>198.88000500000001</v>
      </c>
      <c r="H976" s="34">
        <v>196.620407</v>
      </c>
      <c r="I976" s="29">
        <v>1888700</v>
      </c>
      <c r="P976" s="125"/>
      <c r="Q976" s="34"/>
      <c r="R976" s="115"/>
      <c r="S976" s="34"/>
      <c r="T976" s="34"/>
      <c r="U976" s="34"/>
      <c r="V976" s="29"/>
    </row>
    <row r="977" spans="3:22">
      <c r="C977" s="125">
        <v>44797</v>
      </c>
      <c r="D977" s="34">
        <v>132.75</v>
      </c>
      <c r="E977" s="115">
        <v>135.47</v>
      </c>
      <c r="F977" s="34">
        <v>132.1</v>
      </c>
      <c r="G977" s="34">
        <v>133.80000000000001</v>
      </c>
      <c r="H977" s="34">
        <v>133.80000000000001</v>
      </c>
      <c r="I977" s="29">
        <v>38627000</v>
      </c>
      <c r="P977" s="125"/>
      <c r="Q977" s="34"/>
      <c r="R977" s="115"/>
      <c r="S977" s="34"/>
      <c r="T977" s="34"/>
      <c r="U977" s="34"/>
      <c r="V977" s="29"/>
    </row>
    <row r="978" spans="3:22">
      <c r="C978" s="125">
        <v>44797</v>
      </c>
      <c r="D978" s="34">
        <v>197.55999800000001</v>
      </c>
      <c r="E978" s="115">
        <v>198.679993</v>
      </c>
      <c r="F978" s="34">
        <v>193.449997</v>
      </c>
      <c r="G978" s="34">
        <v>194.16000399999999</v>
      </c>
      <c r="H978" s="34">
        <v>191.95404099999999</v>
      </c>
      <c r="I978" s="29">
        <v>2503200</v>
      </c>
      <c r="P978" s="125"/>
      <c r="Q978" s="34"/>
      <c r="R978" s="115"/>
      <c r="S978" s="34"/>
      <c r="T978" s="34"/>
      <c r="U978" s="34"/>
      <c r="V978" s="29"/>
    </row>
    <row r="979" spans="3:22">
      <c r="C979" s="125">
        <v>44796</v>
      </c>
      <c r="D979" s="34">
        <v>133.41</v>
      </c>
      <c r="E979" s="115">
        <v>134.99</v>
      </c>
      <c r="F979" s="34">
        <v>132.94999999999999</v>
      </c>
      <c r="G979" s="34">
        <v>133.62</v>
      </c>
      <c r="H979" s="34">
        <v>133.62</v>
      </c>
      <c r="I979" s="29">
        <v>36252100</v>
      </c>
      <c r="P979" s="125"/>
      <c r="Q979" s="34"/>
      <c r="R979" s="115"/>
      <c r="S979" s="34"/>
      <c r="T979" s="34"/>
      <c r="U979" s="34"/>
      <c r="V979" s="29"/>
    </row>
    <row r="980" spans="3:22">
      <c r="C980" s="125">
        <v>44796</v>
      </c>
      <c r="D980" s="34">
        <v>192.75</v>
      </c>
      <c r="E980" s="115">
        <v>198.13999899999999</v>
      </c>
      <c r="F980" s="34">
        <v>192.479996</v>
      </c>
      <c r="G980" s="34">
        <v>197.21000699999999</v>
      </c>
      <c r="H980" s="34">
        <v>194.96937600000001</v>
      </c>
      <c r="I980" s="29">
        <v>2444900</v>
      </c>
      <c r="P980" s="125"/>
      <c r="Q980" s="34"/>
      <c r="R980" s="115"/>
      <c r="S980" s="34"/>
      <c r="T980" s="34"/>
      <c r="U980" s="34"/>
      <c r="V980" s="29"/>
    </row>
    <row r="981" spans="3:22">
      <c r="C981" s="125">
        <v>44795</v>
      </c>
      <c r="D981" s="34">
        <v>135.72</v>
      </c>
      <c r="E981" s="115">
        <v>136.32</v>
      </c>
      <c r="F981" s="34">
        <v>132.85</v>
      </c>
      <c r="G981" s="34">
        <v>133.22</v>
      </c>
      <c r="H981" s="34">
        <v>133.22</v>
      </c>
      <c r="I981" s="29">
        <v>50461500</v>
      </c>
      <c r="P981" s="125"/>
      <c r="Q981" s="34"/>
      <c r="R981" s="115"/>
      <c r="S981" s="34"/>
      <c r="T981" s="34"/>
      <c r="U981" s="34"/>
      <c r="V981" s="29"/>
    </row>
    <row r="982" spans="3:22">
      <c r="C982" s="125">
        <v>44795</v>
      </c>
      <c r="D982" s="34">
        <v>193.11000100000001</v>
      </c>
      <c r="E982" s="115">
        <v>193.929993</v>
      </c>
      <c r="F982" s="34">
        <v>191.550003</v>
      </c>
      <c r="G982" s="34">
        <v>191.759995</v>
      </c>
      <c r="H982" s="34">
        <v>189.58128400000001</v>
      </c>
      <c r="I982" s="29">
        <v>2008900</v>
      </c>
      <c r="P982" s="125"/>
      <c r="Q982" s="34"/>
      <c r="R982" s="115"/>
      <c r="S982" s="34"/>
      <c r="T982" s="34"/>
      <c r="U982" s="34"/>
      <c r="V982" s="29"/>
    </row>
    <row r="983" spans="3:22">
      <c r="C983" s="125">
        <v>44792</v>
      </c>
      <c r="D983" s="34">
        <v>140.47</v>
      </c>
      <c r="E983" s="115">
        <v>141.11000000000001</v>
      </c>
      <c r="F983" s="34">
        <v>137.91</v>
      </c>
      <c r="G983" s="34">
        <v>138.22999999999999</v>
      </c>
      <c r="H983" s="34">
        <v>138.22999999999999</v>
      </c>
      <c r="I983" s="29">
        <v>47792800</v>
      </c>
      <c r="P983" s="125"/>
      <c r="Q983" s="34"/>
      <c r="R983" s="115"/>
      <c r="S983" s="34"/>
      <c r="T983" s="34"/>
      <c r="U983" s="34"/>
      <c r="V983" s="29"/>
    </row>
    <row r="984" spans="3:22">
      <c r="C984" s="125">
        <v>44792</v>
      </c>
      <c r="D984" s="34">
        <v>195.270004</v>
      </c>
      <c r="E984" s="115">
        <v>197.220001</v>
      </c>
      <c r="F984" s="34">
        <v>193.80999800000001</v>
      </c>
      <c r="G984" s="34">
        <v>195.60000600000001</v>
      </c>
      <c r="H984" s="34">
        <v>193.37766999999999</v>
      </c>
      <c r="I984" s="29">
        <v>2003600</v>
      </c>
      <c r="P984" s="125"/>
      <c r="Q984" s="34"/>
      <c r="R984" s="115"/>
      <c r="S984" s="34"/>
      <c r="T984" s="34"/>
      <c r="U984" s="34"/>
      <c r="V984" s="29"/>
    </row>
    <row r="985" spans="3:22">
      <c r="C985" s="125">
        <v>44791</v>
      </c>
      <c r="D985" s="34">
        <v>141.32</v>
      </c>
      <c r="E985" s="115">
        <v>142.77000000000001</v>
      </c>
      <c r="F985" s="34">
        <v>140.38</v>
      </c>
      <c r="G985" s="34">
        <v>142.30000000000001</v>
      </c>
      <c r="H985" s="34">
        <v>142.30000000000001</v>
      </c>
      <c r="I985" s="29">
        <v>37458700</v>
      </c>
      <c r="P985" s="125"/>
      <c r="Q985" s="34"/>
      <c r="R985" s="115"/>
      <c r="S985" s="34"/>
      <c r="T985" s="34"/>
      <c r="U985" s="34"/>
      <c r="V985" s="29"/>
    </row>
    <row r="986" spans="3:22">
      <c r="C986" s="125">
        <v>44791</v>
      </c>
      <c r="D986" s="34">
        <v>197.050003</v>
      </c>
      <c r="E986" s="115">
        <v>197.63000500000001</v>
      </c>
      <c r="F986" s="34">
        <v>195.25</v>
      </c>
      <c r="G986" s="34">
        <v>197.35000600000001</v>
      </c>
      <c r="H986" s="34">
        <v>195.107788</v>
      </c>
      <c r="I986" s="29">
        <v>1750900</v>
      </c>
      <c r="P986" s="125"/>
      <c r="Q986" s="34"/>
      <c r="R986" s="115"/>
      <c r="S986" s="34"/>
      <c r="T986" s="34"/>
      <c r="U986" s="34"/>
      <c r="V986" s="29"/>
    </row>
    <row r="987" spans="3:22">
      <c r="C987" s="125">
        <v>44790</v>
      </c>
      <c r="D987" s="34">
        <v>142.69</v>
      </c>
      <c r="E987" s="115">
        <v>143.38</v>
      </c>
      <c r="F987" s="34">
        <v>140.78</v>
      </c>
      <c r="G987" s="34">
        <v>142.1</v>
      </c>
      <c r="H987" s="34">
        <v>142.1</v>
      </c>
      <c r="I987" s="29">
        <v>48149800</v>
      </c>
      <c r="P987" s="125"/>
      <c r="Q987" s="34"/>
      <c r="R987" s="115"/>
      <c r="S987" s="34"/>
      <c r="T987" s="34"/>
      <c r="U987" s="34"/>
      <c r="V987" s="29"/>
    </row>
    <row r="988" spans="3:22">
      <c r="C988" s="125">
        <v>44790</v>
      </c>
      <c r="D988" s="34">
        <v>195</v>
      </c>
      <c r="E988" s="115">
        <v>196.89999399999999</v>
      </c>
      <c r="F988" s="34">
        <v>193.86999499999999</v>
      </c>
      <c r="G988" s="34">
        <v>195.929993</v>
      </c>
      <c r="H988" s="34">
        <v>193.70391799999999</v>
      </c>
      <c r="I988" s="29">
        <v>1576200</v>
      </c>
      <c r="P988" s="125"/>
      <c r="Q988" s="34"/>
      <c r="R988" s="115"/>
      <c r="S988" s="34"/>
      <c r="T988" s="34"/>
      <c r="U988" s="34"/>
      <c r="V988" s="29"/>
    </row>
    <row r="989" spans="3:22">
      <c r="C989" s="125">
        <v>44789</v>
      </c>
      <c r="D989" s="34">
        <v>143.91</v>
      </c>
      <c r="E989" s="115">
        <v>146.57</v>
      </c>
      <c r="F989" s="34">
        <v>142</v>
      </c>
      <c r="G989" s="34">
        <v>144.78</v>
      </c>
      <c r="H989" s="34">
        <v>144.78</v>
      </c>
      <c r="I989" s="29">
        <v>59102900</v>
      </c>
      <c r="P989" s="125"/>
      <c r="Q989" s="34"/>
      <c r="R989" s="115"/>
      <c r="S989" s="34"/>
      <c r="T989" s="34"/>
      <c r="U989" s="34"/>
      <c r="V989" s="29"/>
    </row>
    <row r="990" spans="3:22">
      <c r="C990" s="125">
        <v>44789</v>
      </c>
      <c r="D990" s="34">
        <v>195.320007</v>
      </c>
      <c r="E990" s="115">
        <v>198.39999399999999</v>
      </c>
      <c r="F990" s="34">
        <v>194.949997</v>
      </c>
      <c r="G990" s="34">
        <v>197.520004</v>
      </c>
      <c r="H990" s="34">
        <v>195.275848</v>
      </c>
      <c r="I990" s="29">
        <v>1959300</v>
      </c>
      <c r="P990" s="125"/>
      <c r="Q990" s="34"/>
      <c r="R990" s="115"/>
      <c r="S990" s="34"/>
      <c r="T990" s="34"/>
      <c r="U990" s="34"/>
      <c r="V990" s="29"/>
    </row>
    <row r="991" spans="3:22">
      <c r="C991" s="125">
        <v>44788</v>
      </c>
      <c r="D991" s="34">
        <v>142.80000000000001</v>
      </c>
      <c r="E991" s="115">
        <v>143.76</v>
      </c>
      <c r="F991" s="34">
        <v>141.49</v>
      </c>
      <c r="G991" s="34">
        <v>143.18</v>
      </c>
      <c r="H991" s="34">
        <v>143.18</v>
      </c>
      <c r="I991" s="29">
        <v>39014600</v>
      </c>
      <c r="P991" s="125"/>
      <c r="Q991" s="34"/>
      <c r="R991" s="115"/>
      <c r="S991" s="34"/>
      <c r="T991" s="34"/>
      <c r="U991" s="34"/>
      <c r="V991" s="29"/>
    </row>
    <row r="992" spans="3:22">
      <c r="C992" s="125">
        <v>44788</v>
      </c>
      <c r="D992" s="34">
        <v>193.39999399999999</v>
      </c>
      <c r="E992" s="115">
        <v>196.5</v>
      </c>
      <c r="F992" s="34">
        <v>193.070007</v>
      </c>
      <c r="G992" s="34">
        <v>195.949997</v>
      </c>
      <c r="H992" s="34">
        <v>193.723679</v>
      </c>
      <c r="I992" s="29">
        <v>1752400</v>
      </c>
      <c r="P992" s="125"/>
      <c r="Q992" s="34"/>
      <c r="R992" s="115"/>
      <c r="S992" s="34"/>
      <c r="T992" s="34"/>
      <c r="U992" s="34"/>
      <c r="V992" s="29"/>
    </row>
    <row r="993" spans="3:22">
      <c r="C993" s="125">
        <v>44785</v>
      </c>
      <c r="D993" s="34">
        <v>142.05000000000001</v>
      </c>
      <c r="E993" s="115">
        <v>143.57</v>
      </c>
      <c r="F993" s="34">
        <v>140.12</v>
      </c>
      <c r="G993" s="34">
        <v>143.55000000000001</v>
      </c>
      <c r="H993" s="34">
        <v>143.55000000000001</v>
      </c>
      <c r="I993" s="29">
        <v>47643500</v>
      </c>
      <c r="P993" s="125"/>
      <c r="Q993" s="34"/>
      <c r="R993" s="115"/>
      <c r="S993" s="34"/>
      <c r="T993" s="34"/>
      <c r="U993" s="34"/>
      <c r="V993" s="29"/>
    </row>
    <row r="994" spans="3:22">
      <c r="C994" s="125">
        <v>44785</v>
      </c>
      <c r="D994" s="34">
        <v>194.88999899999999</v>
      </c>
      <c r="E994" s="115">
        <v>196.970001</v>
      </c>
      <c r="F994" s="34">
        <v>193.800003</v>
      </c>
      <c r="G994" s="34">
        <v>196.83999600000001</v>
      </c>
      <c r="H994" s="34">
        <v>194.60356100000001</v>
      </c>
      <c r="I994" s="29">
        <v>1864800</v>
      </c>
      <c r="P994" s="125"/>
      <c r="Q994" s="34"/>
      <c r="R994" s="115"/>
      <c r="S994" s="34"/>
      <c r="T994" s="34"/>
      <c r="U994" s="34"/>
      <c r="V994" s="29"/>
    </row>
    <row r="995" spans="3:22">
      <c r="C995" s="125">
        <v>44784</v>
      </c>
      <c r="D995" s="34">
        <v>143.86000000000001</v>
      </c>
      <c r="E995" s="115">
        <v>144.49</v>
      </c>
      <c r="F995" s="34">
        <v>139.76</v>
      </c>
      <c r="G995" s="34">
        <v>140.63999999999999</v>
      </c>
      <c r="H995" s="34">
        <v>140.63999999999999</v>
      </c>
      <c r="I995" s="29">
        <v>44867300</v>
      </c>
      <c r="P995" s="125"/>
      <c r="Q995" s="34"/>
      <c r="R995" s="115"/>
      <c r="S995" s="34"/>
      <c r="T995" s="34"/>
      <c r="U995" s="34"/>
      <c r="V995" s="29"/>
    </row>
    <row r="996" spans="3:22">
      <c r="C996" s="125">
        <v>44784</v>
      </c>
      <c r="D996" s="34">
        <v>192.83000200000001</v>
      </c>
      <c r="E996" s="115">
        <v>195.58000200000001</v>
      </c>
      <c r="F996" s="34">
        <v>191.91000399999999</v>
      </c>
      <c r="G996" s="34">
        <v>194</v>
      </c>
      <c r="H996" s="34">
        <v>191.79583700000001</v>
      </c>
      <c r="I996" s="29">
        <v>2538900</v>
      </c>
      <c r="P996" s="125"/>
      <c r="Q996" s="34"/>
      <c r="R996" s="115"/>
      <c r="S996" s="34"/>
      <c r="T996" s="34"/>
      <c r="U996" s="34"/>
      <c r="V996" s="29"/>
    </row>
    <row r="997" spans="3:22">
      <c r="C997" s="125">
        <v>44783</v>
      </c>
      <c r="D997" s="34">
        <v>142.9</v>
      </c>
      <c r="E997" s="115">
        <v>144.6</v>
      </c>
      <c r="F997" s="34">
        <v>141.01</v>
      </c>
      <c r="G997" s="34">
        <v>142.69</v>
      </c>
      <c r="H997" s="34">
        <v>142.69</v>
      </c>
      <c r="I997" s="29">
        <v>54773800</v>
      </c>
      <c r="P997" s="125"/>
      <c r="Q997" s="34"/>
      <c r="R997" s="115"/>
      <c r="S997" s="34"/>
      <c r="T997" s="34"/>
      <c r="U997" s="34"/>
      <c r="V997" s="29"/>
    </row>
    <row r="998" spans="3:22">
      <c r="C998" s="125">
        <v>44783</v>
      </c>
      <c r="D998" s="34">
        <v>188.729996</v>
      </c>
      <c r="E998" s="115">
        <v>191.520004</v>
      </c>
      <c r="F998" s="34">
        <v>187.449997</v>
      </c>
      <c r="G998" s="34">
        <v>190.720001</v>
      </c>
      <c r="H998" s="34">
        <v>188.553101</v>
      </c>
      <c r="I998" s="29">
        <v>2304300</v>
      </c>
      <c r="P998" s="125"/>
      <c r="Q998" s="34"/>
      <c r="R998" s="115"/>
      <c r="S998" s="34"/>
      <c r="T998" s="34"/>
      <c r="U998" s="34"/>
      <c r="V998" s="29"/>
    </row>
    <row r="999" spans="3:22">
      <c r="C999" s="125">
        <v>44782</v>
      </c>
      <c r="D999" s="34">
        <v>138.05000000000001</v>
      </c>
      <c r="E999" s="115">
        <v>138.94999999999999</v>
      </c>
      <c r="F999" s="34">
        <v>136.21</v>
      </c>
      <c r="G999" s="34">
        <v>137.83000000000001</v>
      </c>
      <c r="H999" s="34">
        <v>137.83000000000001</v>
      </c>
      <c r="I999" s="29">
        <v>40434700</v>
      </c>
      <c r="P999" s="125"/>
      <c r="Q999" s="34"/>
      <c r="R999" s="115"/>
      <c r="S999" s="34"/>
      <c r="T999" s="34"/>
      <c r="U999" s="34"/>
      <c r="V999" s="29"/>
    </row>
    <row r="1000" spans="3:22">
      <c r="C1000" s="125">
        <v>44782</v>
      </c>
      <c r="D1000" s="34">
        <v>185.949997</v>
      </c>
      <c r="E1000" s="115">
        <v>187.88000500000001</v>
      </c>
      <c r="F1000" s="34">
        <v>185.16000399999999</v>
      </c>
      <c r="G1000" s="34">
        <v>186.029999</v>
      </c>
      <c r="H1000" s="34">
        <v>183.91639699999999</v>
      </c>
      <c r="I1000" s="29">
        <v>2460000</v>
      </c>
      <c r="P1000" s="125"/>
      <c r="Q1000" s="34"/>
      <c r="R1000" s="115"/>
      <c r="S1000" s="34"/>
      <c r="T1000" s="34"/>
      <c r="U1000" s="34"/>
      <c r="V1000" s="29"/>
    </row>
    <row r="1001" spans="3:22">
      <c r="C1001" s="125">
        <v>44781</v>
      </c>
      <c r="D1001" s="34">
        <v>142.05000000000001</v>
      </c>
      <c r="E1001" s="115">
        <v>144.22999999999999</v>
      </c>
      <c r="F1001" s="34">
        <v>138.29</v>
      </c>
      <c r="G1001" s="34">
        <v>139.41</v>
      </c>
      <c r="H1001" s="34">
        <v>139.41</v>
      </c>
      <c r="I1001" s="29">
        <v>52229000</v>
      </c>
      <c r="P1001" s="125"/>
      <c r="Q1001" s="34"/>
      <c r="R1001" s="115"/>
      <c r="S1001" s="34"/>
      <c r="T1001" s="34"/>
      <c r="U1001" s="34"/>
      <c r="V1001" s="29"/>
    </row>
    <row r="1002" spans="3:22">
      <c r="C1002" s="125">
        <v>44781</v>
      </c>
      <c r="D1002" s="34">
        <v>186.770004</v>
      </c>
      <c r="E1002" s="115">
        <v>188</v>
      </c>
      <c r="F1002" s="34">
        <v>184.16000399999999</v>
      </c>
      <c r="G1002" s="34">
        <v>185.80999800000001</v>
      </c>
      <c r="H1002" s="34">
        <v>183.69889800000001</v>
      </c>
      <c r="I1002" s="29">
        <v>2655000</v>
      </c>
      <c r="P1002" s="125"/>
      <c r="Q1002" s="34"/>
      <c r="R1002" s="115"/>
      <c r="S1002" s="34"/>
      <c r="T1002" s="34"/>
      <c r="U1002" s="34"/>
      <c r="V1002" s="29"/>
    </row>
    <row r="1003" spans="3:22">
      <c r="C1003" s="125">
        <v>44778</v>
      </c>
      <c r="D1003" s="34">
        <v>140.1</v>
      </c>
      <c r="E1003" s="115">
        <v>142.86000000000001</v>
      </c>
      <c r="F1003" s="34">
        <v>139.6</v>
      </c>
      <c r="G1003" s="34">
        <v>140.80000000000001</v>
      </c>
      <c r="H1003" s="34">
        <v>140.80000000000001</v>
      </c>
      <c r="I1003" s="29">
        <v>50686900</v>
      </c>
      <c r="P1003" s="125"/>
      <c r="Q1003" s="34"/>
      <c r="R1003" s="115"/>
      <c r="S1003" s="34"/>
      <c r="T1003" s="34"/>
      <c r="U1003" s="34"/>
      <c r="V1003" s="29"/>
    </row>
    <row r="1004" spans="3:22">
      <c r="C1004" s="125">
        <v>44778</v>
      </c>
      <c r="D1004" s="34">
        <v>183.58000200000001</v>
      </c>
      <c r="E1004" s="115">
        <v>186.10000600000001</v>
      </c>
      <c r="F1004" s="34">
        <v>183.229996</v>
      </c>
      <c r="G1004" s="34">
        <v>185.38999899999999</v>
      </c>
      <c r="H1004" s="34">
        <v>183.283661</v>
      </c>
      <c r="I1004" s="29">
        <v>1908500</v>
      </c>
      <c r="P1004" s="125"/>
      <c r="Q1004" s="34"/>
      <c r="R1004" s="115"/>
      <c r="S1004" s="34"/>
      <c r="T1004" s="34"/>
      <c r="U1004" s="34"/>
      <c r="V1004" s="29"/>
    </row>
    <row r="1005" spans="3:22">
      <c r="C1005" s="125">
        <v>44777</v>
      </c>
      <c r="D1005" s="34">
        <v>140.58000000000001</v>
      </c>
      <c r="E1005" s="115">
        <v>143.56</v>
      </c>
      <c r="F1005" s="34">
        <v>139.55000000000001</v>
      </c>
      <c r="G1005" s="34">
        <v>142.57</v>
      </c>
      <c r="H1005" s="34">
        <v>142.57</v>
      </c>
      <c r="I1005" s="29">
        <v>70585000</v>
      </c>
      <c r="P1005" s="125"/>
      <c r="Q1005" s="34"/>
      <c r="R1005" s="115"/>
      <c r="S1005" s="34"/>
      <c r="T1005" s="34"/>
      <c r="U1005" s="34"/>
      <c r="V1005" s="29"/>
    </row>
    <row r="1006" spans="3:22">
      <c r="C1006" s="125">
        <v>44777</v>
      </c>
      <c r="D1006" s="34">
        <v>182.86000100000001</v>
      </c>
      <c r="E1006" s="115">
        <v>185.929993</v>
      </c>
      <c r="F1006" s="34">
        <v>181.11999499999999</v>
      </c>
      <c r="G1006" s="34">
        <v>183.63999899999999</v>
      </c>
      <c r="H1006" s="34">
        <v>181.55354299999999</v>
      </c>
      <c r="I1006" s="29">
        <v>2478900</v>
      </c>
      <c r="P1006" s="125"/>
      <c r="Q1006" s="34"/>
      <c r="R1006" s="115"/>
      <c r="S1006" s="34"/>
      <c r="T1006" s="34"/>
      <c r="U1006" s="34"/>
      <c r="V1006" s="29"/>
    </row>
    <row r="1007" spans="3:22">
      <c r="C1007" s="125">
        <v>44776</v>
      </c>
      <c r="D1007" s="34">
        <v>136.21</v>
      </c>
      <c r="E1007" s="115">
        <v>140.49</v>
      </c>
      <c r="F1007" s="34">
        <v>136.05000000000001</v>
      </c>
      <c r="G1007" s="34">
        <v>139.52000000000001</v>
      </c>
      <c r="H1007" s="34">
        <v>139.52000000000001</v>
      </c>
      <c r="I1007" s="29">
        <v>71827800</v>
      </c>
      <c r="P1007" s="125"/>
      <c r="Q1007" s="34"/>
      <c r="R1007" s="115"/>
      <c r="S1007" s="34"/>
      <c r="T1007" s="34"/>
      <c r="U1007" s="34"/>
      <c r="V1007" s="29"/>
    </row>
    <row r="1008" spans="3:22">
      <c r="C1008" s="125">
        <v>44776</v>
      </c>
      <c r="D1008" s="34">
        <v>183.320007</v>
      </c>
      <c r="E1008" s="115">
        <v>185.44000199999999</v>
      </c>
      <c r="F1008" s="34">
        <v>181.60000600000001</v>
      </c>
      <c r="G1008" s="34">
        <v>182.86999499999999</v>
      </c>
      <c r="H1008" s="34">
        <v>180.79229699999999</v>
      </c>
      <c r="I1008" s="29">
        <v>4155900</v>
      </c>
      <c r="P1008" s="125"/>
      <c r="Q1008" s="34"/>
      <c r="R1008" s="115"/>
      <c r="S1008" s="34"/>
      <c r="T1008" s="34"/>
      <c r="U1008" s="34"/>
      <c r="V1008" s="29"/>
    </row>
    <row r="1009" spans="3:22">
      <c r="C1009" s="125">
        <v>44775</v>
      </c>
      <c r="D1009" s="34">
        <v>134.72</v>
      </c>
      <c r="E1009" s="115">
        <v>137.44</v>
      </c>
      <c r="F1009" s="34">
        <v>134.09</v>
      </c>
      <c r="G1009" s="34">
        <v>134.16</v>
      </c>
      <c r="H1009" s="34">
        <v>134.16</v>
      </c>
      <c r="I1009" s="29">
        <v>61922400</v>
      </c>
      <c r="P1009" s="125"/>
      <c r="Q1009" s="34"/>
      <c r="R1009" s="115"/>
      <c r="S1009" s="34"/>
      <c r="T1009" s="34"/>
      <c r="U1009" s="34"/>
      <c r="V1009" s="29"/>
    </row>
    <row r="1010" spans="3:22">
      <c r="C1010" s="125">
        <v>44775</v>
      </c>
      <c r="D1010" s="34">
        <v>188</v>
      </c>
      <c r="E1010" s="115">
        <v>189.470001</v>
      </c>
      <c r="F1010" s="34">
        <v>183.16000399999999</v>
      </c>
      <c r="G1010" s="34">
        <v>183.509995</v>
      </c>
      <c r="H1010" s="34">
        <v>181.42501799999999</v>
      </c>
      <c r="I1010" s="29">
        <v>8193100</v>
      </c>
      <c r="P1010" s="125"/>
      <c r="Q1010" s="34"/>
      <c r="R1010" s="115"/>
      <c r="S1010" s="34"/>
      <c r="T1010" s="34"/>
      <c r="U1010" s="34"/>
      <c r="V1010" s="29"/>
    </row>
    <row r="1011" spans="3:22">
      <c r="C1011" s="125">
        <v>44774</v>
      </c>
      <c r="D1011" s="34">
        <v>134.96</v>
      </c>
      <c r="E1011" s="115">
        <v>138.83000000000001</v>
      </c>
      <c r="F1011" s="34">
        <v>133.51</v>
      </c>
      <c r="G1011" s="34">
        <v>135.38999999999999</v>
      </c>
      <c r="H1011" s="34">
        <v>135.38999999999999</v>
      </c>
      <c r="I1011" s="29">
        <v>76846900</v>
      </c>
      <c r="P1011" s="125"/>
      <c r="Q1011" s="34"/>
      <c r="R1011" s="115"/>
      <c r="S1011" s="34"/>
      <c r="T1011" s="34"/>
      <c r="U1011" s="34"/>
      <c r="V1011" s="29"/>
    </row>
    <row r="1012" spans="3:22">
      <c r="C1012" s="125">
        <v>44774</v>
      </c>
      <c r="D1012" s="34">
        <v>195.08000200000001</v>
      </c>
      <c r="E1012" s="115">
        <v>197.19000199999999</v>
      </c>
      <c r="F1012" s="34">
        <v>193.39999399999999</v>
      </c>
      <c r="G1012" s="34">
        <v>194.86000100000001</v>
      </c>
      <c r="H1012" s="34">
        <v>192.646072</v>
      </c>
      <c r="I1012" s="29">
        <v>3185100</v>
      </c>
      <c r="P1012" s="125"/>
      <c r="Q1012" s="34"/>
      <c r="R1012" s="115"/>
      <c r="S1012" s="34"/>
      <c r="T1012" s="34"/>
      <c r="U1012" s="34"/>
      <c r="V1012" s="29"/>
    </row>
    <row r="1013" spans="3:22">
      <c r="C1013" s="125">
        <v>44771</v>
      </c>
      <c r="D1013" s="34">
        <v>134.9</v>
      </c>
      <c r="E1013" s="115">
        <v>137.65</v>
      </c>
      <c r="F1013" s="34">
        <v>132.41</v>
      </c>
      <c r="G1013" s="34">
        <v>134.94999999999999</v>
      </c>
      <c r="H1013" s="34">
        <v>134.94999999999999</v>
      </c>
      <c r="I1013" s="29">
        <v>148892900</v>
      </c>
      <c r="P1013" s="125"/>
      <c r="Q1013" s="34"/>
      <c r="R1013" s="115"/>
      <c r="S1013" s="34"/>
      <c r="T1013" s="34"/>
      <c r="U1013" s="34"/>
      <c r="V1013" s="29"/>
    </row>
    <row r="1014" spans="3:22">
      <c r="C1014" s="125">
        <v>44771</v>
      </c>
      <c r="D1014" s="34">
        <v>189.19000199999999</v>
      </c>
      <c r="E1014" s="115">
        <v>199.490005</v>
      </c>
      <c r="F1014" s="34">
        <v>189.11999499999999</v>
      </c>
      <c r="G1014" s="34">
        <v>198.25</v>
      </c>
      <c r="H1014" s="34">
        <v>195.997559</v>
      </c>
      <c r="I1014" s="29">
        <v>5188100</v>
      </c>
      <c r="P1014" s="125"/>
      <c r="Q1014" s="34"/>
      <c r="R1014" s="115"/>
      <c r="S1014" s="34"/>
      <c r="T1014" s="34"/>
      <c r="U1014" s="34"/>
      <c r="V1014" s="29"/>
    </row>
    <row r="1015" spans="3:22">
      <c r="C1015" s="125">
        <v>44770</v>
      </c>
      <c r="D1015" s="34">
        <v>121.57</v>
      </c>
      <c r="E1015" s="115">
        <v>122.84</v>
      </c>
      <c r="F1015" s="34">
        <v>118.08</v>
      </c>
      <c r="G1015" s="34">
        <v>122.28</v>
      </c>
      <c r="H1015" s="34">
        <v>122.28</v>
      </c>
      <c r="I1015" s="29">
        <v>82245500</v>
      </c>
      <c r="P1015" s="125"/>
      <c r="Q1015" s="34"/>
      <c r="R1015" s="115"/>
      <c r="S1015" s="34"/>
      <c r="T1015" s="34"/>
      <c r="U1015" s="34"/>
      <c r="V1015" s="29"/>
    </row>
    <row r="1016" spans="3:22">
      <c r="C1016" s="125">
        <v>44770</v>
      </c>
      <c r="D1016" s="34">
        <v>186.85000600000001</v>
      </c>
      <c r="E1016" s="115">
        <v>189.520004</v>
      </c>
      <c r="F1016" s="34">
        <v>184.199997</v>
      </c>
      <c r="G1016" s="34">
        <v>187.83999600000001</v>
      </c>
      <c r="H1016" s="34">
        <v>185.705826</v>
      </c>
      <c r="I1016" s="29">
        <v>2229200</v>
      </c>
      <c r="P1016" s="125"/>
      <c r="Q1016" s="34"/>
      <c r="R1016" s="115"/>
      <c r="S1016" s="34"/>
      <c r="T1016" s="34"/>
      <c r="U1016" s="34"/>
      <c r="V1016" s="29"/>
    </row>
    <row r="1017" spans="3:22">
      <c r="C1017" s="125">
        <v>44769</v>
      </c>
      <c r="D1017" s="34">
        <v>117.31</v>
      </c>
      <c r="E1017" s="115">
        <v>121.9</v>
      </c>
      <c r="F1017" s="34">
        <v>117.16</v>
      </c>
      <c r="G1017" s="34">
        <v>120.97</v>
      </c>
      <c r="H1017" s="34">
        <v>120.97</v>
      </c>
      <c r="I1017" s="29">
        <v>61582000</v>
      </c>
      <c r="P1017" s="125"/>
      <c r="Q1017" s="34"/>
      <c r="R1017" s="115"/>
      <c r="S1017" s="34"/>
      <c r="T1017" s="34"/>
      <c r="U1017" s="34"/>
      <c r="V1017" s="29"/>
    </row>
    <row r="1018" spans="3:22">
      <c r="C1018" s="125">
        <v>44769</v>
      </c>
      <c r="D1018" s="34">
        <v>182.91999799999999</v>
      </c>
      <c r="E1018" s="115">
        <v>186.179993</v>
      </c>
      <c r="F1018" s="34">
        <v>180.320007</v>
      </c>
      <c r="G1018" s="34">
        <v>185.25</v>
      </c>
      <c r="H1018" s="34">
        <v>183.145264</v>
      </c>
      <c r="I1018" s="29">
        <v>1856500</v>
      </c>
      <c r="P1018" s="125"/>
      <c r="Q1018" s="34"/>
      <c r="R1018" s="115"/>
      <c r="S1018" s="34"/>
      <c r="T1018" s="34"/>
      <c r="U1018" s="34"/>
      <c r="V1018" s="29"/>
    </row>
    <row r="1019" spans="3:22">
      <c r="C1019" s="125">
        <v>44768</v>
      </c>
      <c r="D1019" s="34">
        <v>115.79</v>
      </c>
      <c r="E1019" s="115">
        <v>118.15</v>
      </c>
      <c r="F1019" s="34">
        <v>114.53</v>
      </c>
      <c r="G1019" s="34">
        <v>114.81</v>
      </c>
      <c r="H1019" s="34">
        <v>114.81</v>
      </c>
      <c r="I1019" s="29">
        <v>67075100</v>
      </c>
      <c r="P1019" s="125"/>
      <c r="Q1019" s="34"/>
      <c r="R1019" s="115"/>
      <c r="S1019" s="34"/>
      <c r="T1019" s="34"/>
      <c r="U1019" s="34"/>
      <c r="V1019" s="29"/>
    </row>
    <row r="1020" spans="3:22">
      <c r="C1020" s="125">
        <v>44768</v>
      </c>
      <c r="D1020" s="34">
        <v>181.16000399999999</v>
      </c>
      <c r="E1020" s="115">
        <v>183.64999399999999</v>
      </c>
      <c r="F1020" s="34">
        <v>180.58000200000001</v>
      </c>
      <c r="G1020" s="34">
        <v>181.229996</v>
      </c>
      <c r="H1020" s="34">
        <v>179.170929</v>
      </c>
      <c r="I1020" s="29">
        <v>1767700</v>
      </c>
      <c r="P1020" s="125"/>
      <c r="Q1020" s="34"/>
      <c r="R1020" s="115"/>
      <c r="S1020" s="34"/>
      <c r="T1020" s="34"/>
      <c r="U1020" s="34"/>
      <c r="V1020" s="29"/>
    </row>
    <row r="1021" spans="3:22">
      <c r="C1021" s="125">
        <v>44767</v>
      </c>
      <c r="D1021" s="34">
        <v>122.7</v>
      </c>
      <c r="E1021" s="115">
        <v>123.64</v>
      </c>
      <c r="F1021" s="34">
        <v>120.03</v>
      </c>
      <c r="G1021" s="34">
        <v>121.14</v>
      </c>
      <c r="H1021" s="34">
        <v>121.14</v>
      </c>
      <c r="I1021" s="29">
        <v>50221300</v>
      </c>
      <c r="P1021" s="125"/>
      <c r="Q1021" s="34"/>
      <c r="R1021" s="115"/>
      <c r="S1021" s="34"/>
      <c r="T1021" s="34"/>
      <c r="U1021" s="34"/>
      <c r="V1021" s="29"/>
    </row>
    <row r="1022" spans="3:22">
      <c r="C1022" s="125">
        <v>44767</v>
      </c>
      <c r="D1022" s="34">
        <v>179.16999799999999</v>
      </c>
      <c r="E1022" s="115">
        <v>182.60000600000001</v>
      </c>
      <c r="F1022" s="34">
        <v>177.770004</v>
      </c>
      <c r="G1022" s="34">
        <v>181.80999800000001</v>
      </c>
      <c r="H1022" s="34">
        <v>179.744339</v>
      </c>
      <c r="I1022" s="29">
        <v>1845600</v>
      </c>
      <c r="P1022" s="125"/>
      <c r="Q1022" s="34"/>
      <c r="R1022" s="115"/>
      <c r="S1022" s="34"/>
      <c r="T1022" s="34"/>
      <c r="U1022" s="34"/>
      <c r="V1022" s="29"/>
    </row>
    <row r="1023" spans="3:22">
      <c r="C1023" s="125">
        <v>44764</v>
      </c>
      <c r="D1023" s="34">
        <v>125.01</v>
      </c>
      <c r="E1023" s="115">
        <v>125.5</v>
      </c>
      <c r="F1023" s="34">
        <v>121.35</v>
      </c>
      <c r="G1023" s="34">
        <v>122.42</v>
      </c>
      <c r="H1023" s="34">
        <v>122.42</v>
      </c>
      <c r="I1023" s="29">
        <v>51463800</v>
      </c>
      <c r="P1023" s="125"/>
      <c r="Q1023" s="34"/>
      <c r="R1023" s="115"/>
      <c r="S1023" s="34"/>
      <c r="T1023" s="34"/>
      <c r="U1023" s="34"/>
      <c r="V1023" s="29"/>
    </row>
    <row r="1024" spans="3:22">
      <c r="C1024" s="125">
        <v>44764</v>
      </c>
      <c r="D1024" s="34">
        <v>181.490005</v>
      </c>
      <c r="E1024" s="115">
        <v>182.800003</v>
      </c>
      <c r="F1024" s="34">
        <v>177.33999600000001</v>
      </c>
      <c r="G1024" s="34">
        <v>178.61999499999999</v>
      </c>
      <c r="H1024" s="34">
        <v>176.590576</v>
      </c>
      <c r="I1024" s="29">
        <v>1961500</v>
      </c>
      <c r="P1024" s="125"/>
      <c r="Q1024" s="34"/>
      <c r="R1024" s="115"/>
      <c r="S1024" s="34"/>
      <c r="T1024" s="34"/>
      <c r="U1024" s="34"/>
      <c r="V1024" s="29"/>
    </row>
    <row r="1025" spans="3:22">
      <c r="C1025" s="125">
        <v>44763</v>
      </c>
      <c r="D1025" s="34">
        <v>123.2</v>
      </c>
      <c r="E1025" s="115">
        <v>124.85</v>
      </c>
      <c r="F1025" s="34">
        <v>121.26</v>
      </c>
      <c r="G1025" s="34">
        <v>124.63</v>
      </c>
      <c r="H1025" s="34">
        <v>124.63</v>
      </c>
      <c r="I1025" s="29">
        <v>60239900</v>
      </c>
      <c r="P1025" s="125"/>
      <c r="Q1025" s="34"/>
      <c r="R1025" s="115"/>
      <c r="S1025" s="34"/>
      <c r="T1025" s="34"/>
      <c r="U1025" s="34"/>
      <c r="V1025" s="29"/>
    </row>
    <row r="1026" spans="3:22">
      <c r="C1026" s="125">
        <v>44763</v>
      </c>
      <c r="D1026" s="34">
        <v>178.41999799999999</v>
      </c>
      <c r="E1026" s="115">
        <v>181.070007</v>
      </c>
      <c r="F1026" s="34">
        <v>176.479996</v>
      </c>
      <c r="G1026" s="34">
        <v>180.990005</v>
      </c>
      <c r="H1026" s="34">
        <v>178.93365499999999</v>
      </c>
      <c r="I1026" s="29">
        <v>2214500</v>
      </c>
      <c r="P1026" s="125"/>
      <c r="Q1026" s="34"/>
      <c r="R1026" s="115"/>
      <c r="S1026" s="34"/>
      <c r="T1026" s="34"/>
      <c r="U1026" s="34"/>
      <c r="V1026" s="29"/>
    </row>
    <row r="1027" spans="3:22">
      <c r="C1027" s="125">
        <v>44762</v>
      </c>
      <c r="D1027" s="34">
        <v>118.62</v>
      </c>
      <c r="E1027" s="115">
        <v>123.48</v>
      </c>
      <c r="F1027" s="34">
        <v>118.32</v>
      </c>
      <c r="G1027" s="34">
        <v>122.77</v>
      </c>
      <c r="H1027" s="34">
        <v>122.77</v>
      </c>
      <c r="I1027" s="29">
        <v>71268300</v>
      </c>
      <c r="P1027" s="125"/>
      <c r="Q1027" s="34"/>
      <c r="R1027" s="115"/>
      <c r="S1027" s="34"/>
      <c r="T1027" s="34"/>
      <c r="U1027" s="34"/>
      <c r="V1027" s="29"/>
    </row>
    <row r="1028" spans="3:22">
      <c r="C1028" s="125">
        <v>44762</v>
      </c>
      <c r="D1028" s="34">
        <v>178.779999</v>
      </c>
      <c r="E1028" s="115">
        <v>180.800003</v>
      </c>
      <c r="F1028" s="34">
        <v>177.070007</v>
      </c>
      <c r="G1028" s="34">
        <v>179.970001</v>
      </c>
      <c r="H1028" s="34">
        <v>177.92524700000001</v>
      </c>
      <c r="I1028" s="29">
        <v>2175900</v>
      </c>
      <c r="P1028" s="125"/>
      <c r="Q1028" s="34"/>
      <c r="R1028" s="115"/>
      <c r="S1028" s="34"/>
      <c r="T1028" s="34"/>
      <c r="U1028" s="34"/>
      <c r="V1028" s="29"/>
    </row>
    <row r="1029" spans="3:22">
      <c r="C1029" s="125">
        <v>44761</v>
      </c>
      <c r="D1029" s="34">
        <v>115.7</v>
      </c>
      <c r="E1029" s="115">
        <v>118.95</v>
      </c>
      <c r="F1029" s="34">
        <v>114.03</v>
      </c>
      <c r="G1029" s="34">
        <v>118.21</v>
      </c>
      <c r="H1029" s="34">
        <v>118.21</v>
      </c>
      <c r="I1029" s="29">
        <v>60990000</v>
      </c>
      <c r="P1029" s="125"/>
      <c r="Q1029" s="34"/>
      <c r="R1029" s="115"/>
      <c r="S1029" s="34"/>
      <c r="T1029" s="34"/>
      <c r="U1029" s="34"/>
      <c r="V1029" s="29"/>
    </row>
    <row r="1030" spans="3:22">
      <c r="C1030" s="125">
        <v>44761</v>
      </c>
      <c r="D1030" s="34">
        <v>173.89999399999999</v>
      </c>
      <c r="E1030" s="115">
        <v>179.699997</v>
      </c>
      <c r="F1030" s="34">
        <v>172.88000500000001</v>
      </c>
      <c r="G1030" s="34">
        <v>179.490005</v>
      </c>
      <c r="H1030" s="34">
        <v>177.45069899999999</v>
      </c>
      <c r="I1030" s="29">
        <v>2671400</v>
      </c>
      <c r="P1030" s="125"/>
      <c r="Q1030" s="34"/>
      <c r="R1030" s="115"/>
      <c r="S1030" s="34"/>
      <c r="T1030" s="34"/>
      <c r="U1030" s="34"/>
      <c r="V1030" s="29"/>
    </row>
    <row r="1031" spans="3:22">
      <c r="C1031" s="125">
        <v>44760</v>
      </c>
      <c r="D1031" s="34">
        <v>115</v>
      </c>
      <c r="E1031" s="115">
        <v>117.24</v>
      </c>
      <c r="F1031" s="34">
        <v>113.15</v>
      </c>
      <c r="G1031" s="34">
        <v>113.76</v>
      </c>
      <c r="H1031" s="34">
        <v>113.76</v>
      </c>
      <c r="I1031" s="29">
        <v>59115400</v>
      </c>
      <c r="P1031" s="125"/>
      <c r="Q1031" s="34"/>
      <c r="R1031" s="115"/>
      <c r="S1031" s="34"/>
      <c r="T1031" s="34"/>
      <c r="U1031" s="34"/>
      <c r="V1031" s="29"/>
    </row>
    <row r="1032" spans="3:22">
      <c r="C1032" s="125">
        <v>44760</v>
      </c>
      <c r="D1032" s="34">
        <v>176.13000500000001</v>
      </c>
      <c r="E1032" s="115">
        <v>176.699997</v>
      </c>
      <c r="F1032" s="34">
        <v>172.71000699999999</v>
      </c>
      <c r="G1032" s="34">
        <v>173.490005</v>
      </c>
      <c r="H1032" s="34">
        <v>170.33248900000001</v>
      </c>
      <c r="I1032" s="29">
        <v>2476400</v>
      </c>
      <c r="P1032" s="125"/>
      <c r="Q1032" s="34"/>
      <c r="R1032" s="115"/>
      <c r="S1032" s="34"/>
      <c r="T1032" s="34"/>
      <c r="U1032" s="34"/>
      <c r="V1032" s="29"/>
    </row>
    <row r="1033" spans="3:22">
      <c r="C1033" s="125">
        <v>44757</v>
      </c>
      <c r="D1033" s="34">
        <v>112.5</v>
      </c>
      <c r="E1033" s="115">
        <v>115.59</v>
      </c>
      <c r="F1033" s="34">
        <v>111.59</v>
      </c>
      <c r="G1033" s="34">
        <v>113.55</v>
      </c>
      <c r="H1033" s="34">
        <v>113.55</v>
      </c>
      <c r="I1033" s="29">
        <v>84317800</v>
      </c>
      <c r="P1033" s="125"/>
      <c r="Q1033" s="34"/>
      <c r="R1033" s="115"/>
      <c r="S1033" s="34"/>
      <c r="T1033" s="34"/>
      <c r="U1033" s="34"/>
      <c r="V1033" s="29"/>
    </row>
    <row r="1034" spans="3:22">
      <c r="C1034" s="125">
        <v>44757</v>
      </c>
      <c r="D1034" s="34">
        <v>172.25</v>
      </c>
      <c r="E1034" s="115">
        <v>173.38000500000001</v>
      </c>
      <c r="F1034" s="34">
        <v>169.199997</v>
      </c>
      <c r="G1034" s="34">
        <v>173.38000500000001</v>
      </c>
      <c r="H1034" s="34">
        <v>170.224503</v>
      </c>
      <c r="I1034" s="29">
        <v>2282100</v>
      </c>
      <c r="P1034" s="125"/>
      <c r="Q1034" s="34"/>
      <c r="R1034" s="115"/>
      <c r="S1034" s="34"/>
      <c r="T1034" s="34"/>
      <c r="U1034" s="34"/>
      <c r="V1034" s="29"/>
    </row>
    <row r="1035" spans="3:22">
      <c r="C1035" s="125">
        <v>44756</v>
      </c>
      <c r="D1035" s="34">
        <v>110.24</v>
      </c>
      <c r="E1035" s="115">
        <v>111.18</v>
      </c>
      <c r="F1035" s="34">
        <v>107.58</v>
      </c>
      <c r="G1035" s="34">
        <v>110.63</v>
      </c>
      <c r="H1035" s="34">
        <v>110.63</v>
      </c>
      <c r="I1035" s="29">
        <v>51163100</v>
      </c>
      <c r="P1035" s="125"/>
      <c r="Q1035" s="34"/>
      <c r="R1035" s="115"/>
      <c r="S1035" s="34"/>
      <c r="T1035" s="34"/>
      <c r="U1035" s="34"/>
      <c r="V1035" s="29"/>
    </row>
    <row r="1036" spans="3:22">
      <c r="C1036" s="125">
        <v>44756</v>
      </c>
      <c r="D1036" s="34">
        <v>169.75</v>
      </c>
      <c r="E1036" s="115">
        <v>170.699997</v>
      </c>
      <c r="F1036" s="34">
        <v>167.08000200000001</v>
      </c>
      <c r="G1036" s="34">
        <v>169.94000199999999</v>
      </c>
      <c r="H1036" s="34">
        <v>166.84710699999999</v>
      </c>
      <c r="I1036" s="29">
        <v>2531200</v>
      </c>
      <c r="P1036" s="125"/>
      <c r="Q1036" s="34"/>
      <c r="R1036" s="115"/>
      <c r="S1036" s="34"/>
      <c r="T1036" s="34"/>
      <c r="U1036" s="34"/>
      <c r="V1036" s="29"/>
    </row>
    <row r="1037" spans="3:22">
      <c r="C1037" s="125">
        <v>44755</v>
      </c>
      <c r="D1037" s="34">
        <v>107.03</v>
      </c>
      <c r="E1037" s="115">
        <v>111.78</v>
      </c>
      <c r="F1037" s="34">
        <v>106.01</v>
      </c>
      <c r="G1037" s="34">
        <v>110.4</v>
      </c>
      <c r="H1037" s="34">
        <v>110.4</v>
      </c>
      <c r="I1037" s="29">
        <v>61353800</v>
      </c>
      <c r="P1037" s="125"/>
      <c r="Q1037" s="34"/>
      <c r="R1037" s="115"/>
      <c r="S1037" s="34"/>
      <c r="T1037" s="34"/>
      <c r="U1037" s="34"/>
      <c r="V1037" s="29"/>
    </row>
    <row r="1038" spans="3:22">
      <c r="C1038" s="125">
        <v>44755</v>
      </c>
      <c r="D1038" s="34">
        <v>172.25</v>
      </c>
      <c r="E1038" s="115">
        <v>175.25</v>
      </c>
      <c r="F1038" s="34">
        <v>171.86000100000001</v>
      </c>
      <c r="G1038" s="34">
        <v>173.86999499999999</v>
      </c>
      <c r="H1038" s="34">
        <v>170.70558199999999</v>
      </c>
      <c r="I1038" s="29">
        <v>2389000</v>
      </c>
      <c r="P1038" s="125"/>
      <c r="Q1038" s="34"/>
      <c r="R1038" s="115"/>
      <c r="S1038" s="34"/>
      <c r="T1038" s="34"/>
      <c r="U1038" s="34"/>
      <c r="V1038" s="29"/>
    </row>
    <row r="1039" spans="3:22">
      <c r="C1039" s="125">
        <v>44754</v>
      </c>
      <c r="D1039" s="34">
        <v>112.16</v>
      </c>
      <c r="E1039" s="115">
        <v>113.23</v>
      </c>
      <c r="F1039" s="34">
        <v>108.34</v>
      </c>
      <c r="G1039" s="34">
        <v>109.22</v>
      </c>
      <c r="H1039" s="34">
        <v>109.22</v>
      </c>
      <c r="I1039" s="29">
        <v>54280300</v>
      </c>
      <c r="P1039" s="125"/>
      <c r="Q1039" s="34"/>
      <c r="R1039" s="115"/>
      <c r="S1039" s="34"/>
      <c r="T1039" s="34"/>
      <c r="U1039" s="34"/>
      <c r="V1039" s="29"/>
    </row>
    <row r="1040" spans="3:22">
      <c r="C1040" s="125">
        <v>44754</v>
      </c>
      <c r="D1040" s="34">
        <v>174.740005</v>
      </c>
      <c r="E1040" s="115">
        <v>177.240005</v>
      </c>
      <c r="F1040" s="34">
        <v>172.60000600000001</v>
      </c>
      <c r="G1040" s="34">
        <v>174.490005</v>
      </c>
      <c r="H1040" s="34">
        <v>171.314301</v>
      </c>
      <c r="I1040" s="29">
        <v>2718400</v>
      </c>
      <c r="P1040" s="125"/>
      <c r="Q1040" s="34"/>
      <c r="R1040" s="115"/>
      <c r="S1040" s="34"/>
      <c r="T1040" s="34"/>
      <c r="U1040" s="34"/>
      <c r="V1040" s="29"/>
    </row>
    <row r="1041" spans="3:22">
      <c r="C1041" s="125">
        <v>44753</v>
      </c>
      <c r="D1041" s="34">
        <v>114.08</v>
      </c>
      <c r="E1041" s="115">
        <v>114.3</v>
      </c>
      <c r="F1041" s="34">
        <v>110.87</v>
      </c>
      <c r="G1041" s="34">
        <v>111.75</v>
      </c>
      <c r="H1041" s="34">
        <v>111.75</v>
      </c>
      <c r="I1041" s="29">
        <v>53487600</v>
      </c>
      <c r="P1041" s="125"/>
      <c r="Q1041" s="34"/>
      <c r="R1041" s="115"/>
      <c r="S1041" s="34"/>
      <c r="T1041" s="34"/>
      <c r="U1041" s="34"/>
      <c r="V1041" s="29"/>
    </row>
    <row r="1042" spans="3:22">
      <c r="C1042" s="125">
        <v>44753</v>
      </c>
      <c r="D1042" s="34">
        <v>177.41000399999999</v>
      </c>
      <c r="E1042" s="115">
        <v>179.770004</v>
      </c>
      <c r="F1042" s="34">
        <v>174.61999499999999</v>
      </c>
      <c r="G1042" s="34">
        <v>175.020004</v>
      </c>
      <c r="H1042" s="34">
        <v>171.83467099999999</v>
      </c>
      <c r="I1042" s="29">
        <v>2773300</v>
      </c>
      <c r="P1042" s="125"/>
      <c r="Q1042" s="34"/>
      <c r="R1042" s="115"/>
      <c r="S1042" s="34"/>
      <c r="T1042" s="34"/>
      <c r="U1042" s="34"/>
      <c r="V1042" s="29"/>
    </row>
    <row r="1043" spans="3:22">
      <c r="C1043" s="125">
        <v>44750</v>
      </c>
      <c r="D1043" s="34">
        <v>114.6</v>
      </c>
      <c r="E1043" s="115">
        <v>116.58</v>
      </c>
      <c r="F1043" s="34">
        <v>113.69</v>
      </c>
      <c r="G1043" s="34">
        <v>115.54</v>
      </c>
      <c r="H1043" s="34">
        <v>115.54</v>
      </c>
      <c r="I1043" s="29">
        <v>45719700</v>
      </c>
      <c r="P1043" s="125"/>
      <c r="Q1043" s="34"/>
      <c r="R1043" s="115"/>
      <c r="S1043" s="34"/>
      <c r="T1043" s="34"/>
      <c r="U1043" s="34"/>
      <c r="V1043" s="29"/>
    </row>
    <row r="1044" spans="3:22">
      <c r="C1044" s="125">
        <v>44750</v>
      </c>
      <c r="D1044" s="34">
        <v>180.229996</v>
      </c>
      <c r="E1044" s="115">
        <v>181.240005</v>
      </c>
      <c r="F1044" s="34">
        <v>176.38999899999999</v>
      </c>
      <c r="G1044" s="34">
        <v>179.10000600000001</v>
      </c>
      <c r="H1044" s="34">
        <v>175.840408</v>
      </c>
      <c r="I1044" s="29">
        <v>2491100</v>
      </c>
      <c r="P1044" s="125"/>
      <c r="Q1044" s="34"/>
      <c r="R1044" s="115"/>
      <c r="S1044" s="34"/>
      <c r="T1044" s="34"/>
      <c r="U1044" s="34"/>
      <c r="V1044" s="29"/>
    </row>
    <row r="1045" spans="3:22">
      <c r="C1045" s="125">
        <v>44749</v>
      </c>
      <c r="D1045" s="34">
        <v>113.85</v>
      </c>
      <c r="E1045" s="115">
        <v>116.99</v>
      </c>
      <c r="F1045" s="34">
        <v>113.49</v>
      </c>
      <c r="G1045" s="34">
        <v>116.33</v>
      </c>
      <c r="H1045" s="34">
        <v>116.33</v>
      </c>
      <c r="I1045" s="29">
        <v>57872300</v>
      </c>
      <c r="P1045" s="125"/>
      <c r="Q1045" s="34"/>
      <c r="R1045" s="115"/>
      <c r="S1045" s="34"/>
      <c r="T1045" s="34"/>
      <c r="U1045" s="34"/>
      <c r="V1045" s="29"/>
    </row>
    <row r="1046" spans="3:22">
      <c r="C1046" s="125">
        <v>44749</v>
      </c>
      <c r="D1046" s="34">
        <v>182.5</v>
      </c>
      <c r="E1046" s="115">
        <v>182.5</v>
      </c>
      <c r="F1046" s="34">
        <v>176.33000200000001</v>
      </c>
      <c r="G1046" s="34">
        <v>180.279999</v>
      </c>
      <c r="H1046" s="34">
        <v>176.99891700000001</v>
      </c>
      <c r="I1046" s="29">
        <v>4677600</v>
      </c>
      <c r="P1046" s="125"/>
      <c r="Q1046" s="34"/>
      <c r="R1046" s="115"/>
      <c r="S1046" s="34"/>
      <c r="T1046" s="34"/>
      <c r="U1046" s="34"/>
      <c r="V1046" s="29"/>
    </row>
    <row r="1047" spans="3:22">
      <c r="C1047" s="125">
        <v>44748</v>
      </c>
      <c r="D1047" s="34">
        <v>113.21</v>
      </c>
      <c r="E1047" s="115">
        <v>115.48</v>
      </c>
      <c r="F1047" s="34">
        <v>112.01</v>
      </c>
      <c r="G1047" s="34">
        <v>114.33</v>
      </c>
      <c r="H1047" s="34">
        <v>114.33</v>
      </c>
      <c r="I1047" s="29">
        <v>66958900</v>
      </c>
      <c r="P1047" s="125"/>
      <c r="Q1047" s="34"/>
      <c r="R1047" s="115"/>
      <c r="S1047" s="34"/>
      <c r="T1047" s="34"/>
      <c r="U1047" s="34"/>
      <c r="V1047" s="29"/>
    </row>
    <row r="1048" spans="3:22">
      <c r="C1048" s="125">
        <v>44748</v>
      </c>
      <c r="D1048" s="34">
        <v>173.479996</v>
      </c>
      <c r="E1048" s="115">
        <v>174.66999799999999</v>
      </c>
      <c r="F1048" s="34">
        <v>169.28999300000001</v>
      </c>
      <c r="G1048" s="34">
        <v>172.30999800000001</v>
      </c>
      <c r="H1048" s="34">
        <v>169.17396500000001</v>
      </c>
      <c r="I1048" s="29">
        <v>3190600</v>
      </c>
      <c r="P1048" s="125"/>
      <c r="Q1048" s="34"/>
      <c r="R1048" s="115"/>
      <c r="S1048" s="34"/>
      <c r="T1048" s="34"/>
      <c r="U1048" s="34"/>
      <c r="V1048" s="29"/>
    </row>
    <row r="1049" spans="3:22">
      <c r="C1049" s="125">
        <v>44747</v>
      </c>
      <c r="D1049" s="34">
        <v>107.6</v>
      </c>
      <c r="E1049" s="115">
        <v>114.08</v>
      </c>
      <c r="F1049" s="34">
        <v>106.32</v>
      </c>
      <c r="G1049" s="34">
        <v>113.5</v>
      </c>
      <c r="H1049" s="34">
        <v>113.5</v>
      </c>
      <c r="I1049" s="29">
        <v>76583700</v>
      </c>
      <c r="P1049" s="125"/>
      <c r="Q1049" s="34"/>
      <c r="R1049" s="115"/>
      <c r="S1049" s="34"/>
      <c r="T1049" s="34"/>
      <c r="U1049" s="34"/>
      <c r="V1049" s="29"/>
    </row>
    <row r="1050" spans="3:22">
      <c r="C1050" s="125">
        <v>44747</v>
      </c>
      <c r="D1050" s="34">
        <v>173.770004</v>
      </c>
      <c r="E1050" s="115">
        <v>174.41999799999999</v>
      </c>
      <c r="F1050" s="34">
        <v>170.60000600000001</v>
      </c>
      <c r="G1050" s="34">
        <v>173.759995</v>
      </c>
      <c r="H1050" s="34">
        <v>170.59757999999999</v>
      </c>
      <c r="I1050" s="29">
        <v>3724900</v>
      </c>
      <c r="P1050" s="125"/>
      <c r="Q1050" s="34"/>
      <c r="R1050" s="115"/>
      <c r="S1050" s="34"/>
      <c r="T1050" s="34"/>
      <c r="U1050" s="34"/>
      <c r="V1050" s="29"/>
    </row>
    <row r="1051" spans="3:22">
      <c r="C1051" s="125">
        <v>44743</v>
      </c>
      <c r="D1051" s="34">
        <v>106.29</v>
      </c>
      <c r="E1051" s="115">
        <v>109.75</v>
      </c>
      <c r="F1051" s="34">
        <v>105.85</v>
      </c>
      <c r="G1051" s="34">
        <v>109.56</v>
      </c>
      <c r="H1051" s="34">
        <v>109.56</v>
      </c>
      <c r="I1051" s="29">
        <v>73021200</v>
      </c>
      <c r="P1051" s="125"/>
      <c r="Q1051" s="34"/>
      <c r="R1051" s="115"/>
      <c r="S1051" s="34"/>
      <c r="T1051" s="34"/>
      <c r="U1051" s="34"/>
      <c r="V1051" s="29"/>
    </row>
    <row r="1052" spans="3:22">
      <c r="C1052" s="125">
        <v>44743</v>
      </c>
      <c r="D1052" s="34">
        <v>179.30999800000001</v>
      </c>
      <c r="E1052" s="115">
        <v>181.320007</v>
      </c>
      <c r="F1052" s="34">
        <v>173.720001</v>
      </c>
      <c r="G1052" s="34">
        <v>178.28999300000001</v>
      </c>
      <c r="H1052" s="34">
        <v>175.04513499999999</v>
      </c>
      <c r="I1052" s="29">
        <v>3423100</v>
      </c>
      <c r="P1052" s="125"/>
      <c r="Q1052" s="34"/>
      <c r="R1052" s="115"/>
      <c r="S1052" s="34"/>
      <c r="T1052" s="34"/>
      <c r="U1052" s="34"/>
      <c r="V1052" s="29"/>
    </row>
    <row r="1053" spans="3:22">
      <c r="C1053" s="125">
        <v>44742</v>
      </c>
      <c r="D1053" s="34">
        <v>108.11</v>
      </c>
      <c r="E1053" s="115">
        <v>108.18</v>
      </c>
      <c r="F1053" s="34">
        <v>102.52</v>
      </c>
      <c r="G1053" s="34">
        <v>106.21</v>
      </c>
      <c r="H1053" s="34">
        <v>106.21</v>
      </c>
      <c r="I1053" s="29">
        <v>97679400</v>
      </c>
      <c r="P1053" s="125"/>
      <c r="Q1053" s="34"/>
      <c r="R1053" s="115"/>
      <c r="S1053" s="34"/>
      <c r="T1053" s="34"/>
      <c r="U1053" s="34"/>
      <c r="V1053" s="29"/>
    </row>
    <row r="1054" spans="3:22">
      <c r="C1054" s="125">
        <v>44742</v>
      </c>
      <c r="D1054" s="34">
        <v>180.259995</v>
      </c>
      <c r="E1054" s="115">
        <v>182.13999899999999</v>
      </c>
      <c r="F1054" s="34">
        <v>177.11999499999999</v>
      </c>
      <c r="G1054" s="34">
        <v>178.759995</v>
      </c>
      <c r="H1054" s="34">
        <v>175.50659200000001</v>
      </c>
      <c r="I1054" s="29">
        <v>4197100</v>
      </c>
      <c r="P1054" s="125"/>
      <c r="Q1054" s="34"/>
      <c r="R1054" s="115"/>
      <c r="S1054" s="34"/>
      <c r="T1054" s="34"/>
      <c r="U1054" s="34"/>
      <c r="V1054" s="29"/>
    </row>
    <row r="1055" spans="3:22">
      <c r="C1055" s="125">
        <v>44741</v>
      </c>
      <c r="D1055" s="34">
        <v>107.38</v>
      </c>
      <c r="E1055" s="115">
        <v>110.99</v>
      </c>
      <c r="F1055" s="34">
        <v>106.91</v>
      </c>
      <c r="G1055" s="34">
        <v>108.92</v>
      </c>
      <c r="H1055" s="34">
        <v>108.92</v>
      </c>
      <c r="I1055" s="29">
        <v>66375300</v>
      </c>
      <c r="P1055" s="125"/>
      <c r="Q1055" s="34"/>
      <c r="R1055" s="115"/>
      <c r="S1055" s="34"/>
      <c r="T1055" s="34"/>
      <c r="U1055" s="34"/>
      <c r="V1055" s="29"/>
    </row>
    <row r="1056" spans="3:22">
      <c r="C1056" s="125">
        <v>44741</v>
      </c>
      <c r="D1056" s="34">
        <v>187.320007</v>
      </c>
      <c r="E1056" s="115">
        <v>187.570007</v>
      </c>
      <c r="F1056" s="34">
        <v>182.13000500000001</v>
      </c>
      <c r="G1056" s="34">
        <v>183.479996</v>
      </c>
      <c r="H1056" s="34">
        <v>180.14068599999999</v>
      </c>
      <c r="I1056" s="29">
        <v>2436900</v>
      </c>
      <c r="P1056" s="125"/>
      <c r="Q1056" s="34"/>
      <c r="R1056" s="115"/>
      <c r="S1056" s="34"/>
      <c r="T1056" s="34"/>
      <c r="U1056" s="34"/>
      <c r="V1056" s="29"/>
    </row>
    <row r="1057" spans="3:22">
      <c r="C1057" s="125">
        <v>44740</v>
      </c>
      <c r="D1057" s="34">
        <v>113.5</v>
      </c>
      <c r="E1057" s="115">
        <v>114.85</v>
      </c>
      <c r="F1057" s="34">
        <v>107.04</v>
      </c>
      <c r="G1057" s="34">
        <v>107.4</v>
      </c>
      <c r="H1057" s="34">
        <v>107.4</v>
      </c>
      <c r="I1057" s="29">
        <v>74942900</v>
      </c>
      <c r="P1057" s="125"/>
      <c r="Q1057" s="34"/>
      <c r="R1057" s="115"/>
      <c r="S1057" s="34"/>
      <c r="T1057" s="34"/>
      <c r="U1057" s="34"/>
      <c r="V1057" s="29"/>
    </row>
    <row r="1058" spans="3:22">
      <c r="C1058" s="125">
        <v>44740</v>
      </c>
      <c r="D1058" s="34">
        <v>189.970001</v>
      </c>
      <c r="E1058" s="115">
        <v>193.10000600000001</v>
      </c>
      <c r="F1058" s="34">
        <v>187.429993</v>
      </c>
      <c r="G1058" s="34">
        <v>187.44000199999999</v>
      </c>
      <c r="H1058" s="34">
        <v>184.02862500000001</v>
      </c>
      <c r="I1058" s="29">
        <v>3327200</v>
      </c>
      <c r="P1058" s="125"/>
      <c r="Q1058" s="34"/>
      <c r="R1058" s="115"/>
      <c r="S1058" s="34"/>
      <c r="T1058" s="34"/>
      <c r="U1058" s="34"/>
      <c r="V1058" s="29"/>
    </row>
    <row r="1059" spans="3:22">
      <c r="C1059" s="125">
        <v>44739</v>
      </c>
      <c r="D1059" s="34">
        <v>117.09</v>
      </c>
      <c r="E1059" s="115">
        <v>117.98</v>
      </c>
      <c r="F1059" s="34">
        <v>112.7</v>
      </c>
      <c r="G1059" s="34">
        <v>113.22</v>
      </c>
      <c r="H1059" s="34">
        <v>113.22</v>
      </c>
      <c r="I1059" s="29">
        <v>62133200</v>
      </c>
      <c r="P1059" s="125"/>
      <c r="Q1059" s="34"/>
      <c r="R1059" s="115"/>
      <c r="S1059" s="34"/>
      <c r="T1059" s="34"/>
      <c r="U1059" s="34"/>
      <c r="V1059" s="29"/>
    </row>
    <row r="1060" spans="3:22">
      <c r="C1060" s="125">
        <v>44739</v>
      </c>
      <c r="D1060" s="34">
        <v>188.08000200000001</v>
      </c>
      <c r="E1060" s="115">
        <v>190.08000200000001</v>
      </c>
      <c r="F1060" s="34">
        <v>185.820007</v>
      </c>
      <c r="G1060" s="34">
        <v>187.58999600000001</v>
      </c>
      <c r="H1060" s="34">
        <v>184.17588799999999</v>
      </c>
      <c r="I1060" s="29">
        <v>3061100</v>
      </c>
      <c r="P1060" s="125"/>
      <c r="Q1060" s="34"/>
      <c r="R1060" s="115"/>
      <c r="S1060" s="34"/>
      <c r="T1060" s="34"/>
      <c r="U1060" s="34"/>
      <c r="V1060" s="29"/>
    </row>
    <row r="1061" spans="3:22">
      <c r="C1061" s="125">
        <v>44736</v>
      </c>
      <c r="D1061" s="34">
        <v>112.38</v>
      </c>
      <c r="E1061" s="115">
        <v>116.71</v>
      </c>
      <c r="F1061" s="34">
        <v>111.43</v>
      </c>
      <c r="G1061" s="34">
        <v>116.46</v>
      </c>
      <c r="H1061" s="34">
        <v>116.46</v>
      </c>
      <c r="I1061" s="29">
        <v>69867600</v>
      </c>
      <c r="P1061" s="125"/>
      <c r="Q1061" s="34"/>
      <c r="R1061" s="115"/>
      <c r="S1061" s="34"/>
      <c r="T1061" s="34"/>
      <c r="U1061" s="34"/>
      <c r="V1061" s="29"/>
    </row>
    <row r="1062" spans="3:22">
      <c r="C1062" s="125">
        <v>44736</v>
      </c>
      <c r="D1062" s="34">
        <v>181.33999600000001</v>
      </c>
      <c r="E1062" s="115">
        <v>185.60000600000001</v>
      </c>
      <c r="F1062" s="34">
        <v>179.36999499999999</v>
      </c>
      <c r="G1062" s="34">
        <v>185.490005</v>
      </c>
      <c r="H1062" s="34">
        <v>182.11412000000001</v>
      </c>
      <c r="I1062" s="29">
        <v>4868900</v>
      </c>
      <c r="P1062" s="125"/>
      <c r="Q1062" s="34"/>
      <c r="R1062" s="115"/>
      <c r="S1062" s="34"/>
      <c r="T1062" s="34"/>
      <c r="U1062" s="34"/>
      <c r="V1062" s="29"/>
    </row>
    <row r="1063" spans="3:22">
      <c r="C1063" s="125">
        <v>44735</v>
      </c>
      <c r="D1063" s="34">
        <v>110.39</v>
      </c>
      <c r="E1063" s="115">
        <v>113</v>
      </c>
      <c r="F1063" s="34">
        <v>107.93</v>
      </c>
      <c r="G1063" s="34">
        <v>112.44</v>
      </c>
      <c r="H1063" s="34">
        <v>112.44</v>
      </c>
      <c r="I1063" s="29">
        <v>64345300</v>
      </c>
      <c r="P1063" s="125"/>
      <c r="Q1063" s="34"/>
      <c r="R1063" s="115"/>
      <c r="S1063" s="34"/>
      <c r="T1063" s="34"/>
      <c r="U1063" s="34"/>
      <c r="V1063" s="29"/>
    </row>
    <row r="1064" spans="3:22">
      <c r="C1064" s="125">
        <v>44735</v>
      </c>
      <c r="D1064" s="34">
        <v>186.58000200000001</v>
      </c>
      <c r="E1064" s="115">
        <v>187.229996</v>
      </c>
      <c r="F1064" s="34">
        <v>176.020004</v>
      </c>
      <c r="G1064" s="34">
        <v>178.66999799999999</v>
      </c>
      <c r="H1064" s="34">
        <v>175.418228</v>
      </c>
      <c r="I1064" s="29">
        <v>6667900</v>
      </c>
      <c r="P1064" s="125"/>
      <c r="Q1064" s="34"/>
      <c r="R1064" s="115"/>
      <c r="S1064" s="34"/>
      <c r="T1064" s="34"/>
      <c r="U1064" s="34"/>
      <c r="V1064" s="29"/>
    </row>
    <row r="1065" spans="3:22">
      <c r="C1065" s="125">
        <v>44734</v>
      </c>
      <c r="D1065" s="34">
        <v>107.43</v>
      </c>
      <c r="E1065" s="115">
        <v>112.13</v>
      </c>
      <c r="F1065" s="34">
        <v>107.02</v>
      </c>
      <c r="G1065" s="34">
        <v>108.95</v>
      </c>
      <c r="H1065" s="34">
        <v>108.95</v>
      </c>
      <c r="I1065" s="29">
        <v>60040100</v>
      </c>
      <c r="P1065" s="125"/>
      <c r="Q1065" s="34"/>
      <c r="R1065" s="115"/>
      <c r="S1065" s="34"/>
      <c r="T1065" s="34"/>
      <c r="U1065" s="34"/>
      <c r="V1065" s="29"/>
    </row>
    <row r="1066" spans="3:22">
      <c r="C1066" s="125">
        <v>44734</v>
      </c>
      <c r="D1066" s="34">
        <v>190</v>
      </c>
      <c r="E1066" s="115">
        <v>192.78999300000001</v>
      </c>
      <c r="F1066" s="34">
        <v>187.71000699999999</v>
      </c>
      <c r="G1066" s="34">
        <v>187.83000200000001</v>
      </c>
      <c r="H1066" s="34">
        <v>184.41151400000001</v>
      </c>
      <c r="I1066" s="29">
        <v>4008700</v>
      </c>
      <c r="P1066" s="125"/>
      <c r="Q1066" s="34"/>
      <c r="R1066" s="115"/>
      <c r="S1066" s="34"/>
      <c r="T1066" s="34"/>
      <c r="U1066" s="34"/>
      <c r="V1066" s="29"/>
    </row>
    <row r="1067" spans="3:22">
      <c r="C1067" s="125">
        <v>44733</v>
      </c>
      <c r="D1067" s="34">
        <v>108.2</v>
      </c>
      <c r="E1067" s="115">
        <v>111.63</v>
      </c>
      <c r="F1067" s="34">
        <v>103.56</v>
      </c>
      <c r="G1067" s="34">
        <v>108.68</v>
      </c>
      <c r="H1067" s="34">
        <v>108.68</v>
      </c>
      <c r="I1067" s="29">
        <v>70901200</v>
      </c>
      <c r="P1067" s="125"/>
      <c r="Q1067" s="34"/>
      <c r="R1067" s="115"/>
      <c r="S1067" s="34"/>
      <c r="T1067" s="34"/>
      <c r="U1067" s="34"/>
      <c r="V1067" s="29"/>
    </row>
    <row r="1068" spans="3:22">
      <c r="C1068" s="125">
        <v>44733</v>
      </c>
      <c r="D1068" s="34">
        <v>197.10000600000001</v>
      </c>
      <c r="E1068" s="115">
        <v>198.41999799999999</v>
      </c>
      <c r="F1068" s="34">
        <v>193.86999499999999</v>
      </c>
      <c r="G1068" s="34">
        <v>196.36999499999999</v>
      </c>
      <c r="H1068" s="34">
        <v>192.796097</v>
      </c>
      <c r="I1068" s="29">
        <v>2755400</v>
      </c>
      <c r="P1068" s="125"/>
      <c r="Q1068" s="34"/>
      <c r="R1068" s="115"/>
      <c r="S1068" s="34"/>
      <c r="T1068" s="34"/>
      <c r="U1068" s="34"/>
      <c r="V1068" s="29"/>
    </row>
    <row r="1069" spans="3:22">
      <c r="C1069" s="125">
        <v>44729</v>
      </c>
      <c r="D1069" s="34">
        <v>102.8</v>
      </c>
      <c r="E1069" s="115">
        <v>106.98</v>
      </c>
      <c r="F1069" s="34">
        <v>102.51</v>
      </c>
      <c r="G1069" s="34">
        <v>106.22</v>
      </c>
      <c r="H1069" s="34">
        <v>106.22</v>
      </c>
      <c r="I1069" s="29">
        <v>99772100</v>
      </c>
      <c r="P1069" s="125"/>
      <c r="Q1069" s="34"/>
      <c r="R1069" s="115"/>
      <c r="S1069" s="34"/>
      <c r="T1069" s="34"/>
      <c r="U1069" s="34"/>
      <c r="V1069" s="29"/>
    </row>
    <row r="1070" spans="3:22">
      <c r="C1070" s="125">
        <v>44729</v>
      </c>
      <c r="D1070" s="34">
        <v>195.679993</v>
      </c>
      <c r="E1070" s="115">
        <v>197.740005</v>
      </c>
      <c r="F1070" s="34">
        <v>190.86999499999999</v>
      </c>
      <c r="G1070" s="34">
        <v>192.63999899999999</v>
      </c>
      <c r="H1070" s="34">
        <v>189.133972</v>
      </c>
      <c r="I1070" s="29">
        <v>7226100</v>
      </c>
      <c r="P1070" s="125"/>
      <c r="Q1070" s="34"/>
      <c r="R1070" s="115"/>
      <c r="S1070" s="34"/>
      <c r="T1070" s="34"/>
      <c r="U1070" s="34"/>
      <c r="V1070" s="29"/>
    </row>
    <row r="1071" spans="3:22">
      <c r="C1071" s="125">
        <v>44728</v>
      </c>
      <c r="D1071" s="34">
        <v>104.47</v>
      </c>
      <c r="E1071" s="115">
        <v>104.58</v>
      </c>
      <c r="F1071" s="34">
        <v>102.01</v>
      </c>
      <c r="G1071" s="34">
        <v>103.66</v>
      </c>
      <c r="H1071" s="34">
        <v>103.66</v>
      </c>
      <c r="I1071" s="29">
        <v>82186300</v>
      </c>
      <c r="P1071" s="125"/>
      <c r="Q1071" s="34"/>
      <c r="R1071" s="115"/>
      <c r="S1071" s="34"/>
      <c r="T1071" s="34"/>
      <c r="U1071" s="34"/>
      <c r="V1071" s="29"/>
    </row>
    <row r="1072" spans="3:22">
      <c r="C1072" s="125">
        <v>44728</v>
      </c>
      <c r="D1072" s="34">
        <v>201.070007</v>
      </c>
      <c r="E1072" s="115">
        <v>201.25</v>
      </c>
      <c r="F1072" s="34">
        <v>193.25</v>
      </c>
      <c r="G1072" s="34">
        <v>194.78999300000001</v>
      </c>
      <c r="H1072" s="34">
        <v>191.244843</v>
      </c>
      <c r="I1072" s="29">
        <v>4789900</v>
      </c>
      <c r="P1072" s="125"/>
      <c r="Q1072" s="34"/>
      <c r="R1072" s="115"/>
      <c r="S1072" s="34"/>
      <c r="T1072" s="34"/>
      <c r="U1072" s="34"/>
      <c r="V1072" s="29"/>
    </row>
    <row r="1073" spans="3:22">
      <c r="C1073" s="125">
        <v>44727</v>
      </c>
      <c r="D1073" s="34">
        <v>103.86</v>
      </c>
      <c r="E1073" s="115">
        <v>109.06</v>
      </c>
      <c r="F1073" s="34">
        <v>103.53</v>
      </c>
      <c r="G1073" s="34">
        <v>107.67</v>
      </c>
      <c r="H1073" s="34">
        <v>107.67</v>
      </c>
      <c r="I1073" s="29">
        <v>85011100</v>
      </c>
      <c r="P1073" s="125"/>
      <c r="Q1073" s="34"/>
      <c r="R1073" s="115"/>
      <c r="S1073" s="34"/>
      <c r="T1073" s="34"/>
      <c r="U1073" s="34"/>
      <c r="V1073" s="29"/>
    </row>
    <row r="1074" spans="3:22">
      <c r="C1074" s="125">
        <v>44727</v>
      </c>
      <c r="D1074" s="34">
        <v>207.479996</v>
      </c>
      <c r="E1074" s="115">
        <v>208.64999399999999</v>
      </c>
      <c r="F1074" s="34">
        <v>203.13000500000001</v>
      </c>
      <c r="G1074" s="34">
        <v>206</v>
      </c>
      <c r="H1074" s="34">
        <v>202.25082399999999</v>
      </c>
      <c r="I1074" s="29">
        <v>2343100</v>
      </c>
      <c r="P1074" s="125"/>
      <c r="Q1074" s="34"/>
      <c r="R1074" s="115"/>
      <c r="S1074" s="34"/>
      <c r="T1074" s="34"/>
      <c r="U1074" s="34"/>
      <c r="V1074" s="29"/>
    </row>
    <row r="1075" spans="3:22">
      <c r="C1075" s="125">
        <v>44726</v>
      </c>
      <c r="D1075" s="34">
        <v>104.19</v>
      </c>
      <c r="E1075" s="115">
        <v>104.88</v>
      </c>
      <c r="F1075" s="34">
        <v>101.43</v>
      </c>
      <c r="G1075" s="34">
        <v>102.31</v>
      </c>
      <c r="H1075" s="34">
        <v>102.31</v>
      </c>
      <c r="I1075" s="29">
        <v>69728800</v>
      </c>
      <c r="P1075" s="125"/>
      <c r="Q1075" s="34"/>
      <c r="R1075" s="115"/>
      <c r="S1075" s="34"/>
      <c r="T1075" s="34"/>
      <c r="U1075" s="34"/>
      <c r="V1075" s="29"/>
    </row>
    <row r="1076" spans="3:22">
      <c r="C1076" s="125">
        <v>44726</v>
      </c>
      <c r="D1076" s="34">
        <v>208.05999800000001</v>
      </c>
      <c r="E1076" s="115">
        <v>209.729996</v>
      </c>
      <c r="F1076" s="34">
        <v>205.270004</v>
      </c>
      <c r="G1076" s="34">
        <v>206.69000199999999</v>
      </c>
      <c r="H1076" s="34">
        <v>202.92828399999999</v>
      </c>
      <c r="I1076" s="29">
        <v>2359000</v>
      </c>
      <c r="P1076" s="125"/>
      <c r="Q1076" s="34"/>
      <c r="R1076" s="115"/>
      <c r="S1076" s="34"/>
      <c r="T1076" s="34"/>
      <c r="U1076" s="34"/>
      <c r="V1076" s="29"/>
    </row>
    <row r="1077" spans="3:22">
      <c r="C1077" s="125">
        <v>44725</v>
      </c>
      <c r="D1077" s="34">
        <v>104.19</v>
      </c>
      <c r="E1077" s="115">
        <v>106.54</v>
      </c>
      <c r="F1077" s="34">
        <v>101.86</v>
      </c>
      <c r="G1077" s="34">
        <v>103.67</v>
      </c>
      <c r="H1077" s="34">
        <v>103.67</v>
      </c>
      <c r="I1077" s="29">
        <v>99277700</v>
      </c>
      <c r="P1077" s="125"/>
      <c r="Q1077" s="34"/>
      <c r="R1077" s="115"/>
      <c r="S1077" s="34"/>
      <c r="T1077" s="34"/>
      <c r="U1077" s="34"/>
      <c r="V1077" s="29"/>
    </row>
    <row r="1078" spans="3:22">
      <c r="C1078" s="125">
        <v>44725</v>
      </c>
      <c r="D1078" s="34">
        <v>209.58000200000001</v>
      </c>
      <c r="E1078" s="115">
        <v>209.86999499999999</v>
      </c>
      <c r="F1078" s="34">
        <v>204.89999399999999</v>
      </c>
      <c r="G1078" s="34">
        <v>206.88000500000001</v>
      </c>
      <c r="H1078" s="34">
        <v>203.114822</v>
      </c>
      <c r="I1078" s="29">
        <v>3559400</v>
      </c>
      <c r="P1078" s="125"/>
      <c r="Q1078" s="34"/>
      <c r="R1078" s="115"/>
      <c r="S1078" s="34"/>
      <c r="T1078" s="34"/>
      <c r="U1078" s="34"/>
      <c r="V1078" s="29"/>
    </row>
    <row r="1079" spans="3:22">
      <c r="C1079" s="125">
        <v>44722</v>
      </c>
      <c r="D1079" s="34">
        <v>113.42</v>
      </c>
      <c r="E1079" s="115">
        <v>114.5</v>
      </c>
      <c r="F1079" s="34">
        <v>109.05</v>
      </c>
      <c r="G1079" s="34">
        <v>109.65</v>
      </c>
      <c r="H1079" s="34">
        <v>109.65</v>
      </c>
      <c r="I1079" s="29">
        <v>87266000</v>
      </c>
      <c r="P1079" s="125"/>
      <c r="Q1079" s="34"/>
      <c r="R1079" s="115"/>
      <c r="S1079" s="34"/>
      <c r="T1079" s="34"/>
      <c r="U1079" s="34"/>
      <c r="V1079" s="29"/>
    </row>
    <row r="1080" spans="3:22">
      <c r="C1080" s="125">
        <v>44722</v>
      </c>
      <c r="D1080" s="34">
        <v>219.5</v>
      </c>
      <c r="E1080" s="115">
        <v>220.220001</v>
      </c>
      <c r="F1080" s="34">
        <v>215.009995</v>
      </c>
      <c r="G1080" s="34">
        <v>215.179993</v>
      </c>
      <c r="H1080" s="34">
        <v>211.263733</v>
      </c>
      <c r="I1080" s="29">
        <v>2604100</v>
      </c>
      <c r="P1080" s="125"/>
      <c r="Q1080" s="34"/>
      <c r="R1080" s="115"/>
      <c r="S1080" s="34"/>
      <c r="T1080" s="34"/>
      <c r="U1080" s="34"/>
      <c r="V1080" s="29"/>
    </row>
    <row r="1081" spans="3:22">
      <c r="C1081" s="125">
        <v>44721</v>
      </c>
      <c r="D1081" s="34">
        <v>119.99</v>
      </c>
      <c r="E1081" s="115">
        <v>121.3</v>
      </c>
      <c r="F1081" s="34">
        <v>116.1</v>
      </c>
      <c r="G1081" s="34">
        <v>116.15</v>
      </c>
      <c r="H1081" s="34">
        <v>116.15</v>
      </c>
      <c r="I1081" s="29">
        <v>67029800</v>
      </c>
      <c r="P1081" s="125"/>
      <c r="Q1081" s="34"/>
      <c r="R1081" s="115"/>
      <c r="S1081" s="34"/>
      <c r="T1081" s="34"/>
      <c r="U1081" s="34"/>
      <c r="V1081" s="29"/>
    </row>
    <row r="1082" spans="3:22">
      <c r="C1082" s="125">
        <v>44721</v>
      </c>
      <c r="D1082" s="34">
        <v>227.429993</v>
      </c>
      <c r="E1082" s="115">
        <v>228.21000699999999</v>
      </c>
      <c r="F1082" s="34">
        <v>223.61999499999999</v>
      </c>
      <c r="G1082" s="34">
        <v>223.66999799999999</v>
      </c>
      <c r="H1082" s="34">
        <v>219.59922800000001</v>
      </c>
      <c r="I1082" s="29">
        <v>3045700</v>
      </c>
      <c r="P1082" s="125"/>
      <c r="Q1082" s="34"/>
      <c r="R1082" s="115"/>
      <c r="S1082" s="34"/>
      <c r="T1082" s="34"/>
      <c r="U1082" s="34"/>
      <c r="V1082" s="29"/>
    </row>
    <row r="1083" spans="3:22">
      <c r="C1083" s="125">
        <v>44720</v>
      </c>
      <c r="D1083" s="34">
        <v>122.61</v>
      </c>
      <c r="E1083" s="115">
        <v>123.75</v>
      </c>
      <c r="F1083" s="34">
        <v>120.75</v>
      </c>
      <c r="G1083" s="34">
        <v>121.18</v>
      </c>
      <c r="H1083" s="34">
        <v>121.18</v>
      </c>
      <c r="I1083" s="29">
        <v>64926600</v>
      </c>
      <c r="P1083" s="125"/>
      <c r="Q1083" s="34"/>
      <c r="R1083" s="115"/>
      <c r="S1083" s="34"/>
      <c r="T1083" s="34"/>
      <c r="U1083" s="34"/>
      <c r="V1083" s="29"/>
    </row>
    <row r="1084" spans="3:22">
      <c r="C1084" s="125">
        <v>44720</v>
      </c>
      <c r="D1084" s="34">
        <v>225.28999300000001</v>
      </c>
      <c r="E1084" s="115">
        <v>232.35000600000001</v>
      </c>
      <c r="F1084" s="34">
        <v>224.61999499999999</v>
      </c>
      <c r="G1084" s="34">
        <v>229.800003</v>
      </c>
      <c r="H1084" s="34">
        <v>225.61767599999999</v>
      </c>
      <c r="I1084" s="29">
        <v>4171300</v>
      </c>
      <c r="P1084" s="125"/>
      <c r="Q1084" s="34"/>
      <c r="R1084" s="115"/>
      <c r="S1084" s="34"/>
      <c r="T1084" s="34"/>
      <c r="U1084" s="34"/>
      <c r="V1084" s="29"/>
    </row>
    <row r="1085" spans="3:22">
      <c r="C1085" s="125">
        <v>44719</v>
      </c>
      <c r="D1085" s="34">
        <v>122.01</v>
      </c>
      <c r="E1085" s="115">
        <v>124.1</v>
      </c>
      <c r="F1085" s="34">
        <v>120.63</v>
      </c>
      <c r="G1085" s="34">
        <v>123</v>
      </c>
      <c r="H1085" s="34">
        <v>123</v>
      </c>
      <c r="I1085" s="29">
        <v>85156700</v>
      </c>
      <c r="P1085" s="125"/>
      <c r="Q1085" s="34"/>
      <c r="R1085" s="115"/>
      <c r="S1085" s="34"/>
      <c r="T1085" s="34"/>
      <c r="U1085" s="34"/>
      <c r="V1085" s="29"/>
    </row>
    <row r="1086" spans="3:22">
      <c r="C1086" s="125">
        <v>44719</v>
      </c>
      <c r="D1086" s="34">
        <v>222</v>
      </c>
      <c r="E1086" s="115">
        <v>227.270004</v>
      </c>
      <c r="F1086" s="34">
        <v>221.64999399999999</v>
      </c>
      <c r="G1086" s="34">
        <v>227.10000600000001</v>
      </c>
      <c r="H1086" s="34">
        <v>222.966812</v>
      </c>
      <c r="I1086" s="29">
        <v>1799000</v>
      </c>
      <c r="P1086" s="125"/>
      <c r="Q1086" s="34"/>
      <c r="R1086" s="115"/>
      <c r="S1086" s="34"/>
      <c r="T1086" s="34"/>
      <c r="U1086" s="34"/>
      <c r="V1086" s="29"/>
    </row>
    <row r="1087" spans="3:22" ht="12" customHeight="1">
      <c r="C1087" s="125">
        <v>44718</v>
      </c>
      <c r="D1087" s="34" t="s">
        <v>857</v>
      </c>
      <c r="E1087" s="115"/>
      <c r="F1087" s="34"/>
      <c r="G1087" s="34"/>
      <c r="H1087" s="34"/>
      <c r="I1087" s="29"/>
      <c r="P1087" s="125"/>
      <c r="Q1087" s="34"/>
      <c r="R1087" s="115"/>
      <c r="S1087" s="34"/>
      <c r="T1087" s="34"/>
      <c r="U1087" s="34"/>
      <c r="V1087" s="29"/>
    </row>
    <row r="1088" spans="3:22">
      <c r="C1088" s="125">
        <v>44718</v>
      </c>
      <c r="D1088" s="34">
        <v>125.25</v>
      </c>
      <c r="E1088" s="115">
        <v>128.99</v>
      </c>
      <c r="F1088" s="34">
        <v>123.81</v>
      </c>
      <c r="G1088" s="34">
        <v>124.79</v>
      </c>
      <c r="H1088" s="34">
        <v>124.79</v>
      </c>
      <c r="I1088" s="29">
        <v>135269000</v>
      </c>
      <c r="P1088" s="125"/>
      <c r="Q1088" s="34"/>
      <c r="R1088" s="115"/>
      <c r="S1088" s="34"/>
      <c r="T1088" s="34"/>
      <c r="U1088" s="34"/>
      <c r="V1088" s="29"/>
    </row>
    <row r="1089" spans="3:22">
      <c r="C1089" s="125">
        <v>44718</v>
      </c>
      <c r="D1089" s="34">
        <v>222.89999399999999</v>
      </c>
      <c r="E1089" s="115">
        <v>224.759995</v>
      </c>
      <c r="F1089" s="34">
        <v>222.25</v>
      </c>
      <c r="G1089" s="34">
        <v>223.63000500000001</v>
      </c>
      <c r="H1089" s="34">
        <v>219.55995200000001</v>
      </c>
      <c r="I1089" s="29">
        <v>1565400</v>
      </c>
      <c r="P1089" s="125"/>
      <c r="Q1089" s="34"/>
      <c r="R1089" s="115"/>
      <c r="S1089" s="34"/>
      <c r="T1089" s="34"/>
      <c r="U1089" s="34"/>
      <c r="V1089" s="29"/>
    </row>
    <row r="1090" spans="3:22">
      <c r="C1090" s="125">
        <v>44715</v>
      </c>
      <c r="D1090" s="34">
        <v>124.2</v>
      </c>
      <c r="E1090" s="115">
        <v>124.4</v>
      </c>
      <c r="F1090" s="34">
        <v>121.05</v>
      </c>
      <c r="G1090" s="34">
        <v>122.35</v>
      </c>
      <c r="H1090" s="34">
        <v>122.35</v>
      </c>
      <c r="I1090" s="29">
        <v>97604000</v>
      </c>
      <c r="P1090" s="125"/>
      <c r="Q1090" s="34"/>
      <c r="R1090" s="115"/>
      <c r="S1090" s="34"/>
      <c r="T1090" s="34"/>
      <c r="U1090" s="34"/>
      <c r="V1090" s="29"/>
    </row>
    <row r="1091" spans="3:22">
      <c r="C1091" s="125">
        <v>44715</v>
      </c>
      <c r="D1091" s="34">
        <v>218.25</v>
      </c>
      <c r="E1091" s="115">
        <v>224.10000600000001</v>
      </c>
      <c r="F1091" s="34">
        <v>218.25</v>
      </c>
      <c r="G1091" s="34">
        <v>222.89999399999999</v>
      </c>
      <c r="H1091" s="34">
        <v>218.843231</v>
      </c>
      <c r="I1091" s="29">
        <v>2222500</v>
      </c>
      <c r="P1091" s="125"/>
      <c r="Q1091" s="34"/>
      <c r="R1091" s="115"/>
      <c r="S1091" s="34"/>
      <c r="T1091" s="34"/>
      <c r="U1091" s="34"/>
      <c r="V1091" s="29"/>
    </row>
    <row r="1092" spans="3:22">
      <c r="C1092" s="125">
        <v>44714</v>
      </c>
      <c r="D1092" s="34">
        <v>121.68</v>
      </c>
      <c r="E1092" s="115">
        <v>125.61</v>
      </c>
      <c r="F1092" s="34">
        <v>120.04</v>
      </c>
      <c r="G1092" s="34">
        <v>125.51</v>
      </c>
      <c r="H1092" s="34">
        <v>125.51</v>
      </c>
      <c r="I1092" s="29">
        <v>100560000</v>
      </c>
      <c r="P1092" s="125"/>
      <c r="Q1092" s="34"/>
      <c r="R1092" s="115"/>
      <c r="S1092" s="34"/>
      <c r="T1092" s="34"/>
      <c r="U1092" s="34"/>
      <c r="V1092" s="29"/>
    </row>
    <row r="1093" spans="3:22">
      <c r="C1093" s="125">
        <v>44714</v>
      </c>
      <c r="D1093" s="34">
        <v>219.58999600000001</v>
      </c>
      <c r="E1093" s="115">
        <v>220.83999600000001</v>
      </c>
      <c r="F1093" s="34">
        <v>217.25</v>
      </c>
      <c r="G1093" s="34">
        <v>220</v>
      </c>
      <c r="H1093" s="34">
        <v>215.99603300000001</v>
      </c>
      <c r="I1093" s="29">
        <v>1784100</v>
      </c>
      <c r="P1093" s="125"/>
      <c r="Q1093" s="34"/>
      <c r="R1093" s="115"/>
      <c r="S1093" s="34"/>
      <c r="T1093" s="34"/>
      <c r="U1093" s="34"/>
      <c r="V1093" s="29"/>
    </row>
    <row r="1094" spans="3:22">
      <c r="C1094" s="125">
        <v>44713</v>
      </c>
      <c r="D1094" s="34">
        <v>122.26</v>
      </c>
      <c r="E1094" s="115">
        <v>125.18</v>
      </c>
      <c r="F1094" s="34">
        <v>120.62</v>
      </c>
      <c r="G1094" s="34">
        <v>121.68</v>
      </c>
      <c r="H1094" s="34">
        <v>121.68</v>
      </c>
      <c r="I1094" s="29">
        <v>127528000</v>
      </c>
      <c r="P1094" s="125"/>
      <c r="Q1094" s="34"/>
      <c r="R1094" s="115"/>
      <c r="S1094" s="34"/>
      <c r="T1094" s="34"/>
      <c r="U1094" s="34"/>
      <c r="V1094" s="29"/>
    </row>
    <row r="1095" spans="3:22">
      <c r="C1095" s="125">
        <v>44713</v>
      </c>
      <c r="D1095" s="34">
        <v>218.46000699999999</v>
      </c>
      <c r="E1095" s="115">
        <v>219</v>
      </c>
      <c r="F1095" s="34">
        <v>214.300003</v>
      </c>
      <c r="G1095" s="34">
        <v>217.570007</v>
      </c>
      <c r="H1095" s="34">
        <v>213.61026000000001</v>
      </c>
      <c r="I1095" s="29">
        <v>2314000</v>
      </c>
      <c r="P1095" s="125"/>
      <c r="Q1095" s="34"/>
      <c r="R1095" s="115"/>
      <c r="S1095" s="34"/>
      <c r="T1095" s="34"/>
      <c r="U1095" s="34"/>
      <c r="V1095" s="29"/>
    </row>
    <row r="1096" spans="3:22">
      <c r="C1096" s="125">
        <v>44712</v>
      </c>
      <c r="D1096" s="34">
        <v>116.28</v>
      </c>
      <c r="E1096" s="115">
        <v>121.99</v>
      </c>
      <c r="F1096" s="34">
        <v>115.68</v>
      </c>
      <c r="G1096" s="34">
        <v>120.21</v>
      </c>
      <c r="H1096" s="34">
        <v>120.21</v>
      </c>
      <c r="I1096" s="29">
        <v>144634000</v>
      </c>
      <c r="P1096" s="125"/>
      <c r="Q1096" s="34"/>
      <c r="R1096" s="115"/>
      <c r="S1096" s="34"/>
      <c r="T1096" s="34"/>
      <c r="U1096" s="34"/>
      <c r="V1096" s="29"/>
    </row>
    <row r="1097" spans="3:22">
      <c r="C1097" s="125">
        <v>44712</v>
      </c>
      <c r="D1097" s="34">
        <v>214.78999300000001</v>
      </c>
      <c r="E1097" s="115">
        <v>218.08999600000001</v>
      </c>
      <c r="F1097" s="34">
        <v>213.490005</v>
      </c>
      <c r="G1097" s="34">
        <v>215.85000600000001</v>
      </c>
      <c r="H1097" s="34">
        <v>211.92155500000001</v>
      </c>
      <c r="I1097" s="29">
        <v>3773500</v>
      </c>
      <c r="P1097" s="125"/>
      <c r="Q1097" s="34"/>
      <c r="R1097" s="115"/>
      <c r="S1097" s="34"/>
      <c r="T1097" s="34"/>
      <c r="U1097" s="34"/>
      <c r="V1097" s="29"/>
    </row>
    <row r="1098" spans="3:22">
      <c r="C1098" s="125">
        <v>44708</v>
      </c>
      <c r="D1098" s="34">
        <v>113.55</v>
      </c>
      <c r="E1098" s="115">
        <v>115.19</v>
      </c>
      <c r="F1098" s="34">
        <v>112.63</v>
      </c>
      <c r="G1098" s="34">
        <v>115.15</v>
      </c>
      <c r="H1098" s="34">
        <v>115.15</v>
      </c>
      <c r="I1098" s="29">
        <v>93660000</v>
      </c>
      <c r="P1098" s="125"/>
      <c r="Q1098" s="34"/>
      <c r="R1098" s="115"/>
      <c r="S1098" s="34"/>
      <c r="T1098" s="34"/>
      <c r="U1098" s="34"/>
      <c r="V1098" s="29"/>
    </row>
    <row r="1099" spans="3:22">
      <c r="C1099" s="125">
        <v>44708</v>
      </c>
      <c r="D1099" s="34">
        <v>215</v>
      </c>
      <c r="E1099" s="115">
        <v>217.63000500000001</v>
      </c>
      <c r="F1099" s="34">
        <v>214.16000399999999</v>
      </c>
      <c r="G1099" s="34">
        <v>217.13999899999999</v>
      </c>
      <c r="H1099" s="34">
        <v>213.18808000000001</v>
      </c>
      <c r="I1099" s="29">
        <v>2020400</v>
      </c>
      <c r="P1099" s="125"/>
      <c r="Q1099" s="34"/>
      <c r="R1099" s="115"/>
      <c r="S1099" s="34"/>
      <c r="T1099" s="34"/>
      <c r="U1099" s="34"/>
      <c r="V1099" s="29"/>
    </row>
    <row r="1100" spans="3:22">
      <c r="C1100" s="125">
        <v>44707</v>
      </c>
      <c r="D1100" s="34">
        <v>107.97</v>
      </c>
      <c r="E1100" s="115">
        <v>112.67</v>
      </c>
      <c r="F1100" s="34">
        <v>107.45</v>
      </c>
      <c r="G1100" s="34">
        <v>111.08</v>
      </c>
      <c r="H1100" s="34">
        <v>111.08</v>
      </c>
      <c r="I1100" s="29">
        <v>93002000</v>
      </c>
      <c r="P1100" s="125"/>
      <c r="Q1100" s="34"/>
      <c r="R1100" s="115"/>
      <c r="S1100" s="34"/>
      <c r="T1100" s="34"/>
      <c r="U1100" s="34"/>
      <c r="V1100" s="29"/>
    </row>
    <row r="1101" spans="3:22">
      <c r="C1101" s="125">
        <v>44707</v>
      </c>
      <c r="D1101" s="34">
        <v>211.550003</v>
      </c>
      <c r="E1101" s="115">
        <v>213.63999899999999</v>
      </c>
      <c r="F1101" s="34">
        <v>210.39999399999999</v>
      </c>
      <c r="G1101" s="34">
        <v>212.990005</v>
      </c>
      <c r="H1101" s="34">
        <v>209.11360199999999</v>
      </c>
      <c r="I1101" s="29">
        <v>2016000</v>
      </c>
      <c r="P1101" s="125"/>
      <c r="Q1101" s="34"/>
      <c r="R1101" s="115"/>
      <c r="S1101" s="34"/>
      <c r="T1101" s="34"/>
      <c r="U1101" s="34"/>
      <c r="V1101" s="29"/>
    </row>
    <row r="1102" spans="3:22">
      <c r="C1102" s="125">
        <v>44706</v>
      </c>
      <c r="D1102" s="34">
        <v>103.66</v>
      </c>
      <c r="E1102" s="115">
        <v>108.18</v>
      </c>
      <c r="F1102" s="34">
        <v>103.65</v>
      </c>
      <c r="G1102" s="34">
        <v>106.78</v>
      </c>
      <c r="H1102" s="34">
        <v>106.78</v>
      </c>
      <c r="I1102" s="29">
        <v>93120000</v>
      </c>
      <c r="P1102" s="125"/>
      <c r="Q1102" s="34"/>
      <c r="R1102" s="115"/>
      <c r="S1102" s="34"/>
      <c r="T1102" s="34"/>
      <c r="U1102" s="34"/>
      <c r="V1102" s="29"/>
    </row>
    <row r="1103" spans="3:22">
      <c r="C1103" s="125">
        <v>44706</v>
      </c>
      <c r="D1103" s="34">
        <v>205</v>
      </c>
      <c r="E1103" s="115">
        <v>210.08999600000001</v>
      </c>
      <c r="F1103" s="34">
        <v>204.820007</v>
      </c>
      <c r="G1103" s="34">
        <v>209.30999800000001</v>
      </c>
      <c r="H1103" s="34">
        <v>205.50058000000001</v>
      </c>
      <c r="I1103" s="29">
        <v>3080200</v>
      </c>
      <c r="P1103" s="125"/>
      <c r="Q1103" s="34"/>
      <c r="R1103" s="115"/>
      <c r="S1103" s="34"/>
      <c r="T1103" s="34"/>
      <c r="U1103" s="34"/>
      <c r="V1103" s="29"/>
    </row>
    <row r="1104" spans="3:22">
      <c r="C1104" s="125">
        <v>44705</v>
      </c>
      <c r="D1104" s="34">
        <v>104.03</v>
      </c>
      <c r="E1104" s="115">
        <v>105.4</v>
      </c>
      <c r="F1104" s="34">
        <v>101.26</v>
      </c>
      <c r="G1104" s="34">
        <v>104.1</v>
      </c>
      <c r="H1104" s="34">
        <v>104.1</v>
      </c>
      <c r="I1104" s="29">
        <v>102934000</v>
      </c>
      <c r="P1104" s="125"/>
      <c r="Q1104" s="34"/>
      <c r="R1104" s="115"/>
      <c r="S1104" s="34"/>
      <c r="T1104" s="34"/>
      <c r="U1104" s="34"/>
      <c r="V1104" s="29"/>
    </row>
    <row r="1105" spans="3:22">
      <c r="C1105" s="125">
        <v>44705</v>
      </c>
      <c r="D1105" s="34">
        <v>202.009995</v>
      </c>
      <c r="E1105" s="115">
        <v>205.699997</v>
      </c>
      <c r="F1105" s="34">
        <v>201.28999300000001</v>
      </c>
      <c r="G1105" s="34">
        <v>205.64999399999999</v>
      </c>
      <c r="H1105" s="34">
        <v>201.907196</v>
      </c>
      <c r="I1105" s="29">
        <v>2467800</v>
      </c>
      <c r="P1105" s="125"/>
      <c r="Q1105" s="34"/>
      <c r="R1105" s="115"/>
      <c r="S1105" s="34"/>
      <c r="T1105" s="34"/>
      <c r="U1105" s="34"/>
      <c r="V1105" s="29"/>
    </row>
    <row r="1106" spans="3:22">
      <c r="C1106" s="125">
        <v>44704</v>
      </c>
      <c r="D1106" s="34">
        <v>108.46</v>
      </c>
      <c r="E1106" s="115">
        <v>108.82</v>
      </c>
      <c r="F1106" s="34">
        <v>103.95</v>
      </c>
      <c r="G1106" s="34">
        <v>107.56</v>
      </c>
      <c r="H1106" s="34">
        <v>107.56</v>
      </c>
      <c r="I1106" s="29">
        <v>107798000</v>
      </c>
      <c r="P1106" s="125"/>
      <c r="Q1106" s="34"/>
      <c r="R1106" s="115"/>
      <c r="S1106" s="34"/>
      <c r="T1106" s="34"/>
      <c r="U1106" s="34"/>
      <c r="V1106" s="29"/>
    </row>
    <row r="1107" spans="3:22">
      <c r="C1107" s="125">
        <v>44704</v>
      </c>
      <c r="D1107" s="34">
        <v>199.929993</v>
      </c>
      <c r="E1107" s="115">
        <v>205.490005</v>
      </c>
      <c r="F1107" s="34">
        <v>199.16000399999999</v>
      </c>
      <c r="G1107" s="34">
        <v>204.14999399999999</v>
      </c>
      <c r="H1107" s="34">
        <v>200.434494</v>
      </c>
      <c r="I1107" s="29">
        <v>3246600</v>
      </c>
      <c r="P1107" s="125"/>
      <c r="Q1107" s="34"/>
      <c r="R1107" s="115"/>
      <c r="S1107" s="34"/>
      <c r="T1107" s="34"/>
      <c r="U1107" s="34"/>
      <c r="V1107" s="29"/>
    </row>
    <row r="1108" spans="3:22">
      <c r="C1108" s="125">
        <v>44701</v>
      </c>
      <c r="D1108" s="34">
        <v>109.57</v>
      </c>
      <c r="E1108" s="115">
        <v>109.9</v>
      </c>
      <c r="F1108" s="34">
        <v>105.01</v>
      </c>
      <c r="G1108" s="34">
        <v>107.59</v>
      </c>
      <c r="H1108" s="34">
        <v>107.59</v>
      </c>
      <c r="I1108" s="29">
        <v>99500000</v>
      </c>
      <c r="P1108" s="125"/>
      <c r="Q1108" s="34"/>
      <c r="R1108" s="115"/>
      <c r="S1108" s="34"/>
      <c r="T1108" s="34"/>
      <c r="U1108" s="34"/>
      <c r="V1108" s="29"/>
    </row>
    <row r="1109" spans="3:22">
      <c r="C1109" s="125">
        <v>44701</v>
      </c>
      <c r="D1109" s="34">
        <v>206.449997</v>
      </c>
      <c r="E1109" s="115">
        <v>206.63000500000001</v>
      </c>
      <c r="F1109" s="34">
        <v>194.03999300000001</v>
      </c>
      <c r="G1109" s="34">
        <v>197.820007</v>
      </c>
      <c r="H1109" s="34">
        <v>194.21971099999999</v>
      </c>
      <c r="I1109" s="29">
        <v>5404500</v>
      </c>
      <c r="P1109" s="125"/>
      <c r="Q1109" s="34"/>
      <c r="R1109" s="115"/>
      <c r="S1109" s="34"/>
      <c r="T1109" s="34"/>
      <c r="U1109" s="34"/>
      <c r="V1109" s="29"/>
    </row>
    <row r="1110" spans="3:22">
      <c r="C1110" s="125">
        <v>44700</v>
      </c>
      <c r="D1110" s="34">
        <v>106.28</v>
      </c>
      <c r="E1110" s="115">
        <v>110.03</v>
      </c>
      <c r="F1110" s="34">
        <v>106.19</v>
      </c>
      <c r="G1110" s="34">
        <v>107.32</v>
      </c>
      <c r="H1110" s="34">
        <v>107.32</v>
      </c>
      <c r="I1110" s="29">
        <v>88142000</v>
      </c>
      <c r="P1110" s="125"/>
      <c r="Q1110" s="34"/>
      <c r="R1110" s="115"/>
      <c r="S1110" s="34"/>
      <c r="T1110" s="34"/>
      <c r="U1110" s="34"/>
      <c r="V1110" s="29"/>
    </row>
    <row r="1111" spans="3:22">
      <c r="C1111" s="125">
        <v>44700</v>
      </c>
      <c r="D1111" s="34">
        <v>205.86000100000001</v>
      </c>
      <c r="E1111" s="115">
        <v>209.279999</v>
      </c>
      <c r="F1111" s="34">
        <v>201.71000699999999</v>
      </c>
      <c r="G1111" s="34">
        <v>206.759995</v>
      </c>
      <c r="H1111" s="34">
        <v>202.99697900000001</v>
      </c>
      <c r="I1111" s="29">
        <v>2887700</v>
      </c>
      <c r="P1111" s="125"/>
      <c r="Q1111" s="34"/>
      <c r="R1111" s="115"/>
      <c r="S1111" s="34"/>
      <c r="T1111" s="34"/>
      <c r="U1111" s="34"/>
      <c r="V1111" s="29"/>
    </row>
    <row r="1112" spans="3:22">
      <c r="C1112" s="125">
        <v>44699</v>
      </c>
      <c r="D1112" s="34">
        <v>111.44</v>
      </c>
      <c r="E1112" s="115">
        <v>112.85</v>
      </c>
      <c r="F1112" s="34">
        <v>106.25</v>
      </c>
      <c r="G1112" s="34">
        <v>107.11</v>
      </c>
      <c r="H1112" s="34">
        <v>107.11</v>
      </c>
      <c r="I1112" s="29">
        <v>108380000</v>
      </c>
      <c r="P1112" s="125"/>
      <c r="Q1112" s="34"/>
      <c r="R1112" s="115"/>
      <c r="S1112" s="34"/>
      <c r="T1112" s="34"/>
      <c r="U1112" s="34"/>
      <c r="V1112" s="29"/>
    </row>
    <row r="1113" spans="3:22">
      <c r="C1113" s="125">
        <v>44699</v>
      </c>
      <c r="D1113" s="34">
        <v>213.83999600000001</v>
      </c>
      <c r="E1113" s="115">
        <v>217.89999399999999</v>
      </c>
      <c r="F1113" s="34">
        <v>207.520004</v>
      </c>
      <c r="G1113" s="34">
        <v>207.94000199999999</v>
      </c>
      <c r="H1113" s="34">
        <v>204.15553299999999</v>
      </c>
      <c r="I1113" s="29">
        <v>4723300</v>
      </c>
      <c r="P1113" s="125"/>
      <c r="Q1113" s="34"/>
      <c r="R1113" s="115"/>
      <c r="S1113" s="34"/>
      <c r="T1113" s="34"/>
      <c r="U1113" s="34"/>
      <c r="V1113" s="29"/>
    </row>
    <row r="1114" spans="3:22">
      <c r="C1114" s="125">
        <v>44698</v>
      </c>
      <c r="D1114" s="34">
        <v>113.28</v>
      </c>
      <c r="E1114" s="115">
        <v>115.8</v>
      </c>
      <c r="F1114" s="34">
        <v>111.28</v>
      </c>
      <c r="G1114" s="34">
        <v>115.37</v>
      </c>
      <c r="H1114" s="34">
        <v>115.37</v>
      </c>
      <c r="I1114" s="29">
        <v>76448000</v>
      </c>
      <c r="P1114" s="125"/>
      <c r="Q1114" s="34"/>
      <c r="R1114" s="115"/>
      <c r="S1114" s="34"/>
      <c r="T1114" s="34"/>
      <c r="U1114" s="34"/>
      <c r="V1114" s="29"/>
    </row>
    <row r="1115" spans="3:22">
      <c r="C1115" s="125">
        <v>44698</v>
      </c>
      <c r="D1115" s="34">
        <v>212.800003</v>
      </c>
      <c r="E1115" s="115">
        <v>213.770004</v>
      </c>
      <c r="F1115" s="34">
        <v>209.13999899999999</v>
      </c>
      <c r="G1115" s="34">
        <v>213.08999600000001</v>
      </c>
      <c r="H1115" s="34">
        <v>209.211792</v>
      </c>
      <c r="I1115" s="29">
        <v>2275900</v>
      </c>
      <c r="P1115" s="125"/>
      <c r="Q1115" s="34"/>
      <c r="R1115" s="115"/>
      <c r="S1115" s="34"/>
      <c r="T1115" s="34"/>
      <c r="U1115" s="34"/>
      <c r="V1115" s="29"/>
    </row>
    <row r="1116" spans="3:22">
      <c r="C1116" s="125">
        <v>44697</v>
      </c>
      <c r="D1116" s="34">
        <v>113.1</v>
      </c>
      <c r="E1116" s="115">
        <v>113.99</v>
      </c>
      <c r="F1116" s="34">
        <v>110.35</v>
      </c>
      <c r="G1116" s="34">
        <v>110.81</v>
      </c>
      <c r="H1116" s="34">
        <v>110.81</v>
      </c>
      <c r="I1116" s="29">
        <v>74566000</v>
      </c>
      <c r="P1116" s="125"/>
      <c r="Q1116" s="34"/>
      <c r="R1116" s="115"/>
      <c r="S1116" s="34"/>
      <c r="T1116" s="34"/>
      <c r="U1116" s="34"/>
      <c r="V1116" s="29"/>
    </row>
    <row r="1117" spans="3:22">
      <c r="C1117" s="125">
        <v>44697</v>
      </c>
      <c r="D1117" s="34">
        <v>205.020004</v>
      </c>
      <c r="E1117" s="115">
        <v>209.21000699999999</v>
      </c>
      <c r="F1117" s="34">
        <v>203.679993</v>
      </c>
      <c r="G1117" s="34">
        <v>207.19000199999999</v>
      </c>
      <c r="H1117" s="34">
        <v>203.419174</v>
      </c>
      <c r="I1117" s="29">
        <v>2540800</v>
      </c>
      <c r="P1117" s="125"/>
      <c r="Q1117" s="34"/>
      <c r="R1117" s="115"/>
      <c r="S1117" s="34"/>
      <c r="T1117" s="34"/>
      <c r="U1117" s="34"/>
      <c r="V1117" s="29"/>
    </row>
    <row r="1118" spans="3:22">
      <c r="C1118" s="125">
        <v>44694</v>
      </c>
      <c r="D1118" s="34">
        <v>109.07</v>
      </c>
      <c r="E1118" s="115">
        <v>113.18</v>
      </c>
      <c r="F1118" s="34">
        <v>107.8</v>
      </c>
      <c r="G1118" s="34">
        <v>113.06</v>
      </c>
      <c r="H1118" s="34">
        <v>113.06</v>
      </c>
      <c r="I1118" s="29">
        <v>93684000</v>
      </c>
      <c r="P1118" s="125"/>
      <c r="Q1118" s="34"/>
      <c r="R1118" s="115"/>
      <c r="S1118" s="34"/>
      <c r="T1118" s="34"/>
      <c r="U1118" s="34"/>
      <c r="V1118" s="29"/>
    </row>
    <row r="1119" spans="3:22">
      <c r="C1119" s="125">
        <v>44694</v>
      </c>
      <c r="D1119" s="34">
        <v>205.14999399999999</v>
      </c>
      <c r="E1119" s="115">
        <v>206.46000699999999</v>
      </c>
      <c r="F1119" s="34">
        <v>202.91999799999999</v>
      </c>
      <c r="G1119" s="34">
        <v>204.33000200000001</v>
      </c>
      <c r="H1119" s="34">
        <v>200.611221</v>
      </c>
      <c r="I1119" s="29">
        <v>2323800</v>
      </c>
      <c r="P1119" s="125"/>
      <c r="Q1119" s="34"/>
      <c r="R1119" s="115"/>
      <c r="S1119" s="34"/>
      <c r="T1119" s="34"/>
      <c r="U1119" s="34"/>
      <c r="V1119" s="29"/>
    </row>
    <row r="1120" spans="3:22">
      <c r="C1120" s="125">
        <v>44693</v>
      </c>
      <c r="D1120" s="34">
        <v>102.75</v>
      </c>
      <c r="E1120" s="115">
        <v>110.78</v>
      </c>
      <c r="F1120" s="34">
        <v>102.41</v>
      </c>
      <c r="G1120" s="34">
        <v>106.93</v>
      </c>
      <c r="H1120" s="34">
        <v>106.93</v>
      </c>
      <c r="I1120" s="29">
        <v>132026000</v>
      </c>
      <c r="P1120" s="125"/>
      <c r="Q1120" s="34"/>
      <c r="R1120" s="115"/>
      <c r="S1120" s="34"/>
      <c r="T1120" s="34"/>
      <c r="U1120" s="34"/>
      <c r="V1120" s="29"/>
    </row>
    <row r="1121" spans="3:22">
      <c r="C1121" s="125">
        <v>44693</v>
      </c>
      <c r="D1121" s="34">
        <v>203.61000100000001</v>
      </c>
      <c r="E1121" s="115">
        <v>205.33999600000001</v>
      </c>
      <c r="F1121" s="34">
        <v>199.300003</v>
      </c>
      <c r="G1121" s="34">
        <v>203.029999</v>
      </c>
      <c r="H1121" s="34">
        <v>199.33488500000001</v>
      </c>
      <c r="I1121" s="29">
        <v>3282000</v>
      </c>
      <c r="P1121" s="125"/>
      <c r="Q1121" s="34"/>
      <c r="R1121" s="115"/>
      <c r="S1121" s="34"/>
      <c r="T1121" s="34"/>
      <c r="U1121" s="34"/>
      <c r="V1121" s="29"/>
    </row>
    <row r="1122" spans="3:22">
      <c r="C1122" s="125">
        <v>44692</v>
      </c>
      <c r="D1122" s="34">
        <v>108.1</v>
      </c>
      <c r="E1122" s="115">
        <v>110.16</v>
      </c>
      <c r="F1122" s="34">
        <v>104.43</v>
      </c>
      <c r="G1122" s="34">
        <v>105.37</v>
      </c>
      <c r="H1122" s="34">
        <v>105.37</v>
      </c>
      <c r="I1122" s="29">
        <v>109704000</v>
      </c>
      <c r="P1122" s="125"/>
      <c r="Q1122" s="34"/>
      <c r="R1122" s="115"/>
      <c r="S1122" s="34"/>
      <c r="T1122" s="34"/>
      <c r="U1122" s="34"/>
      <c r="V1122" s="29"/>
    </row>
    <row r="1123" spans="3:22">
      <c r="C1123" s="125">
        <v>44692</v>
      </c>
      <c r="D1123" s="34">
        <v>205.55999800000001</v>
      </c>
      <c r="E1123" s="115">
        <v>209.71000699999999</v>
      </c>
      <c r="F1123" s="34">
        <v>203.58999600000001</v>
      </c>
      <c r="G1123" s="34">
        <v>205.21000699999999</v>
      </c>
      <c r="H1123" s="34">
        <v>201.47520399999999</v>
      </c>
      <c r="I1123" s="29">
        <v>2552400</v>
      </c>
      <c r="P1123" s="125"/>
      <c r="Q1123" s="34"/>
      <c r="R1123" s="115"/>
      <c r="S1123" s="34"/>
      <c r="T1123" s="34"/>
      <c r="U1123" s="34"/>
      <c r="V1123" s="29"/>
    </row>
    <row r="1124" spans="3:22">
      <c r="C1124" s="125">
        <v>44691</v>
      </c>
      <c r="D1124" s="34">
        <v>111.25</v>
      </c>
      <c r="E1124" s="115">
        <v>112.64</v>
      </c>
      <c r="F1124" s="34">
        <v>107.17</v>
      </c>
      <c r="G1124" s="34">
        <v>108.86</v>
      </c>
      <c r="H1124" s="34">
        <v>108.86</v>
      </c>
      <c r="I1124" s="29">
        <v>105434000</v>
      </c>
      <c r="P1124" s="125"/>
      <c r="Q1124" s="34"/>
      <c r="R1124" s="115"/>
      <c r="S1124" s="34"/>
      <c r="T1124" s="34"/>
      <c r="U1124" s="34"/>
      <c r="V1124" s="29"/>
    </row>
    <row r="1125" spans="3:22">
      <c r="C1125" s="125">
        <v>44691</v>
      </c>
      <c r="D1125" s="34">
        <v>208.240005</v>
      </c>
      <c r="E1125" s="115">
        <v>209.520004</v>
      </c>
      <c r="F1125" s="34">
        <v>201.38999899999999</v>
      </c>
      <c r="G1125" s="34">
        <v>202.990005</v>
      </c>
      <c r="H1125" s="34">
        <v>199.29560900000001</v>
      </c>
      <c r="I1125" s="29">
        <v>3040400</v>
      </c>
      <c r="P1125" s="125"/>
      <c r="Q1125" s="34"/>
      <c r="R1125" s="115"/>
      <c r="S1125" s="34"/>
      <c r="T1125" s="34"/>
      <c r="U1125" s="34"/>
      <c r="V1125" s="29"/>
    </row>
    <row r="1126" spans="3:22">
      <c r="C1126" s="125">
        <v>44690</v>
      </c>
      <c r="D1126" s="34">
        <v>111.31</v>
      </c>
      <c r="E1126" s="115">
        <v>114</v>
      </c>
      <c r="F1126" s="34">
        <v>107.96</v>
      </c>
      <c r="G1126" s="34">
        <v>108.79</v>
      </c>
      <c r="H1126" s="34">
        <v>108.79</v>
      </c>
      <c r="I1126" s="29">
        <v>128124000</v>
      </c>
      <c r="P1126" s="125"/>
      <c r="Q1126" s="34"/>
      <c r="R1126" s="115"/>
      <c r="S1126" s="34"/>
      <c r="T1126" s="34"/>
      <c r="U1126" s="34"/>
      <c r="V1126" s="29"/>
    </row>
    <row r="1127" spans="3:22">
      <c r="C1127" s="125">
        <v>44690</v>
      </c>
      <c r="D1127" s="34">
        <v>212.029999</v>
      </c>
      <c r="E1127" s="115">
        <v>212.050003</v>
      </c>
      <c r="F1127" s="34">
        <v>205.44000199999999</v>
      </c>
      <c r="G1127" s="34">
        <v>206.28999300000001</v>
      </c>
      <c r="H1127" s="34">
        <v>202.535538</v>
      </c>
      <c r="I1127" s="29">
        <v>2929900</v>
      </c>
      <c r="P1127" s="125"/>
      <c r="Q1127" s="34"/>
      <c r="R1127" s="115"/>
      <c r="S1127" s="34"/>
      <c r="T1127" s="34"/>
      <c r="U1127" s="34"/>
      <c r="V1127" s="29"/>
    </row>
    <row r="1128" spans="3:22">
      <c r="C1128" s="125">
        <v>44687</v>
      </c>
      <c r="D1128" s="34">
        <v>114.85</v>
      </c>
      <c r="E1128" s="115">
        <v>119.05</v>
      </c>
      <c r="F1128" s="34">
        <v>113.08</v>
      </c>
      <c r="G1128" s="34">
        <v>114.77</v>
      </c>
      <c r="H1128" s="34">
        <v>114.77</v>
      </c>
      <c r="I1128" s="29">
        <v>124260000</v>
      </c>
      <c r="P1128" s="125"/>
      <c r="Q1128" s="34"/>
      <c r="R1128" s="115"/>
      <c r="S1128" s="34"/>
      <c r="T1128" s="34"/>
      <c r="U1128" s="34"/>
      <c r="V1128" s="29"/>
    </row>
    <row r="1129" spans="3:22">
      <c r="C1129" s="125">
        <v>44687</v>
      </c>
      <c r="D1129" s="34">
        <v>217.009995</v>
      </c>
      <c r="E1129" s="115">
        <v>217.009995</v>
      </c>
      <c r="F1129" s="34">
        <v>210.35000600000001</v>
      </c>
      <c r="G1129" s="34">
        <v>214.64999399999999</v>
      </c>
      <c r="H1129" s="34">
        <v>210.74337800000001</v>
      </c>
      <c r="I1129" s="29">
        <v>2268400</v>
      </c>
      <c r="P1129" s="125"/>
      <c r="Q1129" s="34"/>
      <c r="R1129" s="115"/>
      <c r="S1129" s="34"/>
      <c r="T1129" s="34"/>
      <c r="U1129" s="34"/>
      <c r="V1129" s="29"/>
    </row>
    <row r="1130" spans="3:22">
      <c r="C1130" s="125">
        <v>44686</v>
      </c>
      <c r="D1130" s="34">
        <v>123</v>
      </c>
      <c r="E1130" s="115">
        <v>123.5</v>
      </c>
      <c r="F1130" s="34">
        <v>115.07</v>
      </c>
      <c r="G1130" s="34">
        <v>116.41</v>
      </c>
      <c r="H1130" s="34">
        <v>116.41</v>
      </c>
      <c r="I1130" s="29">
        <v>144392000</v>
      </c>
      <c r="P1130" s="125"/>
      <c r="Q1130" s="34"/>
      <c r="R1130" s="115"/>
      <c r="S1130" s="34"/>
      <c r="T1130" s="34"/>
      <c r="U1130" s="34"/>
      <c r="V1130" s="29"/>
    </row>
    <row r="1131" spans="3:22">
      <c r="C1131" s="125">
        <v>44686</v>
      </c>
      <c r="D1131" s="34">
        <v>222.39999399999999</v>
      </c>
      <c r="E1131" s="115">
        <v>223.14999399999999</v>
      </c>
      <c r="F1131" s="34">
        <v>213.770004</v>
      </c>
      <c r="G1131" s="34">
        <v>215.929993</v>
      </c>
      <c r="H1131" s="34">
        <v>212.00010700000001</v>
      </c>
      <c r="I1131" s="29">
        <v>3005600</v>
      </c>
      <c r="P1131" s="125"/>
      <c r="Q1131" s="34"/>
      <c r="R1131" s="115"/>
      <c r="S1131" s="34"/>
      <c r="T1131" s="34"/>
      <c r="U1131" s="34"/>
      <c r="V1131" s="29"/>
    </row>
    <row r="1132" spans="3:22">
      <c r="C1132" s="125">
        <v>44685</v>
      </c>
      <c r="D1132" s="34">
        <v>123.6</v>
      </c>
      <c r="E1132" s="115">
        <v>126</v>
      </c>
      <c r="F1132" s="34">
        <v>119.18</v>
      </c>
      <c r="G1132" s="34">
        <v>125.93</v>
      </c>
      <c r="H1132" s="34">
        <v>125.93</v>
      </c>
      <c r="I1132" s="29">
        <v>110746000</v>
      </c>
      <c r="P1132" s="125"/>
      <c r="Q1132" s="34"/>
      <c r="R1132" s="115"/>
      <c r="S1132" s="34"/>
      <c r="T1132" s="34"/>
      <c r="U1132" s="34"/>
      <c r="V1132" s="29"/>
    </row>
    <row r="1133" spans="3:22">
      <c r="C1133" s="125">
        <v>44685</v>
      </c>
      <c r="D1133" s="34">
        <v>214.949997</v>
      </c>
      <c r="E1133" s="115">
        <v>223.28999300000001</v>
      </c>
      <c r="F1133" s="34">
        <v>213.83000200000001</v>
      </c>
      <c r="G1133" s="34">
        <v>222.58999600000001</v>
      </c>
      <c r="H1133" s="34">
        <v>218.53887900000001</v>
      </c>
      <c r="I1133" s="29">
        <v>3023700</v>
      </c>
      <c r="P1133" s="125"/>
      <c r="Q1133" s="34"/>
      <c r="R1133" s="115"/>
      <c r="S1133" s="34"/>
      <c r="T1133" s="34"/>
      <c r="U1133" s="34"/>
      <c r="V1133" s="29"/>
    </row>
    <row r="1134" spans="3:22">
      <c r="C1134" s="125">
        <v>44684</v>
      </c>
      <c r="D1134" s="34">
        <v>124.05</v>
      </c>
      <c r="E1134" s="115">
        <v>126.22</v>
      </c>
      <c r="F1134" s="34">
        <v>122.82</v>
      </c>
      <c r="G1134" s="34">
        <v>124.25</v>
      </c>
      <c r="H1134" s="34">
        <v>124.25</v>
      </c>
      <c r="I1134" s="29">
        <v>79134000</v>
      </c>
      <c r="P1134" s="125"/>
      <c r="Q1134" s="34"/>
      <c r="R1134" s="115"/>
      <c r="S1134" s="34"/>
      <c r="T1134" s="34"/>
      <c r="U1134" s="34"/>
      <c r="V1134" s="29"/>
    </row>
    <row r="1135" spans="3:22">
      <c r="C1135" s="125">
        <v>44684</v>
      </c>
      <c r="D1135" s="34">
        <v>211.89999399999999</v>
      </c>
      <c r="E1135" s="115">
        <v>215.36000100000001</v>
      </c>
      <c r="F1135" s="34">
        <v>210.78999300000001</v>
      </c>
      <c r="G1135" s="34">
        <v>213.61999499999999</v>
      </c>
      <c r="H1135" s="34">
        <v>209.732147</v>
      </c>
      <c r="I1135" s="29">
        <v>2121100</v>
      </c>
      <c r="P1135" s="125"/>
      <c r="Q1135" s="34"/>
      <c r="R1135" s="115"/>
      <c r="S1135" s="34"/>
      <c r="T1135" s="34"/>
      <c r="U1135" s="34"/>
      <c r="V1135" s="29"/>
    </row>
    <row r="1136" spans="3:22">
      <c r="C1136" s="125">
        <v>44683</v>
      </c>
      <c r="D1136" s="34">
        <v>122.4</v>
      </c>
      <c r="E1136" s="115">
        <v>124.67</v>
      </c>
      <c r="F1136" s="34">
        <v>118.38</v>
      </c>
      <c r="G1136" s="34">
        <v>124.5</v>
      </c>
      <c r="H1136" s="34">
        <v>124.5</v>
      </c>
      <c r="I1136" s="29">
        <v>148788000</v>
      </c>
      <c r="P1136" s="125"/>
      <c r="Q1136" s="34"/>
      <c r="R1136" s="115"/>
      <c r="S1136" s="34"/>
      <c r="T1136" s="34"/>
      <c r="U1136" s="34"/>
      <c r="V1136" s="29"/>
    </row>
    <row r="1137" spans="3:22">
      <c r="C1137" s="125">
        <v>44683</v>
      </c>
      <c r="D1137" s="34">
        <v>210</v>
      </c>
      <c r="E1137" s="115">
        <v>212.770004</v>
      </c>
      <c r="F1137" s="34">
        <v>207.66000399999999</v>
      </c>
      <c r="G1137" s="34">
        <v>212.070007</v>
      </c>
      <c r="H1137" s="34">
        <v>208.21035800000001</v>
      </c>
      <c r="I1137" s="29">
        <v>2639500</v>
      </c>
      <c r="P1137" s="125"/>
      <c r="Q1137" s="34"/>
      <c r="R1137" s="115"/>
      <c r="S1137" s="34"/>
      <c r="T1137" s="34"/>
      <c r="U1137" s="34"/>
      <c r="V1137" s="29"/>
    </row>
    <row r="1138" spans="3:22">
      <c r="C1138" s="125">
        <v>44680</v>
      </c>
      <c r="D1138" s="34">
        <v>129.85</v>
      </c>
      <c r="E1138" s="115">
        <v>130.76</v>
      </c>
      <c r="F1138" s="34">
        <v>121.63</v>
      </c>
      <c r="G1138" s="34">
        <v>124.28</v>
      </c>
      <c r="H1138" s="34">
        <v>124.28</v>
      </c>
      <c r="I1138" s="29">
        <v>272662000</v>
      </c>
      <c r="P1138" s="125"/>
      <c r="Q1138" s="34"/>
      <c r="R1138" s="115"/>
      <c r="S1138" s="34"/>
      <c r="T1138" s="34"/>
      <c r="U1138" s="34"/>
      <c r="V1138" s="29"/>
    </row>
    <row r="1139" spans="3:22">
      <c r="C1139" s="125">
        <v>44680</v>
      </c>
      <c r="D1139" s="34">
        <v>212.699997</v>
      </c>
      <c r="E1139" s="115">
        <v>217.21000699999999</v>
      </c>
      <c r="F1139" s="34">
        <v>210.16000399999999</v>
      </c>
      <c r="G1139" s="34">
        <v>210.53999300000001</v>
      </c>
      <c r="H1139" s="34">
        <v>206.70817600000001</v>
      </c>
      <c r="I1139" s="29">
        <v>3404000</v>
      </c>
      <c r="P1139" s="125"/>
      <c r="Q1139" s="34"/>
      <c r="R1139" s="115"/>
      <c r="S1139" s="34"/>
      <c r="T1139" s="34"/>
      <c r="U1139" s="34"/>
      <c r="V1139" s="29"/>
    </row>
    <row r="1140" spans="3:22">
      <c r="C1140" s="125">
        <v>44679</v>
      </c>
      <c r="D1140" s="34">
        <v>142.18</v>
      </c>
      <c r="E1140" s="115">
        <v>145.94</v>
      </c>
      <c r="F1140" s="34">
        <v>140.30000000000001</v>
      </c>
      <c r="G1140" s="34">
        <v>144.6</v>
      </c>
      <c r="H1140" s="34">
        <v>144.6</v>
      </c>
      <c r="I1140" s="29">
        <v>117316000</v>
      </c>
      <c r="P1140" s="125"/>
      <c r="Q1140" s="34"/>
      <c r="R1140" s="115"/>
      <c r="S1140" s="34"/>
      <c r="T1140" s="34"/>
      <c r="U1140" s="34"/>
      <c r="V1140" s="29"/>
    </row>
    <row r="1141" spans="3:22">
      <c r="C1141" s="125">
        <v>44679</v>
      </c>
      <c r="D1141" s="34">
        <v>207.429993</v>
      </c>
      <c r="E1141" s="115">
        <v>212.96000699999999</v>
      </c>
      <c r="F1141" s="34">
        <v>202</v>
      </c>
      <c r="G1141" s="34">
        <v>212.44000199999999</v>
      </c>
      <c r="H1141" s="34">
        <v>208.573624</v>
      </c>
      <c r="I1141" s="29">
        <v>6092800</v>
      </c>
      <c r="P1141" s="125"/>
      <c r="Q1141" s="34"/>
      <c r="R1141" s="115"/>
      <c r="S1141" s="34"/>
      <c r="T1141" s="34"/>
      <c r="U1141" s="34"/>
      <c r="V1141" s="29"/>
    </row>
    <row r="1142" spans="3:22">
      <c r="C1142" s="125">
        <v>44678</v>
      </c>
      <c r="D1142" s="34">
        <v>140.19</v>
      </c>
      <c r="E1142" s="115">
        <v>141.94999999999999</v>
      </c>
      <c r="F1142" s="34">
        <v>135.78</v>
      </c>
      <c r="G1142" s="34">
        <v>138.16999999999999</v>
      </c>
      <c r="H1142" s="34">
        <v>138.16999999999999</v>
      </c>
      <c r="I1142" s="29">
        <v>71336000</v>
      </c>
      <c r="P1142" s="125"/>
      <c r="Q1142" s="34"/>
      <c r="R1142" s="115"/>
      <c r="S1142" s="34"/>
      <c r="T1142" s="34"/>
      <c r="U1142" s="34"/>
      <c r="V1142" s="29"/>
    </row>
    <row r="1143" spans="3:22">
      <c r="C1143" s="125">
        <v>44678</v>
      </c>
      <c r="D1143" s="34">
        <v>211.11000100000001</v>
      </c>
      <c r="E1143" s="115">
        <v>215.550003</v>
      </c>
      <c r="F1143" s="34">
        <v>207.300003</v>
      </c>
      <c r="G1143" s="34">
        <v>213.96000699999999</v>
      </c>
      <c r="H1143" s="34">
        <v>210.06596400000001</v>
      </c>
      <c r="I1143" s="29">
        <v>3358300</v>
      </c>
      <c r="P1143" s="125"/>
      <c r="Q1143" s="34"/>
      <c r="R1143" s="115"/>
      <c r="S1143" s="34"/>
      <c r="T1143" s="34"/>
      <c r="U1143" s="34"/>
      <c r="V1143" s="29"/>
    </row>
    <row r="1144" spans="3:22">
      <c r="C1144" s="125">
        <v>44677</v>
      </c>
      <c r="D1144" s="34">
        <v>144.80000000000001</v>
      </c>
      <c r="E1144" s="115">
        <v>144.86000000000001</v>
      </c>
      <c r="F1144" s="34">
        <v>138.93</v>
      </c>
      <c r="G1144" s="34">
        <v>139.38999999999999</v>
      </c>
      <c r="H1144" s="34">
        <v>139.38999999999999</v>
      </c>
      <c r="I1144" s="29">
        <v>77530000</v>
      </c>
      <c r="P1144" s="125"/>
      <c r="Q1144" s="34"/>
      <c r="R1144" s="115"/>
      <c r="S1144" s="34"/>
      <c r="T1144" s="34"/>
      <c r="U1144" s="34"/>
      <c r="V1144" s="29"/>
    </row>
    <row r="1145" spans="3:22">
      <c r="C1145" s="125">
        <v>44677</v>
      </c>
      <c r="D1145" s="34">
        <v>216.13000500000001</v>
      </c>
      <c r="E1145" s="115">
        <v>218.199997</v>
      </c>
      <c r="F1145" s="34">
        <v>209.35000600000001</v>
      </c>
      <c r="G1145" s="34">
        <v>210.300003</v>
      </c>
      <c r="H1145" s="34">
        <v>206.472565</v>
      </c>
      <c r="I1145" s="29">
        <v>4176700</v>
      </c>
      <c r="P1145" s="125"/>
      <c r="Q1145" s="34"/>
      <c r="R1145" s="115"/>
      <c r="S1145" s="34"/>
      <c r="T1145" s="34"/>
      <c r="U1145" s="34"/>
      <c r="V1145" s="29"/>
    </row>
    <row r="1146" spans="3:22">
      <c r="C1146" s="125">
        <v>44676</v>
      </c>
      <c r="D1146" s="34">
        <v>144.02000000000001</v>
      </c>
      <c r="E1146" s="115">
        <v>146.22</v>
      </c>
      <c r="F1146" s="34">
        <v>142.31</v>
      </c>
      <c r="G1146" s="34">
        <v>146.07</v>
      </c>
      <c r="H1146" s="34">
        <v>146.07</v>
      </c>
      <c r="I1146" s="29">
        <v>61874000</v>
      </c>
      <c r="P1146" s="125"/>
      <c r="Q1146" s="34"/>
      <c r="R1146" s="115"/>
      <c r="S1146" s="34"/>
      <c r="T1146" s="34"/>
      <c r="U1146" s="34"/>
      <c r="V1146" s="29"/>
    </row>
    <row r="1147" spans="3:22">
      <c r="C1147" s="125">
        <v>44676</v>
      </c>
      <c r="D1147" s="34">
        <v>215.30999800000001</v>
      </c>
      <c r="E1147" s="115">
        <v>217</v>
      </c>
      <c r="F1147" s="34">
        <v>209.570007</v>
      </c>
      <c r="G1147" s="34">
        <v>216.699997</v>
      </c>
      <c r="H1147" s="34">
        <v>212.75608800000001</v>
      </c>
      <c r="I1147" s="29">
        <v>4145500</v>
      </c>
      <c r="P1147" s="125"/>
      <c r="Q1147" s="34"/>
      <c r="R1147" s="115"/>
      <c r="S1147" s="34"/>
      <c r="T1147" s="34"/>
      <c r="U1147" s="34"/>
      <c r="V1147" s="29"/>
    </row>
    <row r="1148" spans="3:22">
      <c r="C1148" s="125">
        <v>44673</v>
      </c>
      <c r="D1148" s="34">
        <v>148.25</v>
      </c>
      <c r="E1148" s="115">
        <v>149.62</v>
      </c>
      <c r="F1148" s="34">
        <v>143.69999999999999</v>
      </c>
      <c r="G1148" s="34">
        <v>144.35</v>
      </c>
      <c r="H1148" s="34">
        <v>144.35</v>
      </c>
      <c r="I1148" s="29">
        <v>73078000</v>
      </c>
      <c r="P1148" s="125"/>
      <c r="Q1148" s="34"/>
      <c r="R1148" s="115"/>
      <c r="S1148" s="34"/>
      <c r="T1148" s="34"/>
      <c r="U1148" s="34"/>
      <c r="V1148" s="29"/>
    </row>
    <row r="1149" spans="3:22">
      <c r="C1149" s="125">
        <v>44673</v>
      </c>
      <c r="D1149" s="34">
        <v>228.39999399999999</v>
      </c>
      <c r="E1149" s="115">
        <v>229.78999300000001</v>
      </c>
      <c r="F1149" s="34">
        <v>215.60000600000001</v>
      </c>
      <c r="G1149" s="34">
        <v>216.300003</v>
      </c>
      <c r="H1149" s="34">
        <v>212.36335800000001</v>
      </c>
      <c r="I1149" s="29">
        <v>5053700</v>
      </c>
      <c r="P1149" s="125"/>
      <c r="Q1149" s="34"/>
      <c r="R1149" s="115"/>
      <c r="S1149" s="34"/>
      <c r="T1149" s="34"/>
      <c r="U1149" s="34"/>
      <c r="V1149" s="29"/>
    </row>
    <row r="1150" spans="3:22">
      <c r="C1150" s="125">
        <v>44672</v>
      </c>
      <c r="D1150" s="34">
        <v>154.71</v>
      </c>
      <c r="E1150" s="115">
        <v>156.74</v>
      </c>
      <c r="F1150" s="34">
        <v>147.59</v>
      </c>
      <c r="G1150" s="34">
        <v>148.30000000000001</v>
      </c>
      <c r="H1150" s="34">
        <v>148.30000000000001</v>
      </c>
      <c r="I1150" s="29">
        <v>63970000</v>
      </c>
      <c r="P1150" s="125"/>
      <c r="Q1150" s="34"/>
      <c r="R1150" s="115"/>
      <c r="S1150" s="34"/>
      <c r="T1150" s="34"/>
      <c r="U1150" s="34"/>
      <c r="V1150" s="29"/>
    </row>
    <row r="1151" spans="3:22">
      <c r="C1151" s="125">
        <v>44672</v>
      </c>
      <c r="D1151" s="34">
        <v>237.240005</v>
      </c>
      <c r="E1151" s="115">
        <v>237.89999399999999</v>
      </c>
      <c r="F1151" s="34">
        <v>231.64999399999999</v>
      </c>
      <c r="G1151" s="34">
        <v>232.570007</v>
      </c>
      <c r="H1151" s="34">
        <v>227.24745200000001</v>
      </c>
      <c r="I1151" s="29">
        <v>3571400</v>
      </c>
      <c r="P1151" s="125"/>
      <c r="Q1151" s="34"/>
      <c r="R1151" s="115"/>
      <c r="S1151" s="34"/>
      <c r="T1151" s="34"/>
      <c r="U1151" s="34"/>
      <c r="V1151" s="29"/>
    </row>
    <row r="1152" spans="3:22">
      <c r="C1152" s="125">
        <v>44671</v>
      </c>
      <c r="D1152" s="34">
        <v>157.6</v>
      </c>
      <c r="E1152" s="115">
        <v>157.6</v>
      </c>
      <c r="F1152" s="34">
        <v>153.6</v>
      </c>
      <c r="G1152" s="34">
        <v>154</v>
      </c>
      <c r="H1152" s="34">
        <v>154</v>
      </c>
      <c r="I1152" s="29">
        <v>59630000</v>
      </c>
      <c r="P1152" s="125"/>
      <c r="Q1152" s="34"/>
      <c r="R1152" s="115"/>
      <c r="S1152" s="34"/>
      <c r="T1152" s="34"/>
      <c r="U1152" s="34"/>
      <c r="V1152" s="29"/>
    </row>
    <row r="1153" spans="3:22">
      <c r="C1153" s="125">
        <v>44671</v>
      </c>
      <c r="D1153" s="34">
        <v>233.550003</v>
      </c>
      <c r="E1153" s="115">
        <v>236.36999499999999</v>
      </c>
      <c r="F1153" s="34">
        <v>232.58000200000001</v>
      </c>
      <c r="G1153" s="34">
        <v>235.08000200000001</v>
      </c>
      <c r="H1153" s="34">
        <v>229.70001199999999</v>
      </c>
      <c r="I1153" s="29">
        <v>2907700</v>
      </c>
      <c r="P1153" s="125"/>
      <c r="Q1153" s="34"/>
      <c r="R1153" s="115"/>
      <c r="S1153" s="34"/>
      <c r="T1153" s="34"/>
      <c r="U1153" s="34"/>
      <c r="V1153" s="29"/>
    </row>
    <row r="1154" spans="3:22">
      <c r="C1154" s="125">
        <v>44670</v>
      </c>
      <c r="D1154" s="34">
        <v>152.03</v>
      </c>
      <c r="E1154" s="115">
        <v>158.65</v>
      </c>
      <c r="F1154" s="34">
        <v>151.55000000000001</v>
      </c>
      <c r="G1154" s="34">
        <v>158.12</v>
      </c>
      <c r="H1154" s="34">
        <v>158.12</v>
      </c>
      <c r="I1154" s="29">
        <v>54926000</v>
      </c>
      <c r="P1154" s="125"/>
      <c r="Q1154" s="34"/>
      <c r="R1154" s="115"/>
      <c r="S1154" s="34"/>
      <c r="T1154" s="34"/>
      <c r="U1154" s="34"/>
      <c r="V1154" s="29"/>
    </row>
    <row r="1155" spans="3:22">
      <c r="C1155" s="125">
        <v>44670</v>
      </c>
      <c r="D1155" s="34">
        <v>230.25</v>
      </c>
      <c r="E1155" s="115">
        <v>232.94000199999999</v>
      </c>
      <c r="F1155" s="34">
        <v>227.570007</v>
      </c>
      <c r="G1155" s="34">
        <v>232.16000399999999</v>
      </c>
      <c r="H1155" s="34">
        <v>226.84684799999999</v>
      </c>
      <c r="I1155" s="29">
        <v>2689400</v>
      </c>
      <c r="P1155" s="125"/>
      <c r="Q1155" s="34"/>
      <c r="R1155" s="115"/>
      <c r="S1155" s="34"/>
      <c r="T1155" s="34"/>
      <c r="U1155" s="34"/>
      <c r="V1155" s="29"/>
    </row>
    <row r="1156" spans="3:22">
      <c r="C1156" s="125">
        <v>44669</v>
      </c>
      <c r="D1156" s="34">
        <v>151.52000000000001</v>
      </c>
      <c r="E1156" s="115">
        <v>154.04</v>
      </c>
      <c r="F1156" s="34">
        <v>150.25</v>
      </c>
      <c r="G1156" s="34">
        <v>152.79</v>
      </c>
      <c r="H1156" s="34">
        <v>152.79</v>
      </c>
      <c r="I1156" s="29">
        <v>46514000</v>
      </c>
      <c r="P1156" s="125"/>
      <c r="Q1156" s="34"/>
      <c r="R1156" s="115"/>
      <c r="S1156" s="34"/>
      <c r="T1156" s="34"/>
      <c r="U1156" s="34"/>
      <c r="V1156" s="29"/>
    </row>
    <row r="1157" spans="3:22">
      <c r="C1157" s="125">
        <v>44669</v>
      </c>
      <c r="D1157" s="34">
        <v>228</v>
      </c>
      <c r="E1157" s="115">
        <v>234.38000500000001</v>
      </c>
      <c r="F1157" s="34">
        <v>228</v>
      </c>
      <c r="G1157" s="34">
        <v>229.91999799999999</v>
      </c>
      <c r="H1157" s="34">
        <v>224.658096</v>
      </c>
      <c r="I1157" s="29">
        <v>3644000</v>
      </c>
      <c r="P1157" s="125"/>
      <c r="Q1157" s="34"/>
      <c r="R1157" s="115"/>
      <c r="S1157" s="34"/>
      <c r="T1157" s="34"/>
      <c r="U1157" s="34"/>
      <c r="V1157" s="29"/>
    </row>
    <row r="1158" spans="3:22">
      <c r="C1158" s="125">
        <v>44665</v>
      </c>
      <c r="D1158" s="34">
        <v>155.38999999999999</v>
      </c>
      <c r="E1158" s="115">
        <v>155.9</v>
      </c>
      <c r="F1158" s="34">
        <v>151.47</v>
      </c>
      <c r="G1158" s="34">
        <v>151.71</v>
      </c>
      <c r="H1158" s="34">
        <v>151.71</v>
      </c>
      <c r="I1158" s="29">
        <v>51598000</v>
      </c>
      <c r="P1158" s="125"/>
      <c r="Q1158" s="34"/>
      <c r="R1158" s="115"/>
      <c r="S1158" s="34"/>
      <c r="T1158" s="34"/>
      <c r="U1158" s="34"/>
      <c r="V1158" s="29"/>
    </row>
    <row r="1159" spans="3:22">
      <c r="C1159" s="125">
        <v>44665</v>
      </c>
      <c r="D1159" s="34">
        <v>219.91000399999999</v>
      </c>
      <c r="E1159" s="115">
        <v>229.220001</v>
      </c>
      <c r="F1159" s="34">
        <v>218.61000100000001</v>
      </c>
      <c r="G1159" s="34">
        <v>227.80999800000001</v>
      </c>
      <c r="H1159" s="34">
        <v>222.59639000000001</v>
      </c>
      <c r="I1159" s="29">
        <v>5337900</v>
      </c>
      <c r="P1159" s="125"/>
      <c r="Q1159" s="34"/>
      <c r="R1159" s="115"/>
      <c r="S1159" s="34"/>
      <c r="T1159" s="34"/>
      <c r="U1159" s="34"/>
      <c r="V1159" s="29"/>
    </row>
    <row r="1160" spans="3:22">
      <c r="C1160" s="125">
        <v>44664</v>
      </c>
      <c r="D1160" s="34">
        <v>150.02000000000001</v>
      </c>
      <c r="E1160" s="115">
        <v>156.02000000000001</v>
      </c>
      <c r="F1160" s="34">
        <v>149.6</v>
      </c>
      <c r="G1160" s="34">
        <v>155.54</v>
      </c>
      <c r="H1160" s="34">
        <v>155.54</v>
      </c>
      <c r="I1160" s="29">
        <v>53390000</v>
      </c>
      <c r="P1160" s="125"/>
      <c r="Q1160" s="34"/>
      <c r="R1160" s="115"/>
      <c r="S1160" s="34"/>
      <c r="T1160" s="34"/>
      <c r="U1160" s="34"/>
      <c r="V1160" s="29"/>
    </row>
    <row r="1161" spans="3:22">
      <c r="C1161" s="125">
        <v>44664</v>
      </c>
      <c r="D1161" s="34">
        <v>216.929993</v>
      </c>
      <c r="E1161" s="115">
        <v>219.679993</v>
      </c>
      <c r="F1161" s="34">
        <v>216.39999399999999</v>
      </c>
      <c r="G1161" s="34">
        <v>218.270004</v>
      </c>
      <c r="H1161" s="34">
        <v>213.274719</v>
      </c>
      <c r="I1161" s="29">
        <v>1898900</v>
      </c>
      <c r="P1161" s="125"/>
      <c r="Q1161" s="34"/>
      <c r="R1161" s="115"/>
      <c r="S1161" s="34"/>
      <c r="T1161" s="34"/>
      <c r="U1161" s="34"/>
      <c r="V1161" s="29"/>
    </row>
    <row r="1162" spans="3:22">
      <c r="C1162" s="125">
        <v>44663</v>
      </c>
      <c r="D1162" s="34">
        <v>153.69</v>
      </c>
      <c r="E1162" s="115">
        <v>155.1</v>
      </c>
      <c r="F1162" s="34">
        <v>150.38</v>
      </c>
      <c r="G1162" s="34">
        <v>150.79</v>
      </c>
      <c r="H1162" s="34">
        <v>150.79</v>
      </c>
      <c r="I1162" s="29">
        <v>55178000</v>
      </c>
      <c r="P1162" s="125"/>
      <c r="Q1162" s="34"/>
      <c r="R1162" s="115"/>
      <c r="S1162" s="34"/>
      <c r="T1162" s="34"/>
      <c r="U1162" s="34"/>
      <c r="V1162" s="29"/>
    </row>
    <row r="1163" spans="3:22">
      <c r="C1163" s="125">
        <v>44663</v>
      </c>
      <c r="D1163" s="34">
        <v>215.449997</v>
      </c>
      <c r="E1163" s="115">
        <v>219.479996</v>
      </c>
      <c r="F1163" s="34">
        <v>214.979996</v>
      </c>
      <c r="G1163" s="34">
        <v>216.699997</v>
      </c>
      <c r="H1163" s="34">
        <v>211.740646</v>
      </c>
      <c r="I1163" s="29">
        <v>2508200</v>
      </c>
      <c r="P1163" s="125"/>
      <c r="Q1163" s="34"/>
      <c r="R1163" s="115"/>
      <c r="S1163" s="34"/>
      <c r="T1163" s="34"/>
      <c r="U1163" s="34"/>
      <c r="V1163" s="29"/>
    </row>
    <row r="1164" spans="3:22">
      <c r="C1164" s="125">
        <v>44662</v>
      </c>
      <c r="D1164" s="34">
        <v>152.71</v>
      </c>
      <c r="E1164" s="115">
        <v>154.13999999999999</v>
      </c>
      <c r="F1164" s="34">
        <v>150.53</v>
      </c>
      <c r="G1164" s="34">
        <v>151.12</v>
      </c>
      <c r="H1164" s="34">
        <v>151.12</v>
      </c>
      <c r="I1164" s="29">
        <v>52112000</v>
      </c>
      <c r="P1164" s="125"/>
      <c r="Q1164" s="34"/>
      <c r="R1164" s="115"/>
      <c r="S1164" s="34"/>
      <c r="T1164" s="34"/>
      <c r="U1164" s="34"/>
      <c r="V1164" s="29"/>
    </row>
    <row r="1165" spans="3:22">
      <c r="C1165" s="125">
        <v>44662</v>
      </c>
      <c r="D1165" s="34">
        <v>217.029999</v>
      </c>
      <c r="E1165" s="115">
        <v>218.759995</v>
      </c>
      <c r="F1165" s="34">
        <v>215.75</v>
      </c>
      <c r="G1165" s="34">
        <v>216.050003</v>
      </c>
      <c r="H1165" s="34">
        <v>211.10552999999999</v>
      </c>
      <c r="I1165" s="29">
        <v>2494700</v>
      </c>
      <c r="P1165" s="125"/>
      <c r="Q1165" s="34"/>
      <c r="R1165" s="115"/>
      <c r="S1165" s="34"/>
      <c r="T1165" s="34"/>
      <c r="U1165" s="34"/>
      <c r="V1165" s="29"/>
    </row>
    <row r="1166" spans="3:22">
      <c r="C1166" s="125">
        <v>44659</v>
      </c>
      <c r="D1166" s="34">
        <v>156.75</v>
      </c>
      <c r="E1166" s="115">
        <v>157.37</v>
      </c>
      <c r="F1166" s="34">
        <v>154.22999999999999</v>
      </c>
      <c r="G1166" s="34">
        <v>154.46</v>
      </c>
      <c r="H1166" s="34">
        <v>154.46</v>
      </c>
      <c r="I1166" s="29">
        <v>46002000</v>
      </c>
      <c r="P1166" s="125"/>
      <c r="Q1166" s="34"/>
      <c r="R1166" s="115"/>
      <c r="S1166" s="34"/>
      <c r="T1166" s="34"/>
      <c r="U1166" s="34"/>
      <c r="V1166" s="29"/>
    </row>
    <row r="1167" spans="3:22">
      <c r="C1167" s="125">
        <v>44659</v>
      </c>
      <c r="D1167" s="34">
        <v>215.78999300000001</v>
      </c>
      <c r="E1167" s="115">
        <v>217.88000500000001</v>
      </c>
      <c r="F1167" s="34">
        <v>214.029999</v>
      </c>
      <c r="G1167" s="34">
        <v>217.029999</v>
      </c>
      <c r="H1167" s="34">
        <v>212.063095</v>
      </c>
      <c r="I1167" s="29">
        <v>2450200</v>
      </c>
      <c r="P1167" s="125"/>
      <c r="Q1167" s="34"/>
      <c r="R1167" s="115"/>
      <c r="S1167" s="34"/>
      <c r="T1167" s="34"/>
      <c r="U1167" s="34"/>
      <c r="V1167" s="29"/>
    </row>
    <row r="1168" spans="3:22">
      <c r="C1168" s="125">
        <v>44658</v>
      </c>
      <c r="D1168" s="34">
        <v>158.4</v>
      </c>
      <c r="E1168" s="115">
        <v>160.08000000000001</v>
      </c>
      <c r="F1168" s="34">
        <v>154.51</v>
      </c>
      <c r="G1168" s="34">
        <v>157.78</v>
      </c>
      <c r="H1168" s="34">
        <v>157.78</v>
      </c>
      <c r="I1168" s="29">
        <v>68136000</v>
      </c>
      <c r="P1168" s="125"/>
      <c r="Q1168" s="34"/>
      <c r="R1168" s="115"/>
      <c r="S1168" s="34"/>
      <c r="T1168" s="34"/>
      <c r="U1168" s="34"/>
      <c r="V1168" s="29"/>
    </row>
    <row r="1169" spans="3:22">
      <c r="C1169" s="125">
        <v>44658</v>
      </c>
      <c r="D1169" s="34">
        <v>215.46000699999999</v>
      </c>
      <c r="E1169" s="115">
        <v>216.30999800000001</v>
      </c>
      <c r="F1169" s="34">
        <v>213.55999800000001</v>
      </c>
      <c r="G1169" s="34">
        <v>215.89999399999999</v>
      </c>
      <c r="H1169" s="34">
        <v>210.95895400000001</v>
      </c>
      <c r="I1169" s="29">
        <v>2253600</v>
      </c>
      <c r="P1169" s="125"/>
      <c r="Q1169" s="34"/>
      <c r="R1169" s="115"/>
      <c r="S1169" s="34"/>
      <c r="T1169" s="34"/>
      <c r="U1169" s="34"/>
      <c r="V1169" s="29"/>
    </row>
    <row r="1170" spans="3:22">
      <c r="C1170" s="125">
        <v>44657</v>
      </c>
      <c r="D1170" s="34">
        <v>161.65</v>
      </c>
      <c r="E1170" s="115">
        <v>162.19999999999999</v>
      </c>
      <c r="F1170" s="34">
        <v>157.25</v>
      </c>
      <c r="G1170" s="34">
        <v>158.76</v>
      </c>
      <c r="H1170" s="34">
        <v>158.76</v>
      </c>
      <c r="I1170" s="29">
        <v>79056000</v>
      </c>
      <c r="P1170" s="125"/>
      <c r="Q1170" s="34"/>
      <c r="R1170" s="115"/>
      <c r="S1170" s="34"/>
      <c r="T1170" s="34"/>
      <c r="U1170" s="34"/>
      <c r="V1170" s="29"/>
    </row>
    <row r="1171" spans="3:22">
      <c r="C1171" s="125">
        <v>44657</v>
      </c>
      <c r="D1171" s="34">
        <v>215.11999499999999</v>
      </c>
      <c r="E1171" s="115">
        <v>217.13000500000001</v>
      </c>
      <c r="F1171" s="34">
        <v>213.550003</v>
      </c>
      <c r="G1171" s="34">
        <v>216.21000699999999</v>
      </c>
      <c r="H1171" s="34">
        <v>211.26187100000001</v>
      </c>
      <c r="I1171" s="29">
        <v>2783300</v>
      </c>
      <c r="P1171" s="125"/>
      <c r="Q1171" s="34"/>
      <c r="R1171" s="115"/>
      <c r="S1171" s="34"/>
      <c r="T1171" s="34"/>
      <c r="U1171" s="34"/>
      <c r="V1171" s="29"/>
    </row>
    <row r="1172" spans="3:22">
      <c r="C1172" s="125">
        <v>44656</v>
      </c>
      <c r="D1172" s="34">
        <v>167.74</v>
      </c>
      <c r="E1172" s="115">
        <v>168.11</v>
      </c>
      <c r="F1172" s="34">
        <v>163.27000000000001</v>
      </c>
      <c r="G1172" s="34">
        <v>164.05</v>
      </c>
      <c r="H1172" s="34">
        <v>164.05</v>
      </c>
      <c r="I1172" s="29">
        <v>53728000</v>
      </c>
      <c r="P1172" s="125"/>
      <c r="Q1172" s="34"/>
      <c r="R1172" s="115"/>
      <c r="S1172" s="34"/>
      <c r="T1172" s="34"/>
      <c r="U1172" s="34"/>
      <c r="V1172" s="29"/>
    </row>
    <row r="1173" spans="3:22">
      <c r="C1173" s="125">
        <v>44656</v>
      </c>
      <c r="D1173" s="34">
        <v>220</v>
      </c>
      <c r="E1173" s="115">
        <v>222.36999499999999</v>
      </c>
      <c r="F1173" s="34">
        <v>215.13999899999999</v>
      </c>
      <c r="G1173" s="34">
        <v>216.020004</v>
      </c>
      <c r="H1173" s="34">
        <v>211.07621800000001</v>
      </c>
      <c r="I1173" s="29">
        <v>3582100</v>
      </c>
      <c r="P1173" s="125"/>
      <c r="Q1173" s="34"/>
      <c r="R1173" s="115"/>
      <c r="S1173" s="34"/>
      <c r="T1173" s="34"/>
      <c r="U1173" s="34"/>
      <c r="V1173" s="29"/>
    </row>
    <row r="1174" spans="3:22">
      <c r="C1174" s="125">
        <v>44655</v>
      </c>
      <c r="D1174" s="34">
        <v>164.13</v>
      </c>
      <c r="E1174" s="115">
        <v>168.39</v>
      </c>
      <c r="F1174" s="34">
        <v>163.21</v>
      </c>
      <c r="G1174" s="34">
        <v>168.35</v>
      </c>
      <c r="H1174" s="34">
        <v>168.35</v>
      </c>
      <c r="I1174" s="29">
        <v>49882000</v>
      </c>
      <c r="P1174" s="125"/>
      <c r="Q1174" s="34"/>
      <c r="R1174" s="115"/>
      <c r="S1174" s="34"/>
      <c r="T1174" s="34"/>
      <c r="U1174" s="34"/>
      <c r="V1174" s="29"/>
    </row>
    <row r="1175" spans="3:22">
      <c r="C1175" s="125">
        <v>44655</v>
      </c>
      <c r="D1175" s="34">
        <v>219.16000399999999</v>
      </c>
      <c r="E1175" s="115">
        <v>221.35000600000001</v>
      </c>
      <c r="F1175" s="34">
        <v>216.60000600000001</v>
      </c>
      <c r="G1175" s="34">
        <v>220.80999800000001</v>
      </c>
      <c r="H1175" s="34">
        <v>215.75659200000001</v>
      </c>
      <c r="I1175" s="29">
        <v>2181300</v>
      </c>
      <c r="P1175" s="125"/>
      <c r="Q1175" s="34"/>
      <c r="R1175" s="115"/>
      <c r="S1175" s="34"/>
      <c r="T1175" s="34"/>
      <c r="U1175" s="34"/>
      <c r="V1175" s="29"/>
    </row>
    <row r="1176" spans="3:22">
      <c r="C1176" s="125">
        <v>44652</v>
      </c>
      <c r="D1176" s="34">
        <v>164.15</v>
      </c>
      <c r="E1176" s="115">
        <v>165.83</v>
      </c>
      <c r="F1176" s="34">
        <v>162.32</v>
      </c>
      <c r="G1176" s="34">
        <v>163.56</v>
      </c>
      <c r="H1176" s="34">
        <v>163.56</v>
      </c>
      <c r="I1176" s="29">
        <v>57090000</v>
      </c>
      <c r="P1176" s="125"/>
      <c r="Q1176" s="34"/>
      <c r="R1176" s="115"/>
      <c r="S1176" s="34"/>
      <c r="T1176" s="34"/>
      <c r="U1176" s="34"/>
      <c r="V1176" s="29"/>
    </row>
    <row r="1177" spans="3:22">
      <c r="C1177" s="125">
        <v>44652</v>
      </c>
      <c r="D1177" s="34">
        <v>224.35000600000001</v>
      </c>
      <c r="E1177" s="115">
        <v>225.520004</v>
      </c>
      <c r="F1177" s="34">
        <v>218.16999799999999</v>
      </c>
      <c r="G1177" s="34">
        <v>219.770004</v>
      </c>
      <c r="H1177" s="34">
        <v>214.740387</v>
      </c>
      <c r="I1177" s="29">
        <v>2618300</v>
      </c>
      <c r="P1177" s="125"/>
      <c r="Q1177" s="34"/>
      <c r="R1177" s="115"/>
      <c r="S1177" s="34"/>
      <c r="T1177" s="34"/>
      <c r="U1177" s="34"/>
      <c r="V1177" s="29"/>
    </row>
    <row r="1178" spans="3:22">
      <c r="C1178" s="125">
        <v>44651</v>
      </c>
      <c r="D1178" s="34">
        <v>166.45</v>
      </c>
      <c r="E1178" s="115">
        <v>166.49</v>
      </c>
      <c r="F1178" s="34">
        <v>162.94999999999999</v>
      </c>
      <c r="G1178" s="34">
        <v>163</v>
      </c>
      <c r="H1178" s="34">
        <v>163</v>
      </c>
      <c r="I1178" s="29">
        <v>59966000</v>
      </c>
      <c r="P1178" s="125"/>
      <c r="Q1178" s="34"/>
      <c r="R1178" s="115"/>
      <c r="S1178" s="34"/>
      <c r="T1178" s="34"/>
      <c r="U1178" s="34"/>
      <c r="V1178" s="29"/>
    </row>
    <row r="1179" spans="3:22">
      <c r="C1179" s="125">
        <v>44651</v>
      </c>
      <c r="D1179" s="34">
        <v>223.21000699999999</v>
      </c>
      <c r="E1179" s="115">
        <v>225.19000199999999</v>
      </c>
      <c r="F1179" s="34">
        <v>222.429993</v>
      </c>
      <c r="G1179" s="34">
        <v>222.820007</v>
      </c>
      <c r="H1179" s="34">
        <v>217.720596</v>
      </c>
      <c r="I1179" s="29">
        <v>3152100</v>
      </c>
      <c r="P1179" s="125"/>
      <c r="Q1179" s="34"/>
      <c r="R1179" s="115"/>
      <c r="S1179" s="34"/>
      <c r="T1179" s="34"/>
      <c r="U1179" s="34"/>
      <c r="V1179" s="29"/>
    </row>
    <row r="1180" spans="3:22">
      <c r="C1180" s="125">
        <v>44650</v>
      </c>
      <c r="D1180" s="34">
        <v>168.51</v>
      </c>
      <c r="E1180" s="115">
        <v>168.95</v>
      </c>
      <c r="F1180" s="34">
        <v>165.5</v>
      </c>
      <c r="G1180" s="34">
        <v>166.3</v>
      </c>
      <c r="H1180" s="34">
        <v>166.3</v>
      </c>
      <c r="I1180" s="29">
        <v>56168000</v>
      </c>
      <c r="P1180" s="125"/>
      <c r="Q1180" s="34"/>
      <c r="R1180" s="115"/>
      <c r="S1180" s="34"/>
      <c r="T1180" s="34"/>
      <c r="U1180" s="34"/>
      <c r="V1180" s="29"/>
    </row>
    <row r="1181" spans="3:22">
      <c r="C1181" s="125">
        <v>44650</v>
      </c>
      <c r="D1181" s="34">
        <v>222</v>
      </c>
      <c r="E1181" s="115">
        <v>225.88000500000001</v>
      </c>
      <c r="F1181" s="34">
        <v>220.699997</v>
      </c>
      <c r="G1181" s="34">
        <v>223.08000200000001</v>
      </c>
      <c r="H1181" s="34">
        <v>217.97463999999999</v>
      </c>
      <c r="I1181" s="29">
        <v>2507400</v>
      </c>
      <c r="P1181" s="125"/>
      <c r="Q1181" s="34"/>
      <c r="R1181" s="115"/>
      <c r="S1181" s="34"/>
      <c r="T1181" s="34"/>
      <c r="U1181" s="34"/>
      <c r="V1181" s="29"/>
    </row>
    <row r="1182" spans="3:22">
      <c r="C1182" s="125">
        <v>44649</v>
      </c>
      <c r="D1182" s="34">
        <v>170.38</v>
      </c>
      <c r="E1182" s="115">
        <v>170.83</v>
      </c>
      <c r="F1182" s="34">
        <v>167.87</v>
      </c>
      <c r="G1182" s="34">
        <v>169.32</v>
      </c>
      <c r="H1182" s="34">
        <v>169.32</v>
      </c>
      <c r="I1182" s="29">
        <v>66154000</v>
      </c>
      <c r="P1182" s="125"/>
      <c r="Q1182" s="34"/>
      <c r="R1182" s="115"/>
      <c r="S1182" s="34"/>
      <c r="T1182" s="34"/>
      <c r="U1182" s="34"/>
      <c r="V1182" s="29"/>
    </row>
    <row r="1183" spans="3:22">
      <c r="C1183" s="125">
        <v>44649</v>
      </c>
      <c r="D1183" s="34">
        <v>220.800003</v>
      </c>
      <c r="E1183" s="115">
        <v>221.429993</v>
      </c>
      <c r="F1183" s="34">
        <v>216.53999300000001</v>
      </c>
      <c r="G1183" s="34">
        <v>221.03999300000001</v>
      </c>
      <c r="H1183" s="34">
        <v>215.98133899999999</v>
      </c>
      <c r="I1183" s="29">
        <v>3667800</v>
      </c>
      <c r="P1183" s="125"/>
      <c r="Q1183" s="34"/>
      <c r="R1183" s="115"/>
      <c r="S1183" s="34"/>
      <c r="T1183" s="34"/>
      <c r="U1183" s="34"/>
      <c r="V1183" s="29"/>
    </row>
    <row r="1184" spans="3:22">
      <c r="C1184" s="125">
        <v>44648</v>
      </c>
      <c r="D1184" s="34">
        <v>164.98</v>
      </c>
      <c r="E1184" s="115">
        <v>169.04</v>
      </c>
      <c r="F1184" s="34">
        <v>164.9</v>
      </c>
      <c r="G1184" s="34">
        <v>168.99</v>
      </c>
      <c r="H1184" s="34">
        <v>168.99</v>
      </c>
      <c r="I1184" s="29">
        <v>59854000</v>
      </c>
      <c r="P1184" s="125"/>
      <c r="Q1184" s="34"/>
      <c r="R1184" s="115"/>
      <c r="S1184" s="34"/>
      <c r="T1184" s="34"/>
      <c r="U1184" s="34"/>
      <c r="V1184" s="29"/>
    </row>
    <row r="1185" spans="3:22">
      <c r="C1185" s="125">
        <v>44648</v>
      </c>
      <c r="D1185" s="34">
        <v>222.33999600000001</v>
      </c>
      <c r="E1185" s="115">
        <v>222.679993</v>
      </c>
      <c r="F1185" s="34">
        <v>219.03999300000001</v>
      </c>
      <c r="G1185" s="34">
        <v>221.85000600000001</v>
      </c>
      <c r="H1185" s="34">
        <v>216.77278100000001</v>
      </c>
      <c r="I1185" s="29">
        <v>3072500</v>
      </c>
      <c r="P1185" s="125"/>
      <c r="Q1185" s="34"/>
      <c r="R1185" s="115"/>
      <c r="S1185" s="34"/>
      <c r="T1185" s="34"/>
      <c r="U1185" s="34"/>
      <c r="V1185" s="29"/>
    </row>
    <row r="1186" spans="3:22">
      <c r="C1186" s="125">
        <v>44645</v>
      </c>
      <c r="D1186" s="34">
        <v>164</v>
      </c>
      <c r="E1186" s="115">
        <v>165.37</v>
      </c>
      <c r="F1186" s="34">
        <v>162.25</v>
      </c>
      <c r="G1186" s="34">
        <v>164.77</v>
      </c>
      <c r="H1186" s="34">
        <v>164.77</v>
      </c>
      <c r="I1186" s="29">
        <v>49032000</v>
      </c>
      <c r="P1186" s="125"/>
      <c r="Q1186" s="34"/>
      <c r="R1186" s="115"/>
      <c r="S1186" s="34"/>
      <c r="T1186" s="34"/>
      <c r="U1186" s="34"/>
      <c r="V1186" s="29"/>
    </row>
    <row r="1187" spans="3:22">
      <c r="C1187" s="125">
        <v>44645</v>
      </c>
      <c r="D1187" s="34">
        <v>222.08999600000001</v>
      </c>
      <c r="E1187" s="115">
        <v>223.800003</v>
      </c>
      <c r="F1187" s="34">
        <v>221.13999899999999</v>
      </c>
      <c r="G1187" s="34">
        <v>223.36000100000001</v>
      </c>
      <c r="H1187" s="34">
        <v>218.24823000000001</v>
      </c>
      <c r="I1187" s="29">
        <v>1581100</v>
      </c>
      <c r="P1187" s="125"/>
      <c r="Q1187" s="34"/>
      <c r="R1187" s="115"/>
      <c r="S1187" s="34"/>
      <c r="T1187" s="34"/>
      <c r="U1187" s="34"/>
      <c r="V1187" s="29"/>
    </row>
    <row r="1188" spans="3:22">
      <c r="C1188" s="125">
        <v>44644</v>
      </c>
      <c r="D1188" s="34">
        <v>163.75</v>
      </c>
      <c r="E1188" s="115">
        <v>164.12</v>
      </c>
      <c r="F1188" s="34">
        <v>160.05000000000001</v>
      </c>
      <c r="G1188" s="34">
        <v>163.65</v>
      </c>
      <c r="H1188" s="34">
        <v>163.65</v>
      </c>
      <c r="I1188" s="29">
        <v>56798000</v>
      </c>
      <c r="P1188" s="125"/>
      <c r="Q1188" s="34"/>
      <c r="R1188" s="115"/>
      <c r="S1188" s="34"/>
      <c r="T1188" s="34"/>
      <c r="U1188" s="34"/>
      <c r="V1188" s="29"/>
    </row>
    <row r="1189" spans="3:22">
      <c r="C1189" s="125">
        <v>44644</v>
      </c>
      <c r="D1189" s="34">
        <v>222.53999300000001</v>
      </c>
      <c r="E1189" s="115">
        <v>225</v>
      </c>
      <c r="F1189" s="34">
        <v>221.509995</v>
      </c>
      <c r="G1189" s="34">
        <v>222.21000699999999</v>
      </c>
      <c r="H1189" s="34">
        <v>217.12455700000001</v>
      </c>
      <c r="I1189" s="29">
        <v>2110900</v>
      </c>
      <c r="P1189" s="125"/>
      <c r="Q1189" s="34"/>
      <c r="R1189" s="115"/>
      <c r="S1189" s="34"/>
      <c r="T1189" s="34"/>
      <c r="U1189" s="34"/>
      <c r="V1189" s="29"/>
    </row>
    <row r="1190" spans="3:22">
      <c r="C1190" s="125">
        <v>44643</v>
      </c>
      <c r="D1190" s="34">
        <v>163.71</v>
      </c>
      <c r="E1190" s="115">
        <v>166.37</v>
      </c>
      <c r="F1190" s="34">
        <v>162.69</v>
      </c>
      <c r="G1190" s="34">
        <v>163.41</v>
      </c>
      <c r="H1190" s="34">
        <v>163.41</v>
      </c>
      <c r="I1190" s="29">
        <v>55812000</v>
      </c>
      <c r="P1190" s="125"/>
      <c r="Q1190" s="34"/>
      <c r="R1190" s="115"/>
      <c r="S1190" s="34"/>
      <c r="T1190" s="34"/>
      <c r="U1190" s="34"/>
      <c r="V1190" s="29"/>
    </row>
    <row r="1191" spans="3:22">
      <c r="C1191" s="125">
        <v>44643</v>
      </c>
      <c r="D1191" s="34">
        <v>221.69000199999999</v>
      </c>
      <c r="E1191" s="115">
        <v>224.779999</v>
      </c>
      <c r="F1191" s="34">
        <v>221.69000199999999</v>
      </c>
      <c r="G1191" s="34">
        <v>222.16999799999999</v>
      </c>
      <c r="H1191" s="34">
        <v>217.085464</v>
      </c>
      <c r="I1191" s="29">
        <v>2001700</v>
      </c>
      <c r="P1191" s="125"/>
      <c r="Q1191" s="34"/>
      <c r="R1191" s="115"/>
      <c r="S1191" s="34"/>
      <c r="T1191" s="34"/>
      <c r="U1191" s="34"/>
      <c r="V1191" s="29"/>
    </row>
    <row r="1192" spans="3:22">
      <c r="C1192" s="125">
        <v>44642</v>
      </c>
      <c r="D1192" s="34">
        <v>161.81</v>
      </c>
      <c r="E1192" s="115">
        <v>166.17</v>
      </c>
      <c r="F1192" s="34">
        <v>161.69999999999999</v>
      </c>
      <c r="G1192" s="34">
        <v>164.89</v>
      </c>
      <c r="H1192" s="34">
        <v>164.89</v>
      </c>
      <c r="I1192" s="29">
        <v>64086000</v>
      </c>
      <c r="P1192" s="125"/>
      <c r="Q1192" s="34"/>
      <c r="R1192" s="115"/>
      <c r="S1192" s="34"/>
      <c r="T1192" s="34"/>
      <c r="U1192" s="34"/>
      <c r="V1192" s="29"/>
    </row>
    <row r="1193" spans="3:22">
      <c r="C1193" s="125">
        <v>44642</v>
      </c>
      <c r="D1193" s="34">
        <v>224.46000699999999</v>
      </c>
      <c r="E1193" s="115">
        <v>225.85000600000001</v>
      </c>
      <c r="F1193" s="34">
        <v>221.33999600000001</v>
      </c>
      <c r="G1193" s="34">
        <v>222.71000699999999</v>
      </c>
      <c r="H1193" s="34">
        <v>217.613113</v>
      </c>
      <c r="I1193" s="29">
        <v>2461500</v>
      </c>
      <c r="P1193" s="125"/>
      <c r="Q1193" s="34"/>
      <c r="R1193" s="115"/>
      <c r="S1193" s="34"/>
      <c r="T1193" s="34"/>
      <c r="U1193" s="34"/>
      <c r="V1193" s="29"/>
    </row>
    <row r="1194" spans="3:22">
      <c r="C1194" s="125">
        <v>44641</v>
      </c>
      <c r="D1194" s="34">
        <v>161.12</v>
      </c>
      <c r="E1194" s="115">
        <v>163.08000000000001</v>
      </c>
      <c r="F1194" s="34">
        <v>159.55000000000001</v>
      </c>
      <c r="G1194" s="34">
        <v>161.49</v>
      </c>
      <c r="H1194" s="34">
        <v>161.49</v>
      </c>
      <c r="I1194" s="29">
        <v>66538000</v>
      </c>
      <c r="P1194" s="125"/>
      <c r="Q1194" s="34"/>
      <c r="R1194" s="115"/>
      <c r="S1194" s="34"/>
      <c r="T1194" s="34"/>
      <c r="U1194" s="34"/>
      <c r="V1194" s="29"/>
    </row>
    <row r="1195" spans="3:22">
      <c r="C1195" s="125">
        <v>44641</v>
      </c>
      <c r="D1195" s="34">
        <v>221</v>
      </c>
      <c r="E1195" s="115">
        <v>227.050003</v>
      </c>
      <c r="F1195" s="34">
        <v>220.990005</v>
      </c>
      <c r="G1195" s="34">
        <v>223.71000699999999</v>
      </c>
      <c r="H1195" s="34">
        <v>218.59023999999999</v>
      </c>
      <c r="I1195" s="29">
        <v>2902200</v>
      </c>
      <c r="P1195" s="125"/>
      <c r="Q1195" s="34"/>
      <c r="R1195" s="115"/>
      <c r="S1195" s="34"/>
      <c r="T1195" s="34"/>
      <c r="U1195" s="34"/>
      <c r="V1195" s="29"/>
    </row>
    <row r="1196" spans="3:22">
      <c r="C1196" s="125">
        <v>44638</v>
      </c>
      <c r="D1196" s="34">
        <v>156.81</v>
      </c>
      <c r="E1196" s="115">
        <v>161.59</v>
      </c>
      <c r="F1196" s="34">
        <v>156.01</v>
      </c>
      <c r="G1196" s="34">
        <v>161.25</v>
      </c>
      <c r="H1196" s="34">
        <v>161.25</v>
      </c>
      <c r="I1196" s="29">
        <v>102962000</v>
      </c>
      <c r="P1196" s="125"/>
      <c r="Q1196" s="34"/>
      <c r="R1196" s="115"/>
      <c r="S1196" s="34"/>
      <c r="T1196" s="34"/>
      <c r="U1196" s="34"/>
      <c r="V1196" s="29"/>
    </row>
    <row r="1197" spans="3:22">
      <c r="C1197" s="125">
        <v>44638</v>
      </c>
      <c r="D1197" s="34">
        <v>219.479996</v>
      </c>
      <c r="E1197" s="115">
        <v>221.699997</v>
      </c>
      <c r="F1197" s="34">
        <v>218</v>
      </c>
      <c r="G1197" s="34">
        <v>220.91000399999999</v>
      </c>
      <c r="H1197" s="34">
        <v>215.854309</v>
      </c>
      <c r="I1197" s="29">
        <v>4105100</v>
      </c>
      <c r="P1197" s="125"/>
      <c r="Q1197" s="34"/>
      <c r="R1197" s="115"/>
      <c r="S1197" s="34"/>
      <c r="T1197" s="34"/>
      <c r="U1197" s="34"/>
      <c r="V1197" s="29"/>
    </row>
    <row r="1198" spans="3:22">
      <c r="C1198" s="125">
        <v>44637</v>
      </c>
      <c r="D1198" s="34">
        <v>152.63999999999999</v>
      </c>
      <c r="E1198" s="115">
        <v>157.5</v>
      </c>
      <c r="F1198" s="34">
        <v>152.13999999999999</v>
      </c>
      <c r="G1198" s="34">
        <v>157.24</v>
      </c>
      <c r="H1198" s="34">
        <v>157.24</v>
      </c>
      <c r="I1198" s="29">
        <v>72934000</v>
      </c>
      <c r="P1198" s="125"/>
      <c r="Q1198" s="34"/>
      <c r="R1198" s="115"/>
      <c r="S1198" s="34"/>
      <c r="T1198" s="34"/>
      <c r="U1198" s="34"/>
      <c r="V1198" s="29"/>
    </row>
    <row r="1199" spans="3:22">
      <c r="C1199" s="125">
        <v>44637</v>
      </c>
      <c r="D1199" s="34">
        <v>215.320007</v>
      </c>
      <c r="E1199" s="115">
        <v>221.779999</v>
      </c>
      <c r="F1199" s="34">
        <v>214.33999600000001</v>
      </c>
      <c r="G1199" s="34">
        <v>221.699997</v>
      </c>
      <c r="H1199" s="34">
        <v>216.62622099999999</v>
      </c>
      <c r="I1199" s="29">
        <v>3600400</v>
      </c>
      <c r="P1199" s="125"/>
      <c r="Q1199" s="34"/>
      <c r="R1199" s="115"/>
      <c r="S1199" s="34"/>
      <c r="T1199" s="34"/>
      <c r="U1199" s="34"/>
      <c r="V1199" s="29"/>
    </row>
    <row r="1200" spans="3:22">
      <c r="C1200" s="125">
        <v>44636</v>
      </c>
      <c r="D1200" s="34">
        <v>148.5</v>
      </c>
      <c r="E1200" s="115">
        <v>153.15</v>
      </c>
      <c r="F1200" s="34">
        <v>147.35</v>
      </c>
      <c r="G1200" s="34">
        <v>153.1</v>
      </c>
      <c r="H1200" s="34">
        <v>153.1</v>
      </c>
      <c r="I1200" s="29">
        <v>84958000</v>
      </c>
      <c r="P1200" s="125"/>
      <c r="Q1200" s="34"/>
      <c r="R1200" s="115"/>
      <c r="S1200" s="34"/>
      <c r="T1200" s="34"/>
      <c r="U1200" s="34"/>
      <c r="V1200" s="29"/>
    </row>
    <row r="1201" spans="3:22">
      <c r="C1201" s="125">
        <v>44636</v>
      </c>
      <c r="D1201" s="34">
        <v>217.5</v>
      </c>
      <c r="E1201" s="115">
        <v>219.490005</v>
      </c>
      <c r="F1201" s="34">
        <v>212.320007</v>
      </c>
      <c r="G1201" s="34">
        <v>216.08000200000001</v>
      </c>
      <c r="H1201" s="34">
        <v>211.134827</v>
      </c>
      <c r="I1201" s="29">
        <v>4378700</v>
      </c>
      <c r="P1201" s="125"/>
      <c r="Q1201" s="34"/>
      <c r="R1201" s="115"/>
      <c r="S1201" s="34"/>
      <c r="T1201" s="34"/>
      <c r="U1201" s="34"/>
      <c r="V1201" s="29"/>
    </row>
    <row r="1202" spans="3:22">
      <c r="C1202" s="125">
        <v>44635</v>
      </c>
      <c r="D1202" s="34">
        <v>142.85</v>
      </c>
      <c r="E1202" s="115">
        <v>147.99</v>
      </c>
      <c r="F1202" s="34">
        <v>142</v>
      </c>
      <c r="G1202" s="34">
        <v>147.37</v>
      </c>
      <c r="H1202" s="34">
        <v>147.37</v>
      </c>
      <c r="I1202" s="29">
        <v>75584000</v>
      </c>
      <c r="P1202" s="125"/>
      <c r="Q1202" s="34"/>
      <c r="R1202" s="115"/>
      <c r="S1202" s="34"/>
      <c r="T1202" s="34"/>
      <c r="U1202" s="34"/>
      <c r="V1202" s="29"/>
    </row>
    <row r="1203" spans="3:22">
      <c r="C1203" s="125">
        <v>44635</v>
      </c>
      <c r="D1203" s="34">
        <v>216.11999499999999</v>
      </c>
      <c r="E1203" s="115">
        <v>217.38000500000001</v>
      </c>
      <c r="F1203" s="34">
        <v>210.509995</v>
      </c>
      <c r="G1203" s="34">
        <v>216.46000699999999</v>
      </c>
      <c r="H1203" s="34">
        <v>211.50614899999999</v>
      </c>
      <c r="I1203" s="29">
        <v>4364200</v>
      </c>
      <c r="P1203" s="125"/>
      <c r="Q1203" s="34"/>
      <c r="R1203" s="115"/>
      <c r="S1203" s="34"/>
      <c r="T1203" s="34"/>
      <c r="U1203" s="34"/>
      <c r="V1203" s="29"/>
    </row>
    <row r="1204" spans="3:22">
      <c r="C1204" s="125">
        <v>44634</v>
      </c>
      <c r="D1204" s="34">
        <v>145.97999999999999</v>
      </c>
      <c r="E1204" s="115">
        <v>147.44999999999999</v>
      </c>
      <c r="F1204" s="34">
        <v>140.88</v>
      </c>
      <c r="G1204" s="34">
        <v>141.85</v>
      </c>
      <c r="H1204" s="34">
        <v>141.85</v>
      </c>
      <c r="I1204" s="29">
        <v>74086000</v>
      </c>
      <c r="P1204" s="125"/>
      <c r="Q1204" s="34"/>
      <c r="R1204" s="115"/>
      <c r="S1204" s="34"/>
      <c r="T1204" s="34"/>
      <c r="U1204" s="34"/>
      <c r="V1204" s="29"/>
    </row>
    <row r="1205" spans="3:22">
      <c r="C1205" s="125">
        <v>44634</v>
      </c>
      <c r="D1205" s="34">
        <v>216.300003</v>
      </c>
      <c r="E1205" s="115">
        <v>218.479996</v>
      </c>
      <c r="F1205" s="34">
        <v>212.929993</v>
      </c>
      <c r="G1205" s="34">
        <v>215.44000199999999</v>
      </c>
      <c r="H1205" s="34">
        <v>210.50947600000001</v>
      </c>
      <c r="I1205" s="29">
        <v>3530700</v>
      </c>
      <c r="P1205" s="125"/>
      <c r="Q1205" s="34"/>
      <c r="R1205" s="115"/>
      <c r="S1205" s="34"/>
      <c r="T1205" s="34"/>
      <c r="U1205" s="34"/>
      <c r="V1205" s="29"/>
    </row>
    <row r="1206" spans="3:22">
      <c r="C1206" s="125">
        <v>44631</v>
      </c>
      <c r="D1206" s="34">
        <v>149.57</v>
      </c>
      <c r="E1206" s="115">
        <v>149.68</v>
      </c>
      <c r="F1206" s="34">
        <v>145.37</v>
      </c>
      <c r="G1206" s="34">
        <v>145.52000000000001</v>
      </c>
      <c r="H1206" s="34">
        <v>145.52000000000001</v>
      </c>
      <c r="I1206" s="29">
        <v>68900000</v>
      </c>
      <c r="P1206" s="125"/>
      <c r="Q1206" s="34"/>
      <c r="R1206" s="115"/>
      <c r="S1206" s="34"/>
      <c r="T1206" s="34"/>
      <c r="U1206" s="34"/>
      <c r="V1206" s="29"/>
    </row>
    <row r="1207" spans="3:22">
      <c r="C1207" s="125">
        <v>44631</v>
      </c>
      <c r="D1207" s="34">
        <v>212.300003</v>
      </c>
      <c r="E1207" s="115">
        <v>217.770004</v>
      </c>
      <c r="F1207" s="34">
        <v>212.300003</v>
      </c>
      <c r="G1207" s="34">
        <v>214.83000200000001</v>
      </c>
      <c r="H1207" s="34">
        <v>209.91345200000001</v>
      </c>
      <c r="I1207" s="29">
        <v>4045500</v>
      </c>
      <c r="P1207" s="125"/>
      <c r="Q1207" s="34"/>
      <c r="R1207" s="115"/>
      <c r="S1207" s="34"/>
      <c r="T1207" s="34"/>
      <c r="U1207" s="34"/>
      <c r="V1207" s="29"/>
    </row>
    <row r="1208" spans="3:22">
      <c r="C1208" s="125">
        <v>44630</v>
      </c>
      <c r="D1208" s="34">
        <v>145.68</v>
      </c>
      <c r="E1208" s="115">
        <v>148.66999999999999</v>
      </c>
      <c r="F1208" s="34">
        <v>143.97999999999999</v>
      </c>
      <c r="G1208" s="34">
        <v>146.82</v>
      </c>
      <c r="H1208" s="34">
        <v>146.82</v>
      </c>
      <c r="I1208" s="29">
        <v>135062000</v>
      </c>
      <c r="P1208" s="125"/>
      <c r="Q1208" s="34"/>
      <c r="R1208" s="115"/>
      <c r="S1208" s="34"/>
      <c r="T1208" s="34"/>
      <c r="U1208" s="34"/>
      <c r="V1208" s="29"/>
    </row>
    <row r="1209" spans="3:22">
      <c r="C1209" s="125">
        <v>44630</v>
      </c>
      <c r="D1209" s="34">
        <v>209.38999899999999</v>
      </c>
      <c r="E1209" s="115">
        <v>217.520004</v>
      </c>
      <c r="F1209" s="34">
        <v>208.179993</v>
      </c>
      <c r="G1209" s="34">
        <v>211.78999300000001</v>
      </c>
      <c r="H1209" s="34">
        <v>206.94300799999999</v>
      </c>
      <c r="I1209" s="29">
        <v>4886300</v>
      </c>
      <c r="P1209" s="125"/>
      <c r="Q1209" s="34"/>
      <c r="R1209" s="115"/>
      <c r="S1209" s="34"/>
      <c r="T1209" s="34"/>
      <c r="U1209" s="34"/>
      <c r="V1209" s="29"/>
    </row>
    <row r="1210" spans="3:22">
      <c r="C1210" s="125">
        <v>44629</v>
      </c>
      <c r="D1210" s="34">
        <v>139.5</v>
      </c>
      <c r="E1210" s="115">
        <v>140.25</v>
      </c>
      <c r="F1210" s="34">
        <v>136.83000000000001</v>
      </c>
      <c r="G1210" s="34">
        <v>139.28</v>
      </c>
      <c r="H1210" s="34">
        <v>139.28</v>
      </c>
      <c r="I1210" s="29">
        <v>82656000</v>
      </c>
      <c r="P1210" s="125"/>
      <c r="Q1210" s="34"/>
      <c r="R1210" s="115"/>
      <c r="S1210" s="34"/>
      <c r="T1210" s="34"/>
      <c r="U1210" s="34"/>
      <c r="V1210" s="29"/>
    </row>
    <row r="1211" spans="3:22">
      <c r="C1211" s="125">
        <v>44629</v>
      </c>
      <c r="D1211" s="34">
        <v>212.570007</v>
      </c>
      <c r="E1211" s="115">
        <v>213.60000600000001</v>
      </c>
      <c r="F1211" s="34">
        <v>207.449997</v>
      </c>
      <c r="G1211" s="34">
        <v>209.779999</v>
      </c>
      <c r="H1211" s="34">
        <v>204.97903400000001</v>
      </c>
      <c r="I1211" s="29">
        <v>4798300</v>
      </c>
      <c r="P1211" s="125"/>
      <c r="Q1211" s="34"/>
      <c r="R1211" s="115"/>
      <c r="S1211" s="34"/>
      <c r="T1211" s="34"/>
      <c r="U1211" s="34"/>
      <c r="V1211" s="29"/>
    </row>
    <row r="1212" spans="3:22">
      <c r="C1212" s="125">
        <v>44628</v>
      </c>
      <c r="D1212" s="34">
        <v>136.68</v>
      </c>
      <c r="E1212" s="115">
        <v>140.69999999999999</v>
      </c>
      <c r="F1212" s="34">
        <v>133.57</v>
      </c>
      <c r="G1212" s="34">
        <v>136.01</v>
      </c>
      <c r="H1212" s="34">
        <v>136.01</v>
      </c>
      <c r="I1212" s="29">
        <v>91662000</v>
      </c>
      <c r="P1212" s="125"/>
      <c r="Q1212" s="34"/>
      <c r="R1212" s="115"/>
      <c r="S1212" s="34"/>
      <c r="T1212" s="34"/>
      <c r="U1212" s="34"/>
      <c r="V1212" s="29"/>
    </row>
    <row r="1213" spans="3:22">
      <c r="C1213" s="125">
        <v>44628</v>
      </c>
      <c r="D1213" s="34">
        <v>203.86999499999999</v>
      </c>
      <c r="E1213" s="115">
        <v>214.88999899999999</v>
      </c>
      <c r="F1213" s="34">
        <v>203</v>
      </c>
      <c r="G1213" s="34">
        <v>210</v>
      </c>
      <c r="H1213" s="34">
        <v>205.19399999999999</v>
      </c>
      <c r="I1213" s="29">
        <v>9318600</v>
      </c>
      <c r="P1213" s="125"/>
      <c r="Q1213" s="34"/>
      <c r="R1213" s="115"/>
      <c r="S1213" s="34"/>
      <c r="T1213" s="34"/>
      <c r="U1213" s="34"/>
      <c r="V1213" s="29"/>
    </row>
    <row r="1214" spans="3:22">
      <c r="C1214" s="125">
        <v>44627</v>
      </c>
      <c r="D1214" s="34">
        <v>145.44</v>
      </c>
      <c r="E1214" s="115">
        <v>146.09</v>
      </c>
      <c r="F1214" s="34">
        <v>137.41999999999999</v>
      </c>
      <c r="G1214" s="34">
        <v>137.44999999999999</v>
      </c>
      <c r="H1214" s="34">
        <v>137.44999999999999</v>
      </c>
      <c r="I1214" s="29">
        <v>86934000</v>
      </c>
      <c r="P1214" s="125"/>
      <c r="Q1214" s="34"/>
      <c r="R1214" s="115"/>
      <c r="S1214" s="34"/>
      <c r="T1214" s="34"/>
      <c r="U1214" s="34"/>
      <c r="V1214" s="29"/>
    </row>
    <row r="1215" spans="3:22">
      <c r="C1215" s="125">
        <v>44627</v>
      </c>
      <c r="D1215" s="34">
        <v>194.78999300000001</v>
      </c>
      <c r="E1215" s="115">
        <v>203.5</v>
      </c>
      <c r="F1215" s="34">
        <v>193.61999499999999</v>
      </c>
      <c r="G1215" s="34">
        <v>196.699997</v>
      </c>
      <c r="H1215" s="34">
        <v>192.198364</v>
      </c>
      <c r="I1215" s="29">
        <v>6912300</v>
      </c>
      <c r="P1215" s="125"/>
      <c r="Q1215" s="34"/>
      <c r="R1215" s="115"/>
      <c r="S1215" s="34"/>
      <c r="T1215" s="34"/>
      <c r="U1215" s="34"/>
      <c r="V1215" s="29"/>
    </row>
    <row r="1216" spans="3:22">
      <c r="C1216" s="125">
        <v>44624</v>
      </c>
      <c r="D1216" s="34">
        <v>147.16</v>
      </c>
      <c r="E1216" s="115">
        <v>147.85</v>
      </c>
      <c r="F1216" s="34">
        <v>143.81</v>
      </c>
      <c r="G1216" s="34">
        <v>145.63999999999999</v>
      </c>
      <c r="H1216" s="34">
        <v>145.63999999999999</v>
      </c>
      <c r="I1216" s="29">
        <v>60934000</v>
      </c>
      <c r="P1216" s="125"/>
      <c r="Q1216" s="34"/>
      <c r="R1216" s="115"/>
      <c r="S1216" s="34"/>
      <c r="T1216" s="34"/>
      <c r="U1216" s="34"/>
      <c r="V1216" s="29"/>
    </row>
    <row r="1217" spans="3:22">
      <c r="C1217" s="125">
        <v>44624</v>
      </c>
      <c r="D1217" s="34">
        <v>191.10000600000001</v>
      </c>
      <c r="E1217" s="115">
        <v>196.009995</v>
      </c>
      <c r="F1217" s="34">
        <v>190.30999800000001</v>
      </c>
      <c r="G1217" s="34">
        <v>195.66000399999999</v>
      </c>
      <c r="H1217" s="34">
        <v>191.18215900000001</v>
      </c>
      <c r="I1217" s="29">
        <v>4334700</v>
      </c>
      <c r="P1217" s="125"/>
      <c r="Q1217" s="34"/>
      <c r="R1217" s="115"/>
      <c r="S1217" s="34"/>
      <c r="T1217" s="34"/>
      <c r="U1217" s="34"/>
      <c r="V1217" s="29"/>
    </row>
    <row r="1218" spans="3:22">
      <c r="C1218" s="125">
        <v>44623</v>
      </c>
      <c r="D1218" s="34">
        <v>153.53</v>
      </c>
      <c r="E1218" s="115">
        <v>153.93</v>
      </c>
      <c r="F1218" s="34">
        <v>146.86000000000001</v>
      </c>
      <c r="G1218" s="34">
        <v>147.9</v>
      </c>
      <c r="H1218" s="34">
        <v>147.9</v>
      </c>
      <c r="I1218" s="29">
        <v>65198000</v>
      </c>
      <c r="P1218" s="125"/>
      <c r="Q1218" s="34"/>
      <c r="R1218" s="115"/>
      <c r="S1218" s="34"/>
      <c r="T1218" s="34"/>
      <c r="U1218" s="34"/>
      <c r="V1218" s="29"/>
    </row>
    <row r="1219" spans="3:22">
      <c r="C1219" s="125">
        <v>44623</v>
      </c>
      <c r="D1219" s="34">
        <v>193.320007</v>
      </c>
      <c r="E1219" s="115">
        <v>196.58000200000001</v>
      </c>
      <c r="F1219" s="34">
        <v>192.33999600000001</v>
      </c>
      <c r="G1219" s="34">
        <v>194.85000600000001</v>
      </c>
      <c r="H1219" s="34">
        <v>190.390717</v>
      </c>
      <c r="I1219" s="29">
        <v>4429700</v>
      </c>
      <c r="P1219" s="125"/>
      <c r="Q1219" s="34"/>
      <c r="R1219" s="115"/>
      <c r="S1219" s="34"/>
      <c r="T1219" s="34"/>
      <c r="U1219" s="34"/>
      <c r="V1219" s="29"/>
    </row>
    <row r="1220" spans="3:22">
      <c r="C1220" s="125">
        <v>44622</v>
      </c>
      <c r="D1220" s="34">
        <v>150.85</v>
      </c>
      <c r="E1220" s="115">
        <v>153</v>
      </c>
      <c r="F1220" s="34">
        <v>148.75</v>
      </c>
      <c r="G1220" s="34">
        <v>152.05000000000001</v>
      </c>
      <c r="H1220" s="34">
        <v>152.05000000000001</v>
      </c>
      <c r="I1220" s="29">
        <v>47334000</v>
      </c>
      <c r="P1220" s="125"/>
      <c r="Q1220" s="34"/>
      <c r="R1220" s="115"/>
      <c r="S1220" s="34"/>
      <c r="T1220" s="34"/>
      <c r="U1220" s="34"/>
      <c r="V1220" s="29"/>
    </row>
    <row r="1221" spans="3:22">
      <c r="C1221" s="125">
        <v>44622</v>
      </c>
      <c r="D1221" s="34">
        <v>185.199997</v>
      </c>
      <c r="E1221" s="115">
        <v>193.55999800000001</v>
      </c>
      <c r="F1221" s="34">
        <v>185</v>
      </c>
      <c r="G1221" s="34">
        <v>192.61000100000001</v>
      </c>
      <c r="H1221" s="34">
        <v>188.201965</v>
      </c>
      <c r="I1221" s="29">
        <v>5849900</v>
      </c>
      <c r="P1221" s="125"/>
      <c r="Q1221" s="34"/>
      <c r="R1221" s="115"/>
      <c r="S1221" s="34"/>
      <c r="T1221" s="34"/>
      <c r="U1221" s="34"/>
      <c r="V1221" s="29"/>
    </row>
    <row r="1222" spans="3:22">
      <c r="C1222" s="125">
        <v>44621</v>
      </c>
      <c r="D1222" s="34">
        <v>152.72999999999999</v>
      </c>
      <c r="E1222" s="115">
        <v>154.1</v>
      </c>
      <c r="F1222" s="34">
        <v>149.97999999999999</v>
      </c>
      <c r="G1222" s="34">
        <v>151.13999999999999</v>
      </c>
      <c r="H1222" s="34">
        <v>151.13999999999999</v>
      </c>
      <c r="I1222" s="29">
        <v>44874000</v>
      </c>
      <c r="P1222" s="125"/>
      <c r="Q1222" s="34"/>
      <c r="R1222" s="115"/>
      <c r="S1222" s="34"/>
      <c r="T1222" s="34"/>
      <c r="U1222" s="34"/>
      <c r="V1222" s="29"/>
    </row>
    <row r="1223" spans="3:22">
      <c r="C1223" s="125">
        <v>44621</v>
      </c>
      <c r="D1223" s="34">
        <v>187.770004</v>
      </c>
      <c r="E1223" s="115">
        <v>188.220001</v>
      </c>
      <c r="F1223" s="34">
        <v>180.63999899999999</v>
      </c>
      <c r="G1223" s="34">
        <v>182.83000200000001</v>
      </c>
      <c r="H1223" s="34">
        <v>178.64579800000001</v>
      </c>
      <c r="I1223" s="29">
        <v>5110600</v>
      </c>
      <c r="P1223" s="125"/>
      <c r="Q1223" s="34"/>
      <c r="R1223" s="115"/>
      <c r="S1223" s="34"/>
      <c r="T1223" s="34"/>
      <c r="U1223" s="34"/>
      <c r="V1223" s="29"/>
    </row>
    <row r="1224" spans="3:22">
      <c r="C1224" s="125">
        <v>44620</v>
      </c>
      <c r="D1224" s="34">
        <v>152.43</v>
      </c>
      <c r="E1224" s="115">
        <v>154.44999999999999</v>
      </c>
      <c r="F1224" s="34">
        <v>150.85</v>
      </c>
      <c r="G1224" s="34">
        <v>153.56</v>
      </c>
      <c r="H1224" s="34">
        <v>153.56</v>
      </c>
      <c r="I1224" s="29">
        <v>57684000</v>
      </c>
      <c r="P1224" s="125"/>
      <c r="Q1224" s="34"/>
      <c r="R1224" s="115"/>
      <c r="S1224" s="34"/>
      <c r="T1224" s="34"/>
      <c r="U1224" s="34"/>
      <c r="V1224" s="29"/>
    </row>
    <row r="1225" spans="3:22">
      <c r="C1225" s="125">
        <v>44620</v>
      </c>
      <c r="D1225" s="34">
        <v>184.33999600000001</v>
      </c>
      <c r="E1225" s="115">
        <v>188.770004</v>
      </c>
      <c r="F1225" s="34">
        <v>183.66999799999999</v>
      </c>
      <c r="G1225" s="34">
        <v>187.58000200000001</v>
      </c>
      <c r="H1225" s="34">
        <v>183.287094</v>
      </c>
      <c r="I1225" s="29">
        <v>5168500</v>
      </c>
      <c r="P1225" s="125"/>
      <c r="Q1225" s="34"/>
      <c r="R1225" s="115"/>
      <c r="S1225" s="34"/>
      <c r="T1225" s="34"/>
      <c r="U1225" s="34"/>
      <c r="V1225" s="29"/>
    </row>
    <row r="1226" spans="3:22">
      <c r="C1226" s="125">
        <v>44617</v>
      </c>
      <c r="D1226" s="34">
        <v>150.55000000000001</v>
      </c>
      <c r="E1226" s="115">
        <v>153.99</v>
      </c>
      <c r="F1226" s="34">
        <v>149.21</v>
      </c>
      <c r="G1226" s="34">
        <v>153.79</v>
      </c>
      <c r="H1226" s="34">
        <v>153.79</v>
      </c>
      <c r="I1226" s="29">
        <v>62396000</v>
      </c>
      <c r="P1226" s="125"/>
      <c r="Q1226" s="34"/>
      <c r="R1226" s="115"/>
      <c r="S1226" s="34"/>
      <c r="T1226" s="34"/>
      <c r="U1226" s="34"/>
      <c r="V1226" s="29"/>
    </row>
    <row r="1227" spans="3:22">
      <c r="C1227" s="125">
        <v>44617</v>
      </c>
      <c r="D1227" s="34">
        <v>184.94000199999999</v>
      </c>
      <c r="E1227" s="115">
        <v>187.929993</v>
      </c>
      <c r="F1227" s="34">
        <v>184.11999499999999</v>
      </c>
      <c r="G1227" s="34">
        <v>187.05999800000001</v>
      </c>
      <c r="H1227" s="34">
        <v>182.77896100000001</v>
      </c>
      <c r="I1227" s="29">
        <v>3594600</v>
      </c>
      <c r="P1227" s="125"/>
      <c r="Q1227" s="34"/>
      <c r="R1227" s="115"/>
      <c r="S1227" s="34"/>
      <c r="T1227" s="34"/>
      <c r="U1227" s="34"/>
      <c r="V1227" s="29"/>
    </row>
    <row r="1228" spans="3:22">
      <c r="C1228" s="125">
        <v>44616</v>
      </c>
      <c r="D1228" s="34">
        <v>139.84</v>
      </c>
      <c r="E1228" s="115">
        <v>151.75</v>
      </c>
      <c r="F1228" s="34">
        <v>139.5</v>
      </c>
      <c r="G1228" s="34">
        <v>151.36000000000001</v>
      </c>
      <c r="H1228" s="34">
        <v>151.36000000000001</v>
      </c>
      <c r="I1228" s="29">
        <v>100786000</v>
      </c>
      <c r="P1228" s="125"/>
      <c r="Q1228" s="34"/>
      <c r="R1228" s="115"/>
      <c r="S1228" s="34"/>
      <c r="T1228" s="34"/>
      <c r="U1228" s="34"/>
      <c r="V1228" s="29"/>
    </row>
    <row r="1229" spans="3:22">
      <c r="C1229" s="125">
        <v>44616</v>
      </c>
      <c r="D1229" s="34">
        <v>182.029999</v>
      </c>
      <c r="E1229" s="115">
        <v>185.270004</v>
      </c>
      <c r="F1229" s="34">
        <v>179.66999799999999</v>
      </c>
      <c r="G1229" s="34">
        <v>184.69000199999999</v>
      </c>
      <c r="H1229" s="34">
        <v>180.46322599999999</v>
      </c>
      <c r="I1229" s="29">
        <v>5919500</v>
      </c>
      <c r="P1229" s="125"/>
      <c r="Q1229" s="34"/>
      <c r="R1229" s="115"/>
      <c r="S1229" s="34"/>
      <c r="T1229" s="34"/>
      <c r="U1229" s="34"/>
      <c r="V1229" s="29"/>
    </row>
    <row r="1230" spans="3:22">
      <c r="C1230" s="125">
        <v>44615</v>
      </c>
      <c r="D1230" s="34">
        <v>151.65</v>
      </c>
      <c r="E1230" s="115">
        <v>151.76</v>
      </c>
      <c r="F1230" s="34">
        <v>144.65</v>
      </c>
      <c r="G1230" s="34">
        <v>144.83000000000001</v>
      </c>
      <c r="H1230" s="34">
        <v>144.83000000000001</v>
      </c>
      <c r="I1230" s="29">
        <v>64244000</v>
      </c>
      <c r="P1230" s="125"/>
      <c r="Q1230" s="34"/>
      <c r="R1230" s="115"/>
      <c r="S1230" s="34"/>
      <c r="T1230" s="34"/>
      <c r="U1230" s="34"/>
      <c r="V1230" s="29"/>
    </row>
    <row r="1231" spans="3:22">
      <c r="C1231" s="125">
        <v>44615</v>
      </c>
      <c r="D1231" s="34">
        <v>191.720001</v>
      </c>
      <c r="E1231" s="115">
        <v>192.320007</v>
      </c>
      <c r="F1231" s="34">
        <v>186.36999499999999</v>
      </c>
      <c r="G1231" s="34">
        <v>186.66999799999999</v>
      </c>
      <c r="H1231" s="34">
        <v>182.39790300000001</v>
      </c>
      <c r="I1231" s="29">
        <v>3550400</v>
      </c>
      <c r="P1231" s="125"/>
      <c r="Q1231" s="34"/>
      <c r="R1231" s="115"/>
      <c r="S1231" s="34"/>
      <c r="T1231" s="34"/>
      <c r="U1231" s="34"/>
      <c r="V1231" s="29"/>
    </row>
    <row r="1232" spans="3:22">
      <c r="C1232" s="125">
        <v>44614</v>
      </c>
      <c r="D1232" s="34">
        <v>150.47999999999999</v>
      </c>
      <c r="E1232" s="115">
        <v>152.97999999999999</v>
      </c>
      <c r="F1232" s="34">
        <v>148.49</v>
      </c>
      <c r="G1232" s="34">
        <v>150.19999999999999</v>
      </c>
      <c r="H1232" s="34">
        <v>150.19999999999999</v>
      </c>
      <c r="I1232" s="29">
        <v>66128000</v>
      </c>
      <c r="P1232" s="125"/>
      <c r="Q1232" s="34"/>
      <c r="R1232" s="115"/>
      <c r="S1232" s="34"/>
      <c r="T1232" s="34"/>
      <c r="U1232" s="34"/>
      <c r="V1232" s="29"/>
    </row>
    <row r="1233" spans="3:22">
      <c r="C1233" s="125">
        <v>44614</v>
      </c>
      <c r="D1233" s="34">
        <v>191.949997</v>
      </c>
      <c r="E1233" s="115">
        <v>194.89999399999999</v>
      </c>
      <c r="F1233" s="34">
        <v>190.550003</v>
      </c>
      <c r="G1233" s="34">
        <v>191.21000699999999</v>
      </c>
      <c r="H1233" s="34">
        <v>186.83401499999999</v>
      </c>
      <c r="I1233" s="29">
        <v>3488000</v>
      </c>
      <c r="P1233" s="125"/>
      <c r="Q1233" s="34"/>
      <c r="R1233" s="115"/>
      <c r="S1233" s="34"/>
      <c r="T1233" s="34"/>
      <c r="U1233" s="34"/>
      <c r="V1233" s="29"/>
    </row>
    <row r="1234" spans="3:22">
      <c r="C1234" s="125">
        <v>44610</v>
      </c>
      <c r="D1234" s="34">
        <v>155.5</v>
      </c>
      <c r="E1234" s="115">
        <v>155.5</v>
      </c>
      <c r="F1234" s="34">
        <v>150.88999999999999</v>
      </c>
      <c r="G1234" s="34">
        <v>152.6</v>
      </c>
      <c r="H1234" s="34">
        <v>152.6</v>
      </c>
      <c r="I1234" s="29">
        <v>63604000</v>
      </c>
      <c r="P1234" s="125"/>
      <c r="Q1234" s="34"/>
      <c r="R1234" s="115"/>
      <c r="S1234" s="34"/>
      <c r="T1234" s="34"/>
      <c r="U1234" s="34"/>
      <c r="V1234" s="29"/>
    </row>
    <row r="1235" spans="3:22">
      <c r="C1235" s="125">
        <v>44610</v>
      </c>
      <c r="D1235" s="34">
        <v>193.36000100000001</v>
      </c>
      <c r="E1235" s="115">
        <v>195.61999499999999</v>
      </c>
      <c r="F1235" s="34">
        <v>191.179993</v>
      </c>
      <c r="G1235" s="34">
        <v>191.949997</v>
      </c>
      <c r="H1235" s="34">
        <v>187.557053</v>
      </c>
      <c r="I1235" s="29">
        <v>4385200</v>
      </c>
      <c r="P1235" s="125"/>
      <c r="Q1235" s="34"/>
      <c r="R1235" s="115"/>
      <c r="S1235" s="34"/>
      <c r="T1235" s="34"/>
      <c r="U1235" s="34"/>
      <c r="V1235" s="29"/>
    </row>
    <row r="1236" spans="3:22">
      <c r="C1236" s="125">
        <v>44609</v>
      </c>
      <c r="D1236" s="34">
        <v>158.15</v>
      </c>
      <c r="E1236" s="115">
        <v>160.35</v>
      </c>
      <c r="F1236" s="34">
        <v>154.5</v>
      </c>
      <c r="G1236" s="34">
        <v>154.65</v>
      </c>
      <c r="H1236" s="34">
        <v>154.65</v>
      </c>
      <c r="I1236" s="29">
        <v>64032000</v>
      </c>
      <c r="P1236" s="125"/>
      <c r="Q1236" s="34"/>
      <c r="R1236" s="115"/>
      <c r="S1236" s="34"/>
      <c r="T1236" s="34"/>
      <c r="U1236" s="34"/>
      <c r="V1236" s="29"/>
    </row>
    <row r="1237" spans="3:22">
      <c r="C1237" s="125">
        <v>44609</v>
      </c>
      <c r="D1237" s="34">
        <v>201</v>
      </c>
      <c r="E1237" s="115">
        <v>201.759995</v>
      </c>
      <c r="F1237" s="34">
        <v>194.44000199999999</v>
      </c>
      <c r="G1237" s="34">
        <v>194.740005</v>
      </c>
      <c r="H1237" s="34">
        <v>190.28323399999999</v>
      </c>
      <c r="I1237" s="29">
        <v>4699600</v>
      </c>
      <c r="P1237" s="125"/>
      <c r="Q1237" s="34"/>
      <c r="R1237" s="115"/>
      <c r="S1237" s="34"/>
      <c r="T1237" s="34"/>
      <c r="U1237" s="34"/>
      <c r="V1237" s="29"/>
    </row>
    <row r="1238" spans="3:22">
      <c r="C1238" s="125">
        <v>44608</v>
      </c>
      <c r="D1238" s="34">
        <v>155.79</v>
      </c>
      <c r="E1238" s="115">
        <v>158.83000000000001</v>
      </c>
      <c r="F1238" s="34">
        <v>154.72999999999999</v>
      </c>
      <c r="G1238" s="34">
        <v>158.1</v>
      </c>
      <c r="H1238" s="34">
        <v>158.1</v>
      </c>
      <c r="I1238" s="29">
        <v>52704000</v>
      </c>
      <c r="P1238" s="125"/>
      <c r="Q1238" s="34"/>
      <c r="R1238" s="115"/>
      <c r="S1238" s="34"/>
      <c r="T1238" s="34"/>
      <c r="U1238" s="34"/>
      <c r="V1238" s="29"/>
    </row>
    <row r="1239" spans="3:22">
      <c r="C1239" s="125">
        <v>44608</v>
      </c>
      <c r="D1239" s="34">
        <v>203.11000100000001</v>
      </c>
      <c r="E1239" s="115">
        <v>205.41999799999999</v>
      </c>
      <c r="F1239" s="34">
        <v>203</v>
      </c>
      <c r="G1239" s="34">
        <v>203.63999899999999</v>
      </c>
      <c r="H1239" s="34">
        <v>198.979523</v>
      </c>
      <c r="I1239" s="29">
        <v>2253900</v>
      </c>
      <c r="P1239" s="125"/>
      <c r="Q1239" s="34"/>
      <c r="R1239" s="115"/>
      <c r="S1239" s="34"/>
      <c r="T1239" s="34"/>
      <c r="U1239" s="34"/>
      <c r="V1239" s="29"/>
    </row>
    <row r="1240" spans="3:22">
      <c r="C1240" s="125">
        <v>44607</v>
      </c>
      <c r="D1240" s="34">
        <v>157.61000000000001</v>
      </c>
      <c r="E1240" s="115">
        <v>158.01</v>
      </c>
      <c r="F1240" s="34">
        <v>154.63999999999999</v>
      </c>
      <c r="G1240" s="34">
        <v>156.51</v>
      </c>
      <c r="H1240" s="34">
        <v>156.51</v>
      </c>
      <c r="I1240" s="29">
        <v>56440000</v>
      </c>
      <c r="P1240" s="125"/>
      <c r="Q1240" s="34"/>
      <c r="R1240" s="115"/>
      <c r="S1240" s="34"/>
      <c r="T1240" s="34"/>
      <c r="U1240" s="34"/>
      <c r="V1240" s="29"/>
    </row>
    <row r="1241" spans="3:22">
      <c r="C1241" s="125">
        <v>44607</v>
      </c>
      <c r="D1241" s="34">
        <v>200.699997</v>
      </c>
      <c r="E1241" s="115">
        <v>204.449997</v>
      </c>
      <c r="F1241" s="34">
        <v>200.009995</v>
      </c>
      <c r="G1241" s="34">
        <v>203.41000399999999</v>
      </c>
      <c r="H1241" s="34">
        <v>198.75479100000001</v>
      </c>
      <c r="I1241" s="29">
        <v>2752600</v>
      </c>
      <c r="P1241" s="125"/>
      <c r="Q1241" s="34"/>
      <c r="R1241" s="115"/>
      <c r="S1241" s="34"/>
      <c r="T1241" s="34"/>
      <c r="U1241" s="34"/>
      <c r="V1241" s="29"/>
    </row>
    <row r="1242" spans="3:22">
      <c r="C1242" s="125">
        <v>44606</v>
      </c>
      <c r="D1242" s="34">
        <v>151.75</v>
      </c>
      <c r="E1242" s="115">
        <v>158.44999999999999</v>
      </c>
      <c r="F1242" s="34">
        <v>151.65</v>
      </c>
      <c r="G1242" s="34">
        <v>155.16999999999999</v>
      </c>
      <c r="H1242" s="34">
        <v>155.16999999999999</v>
      </c>
      <c r="I1242" s="29">
        <v>83230000</v>
      </c>
      <c r="P1242" s="125"/>
      <c r="Q1242" s="34"/>
      <c r="R1242" s="115"/>
      <c r="S1242" s="34"/>
      <c r="T1242" s="34"/>
      <c r="U1242" s="34"/>
      <c r="V1242" s="29"/>
    </row>
    <row r="1243" spans="3:22">
      <c r="C1243" s="125">
        <v>44606</v>
      </c>
      <c r="D1243" s="34">
        <v>200.949997</v>
      </c>
      <c r="E1243" s="115">
        <v>201.699997</v>
      </c>
      <c r="F1243" s="34">
        <v>198.11000100000001</v>
      </c>
      <c r="G1243" s="34">
        <v>199.88999899999999</v>
      </c>
      <c r="H1243" s="34">
        <v>195.315369</v>
      </c>
      <c r="I1243" s="29">
        <v>2730500</v>
      </c>
      <c r="P1243" s="125"/>
      <c r="Q1243" s="34"/>
      <c r="R1243" s="115"/>
      <c r="S1243" s="34"/>
      <c r="T1243" s="34"/>
      <c r="U1243" s="34"/>
      <c r="V1243" s="29"/>
    </row>
    <row r="1244" spans="3:22">
      <c r="C1244" s="125">
        <v>44603</v>
      </c>
      <c r="D1244" s="34">
        <v>158.13</v>
      </c>
      <c r="E1244" s="115">
        <v>159</v>
      </c>
      <c r="F1244" s="34">
        <v>152.72999999999999</v>
      </c>
      <c r="G1244" s="34">
        <v>153.29</v>
      </c>
      <c r="H1244" s="34">
        <v>153.29</v>
      </c>
      <c r="I1244" s="29">
        <v>77100000</v>
      </c>
      <c r="P1244" s="125"/>
      <c r="Q1244" s="34"/>
      <c r="R1244" s="115"/>
      <c r="S1244" s="34"/>
      <c r="T1244" s="34"/>
      <c r="U1244" s="34"/>
      <c r="V1244" s="29"/>
    </row>
    <row r="1245" spans="3:22">
      <c r="C1245" s="125">
        <v>44603</v>
      </c>
      <c r="D1245" s="34">
        <v>203.41999799999999</v>
      </c>
      <c r="E1245" s="115">
        <v>204.64999399999999</v>
      </c>
      <c r="F1245" s="34">
        <v>200.13000500000001</v>
      </c>
      <c r="G1245" s="34">
        <v>201.240005</v>
      </c>
      <c r="H1245" s="34">
        <v>196.63447600000001</v>
      </c>
      <c r="I1245" s="29">
        <v>3826700</v>
      </c>
      <c r="P1245" s="125"/>
      <c r="Q1245" s="34"/>
      <c r="R1245" s="115"/>
      <c r="S1245" s="34"/>
      <c r="T1245" s="34"/>
      <c r="U1245" s="34"/>
      <c r="V1245" s="29"/>
    </row>
    <row r="1246" spans="3:22">
      <c r="C1246" s="125">
        <v>44602</v>
      </c>
      <c r="D1246" s="34">
        <v>158.35</v>
      </c>
      <c r="E1246" s="115">
        <v>160.72</v>
      </c>
      <c r="F1246" s="34">
        <v>157.75</v>
      </c>
      <c r="G1246" s="34">
        <v>159</v>
      </c>
      <c r="H1246" s="34">
        <v>159</v>
      </c>
      <c r="I1246" s="29">
        <v>68268000</v>
      </c>
      <c r="P1246" s="125"/>
      <c r="Q1246" s="34"/>
      <c r="R1246" s="115"/>
      <c r="S1246" s="34"/>
      <c r="T1246" s="34"/>
      <c r="U1246" s="34"/>
      <c r="V1246" s="29"/>
    </row>
    <row r="1247" spans="3:22">
      <c r="C1247" s="125">
        <v>44602</v>
      </c>
      <c r="D1247" s="34">
        <v>202.570007</v>
      </c>
      <c r="E1247" s="115">
        <v>206.75</v>
      </c>
      <c r="F1247" s="34">
        <v>201.55999800000001</v>
      </c>
      <c r="G1247" s="34">
        <v>203.070007</v>
      </c>
      <c r="H1247" s="34">
        <v>198.42257699999999</v>
      </c>
      <c r="I1247" s="29">
        <v>3538500</v>
      </c>
      <c r="P1247" s="125"/>
      <c r="Q1247" s="34"/>
      <c r="R1247" s="115"/>
      <c r="S1247" s="34"/>
      <c r="T1247" s="34"/>
      <c r="U1247" s="34"/>
      <c r="V1247" s="29"/>
    </row>
    <row r="1248" spans="3:22">
      <c r="C1248" s="125">
        <v>44601</v>
      </c>
      <c r="D1248" s="34">
        <v>162.87</v>
      </c>
      <c r="E1248" s="115">
        <v>163.83000000000001</v>
      </c>
      <c r="F1248" s="34">
        <v>160.25</v>
      </c>
      <c r="G1248" s="34">
        <v>161.19</v>
      </c>
      <c r="H1248" s="34">
        <v>161.19</v>
      </c>
      <c r="I1248" s="29">
        <v>68786000</v>
      </c>
      <c r="P1248" s="125"/>
      <c r="Q1248" s="34"/>
      <c r="R1248" s="115"/>
      <c r="S1248" s="34"/>
      <c r="T1248" s="34"/>
      <c r="U1248" s="34"/>
      <c r="V1248" s="29"/>
    </row>
    <row r="1249" spans="3:22">
      <c r="C1249" s="125">
        <v>44601</v>
      </c>
      <c r="D1249" s="34">
        <v>202.63999899999999</v>
      </c>
      <c r="E1249" s="115">
        <v>204.10000600000001</v>
      </c>
      <c r="F1249" s="34">
        <v>202.08999600000001</v>
      </c>
      <c r="G1249" s="34">
        <v>203.60000600000001</v>
      </c>
      <c r="H1249" s="34">
        <v>198.94047499999999</v>
      </c>
      <c r="I1249" s="29">
        <v>2743700</v>
      </c>
      <c r="P1249" s="125"/>
      <c r="Q1249" s="34"/>
      <c r="R1249" s="115"/>
      <c r="S1249" s="34"/>
      <c r="T1249" s="34"/>
      <c r="U1249" s="34"/>
      <c r="V1249" s="29"/>
    </row>
    <row r="1250" spans="3:22">
      <c r="C1250" s="125">
        <v>44600</v>
      </c>
      <c r="D1250" s="34">
        <v>156.75</v>
      </c>
      <c r="E1250" s="115">
        <v>161.79</v>
      </c>
      <c r="F1250" s="34">
        <v>155.55000000000001</v>
      </c>
      <c r="G1250" s="34">
        <v>161.41</v>
      </c>
      <c r="H1250" s="34">
        <v>161.41</v>
      </c>
      <c r="I1250" s="29">
        <v>76040000</v>
      </c>
      <c r="P1250" s="125"/>
      <c r="Q1250" s="34"/>
      <c r="R1250" s="115"/>
      <c r="S1250" s="34"/>
      <c r="T1250" s="34"/>
      <c r="U1250" s="34"/>
      <c r="V1250" s="29"/>
    </row>
    <row r="1251" spans="3:22">
      <c r="C1251" s="125">
        <v>44600</v>
      </c>
      <c r="D1251" s="34">
        <v>200.259995</v>
      </c>
      <c r="E1251" s="115">
        <v>202.30999800000001</v>
      </c>
      <c r="F1251" s="34">
        <v>199.229996</v>
      </c>
      <c r="G1251" s="34">
        <v>201.5</v>
      </c>
      <c r="H1251" s="34">
        <v>196.888519</v>
      </c>
      <c r="I1251" s="29">
        <v>2407100</v>
      </c>
      <c r="P1251" s="125"/>
      <c r="Q1251" s="34"/>
      <c r="R1251" s="115"/>
      <c r="S1251" s="34"/>
      <c r="T1251" s="34"/>
      <c r="U1251" s="34"/>
      <c r="V1251" s="29"/>
    </row>
    <row r="1252" spans="3:22">
      <c r="C1252" s="125">
        <v>44599</v>
      </c>
      <c r="D1252" s="34">
        <v>158.52000000000001</v>
      </c>
      <c r="E1252" s="115">
        <v>162.69</v>
      </c>
      <c r="F1252" s="34">
        <v>157.25</v>
      </c>
      <c r="G1252" s="34">
        <v>157.94</v>
      </c>
      <c r="H1252" s="34">
        <v>157.94</v>
      </c>
      <c r="I1252" s="29">
        <v>102624000</v>
      </c>
      <c r="P1252" s="125"/>
      <c r="Q1252" s="34"/>
      <c r="R1252" s="115"/>
      <c r="S1252" s="34"/>
      <c r="T1252" s="34"/>
      <c r="U1252" s="34"/>
      <c r="V1252" s="29"/>
    </row>
    <row r="1253" spans="3:22">
      <c r="C1253" s="125">
        <v>44599</v>
      </c>
      <c r="D1253" s="34">
        <v>198.83999600000001</v>
      </c>
      <c r="E1253" s="115">
        <v>201.529999</v>
      </c>
      <c r="F1253" s="34">
        <v>198.029999</v>
      </c>
      <c r="G1253" s="34">
        <v>199.820007</v>
      </c>
      <c r="H1253" s="34">
        <v>195.24697900000001</v>
      </c>
      <c r="I1253" s="29">
        <v>2402000</v>
      </c>
      <c r="P1253" s="125"/>
      <c r="Q1253" s="34"/>
      <c r="R1253" s="115"/>
      <c r="S1253" s="34"/>
      <c r="T1253" s="34"/>
      <c r="U1253" s="34"/>
      <c r="V1253" s="29"/>
    </row>
    <row r="1254" spans="3:22">
      <c r="C1254" s="125">
        <v>44596</v>
      </c>
      <c r="D1254" s="34">
        <v>155.61000000000001</v>
      </c>
      <c r="E1254" s="115">
        <v>161.19999999999999</v>
      </c>
      <c r="F1254" s="34">
        <v>150.61000000000001</v>
      </c>
      <c r="G1254" s="34">
        <v>157.63999999999999</v>
      </c>
      <c r="H1254" s="34">
        <v>157.63999999999999</v>
      </c>
      <c r="I1254" s="29">
        <v>253456000</v>
      </c>
      <c r="P1254" s="125"/>
      <c r="Q1254" s="34"/>
      <c r="R1254" s="115"/>
      <c r="S1254" s="34"/>
      <c r="T1254" s="34"/>
      <c r="U1254" s="34"/>
      <c r="V1254" s="29"/>
    </row>
    <row r="1255" spans="3:22">
      <c r="C1255" s="125">
        <v>44596</v>
      </c>
      <c r="D1255" s="34">
        <v>200.21000699999999</v>
      </c>
      <c r="E1255" s="115">
        <v>201.009995</v>
      </c>
      <c r="F1255" s="34">
        <v>196.490005</v>
      </c>
      <c r="G1255" s="34">
        <v>198.41000399999999</v>
      </c>
      <c r="H1255" s="34">
        <v>193.86923200000001</v>
      </c>
      <c r="I1255" s="29">
        <v>3930800</v>
      </c>
      <c r="P1255" s="125"/>
      <c r="Q1255" s="34"/>
      <c r="R1255" s="115"/>
      <c r="S1255" s="34"/>
      <c r="T1255" s="34"/>
      <c r="U1255" s="34"/>
      <c r="V1255" s="29"/>
    </row>
    <row r="1256" spans="3:22">
      <c r="C1256" s="125">
        <v>44595</v>
      </c>
      <c r="D1256" s="34">
        <v>141.74</v>
      </c>
      <c r="E1256" s="115">
        <v>144.25</v>
      </c>
      <c r="F1256" s="34">
        <v>138.33000000000001</v>
      </c>
      <c r="G1256" s="34">
        <v>138.85</v>
      </c>
      <c r="H1256" s="34">
        <v>138.85</v>
      </c>
      <c r="I1256" s="29">
        <v>225532000</v>
      </c>
      <c r="P1256" s="125"/>
      <c r="Q1256" s="34"/>
      <c r="R1256" s="115"/>
      <c r="S1256" s="34"/>
      <c r="T1256" s="34"/>
      <c r="U1256" s="34"/>
      <c r="V1256" s="29"/>
    </row>
    <row r="1257" spans="3:22">
      <c r="C1257" s="125">
        <v>44595</v>
      </c>
      <c r="D1257" s="34">
        <v>205</v>
      </c>
      <c r="E1257" s="115">
        <v>205.86999499999999</v>
      </c>
      <c r="F1257" s="34">
        <v>200.08999600000001</v>
      </c>
      <c r="G1257" s="34">
        <v>200.58999600000001</v>
      </c>
      <c r="H1257" s="34">
        <v>195.99934400000001</v>
      </c>
      <c r="I1257" s="29">
        <v>2748200</v>
      </c>
      <c r="P1257" s="125"/>
      <c r="Q1257" s="34"/>
      <c r="R1257" s="115"/>
      <c r="S1257" s="34"/>
      <c r="T1257" s="34"/>
      <c r="U1257" s="34"/>
      <c r="V1257" s="29"/>
    </row>
    <row r="1258" spans="3:22">
      <c r="C1258" s="125">
        <v>44594</v>
      </c>
      <c r="D1258" s="34">
        <v>155.05000000000001</v>
      </c>
      <c r="E1258" s="115">
        <v>155.07</v>
      </c>
      <c r="F1258" s="34">
        <v>148.86000000000001</v>
      </c>
      <c r="G1258" s="34">
        <v>150.61000000000001</v>
      </c>
      <c r="H1258" s="34">
        <v>150.61000000000001</v>
      </c>
      <c r="I1258" s="29">
        <v>87330000</v>
      </c>
      <c r="P1258" s="125"/>
      <c r="Q1258" s="34"/>
      <c r="R1258" s="115"/>
      <c r="S1258" s="34"/>
      <c r="T1258" s="34"/>
      <c r="U1258" s="34"/>
      <c r="V1258" s="29"/>
    </row>
    <row r="1259" spans="3:22">
      <c r="C1259" s="125">
        <v>44594</v>
      </c>
      <c r="D1259" s="34">
        <v>203.199997</v>
      </c>
      <c r="E1259" s="115">
        <v>205.800003</v>
      </c>
      <c r="F1259" s="34">
        <v>201.39999399999999</v>
      </c>
      <c r="G1259" s="34">
        <v>204.94000199999999</v>
      </c>
      <c r="H1259" s="34">
        <v>200.249786</v>
      </c>
      <c r="I1259" s="29">
        <v>3492300</v>
      </c>
      <c r="P1259" s="125"/>
      <c r="Q1259" s="34"/>
      <c r="R1259" s="115"/>
      <c r="S1259" s="34"/>
      <c r="T1259" s="34"/>
      <c r="U1259" s="34"/>
      <c r="V1259" s="29"/>
    </row>
    <row r="1260" spans="3:22">
      <c r="C1260" s="125">
        <v>44593</v>
      </c>
      <c r="D1260" s="34">
        <v>150</v>
      </c>
      <c r="E1260" s="115">
        <v>151.71</v>
      </c>
      <c r="F1260" s="34">
        <v>147.63</v>
      </c>
      <c r="G1260" s="34">
        <v>151.19</v>
      </c>
      <c r="H1260" s="34">
        <v>151.19</v>
      </c>
      <c r="I1260" s="29">
        <v>59220000</v>
      </c>
      <c r="P1260" s="125"/>
      <c r="Q1260" s="34"/>
      <c r="R1260" s="115"/>
      <c r="S1260" s="34"/>
      <c r="T1260" s="34"/>
      <c r="U1260" s="34"/>
      <c r="V1260" s="29"/>
    </row>
    <row r="1261" spans="3:22">
      <c r="C1261" s="125">
        <v>44593</v>
      </c>
      <c r="D1261" s="34">
        <v>200.800003</v>
      </c>
      <c r="E1261" s="115">
        <v>205.78999300000001</v>
      </c>
      <c r="F1261" s="34">
        <v>200.53999300000001</v>
      </c>
      <c r="G1261" s="34">
        <v>205.35000600000001</v>
      </c>
      <c r="H1261" s="34">
        <v>200.65042099999999</v>
      </c>
      <c r="I1261" s="29">
        <v>4026400</v>
      </c>
      <c r="P1261" s="125"/>
      <c r="Q1261" s="34"/>
      <c r="R1261" s="115"/>
      <c r="S1261" s="34"/>
      <c r="T1261" s="34"/>
      <c r="U1261" s="34"/>
      <c r="V1261" s="29"/>
    </row>
    <row r="1262" spans="3:22">
      <c r="C1262" s="125">
        <v>44592</v>
      </c>
      <c r="D1262" s="34">
        <v>144.75</v>
      </c>
      <c r="E1262" s="115">
        <v>150.36000000000001</v>
      </c>
      <c r="F1262" s="34">
        <v>144.30000000000001</v>
      </c>
      <c r="G1262" s="34">
        <v>149.57</v>
      </c>
      <c r="H1262" s="34">
        <v>149.57</v>
      </c>
      <c r="I1262" s="29">
        <v>78308000</v>
      </c>
      <c r="P1262" s="125"/>
      <c r="Q1262" s="34"/>
      <c r="R1262" s="115"/>
      <c r="S1262" s="34"/>
      <c r="T1262" s="34"/>
      <c r="U1262" s="34"/>
      <c r="V1262" s="29"/>
    </row>
    <row r="1263" spans="3:22">
      <c r="C1263" s="125">
        <v>44592</v>
      </c>
      <c r="D1263" s="34">
        <v>199.449997</v>
      </c>
      <c r="E1263" s="115">
        <v>201.60000600000001</v>
      </c>
      <c r="F1263" s="34">
        <v>194.679993</v>
      </c>
      <c r="G1263" s="34">
        <v>201.55999800000001</v>
      </c>
      <c r="H1263" s="34">
        <v>196.94714400000001</v>
      </c>
      <c r="I1263" s="29">
        <v>6179000</v>
      </c>
      <c r="P1263" s="125"/>
      <c r="Q1263" s="34"/>
      <c r="R1263" s="115"/>
      <c r="S1263" s="34"/>
      <c r="T1263" s="34"/>
      <c r="U1263" s="34"/>
      <c r="V1263" s="29"/>
    </row>
    <row r="1264" spans="3:22">
      <c r="C1264" s="125">
        <v>44589</v>
      </c>
      <c r="D1264" s="34">
        <v>140.86000000000001</v>
      </c>
      <c r="E1264" s="115">
        <v>144</v>
      </c>
      <c r="F1264" s="34">
        <v>137.93</v>
      </c>
      <c r="G1264" s="34">
        <v>143.97999999999999</v>
      </c>
      <c r="H1264" s="34">
        <v>143.97999999999999</v>
      </c>
      <c r="I1264" s="29">
        <v>74392000</v>
      </c>
      <c r="P1264" s="125"/>
      <c r="Q1264" s="34"/>
      <c r="R1264" s="115"/>
      <c r="S1264" s="34"/>
      <c r="T1264" s="34"/>
      <c r="U1264" s="34"/>
      <c r="V1264" s="29"/>
    </row>
    <row r="1265" spans="3:22">
      <c r="C1265" s="125">
        <v>44589</v>
      </c>
      <c r="D1265" s="34">
        <v>205.58999600000001</v>
      </c>
      <c r="E1265" s="115">
        <v>208</v>
      </c>
      <c r="F1265" s="34">
        <v>196.800003</v>
      </c>
      <c r="G1265" s="34">
        <v>201.16000399999999</v>
      </c>
      <c r="H1265" s="34">
        <v>196.55628999999999</v>
      </c>
      <c r="I1265" s="29">
        <v>10747300</v>
      </c>
      <c r="P1265" s="125"/>
      <c r="Q1265" s="34"/>
      <c r="R1265" s="115"/>
      <c r="S1265" s="34"/>
      <c r="T1265" s="34"/>
      <c r="U1265" s="34"/>
      <c r="V1265" s="29"/>
    </row>
    <row r="1266" spans="3:22">
      <c r="C1266" s="125">
        <v>44588</v>
      </c>
      <c r="D1266" s="34">
        <v>140.80000000000001</v>
      </c>
      <c r="E1266" s="115">
        <v>144.24</v>
      </c>
      <c r="F1266" s="34">
        <v>139.35</v>
      </c>
      <c r="G1266" s="34">
        <v>139.63999999999999</v>
      </c>
      <c r="H1266" s="34">
        <v>139.63999999999999</v>
      </c>
      <c r="I1266" s="29">
        <v>77516000</v>
      </c>
      <c r="P1266" s="125"/>
      <c r="Q1266" s="34"/>
      <c r="R1266" s="115"/>
      <c r="S1266" s="34"/>
      <c r="T1266" s="34"/>
      <c r="U1266" s="34"/>
      <c r="V1266" s="29"/>
    </row>
    <row r="1267" spans="3:22">
      <c r="C1267" s="125">
        <v>44588</v>
      </c>
      <c r="D1267" s="34">
        <v>215.21000699999999</v>
      </c>
      <c r="E1267" s="115">
        <v>217.89999399999999</v>
      </c>
      <c r="F1267" s="34">
        <v>210.14999399999999</v>
      </c>
      <c r="G1267" s="34">
        <v>212.16999799999999</v>
      </c>
      <c r="H1267" s="34">
        <v>207.31433100000001</v>
      </c>
      <c r="I1267" s="29">
        <v>3678100</v>
      </c>
      <c r="P1267" s="125"/>
      <c r="Q1267" s="34"/>
      <c r="R1267" s="115"/>
      <c r="S1267" s="34"/>
      <c r="T1267" s="34"/>
      <c r="U1267" s="34"/>
      <c r="V1267" s="29"/>
    </row>
    <row r="1268" spans="3:22">
      <c r="C1268" s="125">
        <v>44587</v>
      </c>
      <c r="D1268" s="34">
        <v>144.75</v>
      </c>
      <c r="E1268" s="115">
        <v>145.18</v>
      </c>
      <c r="F1268" s="34">
        <v>137.32</v>
      </c>
      <c r="G1268" s="34">
        <v>138.87</v>
      </c>
      <c r="H1268" s="34">
        <v>138.87</v>
      </c>
      <c r="I1268" s="29">
        <v>95602000</v>
      </c>
      <c r="P1268" s="125"/>
      <c r="Q1268" s="34"/>
      <c r="R1268" s="115"/>
      <c r="S1268" s="34"/>
      <c r="T1268" s="34"/>
      <c r="U1268" s="34"/>
      <c r="V1268" s="29"/>
    </row>
    <row r="1269" spans="3:22">
      <c r="C1269" s="125">
        <v>44587</v>
      </c>
      <c r="D1269" s="34">
        <v>215</v>
      </c>
      <c r="E1269" s="115">
        <v>218.88000500000001</v>
      </c>
      <c r="F1269" s="34">
        <v>212.240005</v>
      </c>
      <c r="G1269" s="34">
        <v>214.28999300000001</v>
      </c>
      <c r="H1269" s="34">
        <v>209.38578799999999</v>
      </c>
      <c r="I1269" s="29">
        <v>3558500</v>
      </c>
      <c r="P1269" s="125"/>
      <c r="Q1269" s="34"/>
      <c r="R1269" s="115"/>
      <c r="S1269" s="34"/>
      <c r="T1269" s="34"/>
      <c r="U1269" s="34"/>
      <c r="V1269" s="29"/>
    </row>
    <row r="1270" spans="3:22">
      <c r="C1270" s="125">
        <v>44586</v>
      </c>
      <c r="D1270" s="34">
        <v>142.24</v>
      </c>
      <c r="E1270" s="115">
        <v>143.6</v>
      </c>
      <c r="F1270" s="34">
        <v>138.15</v>
      </c>
      <c r="G1270" s="34">
        <v>139.99</v>
      </c>
      <c r="H1270" s="34">
        <v>139.99</v>
      </c>
      <c r="I1270" s="29">
        <v>90824000</v>
      </c>
      <c r="P1270" s="125"/>
      <c r="Q1270" s="34"/>
      <c r="R1270" s="115"/>
      <c r="S1270" s="34"/>
      <c r="T1270" s="34"/>
      <c r="U1270" s="34"/>
      <c r="V1270" s="29"/>
    </row>
    <row r="1271" spans="3:22">
      <c r="C1271" s="125">
        <v>44586</v>
      </c>
      <c r="D1271" s="34">
        <v>212.08000200000001</v>
      </c>
      <c r="E1271" s="115">
        <v>216.83000200000001</v>
      </c>
      <c r="F1271" s="34">
        <v>207.10000600000001</v>
      </c>
      <c r="G1271" s="34">
        <v>214.30999800000001</v>
      </c>
      <c r="H1271" s="34">
        <v>209.40533400000001</v>
      </c>
      <c r="I1271" s="29">
        <v>4554300</v>
      </c>
      <c r="P1271" s="125"/>
      <c r="Q1271" s="34"/>
      <c r="R1271" s="115"/>
      <c r="S1271" s="34"/>
      <c r="T1271" s="34"/>
      <c r="U1271" s="34"/>
      <c r="V1271" s="29"/>
    </row>
    <row r="1272" spans="3:22">
      <c r="C1272" s="125">
        <v>44585</v>
      </c>
      <c r="D1272" s="34">
        <v>139</v>
      </c>
      <c r="E1272" s="115">
        <v>144.94999999999999</v>
      </c>
      <c r="F1272" s="34">
        <v>135.35</v>
      </c>
      <c r="G1272" s="34">
        <v>144.54</v>
      </c>
      <c r="H1272" s="34">
        <v>144.54</v>
      </c>
      <c r="I1272" s="29">
        <v>155624000</v>
      </c>
      <c r="P1272" s="125"/>
      <c r="Q1272" s="34"/>
      <c r="R1272" s="115"/>
      <c r="S1272" s="34"/>
      <c r="T1272" s="34"/>
      <c r="U1272" s="34"/>
      <c r="V1272" s="29"/>
    </row>
    <row r="1273" spans="3:22">
      <c r="C1273" s="125">
        <v>44585</v>
      </c>
      <c r="D1273" s="34">
        <v>211.16000399999999</v>
      </c>
      <c r="E1273" s="115">
        <v>214.970001</v>
      </c>
      <c r="F1273" s="34">
        <v>206.66000399999999</v>
      </c>
      <c r="G1273" s="34">
        <v>214.33000200000001</v>
      </c>
      <c r="H1273" s="34">
        <v>209.42489599999999</v>
      </c>
      <c r="I1273" s="29">
        <v>5107300</v>
      </c>
      <c r="P1273" s="125"/>
      <c r="Q1273" s="34"/>
      <c r="R1273" s="115"/>
      <c r="S1273" s="34"/>
      <c r="T1273" s="34"/>
      <c r="U1273" s="34"/>
      <c r="V1273" s="29"/>
    </row>
    <row r="1274" spans="3:22">
      <c r="C1274" s="125">
        <v>44582</v>
      </c>
      <c r="D1274" s="34">
        <v>149.94999999999999</v>
      </c>
      <c r="E1274" s="115">
        <v>150.9</v>
      </c>
      <c r="F1274" s="34">
        <v>142.07</v>
      </c>
      <c r="G1274" s="34">
        <v>142.63999999999999</v>
      </c>
      <c r="H1274" s="34">
        <v>142.63999999999999</v>
      </c>
      <c r="I1274" s="29">
        <v>163972000</v>
      </c>
      <c r="P1274" s="125"/>
      <c r="Q1274" s="34"/>
      <c r="R1274" s="115"/>
      <c r="S1274" s="34"/>
      <c r="T1274" s="34"/>
      <c r="U1274" s="34"/>
      <c r="V1274" s="29"/>
    </row>
    <row r="1275" spans="3:22">
      <c r="C1275" s="125">
        <v>44582</v>
      </c>
      <c r="D1275" s="34">
        <v>217.509995</v>
      </c>
      <c r="E1275" s="115">
        <v>217.509995</v>
      </c>
      <c r="F1275" s="34">
        <v>212.41999799999999</v>
      </c>
      <c r="G1275" s="34">
        <v>214.08999600000001</v>
      </c>
      <c r="H1275" s="34">
        <v>209.190369</v>
      </c>
      <c r="I1275" s="29">
        <v>3754700</v>
      </c>
      <c r="P1275" s="125"/>
      <c r="Q1275" s="34"/>
      <c r="R1275" s="115"/>
      <c r="S1275" s="34"/>
      <c r="T1275" s="34"/>
      <c r="U1275" s="34"/>
      <c r="V1275" s="29"/>
    </row>
    <row r="1276" spans="3:22">
      <c r="C1276" s="125">
        <v>44581</v>
      </c>
      <c r="D1276" s="34">
        <v>156.77000000000001</v>
      </c>
      <c r="E1276" s="115">
        <v>158</v>
      </c>
      <c r="F1276" s="34">
        <v>151.35</v>
      </c>
      <c r="G1276" s="34">
        <v>151.66999999999999</v>
      </c>
      <c r="H1276" s="34">
        <v>151.66999999999999</v>
      </c>
      <c r="I1276" s="29">
        <v>71974000</v>
      </c>
      <c r="P1276" s="125"/>
      <c r="Q1276" s="34"/>
      <c r="R1276" s="115"/>
      <c r="S1276" s="34"/>
      <c r="T1276" s="34"/>
      <c r="U1276" s="34"/>
      <c r="V1276" s="29"/>
    </row>
    <row r="1277" spans="3:22">
      <c r="C1277" s="125">
        <v>44581</v>
      </c>
      <c r="D1277" s="34">
        <v>221.08000200000001</v>
      </c>
      <c r="E1277" s="115">
        <v>221.86999499999999</v>
      </c>
      <c r="F1277" s="34">
        <v>216.03999300000001</v>
      </c>
      <c r="G1277" s="34">
        <v>216.63000500000001</v>
      </c>
      <c r="H1277" s="34">
        <v>211.672256</v>
      </c>
      <c r="I1277" s="29">
        <v>3545600</v>
      </c>
      <c r="P1277" s="125"/>
      <c r="Q1277" s="34"/>
      <c r="R1277" s="115"/>
      <c r="S1277" s="34"/>
      <c r="T1277" s="34"/>
      <c r="U1277" s="34"/>
      <c r="V1277" s="29"/>
    </row>
    <row r="1278" spans="3:22">
      <c r="C1278" s="125">
        <v>44580</v>
      </c>
      <c r="D1278" s="34">
        <v>158.76</v>
      </c>
      <c r="E1278" s="115">
        <v>159.25</v>
      </c>
      <c r="F1278" s="34">
        <v>156.25</v>
      </c>
      <c r="G1278" s="34">
        <v>156.30000000000001</v>
      </c>
      <c r="H1278" s="34">
        <v>156.30000000000001</v>
      </c>
      <c r="I1278" s="29">
        <v>53242000</v>
      </c>
      <c r="P1278" s="125"/>
      <c r="Q1278" s="34"/>
      <c r="R1278" s="115"/>
      <c r="S1278" s="34"/>
      <c r="T1278" s="34"/>
      <c r="U1278" s="34"/>
      <c r="V1278" s="29"/>
    </row>
    <row r="1279" spans="3:22">
      <c r="C1279" s="125">
        <v>44580</v>
      </c>
      <c r="D1279" s="34">
        <v>229.66000399999999</v>
      </c>
      <c r="E1279" s="115">
        <v>229.80999800000001</v>
      </c>
      <c r="F1279" s="34">
        <v>220.929993</v>
      </c>
      <c r="G1279" s="34">
        <v>221.66000399999999</v>
      </c>
      <c r="H1279" s="34">
        <v>216.587143</v>
      </c>
      <c r="I1279" s="29">
        <v>4991700</v>
      </c>
      <c r="P1279" s="125"/>
      <c r="Q1279" s="34"/>
      <c r="R1279" s="115"/>
      <c r="S1279" s="34"/>
      <c r="T1279" s="34"/>
      <c r="U1279" s="34"/>
      <c r="V1279" s="29"/>
    </row>
    <row r="1280" spans="3:22">
      <c r="C1280" s="125">
        <v>44579</v>
      </c>
      <c r="D1280" s="34">
        <v>159.1</v>
      </c>
      <c r="E1280" s="115">
        <v>159.72999999999999</v>
      </c>
      <c r="F1280" s="34">
        <v>157.66</v>
      </c>
      <c r="G1280" s="34">
        <v>158.91999999999999</v>
      </c>
      <c r="H1280" s="34">
        <v>158.91999999999999</v>
      </c>
      <c r="I1280" s="29">
        <v>67292000</v>
      </c>
      <c r="P1280" s="125"/>
      <c r="Q1280" s="34"/>
      <c r="R1280" s="115"/>
      <c r="S1280" s="34"/>
      <c r="T1280" s="34"/>
      <c r="U1280" s="34"/>
      <c r="V1280" s="29"/>
    </row>
    <row r="1281" spans="3:22">
      <c r="C1281" s="125">
        <v>44579</v>
      </c>
      <c r="D1281" s="34">
        <v>227.71000699999999</v>
      </c>
      <c r="E1281" s="115">
        <v>230.429993</v>
      </c>
      <c r="F1281" s="34">
        <v>226.86000100000001</v>
      </c>
      <c r="G1281" s="34">
        <v>229.86999499999999</v>
      </c>
      <c r="H1281" s="34">
        <v>223.52462800000001</v>
      </c>
      <c r="I1281" s="29">
        <v>5411900</v>
      </c>
      <c r="P1281" s="125"/>
      <c r="Q1281" s="34"/>
      <c r="R1281" s="115"/>
      <c r="S1281" s="34"/>
      <c r="T1281" s="34"/>
      <c r="U1281" s="34"/>
      <c r="V1281" s="29"/>
    </row>
    <row r="1282" spans="3:22">
      <c r="C1282" s="125">
        <v>44575</v>
      </c>
      <c r="D1282" s="34">
        <v>160.15</v>
      </c>
      <c r="E1282" s="115">
        <v>162.25</v>
      </c>
      <c r="F1282" s="34">
        <v>159.80000000000001</v>
      </c>
      <c r="G1282" s="34">
        <v>162.13999999999999</v>
      </c>
      <c r="H1282" s="34">
        <v>162.13999999999999</v>
      </c>
      <c r="I1282" s="29">
        <v>45974000</v>
      </c>
      <c r="P1282" s="125"/>
      <c r="Q1282" s="34"/>
      <c r="R1282" s="115"/>
      <c r="S1282" s="34"/>
      <c r="T1282" s="34"/>
      <c r="U1282" s="34"/>
      <c r="V1282" s="29"/>
    </row>
    <row r="1283" spans="3:22">
      <c r="C1283" s="125">
        <v>44575</v>
      </c>
      <c r="D1283" s="34">
        <v>224.720001</v>
      </c>
      <c r="E1283" s="115">
        <v>229.63999899999999</v>
      </c>
      <c r="F1283" s="34">
        <v>223.58000200000001</v>
      </c>
      <c r="G1283" s="34">
        <v>228.94000199999999</v>
      </c>
      <c r="H1283" s="34">
        <v>222.62033099999999</v>
      </c>
      <c r="I1283" s="29">
        <v>3970600</v>
      </c>
      <c r="P1283" s="125"/>
      <c r="Q1283" s="34"/>
      <c r="R1283" s="115"/>
      <c r="S1283" s="34"/>
      <c r="T1283" s="34"/>
      <c r="U1283" s="34"/>
      <c r="V1283" s="29"/>
    </row>
    <row r="1284" spans="3:22">
      <c r="C1284" s="125">
        <v>44574</v>
      </c>
      <c r="D1284" s="34">
        <v>165.25</v>
      </c>
      <c r="E1284" s="115">
        <v>166.22</v>
      </c>
      <c r="F1284" s="34">
        <v>161.09</v>
      </c>
      <c r="G1284" s="34">
        <v>161.21</v>
      </c>
      <c r="H1284" s="34">
        <v>161.21</v>
      </c>
      <c r="I1284" s="29">
        <v>52188000</v>
      </c>
      <c r="P1284" s="125"/>
      <c r="Q1284" s="34"/>
      <c r="R1284" s="115"/>
      <c r="S1284" s="34"/>
      <c r="T1284" s="34"/>
      <c r="U1284" s="34"/>
      <c r="V1284" s="29"/>
    </row>
    <row r="1285" spans="3:22">
      <c r="C1285" s="125">
        <v>44574</v>
      </c>
      <c r="D1285" s="34">
        <v>222.88999899999999</v>
      </c>
      <c r="E1285" s="115">
        <v>227.88000500000001</v>
      </c>
      <c r="F1285" s="34">
        <v>222.63999899999999</v>
      </c>
      <c r="G1285" s="34">
        <v>227</v>
      </c>
      <c r="H1285" s="34">
        <v>220.733856</v>
      </c>
      <c r="I1285" s="29">
        <v>5002300</v>
      </c>
      <c r="P1285" s="125"/>
      <c r="Q1285" s="34"/>
      <c r="R1285" s="115"/>
      <c r="S1285" s="34"/>
      <c r="T1285" s="34"/>
      <c r="U1285" s="34"/>
      <c r="V1285" s="29"/>
    </row>
    <row r="1286" spans="3:22">
      <c r="C1286" s="125">
        <v>44573</v>
      </c>
      <c r="D1286" s="34">
        <v>166.57</v>
      </c>
      <c r="E1286" s="115">
        <v>166.88</v>
      </c>
      <c r="F1286" s="34">
        <v>164.42</v>
      </c>
      <c r="G1286" s="34">
        <v>165.21</v>
      </c>
      <c r="H1286" s="34">
        <v>165.21</v>
      </c>
      <c r="I1286" s="29">
        <v>50030000</v>
      </c>
      <c r="P1286" s="125"/>
      <c r="Q1286" s="34"/>
      <c r="R1286" s="115"/>
      <c r="S1286" s="34"/>
      <c r="T1286" s="34"/>
      <c r="U1286" s="34"/>
      <c r="V1286" s="29"/>
    </row>
    <row r="1287" spans="3:22">
      <c r="C1287" s="125">
        <v>44573</v>
      </c>
      <c r="D1287" s="34">
        <v>222.11999499999999</v>
      </c>
      <c r="E1287" s="115">
        <v>223.69000199999999</v>
      </c>
      <c r="F1287" s="34">
        <v>220.070007</v>
      </c>
      <c r="G1287" s="34">
        <v>222.39999399999999</v>
      </c>
      <c r="H1287" s="34">
        <v>216.26084900000001</v>
      </c>
      <c r="I1287" s="29">
        <v>2506900</v>
      </c>
      <c r="P1287" s="125"/>
      <c r="Q1287" s="34"/>
      <c r="R1287" s="115"/>
      <c r="S1287" s="34"/>
      <c r="T1287" s="34"/>
      <c r="U1287" s="34"/>
      <c r="V1287" s="29"/>
    </row>
    <row r="1288" spans="3:22">
      <c r="C1288" s="125">
        <v>44572</v>
      </c>
      <c r="D1288" s="34">
        <v>161.5</v>
      </c>
      <c r="E1288" s="115">
        <v>166.35</v>
      </c>
      <c r="F1288" s="34">
        <v>160.69999999999999</v>
      </c>
      <c r="G1288" s="34">
        <v>165.36</v>
      </c>
      <c r="H1288" s="34">
        <v>165.36</v>
      </c>
      <c r="I1288" s="29">
        <v>62806000</v>
      </c>
      <c r="P1288" s="125"/>
      <c r="Q1288" s="34"/>
      <c r="R1288" s="115"/>
      <c r="S1288" s="34"/>
      <c r="T1288" s="34"/>
      <c r="U1288" s="34"/>
      <c r="V1288" s="29"/>
    </row>
    <row r="1289" spans="3:22">
      <c r="C1289" s="125">
        <v>44572</v>
      </c>
      <c r="D1289" s="34">
        <v>222</v>
      </c>
      <c r="E1289" s="115">
        <v>222.08999600000001</v>
      </c>
      <c r="F1289" s="34">
        <v>216.58999600000001</v>
      </c>
      <c r="G1289" s="34">
        <v>219.949997</v>
      </c>
      <c r="H1289" s="34">
        <v>213.878479</v>
      </c>
      <c r="I1289" s="29">
        <v>2944300</v>
      </c>
      <c r="P1289" s="125"/>
      <c r="Q1289" s="34"/>
      <c r="R1289" s="115"/>
      <c r="S1289" s="34"/>
      <c r="T1289" s="34"/>
      <c r="U1289" s="34"/>
      <c r="V1289" s="29"/>
    </row>
    <row r="1290" spans="3:22">
      <c r="C1290" s="125">
        <v>44571</v>
      </c>
      <c r="D1290" s="34">
        <v>160.59</v>
      </c>
      <c r="E1290" s="115">
        <v>161.66</v>
      </c>
      <c r="F1290" s="34">
        <v>156.30000000000001</v>
      </c>
      <c r="G1290" s="34">
        <v>161.49</v>
      </c>
      <c r="H1290" s="34">
        <v>161.49</v>
      </c>
      <c r="I1290" s="29">
        <v>87798000</v>
      </c>
      <c r="P1290" s="125"/>
      <c r="Q1290" s="34"/>
      <c r="R1290" s="115"/>
      <c r="S1290" s="34"/>
      <c r="T1290" s="34"/>
      <c r="U1290" s="34"/>
      <c r="V1290" s="29"/>
    </row>
    <row r="1291" spans="3:22">
      <c r="C1291" s="125">
        <v>44571</v>
      </c>
      <c r="D1291" s="34">
        <v>224.949997</v>
      </c>
      <c r="E1291" s="115">
        <v>225.75</v>
      </c>
      <c r="F1291" s="34">
        <v>220.61000100000001</v>
      </c>
      <c r="G1291" s="34">
        <v>221.63999899999999</v>
      </c>
      <c r="H1291" s="34">
        <v>215.52181999999999</v>
      </c>
      <c r="I1291" s="29">
        <v>3734900</v>
      </c>
      <c r="P1291" s="125"/>
      <c r="Q1291" s="34"/>
      <c r="R1291" s="115"/>
      <c r="S1291" s="34"/>
      <c r="T1291" s="34"/>
      <c r="U1291" s="34"/>
      <c r="V1291" s="29"/>
    </row>
    <row r="1292" spans="3:22">
      <c r="C1292" s="125">
        <v>44568</v>
      </c>
      <c r="D1292" s="34">
        <v>163.84</v>
      </c>
      <c r="E1292" s="115">
        <v>165.24</v>
      </c>
      <c r="F1292" s="34">
        <v>162.03</v>
      </c>
      <c r="G1292" s="34">
        <v>162.55000000000001</v>
      </c>
      <c r="H1292" s="34">
        <v>162.55000000000001</v>
      </c>
      <c r="I1292" s="29">
        <v>46606000</v>
      </c>
      <c r="P1292" s="125"/>
      <c r="Q1292" s="34"/>
      <c r="R1292" s="115"/>
      <c r="S1292" s="34"/>
      <c r="T1292" s="34"/>
      <c r="U1292" s="34"/>
      <c r="V1292" s="29"/>
    </row>
    <row r="1293" spans="3:22">
      <c r="C1293" s="125">
        <v>44568</v>
      </c>
      <c r="D1293" s="34">
        <v>222.5</v>
      </c>
      <c r="E1293" s="115">
        <v>225.970001</v>
      </c>
      <c r="F1293" s="34">
        <v>222.229996</v>
      </c>
      <c r="G1293" s="34">
        <v>224.19000199999999</v>
      </c>
      <c r="H1293" s="34">
        <v>218.00143399999999</v>
      </c>
      <c r="I1293" s="29">
        <v>3673400</v>
      </c>
      <c r="P1293" s="125"/>
      <c r="Q1293" s="34"/>
      <c r="R1293" s="115"/>
      <c r="S1293" s="34"/>
      <c r="T1293" s="34"/>
      <c r="U1293" s="34"/>
      <c r="V1293" s="29"/>
    </row>
    <row r="1294" spans="3:22">
      <c r="C1294" s="125">
        <v>44567</v>
      </c>
      <c r="D1294" s="34">
        <v>163.44999999999999</v>
      </c>
      <c r="E1294" s="115">
        <v>164.8</v>
      </c>
      <c r="F1294" s="34">
        <v>161.94</v>
      </c>
      <c r="G1294" s="34">
        <v>163.25</v>
      </c>
      <c r="H1294" s="34">
        <v>163.25</v>
      </c>
      <c r="I1294" s="29">
        <v>51958000</v>
      </c>
      <c r="P1294" s="125"/>
      <c r="Q1294" s="34"/>
      <c r="R1294" s="115"/>
      <c r="S1294" s="34"/>
      <c r="T1294" s="34"/>
      <c r="U1294" s="34"/>
      <c r="V1294" s="29"/>
    </row>
    <row r="1295" spans="3:22">
      <c r="C1295" s="125">
        <v>44567</v>
      </c>
      <c r="D1295" s="34">
        <v>221.490005</v>
      </c>
      <c r="E1295" s="115">
        <v>222.71000699999999</v>
      </c>
      <c r="F1295" s="34">
        <v>218.05999800000001</v>
      </c>
      <c r="G1295" s="34">
        <v>221.990005</v>
      </c>
      <c r="H1295" s="34">
        <v>215.86218299999999</v>
      </c>
      <c r="I1295" s="29">
        <v>3913200</v>
      </c>
      <c r="P1295" s="125"/>
      <c r="Q1295" s="34"/>
      <c r="R1295" s="115"/>
      <c r="S1295" s="34"/>
      <c r="T1295" s="34"/>
      <c r="U1295" s="34"/>
      <c r="V1295" s="29"/>
    </row>
    <row r="1296" spans="3:22">
      <c r="C1296" s="125">
        <v>44566</v>
      </c>
      <c r="D1296" s="34">
        <v>166.88</v>
      </c>
      <c r="E1296" s="115">
        <v>167.13</v>
      </c>
      <c r="F1296" s="34">
        <v>164.36</v>
      </c>
      <c r="G1296" s="34">
        <v>164.36</v>
      </c>
      <c r="H1296" s="34">
        <v>164.36</v>
      </c>
      <c r="I1296" s="29">
        <v>64302000</v>
      </c>
      <c r="P1296" s="125"/>
      <c r="Q1296" s="34"/>
      <c r="R1296" s="115"/>
      <c r="S1296" s="34"/>
      <c r="T1296" s="34"/>
      <c r="U1296" s="34"/>
      <c r="V1296" s="29"/>
    </row>
    <row r="1297" spans="3:22">
      <c r="C1297" s="125">
        <v>44566</v>
      </c>
      <c r="D1297" s="34">
        <v>218.179993</v>
      </c>
      <c r="E1297" s="115">
        <v>223.36000100000001</v>
      </c>
      <c r="F1297" s="34">
        <v>218.179993</v>
      </c>
      <c r="G1297" s="34">
        <v>219.75</v>
      </c>
      <c r="H1297" s="34">
        <v>213.68400600000001</v>
      </c>
      <c r="I1297" s="29">
        <v>5378200</v>
      </c>
      <c r="P1297" s="125"/>
      <c r="Q1297" s="34"/>
      <c r="R1297" s="115"/>
      <c r="S1297" s="34"/>
      <c r="T1297" s="34"/>
      <c r="U1297" s="34"/>
      <c r="V1297" s="29"/>
    </row>
    <row r="1298" spans="3:22">
      <c r="C1298" s="125">
        <v>44565</v>
      </c>
      <c r="D1298" s="34">
        <v>170.44</v>
      </c>
      <c r="E1298" s="115">
        <v>171.4</v>
      </c>
      <c r="F1298" s="34">
        <v>166.35</v>
      </c>
      <c r="G1298" s="34">
        <v>167.52</v>
      </c>
      <c r="H1298" s="34">
        <v>167.52</v>
      </c>
      <c r="I1298" s="29">
        <v>70726000</v>
      </c>
      <c r="P1298" s="125"/>
      <c r="Q1298" s="34"/>
      <c r="R1298" s="115"/>
      <c r="S1298" s="34"/>
      <c r="T1298" s="34"/>
      <c r="U1298" s="34"/>
      <c r="V1298" s="29"/>
    </row>
    <row r="1299" spans="3:22">
      <c r="C1299" s="125">
        <v>44565</v>
      </c>
      <c r="D1299" s="34">
        <v>208.279999</v>
      </c>
      <c r="E1299" s="115">
        <v>218.91999799999999</v>
      </c>
      <c r="F1299" s="34">
        <v>207.94000199999999</v>
      </c>
      <c r="G1299" s="34">
        <v>218.08000200000001</v>
      </c>
      <c r="H1299" s="34">
        <v>212.060104</v>
      </c>
      <c r="I1299" s="29">
        <v>5242300</v>
      </c>
      <c r="P1299" s="125"/>
      <c r="Q1299" s="34"/>
      <c r="R1299" s="115"/>
      <c r="S1299" s="34"/>
      <c r="T1299" s="34"/>
      <c r="U1299" s="34"/>
      <c r="V1299" s="29"/>
    </row>
    <row r="1300" spans="3:22">
      <c r="C1300" s="125">
        <v>44564</v>
      </c>
      <c r="D1300" s="34">
        <v>167.55</v>
      </c>
      <c r="E1300" s="115">
        <v>170.7</v>
      </c>
      <c r="F1300" s="34">
        <v>166.16</v>
      </c>
      <c r="G1300" s="34">
        <v>170.4</v>
      </c>
      <c r="H1300" s="34">
        <v>170.4</v>
      </c>
      <c r="I1300" s="29">
        <v>63520000</v>
      </c>
      <c r="P1300" s="125"/>
      <c r="Q1300" s="34"/>
      <c r="R1300" s="115"/>
      <c r="S1300" s="34"/>
      <c r="T1300" s="34"/>
      <c r="U1300" s="34"/>
      <c r="V1300" s="29"/>
    </row>
    <row r="1301" spans="3:22">
      <c r="C1301" s="125">
        <v>44564</v>
      </c>
      <c r="D1301" s="34">
        <v>207.33000200000001</v>
      </c>
      <c r="E1301" s="115">
        <v>208.60000600000001</v>
      </c>
      <c r="F1301" s="34">
        <v>205.800003</v>
      </c>
      <c r="G1301" s="34">
        <v>207</v>
      </c>
      <c r="H1301" s="34">
        <v>201.28595000000001</v>
      </c>
      <c r="I1301" s="29">
        <v>2055600</v>
      </c>
      <c r="P1301" s="125"/>
      <c r="Q1301" s="34"/>
      <c r="R1301" s="115"/>
      <c r="S1301" s="34"/>
      <c r="T1301" s="34"/>
      <c r="U1301" s="34"/>
      <c r="V1301" s="29"/>
    </row>
    <row r="1302" spans="3:22">
      <c r="C1302" s="125">
        <v>44561</v>
      </c>
      <c r="D1302" s="34">
        <v>168.96</v>
      </c>
      <c r="E1302" s="115">
        <v>169.35</v>
      </c>
      <c r="F1302" s="34">
        <v>166.56</v>
      </c>
      <c r="G1302" s="34">
        <v>166.72</v>
      </c>
      <c r="H1302" s="34">
        <v>166.72</v>
      </c>
      <c r="I1302" s="29">
        <v>47830000</v>
      </c>
      <c r="P1302" s="125"/>
      <c r="Q1302" s="34"/>
      <c r="R1302" s="115"/>
      <c r="S1302" s="34"/>
      <c r="T1302" s="34"/>
      <c r="U1302" s="34"/>
      <c r="V1302" s="29"/>
    </row>
    <row r="1303" spans="3:22">
      <c r="C1303" s="125">
        <v>44561</v>
      </c>
      <c r="D1303" s="34">
        <v>206.199997</v>
      </c>
      <c r="E1303" s="115">
        <v>207.740005</v>
      </c>
      <c r="F1303" s="34">
        <v>205.66999799999999</v>
      </c>
      <c r="G1303" s="34">
        <v>206.740005</v>
      </c>
      <c r="H1303" s="34">
        <v>201.033142</v>
      </c>
      <c r="I1303" s="29">
        <v>1374500</v>
      </c>
      <c r="P1303" s="125"/>
      <c r="Q1303" s="34"/>
      <c r="R1303" s="115"/>
      <c r="S1303" s="34"/>
      <c r="T1303" s="34"/>
      <c r="U1303" s="34"/>
      <c r="V1303" s="29"/>
    </row>
    <row r="1304" spans="3:22">
      <c r="C1304" s="125">
        <v>44560</v>
      </c>
      <c r="D1304" s="34">
        <v>169.7</v>
      </c>
      <c r="E1304" s="115">
        <v>170.89</v>
      </c>
      <c r="F1304" s="34">
        <v>168.52</v>
      </c>
      <c r="G1304" s="34">
        <v>168.64</v>
      </c>
      <c r="H1304" s="34">
        <v>168.64</v>
      </c>
      <c r="I1304" s="29">
        <v>37584000</v>
      </c>
      <c r="P1304" s="125"/>
      <c r="Q1304" s="34"/>
      <c r="R1304" s="115"/>
      <c r="S1304" s="34"/>
      <c r="T1304" s="34"/>
      <c r="U1304" s="34"/>
      <c r="V1304" s="29"/>
    </row>
    <row r="1305" spans="3:22">
      <c r="C1305" s="125">
        <v>44560</v>
      </c>
      <c r="D1305" s="34">
        <v>207.33000200000001</v>
      </c>
      <c r="E1305" s="115">
        <v>208.91000399999999</v>
      </c>
      <c r="F1305" s="34">
        <v>205.929993</v>
      </c>
      <c r="G1305" s="34">
        <v>206.08000200000001</v>
      </c>
      <c r="H1305" s="34">
        <v>200.39134200000001</v>
      </c>
      <c r="I1305" s="29">
        <v>1465900</v>
      </c>
      <c r="P1305" s="125"/>
      <c r="Q1305" s="34"/>
      <c r="R1305" s="115"/>
      <c r="S1305" s="34"/>
      <c r="T1305" s="34"/>
      <c r="U1305" s="34"/>
      <c r="V1305" s="29"/>
    </row>
    <row r="1306" spans="3:22">
      <c r="C1306" s="125">
        <v>44559</v>
      </c>
      <c r="D1306" s="34">
        <v>170.84</v>
      </c>
      <c r="E1306" s="115">
        <v>171.21</v>
      </c>
      <c r="F1306" s="34">
        <v>168.6</v>
      </c>
      <c r="G1306" s="34">
        <v>169.2</v>
      </c>
      <c r="H1306" s="34">
        <v>169.2</v>
      </c>
      <c r="I1306" s="29">
        <v>35754000</v>
      </c>
      <c r="P1306" s="125"/>
      <c r="Q1306" s="34"/>
      <c r="R1306" s="115"/>
      <c r="S1306" s="34"/>
      <c r="T1306" s="34"/>
      <c r="U1306" s="34"/>
      <c r="V1306" s="29"/>
    </row>
    <row r="1307" spans="3:22">
      <c r="C1307" s="125">
        <v>44559</v>
      </c>
      <c r="D1307" s="34">
        <v>206.270004</v>
      </c>
      <c r="E1307" s="115">
        <v>208.550003</v>
      </c>
      <c r="F1307" s="34">
        <v>206.08000200000001</v>
      </c>
      <c r="G1307" s="34">
        <v>207.33000200000001</v>
      </c>
      <c r="H1307" s="34">
        <v>201.606842</v>
      </c>
      <c r="I1307" s="29">
        <v>1334900</v>
      </c>
      <c r="P1307" s="125"/>
      <c r="Q1307" s="34"/>
      <c r="R1307" s="115"/>
      <c r="S1307" s="34"/>
      <c r="T1307" s="34"/>
      <c r="U1307" s="34"/>
      <c r="V1307" s="29"/>
    </row>
    <row r="1308" spans="3:22">
      <c r="C1308" s="125">
        <v>44558</v>
      </c>
      <c r="D1308" s="34">
        <v>170.18</v>
      </c>
      <c r="E1308" s="115">
        <v>172.18</v>
      </c>
      <c r="F1308" s="34">
        <v>169.14</v>
      </c>
      <c r="G1308" s="34">
        <v>170.66</v>
      </c>
      <c r="H1308" s="34">
        <v>170.66</v>
      </c>
      <c r="I1308" s="29">
        <v>54638000</v>
      </c>
      <c r="P1308" s="125"/>
      <c r="Q1308" s="34"/>
      <c r="R1308" s="115"/>
      <c r="S1308" s="34"/>
      <c r="T1308" s="34"/>
      <c r="U1308" s="34"/>
      <c r="V1308" s="29"/>
    </row>
    <row r="1309" spans="3:22">
      <c r="C1309" s="125">
        <v>44558</v>
      </c>
      <c r="D1309" s="34">
        <v>206.179993</v>
      </c>
      <c r="E1309" s="115">
        <v>208.259995</v>
      </c>
      <c r="F1309" s="34">
        <v>206.13999899999999</v>
      </c>
      <c r="G1309" s="34">
        <v>206.61999499999999</v>
      </c>
      <c r="H1309" s="34">
        <v>200.916428</v>
      </c>
      <c r="I1309" s="29">
        <v>1393000</v>
      </c>
      <c r="P1309" s="125"/>
      <c r="Q1309" s="34"/>
      <c r="R1309" s="115"/>
      <c r="S1309" s="34"/>
      <c r="T1309" s="34"/>
      <c r="U1309" s="34"/>
      <c r="V1309" s="29"/>
    </row>
    <row r="1310" spans="3:22">
      <c r="C1310" s="125">
        <v>44557</v>
      </c>
      <c r="D1310" s="34">
        <v>171.04</v>
      </c>
      <c r="E1310" s="115">
        <v>172.94</v>
      </c>
      <c r="F1310" s="34">
        <v>169.22</v>
      </c>
      <c r="G1310" s="34">
        <v>169.67</v>
      </c>
      <c r="H1310" s="34">
        <v>169.67</v>
      </c>
      <c r="I1310" s="29">
        <v>58688000</v>
      </c>
      <c r="P1310" s="125"/>
      <c r="Q1310" s="34"/>
      <c r="R1310" s="115"/>
      <c r="S1310" s="34"/>
      <c r="T1310" s="34"/>
      <c r="U1310" s="34"/>
      <c r="V1310" s="29"/>
    </row>
    <row r="1311" spans="3:22">
      <c r="C1311" s="125">
        <v>44557</v>
      </c>
      <c r="D1311" s="34">
        <v>205.94000199999999</v>
      </c>
      <c r="E1311" s="115">
        <v>206.89999399999999</v>
      </c>
      <c r="F1311" s="34">
        <v>205.13999899999999</v>
      </c>
      <c r="G1311" s="34">
        <v>206.38000500000001</v>
      </c>
      <c r="H1311" s="34">
        <v>200.683075</v>
      </c>
      <c r="I1311" s="29">
        <v>1711200</v>
      </c>
      <c r="P1311" s="125"/>
      <c r="Q1311" s="34"/>
      <c r="R1311" s="115"/>
      <c r="S1311" s="34"/>
      <c r="T1311" s="34"/>
      <c r="U1311" s="34"/>
      <c r="V1311" s="29"/>
    </row>
    <row r="1312" spans="3:22">
      <c r="C1312" s="125">
        <v>44553</v>
      </c>
      <c r="D1312" s="34">
        <v>170.43</v>
      </c>
      <c r="E1312" s="115">
        <v>171.98</v>
      </c>
      <c r="F1312" s="34">
        <v>170.15</v>
      </c>
      <c r="G1312" s="34">
        <v>171.07</v>
      </c>
      <c r="H1312" s="34">
        <v>171.07</v>
      </c>
      <c r="I1312" s="29">
        <v>36788000</v>
      </c>
      <c r="P1312" s="125"/>
      <c r="Q1312" s="34"/>
      <c r="R1312" s="115"/>
      <c r="S1312" s="34"/>
      <c r="T1312" s="34"/>
      <c r="U1312" s="34"/>
      <c r="V1312" s="29"/>
    </row>
    <row r="1313" spans="3:22">
      <c r="C1313" s="125">
        <v>44553</v>
      </c>
      <c r="D1313" s="34">
        <v>203.41999799999999</v>
      </c>
      <c r="E1313" s="115">
        <v>207.300003</v>
      </c>
      <c r="F1313" s="34">
        <v>203.28999300000001</v>
      </c>
      <c r="G1313" s="34">
        <v>206.199997</v>
      </c>
      <c r="H1313" s="34">
        <v>200.508026</v>
      </c>
      <c r="I1313" s="29">
        <v>2669600</v>
      </c>
      <c r="P1313" s="125"/>
      <c r="Q1313" s="34"/>
      <c r="R1313" s="115"/>
      <c r="S1313" s="34"/>
      <c r="T1313" s="34"/>
      <c r="U1313" s="34"/>
      <c r="V1313" s="29"/>
    </row>
    <row r="1314" spans="3:22">
      <c r="C1314" s="125">
        <v>44552</v>
      </c>
      <c r="D1314" s="34">
        <v>169.27</v>
      </c>
      <c r="E1314" s="115">
        <v>172.05</v>
      </c>
      <c r="F1314" s="34">
        <v>168.5</v>
      </c>
      <c r="G1314" s="34">
        <v>171.04</v>
      </c>
      <c r="H1314" s="34">
        <v>171.04</v>
      </c>
      <c r="I1314" s="29">
        <v>55036000</v>
      </c>
      <c r="P1314" s="125"/>
      <c r="Q1314" s="34"/>
      <c r="R1314" s="115"/>
      <c r="S1314" s="34"/>
      <c r="T1314" s="34"/>
      <c r="U1314" s="34"/>
      <c r="V1314" s="29"/>
    </row>
    <row r="1315" spans="3:22">
      <c r="C1315" s="125">
        <v>44552</v>
      </c>
      <c r="D1315" s="34">
        <v>200.979996</v>
      </c>
      <c r="E1315" s="115">
        <v>203.39999399999999</v>
      </c>
      <c r="F1315" s="34">
        <v>200.83000200000001</v>
      </c>
      <c r="G1315" s="34">
        <v>202.14999399999999</v>
      </c>
      <c r="H1315" s="34">
        <v>196.56982400000001</v>
      </c>
      <c r="I1315" s="29">
        <v>3558700</v>
      </c>
      <c r="P1315" s="125"/>
      <c r="Q1315" s="34"/>
      <c r="R1315" s="115"/>
      <c r="S1315" s="34"/>
      <c r="T1315" s="34"/>
      <c r="U1315" s="34"/>
      <c r="V1315" s="29"/>
    </row>
    <row r="1316" spans="3:22">
      <c r="C1316" s="125">
        <v>44551</v>
      </c>
      <c r="D1316" s="34">
        <v>167.85</v>
      </c>
      <c r="E1316" s="115">
        <v>170.72</v>
      </c>
      <c r="F1316" s="34">
        <v>165.65</v>
      </c>
      <c r="G1316" s="34">
        <v>170.42</v>
      </c>
      <c r="H1316" s="34">
        <v>170.42</v>
      </c>
      <c r="I1316" s="29">
        <v>55956000</v>
      </c>
      <c r="P1316" s="125"/>
      <c r="Q1316" s="34"/>
      <c r="R1316" s="115"/>
      <c r="S1316" s="34"/>
      <c r="T1316" s="34"/>
      <c r="U1316" s="34"/>
      <c r="V1316" s="29"/>
    </row>
    <row r="1317" spans="3:22">
      <c r="C1317" s="125">
        <v>44551</v>
      </c>
      <c r="D1317" s="34">
        <v>197</v>
      </c>
      <c r="E1317" s="115">
        <v>199.020004</v>
      </c>
      <c r="F1317" s="34">
        <v>196.740005</v>
      </c>
      <c r="G1317" s="34">
        <v>198.30999800000001</v>
      </c>
      <c r="H1317" s="34">
        <v>192.83583100000001</v>
      </c>
      <c r="I1317" s="29">
        <v>2303400</v>
      </c>
      <c r="P1317" s="125"/>
      <c r="Q1317" s="34"/>
      <c r="R1317" s="115"/>
      <c r="S1317" s="34"/>
      <c r="T1317" s="34"/>
      <c r="U1317" s="34"/>
      <c r="V1317" s="29"/>
    </row>
    <row r="1318" spans="3:22">
      <c r="C1318" s="125">
        <v>44550</v>
      </c>
      <c r="D1318" s="34">
        <v>166.85</v>
      </c>
      <c r="E1318" s="115">
        <v>167.87</v>
      </c>
      <c r="F1318" s="34">
        <v>165.6</v>
      </c>
      <c r="G1318" s="34">
        <v>167.08</v>
      </c>
      <c r="H1318" s="34">
        <v>167.08</v>
      </c>
      <c r="I1318" s="29">
        <v>57372000</v>
      </c>
      <c r="P1318" s="125"/>
      <c r="Q1318" s="34"/>
      <c r="R1318" s="115"/>
      <c r="S1318" s="34"/>
      <c r="T1318" s="34"/>
      <c r="U1318" s="34"/>
      <c r="V1318" s="29"/>
    </row>
    <row r="1319" spans="3:22">
      <c r="C1319" s="125">
        <v>44550</v>
      </c>
      <c r="D1319" s="34">
        <v>197.550003</v>
      </c>
      <c r="E1319" s="115">
        <v>197.550003</v>
      </c>
      <c r="F1319" s="34">
        <v>193.05999800000001</v>
      </c>
      <c r="G1319" s="34">
        <v>195.46000699999999</v>
      </c>
      <c r="H1319" s="34">
        <v>190.064514</v>
      </c>
      <c r="I1319" s="29">
        <v>3605100</v>
      </c>
      <c r="P1319" s="125"/>
      <c r="Q1319" s="34"/>
      <c r="R1319" s="115"/>
      <c r="S1319" s="34"/>
      <c r="T1319" s="34"/>
      <c r="U1319" s="34"/>
      <c r="V1319" s="29"/>
    </row>
    <row r="1320" spans="3:22">
      <c r="C1320" s="125">
        <v>44547</v>
      </c>
      <c r="D1320" s="34">
        <v>167.71</v>
      </c>
      <c r="E1320" s="115">
        <v>170.9</v>
      </c>
      <c r="F1320" s="34">
        <v>165.61</v>
      </c>
      <c r="G1320" s="34">
        <v>170.02</v>
      </c>
      <c r="H1320" s="34">
        <v>170.02</v>
      </c>
      <c r="I1320" s="29">
        <v>85542000</v>
      </c>
      <c r="P1320" s="125"/>
      <c r="Q1320" s="34"/>
      <c r="R1320" s="115"/>
      <c r="S1320" s="34"/>
      <c r="T1320" s="34"/>
      <c r="U1320" s="34"/>
      <c r="V1320" s="29"/>
    </row>
    <row r="1321" spans="3:22">
      <c r="C1321" s="125">
        <v>44547</v>
      </c>
      <c r="D1321" s="34">
        <v>204.949997</v>
      </c>
      <c r="E1321" s="115">
        <v>205.25</v>
      </c>
      <c r="F1321" s="34">
        <v>201.229996</v>
      </c>
      <c r="G1321" s="34">
        <v>201.36999499999999</v>
      </c>
      <c r="H1321" s="34">
        <v>195.81137100000001</v>
      </c>
      <c r="I1321" s="29">
        <v>6079600</v>
      </c>
      <c r="P1321" s="125"/>
      <c r="Q1321" s="34"/>
      <c r="R1321" s="115"/>
      <c r="S1321" s="34"/>
      <c r="T1321" s="34"/>
      <c r="U1321" s="34"/>
      <c r="V1321" s="29"/>
    </row>
    <row r="1322" spans="3:22">
      <c r="C1322" s="125">
        <v>44546</v>
      </c>
      <c r="D1322" s="34">
        <v>173.37</v>
      </c>
      <c r="E1322" s="115">
        <v>174.17</v>
      </c>
      <c r="F1322" s="34">
        <v>168.16</v>
      </c>
      <c r="G1322" s="34">
        <v>168.87</v>
      </c>
      <c r="H1322" s="34">
        <v>168.87</v>
      </c>
      <c r="I1322" s="29">
        <v>60876000</v>
      </c>
      <c r="P1322" s="125"/>
      <c r="Q1322" s="34"/>
      <c r="R1322" s="115"/>
      <c r="S1322" s="34"/>
      <c r="T1322" s="34"/>
      <c r="U1322" s="34"/>
      <c r="V1322" s="29"/>
    </row>
    <row r="1323" spans="3:22">
      <c r="C1323" s="125">
        <v>44546</v>
      </c>
      <c r="D1323" s="34">
        <v>205</v>
      </c>
      <c r="E1323" s="115">
        <v>208.229996</v>
      </c>
      <c r="F1323" s="34">
        <v>204.64999399999999</v>
      </c>
      <c r="G1323" s="34">
        <v>206.16999799999999</v>
      </c>
      <c r="H1323" s="34">
        <v>200.47886700000001</v>
      </c>
      <c r="I1323" s="29">
        <v>2856800</v>
      </c>
      <c r="P1323" s="125"/>
      <c r="Q1323" s="34"/>
      <c r="R1323" s="115"/>
      <c r="S1323" s="34"/>
      <c r="T1323" s="34"/>
      <c r="U1323" s="34"/>
      <c r="V1323" s="29"/>
    </row>
    <row r="1324" spans="3:22">
      <c r="C1324" s="125">
        <v>44545</v>
      </c>
      <c r="D1324" s="34">
        <v>168.6</v>
      </c>
      <c r="E1324" s="115">
        <v>173.6</v>
      </c>
      <c r="F1324" s="34">
        <v>165.2</v>
      </c>
      <c r="G1324" s="34">
        <v>173.32</v>
      </c>
      <c r="H1324" s="34">
        <v>173.32</v>
      </c>
      <c r="I1324" s="29">
        <v>75794000</v>
      </c>
      <c r="P1324" s="125"/>
      <c r="Q1324" s="34"/>
      <c r="R1324" s="115"/>
      <c r="S1324" s="34"/>
      <c r="T1324" s="34"/>
      <c r="U1324" s="34"/>
      <c r="V1324" s="29"/>
    </row>
    <row r="1325" spans="3:22">
      <c r="C1325" s="125">
        <v>44545</v>
      </c>
      <c r="D1325" s="34">
        <v>201</v>
      </c>
      <c r="E1325" s="115">
        <v>202.60000600000001</v>
      </c>
      <c r="F1325" s="34">
        <v>198.63999899999999</v>
      </c>
      <c r="G1325" s="34">
        <v>202.550003</v>
      </c>
      <c r="H1325" s="34">
        <v>196.958786</v>
      </c>
      <c r="I1325" s="29">
        <v>2193700</v>
      </c>
      <c r="P1325" s="125"/>
      <c r="Q1325" s="34"/>
      <c r="R1325" s="115"/>
      <c r="S1325" s="34"/>
      <c r="T1325" s="34"/>
      <c r="U1325" s="34"/>
      <c r="V1325" s="29"/>
    </row>
    <row r="1326" spans="3:22">
      <c r="C1326" s="125">
        <v>44544</v>
      </c>
      <c r="D1326" s="34">
        <v>167.55</v>
      </c>
      <c r="E1326" s="115">
        <v>169.5</v>
      </c>
      <c r="F1326" s="34">
        <v>166.44</v>
      </c>
      <c r="G1326" s="34">
        <v>169.09</v>
      </c>
      <c r="H1326" s="34">
        <v>169.09</v>
      </c>
      <c r="I1326" s="29">
        <v>55976000</v>
      </c>
      <c r="P1326" s="125"/>
      <c r="Q1326" s="34"/>
      <c r="R1326" s="115"/>
      <c r="S1326" s="34"/>
      <c r="T1326" s="34"/>
      <c r="U1326" s="34"/>
      <c r="V1326" s="29"/>
    </row>
    <row r="1327" spans="3:22">
      <c r="C1327" s="125">
        <v>44544</v>
      </c>
      <c r="D1327" s="34">
        <v>200</v>
      </c>
      <c r="E1327" s="115">
        <v>203.979996</v>
      </c>
      <c r="F1327" s="34">
        <v>199.800003</v>
      </c>
      <c r="G1327" s="34">
        <v>201.63999899999999</v>
      </c>
      <c r="H1327" s="34">
        <v>196.07389800000001</v>
      </c>
      <c r="I1327" s="29">
        <v>2248800</v>
      </c>
      <c r="P1327" s="125"/>
      <c r="Q1327" s="34"/>
      <c r="R1327" s="115"/>
      <c r="S1327" s="34"/>
      <c r="T1327" s="34"/>
      <c r="U1327" s="34"/>
      <c r="V1327" s="29"/>
    </row>
    <row r="1328" spans="3:22">
      <c r="C1328" s="125">
        <v>44543</v>
      </c>
      <c r="D1328" s="34">
        <v>172</v>
      </c>
      <c r="E1328" s="115">
        <v>172.1</v>
      </c>
      <c r="F1328" s="34">
        <v>169.13</v>
      </c>
      <c r="G1328" s="34">
        <v>169.57</v>
      </c>
      <c r="H1328" s="34">
        <v>169.57</v>
      </c>
      <c r="I1328" s="29">
        <v>62170000</v>
      </c>
      <c r="P1328" s="125"/>
      <c r="Q1328" s="34"/>
      <c r="R1328" s="115"/>
      <c r="S1328" s="34"/>
      <c r="T1328" s="34"/>
      <c r="U1328" s="34"/>
      <c r="V1328" s="29"/>
    </row>
    <row r="1329" spans="3:22">
      <c r="C1329" s="125">
        <v>44543</v>
      </c>
      <c r="D1329" s="34">
        <v>203.820007</v>
      </c>
      <c r="E1329" s="115">
        <v>204.25</v>
      </c>
      <c r="F1329" s="34">
        <v>200.449997</v>
      </c>
      <c r="G1329" s="34">
        <v>201.25</v>
      </c>
      <c r="H1329" s="34">
        <v>195.694672</v>
      </c>
      <c r="I1329" s="29">
        <v>1868500</v>
      </c>
      <c r="P1329" s="125"/>
      <c r="Q1329" s="34"/>
      <c r="R1329" s="115"/>
      <c r="S1329" s="34"/>
      <c r="T1329" s="34"/>
      <c r="U1329" s="34"/>
      <c r="V1329" s="29"/>
    </row>
    <row r="1330" spans="3:22">
      <c r="C1330" s="125">
        <v>44540</v>
      </c>
      <c r="D1330" s="34">
        <v>175.42</v>
      </c>
      <c r="E1330" s="115">
        <v>175.93</v>
      </c>
      <c r="F1330" s="34">
        <v>170.5</v>
      </c>
      <c r="G1330" s="34">
        <v>172.21</v>
      </c>
      <c r="H1330" s="34">
        <v>172.21</v>
      </c>
      <c r="I1330" s="29">
        <v>60690000</v>
      </c>
      <c r="P1330" s="125"/>
      <c r="Q1330" s="34"/>
      <c r="R1330" s="115"/>
      <c r="S1330" s="34"/>
      <c r="T1330" s="34"/>
      <c r="U1330" s="34"/>
      <c r="V1330" s="29"/>
    </row>
    <row r="1331" spans="3:22">
      <c r="C1331" s="125">
        <v>44540</v>
      </c>
      <c r="D1331" s="34">
        <v>205.39999399999999</v>
      </c>
      <c r="E1331" s="115">
        <v>205.89999399999999</v>
      </c>
      <c r="F1331" s="34">
        <v>202.11000100000001</v>
      </c>
      <c r="G1331" s="34">
        <v>203.46000699999999</v>
      </c>
      <c r="H1331" s="34">
        <v>197.84367399999999</v>
      </c>
      <c r="I1331" s="29">
        <v>3315200</v>
      </c>
      <c r="P1331" s="125"/>
      <c r="Q1331" s="34"/>
      <c r="R1331" s="115"/>
      <c r="S1331" s="34"/>
      <c r="T1331" s="34"/>
      <c r="U1331" s="34"/>
      <c r="V1331" s="29"/>
    </row>
    <row r="1332" spans="3:22">
      <c r="C1332" s="125">
        <v>44539</v>
      </c>
      <c r="D1332" s="34">
        <v>175.75</v>
      </c>
      <c r="E1332" s="115">
        <v>176.97</v>
      </c>
      <c r="F1332" s="34">
        <v>174.14</v>
      </c>
      <c r="G1332" s="34">
        <v>174.17</v>
      </c>
      <c r="H1332" s="34">
        <v>174.17</v>
      </c>
      <c r="I1332" s="29">
        <v>46062000</v>
      </c>
      <c r="P1332" s="125"/>
      <c r="Q1332" s="34"/>
      <c r="R1332" s="115"/>
      <c r="S1332" s="34"/>
      <c r="T1332" s="34"/>
      <c r="U1332" s="34"/>
      <c r="V1332" s="29"/>
    </row>
    <row r="1333" spans="3:22">
      <c r="C1333" s="125">
        <v>44539</v>
      </c>
      <c r="D1333" s="34">
        <v>203.10000600000001</v>
      </c>
      <c r="E1333" s="115">
        <v>204.970001</v>
      </c>
      <c r="F1333" s="34">
        <v>200.88000500000001</v>
      </c>
      <c r="G1333" s="34">
        <v>204.13000500000001</v>
      </c>
      <c r="H1333" s="34">
        <v>198.495193</v>
      </c>
      <c r="I1333" s="29">
        <v>1646600</v>
      </c>
      <c r="P1333" s="125"/>
      <c r="Q1333" s="34"/>
      <c r="R1333" s="115"/>
      <c r="S1333" s="34"/>
      <c r="T1333" s="34"/>
      <c r="U1333" s="34"/>
      <c r="V1333" s="29"/>
    </row>
    <row r="1334" spans="3:22">
      <c r="C1334" s="125">
        <v>44538</v>
      </c>
      <c r="D1334" s="34">
        <v>176.15</v>
      </c>
      <c r="E1334" s="115">
        <v>177.18</v>
      </c>
      <c r="F1334" s="34">
        <v>174.75</v>
      </c>
      <c r="G1334" s="34">
        <v>176.16</v>
      </c>
      <c r="H1334" s="34">
        <v>176.16</v>
      </c>
      <c r="I1334" s="29">
        <v>45254000</v>
      </c>
      <c r="P1334" s="125"/>
      <c r="Q1334" s="34"/>
      <c r="R1334" s="115"/>
      <c r="S1334" s="34"/>
      <c r="T1334" s="34"/>
      <c r="U1334" s="34"/>
      <c r="V1334" s="29"/>
    </row>
    <row r="1335" spans="3:22">
      <c r="C1335" s="125">
        <v>44538</v>
      </c>
      <c r="D1335" s="34">
        <v>204.41000399999999</v>
      </c>
      <c r="E1335" s="115">
        <v>206.199997</v>
      </c>
      <c r="F1335" s="34">
        <v>203.61000100000001</v>
      </c>
      <c r="G1335" s="34">
        <v>204.19000199999999</v>
      </c>
      <c r="H1335" s="34">
        <v>198.553528</v>
      </c>
      <c r="I1335" s="29">
        <v>2341200</v>
      </c>
      <c r="P1335" s="125"/>
      <c r="Q1335" s="34"/>
      <c r="R1335" s="115"/>
      <c r="S1335" s="34"/>
      <c r="T1335" s="34"/>
      <c r="U1335" s="34"/>
      <c r="V1335" s="29"/>
    </row>
    <row r="1336" spans="3:22">
      <c r="C1336" s="125">
        <v>44537</v>
      </c>
      <c r="D1336" s="34">
        <v>174.6</v>
      </c>
      <c r="E1336" s="115">
        <v>177.5</v>
      </c>
      <c r="F1336" s="34">
        <v>173.33</v>
      </c>
      <c r="G1336" s="34">
        <v>176.16</v>
      </c>
      <c r="H1336" s="34">
        <v>176.16</v>
      </c>
      <c r="I1336" s="29">
        <v>66410000</v>
      </c>
      <c r="P1336" s="125"/>
      <c r="Q1336" s="34"/>
      <c r="R1336" s="115"/>
      <c r="S1336" s="34"/>
      <c r="T1336" s="34"/>
      <c r="U1336" s="34"/>
      <c r="V1336" s="29"/>
    </row>
    <row r="1337" spans="3:22">
      <c r="C1337" s="125">
        <v>44537</v>
      </c>
      <c r="D1337" s="34">
        <v>203.28999300000001</v>
      </c>
      <c r="E1337" s="115">
        <v>206.21000699999999</v>
      </c>
      <c r="F1337" s="34">
        <v>203.070007</v>
      </c>
      <c r="G1337" s="34">
        <v>204.490005</v>
      </c>
      <c r="H1337" s="34">
        <v>198.84524500000001</v>
      </c>
      <c r="I1337" s="29">
        <v>2818000</v>
      </c>
      <c r="P1337" s="125"/>
      <c r="Q1337" s="34"/>
      <c r="R1337" s="115"/>
      <c r="S1337" s="34"/>
      <c r="T1337" s="34"/>
      <c r="U1337" s="34"/>
      <c r="V1337" s="29"/>
    </row>
    <row r="1338" spans="3:22">
      <c r="C1338" s="125">
        <v>44536</v>
      </c>
      <c r="D1338" s="34">
        <v>169.65</v>
      </c>
      <c r="E1338" s="115">
        <v>173.7</v>
      </c>
      <c r="F1338" s="34">
        <v>166.93</v>
      </c>
      <c r="G1338" s="34">
        <v>171.37</v>
      </c>
      <c r="H1338" s="34">
        <v>171.37</v>
      </c>
      <c r="I1338" s="29">
        <v>68860000</v>
      </c>
      <c r="P1338" s="125"/>
      <c r="Q1338" s="34"/>
      <c r="R1338" s="115"/>
      <c r="S1338" s="34"/>
      <c r="T1338" s="34"/>
      <c r="U1338" s="34"/>
      <c r="V1338" s="29"/>
    </row>
    <row r="1339" spans="3:22">
      <c r="C1339" s="125">
        <v>44536</v>
      </c>
      <c r="D1339" s="34">
        <v>199.58000200000001</v>
      </c>
      <c r="E1339" s="115">
        <v>203.259995</v>
      </c>
      <c r="F1339" s="34">
        <v>198.33999600000001</v>
      </c>
      <c r="G1339" s="34">
        <v>201.279999</v>
      </c>
      <c r="H1339" s="34">
        <v>195.72384600000001</v>
      </c>
      <c r="I1339" s="29">
        <v>2838400</v>
      </c>
      <c r="P1339" s="125"/>
      <c r="Q1339" s="34"/>
      <c r="R1339" s="115"/>
      <c r="S1339" s="34"/>
      <c r="T1339" s="34"/>
      <c r="U1339" s="34"/>
      <c r="V1339" s="29"/>
    </row>
    <row r="1340" spans="3:22">
      <c r="C1340" s="125">
        <v>44533</v>
      </c>
      <c r="D1340" s="34">
        <v>172.75</v>
      </c>
      <c r="E1340" s="115">
        <v>173.49</v>
      </c>
      <c r="F1340" s="34">
        <v>166.93</v>
      </c>
      <c r="G1340" s="34">
        <v>169.49</v>
      </c>
      <c r="H1340" s="34">
        <v>169.49</v>
      </c>
      <c r="I1340" s="29">
        <v>80712000</v>
      </c>
      <c r="P1340" s="125"/>
      <c r="Q1340" s="34"/>
      <c r="R1340" s="115"/>
      <c r="S1340" s="34"/>
      <c r="T1340" s="34"/>
      <c r="U1340" s="34"/>
      <c r="V1340" s="29"/>
    </row>
    <row r="1341" spans="3:22">
      <c r="C1341" s="125">
        <v>44533</v>
      </c>
      <c r="D1341" s="34">
        <v>197.66999799999999</v>
      </c>
      <c r="E1341" s="115">
        <v>199.38999899999999</v>
      </c>
      <c r="F1341" s="34">
        <v>195.740005</v>
      </c>
      <c r="G1341" s="34">
        <v>197.800003</v>
      </c>
      <c r="H1341" s="34">
        <v>192.33992000000001</v>
      </c>
      <c r="I1341" s="29">
        <v>3250900</v>
      </c>
      <c r="P1341" s="125"/>
      <c r="Q1341" s="34"/>
      <c r="R1341" s="115"/>
      <c r="S1341" s="34"/>
      <c r="T1341" s="34"/>
      <c r="U1341" s="34"/>
      <c r="V1341" s="29"/>
    </row>
    <row r="1342" spans="3:22">
      <c r="C1342" s="125">
        <v>44532</v>
      </c>
      <c r="D1342" s="34">
        <v>173</v>
      </c>
      <c r="E1342" s="115">
        <v>174.63</v>
      </c>
      <c r="F1342" s="34">
        <v>171.19</v>
      </c>
      <c r="G1342" s="34">
        <v>171.87</v>
      </c>
      <c r="H1342" s="34">
        <v>171.87</v>
      </c>
      <c r="I1342" s="29">
        <v>64726000</v>
      </c>
      <c r="P1342" s="125"/>
      <c r="Q1342" s="34"/>
      <c r="R1342" s="115"/>
      <c r="S1342" s="34"/>
      <c r="T1342" s="34"/>
      <c r="U1342" s="34"/>
      <c r="V1342" s="29"/>
    </row>
    <row r="1343" spans="3:22">
      <c r="C1343" s="125">
        <v>44532</v>
      </c>
      <c r="D1343" s="34">
        <v>192.30999800000001</v>
      </c>
      <c r="E1343" s="115">
        <v>197.61999499999999</v>
      </c>
      <c r="F1343" s="34">
        <v>191.80999800000001</v>
      </c>
      <c r="G1343" s="34">
        <v>196.78999300000001</v>
      </c>
      <c r="H1343" s="34">
        <v>191.357788</v>
      </c>
      <c r="I1343" s="29">
        <v>3445700</v>
      </c>
      <c r="P1343" s="125"/>
      <c r="Q1343" s="34"/>
      <c r="R1343" s="115"/>
      <c r="S1343" s="34"/>
      <c r="T1343" s="34"/>
      <c r="U1343" s="34"/>
      <c r="V1343" s="29"/>
    </row>
    <row r="1344" spans="3:22">
      <c r="C1344" s="125">
        <v>44531</v>
      </c>
      <c r="D1344" s="34">
        <v>177.25</v>
      </c>
      <c r="E1344" s="115">
        <v>177.99</v>
      </c>
      <c r="F1344" s="34">
        <v>172.08</v>
      </c>
      <c r="G1344" s="34">
        <v>172.19</v>
      </c>
      <c r="H1344" s="34">
        <v>172.19</v>
      </c>
      <c r="I1344" s="29">
        <v>74916000</v>
      </c>
      <c r="P1344" s="125"/>
      <c r="Q1344" s="34"/>
      <c r="R1344" s="115"/>
      <c r="S1344" s="34"/>
      <c r="T1344" s="34"/>
      <c r="U1344" s="34"/>
      <c r="V1344" s="29"/>
    </row>
    <row r="1345" spans="3:22">
      <c r="C1345" s="125">
        <v>44531</v>
      </c>
      <c r="D1345" s="34">
        <v>197.58000200000001</v>
      </c>
      <c r="E1345" s="115">
        <v>198.429993</v>
      </c>
      <c r="F1345" s="34">
        <v>191.36000100000001</v>
      </c>
      <c r="G1345" s="34">
        <v>191.470001</v>
      </c>
      <c r="H1345" s="34">
        <v>186.18464700000001</v>
      </c>
      <c r="I1345" s="29">
        <v>3425300</v>
      </c>
      <c r="P1345" s="125"/>
      <c r="Q1345" s="34"/>
      <c r="R1345" s="115"/>
      <c r="S1345" s="34"/>
      <c r="T1345" s="34"/>
      <c r="U1345" s="34"/>
      <c r="V1345" s="29"/>
    </row>
    <row r="1346" spans="3:22">
      <c r="C1346" s="125">
        <v>44530</v>
      </c>
      <c r="D1346" s="34">
        <v>178.18</v>
      </c>
      <c r="E1346" s="115">
        <v>179.29</v>
      </c>
      <c r="F1346" s="34">
        <v>174.6</v>
      </c>
      <c r="G1346" s="34">
        <v>175.35</v>
      </c>
      <c r="H1346" s="34">
        <v>175.35</v>
      </c>
      <c r="I1346" s="29">
        <v>80022000</v>
      </c>
      <c r="P1346" s="125"/>
      <c r="Q1346" s="34"/>
      <c r="R1346" s="115"/>
      <c r="S1346" s="34"/>
      <c r="T1346" s="34"/>
      <c r="U1346" s="34"/>
      <c r="V1346" s="29"/>
    </row>
    <row r="1347" spans="3:22">
      <c r="C1347" s="125">
        <v>44530</v>
      </c>
      <c r="D1347" s="34">
        <v>193.83999600000001</v>
      </c>
      <c r="E1347" s="115">
        <v>196.779999</v>
      </c>
      <c r="F1347" s="34">
        <v>191.550003</v>
      </c>
      <c r="G1347" s="34">
        <v>193.35000600000001</v>
      </c>
      <c r="H1347" s="34">
        <v>188.012756</v>
      </c>
      <c r="I1347" s="29">
        <v>6358000</v>
      </c>
      <c r="P1347" s="125"/>
      <c r="Q1347" s="34"/>
      <c r="R1347" s="115"/>
      <c r="S1347" s="34"/>
      <c r="T1347" s="34"/>
      <c r="U1347" s="34"/>
      <c r="V1347" s="29"/>
    </row>
    <row r="1348" spans="3:22">
      <c r="C1348" s="125">
        <v>44529</v>
      </c>
      <c r="D1348" s="34">
        <v>177.38</v>
      </c>
      <c r="E1348" s="115">
        <v>179.8</v>
      </c>
      <c r="F1348" s="34">
        <v>176.57</v>
      </c>
      <c r="G1348" s="34">
        <v>178.08</v>
      </c>
      <c r="H1348" s="34">
        <v>178.08</v>
      </c>
      <c r="I1348" s="29">
        <v>65312000</v>
      </c>
      <c r="P1348" s="125"/>
      <c r="Q1348" s="34"/>
      <c r="R1348" s="115"/>
      <c r="S1348" s="34"/>
      <c r="T1348" s="34"/>
      <c r="U1348" s="34"/>
      <c r="V1348" s="29"/>
    </row>
    <row r="1349" spans="3:22">
      <c r="C1349" s="125">
        <v>44529</v>
      </c>
      <c r="D1349" s="34">
        <v>201.229996</v>
      </c>
      <c r="E1349" s="115">
        <v>201.5</v>
      </c>
      <c r="F1349" s="34">
        <v>193.279999</v>
      </c>
      <c r="G1349" s="34">
        <v>195.91999799999999</v>
      </c>
      <c r="H1349" s="34">
        <v>190.51181</v>
      </c>
      <c r="I1349" s="29">
        <v>4559900</v>
      </c>
      <c r="P1349" s="125"/>
      <c r="Q1349" s="34"/>
      <c r="R1349" s="115"/>
      <c r="S1349" s="34"/>
      <c r="T1349" s="34"/>
      <c r="U1349" s="34"/>
      <c r="V1349" s="29"/>
    </row>
    <row r="1350" spans="3:22">
      <c r="C1350" s="125">
        <v>44526</v>
      </c>
      <c r="D1350" s="34">
        <v>180.1</v>
      </c>
      <c r="E1350" s="115">
        <v>181.68</v>
      </c>
      <c r="F1350" s="34">
        <v>175.21</v>
      </c>
      <c r="G1350" s="34">
        <v>175.23</v>
      </c>
      <c r="H1350" s="34">
        <v>175.23</v>
      </c>
      <c r="I1350" s="29">
        <v>59826000</v>
      </c>
      <c r="P1350" s="125"/>
      <c r="Q1350" s="34"/>
      <c r="R1350" s="115"/>
      <c r="S1350" s="34"/>
      <c r="T1350" s="34"/>
      <c r="U1350" s="34"/>
      <c r="V1350" s="29"/>
    </row>
    <row r="1351" spans="3:22">
      <c r="C1351" s="125">
        <v>44526</v>
      </c>
      <c r="D1351" s="34">
        <v>201</v>
      </c>
      <c r="E1351" s="115">
        <v>201.449997</v>
      </c>
      <c r="F1351" s="34">
        <v>196.61000100000001</v>
      </c>
      <c r="G1351" s="34">
        <v>198.729996</v>
      </c>
      <c r="H1351" s="34">
        <v>193.24423200000001</v>
      </c>
      <c r="I1351" s="29">
        <v>3496000</v>
      </c>
      <c r="P1351" s="125"/>
      <c r="Q1351" s="34"/>
      <c r="R1351" s="115"/>
      <c r="S1351" s="34"/>
      <c r="T1351" s="34"/>
      <c r="U1351" s="34"/>
      <c r="V1351" s="29"/>
    </row>
    <row r="1352" spans="3:22">
      <c r="C1352" s="125">
        <v>44524</v>
      </c>
      <c r="D1352" s="34">
        <v>178.13</v>
      </c>
      <c r="E1352" s="115">
        <v>180.68</v>
      </c>
      <c r="F1352" s="34">
        <v>176.84</v>
      </c>
      <c r="G1352" s="34">
        <v>179.02</v>
      </c>
      <c r="H1352" s="34">
        <v>179.02</v>
      </c>
      <c r="I1352" s="29">
        <v>46560000</v>
      </c>
      <c r="P1352" s="125"/>
      <c r="Q1352" s="34"/>
      <c r="R1352" s="115"/>
      <c r="S1352" s="34"/>
      <c r="T1352" s="34"/>
      <c r="U1352" s="34"/>
      <c r="V1352" s="29"/>
    </row>
    <row r="1353" spans="3:22">
      <c r="C1353" s="125">
        <v>44524</v>
      </c>
      <c r="D1353" s="34">
        <v>203.66000399999999</v>
      </c>
      <c r="E1353" s="115">
        <v>208.259995</v>
      </c>
      <c r="F1353" s="34">
        <v>203.08000200000001</v>
      </c>
      <c r="G1353" s="34">
        <v>207.070007</v>
      </c>
      <c r="H1353" s="34">
        <v>201.35401899999999</v>
      </c>
      <c r="I1353" s="29">
        <v>3880500</v>
      </c>
      <c r="P1353" s="125"/>
      <c r="Q1353" s="34"/>
      <c r="R1353" s="115"/>
      <c r="S1353" s="34"/>
      <c r="T1353" s="34"/>
      <c r="U1353" s="34"/>
      <c r="V1353" s="29"/>
    </row>
    <row r="1354" spans="3:22">
      <c r="C1354" s="125">
        <v>44523</v>
      </c>
      <c r="D1354" s="34">
        <v>179.25</v>
      </c>
      <c r="E1354" s="115">
        <v>181.05</v>
      </c>
      <c r="F1354" s="34">
        <v>176.39</v>
      </c>
      <c r="G1354" s="34">
        <v>179</v>
      </c>
      <c r="H1354" s="34">
        <v>179</v>
      </c>
      <c r="I1354" s="29">
        <v>73804000</v>
      </c>
      <c r="P1354" s="125"/>
      <c r="Q1354" s="34"/>
      <c r="R1354" s="115"/>
      <c r="S1354" s="34"/>
      <c r="T1354" s="34"/>
      <c r="U1354" s="34"/>
      <c r="V1354" s="29"/>
    </row>
    <row r="1355" spans="3:22">
      <c r="C1355" s="125">
        <v>44523</v>
      </c>
      <c r="D1355" s="34">
        <v>203.050003</v>
      </c>
      <c r="E1355" s="115">
        <v>205.570007</v>
      </c>
      <c r="F1355" s="34">
        <v>201.58999600000001</v>
      </c>
      <c r="G1355" s="34">
        <v>205.33000200000001</v>
      </c>
      <c r="H1355" s="34">
        <v>199.662048</v>
      </c>
      <c r="I1355" s="29">
        <v>3127100</v>
      </c>
      <c r="P1355" s="125"/>
      <c r="Q1355" s="34"/>
      <c r="R1355" s="115"/>
      <c r="S1355" s="34"/>
      <c r="T1355" s="34"/>
      <c r="U1355" s="34"/>
      <c r="V1355" s="29"/>
    </row>
    <row r="1356" spans="3:22">
      <c r="C1356" s="125">
        <v>44522</v>
      </c>
      <c r="D1356" s="34">
        <v>183.82</v>
      </c>
      <c r="E1356" s="115">
        <v>185.67</v>
      </c>
      <c r="F1356" s="34">
        <v>178.38</v>
      </c>
      <c r="G1356" s="34">
        <v>178.63</v>
      </c>
      <c r="H1356" s="34">
        <v>178.63</v>
      </c>
      <c r="I1356" s="29">
        <v>96844000</v>
      </c>
      <c r="P1356" s="125"/>
      <c r="Q1356" s="34"/>
      <c r="R1356" s="115"/>
      <c r="S1356" s="34"/>
      <c r="T1356" s="34"/>
      <c r="U1356" s="34"/>
      <c r="V1356" s="29"/>
    </row>
    <row r="1357" spans="3:22">
      <c r="C1357" s="125">
        <v>44522</v>
      </c>
      <c r="D1357" s="34">
        <v>201.490005</v>
      </c>
      <c r="E1357" s="115">
        <v>204.529999</v>
      </c>
      <c r="F1357" s="34">
        <v>200.08999600000001</v>
      </c>
      <c r="G1357" s="34">
        <v>202.38000500000001</v>
      </c>
      <c r="H1357" s="34">
        <v>196.793488</v>
      </c>
      <c r="I1357" s="29">
        <v>2596500</v>
      </c>
      <c r="P1357" s="125"/>
      <c r="Q1357" s="34"/>
      <c r="R1357" s="115"/>
      <c r="S1357" s="34"/>
      <c r="T1357" s="34"/>
      <c r="U1357" s="34"/>
      <c r="V1357" s="29"/>
    </row>
    <row r="1358" spans="3:22">
      <c r="C1358" s="125">
        <v>44519</v>
      </c>
      <c r="D1358" s="34">
        <v>185.63</v>
      </c>
      <c r="E1358" s="115">
        <v>188.11</v>
      </c>
      <c r="F1358" s="34">
        <v>183.79</v>
      </c>
      <c r="G1358" s="34">
        <v>183.83</v>
      </c>
      <c r="H1358" s="34">
        <v>183.83</v>
      </c>
      <c r="I1358" s="29">
        <v>98734000</v>
      </c>
      <c r="P1358" s="125"/>
      <c r="Q1358" s="34"/>
      <c r="R1358" s="115"/>
      <c r="S1358" s="34"/>
      <c r="T1358" s="34"/>
      <c r="U1358" s="34"/>
      <c r="V1358" s="29"/>
    </row>
    <row r="1359" spans="3:22">
      <c r="C1359" s="125">
        <v>44519</v>
      </c>
      <c r="D1359" s="34">
        <v>200.91999799999999</v>
      </c>
      <c r="E1359" s="115">
        <v>202.91999799999999</v>
      </c>
      <c r="F1359" s="34">
        <v>199.66000399999999</v>
      </c>
      <c r="G1359" s="34">
        <v>200.44000199999999</v>
      </c>
      <c r="H1359" s="34">
        <v>194.907028</v>
      </c>
      <c r="I1359" s="29">
        <v>2980100</v>
      </c>
      <c r="P1359" s="125"/>
      <c r="Q1359" s="34"/>
      <c r="R1359" s="115"/>
      <c r="S1359" s="34"/>
      <c r="T1359" s="34"/>
      <c r="U1359" s="34"/>
      <c r="V1359" s="29"/>
    </row>
    <row r="1360" spans="3:22">
      <c r="C1360" s="125">
        <v>44518</v>
      </c>
      <c r="D1360" s="34">
        <v>178.32</v>
      </c>
      <c r="E1360" s="115">
        <v>185.21</v>
      </c>
      <c r="F1360" s="34">
        <v>178.05</v>
      </c>
      <c r="G1360" s="34">
        <v>184.8</v>
      </c>
      <c r="H1360" s="34">
        <v>184.8</v>
      </c>
      <c r="I1360" s="29">
        <v>114070000</v>
      </c>
      <c r="P1360" s="125"/>
      <c r="Q1360" s="34"/>
      <c r="R1360" s="115"/>
      <c r="S1360" s="34"/>
      <c r="T1360" s="34"/>
      <c r="U1360" s="34"/>
      <c r="V1360" s="29"/>
    </row>
    <row r="1361" spans="3:22">
      <c r="C1361" s="125">
        <v>44518</v>
      </c>
      <c r="D1361" s="34">
        <v>203.270004</v>
      </c>
      <c r="E1361" s="115">
        <v>203.71000699999999</v>
      </c>
      <c r="F1361" s="34">
        <v>200.66000399999999</v>
      </c>
      <c r="G1361" s="34">
        <v>201.41999799999999</v>
      </c>
      <c r="H1361" s="34">
        <v>195.85997</v>
      </c>
      <c r="I1361" s="29">
        <v>2119900</v>
      </c>
      <c r="P1361" s="125"/>
      <c r="Q1361" s="34"/>
      <c r="R1361" s="115"/>
      <c r="S1361" s="34"/>
      <c r="T1361" s="34"/>
      <c r="U1361" s="34"/>
      <c r="V1361" s="29"/>
    </row>
    <row r="1362" spans="3:22">
      <c r="C1362" s="125">
        <v>44517</v>
      </c>
      <c r="D1362" s="34">
        <v>178.24</v>
      </c>
      <c r="E1362" s="115">
        <v>179.36</v>
      </c>
      <c r="F1362" s="34">
        <v>177.27</v>
      </c>
      <c r="G1362" s="34">
        <v>177.45</v>
      </c>
      <c r="H1362" s="34">
        <v>177.45</v>
      </c>
      <c r="I1362" s="29">
        <v>51206000</v>
      </c>
      <c r="P1362" s="125"/>
      <c r="Q1362" s="34"/>
      <c r="R1362" s="115"/>
      <c r="S1362" s="34"/>
      <c r="T1362" s="34"/>
      <c r="U1362" s="34"/>
      <c r="V1362" s="29"/>
    </row>
    <row r="1363" spans="3:22">
      <c r="C1363" s="125">
        <v>44517</v>
      </c>
      <c r="D1363" s="34">
        <v>205</v>
      </c>
      <c r="E1363" s="115">
        <v>205.19000199999999</v>
      </c>
      <c r="F1363" s="34">
        <v>200.85000600000001</v>
      </c>
      <c r="G1363" s="34">
        <v>202.979996</v>
      </c>
      <c r="H1363" s="34">
        <v>197.37692300000001</v>
      </c>
      <c r="I1363" s="29">
        <v>3135700</v>
      </c>
      <c r="P1363" s="125"/>
      <c r="Q1363" s="34"/>
      <c r="R1363" s="115"/>
      <c r="S1363" s="34"/>
      <c r="T1363" s="34"/>
      <c r="U1363" s="34"/>
      <c r="V1363" s="29"/>
    </row>
    <row r="1364" spans="3:22">
      <c r="C1364" s="125">
        <v>44516</v>
      </c>
      <c r="D1364" s="34">
        <v>176.95</v>
      </c>
      <c r="E1364" s="115">
        <v>178.82</v>
      </c>
      <c r="F1364" s="34">
        <v>176.26</v>
      </c>
      <c r="G1364" s="34">
        <v>177.04</v>
      </c>
      <c r="H1364" s="34">
        <v>177.04</v>
      </c>
      <c r="I1364" s="29">
        <v>44342000</v>
      </c>
      <c r="P1364" s="125"/>
      <c r="Q1364" s="34"/>
      <c r="R1364" s="115"/>
      <c r="S1364" s="34"/>
      <c r="T1364" s="34"/>
      <c r="U1364" s="34"/>
      <c r="V1364" s="29"/>
    </row>
    <row r="1365" spans="3:22">
      <c r="C1365" s="125">
        <v>44516</v>
      </c>
      <c r="D1365" s="34">
        <v>208</v>
      </c>
      <c r="E1365" s="115">
        <v>208.179993</v>
      </c>
      <c r="F1365" s="34">
        <v>205.259995</v>
      </c>
      <c r="G1365" s="34">
        <v>205.429993</v>
      </c>
      <c r="H1365" s="34">
        <v>199.759277</v>
      </c>
      <c r="I1365" s="29">
        <v>2138000</v>
      </c>
      <c r="P1365" s="125"/>
      <c r="Q1365" s="34"/>
      <c r="R1365" s="115"/>
      <c r="S1365" s="34"/>
      <c r="T1365" s="34"/>
      <c r="U1365" s="34"/>
      <c r="V1365" s="29"/>
    </row>
    <row r="1366" spans="3:22">
      <c r="C1366" s="125">
        <v>44515</v>
      </c>
      <c r="D1366" s="34">
        <v>176.85</v>
      </c>
      <c r="E1366" s="115">
        <v>179.69</v>
      </c>
      <c r="F1366" s="34">
        <v>176.29</v>
      </c>
      <c r="G1366" s="34">
        <v>177.28</v>
      </c>
      <c r="H1366" s="34">
        <v>177.28</v>
      </c>
      <c r="I1366" s="29">
        <v>58594000</v>
      </c>
      <c r="P1366" s="125"/>
      <c r="Q1366" s="34"/>
      <c r="R1366" s="115"/>
      <c r="S1366" s="34"/>
      <c r="T1366" s="34"/>
      <c r="U1366" s="34"/>
      <c r="V1366" s="29"/>
    </row>
    <row r="1367" spans="3:22">
      <c r="C1367" s="125">
        <v>44515</v>
      </c>
      <c r="D1367" s="34">
        <v>210</v>
      </c>
      <c r="E1367" s="115">
        <v>210.69000199999999</v>
      </c>
      <c r="F1367" s="34">
        <v>206.759995</v>
      </c>
      <c r="G1367" s="34">
        <v>207.71000699999999</v>
      </c>
      <c r="H1367" s="34">
        <v>201.97636399999999</v>
      </c>
      <c r="I1367" s="29">
        <v>2392600</v>
      </c>
      <c r="P1367" s="125"/>
      <c r="Q1367" s="34"/>
      <c r="R1367" s="115"/>
      <c r="S1367" s="34"/>
      <c r="T1367" s="34"/>
      <c r="U1367" s="34"/>
      <c r="V1367" s="29"/>
    </row>
    <row r="1368" spans="3:22">
      <c r="C1368" s="125">
        <v>44512</v>
      </c>
      <c r="D1368" s="34">
        <v>174.25</v>
      </c>
      <c r="E1368" s="115">
        <v>177.04</v>
      </c>
      <c r="F1368" s="34">
        <v>172.35</v>
      </c>
      <c r="G1368" s="34">
        <v>176.26</v>
      </c>
      <c r="H1368" s="34">
        <v>176.26</v>
      </c>
      <c r="I1368" s="29">
        <v>53788000</v>
      </c>
      <c r="P1368" s="125"/>
      <c r="Q1368" s="34"/>
      <c r="R1368" s="115"/>
      <c r="S1368" s="34"/>
      <c r="T1368" s="34"/>
      <c r="U1368" s="34"/>
      <c r="V1368" s="29"/>
    </row>
    <row r="1369" spans="3:22">
      <c r="C1369" s="125">
        <v>44512</v>
      </c>
      <c r="D1369" s="34">
        <v>209.35000600000001</v>
      </c>
      <c r="E1369" s="115">
        <v>210.69000199999999</v>
      </c>
      <c r="F1369" s="34">
        <v>208.300003</v>
      </c>
      <c r="G1369" s="34">
        <v>209.270004</v>
      </c>
      <c r="H1369" s="34">
        <v>203.493301</v>
      </c>
      <c r="I1369" s="29">
        <v>2018000</v>
      </c>
      <c r="P1369" s="125"/>
      <c r="Q1369" s="34"/>
      <c r="R1369" s="115"/>
      <c r="S1369" s="34"/>
      <c r="T1369" s="34"/>
      <c r="U1369" s="34"/>
      <c r="V1369" s="29"/>
    </row>
    <row r="1370" spans="3:22">
      <c r="C1370" s="125">
        <v>44511</v>
      </c>
      <c r="D1370" s="34">
        <v>175.65</v>
      </c>
      <c r="E1370" s="115">
        <v>177.16</v>
      </c>
      <c r="F1370" s="34">
        <v>173.37</v>
      </c>
      <c r="G1370" s="34">
        <v>173.63</v>
      </c>
      <c r="H1370" s="34">
        <v>173.63</v>
      </c>
      <c r="I1370" s="29">
        <v>45288000</v>
      </c>
      <c r="P1370" s="125"/>
      <c r="Q1370" s="34"/>
      <c r="R1370" s="115"/>
      <c r="S1370" s="34"/>
      <c r="T1370" s="34"/>
      <c r="U1370" s="34"/>
      <c r="V1370" s="29"/>
    </row>
    <row r="1371" spans="3:22">
      <c r="C1371" s="125">
        <v>44511</v>
      </c>
      <c r="D1371" s="34">
        <v>207.88000500000001</v>
      </c>
      <c r="E1371" s="115">
        <v>210.44000199999999</v>
      </c>
      <c r="F1371" s="34">
        <v>207.88000500000001</v>
      </c>
      <c r="G1371" s="34">
        <v>208.529999</v>
      </c>
      <c r="H1371" s="34">
        <v>202.77371199999999</v>
      </c>
      <c r="I1371" s="29">
        <v>4819800</v>
      </c>
      <c r="P1371" s="125"/>
      <c r="Q1371" s="34"/>
      <c r="R1371" s="115"/>
      <c r="S1371" s="34"/>
      <c r="T1371" s="34"/>
      <c r="U1371" s="34"/>
      <c r="V1371" s="29"/>
    </row>
    <row r="1372" spans="3:22">
      <c r="C1372" s="125">
        <v>44510</v>
      </c>
      <c r="D1372" s="34">
        <v>178.19</v>
      </c>
      <c r="E1372" s="115">
        <v>180.27</v>
      </c>
      <c r="F1372" s="34">
        <v>173.15</v>
      </c>
      <c r="G1372" s="34">
        <v>174.1</v>
      </c>
      <c r="H1372" s="34">
        <v>174.1</v>
      </c>
      <c r="I1372" s="29">
        <v>80548000</v>
      </c>
      <c r="P1372" s="125"/>
      <c r="Q1372" s="34"/>
      <c r="R1372" s="115"/>
      <c r="S1372" s="34"/>
      <c r="T1372" s="34"/>
      <c r="U1372" s="34"/>
      <c r="V1372" s="29"/>
    </row>
    <row r="1373" spans="3:22">
      <c r="C1373" s="125">
        <v>44510</v>
      </c>
      <c r="D1373" s="34">
        <v>209.270004</v>
      </c>
      <c r="E1373" s="115">
        <v>209.949997</v>
      </c>
      <c r="F1373" s="34">
        <v>206.429993</v>
      </c>
      <c r="G1373" s="34">
        <v>206.66999799999999</v>
      </c>
      <c r="H1373" s="34">
        <v>200.965057</v>
      </c>
      <c r="I1373" s="29">
        <v>3261800</v>
      </c>
      <c r="P1373" s="125"/>
      <c r="Q1373" s="34"/>
      <c r="R1373" s="115"/>
      <c r="S1373" s="34"/>
      <c r="T1373" s="34"/>
      <c r="U1373" s="34"/>
      <c r="V1373" s="29"/>
    </row>
    <row r="1374" spans="3:22">
      <c r="C1374" s="125">
        <v>44509</v>
      </c>
      <c r="D1374" s="34">
        <v>175.76</v>
      </c>
      <c r="E1374" s="115">
        <v>179.69</v>
      </c>
      <c r="F1374" s="34">
        <v>175.07</v>
      </c>
      <c r="G1374" s="34">
        <v>178.81</v>
      </c>
      <c r="H1374" s="34">
        <v>178.81</v>
      </c>
      <c r="I1374" s="29">
        <v>85898000</v>
      </c>
      <c r="P1374" s="125"/>
      <c r="Q1374" s="34"/>
      <c r="R1374" s="115"/>
      <c r="S1374" s="34"/>
      <c r="T1374" s="34"/>
      <c r="U1374" s="34"/>
      <c r="V1374" s="29"/>
    </row>
    <row r="1375" spans="3:22">
      <c r="C1375" s="125">
        <v>44509</v>
      </c>
      <c r="D1375" s="34">
        <v>215.179993</v>
      </c>
      <c r="E1375" s="115">
        <v>215.570007</v>
      </c>
      <c r="F1375" s="34">
        <v>208.96000699999999</v>
      </c>
      <c r="G1375" s="34">
        <v>209.80999800000001</v>
      </c>
      <c r="H1375" s="34">
        <v>204.018372</v>
      </c>
      <c r="I1375" s="29">
        <v>3310300</v>
      </c>
      <c r="P1375" s="125"/>
      <c r="Q1375" s="34"/>
      <c r="R1375" s="115"/>
      <c r="S1375" s="34"/>
      <c r="T1375" s="34"/>
      <c r="U1375" s="34"/>
      <c r="V1375" s="29"/>
    </row>
    <row r="1376" spans="3:22">
      <c r="C1376" s="125">
        <v>44508</v>
      </c>
      <c r="D1376" s="34">
        <v>176.16</v>
      </c>
      <c r="E1376" s="115">
        <v>178.95</v>
      </c>
      <c r="F1376" s="34">
        <v>174.39</v>
      </c>
      <c r="G1376" s="34">
        <v>174.45</v>
      </c>
      <c r="H1376" s="34">
        <v>174.45</v>
      </c>
      <c r="I1376" s="29">
        <v>61480000</v>
      </c>
      <c r="P1376" s="125"/>
      <c r="Q1376" s="34"/>
      <c r="R1376" s="115"/>
      <c r="S1376" s="34"/>
      <c r="T1376" s="34"/>
      <c r="U1376" s="34"/>
      <c r="V1376" s="29"/>
    </row>
    <row r="1377" spans="3:22">
      <c r="C1377" s="125">
        <v>44508</v>
      </c>
      <c r="D1377" s="34">
        <v>215.88999899999999</v>
      </c>
      <c r="E1377" s="115">
        <v>216.470001</v>
      </c>
      <c r="F1377" s="34">
        <v>211.25</v>
      </c>
      <c r="G1377" s="34">
        <v>214.25</v>
      </c>
      <c r="H1377" s="34">
        <v>208.335815</v>
      </c>
      <c r="I1377" s="29">
        <v>5944700</v>
      </c>
      <c r="P1377" s="125"/>
      <c r="Q1377" s="34"/>
      <c r="R1377" s="115"/>
      <c r="S1377" s="34"/>
      <c r="T1377" s="34"/>
      <c r="U1377" s="34"/>
      <c r="V1377" s="29"/>
    </row>
    <row r="1378" spans="3:22">
      <c r="C1378" s="125">
        <v>44505</v>
      </c>
      <c r="D1378" s="34">
        <v>173.85</v>
      </c>
      <c r="E1378" s="115">
        <v>178.31</v>
      </c>
      <c r="F1378" s="34">
        <v>173.85</v>
      </c>
      <c r="G1378" s="34">
        <v>175.95</v>
      </c>
      <c r="H1378" s="34">
        <v>175.95</v>
      </c>
      <c r="I1378" s="29">
        <v>99940000</v>
      </c>
      <c r="P1378" s="125"/>
      <c r="Q1378" s="34"/>
      <c r="R1378" s="115"/>
      <c r="S1378" s="34"/>
      <c r="T1378" s="34"/>
      <c r="U1378" s="34"/>
      <c r="V1378" s="29"/>
    </row>
    <row r="1379" spans="3:22">
      <c r="C1379" s="125">
        <v>44505</v>
      </c>
      <c r="D1379" s="34">
        <v>205.479996</v>
      </c>
      <c r="E1379" s="115">
        <v>208.88000500000001</v>
      </c>
      <c r="F1379" s="34">
        <v>205.229996</v>
      </c>
      <c r="G1379" s="34">
        <v>205.88000500000001</v>
      </c>
      <c r="H1379" s="34">
        <v>200.19686899999999</v>
      </c>
      <c r="I1379" s="29">
        <v>2591300</v>
      </c>
      <c r="P1379" s="125"/>
      <c r="Q1379" s="34"/>
      <c r="R1379" s="115"/>
      <c r="S1379" s="34"/>
      <c r="T1379" s="34"/>
      <c r="U1379" s="34"/>
      <c r="V1379" s="29"/>
    </row>
    <row r="1380" spans="3:22">
      <c r="C1380" s="125">
        <v>44504</v>
      </c>
      <c r="D1380" s="34">
        <v>168.5</v>
      </c>
      <c r="E1380" s="115">
        <v>174.93</v>
      </c>
      <c r="F1380" s="34">
        <v>168.25</v>
      </c>
      <c r="G1380" s="34">
        <v>173.85</v>
      </c>
      <c r="H1380" s="34">
        <v>173.85</v>
      </c>
      <c r="I1380" s="29">
        <v>107060000</v>
      </c>
      <c r="P1380" s="125"/>
      <c r="Q1380" s="34"/>
      <c r="R1380" s="115"/>
      <c r="S1380" s="34"/>
      <c r="T1380" s="34"/>
      <c r="U1380" s="34"/>
      <c r="V1380" s="29"/>
    </row>
    <row r="1381" spans="3:22">
      <c r="C1381" s="125">
        <v>44504</v>
      </c>
      <c r="D1381" s="34">
        <v>204</v>
      </c>
      <c r="E1381" s="115">
        <v>204.88999899999999</v>
      </c>
      <c r="F1381" s="34">
        <v>202.61000100000001</v>
      </c>
      <c r="G1381" s="34">
        <v>203.58999600000001</v>
      </c>
      <c r="H1381" s="34">
        <v>197.970078</v>
      </c>
      <c r="I1381" s="29">
        <v>2543500</v>
      </c>
      <c r="P1381" s="125"/>
      <c r="Q1381" s="34"/>
      <c r="R1381" s="115"/>
      <c r="S1381" s="34"/>
      <c r="T1381" s="34"/>
      <c r="U1381" s="34"/>
      <c r="V1381" s="29"/>
    </row>
    <row r="1382" spans="3:22">
      <c r="C1382" s="125">
        <v>44503</v>
      </c>
      <c r="D1382" s="34">
        <v>165.45</v>
      </c>
      <c r="E1382" s="115">
        <v>169.75</v>
      </c>
      <c r="F1382" s="34">
        <v>164.88</v>
      </c>
      <c r="G1382" s="34">
        <v>169.2</v>
      </c>
      <c r="H1382" s="34">
        <v>169.2</v>
      </c>
      <c r="I1382" s="29">
        <v>67944000</v>
      </c>
      <c r="P1382" s="125"/>
      <c r="Q1382" s="34"/>
      <c r="R1382" s="115"/>
      <c r="S1382" s="34"/>
      <c r="T1382" s="34"/>
      <c r="U1382" s="34"/>
      <c r="V1382" s="29"/>
    </row>
    <row r="1383" spans="3:22">
      <c r="C1383" s="125">
        <v>44503</v>
      </c>
      <c r="D1383" s="34">
        <v>206.259995</v>
      </c>
      <c r="E1383" s="115">
        <v>206.58000200000001</v>
      </c>
      <c r="F1383" s="34">
        <v>201.820007</v>
      </c>
      <c r="G1383" s="34">
        <v>203.550003</v>
      </c>
      <c r="H1383" s="34">
        <v>197.931183</v>
      </c>
      <c r="I1383" s="29">
        <v>3137000</v>
      </c>
      <c r="P1383" s="125"/>
      <c r="Q1383" s="34"/>
      <c r="R1383" s="115"/>
      <c r="S1383" s="34"/>
      <c r="T1383" s="34"/>
      <c r="U1383" s="34"/>
      <c r="V1383" s="29"/>
    </row>
    <row r="1384" spans="3:22">
      <c r="C1384" s="125">
        <v>44502</v>
      </c>
      <c r="D1384" s="34">
        <v>165.75</v>
      </c>
      <c r="E1384" s="115">
        <v>166.56</v>
      </c>
      <c r="F1384" s="34">
        <v>164.18</v>
      </c>
      <c r="G1384" s="34">
        <v>165.64</v>
      </c>
      <c r="H1384" s="34">
        <v>165.64</v>
      </c>
      <c r="I1384" s="29">
        <v>52552000</v>
      </c>
      <c r="P1384" s="125"/>
      <c r="Q1384" s="34"/>
      <c r="R1384" s="115"/>
      <c r="S1384" s="34"/>
      <c r="T1384" s="34"/>
      <c r="U1384" s="34"/>
      <c r="V1384" s="29"/>
    </row>
    <row r="1385" spans="3:22">
      <c r="C1385" s="125">
        <v>44502</v>
      </c>
      <c r="D1385" s="34">
        <v>205.75</v>
      </c>
      <c r="E1385" s="115">
        <v>207.80999800000001</v>
      </c>
      <c r="F1385" s="34">
        <v>203</v>
      </c>
      <c r="G1385" s="34">
        <v>207.11999499999999</v>
      </c>
      <c r="H1385" s="34">
        <v>201.40263400000001</v>
      </c>
      <c r="I1385" s="29">
        <v>3429600</v>
      </c>
      <c r="P1385" s="125"/>
      <c r="Q1385" s="34"/>
      <c r="R1385" s="115"/>
      <c r="S1385" s="34"/>
      <c r="T1385" s="34"/>
      <c r="U1385" s="34"/>
      <c r="V1385" s="29"/>
    </row>
    <row r="1386" spans="3:22">
      <c r="C1386" s="125">
        <v>44501</v>
      </c>
      <c r="D1386" s="34">
        <v>168.09</v>
      </c>
      <c r="E1386" s="115">
        <v>168.79</v>
      </c>
      <c r="F1386" s="34">
        <v>164.6</v>
      </c>
      <c r="G1386" s="34">
        <v>165.91</v>
      </c>
      <c r="H1386" s="34">
        <v>165.91</v>
      </c>
      <c r="I1386" s="29">
        <v>72178000</v>
      </c>
      <c r="P1386" s="125"/>
      <c r="Q1386" s="34"/>
      <c r="R1386" s="115"/>
      <c r="S1386" s="34"/>
      <c r="T1386" s="34"/>
      <c r="U1386" s="34"/>
      <c r="V1386" s="29"/>
    </row>
    <row r="1387" spans="3:22">
      <c r="C1387" s="125">
        <v>44501</v>
      </c>
      <c r="D1387" s="34">
        <v>204.28999300000001</v>
      </c>
      <c r="E1387" s="115">
        <v>206.88000500000001</v>
      </c>
      <c r="F1387" s="34">
        <v>203.80999800000001</v>
      </c>
      <c r="G1387" s="34">
        <v>205.38000500000001</v>
      </c>
      <c r="H1387" s="34">
        <v>199.710678</v>
      </c>
      <c r="I1387" s="29">
        <v>3215200</v>
      </c>
      <c r="P1387" s="125"/>
      <c r="Q1387" s="34"/>
      <c r="R1387" s="115"/>
      <c r="S1387" s="34"/>
      <c r="T1387" s="34"/>
      <c r="U1387" s="34"/>
      <c r="V1387" s="29"/>
    </row>
    <row r="1388" spans="3:22">
      <c r="C1388" s="125">
        <v>44498</v>
      </c>
      <c r="D1388" s="34">
        <v>165</v>
      </c>
      <c r="E1388" s="115">
        <v>168.74</v>
      </c>
      <c r="F1388" s="34">
        <v>163.66999999999999</v>
      </c>
      <c r="G1388" s="34">
        <v>168.62</v>
      </c>
      <c r="H1388" s="34">
        <v>168.62</v>
      </c>
      <c r="I1388" s="29">
        <v>129722000</v>
      </c>
      <c r="P1388" s="125"/>
      <c r="Q1388" s="34"/>
      <c r="R1388" s="115"/>
      <c r="S1388" s="34"/>
      <c r="T1388" s="34"/>
      <c r="U1388" s="34"/>
      <c r="V1388" s="29"/>
    </row>
    <row r="1389" spans="3:22">
      <c r="C1389" s="125">
        <v>44498</v>
      </c>
      <c r="D1389" s="34">
        <v>207.990005</v>
      </c>
      <c r="E1389" s="115">
        <v>209.75</v>
      </c>
      <c r="F1389" s="34">
        <v>203.240005</v>
      </c>
      <c r="G1389" s="34">
        <v>204.009995</v>
      </c>
      <c r="H1389" s="34">
        <v>198.378479</v>
      </c>
      <c r="I1389" s="29">
        <v>4292200</v>
      </c>
      <c r="P1389" s="125"/>
      <c r="Q1389" s="34"/>
      <c r="R1389" s="115"/>
      <c r="S1389" s="34"/>
      <c r="T1389" s="34"/>
      <c r="U1389" s="34"/>
      <c r="V1389" s="29"/>
    </row>
    <row r="1390" spans="3:22">
      <c r="C1390" s="125">
        <v>44497</v>
      </c>
      <c r="D1390" s="34">
        <v>170.1</v>
      </c>
      <c r="E1390" s="115">
        <v>173.95</v>
      </c>
      <c r="F1390" s="34">
        <v>169.3</v>
      </c>
      <c r="G1390" s="34">
        <v>172.33</v>
      </c>
      <c r="H1390" s="34">
        <v>172.33</v>
      </c>
      <c r="I1390" s="29">
        <v>114174000</v>
      </c>
      <c r="P1390" s="125"/>
      <c r="Q1390" s="34"/>
      <c r="R1390" s="115"/>
      <c r="S1390" s="34"/>
      <c r="T1390" s="34"/>
      <c r="U1390" s="34"/>
      <c r="V1390" s="29"/>
    </row>
    <row r="1391" spans="3:22">
      <c r="C1391" s="125">
        <v>44497</v>
      </c>
      <c r="D1391" s="34">
        <v>197.36000100000001</v>
      </c>
      <c r="E1391" s="115">
        <v>204.5</v>
      </c>
      <c r="F1391" s="34">
        <v>197.050003</v>
      </c>
      <c r="G1391" s="34">
        <v>204.08999600000001</v>
      </c>
      <c r="H1391" s="34">
        <v>198.45626799999999</v>
      </c>
      <c r="I1391" s="29">
        <v>4462700</v>
      </c>
      <c r="P1391" s="125"/>
      <c r="Q1391" s="34"/>
      <c r="R1391" s="115"/>
      <c r="S1391" s="34"/>
      <c r="T1391" s="34"/>
      <c r="U1391" s="34"/>
      <c r="V1391" s="29"/>
    </row>
    <row r="1392" spans="3:22">
      <c r="C1392" s="125">
        <v>44496</v>
      </c>
      <c r="D1392" s="34">
        <v>169.4</v>
      </c>
      <c r="E1392" s="115">
        <v>171.85</v>
      </c>
      <c r="F1392" s="34">
        <v>168.57</v>
      </c>
      <c r="G1392" s="34">
        <v>169.62</v>
      </c>
      <c r="H1392" s="34">
        <v>169.62</v>
      </c>
      <c r="I1392" s="29">
        <v>54044000</v>
      </c>
      <c r="P1392" s="125"/>
      <c r="Q1392" s="34"/>
      <c r="R1392" s="115"/>
      <c r="S1392" s="34"/>
      <c r="T1392" s="34"/>
      <c r="U1392" s="34"/>
      <c r="V1392" s="29"/>
    </row>
    <row r="1393" spans="3:22">
      <c r="C1393" s="125">
        <v>44496</v>
      </c>
      <c r="D1393" s="34">
        <v>200.25</v>
      </c>
      <c r="E1393" s="115">
        <v>200.429993</v>
      </c>
      <c r="F1393" s="34">
        <v>195.91999799999999</v>
      </c>
      <c r="G1393" s="34">
        <v>196.13000500000001</v>
      </c>
      <c r="H1393" s="34">
        <v>190.71601899999999</v>
      </c>
      <c r="I1393" s="29">
        <v>3406700</v>
      </c>
      <c r="P1393" s="125"/>
      <c r="Q1393" s="34"/>
      <c r="R1393" s="115"/>
      <c r="S1393" s="34"/>
      <c r="T1393" s="34"/>
      <c r="U1393" s="34"/>
      <c r="V1393" s="29"/>
    </row>
    <row r="1394" spans="3:22">
      <c r="C1394" s="125">
        <v>44495</v>
      </c>
      <c r="D1394" s="34">
        <v>167.48</v>
      </c>
      <c r="E1394" s="115">
        <v>170.81</v>
      </c>
      <c r="F1394" s="34">
        <v>167.2</v>
      </c>
      <c r="G1394" s="34">
        <v>168.8</v>
      </c>
      <c r="H1394" s="34">
        <v>168.8</v>
      </c>
      <c r="I1394" s="29">
        <v>53966000</v>
      </c>
      <c r="P1394" s="125"/>
      <c r="Q1394" s="34"/>
      <c r="R1394" s="115"/>
      <c r="S1394" s="34"/>
      <c r="T1394" s="34"/>
      <c r="U1394" s="34"/>
      <c r="V1394" s="29"/>
    </row>
    <row r="1395" spans="3:22">
      <c r="C1395" s="125">
        <v>44495</v>
      </c>
      <c r="D1395" s="34">
        <v>202.75</v>
      </c>
      <c r="E1395" s="115">
        <v>202.78999300000001</v>
      </c>
      <c r="F1395" s="34">
        <v>199.470001</v>
      </c>
      <c r="G1395" s="34">
        <v>199.63999899999999</v>
      </c>
      <c r="H1395" s="34">
        <v>194.12912</v>
      </c>
      <c r="I1395" s="29">
        <v>2933600</v>
      </c>
      <c r="P1395" s="125"/>
      <c r="Q1395" s="34"/>
      <c r="R1395" s="115"/>
      <c r="S1395" s="34"/>
      <c r="T1395" s="34"/>
      <c r="U1395" s="34"/>
      <c r="V1395" s="29"/>
    </row>
    <row r="1396" spans="3:22">
      <c r="C1396" s="125">
        <v>44494</v>
      </c>
      <c r="D1396" s="34">
        <v>166.75</v>
      </c>
      <c r="E1396" s="115">
        <v>167.39</v>
      </c>
      <c r="F1396" s="34">
        <v>164.88</v>
      </c>
      <c r="G1396" s="34">
        <v>166.02</v>
      </c>
      <c r="H1396" s="34">
        <v>166.02</v>
      </c>
      <c r="I1396" s="29">
        <v>44520000</v>
      </c>
      <c r="P1396" s="125"/>
      <c r="Q1396" s="34"/>
      <c r="R1396" s="115"/>
      <c r="S1396" s="34"/>
      <c r="T1396" s="34"/>
      <c r="U1396" s="34"/>
      <c r="V1396" s="29"/>
    </row>
    <row r="1397" spans="3:22">
      <c r="C1397" s="125">
        <v>44494</v>
      </c>
      <c r="D1397" s="34">
        <v>201.279999</v>
      </c>
      <c r="E1397" s="115">
        <v>203.30999800000001</v>
      </c>
      <c r="F1397" s="34">
        <v>200.509995</v>
      </c>
      <c r="G1397" s="34">
        <v>202.21000699999999</v>
      </c>
      <c r="H1397" s="34">
        <v>196.62818899999999</v>
      </c>
      <c r="I1397" s="29">
        <v>3294700</v>
      </c>
      <c r="P1397" s="125"/>
      <c r="Q1397" s="34"/>
      <c r="R1397" s="115"/>
      <c r="S1397" s="34"/>
      <c r="T1397" s="34"/>
      <c r="U1397" s="34"/>
      <c r="V1397" s="29"/>
    </row>
    <row r="1398" spans="3:22">
      <c r="C1398" s="125">
        <v>44491</v>
      </c>
      <c r="D1398" s="34">
        <v>171.05</v>
      </c>
      <c r="E1398" s="115">
        <v>171.49</v>
      </c>
      <c r="F1398" s="34">
        <v>166.57</v>
      </c>
      <c r="G1398" s="34">
        <v>166.78</v>
      </c>
      <c r="H1398" s="34">
        <v>166.78</v>
      </c>
      <c r="I1398" s="29">
        <v>62782000</v>
      </c>
      <c r="P1398" s="125"/>
      <c r="Q1398" s="34"/>
      <c r="R1398" s="115"/>
      <c r="S1398" s="34"/>
      <c r="T1398" s="34"/>
      <c r="U1398" s="34"/>
      <c r="V1398" s="29"/>
    </row>
    <row r="1399" spans="3:22">
      <c r="C1399" s="125">
        <v>44491</v>
      </c>
      <c r="D1399" s="34">
        <v>200.63999899999999</v>
      </c>
      <c r="E1399" s="115">
        <v>202.35000600000001</v>
      </c>
      <c r="F1399" s="34">
        <v>199.199997</v>
      </c>
      <c r="G1399" s="34">
        <v>200.64999399999999</v>
      </c>
      <c r="H1399" s="34">
        <v>195.11123699999999</v>
      </c>
      <c r="I1399" s="29">
        <v>2632400</v>
      </c>
      <c r="P1399" s="125"/>
      <c r="Q1399" s="34"/>
      <c r="R1399" s="115"/>
      <c r="S1399" s="34"/>
      <c r="T1399" s="34"/>
      <c r="U1399" s="34"/>
      <c r="V1399" s="29"/>
    </row>
    <row r="1400" spans="3:22">
      <c r="C1400" s="125">
        <v>44490</v>
      </c>
      <c r="D1400" s="34">
        <v>170.71</v>
      </c>
      <c r="E1400" s="115">
        <v>172.01</v>
      </c>
      <c r="F1400" s="34">
        <v>170.15</v>
      </c>
      <c r="G1400" s="34">
        <v>171.75</v>
      </c>
      <c r="H1400" s="34">
        <v>171.75</v>
      </c>
      <c r="I1400" s="29">
        <v>37628000</v>
      </c>
      <c r="P1400" s="125"/>
      <c r="Q1400" s="34"/>
      <c r="R1400" s="115"/>
      <c r="S1400" s="34"/>
      <c r="T1400" s="34"/>
      <c r="U1400" s="34"/>
      <c r="V1400" s="29"/>
    </row>
    <row r="1401" spans="3:22">
      <c r="C1401" s="125">
        <v>44490</v>
      </c>
      <c r="D1401" s="34">
        <v>201.60000600000001</v>
      </c>
      <c r="E1401" s="115">
        <v>202.300003</v>
      </c>
      <c r="F1401" s="34">
        <v>199.740005</v>
      </c>
      <c r="G1401" s="34">
        <v>202.13999899999999</v>
      </c>
      <c r="H1401" s="34">
        <v>195.48074299999999</v>
      </c>
      <c r="I1401" s="29">
        <v>3071300</v>
      </c>
      <c r="P1401" s="125"/>
      <c r="Q1401" s="34"/>
      <c r="R1401" s="115"/>
      <c r="S1401" s="34"/>
      <c r="T1401" s="34"/>
      <c r="U1401" s="34"/>
      <c r="V1401" s="29"/>
    </row>
    <row r="1402" spans="3:22">
      <c r="C1402" s="125">
        <v>44489</v>
      </c>
      <c r="D1402" s="34">
        <v>172.63</v>
      </c>
      <c r="E1402" s="115">
        <v>173.14</v>
      </c>
      <c r="F1402" s="34">
        <v>170.02</v>
      </c>
      <c r="G1402" s="34">
        <v>170.75</v>
      </c>
      <c r="H1402" s="34">
        <v>170.75</v>
      </c>
      <c r="I1402" s="29">
        <v>42796000</v>
      </c>
      <c r="P1402" s="125"/>
      <c r="Q1402" s="34"/>
      <c r="R1402" s="115"/>
      <c r="S1402" s="34"/>
      <c r="T1402" s="34"/>
      <c r="U1402" s="34"/>
      <c r="V1402" s="29"/>
    </row>
    <row r="1403" spans="3:22">
      <c r="C1403" s="125">
        <v>44489</v>
      </c>
      <c r="D1403" s="34">
        <v>201.16000399999999</v>
      </c>
      <c r="E1403" s="115">
        <v>205.179993</v>
      </c>
      <c r="F1403" s="34">
        <v>200.529999</v>
      </c>
      <c r="G1403" s="34">
        <v>204.19000199999999</v>
      </c>
      <c r="H1403" s="34">
        <v>197.463211</v>
      </c>
      <c r="I1403" s="29">
        <v>2936000</v>
      </c>
      <c r="P1403" s="125"/>
      <c r="Q1403" s="34"/>
      <c r="R1403" s="115"/>
      <c r="S1403" s="34"/>
      <c r="T1403" s="34"/>
      <c r="U1403" s="34"/>
      <c r="V1403" s="29"/>
    </row>
    <row r="1404" spans="3:22">
      <c r="C1404" s="125">
        <v>44488</v>
      </c>
      <c r="D1404" s="34">
        <v>171.71</v>
      </c>
      <c r="E1404" s="115">
        <v>172.73</v>
      </c>
      <c r="F1404" s="34">
        <v>171.1</v>
      </c>
      <c r="G1404" s="34">
        <v>172.21</v>
      </c>
      <c r="H1404" s="34">
        <v>172.21</v>
      </c>
      <c r="I1404" s="29">
        <v>47722000</v>
      </c>
      <c r="P1404" s="125"/>
      <c r="Q1404" s="34"/>
      <c r="R1404" s="115"/>
      <c r="S1404" s="34"/>
      <c r="T1404" s="34"/>
      <c r="U1404" s="34"/>
      <c r="V1404" s="29"/>
    </row>
    <row r="1405" spans="3:22">
      <c r="C1405" s="125">
        <v>44488</v>
      </c>
      <c r="D1405" s="34">
        <v>198.60000600000001</v>
      </c>
      <c r="E1405" s="115">
        <v>201.479996</v>
      </c>
      <c r="F1405" s="34">
        <v>198.46000699999999</v>
      </c>
      <c r="G1405" s="34">
        <v>201.13999899999999</v>
      </c>
      <c r="H1405" s="34">
        <v>194.513687</v>
      </c>
      <c r="I1405" s="29">
        <v>2626900</v>
      </c>
      <c r="P1405" s="125"/>
      <c r="Q1405" s="34"/>
      <c r="R1405" s="115"/>
      <c r="S1405" s="34"/>
      <c r="T1405" s="34"/>
      <c r="U1405" s="34"/>
      <c r="V1405" s="29"/>
    </row>
    <row r="1406" spans="3:22">
      <c r="C1406" s="125">
        <v>44487</v>
      </c>
      <c r="D1406" s="34">
        <v>169.42</v>
      </c>
      <c r="E1406" s="115">
        <v>172.46</v>
      </c>
      <c r="F1406" s="34">
        <v>169.26</v>
      </c>
      <c r="G1406" s="34">
        <v>172.34</v>
      </c>
      <c r="H1406" s="34">
        <v>172.34</v>
      </c>
      <c r="I1406" s="29">
        <v>63482000</v>
      </c>
      <c r="P1406" s="125"/>
      <c r="Q1406" s="34"/>
      <c r="R1406" s="115"/>
      <c r="S1406" s="34"/>
      <c r="T1406" s="34"/>
      <c r="U1406" s="34"/>
      <c r="V1406" s="29"/>
    </row>
    <row r="1407" spans="3:22">
      <c r="C1407" s="125">
        <v>44487</v>
      </c>
      <c r="D1407" s="34">
        <v>197.38000500000001</v>
      </c>
      <c r="E1407" s="115">
        <v>198.679993</v>
      </c>
      <c r="F1407" s="34">
        <v>195.550003</v>
      </c>
      <c r="G1407" s="34">
        <v>198.179993</v>
      </c>
      <c r="H1407" s="34">
        <v>191.651184</v>
      </c>
      <c r="I1407" s="29">
        <v>2809400</v>
      </c>
      <c r="P1407" s="125"/>
      <c r="Q1407" s="34"/>
      <c r="R1407" s="115"/>
      <c r="S1407" s="34"/>
      <c r="T1407" s="34"/>
      <c r="U1407" s="34"/>
      <c r="V1407" s="29"/>
    </row>
    <row r="1408" spans="3:22">
      <c r="C1408" s="125">
        <v>44484</v>
      </c>
      <c r="D1408" s="34">
        <v>165.57</v>
      </c>
      <c r="E1408" s="115">
        <v>170.52</v>
      </c>
      <c r="F1408" s="34">
        <v>165.2</v>
      </c>
      <c r="G1408" s="34">
        <v>170.45</v>
      </c>
      <c r="H1408" s="34">
        <v>170.45</v>
      </c>
      <c r="I1408" s="29">
        <v>103598000</v>
      </c>
      <c r="P1408" s="125"/>
      <c r="Q1408" s="34"/>
      <c r="R1408" s="115"/>
      <c r="S1408" s="34"/>
      <c r="T1408" s="34"/>
      <c r="U1408" s="34"/>
      <c r="V1408" s="29"/>
    </row>
    <row r="1409" spans="3:22">
      <c r="C1409" s="125">
        <v>44484</v>
      </c>
      <c r="D1409" s="34">
        <v>195.96000699999999</v>
      </c>
      <c r="E1409" s="115">
        <v>199.449997</v>
      </c>
      <c r="F1409" s="34">
        <v>195.300003</v>
      </c>
      <c r="G1409" s="34">
        <v>199.020004</v>
      </c>
      <c r="H1409" s="34">
        <v>192.46353099999999</v>
      </c>
      <c r="I1409" s="29">
        <v>4736300</v>
      </c>
      <c r="P1409" s="125"/>
      <c r="Q1409" s="34"/>
      <c r="R1409" s="115"/>
      <c r="S1409" s="34"/>
      <c r="T1409" s="34"/>
      <c r="U1409" s="34"/>
      <c r="V1409" s="29"/>
    </row>
    <row r="1410" spans="3:22">
      <c r="C1410" s="125">
        <v>44483</v>
      </c>
      <c r="D1410" s="34">
        <v>165.12</v>
      </c>
      <c r="E1410" s="115">
        <v>165.63</v>
      </c>
      <c r="F1410" s="34">
        <v>164.54</v>
      </c>
      <c r="G1410" s="34">
        <v>164.99</v>
      </c>
      <c r="H1410" s="34">
        <v>164.99</v>
      </c>
      <c r="I1410" s="29">
        <v>42190000</v>
      </c>
      <c r="P1410" s="125"/>
      <c r="Q1410" s="34"/>
      <c r="R1410" s="115"/>
      <c r="S1410" s="34"/>
      <c r="T1410" s="34"/>
      <c r="U1410" s="34"/>
      <c r="V1410" s="29"/>
    </row>
    <row r="1411" spans="3:22">
      <c r="C1411" s="125">
        <v>44483</v>
      </c>
      <c r="D1411" s="34">
        <v>193.550003</v>
      </c>
      <c r="E1411" s="115">
        <v>194.800003</v>
      </c>
      <c r="F1411" s="34">
        <v>192.61000100000001</v>
      </c>
      <c r="G1411" s="34">
        <v>194.33000200000001</v>
      </c>
      <c r="H1411" s="34">
        <v>187.928055</v>
      </c>
      <c r="I1411" s="29">
        <v>5212900</v>
      </c>
      <c r="P1411" s="125"/>
      <c r="Q1411" s="34"/>
      <c r="R1411" s="115"/>
      <c r="S1411" s="34"/>
      <c r="T1411" s="34"/>
      <c r="U1411" s="34"/>
      <c r="V1411" s="29"/>
    </row>
    <row r="1412" spans="3:22">
      <c r="C1412" s="125">
        <v>44482</v>
      </c>
      <c r="D1412" s="34">
        <v>163.49</v>
      </c>
      <c r="E1412" s="115">
        <v>164.42</v>
      </c>
      <c r="F1412" s="34">
        <v>163.05000000000001</v>
      </c>
      <c r="G1412" s="34">
        <v>164.21</v>
      </c>
      <c r="H1412" s="34">
        <v>164.21</v>
      </c>
      <c r="I1412" s="29">
        <v>48402000</v>
      </c>
      <c r="P1412" s="125"/>
      <c r="Q1412" s="34"/>
      <c r="R1412" s="115"/>
      <c r="S1412" s="34"/>
      <c r="T1412" s="34"/>
      <c r="U1412" s="34"/>
      <c r="V1412" s="29"/>
    </row>
    <row r="1413" spans="3:22">
      <c r="C1413" s="125">
        <v>44482</v>
      </c>
      <c r="D1413" s="34">
        <v>190.5</v>
      </c>
      <c r="E1413" s="115">
        <v>191.25</v>
      </c>
      <c r="F1413" s="34">
        <v>187.720001</v>
      </c>
      <c r="G1413" s="34">
        <v>188.94000199999999</v>
      </c>
      <c r="H1413" s="34">
        <v>182.71559099999999</v>
      </c>
      <c r="I1413" s="29">
        <v>3253200</v>
      </c>
      <c r="P1413" s="125"/>
      <c r="Q1413" s="34"/>
      <c r="R1413" s="115"/>
      <c r="S1413" s="34"/>
      <c r="T1413" s="34"/>
      <c r="U1413" s="34"/>
      <c r="V1413" s="29"/>
    </row>
    <row r="1414" spans="3:22">
      <c r="C1414" s="125">
        <v>44481</v>
      </c>
      <c r="D1414" s="34">
        <v>162.85</v>
      </c>
      <c r="E1414" s="115">
        <v>163.38</v>
      </c>
      <c r="F1414" s="34">
        <v>161.81</v>
      </c>
      <c r="G1414" s="34">
        <v>162.37</v>
      </c>
      <c r="H1414" s="34">
        <v>162.37</v>
      </c>
      <c r="I1414" s="29">
        <v>36392000</v>
      </c>
      <c r="P1414" s="125"/>
      <c r="Q1414" s="34"/>
      <c r="R1414" s="115"/>
      <c r="S1414" s="34"/>
      <c r="T1414" s="34"/>
      <c r="U1414" s="34"/>
      <c r="V1414" s="29"/>
    </row>
    <row r="1415" spans="3:22">
      <c r="C1415" s="125">
        <v>44481</v>
      </c>
      <c r="D1415" s="34">
        <v>192.320007</v>
      </c>
      <c r="E1415" s="115">
        <v>193.58000200000001</v>
      </c>
      <c r="F1415" s="34">
        <v>189.58000200000001</v>
      </c>
      <c r="G1415" s="34">
        <v>189.91999799999999</v>
      </c>
      <c r="H1415" s="34">
        <v>183.66334499999999</v>
      </c>
      <c r="I1415" s="29">
        <v>4706700</v>
      </c>
      <c r="P1415" s="125"/>
      <c r="Q1415" s="34"/>
      <c r="R1415" s="115"/>
      <c r="S1415" s="34"/>
      <c r="T1415" s="34"/>
      <c r="U1415" s="34"/>
      <c r="V1415" s="29"/>
    </row>
    <row r="1416" spans="3:22">
      <c r="C1416" s="125">
        <v>44480</v>
      </c>
      <c r="D1416" s="34">
        <v>163.75</v>
      </c>
      <c r="E1416" s="115">
        <v>164.63</v>
      </c>
      <c r="F1416" s="34">
        <v>161.9</v>
      </c>
      <c r="G1416" s="34">
        <v>162.32</v>
      </c>
      <c r="H1416" s="34">
        <v>162.32</v>
      </c>
      <c r="I1416" s="29">
        <v>40684000</v>
      </c>
      <c r="P1416" s="125"/>
      <c r="Q1416" s="34"/>
      <c r="R1416" s="115"/>
      <c r="S1416" s="34"/>
      <c r="T1416" s="34"/>
      <c r="U1416" s="34"/>
      <c r="V1416" s="29"/>
    </row>
    <row r="1417" spans="3:22">
      <c r="C1417" s="125">
        <v>44480</v>
      </c>
      <c r="D1417" s="34">
        <v>196.33999600000001</v>
      </c>
      <c r="E1417" s="115">
        <v>197.16999799999999</v>
      </c>
      <c r="F1417" s="34">
        <v>192.679993</v>
      </c>
      <c r="G1417" s="34">
        <v>192.88999899999999</v>
      </c>
      <c r="H1417" s="34">
        <v>186.535461</v>
      </c>
      <c r="I1417" s="29">
        <v>2015200</v>
      </c>
      <c r="P1417" s="125"/>
      <c r="Q1417" s="34"/>
      <c r="R1417" s="115"/>
      <c r="S1417" s="34"/>
      <c r="T1417" s="34"/>
      <c r="U1417" s="34"/>
      <c r="V1417" s="29"/>
    </row>
    <row r="1418" spans="3:22">
      <c r="C1418" s="125">
        <v>44477</v>
      </c>
      <c r="D1418" s="34">
        <v>165.85</v>
      </c>
      <c r="E1418" s="115">
        <v>166.07</v>
      </c>
      <c r="F1418" s="34">
        <v>164.41</v>
      </c>
      <c r="G1418" s="34">
        <v>164.43</v>
      </c>
      <c r="H1418" s="34">
        <v>164.43</v>
      </c>
      <c r="I1418" s="29">
        <v>39964000</v>
      </c>
      <c r="P1418" s="125"/>
      <c r="Q1418" s="34"/>
      <c r="R1418" s="115"/>
      <c r="S1418" s="34"/>
      <c r="T1418" s="34"/>
      <c r="U1418" s="34"/>
      <c r="V1418" s="29"/>
    </row>
    <row r="1419" spans="3:22">
      <c r="C1419" s="125">
        <v>44477</v>
      </c>
      <c r="D1419" s="34">
        <v>195.800003</v>
      </c>
      <c r="E1419" s="115">
        <v>196.58000200000001</v>
      </c>
      <c r="F1419" s="34">
        <v>194.740005</v>
      </c>
      <c r="G1419" s="34">
        <v>195.16000399999999</v>
      </c>
      <c r="H1419" s="34">
        <v>188.73069799999999</v>
      </c>
      <c r="I1419" s="29">
        <v>2713200</v>
      </c>
      <c r="P1419" s="125"/>
      <c r="Q1419" s="34"/>
      <c r="R1419" s="115"/>
      <c r="S1419" s="34"/>
      <c r="T1419" s="34"/>
      <c r="U1419" s="34"/>
      <c r="V1419" s="29"/>
    </row>
    <row r="1420" spans="3:22">
      <c r="C1420" s="125">
        <v>44476</v>
      </c>
      <c r="D1420" s="34">
        <v>164.58</v>
      </c>
      <c r="E1420" s="115">
        <v>166.29</v>
      </c>
      <c r="F1420" s="34">
        <v>164.15</v>
      </c>
      <c r="G1420" s="34">
        <v>165.12</v>
      </c>
      <c r="H1420" s="34">
        <v>165.12</v>
      </c>
      <c r="I1420" s="29">
        <v>48182000</v>
      </c>
      <c r="P1420" s="125"/>
      <c r="Q1420" s="34"/>
      <c r="R1420" s="115"/>
      <c r="S1420" s="34"/>
      <c r="T1420" s="34"/>
      <c r="U1420" s="34"/>
      <c r="V1420" s="29"/>
    </row>
    <row r="1421" spans="3:22">
      <c r="C1421" s="125">
        <v>44476</v>
      </c>
      <c r="D1421" s="34">
        <v>193.729996</v>
      </c>
      <c r="E1421" s="115">
        <v>196.38999899999999</v>
      </c>
      <c r="F1421" s="34">
        <v>193.61000100000001</v>
      </c>
      <c r="G1421" s="34">
        <v>195.75</v>
      </c>
      <c r="H1421" s="34">
        <v>189.30126999999999</v>
      </c>
      <c r="I1421" s="29">
        <v>3510500</v>
      </c>
      <c r="P1421" s="125"/>
      <c r="Q1421" s="34"/>
      <c r="R1421" s="115"/>
      <c r="S1421" s="34"/>
      <c r="T1421" s="34"/>
      <c r="U1421" s="34"/>
      <c r="V1421" s="29"/>
    </row>
    <row r="1422" spans="3:22">
      <c r="C1422" s="125">
        <v>44475</v>
      </c>
      <c r="D1422" s="34">
        <v>160.68</v>
      </c>
      <c r="E1422" s="115">
        <v>163.22</v>
      </c>
      <c r="F1422" s="34">
        <v>159.93</v>
      </c>
      <c r="G1422" s="34">
        <v>163.1</v>
      </c>
      <c r="H1422" s="34">
        <v>163.1</v>
      </c>
      <c r="I1422" s="29">
        <v>50660000</v>
      </c>
      <c r="P1422" s="125"/>
      <c r="Q1422" s="34"/>
      <c r="R1422" s="115"/>
      <c r="S1422" s="34"/>
      <c r="T1422" s="34"/>
      <c r="U1422" s="34"/>
      <c r="V1422" s="29"/>
    </row>
    <row r="1423" spans="3:22">
      <c r="C1423" s="125">
        <v>44475</v>
      </c>
      <c r="D1423" s="34">
        <v>190</v>
      </c>
      <c r="E1423" s="115">
        <v>192.38999899999999</v>
      </c>
      <c r="F1423" s="34">
        <v>187.800003</v>
      </c>
      <c r="G1423" s="34">
        <v>191.86000100000001</v>
      </c>
      <c r="H1423" s="34">
        <v>185.53939800000001</v>
      </c>
      <c r="I1423" s="29">
        <v>3777700</v>
      </c>
      <c r="P1423" s="125"/>
      <c r="Q1423" s="34"/>
      <c r="R1423" s="115"/>
      <c r="S1423" s="34"/>
      <c r="T1423" s="34"/>
      <c r="U1423" s="34"/>
      <c r="V1423" s="29"/>
    </row>
    <row r="1424" spans="3:22">
      <c r="C1424" s="125">
        <v>44474</v>
      </c>
      <c r="D1424" s="34">
        <v>160.22999999999999</v>
      </c>
      <c r="E1424" s="115">
        <v>163.04</v>
      </c>
      <c r="F1424" s="34">
        <v>160.12</v>
      </c>
      <c r="G1424" s="34">
        <v>161.05000000000001</v>
      </c>
      <c r="H1424" s="34">
        <v>161.05000000000001</v>
      </c>
      <c r="I1424" s="29">
        <v>65384000</v>
      </c>
      <c r="P1424" s="125"/>
      <c r="Q1424" s="34"/>
      <c r="R1424" s="115"/>
      <c r="S1424" s="34"/>
      <c r="T1424" s="34"/>
      <c r="U1424" s="34"/>
      <c r="V1424" s="29"/>
    </row>
    <row r="1425" spans="3:22">
      <c r="C1425" s="125">
        <v>44474</v>
      </c>
      <c r="D1425" s="34">
        <v>192.759995</v>
      </c>
      <c r="E1425" s="115">
        <v>194.39999399999999</v>
      </c>
      <c r="F1425" s="34">
        <v>190.729996</v>
      </c>
      <c r="G1425" s="34">
        <v>192.5</v>
      </c>
      <c r="H1425" s="34">
        <v>186.15831</v>
      </c>
      <c r="I1425" s="29">
        <v>3074600</v>
      </c>
      <c r="P1425" s="125"/>
      <c r="Q1425" s="34"/>
      <c r="R1425" s="115"/>
      <c r="S1425" s="34"/>
      <c r="T1425" s="34"/>
      <c r="U1425" s="34"/>
      <c r="V1425" s="29"/>
    </row>
    <row r="1426" spans="3:22">
      <c r="C1426" s="125">
        <v>44473</v>
      </c>
      <c r="D1426" s="34">
        <v>163.97</v>
      </c>
      <c r="E1426" s="115">
        <v>164</v>
      </c>
      <c r="F1426" s="34">
        <v>158.81</v>
      </c>
      <c r="G1426" s="34">
        <v>159.49</v>
      </c>
      <c r="H1426" s="34">
        <v>159.49</v>
      </c>
      <c r="I1426" s="29">
        <v>90462000</v>
      </c>
      <c r="P1426" s="125"/>
      <c r="Q1426" s="34"/>
      <c r="R1426" s="115"/>
      <c r="S1426" s="34"/>
      <c r="T1426" s="34"/>
      <c r="U1426" s="34"/>
      <c r="V1426" s="29"/>
    </row>
    <row r="1427" spans="3:22">
      <c r="C1427" s="125">
        <v>44473</v>
      </c>
      <c r="D1427" s="34">
        <v>194.740005</v>
      </c>
      <c r="E1427" s="115">
        <v>195.91000399999999</v>
      </c>
      <c r="F1427" s="34">
        <v>192.41000399999999</v>
      </c>
      <c r="G1427" s="34">
        <v>193.13000500000001</v>
      </c>
      <c r="H1427" s="34">
        <v>186.76757799999999</v>
      </c>
      <c r="I1427" s="29">
        <v>2864600</v>
      </c>
      <c r="P1427" s="125"/>
      <c r="Q1427" s="34"/>
      <c r="R1427" s="115"/>
      <c r="S1427" s="34"/>
      <c r="T1427" s="34"/>
      <c r="U1427" s="34"/>
      <c r="V1427" s="29"/>
    </row>
    <row r="1428" spans="3:22">
      <c r="C1428" s="125">
        <v>44470</v>
      </c>
      <c r="D1428" s="34">
        <v>164.45</v>
      </c>
      <c r="E1428" s="115">
        <v>165.46</v>
      </c>
      <c r="F1428" s="34">
        <v>162.80000000000001</v>
      </c>
      <c r="G1428" s="34">
        <v>164.16</v>
      </c>
      <c r="H1428" s="34">
        <v>164.16</v>
      </c>
      <c r="I1428" s="29">
        <v>56712000</v>
      </c>
      <c r="P1428" s="125"/>
      <c r="Q1428" s="34"/>
      <c r="R1428" s="115"/>
      <c r="S1428" s="34"/>
      <c r="T1428" s="34"/>
      <c r="U1428" s="34"/>
      <c r="V1428" s="29"/>
    </row>
    <row r="1429" spans="3:22">
      <c r="C1429" s="125">
        <v>44470</v>
      </c>
      <c r="D1429" s="34">
        <v>192.89999399999999</v>
      </c>
      <c r="E1429" s="115">
        <v>195.86999499999999</v>
      </c>
      <c r="F1429" s="34">
        <v>191.240005</v>
      </c>
      <c r="G1429" s="34">
        <v>194.33000200000001</v>
      </c>
      <c r="H1429" s="34">
        <v>187.928055</v>
      </c>
      <c r="I1429" s="29">
        <v>3695500</v>
      </c>
      <c r="P1429" s="125"/>
      <c r="Q1429" s="34"/>
      <c r="R1429" s="115"/>
      <c r="S1429" s="34"/>
      <c r="T1429" s="34"/>
      <c r="U1429" s="34"/>
      <c r="V1429" s="29"/>
    </row>
    <row r="1430" spans="3:22">
      <c r="C1430" s="125">
        <v>44469</v>
      </c>
      <c r="D1430" s="34">
        <v>165.8</v>
      </c>
      <c r="E1430" s="115">
        <v>166.39</v>
      </c>
      <c r="F1430" s="34">
        <v>163.69999999999999</v>
      </c>
      <c r="G1430" s="34">
        <v>164.25</v>
      </c>
      <c r="H1430" s="34">
        <v>164.25</v>
      </c>
      <c r="I1430" s="29">
        <v>56848000</v>
      </c>
      <c r="P1430" s="125"/>
      <c r="Q1430" s="34"/>
      <c r="R1430" s="115"/>
      <c r="S1430" s="34"/>
      <c r="T1430" s="34"/>
      <c r="U1430" s="34"/>
      <c r="V1430" s="29"/>
    </row>
    <row r="1431" spans="3:22">
      <c r="C1431" s="125">
        <v>44469</v>
      </c>
      <c r="D1431" s="34">
        <v>198.61999499999999</v>
      </c>
      <c r="E1431" s="115">
        <v>198.86999499999999</v>
      </c>
      <c r="F1431" s="34">
        <v>191.63000500000001</v>
      </c>
      <c r="G1431" s="34">
        <v>191.970001</v>
      </c>
      <c r="H1431" s="34">
        <v>185.645782</v>
      </c>
      <c r="I1431" s="29">
        <v>4978100</v>
      </c>
      <c r="P1431" s="125"/>
      <c r="Q1431" s="34"/>
      <c r="R1431" s="115"/>
      <c r="S1431" s="34"/>
      <c r="T1431" s="34"/>
      <c r="U1431" s="34"/>
      <c r="V1431" s="29"/>
    </row>
    <row r="1432" spans="3:22">
      <c r="C1432" s="125">
        <v>44468</v>
      </c>
      <c r="D1432" s="34">
        <v>166.11</v>
      </c>
      <c r="E1432" s="115">
        <v>167.57</v>
      </c>
      <c r="F1432" s="34">
        <v>164.89</v>
      </c>
      <c r="G1432" s="34">
        <v>165.06</v>
      </c>
      <c r="H1432" s="34">
        <v>165.06</v>
      </c>
      <c r="I1432" s="29">
        <v>51246000</v>
      </c>
      <c r="P1432" s="125"/>
      <c r="Q1432" s="34"/>
      <c r="R1432" s="115"/>
      <c r="S1432" s="34"/>
      <c r="T1432" s="34"/>
      <c r="U1432" s="34"/>
      <c r="V1432" s="29"/>
    </row>
    <row r="1433" spans="3:22">
      <c r="C1433" s="125">
        <v>44468</v>
      </c>
      <c r="D1433" s="34">
        <v>200.479996</v>
      </c>
      <c r="E1433" s="115">
        <v>201.16000399999999</v>
      </c>
      <c r="F1433" s="34">
        <v>197.699997</v>
      </c>
      <c r="G1433" s="34">
        <v>197.86999499999999</v>
      </c>
      <c r="H1433" s="34">
        <v>191.35142500000001</v>
      </c>
      <c r="I1433" s="29">
        <v>2954700</v>
      </c>
      <c r="P1433" s="125"/>
      <c r="Q1433" s="34"/>
      <c r="R1433" s="115"/>
      <c r="S1433" s="34"/>
      <c r="T1433" s="34"/>
      <c r="U1433" s="34"/>
      <c r="V1433" s="29"/>
    </row>
    <row r="1434" spans="3:22">
      <c r="C1434" s="125">
        <v>44467</v>
      </c>
      <c r="D1434" s="34">
        <v>167.89</v>
      </c>
      <c r="E1434" s="115">
        <v>168.46</v>
      </c>
      <c r="F1434" s="34">
        <v>164.51</v>
      </c>
      <c r="G1434" s="34">
        <v>165.8</v>
      </c>
      <c r="H1434" s="34">
        <v>165.8</v>
      </c>
      <c r="I1434" s="29">
        <v>88616000</v>
      </c>
      <c r="P1434" s="125"/>
      <c r="Q1434" s="34"/>
      <c r="R1434" s="115"/>
      <c r="S1434" s="34"/>
      <c r="T1434" s="34"/>
      <c r="U1434" s="34"/>
      <c r="V1434" s="29"/>
    </row>
    <row r="1435" spans="3:22">
      <c r="C1435" s="125">
        <v>44467</v>
      </c>
      <c r="D1435" s="34">
        <v>200.199997</v>
      </c>
      <c r="E1435" s="115">
        <v>201.88999899999999</v>
      </c>
      <c r="F1435" s="34">
        <v>198.75</v>
      </c>
      <c r="G1435" s="34">
        <v>200.550003</v>
      </c>
      <c r="H1435" s="34">
        <v>193.94313</v>
      </c>
      <c r="I1435" s="29">
        <v>3247500</v>
      </c>
      <c r="P1435" s="125"/>
      <c r="Q1435" s="34"/>
      <c r="R1435" s="115"/>
      <c r="S1435" s="34"/>
      <c r="T1435" s="34"/>
      <c r="U1435" s="34"/>
      <c r="V1435" s="29"/>
    </row>
    <row r="1436" spans="3:22">
      <c r="C1436" s="125">
        <v>44466</v>
      </c>
      <c r="D1436" s="34">
        <v>168.57</v>
      </c>
      <c r="E1436" s="115">
        <v>170.78</v>
      </c>
      <c r="F1436" s="34">
        <v>166.98</v>
      </c>
      <c r="G1436" s="34">
        <v>170.29</v>
      </c>
      <c r="H1436" s="34">
        <v>170.29</v>
      </c>
      <c r="I1436" s="29">
        <v>72690000</v>
      </c>
      <c r="P1436" s="125"/>
      <c r="Q1436" s="34"/>
      <c r="R1436" s="115"/>
      <c r="S1436" s="34"/>
      <c r="T1436" s="34"/>
      <c r="U1436" s="34"/>
      <c r="V1436" s="29"/>
    </row>
    <row r="1437" spans="3:22">
      <c r="C1437" s="125">
        <v>44466</v>
      </c>
      <c r="D1437" s="34">
        <v>197.60000600000001</v>
      </c>
      <c r="E1437" s="115">
        <v>201.990005</v>
      </c>
      <c r="F1437" s="34">
        <v>197.60000600000001</v>
      </c>
      <c r="G1437" s="34">
        <v>200</v>
      </c>
      <c r="H1437" s="34">
        <v>193.41127</v>
      </c>
      <c r="I1437" s="29">
        <v>3033100</v>
      </c>
      <c r="P1437" s="125"/>
      <c r="Q1437" s="34"/>
      <c r="R1437" s="115"/>
      <c r="S1437" s="34"/>
      <c r="T1437" s="34"/>
      <c r="U1437" s="34"/>
      <c r="V1437" s="29"/>
    </row>
    <row r="1438" spans="3:22">
      <c r="C1438" s="125">
        <v>44463</v>
      </c>
      <c r="D1438" s="34">
        <v>170.1</v>
      </c>
      <c r="E1438" s="115">
        <v>171.46</v>
      </c>
      <c r="F1438" s="34">
        <v>169.67</v>
      </c>
      <c r="G1438" s="34">
        <v>171.28</v>
      </c>
      <c r="H1438" s="34">
        <v>171.28</v>
      </c>
      <c r="I1438" s="29">
        <v>42324000</v>
      </c>
      <c r="P1438" s="125"/>
      <c r="Q1438" s="34"/>
      <c r="R1438" s="115"/>
      <c r="S1438" s="34"/>
      <c r="T1438" s="34"/>
      <c r="U1438" s="34"/>
      <c r="V1438" s="29"/>
    </row>
    <row r="1439" spans="3:22">
      <c r="C1439" s="125">
        <v>44463</v>
      </c>
      <c r="D1439" s="34">
        <v>195.64999399999999</v>
      </c>
      <c r="E1439" s="115">
        <v>197.78999300000001</v>
      </c>
      <c r="F1439" s="34">
        <v>194.929993</v>
      </c>
      <c r="G1439" s="34">
        <v>196.820007</v>
      </c>
      <c r="H1439" s="34">
        <v>190.336029</v>
      </c>
      <c r="I1439" s="29">
        <v>2199500</v>
      </c>
      <c r="P1439" s="125"/>
      <c r="Q1439" s="34"/>
      <c r="R1439" s="115"/>
      <c r="S1439" s="34"/>
      <c r="T1439" s="34"/>
      <c r="U1439" s="34"/>
      <c r="V1439" s="29"/>
    </row>
    <row r="1440" spans="3:22">
      <c r="C1440" s="125">
        <v>44462</v>
      </c>
      <c r="D1440" s="34">
        <v>169</v>
      </c>
      <c r="E1440" s="115">
        <v>171.45</v>
      </c>
      <c r="F1440" s="34">
        <v>169</v>
      </c>
      <c r="G1440" s="34">
        <v>170.8</v>
      </c>
      <c r="H1440" s="34">
        <v>170.8</v>
      </c>
      <c r="I1440" s="29">
        <v>47588000</v>
      </c>
      <c r="P1440" s="125"/>
      <c r="Q1440" s="34"/>
      <c r="R1440" s="115"/>
      <c r="S1440" s="34"/>
      <c r="T1440" s="34"/>
      <c r="U1440" s="34"/>
      <c r="V1440" s="29"/>
    </row>
    <row r="1441" spans="3:22">
      <c r="C1441" s="125">
        <v>44462</v>
      </c>
      <c r="D1441" s="34">
        <v>192.91000399999999</v>
      </c>
      <c r="E1441" s="115">
        <v>197.60000600000001</v>
      </c>
      <c r="F1441" s="34">
        <v>192.85000600000001</v>
      </c>
      <c r="G1441" s="34">
        <v>196.61999499999999</v>
      </c>
      <c r="H1441" s="34">
        <v>190.14257799999999</v>
      </c>
      <c r="I1441" s="29">
        <v>3367800</v>
      </c>
      <c r="P1441" s="125"/>
      <c r="Q1441" s="34"/>
      <c r="R1441" s="115"/>
      <c r="S1441" s="34"/>
      <c r="T1441" s="34"/>
      <c r="U1441" s="34"/>
      <c r="V1441" s="29"/>
    </row>
    <row r="1442" spans="3:22">
      <c r="C1442" s="125">
        <v>44461</v>
      </c>
      <c r="D1442" s="34">
        <v>167.55</v>
      </c>
      <c r="E1442" s="115">
        <v>169.45</v>
      </c>
      <c r="F1442" s="34">
        <v>167.05</v>
      </c>
      <c r="G1442" s="34">
        <v>169</v>
      </c>
      <c r="H1442" s="34">
        <v>169</v>
      </c>
      <c r="I1442" s="29">
        <v>48228000</v>
      </c>
      <c r="P1442" s="125"/>
      <c r="Q1442" s="34"/>
      <c r="R1442" s="115"/>
      <c r="S1442" s="34"/>
      <c r="T1442" s="34"/>
      <c r="U1442" s="34"/>
      <c r="V1442" s="29"/>
    </row>
    <row r="1443" spans="3:22">
      <c r="C1443" s="125">
        <v>44461</v>
      </c>
      <c r="D1443" s="34">
        <v>192</v>
      </c>
      <c r="E1443" s="115">
        <v>194.5</v>
      </c>
      <c r="F1443" s="34">
        <v>191.16000399999999</v>
      </c>
      <c r="G1443" s="34">
        <v>191.35000600000001</v>
      </c>
      <c r="H1443" s="34">
        <v>185.04621900000001</v>
      </c>
      <c r="I1443" s="29">
        <v>3924400</v>
      </c>
      <c r="P1443" s="125"/>
      <c r="Q1443" s="34"/>
      <c r="R1443" s="115"/>
      <c r="S1443" s="34"/>
      <c r="T1443" s="34"/>
      <c r="U1443" s="34"/>
      <c r="V1443" s="29"/>
    </row>
    <row r="1444" spans="3:22">
      <c r="C1444" s="125">
        <v>44460</v>
      </c>
      <c r="D1444" s="34">
        <v>168.75</v>
      </c>
      <c r="E1444" s="115">
        <v>168.99</v>
      </c>
      <c r="F1444" s="34">
        <v>166.62</v>
      </c>
      <c r="G1444" s="34">
        <v>167.18</v>
      </c>
      <c r="H1444" s="34">
        <v>167.18</v>
      </c>
      <c r="I1444" s="29">
        <v>55618000</v>
      </c>
      <c r="P1444" s="125"/>
      <c r="Q1444" s="34"/>
      <c r="R1444" s="115"/>
      <c r="S1444" s="34"/>
      <c r="T1444" s="34"/>
      <c r="U1444" s="34"/>
      <c r="V1444" s="29"/>
    </row>
    <row r="1445" spans="3:22">
      <c r="C1445" s="125">
        <v>44460</v>
      </c>
      <c r="D1445" s="34">
        <v>192</v>
      </c>
      <c r="E1445" s="115">
        <v>192.71000699999999</v>
      </c>
      <c r="F1445" s="34">
        <v>186.979996</v>
      </c>
      <c r="G1445" s="34">
        <v>189.83999600000001</v>
      </c>
      <c r="H1445" s="34">
        <v>183.585938</v>
      </c>
      <c r="I1445" s="29">
        <v>5699900</v>
      </c>
      <c r="P1445" s="125"/>
      <c r="Q1445" s="34"/>
      <c r="R1445" s="115"/>
      <c r="S1445" s="34"/>
      <c r="T1445" s="34"/>
      <c r="U1445" s="34"/>
      <c r="V1445" s="29"/>
    </row>
    <row r="1446" spans="3:22">
      <c r="C1446" s="125">
        <v>44459</v>
      </c>
      <c r="D1446" s="34">
        <v>169.8</v>
      </c>
      <c r="E1446" s="115">
        <v>170.95</v>
      </c>
      <c r="F1446" s="34">
        <v>165.25</v>
      </c>
      <c r="G1446" s="34">
        <v>167.79</v>
      </c>
      <c r="H1446" s="34">
        <v>167.79</v>
      </c>
      <c r="I1446" s="29">
        <v>93382000</v>
      </c>
      <c r="P1446" s="125"/>
      <c r="Q1446" s="34"/>
      <c r="R1446" s="115"/>
      <c r="S1446" s="34"/>
      <c r="T1446" s="34"/>
      <c r="U1446" s="34"/>
      <c r="V1446" s="29"/>
    </row>
    <row r="1447" spans="3:22">
      <c r="C1447" s="125">
        <v>44459</v>
      </c>
      <c r="D1447" s="34">
        <v>193.05999800000001</v>
      </c>
      <c r="E1447" s="115">
        <v>193.990005</v>
      </c>
      <c r="F1447" s="34">
        <v>188.479996</v>
      </c>
      <c r="G1447" s="34">
        <v>190.820007</v>
      </c>
      <c r="H1447" s="34">
        <v>184.533691</v>
      </c>
      <c r="I1447" s="29">
        <v>9151100</v>
      </c>
      <c r="P1447" s="125"/>
      <c r="Q1447" s="34"/>
      <c r="R1447" s="115"/>
      <c r="S1447" s="34"/>
      <c r="T1447" s="34"/>
      <c r="U1447" s="34"/>
      <c r="V1447" s="29"/>
    </row>
    <row r="1448" spans="3:22">
      <c r="C1448" s="125">
        <v>44456</v>
      </c>
      <c r="D1448" s="34">
        <v>174.42</v>
      </c>
      <c r="E1448" s="115">
        <v>174.87</v>
      </c>
      <c r="F1448" s="34">
        <v>172.61</v>
      </c>
      <c r="G1448" s="34">
        <v>173.13</v>
      </c>
      <c r="H1448" s="34">
        <v>173.13</v>
      </c>
      <c r="I1448" s="29">
        <v>92332000</v>
      </c>
      <c r="P1448" s="125"/>
      <c r="Q1448" s="34"/>
      <c r="R1448" s="115"/>
      <c r="S1448" s="34"/>
      <c r="T1448" s="34"/>
      <c r="U1448" s="34"/>
      <c r="V1448" s="29"/>
    </row>
    <row r="1449" spans="3:22">
      <c r="C1449" s="125">
        <v>44456</v>
      </c>
      <c r="D1449" s="34">
        <v>202.63000500000001</v>
      </c>
      <c r="E1449" s="115">
        <v>203.270004</v>
      </c>
      <c r="F1449" s="34">
        <v>199.449997</v>
      </c>
      <c r="G1449" s="34">
        <v>199.75</v>
      </c>
      <c r="H1449" s="34">
        <v>193.169479</v>
      </c>
      <c r="I1449" s="29">
        <v>6351100</v>
      </c>
      <c r="P1449" s="125"/>
      <c r="Q1449" s="34"/>
      <c r="R1449" s="115"/>
      <c r="S1449" s="34"/>
      <c r="T1449" s="34"/>
      <c r="U1449" s="34"/>
      <c r="V1449" s="29"/>
    </row>
    <row r="1450" spans="3:22">
      <c r="C1450" s="125">
        <v>44455</v>
      </c>
      <c r="D1450" s="34">
        <v>173</v>
      </c>
      <c r="E1450" s="115">
        <v>174.63</v>
      </c>
      <c r="F1450" s="34">
        <v>172.31</v>
      </c>
      <c r="G1450" s="34">
        <v>174.41</v>
      </c>
      <c r="H1450" s="34">
        <v>174.41</v>
      </c>
      <c r="I1450" s="29">
        <v>51672000</v>
      </c>
      <c r="P1450" s="125"/>
      <c r="Q1450" s="34"/>
      <c r="R1450" s="115"/>
      <c r="S1450" s="34"/>
      <c r="T1450" s="34"/>
      <c r="U1450" s="34"/>
      <c r="V1450" s="29"/>
    </row>
    <row r="1451" spans="3:22">
      <c r="C1451" s="125">
        <v>44455</v>
      </c>
      <c r="D1451" s="34">
        <v>205.449997</v>
      </c>
      <c r="E1451" s="115">
        <v>206.38999899999999</v>
      </c>
      <c r="F1451" s="34">
        <v>202.820007</v>
      </c>
      <c r="G1451" s="34">
        <v>203.60000600000001</v>
      </c>
      <c r="H1451" s="34">
        <v>196.89267000000001</v>
      </c>
      <c r="I1451" s="29">
        <v>3120100</v>
      </c>
      <c r="P1451" s="125"/>
      <c r="Q1451" s="34"/>
      <c r="R1451" s="115"/>
      <c r="S1451" s="34"/>
      <c r="T1451" s="34"/>
      <c r="U1451" s="34"/>
      <c r="V1451" s="29"/>
    </row>
    <row r="1452" spans="3:22">
      <c r="C1452" s="125">
        <v>44454</v>
      </c>
      <c r="D1452" s="34">
        <v>172.13</v>
      </c>
      <c r="E1452" s="115">
        <v>174.27</v>
      </c>
      <c r="F1452" s="34">
        <v>170.1</v>
      </c>
      <c r="G1452" s="34">
        <v>173.79</v>
      </c>
      <c r="H1452" s="34">
        <v>173.79</v>
      </c>
      <c r="I1452" s="29">
        <v>59150000</v>
      </c>
      <c r="P1452" s="125"/>
      <c r="Q1452" s="34"/>
      <c r="R1452" s="115"/>
      <c r="S1452" s="34"/>
      <c r="T1452" s="34"/>
      <c r="U1452" s="34"/>
      <c r="V1452" s="29"/>
    </row>
    <row r="1453" spans="3:22">
      <c r="C1453" s="125">
        <v>44454</v>
      </c>
      <c r="D1453" s="34">
        <v>202.16999799999999</v>
      </c>
      <c r="E1453" s="115">
        <v>206.58999600000001</v>
      </c>
      <c r="F1453" s="34">
        <v>201.86999499999999</v>
      </c>
      <c r="G1453" s="34">
        <v>205.729996</v>
      </c>
      <c r="H1453" s="34">
        <v>198.95246900000001</v>
      </c>
      <c r="I1453" s="29">
        <v>3342700</v>
      </c>
      <c r="P1453" s="125"/>
      <c r="Q1453" s="34"/>
      <c r="R1453" s="115"/>
      <c r="S1453" s="34"/>
      <c r="T1453" s="34"/>
      <c r="U1453" s="34"/>
      <c r="V1453" s="29"/>
    </row>
    <row r="1454" spans="3:22">
      <c r="C1454" s="125">
        <v>44453</v>
      </c>
      <c r="D1454" s="34">
        <v>173.78</v>
      </c>
      <c r="E1454" s="115">
        <v>174.34</v>
      </c>
      <c r="F1454" s="34">
        <v>171.89</v>
      </c>
      <c r="G1454" s="34">
        <v>172.5</v>
      </c>
      <c r="H1454" s="34">
        <v>172.5</v>
      </c>
      <c r="I1454" s="29">
        <v>38738000</v>
      </c>
      <c r="P1454" s="125"/>
      <c r="Q1454" s="34"/>
      <c r="R1454" s="115"/>
      <c r="S1454" s="34"/>
      <c r="T1454" s="34"/>
      <c r="U1454" s="34"/>
      <c r="V1454" s="29"/>
    </row>
    <row r="1455" spans="3:22">
      <c r="C1455" s="125">
        <v>44453</v>
      </c>
      <c r="D1455" s="34">
        <v>206.03999300000001</v>
      </c>
      <c r="E1455" s="115">
        <v>206.10000600000001</v>
      </c>
      <c r="F1455" s="34">
        <v>201.63999899999999</v>
      </c>
      <c r="G1455" s="34">
        <v>202.33000200000001</v>
      </c>
      <c r="H1455" s="34">
        <v>195.66449</v>
      </c>
      <c r="I1455" s="29">
        <v>3757600</v>
      </c>
      <c r="P1455" s="125"/>
      <c r="Q1455" s="34"/>
      <c r="R1455" s="115"/>
      <c r="S1455" s="34"/>
      <c r="T1455" s="34"/>
      <c r="U1455" s="34"/>
      <c r="V1455" s="29"/>
    </row>
    <row r="1456" spans="3:22">
      <c r="C1456" s="125">
        <v>44452</v>
      </c>
      <c r="D1456" s="34">
        <v>174.14</v>
      </c>
      <c r="E1456" s="115">
        <v>174.9</v>
      </c>
      <c r="F1456" s="34">
        <v>171.9</v>
      </c>
      <c r="G1456" s="34">
        <v>172.86</v>
      </c>
      <c r="H1456" s="34">
        <v>172.86</v>
      </c>
      <c r="I1456" s="29">
        <v>51380000</v>
      </c>
      <c r="P1456" s="125"/>
      <c r="Q1456" s="34"/>
      <c r="R1456" s="115"/>
      <c r="S1456" s="34"/>
      <c r="T1456" s="34"/>
      <c r="U1456" s="34"/>
      <c r="V1456" s="29"/>
    </row>
    <row r="1457" spans="3:22">
      <c r="C1457" s="125">
        <v>44452</v>
      </c>
      <c r="D1457" s="34">
        <v>207.16000399999999</v>
      </c>
      <c r="E1457" s="115">
        <v>207.86000100000001</v>
      </c>
      <c r="F1457" s="34">
        <v>203.929993</v>
      </c>
      <c r="G1457" s="34">
        <v>206.199997</v>
      </c>
      <c r="H1457" s="34">
        <v>199.406982</v>
      </c>
      <c r="I1457" s="29">
        <v>2699100</v>
      </c>
      <c r="P1457" s="125"/>
      <c r="Q1457" s="34"/>
      <c r="R1457" s="115"/>
      <c r="S1457" s="34"/>
      <c r="T1457" s="34"/>
      <c r="U1457" s="34"/>
      <c r="V1457" s="29"/>
    </row>
    <row r="1458" spans="3:22">
      <c r="C1458" s="125">
        <v>44449</v>
      </c>
      <c r="D1458" s="34">
        <v>175.09</v>
      </c>
      <c r="E1458" s="115">
        <v>175.42</v>
      </c>
      <c r="F1458" s="34">
        <v>173.15</v>
      </c>
      <c r="G1458" s="34">
        <v>173.46</v>
      </c>
      <c r="H1458" s="34">
        <v>173.46</v>
      </c>
      <c r="I1458" s="29">
        <v>47946000</v>
      </c>
      <c r="P1458" s="125"/>
      <c r="Q1458" s="34"/>
      <c r="R1458" s="115"/>
      <c r="S1458" s="34"/>
      <c r="T1458" s="34"/>
      <c r="U1458" s="34"/>
      <c r="V1458" s="29"/>
    </row>
    <row r="1459" spans="3:22">
      <c r="C1459" s="125">
        <v>44449</v>
      </c>
      <c r="D1459" s="34">
        <v>207.10000600000001</v>
      </c>
      <c r="E1459" s="115">
        <v>207.88000500000001</v>
      </c>
      <c r="F1459" s="34">
        <v>204.820007</v>
      </c>
      <c r="G1459" s="34">
        <v>205.009995</v>
      </c>
      <c r="H1459" s="34">
        <v>198.25618</v>
      </c>
      <c r="I1459" s="29">
        <v>2551200</v>
      </c>
      <c r="P1459" s="125"/>
      <c r="Q1459" s="34"/>
      <c r="R1459" s="115"/>
      <c r="S1459" s="34"/>
      <c r="T1459" s="34"/>
      <c r="U1459" s="34"/>
      <c r="V1459" s="29"/>
    </row>
    <row r="1460" spans="3:22">
      <c r="C1460" s="125">
        <v>44448</v>
      </c>
      <c r="D1460" s="34">
        <v>176.3</v>
      </c>
      <c r="E1460" s="115">
        <v>177.5</v>
      </c>
      <c r="F1460" s="34">
        <v>174.02</v>
      </c>
      <c r="G1460" s="34">
        <v>174.21</v>
      </c>
      <c r="H1460" s="34">
        <v>174.21</v>
      </c>
      <c r="I1460" s="29">
        <v>54384000</v>
      </c>
      <c r="P1460" s="125"/>
      <c r="Q1460" s="34"/>
      <c r="R1460" s="115"/>
      <c r="S1460" s="34"/>
      <c r="T1460" s="34"/>
      <c r="U1460" s="34"/>
      <c r="V1460" s="29"/>
    </row>
    <row r="1461" spans="3:22">
      <c r="C1461" s="125">
        <v>44448</v>
      </c>
      <c r="D1461" s="34">
        <v>206.5</v>
      </c>
      <c r="E1461" s="115">
        <v>208.14999399999999</v>
      </c>
      <c r="F1461" s="34">
        <v>204.89999399999999</v>
      </c>
      <c r="G1461" s="34">
        <v>205.41999799999999</v>
      </c>
      <c r="H1461" s="34">
        <v>198.65267900000001</v>
      </c>
      <c r="I1461" s="29">
        <v>2777900</v>
      </c>
      <c r="P1461" s="125"/>
      <c r="Q1461" s="34"/>
      <c r="R1461" s="115"/>
      <c r="S1461" s="34"/>
      <c r="T1461" s="34"/>
      <c r="U1461" s="34"/>
      <c r="V1461" s="29"/>
    </row>
    <row r="1462" spans="3:22">
      <c r="C1462" s="125">
        <v>44447</v>
      </c>
      <c r="D1462" s="34">
        <v>175.58</v>
      </c>
      <c r="E1462" s="115">
        <v>177.28</v>
      </c>
      <c r="F1462" s="34">
        <v>174.78</v>
      </c>
      <c r="G1462" s="34">
        <v>176.27</v>
      </c>
      <c r="H1462" s="34">
        <v>176.27</v>
      </c>
      <c r="I1462" s="29">
        <v>61068000</v>
      </c>
      <c r="P1462" s="125"/>
      <c r="Q1462" s="34"/>
      <c r="R1462" s="115"/>
      <c r="S1462" s="34"/>
      <c r="T1462" s="34"/>
      <c r="U1462" s="34"/>
      <c r="V1462" s="29"/>
    </row>
    <row r="1463" spans="3:22">
      <c r="C1463" s="125">
        <v>44447</v>
      </c>
      <c r="D1463" s="34">
        <v>207.11999499999999</v>
      </c>
      <c r="E1463" s="115">
        <v>208.11999499999999</v>
      </c>
      <c r="F1463" s="34">
        <v>204.770004</v>
      </c>
      <c r="G1463" s="34">
        <v>206.770004</v>
      </c>
      <c r="H1463" s="34">
        <v>199.958237</v>
      </c>
      <c r="I1463" s="29">
        <v>2603100</v>
      </c>
      <c r="P1463" s="125"/>
      <c r="Q1463" s="34"/>
      <c r="R1463" s="115"/>
      <c r="S1463" s="34"/>
      <c r="T1463" s="34"/>
      <c r="U1463" s="34"/>
      <c r="V1463" s="29"/>
    </row>
    <row r="1464" spans="3:22">
      <c r="C1464" s="125">
        <v>44446</v>
      </c>
      <c r="D1464" s="34">
        <v>173.9</v>
      </c>
      <c r="E1464" s="115">
        <v>176.4</v>
      </c>
      <c r="F1464" s="34">
        <v>173.85</v>
      </c>
      <c r="G1464" s="34">
        <v>175.46</v>
      </c>
      <c r="H1464" s="34">
        <v>175.46</v>
      </c>
      <c r="I1464" s="29">
        <v>54758000</v>
      </c>
      <c r="P1464" s="125"/>
      <c r="Q1464" s="34"/>
      <c r="R1464" s="115"/>
      <c r="S1464" s="34"/>
      <c r="T1464" s="34"/>
      <c r="U1464" s="34"/>
      <c r="V1464" s="29"/>
    </row>
    <row r="1465" spans="3:22">
      <c r="C1465" s="125">
        <v>44446</v>
      </c>
      <c r="D1465" s="34">
        <v>210.03999300000001</v>
      </c>
      <c r="E1465" s="115">
        <v>210.33999600000001</v>
      </c>
      <c r="F1465" s="34">
        <v>207.85000600000001</v>
      </c>
      <c r="G1465" s="34">
        <v>208.229996</v>
      </c>
      <c r="H1465" s="34">
        <v>201.37013200000001</v>
      </c>
      <c r="I1465" s="29">
        <v>2641100</v>
      </c>
      <c r="P1465" s="125"/>
      <c r="Q1465" s="34"/>
      <c r="R1465" s="115"/>
      <c r="S1465" s="34"/>
      <c r="T1465" s="34"/>
      <c r="U1465" s="34"/>
      <c r="V1465" s="29"/>
    </row>
    <row r="1466" spans="3:22">
      <c r="C1466" s="125">
        <v>44442</v>
      </c>
      <c r="D1466" s="34">
        <v>172.6</v>
      </c>
      <c r="E1466" s="115">
        <v>174.13</v>
      </c>
      <c r="F1466" s="34">
        <v>171.82</v>
      </c>
      <c r="G1466" s="34">
        <v>173.9</v>
      </c>
      <c r="H1466" s="34">
        <v>173.9</v>
      </c>
      <c r="I1466" s="29">
        <v>51514000</v>
      </c>
      <c r="P1466" s="125"/>
      <c r="Q1466" s="34"/>
      <c r="R1466" s="115"/>
      <c r="S1466" s="34"/>
      <c r="T1466" s="34"/>
      <c r="U1466" s="34"/>
      <c r="V1466" s="29"/>
    </row>
    <row r="1467" spans="3:22">
      <c r="C1467" s="125">
        <v>44442</v>
      </c>
      <c r="D1467" s="34">
        <v>211.14999399999999</v>
      </c>
      <c r="E1467" s="115">
        <v>212.800003</v>
      </c>
      <c r="F1467" s="34">
        <v>210</v>
      </c>
      <c r="G1467" s="34">
        <v>210.36999499999999</v>
      </c>
      <c r="H1467" s="34">
        <v>203.43962099999999</v>
      </c>
      <c r="I1467" s="29">
        <v>2512000</v>
      </c>
      <c r="P1467" s="125"/>
      <c r="Q1467" s="34"/>
      <c r="R1467" s="115"/>
      <c r="S1467" s="34"/>
      <c r="T1467" s="34"/>
      <c r="U1467" s="34"/>
      <c r="V1467" s="29"/>
    </row>
    <row r="1468" spans="3:22">
      <c r="C1468" s="125">
        <v>44441</v>
      </c>
      <c r="D1468" s="34">
        <v>174.74</v>
      </c>
      <c r="E1468" s="115">
        <v>175.6</v>
      </c>
      <c r="F1468" s="34">
        <v>172.75</v>
      </c>
      <c r="G1468" s="34">
        <v>173.16</v>
      </c>
      <c r="H1468" s="34">
        <v>173.16</v>
      </c>
      <c r="I1468" s="29">
        <v>58474000</v>
      </c>
      <c r="P1468" s="125"/>
      <c r="Q1468" s="34"/>
      <c r="R1468" s="115"/>
      <c r="S1468" s="34"/>
      <c r="T1468" s="34"/>
      <c r="U1468" s="34"/>
      <c r="V1468" s="29"/>
    </row>
    <row r="1469" spans="3:22">
      <c r="C1469" s="125">
        <v>44441</v>
      </c>
      <c r="D1469" s="34">
        <v>208.91999799999999</v>
      </c>
      <c r="E1469" s="115">
        <v>212.949997</v>
      </c>
      <c r="F1469" s="34">
        <v>208.91999799999999</v>
      </c>
      <c r="G1469" s="34">
        <v>211.779999</v>
      </c>
      <c r="H1469" s="34">
        <v>204.80316199999999</v>
      </c>
      <c r="I1469" s="29">
        <v>2921600</v>
      </c>
      <c r="P1469" s="125"/>
      <c r="Q1469" s="34"/>
      <c r="R1469" s="115"/>
      <c r="S1469" s="34"/>
      <c r="T1469" s="34"/>
      <c r="U1469" s="34"/>
      <c r="V1469" s="29"/>
    </row>
    <row r="1470" spans="3:22">
      <c r="C1470" s="125">
        <v>44440</v>
      </c>
      <c r="D1470" s="34">
        <v>174.82</v>
      </c>
      <c r="E1470" s="115">
        <v>176.35</v>
      </c>
      <c r="F1470" s="34">
        <v>173.76</v>
      </c>
      <c r="G1470" s="34">
        <v>173.95</v>
      </c>
      <c r="H1470" s="34">
        <v>173.95</v>
      </c>
      <c r="I1470" s="29">
        <v>72598000</v>
      </c>
      <c r="P1470" s="125"/>
      <c r="Q1470" s="34"/>
      <c r="R1470" s="115"/>
      <c r="S1470" s="34"/>
      <c r="T1470" s="34"/>
      <c r="U1470" s="34"/>
      <c r="V1470" s="29"/>
    </row>
    <row r="1471" spans="3:22">
      <c r="C1471" s="125">
        <v>44440</v>
      </c>
      <c r="D1471" s="34">
        <v>210.86999499999999</v>
      </c>
      <c r="E1471" s="115">
        <v>210.990005</v>
      </c>
      <c r="F1471" s="34">
        <v>206.61000100000001</v>
      </c>
      <c r="G1471" s="34">
        <v>207.96000699999999</v>
      </c>
      <c r="H1471" s="34">
        <v>201.10902400000001</v>
      </c>
      <c r="I1471" s="29">
        <v>4122900</v>
      </c>
      <c r="P1471" s="125"/>
      <c r="Q1471" s="34"/>
      <c r="R1471" s="115"/>
      <c r="S1471" s="34"/>
      <c r="T1471" s="34"/>
      <c r="U1471" s="34"/>
      <c r="V1471" s="29"/>
    </row>
    <row r="1472" spans="3:22">
      <c r="C1472" s="125">
        <v>44439</v>
      </c>
      <c r="D1472" s="34">
        <v>171.24</v>
      </c>
      <c r="E1472" s="115">
        <v>173.63</v>
      </c>
      <c r="F1472" s="34">
        <v>169.78</v>
      </c>
      <c r="G1472" s="34">
        <v>173.54</v>
      </c>
      <c r="H1472" s="34">
        <v>173.54</v>
      </c>
      <c r="I1472" s="29">
        <v>87128000</v>
      </c>
      <c r="P1472" s="125"/>
      <c r="Q1472" s="34"/>
      <c r="R1472" s="115"/>
      <c r="S1472" s="34"/>
      <c r="T1472" s="34"/>
      <c r="U1472" s="34"/>
      <c r="V1472" s="29"/>
    </row>
    <row r="1473" spans="3:22">
      <c r="C1473" s="125">
        <v>44439</v>
      </c>
      <c r="D1473" s="34">
        <v>211.279999</v>
      </c>
      <c r="E1473" s="115">
        <v>212.300003</v>
      </c>
      <c r="F1473" s="34">
        <v>210.41999799999999</v>
      </c>
      <c r="G1473" s="34">
        <v>210.86999499999999</v>
      </c>
      <c r="H1473" s="34">
        <v>203.92314099999999</v>
      </c>
      <c r="I1473" s="29">
        <v>2857900</v>
      </c>
      <c r="P1473" s="125"/>
      <c r="Q1473" s="34"/>
      <c r="R1473" s="115"/>
      <c r="S1473" s="34"/>
      <c r="T1473" s="34"/>
      <c r="U1473" s="34"/>
      <c r="V1473" s="29"/>
    </row>
    <row r="1474" spans="3:22">
      <c r="C1474" s="125">
        <v>44438</v>
      </c>
      <c r="D1474" s="34">
        <v>167.87</v>
      </c>
      <c r="E1474" s="115">
        <v>172.25</v>
      </c>
      <c r="F1474" s="34">
        <v>167.76</v>
      </c>
      <c r="G1474" s="34">
        <v>171.08</v>
      </c>
      <c r="H1474" s="34">
        <v>171.08</v>
      </c>
      <c r="I1474" s="29">
        <v>63844000</v>
      </c>
      <c r="P1474" s="125"/>
      <c r="Q1474" s="34"/>
      <c r="R1474" s="115"/>
      <c r="S1474" s="34"/>
      <c r="T1474" s="34"/>
      <c r="U1474" s="34"/>
      <c r="V1474" s="29"/>
    </row>
    <row r="1475" spans="3:22">
      <c r="C1475" s="125">
        <v>44438</v>
      </c>
      <c r="D1475" s="34">
        <v>213.220001</v>
      </c>
      <c r="E1475" s="115">
        <v>213.740005</v>
      </c>
      <c r="F1475" s="34">
        <v>210.800003</v>
      </c>
      <c r="G1475" s="34">
        <v>211.449997</v>
      </c>
      <c r="H1475" s="34">
        <v>204.484039</v>
      </c>
      <c r="I1475" s="29">
        <v>1922100</v>
      </c>
      <c r="P1475" s="125"/>
      <c r="Q1475" s="34"/>
      <c r="R1475" s="115"/>
      <c r="S1475" s="34"/>
      <c r="T1475" s="34"/>
      <c r="U1475" s="34"/>
      <c r="V1475" s="29"/>
    </row>
    <row r="1476" spans="3:22">
      <c r="C1476" s="125">
        <v>44435</v>
      </c>
      <c r="D1476" s="34">
        <v>166.66</v>
      </c>
      <c r="E1476" s="115">
        <v>167.62</v>
      </c>
      <c r="F1476" s="34">
        <v>165.69</v>
      </c>
      <c r="G1476" s="34">
        <v>167.48</v>
      </c>
      <c r="H1476" s="34">
        <v>167.48</v>
      </c>
      <c r="I1476" s="29">
        <v>48048000</v>
      </c>
      <c r="P1476" s="125"/>
      <c r="Q1476" s="34"/>
      <c r="R1476" s="115"/>
      <c r="S1476" s="34"/>
      <c r="T1476" s="34"/>
      <c r="U1476" s="34"/>
      <c r="V1476" s="29"/>
    </row>
    <row r="1477" spans="3:22">
      <c r="C1477" s="125">
        <v>44435</v>
      </c>
      <c r="D1477" s="34">
        <v>212.259995</v>
      </c>
      <c r="E1477" s="115">
        <v>214.029999</v>
      </c>
      <c r="F1477" s="34">
        <v>212.220001</v>
      </c>
      <c r="G1477" s="34">
        <v>212.83000200000001</v>
      </c>
      <c r="H1477" s="34">
        <v>205.81858800000001</v>
      </c>
      <c r="I1477" s="29">
        <v>2511400</v>
      </c>
      <c r="P1477" s="125"/>
      <c r="Q1477" s="34"/>
      <c r="R1477" s="115"/>
      <c r="S1477" s="34"/>
      <c r="T1477" s="34"/>
      <c r="U1477" s="34"/>
      <c r="V1477" s="29"/>
    </row>
    <row r="1478" spans="3:22">
      <c r="C1478" s="125">
        <v>44434</v>
      </c>
      <c r="D1478" s="34">
        <v>164.95</v>
      </c>
      <c r="E1478" s="115">
        <v>166.6</v>
      </c>
      <c r="F1478" s="34">
        <v>164.8</v>
      </c>
      <c r="G1478" s="34">
        <v>165.8</v>
      </c>
      <c r="H1478" s="34">
        <v>165.8</v>
      </c>
      <c r="I1478" s="29">
        <v>41976000</v>
      </c>
      <c r="P1478" s="125"/>
      <c r="Q1478" s="34"/>
      <c r="R1478" s="115"/>
      <c r="S1478" s="34"/>
      <c r="T1478" s="34"/>
      <c r="U1478" s="34"/>
      <c r="V1478" s="29"/>
    </row>
    <row r="1479" spans="3:22">
      <c r="C1479" s="125">
        <v>44434</v>
      </c>
      <c r="D1479" s="34">
        <v>214.509995</v>
      </c>
      <c r="E1479" s="115">
        <v>214.509995</v>
      </c>
      <c r="F1479" s="34">
        <v>210.479996</v>
      </c>
      <c r="G1479" s="34">
        <v>211.240005</v>
      </c>
      <c r="H1479" s="34">
        <v>204.28097500000001</v>
      </c>
      <c r="I1479" s="29">
        <v>2513900</v>
      </c>
      <c r="P1479" s="125"/>
      <c r="Q1479" s="34"/>
      <c r="R1479" s="115"/>
      <c r="S1479" s="34"/>
      <c r="T1479" s="34"/>
      <c r="U1479" s="34"/>
      <c r="V1479" s="29"/>
    </row>
    <row r="1480" spans="3:22">
      <c r="C1480" s="125">
        <v>44433</v>
      </c>
      <c r="D1480" s="34">
        <v>165.49</v>
      </c>
      <c r="E1480" s="115">
        <v>166.05</v>
      </c>
      <c r="F1480" s="34">
        <v>164.31</v>
      </c>
      <c r="G1480" s="34">
        <v>164.96</v>
      </c>
      <c r="H1480" s="34">
        <v>164.96</v>
      </c>
      <c r="I1480" s="29">
        <v>33606000</v>
      </c>
      <c r="P1480" s="125"/>
      <c r="Q1480" s="34"/>
      <c r="R1480" s="115"/>
      <c r="S1480" s="34"/>
      <c r="T1480" s="34"/>
      <c r="U1480" s="34"/>
      <c r="V1480" s="29"/>
    </row>
    <row r="1481" spans="3:22">
      <c r="C1481" s="125">
        <v>44433</v>
      </c>
      <c r="D1481" s="34">
        <v>213.16999799999999</v>
      </c>
      <c r="E1481" s="115">
        <v>215.699997</v>
      </c>
      <c r="F1481" s="34">
        <v>212.14999399999999</v>
      </c>
      <c r="G1481" s="34">
        <v>214.759995</v>
      </c>
      <c r="H1481" s="34">
        <v>207.68498199999999</v>
      </c>
      <c r="I1481" s="29">
        <v>2599800</v>
      </c>
      <c r="P1481" s="125"/>
      <c r="Q1481" s="34"/>
      <c r="R1481" s="115"/>
      <c r="S1481" s="34"/>
      <c r="T1481" s="34"/>
      <c r="U1481" s="34"/>
      <c r="V1481" s="29"/>
    </row>
    <row r="1482" spans="3:22">
      <c r="C1482" s="125">
        <v>44432</v>
      </c>
      <c r="D1482" s="34">
        <v>164</v>
      </c>
      <c r="E1482" s="115">
        <v>165.77</v>
      </c>
      <c r="F1482" s="34">
        <v>163.72999999999999</v>
      </c>
      <c r="G1482" s="34">
        <v>165.29</v>
      </c>
      <c r="H1482" s="34">
        <v>165.29</v>
      </c>
      <c r="I1482" s="29">
        <v>51036000</v>
      </c>
      <c r="P1482" s="125"/>
      <c r="Q1482" s="34"/>
      <c r="R1482" s="115"/>
      <c r="S1482" s="34"/>
      <c r="T1482" s="34"/>
      <c r="U1482" s="34"/>
      <c r="V1482" s="29"/>
    </row>
    <row r="1483" spans="3:22">
      <c r="C1483" s="125">
        <v>44432</v>
      </c>
      <c r="D1483" s="34">
        <v>209.75</v>
      </c>
      <c r="E1483" s="115">
        <v>213.270004</v>
      </c>
      <c r="F1483" s="34">
        <v>209.529999</v>
      </c>
      <c r="G1483" s="34">
        <v>212.58999600000001</v>
      </c>
      <c r="H1483" s="34">
        <v>205.58647199999999</v>
      </c>
      <c r="I1483" s="29">
        <v>2485900</v>
      </c>
      <c r="P1483" s="125"/>
      <c r="Q1483" s="34"/>
      <c r="R1483" s="115"/>
      <c r="S1483" s="34"/>
      <c r="T1483" s="34"/>
      <c r="U1483" s="34"/>
      <c r="V1483" s="29"/>
    </row>
    <row r="1484" spans="3:22">
      <c r="C1484" s="125">
        <v>44431</v>
      </c>
      <c r="D1484" s="34">
        <v>160.6</v>
      </c>
      <c r="E1484" s="115">
        <v>164.04</v>
      </c>
      <c r="F1484" s="34">
        <v>160.5</v>
      </c>
      <c r="G1484" s="34">
        <v>163.29</v>
      </c>
      <c r="H1484" s="34">
        <v>163.29</v>
      </c>
      <c r="I1484" s="29">
        <v>65362000</v>
      </c>
      <c r="P1484" s="125"/>
      <c r="Q1484" s="34"/>
      <c r="R1484" s="115"/>
      <c r="S1484" s="34"/>
      <c r="T1484" s="34"/>
      <c r="U1484" s="34"/>
      <c r="V1484" s="29"/>
    </row>
    <row r="1485" spans="3:22">
      <c r="C1485" s="125">
        <v>44431</v>
      </c>
      <c r="D1485" s="34">
        <v>207.25</v>
      </c>
      <c r="E1485" s="115">
        <v>209.75</v>
      </c>
      <c r="F1485" s="34">
        <v>205.83000200000001</v>
      </c>
      <c r="G1485" s="34">
        <v>209.13999899999999</v>
      </c>
      <c r="H1485" s="34">
        <v>202.250137</v>
      </c>
      <c r="I1485" s="29">
        <v>2827400</v>
      </c>
      <c r="P1485" s="125"/>
      <c r="Q1485" s="34"/>
      <c r="R1485" s="115"/>
      <c r="S1485" s="34"/>
      <c r="T1485" s="34"/>
      <c r="U1485" s="34"/>
      <c r="V1485" s="29"/>
    </row>
    <row r="1486" spans="3:22">
      <c r="C1486" s="125">
        <v>44428</v>
      </c>
      <c r="D1486" s="34">
        <v>160.19</v>
      </c>
      <c r="E1486" s="115">
        <v>160.38999999999999</v>
      </c>
      <c r="F1486" s="34">
        <v>158.79</v>
      </c>
      <c r="G1486" s="34">
        <v>160</v>
      </c>
      <c r="H1486" s="34">
        <v>160</v>
      </c>
      <c r="I1486" s="29">
        <v>67168000</v>
      </c>
      <c r="P1486" s="125"/>
      <c r="Q1486" s="34"/>
      <c r="R1486" s="115"/>
      <c r="S1486" s="34"/>
      <c r="T1486" s="34"/>
      <c r="U1486" s="34"/>
      <c r="V1486" s="29"/>
    </row>
    <row r="1487" spans="3:22">
      <c r="C1487" s="125">
        <v>44428</v>
      </c>
      <c r="D1487" s="34">
        <v>205.41999799999999</v>
      </c>
      <c r="E1487" s="115">
        <v>207.259995</v>
      </c>
      <c r="F1487" s="34">
        <v>203.58999600000001</v>
      </c>
      <c r="G1487" s="34">
        <v>204.94000199999999</v>
      </c>
      <c r="H1487" s="34">
        <v>198.18850699999999</v>
      </c>
      <c r="I1487" s="29">
        <v>2765500</v>
      </c>
      <c r="P1487" s="125"/>
      <c r="Q1487" s="34"/>
      <c r="R1487" s="115"/>
      <c r="S1487" s="34"/>
      <c r="T1487" s="34"/>
      <c r="U1487" s="34"/>
      <c r="V1487" s="29"/>
    </row>
    <row r="1488" spans="3:22">
      <c r="C1488" s="125">
        <v>44427</v>
      </c>
      <c r="D1488" s="34">
        <v>159.69999999999999</v>
      </c>
      <c r="E1488" s="115">
        <v>161.65</v>
      </c>
      <c r="F1488" s="34">
        <v>159.12</v>
      </c>
      <c r="G1488" s="34">
        <v>159.38999999999999</v>
      </c>
      <c r="H1488" s="34">
        <v>159.38999999999999</v>
      </c>
      <c r="I1488" s="29">
        <v>75658000</v>
      </c>
      <c r="P1488" s="125"/>
      <c r="Q1488" s="34"/>
      <c r="R1488" s="115"/>
      <c r="S1488" s="34"/>
      <c r="T1488" s="34"/>
      <c r="U1488" s="34"/>
      <c r="V1488" s="29"/>
    </row>
    <row r="1489" spans="3:22">
      <c r="C1489" s="125">
        <v>44427</v>
      </c>
      <c r="D1489" s="34">
        <v>208.16999799999999</v>
      </c>
      <c r="E1489" s="115">
        <v>208.96000699999999</v>
      </c>
      <c r="F1489" s="34">
        <v>203.21000699999999</v>
      </c>
      <c r="G1489" s="34">
        <v>204.449997</v>
      </c>
      <c r="H1489" s="34">
        <v>197.71464499999999</v>
      </c>
      <c r="I1489" s="29">
        <v>4788100</v>
      </c>
      <c r="P1489" s="125"/>
      <c r="Q1489" s="34"/>
      <c r="R1489" s="115"/>
      <c r="S1489" s="34"/>
      <c r="T1489" s="34"/>
      <c r="U1489" s="34"/>
      <c r="V1489" s="29"/>
    </row>
    <row r="1490" spans="3:22">
      <c r="C1490" s="125">
        <v>44426</v>
      </c>
      <c r="D1490" s="34">
        <v>162.1</v>
      </c>
      <c r="E1490" s="115">
        <v>162.71</v>
      </c>
      <c r="F1490" s="34">
        <v>160</v>
      </c>
      <c r="G1490" s="34">
        <v>160.06</v>
      </c>
      <c r="H1490" s="34">
        <v>160.06</v>
      </c>
      <c r="I1490" s="29">
        <v>56086000</v>
      </c>
      <c r="P1490" s="125"/>
      <c r="Q1490" s="34"/>
      <c r="R1490" s="115"/>
      <c r="S1490" s="34"/>
      <c r="T1490" s="34"/>
      <c r="U1490" s="34"/>
      <c r="V1490" s="29"/>
    </row>
    <row r="1491" spans="3:22">
      <c r="C1491" s="125">
        <v>44426</v>
      </c>
      <c r="D1491" s="34">
        <v>212.5</v>
      </c>
      <c r="E1491" s="115">
        <v>213.550003</v>
      </c>
      <c r="F1491" s="34">
        <v>209.720001</v>
      </c>
      <c r="G1491" s="34">
        <v>209.80999800000001</v>
      </c>
      <c r="H1491" s="34">
        <v>202.898056</v>
      </c>
      <c r="I1491" s="29">
        <v>2947700</v>
      </c>
      <c r="P1491" s="125"/>
      <c r="Q1491" s="34"/>
      <c r="R1491" s="115"/>
      <c r="S1491" s="34"/>
      <c r="T1491" s="34"/>
      <c r="U1491" s="34"/>
      <c r="V1491" s="29"/>
    </row>
    <row r="1492" spans="3:22">
      <c r="C1492" s="125">
        <v>44425</v>
      </c>
      <c r="D1492" s="34">
        <v>163.88</v>
      </c>
      <c r="E1492" s="115">
        <v>164.02</v>
      </c>
      <c r="F1492" s="34">
        <v>161.28</v>
      </c>
      <c r="G1492" s="34">
        <v>162.1</v>
      </c>
      <c r="H1492" s="34">
        <v>162.1</v>
      </c>
      <c r="I1492" s="29">
        <v>67758000</v>
      </c>
      <c r="P1492" s="125"/>
      <c r="Q1492" s="34"/>
      <c r="R1492" s="115"/>
      <c r="S1492" s="34"/>
      <c r="T1492" s="34"/>
      <c r="U1492" s="34"/>
      <c r="V1492" s="29"/>
    </row>
    <row r="1493" spans="3:22">
      <c r="C1493" s="125">
        <v>44425</v>
      </c>
      <c r="D1493" s="34">
        <v>216.220001</v>
      </c>
      <c r="E1493" s="115">
        <v>216.38999899999999</v>
      </c>
      <c r="F1493" s="34">
        <v>210.58000200000001</v>
      </c>
      <c r="G1493" s="34">
        <v>213.44000199999999</v>
      </c>
      <c r="H1493" s="34">
        <v>206.408478</v>
      </c>
      <c r="I1493" s="29">
        <v>4022800</v>
      </c>
      <c r="P1493" s="125"/>
      <c r="Q1493" s="34"/>
      <c r="R1493" s="115"/>
      <c r="S1493" s="34"/>
      <c r="T1493" s="34"/>
      <c r="U1493" s="34"/>
      <c r="V1493" s="29"/>
    </row>
    <row r="1494" spans="3:22">
      <c r="C1494" s="125">
        <v>44424</v>
      </c>
      <c r="D1494" s="34">
        <v>164.15</v>
      </c>
      <c r="E1494" s="115">
        <v>165</v>
      </c>
      <c r="F1494" s="34">
        <v>160.56</v>
      </c>
      <c r="G1494" s="34">
        <v>164.95</v>
      </c>
      <c r="H1494" s="34">
        <v>164.95</v>
      </c>
      <c r="I1494" s="29">
        <v>66394000</v>
      </c>
      <c r="P1494" s="125"/>
      <c r="Q1494" s="34"/>
      <c r="R1494" s="115"/>
      <c r="S1494" s="34"/>
      <c r="T1494" s="34"/>
      <c r="U1494" s="34"/>
      <c r="V1494" s="29"/>
    </row>
    <row r="1495" spans="3:22">
      <c r="C1495" s="125">
        <v>44424</v>
      </c>
      <c r="D1495" s="34">
        <v>217.36000100000001</v>
      </c>
      <c r="E1495" s="115">
        <v>218</v>
      </c>
      <c r="F1495" s="34">
        <v>214.33999600000001</v>
      </c>
      <c r="G1495" s="34">
        <v>217.71000699999999</v>
      </c>
      <c r="H1495" s="34">
        <v>210.53782699999999</v>
      </c>
      <c r="I1495" s="29">
        <v>3132500</v>
      </c>
      <c r="P1495" s="125"/>
      <c r="Q1495" s="34"/>
      <c r="R1495" s="115"/>
      <c r="S1495" s="34"/>
      <c r="T1495" s="34"/>
      <c r="U1495" s="34"/>
      <c r="V1495" s="29"/>
    </row>
    <row r="1496" spans="3:22">
      <c r="C1496" s="125">
        <v>44421</v>
      </c>
      <c r="D1496" s="34">
        <v>165.28</v>
      </c>
      <c r="E1496" s="115">
        <v>165.3</v>
      </c>
      <c r="F1496" s="34">
        <v>164.15</v>
      </c>
      <c r="G1496" s="34">
        <v>164.7</v>
      </c>
      <c r="H1496" s="34">
        <v>164.7</v>
      </c>
      <c r="I1496" s="29">
        <v>41134000</v>
      </c>
      <c r="P1496" s="125"/>
      <c r="Q1496" s="34"/>
      <c r="R1496" s="115"/>
      <c r="S1496" s="34"/>
      <c r="T1496" s="34"/>
      <c r="U1496" s="34"/>
      <c r="V1496" s="29"/>
    </row>
    <row r="1497" spans="3:22">
      <c r="C1497" s="125">
        <v>44421</v>
      </c>
      <c r="D1497" s="34">
        <v>219.88000500000001</v>
      </c>
      <c r="E1497" s="115">
        <v>220.550003</v>
      </c>
      <c r="F1497" s="34">
        <v>217.729996</v>
      </c>
      <c r="G1497" s="34">
        <v>218.570007</v>
      </c>
      <c r="H1497" s="34">
        <v>211.369507</v>
      </c>
      <c r="I1497" s="29">
        <v>2049400</v>
      </c>
      <c r="P1497" s="125"/>
      <c r="Q1497" s="34"/>
      <c r="R1497" s="115"/>
      <c r="S1497" s="34"/>
      <c r="T1497" s="34"/>
      <c r="U1497" s="34"/>
      <c r="V1497" s="29"/>
    </row>
    <row r="1498" spans="3:22">
      <c r="C1498" s="125">
        <v>44420</v>
      </c>
      <c r="D1498" s="34">
        <v>164.5</v>
      </c>
      <c r="E1498" s="115">
        <v>165.73</v>
      </c>
      <c r="F1498" s="34">
        <v>163.47999999999999</v>
      </c>
      <c r="G1498" s="34">
        <v>165.18</v>
      </c>
      <c r="H1498" s="34">
        <v>165.18</v>
      </c>
      <c r="I1498" s="29">
        <v>46282000</v>
      </c>
      <c r="P1498" s="125"/>
      <c r="Q1498" s="34"/>
      <c r="R1498" s="115"/>
      <c r="S1498" s="34"/>
      <c r="T1498" s="34"/>
      <c r="U1498" s="34"/>
      <c r="V1498" s="29"/>
    </row>
    <row r="1499" spans="3:22">
      <c r="C1499" s="125">
        <v>44420</v>
      </c>
      <c r="D1499" s="34">
        <v>222.240005</v>
      </c>
      <c r="E1499" s="115">
        <v>223.759995</v>
      </c>
      <c r="F1499" s="34">
        <v>218.470001</v>
      </c>
      <c r="G1499" s="34">
        <v>220.240005</v>
      </c>
      <c r="H1499" s="34">
        <v>212.98448200000001</v>
      </c>
      <c r="I1499" s="29">
        <v>4444500</v>
      </c>
      <c r="P1499" s="125"/>
      <c r="Q1499" s="34"/>
      <c r="R1499" s="115"/>
      <c r="S1499" s="34"/>
      <c r="T1499" s="34"/>
      <c r="U1499" s="34"/>
      <c r="V1499" s="29"/>
    </row>
    <row r="1500" spans="3:22">
      <c r="C1500" s="125">
        <v>44419</v>
      </c>
      <c r="D1500" s="34">
        <v>166.57</v>
      </c>
      <c r="E1500" s="115">
        <v>166.88</v>
      </c>
      <c r="F1500" s="34">
        <v>163.89</v>
      </c>
      <c r="G1500" s="34">
        <v>164.61</v>
      </c>
      <c r="H1500" s="34">
        <v>164.61</v>
      </c>
      <c r="I1500" s="29">
        <v>58944000</v>
      </c>
      <c r="P1500" s="125"/>
      <c r="Q1500" s="34"/>
      <c r="R1500" s="115"/>
      <c r="S1500" s="34"/>
      <c r="T1500" s="34"/>
      <c r="U1500" s="34"/>
      <c r="V1500" s="29"/>
    </row>
    <row r="1501" spans="3:22">
      <c r="C1501" s="125">
        <v>44419</v>
      </c>
      <c r="D1501" s="34">
        <v>215.729996</v>
      </c>
      <c r="E1501" s="115">
        <v>222.570007</v>
      </c>
      <c r="F1501" s="34">
        <v>214.570007</v>
      </c>
      <c r="G1501" s="34">
        <v>221.66000399999999</v>
      </c>
      <c r="H1501" s="34">
        <v>214.35768100000001</v>
      </c>
      <c r="I1501" s="29">
        <v>7794100</v>
      </c>
      <c r="P1501" s="125"/>
      <c r="Q1501" s="34"/>
      <c r="R1501" s="115"/>
      <c r="S1501" s="34"/>
      <c r="T1501" s="34"/>
      <c r="U1501" s="34"/>
      <c r="V1501" s="29"/>
    </row>
    <row r="1502" spans="3:22">
      <c r="C1502" s="125">
        <v>44418</v>
      </c>
      <c r="D1502" s="34">
        <v>167.25</v>
      </c>
      <c r="E1502" s="115">
        <v>167.9</v>
      </c>
      <c r="F1502" s="34">
        <v>165.75</v>
      </c>
      <c r="G1502" s="34">
        <v>166.03</v>
      </c>
      <c r="H1502" s="34">
        <v>166.03</v>
      </c>
      <c r="I1502" s="29">
        <v>48252000</v>
      </c>
      <c r="P1502" s="125"/>
      <c r="Q1502" s="34"/>
      <c r="R1502" s="115"/>
      <c r="S1502" s="34"/>
      <c r="T1502" s="34"/>
      <c r="U1502" s="34"/>
      <c r="V1502" s="29"/>
    </row>
    <row r="1503" spans="3:22">
      <c r="C1503" s="125">
        <v>44418</v>
      </c>
      <c r="D1503" s="34">
        <v>210</v>
      </c>
      <c r="E1503" s="115">
        <v>214.89999399999999</v>
      </c>
      <c r="F1503" s="34">
        <v>208.96000699999999</v>
      </c>
      <c r="G1503" s="34">
        <v>214.070007</v>
      </c>
      <c r="H1503" s="34">
        <v>207.01774599999999</v>
      </c>
      <c r="I1503" s="29">
        <v>4193600</v>
      </c>
      <c r="P1503" s="125"/>
      <c r="Q1503" s="34"/>
      <c r="R1503" s="115"/>
      <c r="S1503" s="34"/>
      <c r="T1503" s="34"/>
      <c r="U1503" s="34"/>
      <c r="V1503" s="29"/>
    </row>
    <row r="1504" spans="3:22">
      <c r="C1504" s="125">
        <v>44417</v>
      </c>
      <c r="D1504" s="34">
        <v>167.18</v>
      </c>
      <c r="E1504" s="115">
        <v>167.74</v>
      </c>
      <c r="F1504" s="34">
        <v>166.43</v>
      </c>
      <c r="G1504" s="34">
        <v>167.09</v>
      </c>
      <c r="H1504" s="34">
        <v>167.09</v>
      </c>
      <c r="I1504" s="29">
        <v>42964000</v>
      </c>
      <c r="P1504" s="125"/>
      <c r="Q1504" s="34"/>
      <c r="R1504" s="115"/>
      <c r="S1504" s="34"/>
      <c r="T1504" s="34"/>
      <c r="U1504" s="34"/>
      <c r="V1504" s="29"/>
    </row>
    <row r="1505" spans="3:22">
      <c r="C1505" s="125">
        <v>44417</v>
      </c>
      <c r="D1505" s="34">
        <v>207.28999300000001</v>
      </c>
      <c r="E1505" s="115">
        <v>209.88000500000001</v>
      </c>
      <c r="F1505" s="34">
        <v>206.11999499999999</v>
      </c>
      <c r="G1505" s="34">
        <v>208.88999899999999</v>
      </c>
      <c r="H1505" s="34">
        <v>202.008377</v>
      </c>
      <c r="I1505" s="29">
        <v>2747200</v>
      </c>
      <c r="P1505" s="125"/>
      <c r="Q1505" s="34"/>
      <c r="R1505" s="115"/>
      <c r="S1505" s="34"/>
      <c r="T1505" s="34"/>
      <c r="U1505" s="34"/>
      <c r="V1505" s="29"/>
    </row>
    <row r="1506" spans="3:22">
      <c r="C1506" s="125">
        <v>44414</v>
      </c>
      <c r="D1506" s="34">
        <v>168.75</v>
      </c>
      <c r="E1506" s="115">
        <v>168.75</v>
      </c>
      <c r="F1506" s="34">
        <v>166.45</v>
      </c>
      <c r="G1506" s="34">
        <v>167.25</v>
      </c>
      <c r="H1506" s="34">
        <v>167.25</v>
      </c>
      <c r="I1506" s="29">
        <v>52752000</v>
      </c>
      <c r="P1506" s="125"/>
      <c r="Q1506" s="34"/>
      <c r="R1506" s="115"/>
      <c r="S1506" s="34"/>
      <c r="T1506" s="34"/>
      <c r="U1506" s="34"/>
      <c r="V1506" s="29"/>
    </row>
    <row r="1507" spans="3:22">
      <c r="C1507" s="125">
        <v>44414</v>
      </c>
      <c r="D1507" s="34">
        <v>209.009995</v>
      </c>
      <c r="E1507" s="115">
        <v>210.38999899999999</v>
      </c>
      <c r="F1507" s="34">
        <v>207.64999399999999</v>
      </c>
      <c r="G1507" s="34">
        <v>208.35000600000001</v>
      </c>
      <c r="H1507" s="34">
        <v>201.486176</v>
      </c>
      <c r="I1507" s="29">
        <v>2677100</v>
      </c>
      <c r="P1507" s="125"/>
      <c r="Q1507" s="34"/>
      <c r="R1507" s="115"/>
      <c r="S1507" s="34"/>
      <c r="T1507" s="34"/>
      <c r="U1507" s="34"/>
      <c r="V1507" s="29"/>
    </row>
    <row r="1508" spans="3:22">
      <c r="C1508" s="125">
        <v>44413</v>
      </c>
      <c r="D1508" s="34">
        <v>167.81</v>
      </c>
      <c r="E1508" s="115">
        <v>169.45</v>
      </c>
      <c r="F1508" s="34">
        <v>167.05</v>
      </c>
      <c r="G1508" s="34">
        <v>168.8</v>
      </c>
      <c r="H1508" s="34">
        <v>168.8</v>
      </c>
      <c r="I1508" s="29">
        <v>48670000</v>
      </c>
      <c r="P1508" s="125"/>
      <c r="Q1508" s="34"/>
      <c r="R1508" s="115"/>
      <c r="S1508" s="34"/>
      <c r="T1508" s="34"/>
      <c r="U1508" s="34"/>
      <c r="V1508" s="29"/>
    </row>
    <row r="1509" spans="3:22">
      <c r="C1509" s="125">
        <v>44413</v>
      </c>
      <c r="D1509" s="34">
        <v>205.25</v>
      </c>
      <c r="E1509" s="115">
        <v>207.66000399999999</v>
      </c>
      <c r="F1509" s="34">
        <v>204.699997</v>
      </c>
      <c r="G1509" s="34">
        <v>207.19000199999999</v>
      </c>
      <c r="H1509" s="34">
        <v>200.36438000000001</v>
      </c>
      <c r="I1509" s="29">
        <v>2685800</v>
      </c>
      <c r="P1509" s="125"/>
      <c r="Q1509" s="34"/>
      <c r="R1509" s="115"/>
      <c r="S1509" s="34"/>
      <c r="T1509" s="34"/>
      <c r="U1509" s="34"/>
      <c r="V1509" s="29"/>
    </row>
    <row r="1510" spans="3:22">
      <c r="C1510" s="125">
        <v>44412</v>
      </c>
      <c r="D1510" s="34">
        <v>168.97</v>
      </c>
      <c r="E1510" s="115">
        <v>169.44</v>
      </c>
      <c r="F1510" s="34">
        <v>167.28</v>
      </c>
      <c r="G1510" s="34">
        <v>167.74</v>
      </c>
      <c r="H1510" s="34">
        <v>167.74</v>
      </c>
      <c r="I1510" s="29">
        <v>43678000</v>
      </c>
      <c r="P1510" s="125"/>
      <c r="Q1510" s="34"/>
      <c r="R1510" s="115"/>
      <c r="S1510" s="34"/>
      <c r="T1510" s="34"/>
      <c r="U1510" s="34"/>
      <c r="V1510" s="29"/>
    </row>
    <row r="1511" spans="3:22">
      <c r="C1511" s="125">
        <v>44412</v>
      </c>
      <c r="D1511" s="34">
        <v>208.220001</v>
      </c>
      <c r="E1511" s="115">
        <v>209.58999600000001</v>
      </c>
      <c r="F1511" s="34">
        <v>204.36999499999999</v>
      </c>
      <c r="G1511" s="34">
        <v>204.520004</v>
      </c>
      <c r="H1511" s="34">
        <v>197.78234900000001</v>
      </c>
      <c r="I1511" s="29">
        <v>2948700</v>
      </c>
      <c r="P1511" s="125"/>
      <c r="Q1511" s="34"/>
      <c r="R1511" s="115"/>
      <c r="S1511" s="34"/>
      <c r="T1511" s="34"/>
      <c r="U1511" s="34"/>
      <c r="V1511" s="29"/>
    </row>
    <row r="1512" spans="3:22">
      <c r="C1512" s="125">
        <v>44411</v>
      </c>
      <c r="D1512" s="34">
        <v>167.04</v>
      </c>
      <c r="E1512" s="115">
        <v>169.55</v>
      </c>
      <c r="F1512" s="34">
        <v>164.99</v>
      </c>
      <c r="G1512" s="34">
        <v>168.31</v>
      </c>
      <c r="H1512" s="34">
        <v>168.31</v>
      </c>
      <c r="I1512" s="29">
        <v>83146000</v>
      </c>
      <c r="P1512" s="125"/>
      <c r="Q1512" s="34"/>
      <c r="R1512" s="115"/>
      <c r="S1512" s="34"/>
      <c r="T1512" s="34"/>
      <c r="U1512" s="34"/>
      <c r="V1512" s="29"/>
    </row>
    <row r="1513" spans="3:22">
      <c r="C1513" s="125">
        <v>44411</v>
      </c>
      <c r="D1513" s="34">
        <v>205.30999800000001</v>
      </c>
      <c r="E1513" s="115">
        <v>209.28999300000001</v>
      </c>
      <c r="F1513" s="34">
        <v>203.429993</v>
      </c>
      <c r="G1513" s="34">
        <v>208.5</v>
      </c>
      <c r="H1513" s="34">
        <v>201.631226</v>
      </c>
      <c r="I1513" s="29">
        <v>3580500</v>
      </c>
      <c r="P1513" s="125"/>
      <c r="Q1513" s="34"/>
      <c r="R1513" s="115"/>
      <c r="S1513" s="34"/>
      <c r="T1513" s="34"/>
      <c r="U1513" s="34"/>
      <c r="V1513" s="29"/>
    </row>
    <row r="1514" spans="3:22">
      <c r="C1514" s="125">
        <v>44410</v>
      </c>
      <c r="D1514" s="34">
        <v>167.65</v>
      </c>
      <c r="E1514" s="115">
        <v>167.95</v>
      </c>
      <c r="F1514" s="34">
        <v>165.85</v>
      </c>
      <c r="G1514" s="34">
        <v>166.57</v>
      </c>
      <c r="H1514" s="34">
        <v>166.57</v>
      </c>
      <c r="I1514" s="29">
        <v>67078000</v>
      </c>
      <c r="P1514" s="125"/>
      <c r="Q1514" s="34"/>
      <c r="R1514" s="115"/>
      <c r="S1514" s="34"/>
      <c r="T1514" s="34"/>
      <c r="U1514" s="34"/>
      <c r="V1514" s="29"/>
    </row>
    <row r="1515" spans="3:22">
      <c r="C1515" s="125">
        <v>44410</v>
      </c>
      <c r="D1515" s="34">
        <v>208</v>
      </c>
      <c r="E1515" s="115">
        <v>210.89999399999999</v>
      </c>
      <c r="F1515" s="34">
        <v>204.949997</v>
      </c>
      <c r="G1515" s="34">
        <v>205.16000399999999</v>
      </c>
      <c r="H1515" s="34">
        <v>198.401276</v>
      </c>
      <c r="I1515" s="29">
        <v>3977100</v>
      </c>
      <c r="P1515" s="125"/>
      <c r="Q1515" s="34"/>
      <c r="R1515" s="115"/>
      <c r="S1515" s="34"/>
      <c r="T1515" s="34"/>
      <c r="U1515" s="34"/>
      <c r="V1515" s="29"/>
    </row>
    <row r="1516" spans="3:22">
      <c r="C1516" s="125">
        <v>44407</v>
      </c>
      <c r="D1516" s="34">
        <v>167.4</v>
      </c>
      <c r="E1516" s="115">
        <v>168.41</v>
      </c>
      <c r="F1516" s="34">
        <v>165.35</v>
      </c>
      <c r="G1516" s="34">
        <v>166.38</v>
      </c>
      <c r="H1516" s="34">
        <v>166.38</v>
      </c>
      <c r="I1516" s="29">
        <v>199312000</v>
      </c>
      <c r="P1516" s="125"/>
      <c r="Q1516" s="34"/>
      <c r="R1516" s="115"/>
      <c r="S1516" s="34"/>
      <c r="T1516" s="34"/>
      <c r="U1516" s="34"/>
      <c r="V1516" s="29"/>
    </row>
    <row r="1517" spans="3:22">
      <c r="C1517" s="125">
        <v>44407</v>
      </c>
      <c r="D1517" s="34">
        <v>207.89999399999999</v>
      </c>
      <c r="E1517" s="115">
        <v>208.66999799999999</v>
      </c>
      <c r="F1517" s="34">
        <v>203.14999399999999</v>
      </c>
      <c r="G1517" s="34">
        <v>206.75</v>
      </c>
      <c r="H1517" s="34">
        <v>199.93885800000001</v>
      </c>
      <c r="I1517" s="29">
        <v>5834900</v>
      </c>
      <c r="P1517" s="125"/>
      <c r="Q1517" s="34"/>
      <c r="R1517" s="115"/>
      <c r="S1517" s="34"/>
      <c r="T1517" s="34"/>
      <c r="U1517" s="34"/>
      <c r="V1517" s="29"/>
    </row>
    <row r="1518" spans="3:22">
      <c r="C1518" s="125">
        <v>44406</v>
      </c>
      <c r="D1518" s="34">
        <v>181.39</v>
      </c>
      <c r="E1518" s="115">
        <v>181.9</v>
      </c>
      <c r="F1518" s="34">
        <v>179</v>
      </c>
      <c r="G1518" s="34">
        <v>180</v>
      </c>
      <c r="H1518" s="34">
        <v>180</v>
      </c>
      <c r="I1518" s="29">
        <v>110400000</v>
      </c>
      <c r="P1518" s="125"/>
      <c r="Q1518" s="34"/>
      <c r="R1518" s="115"/>
      <c r="S1518" s="34"/>
      <c r="T1518" s="34"/>
      <c r="U1518" s="34"/>
      <c r="V1518" s="29"/>
    </row>
    <row r="1519" spans="3:22">
      <c r="C1519" s="125">
        <v>44406</v>
      </c>
      <c r="D1519" s="34">
        <v>214</v>
      </c>
      <c r="E1519" s="115">
        <v>214.509995</v>
      </c>
      <c r="F1519" s="34">
        <v>209.69000199999999</v>
      </c>
      <c r="G1519" s="34">
        <v>212.55999800000001</v>
      </c>
      <c r="H1519" s="34">
        <v>205.55746500000001</v>
      </c>
      <c r="I1519" s="29">
        <v>3419700</v>
      </c>
      <c r="P1519" s="125"/>
      <c r="Q1519" s="34"/>
      <c r="R1519" s="115"/>
      <c r="S1519" s="34"/>
      <c r="T1519" s="34"/>
      <c r="U1519" s="34"/>
      <c r="V1519" s="29"/>
    </row>
    <row r="1520" spans="3:22">
      <c r="C1520" s="125">
        <v>44405</v>
      </c>
      <c r="D1520" s="34">
        <v>181.69</v>
      </c>
      <c r="E1520" s="115">
        <v>182.92</v>
      </c>
      <c r="F1520" s="34">
        <v>180.05</v>
      </c>
      <c r="G1520" s="34">
        <v>181.52</v>
      </c>
      <c r="H1520" s="34">
        <v>181.52</v>
      </c>
      <c r="I1520" s="29">
        <v>59988000</v>
      </c>
      <c r="P1520" s="125"/>
      <c r="Q1520" s="34"/>
      <c r="R1520" s="115"/>
      <c r="S1520" s="34"/>
      <c r="T1520" s="34"/>
      <c r="U1520" s="34"/>
      <c r="V1520" s="29"/>
    </row>
    <row r="1521" spans="3:22">
      <c r="C1521" s="125">
        <v>44405</v>
      </c>
      <c r="D1521" s="34">
        <v>210</v>
      </c>
      <c r="E1521" s="115">
        <v>212.69000199999999</v>
      </c>
      <c r="F1521" s="34">
        <v>208.10000600000001</v>
      </c>
      <c r="G1521" s="34">
        <v>211.44000199999999</v>
      </c>
      <c r="H1521" s="34">
        <v>204.47436500000001</v>
      </c>
      <c r="I1521" s="29">
        <v>3246900</v>
      </c>
      <c r="P1521" s="125"/>
      <c r="Q1521" s="34"/>
      <c r="R1521" s="115"/>
      <c r="S1521" s="34"/>
      <c r="T1521" s="34"/>
      <c r="U1521" s="34"/>
      <c r="V1521" s="29"/>
    </row>
    <row r="1522" spans="3:22">
      <c r="C1522" s="125">
        <v>44404</v>
      </c>
      <c r="D1522" s="34">
        <v>184.93</v>
      </c>
      <c r="E1522" s="115">
        <v>184.93</v>
      </c>
      <c r="F1522" s="34">
        <v>179.31</v>
      </c>
      <c r="G1522" s="34">
        <v>181.32</v>
      </c>
      <c r="H1522" s="34">
        <v>181.32</v>
      </c>
      <c r="I1522" s="29">
        <v>82638000</v>
      </c>
      <c r="P1522" s="125"/>
      <c r="Q1522" s="34"/>
      <c r="R1522" s="115"/>
      <c r="S1522" s="34"/>
      <c r="T1522" s="34"/>
      <c r="U1522" s="34"/>
      <c r="V1522" s="29"/>
    </row>
    <row r="1523" spans="3:22">
      <c r="C1523" s="125">
        <v>44404</v>
      </c>
      <c r="D1523" s="34">
        <v>207.529999</v>
      </c>
      <c r="E1523" s="115">
        <v>211.05999800000001</v>
      </c>
      <c r="F1523" s="34">
        <v>207</v>
      </c>
      <c r="G1523" s="34">
        <v>209.89999399999999</v>
      </c>
      <c r="H1523" s="34">
        <v>202.98507699999999</v>
      </c>
      <c r="I1523" s="29">
        <v>2472000</v>
      </c>
      <c r="P1523" s="125"/>
      <c r="Q1523" s="34"/>
      <c r="R1523" s="115"/>
      <c r="S1523" s="34"/>
      <c r="T1523" s="34"/>
      <c r="U1523" s="34"/>
      <c r="V1523" s="29"/>
    </row>
    <row r="1524" spans="3:22">
      <c r="C1524" s="125">
        <v>44403</v>
      </c>
      <c r="D1524" s="34">
        <v>183.66</v>
      </c>
      <c r="E1524" s="115">
        <v>185.6</v>
      </c>
      <c r="F1524" s="34">
        <v>182.36</v>
      </c>
      <c r="G1524" s="34">
        <v>184.99</v>
      </c>
      <c r="H1524" s="34">
        <v>184.99</v>
      </c>
      <c r="I1524" s="29">
        <v>58002000</v>
      </c>
      <c r="P1524" s="125"/>
      <c r="Q1524" s="34"/>
      <c r="R1524" s="115"/>
      <c r="S1524" s="34"/>
      <c r="T1524" s="34"/>
      <c r="U1524" s="34"/>
      <c r="V1524" s="29"/>
    </row>
    <row r="1525" spans="3:22">
      <c r="C1525" s="125">
        <v>44403</v>
      </c>
      <c r="D1525" s="34">
        <v>209.83999600000001</v>
      </c>
      <c r="E1525" s="115">
        <v>212.070007</v>
      </c>
      <c r="F1525" s="34">
        <v>209.5</v>
      </c>
      <c r="G1525" s="34">
        <v>211.029999</v>
      </c>
      <c r="H1525" s="34">
        <v>204.077866</v>
      </c>
      <c r="I1525" s="29">
        <v>2157600</v>
      </c>
      <c r="P1525" s="125"/>
      <c r="Q1525" s="34"/>
      <c r="R1525" s="115"/>
      <c r="S1525" s="34"/>
      <c r="T1525" s="34"/>
      <c r="U1525" s="34"/>
      <c r="V1525" s="29"/>
    </row>
    <row r="1526" spans="3:22">
      <c r="C1526" s="125">
        <v>44400</v>
      </c>
      <c r="D1526" s="34">
        <v>182</v>
      </c>
      <c r="E1526" s="115">
        <v>183.31</v>
      </c>
      <c r="F1526" s="34">
        <v>181.1</v>
      </c>
      <c r="G1526" s="34">
        <v>182.83</v>
      </c>
      <c r="H1526" s="34">
        <v>182.83</v>
      </c>
      <c r="I1526" s="29">
        <v>48726000</v>
      </c>
      <c r="P1526" s="125"/>
      <c r="Q1526" s="34"/>
      <c r="R1526" s="115"/>
      <c r="S1526" s="34"/>
      <c r="T1526" s="34"/>
      <c r="U1526" s="34"/>
      <c r="V1526" s="29"/>
    </row>
    <row r="1527" spans="3:22">
      <c r="C1527" s="125">
        <v>44400</v>
      </c>
      <c r="D1527" s="34">
        <v>209.5</v>
      </c>
      <c r="E1527" s="115">
        <v>210.36999499999999</v>
      </c>
      <c r="F1527" s="34">
        <v>207.86000100000001</v>
      </c>
      <c r="G1527" s="34">
        <v>209.529999</v>
      </c>
      <c r="H1527" s="34">
        <v>202.627274</v>
      </c>
      <c r="I1527" s="29">
        <v>2302600</v>
      </c>
      <c r="P1527" s="125"/>
      <c r="Q1527" s="34"/>
      <c r="R1527" s="115"/>
      <c r="S1527" s="34"/>
      <c r="T1527" s="34"/>
      <c r="U1527" s="34"/>
      <c r="V1527" s="29"/>
    </row>
    <row r="1528" spans="3:22">
      <c r="C1528" s="125">
        <v>44399</v>
      </c>
      <c r="D1528" s="34">
        <v>179.36</v>
      </c>
      <c r="E1528" s="115">
        <v>182</v>
      </c>
      <c r="F1528" s="34">
        <v>179.11</v>
      </c>
      <c r="G1528" s="34">
        <v>181.9</v>
      </c>
      <c r="H1528" s="34">
        <v>181.9</v>
      </c>
      <c r="I1528" s="29">
        <v>65308000</v>
      </c>
      <c r="P1528" s="125"/>
      <c r="Q1528" s="34"/>
      <c r="R1528" s="115"/>
      <c r="S1528" s="34"/>
      <c r="T1528" s="34"/>
      <c r="U1528" s="34"/>
      <c r="V1528" s="29"/>
    </row>
    <row r="1529" spans="3:22">
      <c r="C1529" s="125">
        <v>44399</v>
      </c>
      <c r="D1529" s="34">
        <v>211</v>
      </c>
      <c r="E1529" s="115">
        <v>211.38000500000001</v>
      </c>
      <c r="F1529" s="34">
        <v>208.53999300000001</v>
      </c>
      <c r="G1529" s="34">
        <v>209.16000399999999</v>
      </c>
      <c r="H1529" s="34">
        <v>202.26950099999999</v>
      </c>
      <c r="I1529" s="29">
        <v>1931500</v>
      </c>
      <c r="P1529" s="125"/>
      <c r="Q1529" s="34"/>
      <c r="R1529" s="115"/>
      <c r="S1529" s="34"/>
      <c r="T1529" s="34"/>
      <c r="U1529" s="34"/>
      <c r="V1529" s="29"/>
    </row>
    <row r="1530" spans="3:22">
      <c r="C1530" s="125">
        <v>44398</v>
      </c>
      <c r="D1530" s="34">
        <v>178.82</v>
      </c>
      <c r="E1530" s="115">
        <v>179.32</v>
      </c>
      <c r="F1530" s="34">
        <v>177.18</v>
      </c>
      <c r="G1530" s="34">
        <v>179.26</v>
      </c>
      <c r="H1530" s="34">
        <v>179.26</v>
      </c>
      <c r="I1530" s="29">
        <v>46380000</v>
      </c>
      <c r="P1530" s="125"/>
      <c r="Q1530" s="34"/>
      <c r="R1530" s="115"/>
      <c r="S1530" s="34"/>
      <c r="T1530" s="34"/>
      <c r="U1530" s="34"/>
      <c r="V1530" s="29"/>
    </row>
    <row r="1531" spans="3:22">
      <c r="C1531" s="125">
        <v>44398</v>
      </c>
      <c r="D1531" s="34">
        <v>208.720001</v>
      </c>
      <c r="E1531" s="115">
        <v>210.96000699999999</v>
      </c>
      <c r="F1531" s="34">
        <v>207.58000200000001</v>
      </c>
      <c r="G1531" s="34">
        <v>210.729996</v>
      </c>
      <c r="H1531" s="34">
        <v>203.78774999999999</v>
      </c>
      <c r="I1531" s="29">
        <v>3407300</v>
      </c>
      <c r="P1531" s="125"/>
      <c r="Q1531" s="34"/>
      <c r="R1531" s="115"/>
      <c r="S1531" s="34"/>
      <c r="T1531" s="34"/>
      <c r="U1531" s="34"/>
      <c r="V1531" s="29"/>
    </row>
    <row r="1532" spans="3:22">
      <c r="C1532" s="125">
        <v>44397</v>
      </c>
      <c r="D1532" s="34">
        <v>178.37</v>
      </c>
      <c r="E1532" s="115">
        <v>179.6</v>
      </c>
      <c r="F1532" s="34">
        <v>175.9</v>
      </c>
      <c r="G1532" s="34">
        <v>178.66</v>
      </c>
      <c r="H1532" s="34">
        <v>178.66</v>
      </c>
      <c r="I1532" s="29">
        <v>65114000</v>
      </c>
      <c r="P1532" s="125"/>
      <c r="Q1532" s="34"/>
      <c r="R1532" s="115"/>
      <c r="S1532" s="34"/>
      <c r="T1532" s="34"/>
      <c r="U1532" s="34"/>
      <c r="V1532" s="29"/>
    </row>
    <row r="1533" spans="3:22">
      <c r="C1533" s="125">
        <v>44397</v>
      </c>
      <c r="D1533" s="34">
        <v>203.03999300000001</v>
      </c>
      <c r="E1533" s="115">
        <v>208.63000500000001</v>
      </c>
      <c r="F1533" s="34">
        <v>202.30999800000001</v>
      </c>
      <c r="G1533" s="34">
        <v>207.96000699999999</v>
      </c>
      <c r="H1533" s="34">
        <v>201.10902400000001</v>
      </c>
      <c r="I1533" s="29">
        <v>3934300</v>
      </c>
      <c r="P1533" s="125"/>
      <c r="Q1533" s="34"/>
      <c r="R1533" s="115"/>
      <c r="S1533" s="34"/>
      <c r="T1533" s="34"/>
      <c r="U1533" s="34"/>
      <c r="V1533" s="29"/>
    </row>
    <row r="1534" spans="3:22">
      <c r="C1534" s="125">
        <v>44396</v>
      </c>
      <c r="D1534" s="34">
        <v>176.63</v>
      </c>
      <c r="E1534" s="115">
        <v>177.51</v>
      </c>
      <c r="F1534" s="34">
        <v>174.96</v>
      </c>
      <c r="G1534" s="34">
        <v>177.48</v>
      </c>
      <c r="H1534" s="34">
        <v>177.48</v>
      </c>
      <c r="I1534" s="29">
        <v>75692000</v>
      </c>
      <c r="P1534" s="125"/>
      <c r="Q1534" s="34"/>
      <c r="R1534" s="115"/>
      <c r="S1534" s="34"/>
      <c r="T1534" s="34"/>
      <c r="U1534" s="34"/>
      <c r="V1534" s="29"/>
    </row>
    <row r="1535" spans="3:22">
      <c r="C1535" s="125">
        <v>44396</v>
      </c>
      <c r="D1535" s="34">
        <v>202.270004</v>
      </c>
      <c r="E1535" s="115">
        <v>203.75</v>
      </c>
      <c r="F1535" s="34">
        <v>199.229996</v>
      </c>
      <c r="G1535" s="34">
        <v>203.08000200000001</v>
      </c>
      <c r="H1535" s="34">
        <v>196.389771</v>
      </c>
      <c r="I1535" s="29">
        <v>5391100</v>
      </c>
      <c r="P1535" s="125"/>
      <c r="Q1535" s="34"/>
      <c r="R1535" s="115"/>
      <c r="S1535" s="34"/>
      <c r="T1535" s="34"/>
      <c r="U1535" s="34"/>
      <c r="V1535" s="29"/>
    </row>
    <row r="1536" spans="3:22">
      <c r="C1536" s="125">
        <v>44393</v>
      </c>
      <c r="D1536" s="34">
        <v>181.67</v>
      </c>
      <c r="E1536" s="115">
        <v>182.3</v>
      </c>
      <c r="F1536" s="34">
        <v>178.52</v>
      </c>
      <c r="G1536" s="34">
        <v>178.68</v>
      </c>
      <c r="H1536" s="34">
        <v>178.68</v>
      </c>
      <c r="I1536" s="29">
        <v>80874000</v>
      </c>
      <c r="P1536" s="125"/>
      <c r="Q1536" s="34"/>
      <c r="R1536" s="115"/>
      <c r="S1536" s="34"/>
      <c r="T1536" s="34"/>
      <c r="U1536" s="34"/>
      <c r="V1536" s="29"/>
    </row>
    <row r="1537" spans="3:22">
      <c r="C1537" s="125">
        <v>44393</v>
      </c>
      <c r="D1537" s="34">
        <v>212.46000699999999</v>
      </c>
      <c r="E1537" s="115">
        <v>212.699997</v>
      </c>
      <c r="F1537" s="34">
        <v>207.009995</v>
      </c>
      <c r="G1537" s="34">
        <v>207.949997</v>
      </c>
      <c r="H1537" s="34">
        <v>200.02590900000001</v>
      </c>
      <c r="I1537" s="29">
        <v>4368800</v>
      </c>
      <c r="P1537" s="125"/>
      <c r="Q1537" s="34"/>
      <c r="R1537" s="115"/>
      <c r="S1537" s="34"/>
      <c r="T1537" s="34"/>
      <c r="U1537" s="34"/>
      <c r="V1537" s="29"/>
    </row>
    <row r="1538" spans="3:22">
      <c r="C1538" s="125">
        <v>44392</v>
      </c>
      <c r="D1538" s="34">
        <v>184.71</v>
      </c>
      <c r="E1538" s="115">
        <v>184.77</v>
      </c>
      <c r="F1538" s="34">
        <v>181.05</v>
      </c>
      <c r="G1538" s="34">
        <v>181.56</v>
      </c>
      <c r="H1538" s="34">
        <v>181.56</v>
      </c>
      <c r="I1538" s="29">
        <v>63706000</v>
      </c>
      <c r="P1538" s="125"/>
      <c r="Q1538" s="34"/>
      <c r="R1538" s="115"/>
      <c r="S1538" s="34"/>
      <c r="T1538" s="34"/>
      <c r="U1538" s="34"/>
      <c r="V1538" s="29"/>
    </row>
    <row r="1539" spans="3:22">
      <c r="C1539" s="125">
        <v>44392</v>
      </c>
      <c r="D1539" s="34">
        <v>210.279999</v>
      </c>
      <c r="E1539" s="115">
        <v>213.38999899999999</v>
      </c>
      <c r="F1539" s="34">
        <v>210.11999499999999</v>
      </c>
      <c r="G1539" s="34">
        <v>211.41000399999999</v>
      </c>
      <c r="H1539" s="34">
        <v>203.35405</v>
      </c>
      <c r="I1539" s="29">
        <v>2737500</v>
      </c>
      <c r="P1539" s="125"/>
      <c r="Q1539" s="34"/>
      <c r="R1539" s="115"/>
      <c r="S1539" s="34"/>
      <c r="T1539" s="34"/>
      <c r="U1539" s="34"/>
      <c r="V1539" s="29"/>
    </row>
    <row r="1540" spans="3:22">
      <c r="C1540" s="125">
        <v>44391</v>
      </c>
      <c r="D1540" s="34">
        <v>185.44</v>
      </c>
      <c r="E1540" s="115">
        <v>185.88</v>
      </c>
      <c r="F1540" s="34">
        <v>183.04</v>
      </c>
      <c r="G1540" s="34">
        <v>184.08</v>
      </c>
      <c r="H1540" s="34">
        <v>184.08</v>
      </c>
      <c r="I1540" s="29">
        <v>65932000</v>
      </c>
      <c r="P1540" s="125"/>
      <c r="Q1540" s="34"/>
      <c r="R1540" s="115"/>
      <c r="S1540" s="34"/>
      <c r="T1540" s="34"/>
      <c r="U1540" s="34"/>
      <c r="V1540" s="29"/>
    </row>
    <row r="1541" spans="3:22">
      <c r="C1541" s="125">
        <v>44391</v>
      </c>
      <c r="D1541" s="34">
        <v>215.259995</v>
      </c>
      <c r="E1541" s="115">
        <v>215.63999899999999</v>
      </c>
      <c r="F1541" s="34">
        <v>211.220001</v>
      </c>
      <c r="G1541" s="34">
        <v>211.63999899999999</v>
      </c>
      <c r="H1541" s="34">
        <v>203.57527200000001</v>
      </c>
      <c r="I1541" s="29">
        <v>3185200</v>
      </c>
      <c r="P1541" s="125"/>
      <c r="Q1541" s="34"/>
      <c r="R1541" s="115"/>
      <c r="S1541" s="34"/>
      <c r="T1541" s="34"/>
      <c r="U1541" s="34"/>
      <c r="V1541" s="29"/>
    </row>
    <row r="1542" spans="3:22">
      <c r="C1542" s="125">
        <v>44390</v>
      </c>
      <c r="D1542" s="34">
        <v>185.1</v>
      </c>
      <c r="E1542" s="115">
        <v>188.65</v>
      </c>
      <c r="F1542" s="34">
        <v>183.57</v>
      </c>
      <c r="G1542" s="34">
        <v>183.87</v>
      </c>
      <c r="H1542" s="34">
        <v>183.87</v>
      </c>
      <c r="I1542" s="29">
        <v>76918000</v>
      </c>
      <c r="P1542" s="125"/>
      <c r="Q1542" s="34"/>
      <c r="R1542" s="115"/>
      <c r="S1542" s="34"/>
      <c r="T1542" s="34"/>
      <c r="U1542" s="34"/>
      <c r="V1542" s="29"/>
    </row>
    <row r="1543" spans="3:22">
      <c r="C1543" s="125">
        <v>44390</v>
      </c>
      <c r="D1543" s="34">
        <v>218.96000699999999</v>
      </c>
      <c r="E1543" s="115">
        <v>219.050003</v>
      </c>
      <c r="F1543" s="34">
        <v>214.699997</v>
      </c>
      <c r="G1543" s="34">
        <v>215.19000199999999</v>
      </c>
      <c r="H1543" s="34">
        <v>206.99002100000001</v>
      </c>
      <c r="I1543" s="29">
        <v>2373300</v>
      </c>
      <c r="P1543" s="125"/>
      <c r="Q1543" s="34"/>
      <c r="R1543" s="115"/>
      <c r="S1543" s="34"/>
      <c r="T1543" s="34"/>
      <c r="U1543" s="34"/>
      <c r="V1543" s="29"/>
    </row>
    <row r="1544" spans="3:22">
      <c r="C1544" s="125">
        <v>44389</v>
      </c>
      <c r="D1544" s="34">
        <v>187.2</v>
      </c>
      <c r="E1544" s="115">
        <v>187.86</v>
      </c>
      <c r="F1544" s="34">
        <v>184.84</v>
      </c>
      <c r="G1544" s="34">
        <v>185.93</v>
      </c>
      <c r="H1544" s="34">
        <v>185.93</v>
      </c>
      <c r="I1544" s="29">
        <v>51432000</v>
      </c>
      <c r="P1544" s="125"/>
      <c r="Q1544" s="34"/>
      <c r="R1544" s="115"/>
      <c r="S1544" s="34"/>
      <c r="T1544" s="34"/>
      <c r="U1544" s="34"/>
      <c r="V1544" s="29"/>
    </row>
    <row r="1545" spans="3:22">
      <c r="C1545" s="125">
        <v>44389</v>
      </c>
      <c r="D1545" s="34">
        <v>216.020004</v>
      </c>
      <c r="E1545" s="115">
        <v>218.949997</v>
      </c>
      <c r="F1545" s="34">
        <v>214.85000600000001</v>
      </c>
      <c r="G1545" s="34">
        <v>218.58000200000001</v>
      </c>
      <c r="H1545" s="34">
        <v>210.25083900000001</v>
      </c>
      <c r="I1545" s="29">
        <v>2509000</v>
      </c>
      <c r="P1545" s="125"/>
      <c r="Q1545" s="34"/>
      <c r="R1545" s="115"/>
      <c r="S1545" s="34"/>
      <c r="T1545" s="34"/>
      <c r="U1545" s="34"/>
      <c r="V1545" s="29"/>
    </row>
    <row r="1546" spans="3:22">
      <c r="C1546" s="125">
        <v>44386</v>
      </c>
      <c r="D1546" s="34">
        <v>186.13</v>
      </c>
      <c r="E1546" s="115">
        <v>187.4</v>
      </c>
      <c r="F1546" s="34">
        <v>184.67</v>
      </c>
      <c r="G1546" s="34">
        <v>185.97</v>
      </c>
      <c r="H1546" s="34">
        <v>185.97</v>
      </c>
      <c r="I1546" s="29">
        <v>74964000</v>
      </c>
      <c r="P1546" s="125"/>
      <c r="Q1546" s="34"/>
      <c r="R1546" s="115"/>
      <c r="S1546" s="34"/>
      <c r="T1546" s="34"/>
      <c r="U1546" s="34"/>
      <c r="V1546" s="29"/>
    </row>
    <row r="1547" spans="3:22">
      <c r="C1547" s="125">
        <v>44386</v>
      </c>
      <c r="D1547" s="34">
        <v>215.89999399999999</v>
      </c>
      <c r="E1547" s="115">
        <v>218.58999600000001</v>
      </c>
      <c r="F1547" s="34">
        <v>214.39999399999999</v>
      </c>
      <c r="G1547" s="34">
        <v>217.41999799999999</v>
      </c>
      <c r="H1547" s="34">
        <v>209.13505599999999</v>
      </c>
      <c r="I1547" s="29">
        <v>3163800</v>
      </c>
      <c r="P1547" s="125"/>
      <c r="Q1547" s="34"/>
      <c r="R1547" s="115"/>
      <c r="S1547" s="34"/>
      <c r="T1547" s="34"/>
      <c r="U1547" s="34"/>
      <c r="V1547" s="29"/>
    </row>
    <row r="1548" spans="3:22">
      <c r="C1548" s="125">
        <v>44385</v>
      </c>
      <c r="D1548" s="34">
        <v>182.18</v>
      </c>
      <c r="E1548" s="115">
        <v>188</v>
      </c>
      <c r="F1548" s="34">
        <v>181.06</v>
      </c>
      <c r="G1548" s="34">
        <v>186.57</v>
      </c>
      <c r="H1548" s="34">
        <v>186.57</v>
      </c>
      <c r="I1548" s="29">
        <v>103612000</v>
      </c>
      <c r="P1548" s="125"/>
      <c r="Q1548" s="34"/>
      <c r="R1548" s="115"/>
      <c r="S1548" s="34"/>
      <c r="T1548" s="34"/>
      <c r="U1548" s="34"/>
      <c r="V1548" s="29"/>
    </row>
    <row r="1549" spans="3:22">
      <c r="C1549" s="125">
        <v>44385</v>
      </c>
      <c r="D1549" s="34">
        <v>210</v>
      </c>
      <c r="E1549" s="115">
        <v>213.89999399999999</v>
      </c>
      <c r="F1549" s="34">
        <v>209.929993</v>
      </c>
      <c r="G1549" s="34">
        <v>212.11000100000001</v>
      </c>
      <c r="H1549" s="34">
        <v>204.02739</v>
      </c>
      <c r="I1549" s="29">
        <v>3723800</v>
      </c>
      <c r="P1549" s="125"/>
      <c r="Q1549" s="34"/>
      <c r="R1549" s="115"/>
      <c r="S1549" s="34"/>
      <c r="T1549" s="34"/>
      <c r="U1549" s="34"/>
      <c r="V1549" s="29"/>
    </row>
    <row r="1550" spans="3:22">
      <c r="C1550" s="125">
        <v>44384</v>
      </c>
      <c r="D1550" s="34">
        <v>185.87</v>
      </c>
      <c r="E1550" s="115">
        <v>186.71</v>
      </c>
      <c r="F1550" s="34">
        <v>183.95</v>
      </c>
      <c r="G1550" s="34">
        <v>184.83</v>
      </c>
      <c r="H1550" s="34">
        <v>184.83</v>
      </c>
      <c r="I1550" s="29">
        <v>106562000</v>
      </c>
      <c r="P1550" s="125"/>
      <c r="Q1550" s="34"/>
      <c r="R1550" s="115"/>
      <c r="S1550" s="34"/>
      <c r="T1550" s="34"/>
      <c r="U1550" s="34"/>
      <c r="V1550" s="29"/>
    </row>
    <row r="1551" spans="3:22">
      <c r="C1551" s="125">
        <v>44384</v>
      </c>
      <c r="D1551" s="34">
        <v>212.69000199999999</v>
      </c>
      <c r="E1551" s="115">
        <v>215.05999800000001</v>
      </c>
      <c r="F1551" s="34">
        <v>211.16000399999999</v>
      </c>
      <c r="G1551" s="34">
        <v>214.69000199999999</v>
      </c>
      <c r="H1551" s="34">
        <v>206.50907900000001</v>
      </c>
      <c r="I1551" s="29">
        <v>2707700</v>
      </c>
      <c r="P1551" s="125"/>
      <c r="Q1551" s="34"/>
      <c r="R1551" s="115"/>
      <c r="S1551" s="34"/>
      <c r="T1551" s="34"/>
      <c r="U1551" s="34"/>
      <c r="V1551" s="29"/>
    </row>
    <row r="1552" spans="3:22">
      <c r="C1552" s="125">
        <v>44383</v>
      </c>
      <c r="D1552" s="34">
        <v>176.51</v>
      </c>
      <c r="E1552" s="115">
        <v>184.27</v>
      </c>
      <c r="F1552" s="34">
        <v>176.45</v>
      </c>
      <c r="G1552" s="34">
        <v>183.79</v>
      </c>
      <c r="H1552" s="34">
        <v>183.79</v>
      </c>
      <c r="I1552" s="29">
        <v>134896000</v>
      </c>
      <c r="P1552" s="125"/>
      <c r="Q1552" s="34"/>
      <c r="R1552" s="115"/>
      <c r="S1552" s="34"/>
      <c r="T1552" s="34"/>
      <c r="U1552" s="34"/>
      <c r="V1552" s="29"/>
    </row>
    <row r="1553" spans="3:22">
      <c r="C1553" s="125">
        <v>44383</v>
      </c>
      <c r="D1553" s="34">
        <v>217.41000399999999</v>
      </c>
      <c r="E1553" s="115">
        <v>217.55999800000001</v>
      </c>
      <c r="F1553" s="34">
        <v>211.33999600000001</v>
      </c>
      <c r="G1553" s="34">
        <v>213.520004</v>
      </c>
      <c r="H1553" s="34">
        <v>205.383667</v>
      </c>
      <c r="I1553" s="29">
        <v>4348100</v>
      </c>
      <c r="P1553" s="125"/>
      <c r="Q1553" s="34"/>
      <c r="R1553" s="115"/>
      <c r="S1553" s="34"/>
      <c r="T1553" s="34"/>
      <c r="U1553" s="34"/>
      <c r="V1553" s="29"/>
    </row>
    <row r="1554" spans="3:22">
      <c r="C1554" s="125">
        <v>44379</v>
      </c>
      <c r="D1554" s="34">
        <v>172.58</v>
      </c>
      <c r="E1554" s="115">
        <v>175.59</v>
      </c>
      <c r="F1554" s="34">
        <v>171.85</v>
      </c>
      <c r="G1554" s="34">
        <v>175.55</v>
      </c>
      <c r="H1554" s="34">
        <v>175.55</v>
      </c>
      <c r="I1554" s="29">
        <v>63388000</v>
      </c>
      <c r="P1554" s="125"/>
      <c r="Q1554" s="34"/>
      <c r="R1554" s="115"/>
      <c r="S1554" s="34"/>
      <c r="T1554" s="34"/>
      <c r="U1554" s="34"/>
      <c r="V1554" s="29"/>
    </row>
    <row r="1555" spans="3:22">
      <c r="C1555" s="125">
        <v>44379</v>
      </c>
      <c r="D1555" s="34">
        <v>217.66000399999999</v>
      </c>
      <c r="E1555" s="115">
        <v>218.36999499999999</v>
      </c>
      <c r="F1555" s="34">
        <v>215.58000200000001</v>
      </c>
      <c r="G1555" s="34">
        <v>217.759995</v>
      </c>
      <c r="H1555" s="34">
        <v>209.46208200000001</v>
      </c>
      <c r="I1555" s="29">
        <v>2433600</v>
      </c>
      <c r="P1555" s="125"/>
      <c r="Q1555" s="34"/>
      <c r="R1555" s="115"/>
      <c r="S1555" s="34"/>
      <c r="T1555" s="34"/>
      <c r="U1555" s="34"/>
      <c r="V1555" s="29"/>
    </row>
    <row r="1556" spans="3:22">
      <c r="C1556" s="125">
        <v>44378</v>
      </c>
      <c r="D1556" s="34">
        <v>171.73</v>
      </c>
      <c r="E1556" s="115">
        <v>172.85</v>
      </c>
      <c r="F1556" s="34">
        <v>170.47</v>
      </c>
      <c r="G1556" s="34">
        <v>171.65</v>
      </c>
      <c r="H1556" s="34">
        <v>171.65</v>
      </c>
      <c r="I1556" s="29">
        <v>40742000</v>
      </c>
      <c r="P1556" s="125"/>
      <c r="Q1556" s="34"/>
      <c r="R1556" s="115"/>
      <c r="S1556" s="34"/>
      <c r="T1556" s="34"/>
      <c r="U1556" s="34"/>
      <c r="V1556" s="29"/>
    </row>
    <row r="1557" spans="3:22">
      <c r="C1557" s="125">
        <v>44378</v>
      </c>
      <c r="D1557" s="34">
        <v>219.16000399999999</v>
      </c>
      <c r="E1557" s="115">
        <v>219.78999300000001</v>
      </c>
      <c r="F1557" s="34">
        <v>216.14999399999999</v>
      </c>
      <c r="G1557" s="34">
        <v>216.71000699999999</v>
      </c>
      <c r="H1557" s="34">
        <v>208.452133</v>
      </c>
      <c r="I1557" s="29">
        <v>2426300</v>
      </c>
      <c r="P1557" s="125"/>
      <c r="Q1557" s="34"/>
      <c r="R1557" s="115"/>
      <c r="S1557" s="34"/>
      <c r="T1557" s="34"/>
      <c r="U1557" s="34"/>
      <c r="V1557" s="29"/>
    </row>
    <row r="1558" spans="3:22">
      <c r="C1558" s="125">
        <v>44377</v>
      </c>
      <c r="D1558" s="34">
        <v>172.05</v>
      </c>
      <c r="E1558" s="115">
        <v>173.58</v>
      </c>
      <c r="F1558" s="34">
        <v>171.75</v>
      </c>
      <c r="G1558" s="34">
        <v>172.01</v>
      </c>
      <c r="H1558" s="34">
        <v>172.01</v>
      </c>
      <c r="I1558" s="29">
        <v>48080000</v>
      </c>
      <c r="P1558" s="125"/>
      <c r="Q1558" s="34"/>
      <c r="R1558" s="115"/>
      <c r="S1558" s="34"/>
      <c r="T1558" s="34"/>
      <c r="U1558" s="34"/>
      <c r="V1558" s="29"/>
    </row>
    <row r="1559" spans="3:22">
      <c r="C1559" s="125">
        <v>44377</v>
      </c>
      <c r="D1559" s="34">
        <v>214.61999499999999</v>
      </c>
      <c r="E1559" s="115">
        <v>217.949997</v>
      </c>
      <c r="F1559" s="34">
        <v>214.05999800000001</v>
      </c>
      <c r="G1559" s="34">
        <v>217.63000500000001</v>
      </c>
      <c r="H1559" s="34">
        <v>209.337051</v>
      </c>
      <c r="I1559" s="29">
        <v>3249500</v>
      </c>
      <c r="P1559" s="125"/>
      <c r="Q1559" s="34"/>
      <c r="R1559" s="115"/>
      <c r="S1559" s="34"/>
      <c r="T1559" s="34"/>
      <c r="U1559" s="34"/>
      <c r="V1559" s="29"/>
    </row>
    <row r="1560" spans="3:22">
      <c r="C1560" s="125">
        <v>44376</v>
      </c>
      <c r="D1560" s="34">
        <v>171.94</v>
      </c>
      <c r="E1560" s="115">
        <v>172.8</v>
      </c>
      <c r="F1560" s="34">
        <v>171.15</v>
      </c>
      <c r="G1560" s="34">
        <v>172.41</v>
      </c>
      <c r="H1560" s="34">
        <v>172.41</v>
      </c>
      <c r="I1560" s="29">
        <v>41968000</v>
      </c>
      <c r="P1560" s="125"/>
      <c r="Q1560" s="34"/>
      <c r="R1560" s="115"/>
      <c r="S1560" s="34"/>
      <c r="T1560" s="34"/>
      <c r="U1560" s="34"/>
      <c r="V1560" s="29"/>
    </row>
    <row r="1561" spans="3:22">
      <c r="C1561" s="125">
        <v>44376</v>
      </c>
      <c r="D1561" s="34">
        <v>218.03999300000001</v>
      </c>
      <c r="E1561" s="115">
        <v>218.699997</v>
      </c>
      <c r="F1561" s="34">
        <v>214.58999600000001</v>
      </c>
      <c r="G1561" s="34">
        <v>215.10000600000001</v>
      </c>
      <c r="H1561" s="34">
        <v>206.903458</v>
      </c>
      <c r="I1561" s="29">
        <v>3443400</v>
      </c>
      <c r="P1561" s="125"/>
      <c r="Q1561" s="34"/>
      <c r="R1561" s="115"/>
      <c r="S1561" s="34"/>
      <c r="T1561" s="34"/>
      <c r="U1561" s="34"/>
      <c r="V1561" s="29"/>
    </row>
    <row r="1562" spans="3:22">
      <c r="C1562" s="125">
        <v>44375</v>
      </c>
      <c r="D1562" s="34">
        <v>170.8</v>
      </c>
      <c r="E1562" s="115">
        <v>172.4</v>
      </c>
      <c r="F1562" s="34">
        <v>170.68</v>
      </c>
      <c r="G1562" s="34">
        <v>172.19</v>
      </c>
      <c r="H1562" s="34">
        <v>172.19</v>
      </c>
      <c r="I1562" s="29">
        <v>44856000</v>
      </c>
      <c r="P1562" s="125"/>
      <c r="Q1562" s="34"/>
      <c r="R1562" s="115"/>
      <c r="S1562" s="34"/>
      <c r="T1562" s="34"/>
      <c r="U1562" s="34"/>
      <c r="V1562" s="29"/>
    </row>
    <row r="1563" spans="3:22">
      <c r="C1563" s="125">
        <v>44375</v>
      </c>
      <c r="D1563" s="34">
        <v>216.449997</v>
      </c>
      <c r="E1563" s="115">
        <v>216.779999</v>
      </c>
      <c r="F1563" s="34">
        <v>213.55999800000001</v>
      </c>
      <c r="G1563" s="34">
        <v>216.270004</v>
      </c>
      <c r="H1563" s="34">
        <v>208.028885</v>
      </c>
      <c r="I1563" s="29">
        <v>3172000</v>
      </c>
      <c r="P1563" s="125"/>
      <c r="Q1563" s="34"/>
      <c r="R1563" s="115"/>
      <c r="S1563" s="34"/>
      <c r="T1563" s="34"/>
      <c r="U1563" s="34"/>
      <c r="V1563" s="29"/>
    </row>
    <row r="1564" spans="3:22">
      <c r="C1564" s="125">
        <v>44372</v>
      </c>
      <c r="D1564" s="34">
        <v>173.2</v>
      </c>
      <c r="E1564" s="115">
        <v>173.24</v>
      </c>
      <c r="F1564" s="34">
        <v>169.71</v>
      </c>
      <c r="G1564" s="34">
        <v>170.07</v>
      </c>
      <c r="H1564" s="34">
        <v>170.07</v>
      </c>
      <c r="I1564" s="29">
        <v>78820000</v>
      </c>
      <c r="P1564" s="125"/>
      <c r="Q1564" s="34"/>
      <c r="R1564" s="115"/>
      <c r="S1564" s="34"/>
      <c r="T1564" s="34"/>
      <c r="U1564" s="34"/>
      <c r="V1564" s="29"/>
    </row>
    <row r="1565" spans="3:22">
      <c r="C1565" s="125">
        <v>44372</v>
      </c>
      <c r="D1565" s="34">
        <v>221.179993</v>
      </c>
      <c r="E1565" s="115">
        <v>221.75</v>
      </c>
      <c r="F1565" s="34">
        <v>215.270004</v>
      </c>
      <c r="G1565" s="34">
        <v>216.30999800000001</v>
      </c>
      <c r="H1565" s="34">
        <v>208.06733700000001</v>
      </c>
      <c r="I1565" s="29">
        <v>11274200</v>
      </c>
      <c r="P1565" s="125"/>
      <c r="Q1565" s="34"/>
      <c r="R1565" s="115"/>
      <c r="S1565" s="34"/>
      <c r="T1565" s="34"/>
      <c r="U1565" s="34"/>
      <c r="V1565" s="29"/>
    </row>
    <row r="1566" spans="3:22">
      <c r="C1566" s="125">
        <v>44371</v>
      </c>
      <c r="D1566" s="34">
        <v>175.38</v>
      </c>
      <c r="E1566" s="115">
        <v>176.24</v>
      </c>
      <c r="F1566" s="34">
        <v>171.54</v>
      </c>
      <c r="G1566" s="34">
        <v>172.45</v>
      </c>
      <c r="H1566" s="34">
        <v>172.45</v>
      </c>
      <c r="I1566" s="29">
        <v>76640000</v>
      </c>
      <c r="P1566" s="125"/>
      <c r="Q1566" s="34"/>
      <c r="R1566" s="115"/>
      <c r="S1566" s="34"/>
      <c r="T1566" s="34"/>
      <c r="U1566" s="34"/>
      <c r="V1566" s="29"/>
    </row>
    <row r="1567" spans="3:22">
      <c r="C1567" s="125">
        <v>44371</v>
      </c>
      <c r="D1567" s="34">
        <v>216.53999300000001</v>
      </c>
      <c r="E1567" s="115">
        <v>221.929993</v>
      </c>
      <c r="F1567" s="34">
        <v>215.33000200000001</v>
      </c>
      <c r="G1567" s="34">
        <v>219.33999600000001</v>
      </c>
      <c r="H1567" s="34">
        <v>210.98187300000001</v>
      </c>
      <c r="I1567" s="29">
        <v>6827600</v>
      </c>
      <c r="P1567" s="125"/>
      <c r="Q1567" s="34"/>
      <c r="R1567" s="115"/>
      <c r="S1567" s="34"/>
      <c r="T1567" s="34"/>
      <c r="U1567" s="34"/>
      <c r="V1567" s="29"/>
    </row>
    <row r="1568" spans="3:22">
      <c r="C1568" s="125">
        <v>44370</v>
      </c>
      <c r="D1568" s="34">
        <v>175.25</v>
      </c>
      <c r="E1568" s="115">
        <v>176.05</v>
      </c>
      <c r="F1568" s="34">
        <v>174.16</v>
      </c>
      <c r="G1568" s="34">
        <v>175.19</v>
      </c>
      <c r="H1568" s="34">
        <v>175.19</v>
      </c>
      <c r="I1568" s="29">
        <v>56266000</v>
      </c>
      <c r="P1568" s="125"/>
      <c r="Q1568" s="34"/>
      <c r="R1568" s="115"/>
      <c r="S1568" s="34"/>
      <c r="T1568" s="34"/>
      <c r="U1568" s="34"/>
      <c r="V1568" s="29"/>
    </row>
    <row r="1569" spans="3:22">
      <c r="C1569" s="125">
        <v>44370</v>
      </c>
      <c r="D1569" s="34">
        <v>213.60000600000001</v>
      </c>
      <c r="E1569" s="115">
        <v>216.770004</v>
      </c>
      <c r="F1569" s="34">
        <v>212.58000200000001</v>
      </c>
      <c r="G1569" s="34">
        <v>213.78999300000001</v>
      </c>
      <c r="H1569" s="34">
        <v>205.643372</v>
      </c>
      <c r="I1569" s="29">
        <v>3283400</v>
      </c>
      <c r="P1569" s="125"/>
      <c r="Q1569" s="34"/>
      <c r="R1569" s="115"/>
      <c r="S1569" s="34"/>
      <c r="T1569" s="34"/>
      <c r="U1569" s="34"/>
      <c r="V1569" s="29"/>
    </row>
    <row r="1570" spans="3:22">
      <c r="C1570" s="125">
        <v>44369</v>
      </c>
      <c r="D1570" s="34">
        <v>172.9</v>
      </c>
      <c r="E1570" s="115">
        <v>176.19</v>
      </c>
      <c r="F1570" s="34">
        <v>172.8</v>
      </c>
      <c r="G1570" s="34">
        <v>175.27</v>
      </c>
      <c r="H1570" s="34">
        <v>175.27</v>
      </c>
      <c r="I1570" s="29">
        <v>66902000</v>
      </c>
      <c r="P1570" s="125"/>
      <c r="Q1570" s="34"/>
      <c r="R1570" s="115"/>
      <c r="S1570" s="34"/>
      <c r="T1570" s="34"/>
      <c r="U1570" s="34"/>
      <c r="V1570" s="29"/>
    </row>
    <row r="1571" spans="3:22">
      <c r="C1571" s="125">
        <v>44369</v>
      </c>
      <c r="D1571" s="34">
        <v>213.490005</v>
      </c>
      <c r="E1571" s="115">
        <v>214.83000200000001</v>
      </c>
      <c r="F1571" s="34">
        <v>211.179993</v>
      </c>
      <c r="G1571" s="34">
        <v>213.13000500000001</v>
      </c>
      <c r="H1571" s="34">
        <v>205.00853000000001</v>
      </c>
      <c r="I1571" s="29">
        <v>3776400</v>
      </c>
      <c r="P1571" s="125"/>
      <c r="Q1571" s="34"/>
      <c r="R1571" s="115"/>
      <c r="S1571" s="34"/>
      <c r="T1571" s="34"/>
      <c r="U1571" s="34"/>
      <c r="V1571" s="29"/>
    </row>
    <row r="1572" spans="3:22">
      <c r="C1572" s="125">
        <v>44368</v>
      </c>
      <c r="D1572" s="34">
        <v>173.82</v>
      </c>
      <c r="E1572" s="115">
        <v>174.1</v>
      </c>
      <c r="F1572" s="34">
        <v>171.7</v>
      </c>
      <c r="G1572" s="34">
        <v>172.7</v>
      </c>
      <c r="H1572" s="34">
        <v>172.7</v>
      </c>
      <c r="I1572" s="29">
        <v>65542000</v>
      </c>
      <c r="P1572" s="125"/>
      <c r="Q1572" s="34"/>
      <c r="R1572" s="115"/>
      <c r="S1572" s="34"/>
      <c r="T1572" s="34"/>
      <c r="U1572" s="34"/>
      <c r="V1572" s="29"/>
    </row>
    <row r="1573" spans="3:22">
      <c r="C1573" s="125">
        <v>44368</v>
      </c>
      <c r="D1573" s="34">
        <v>211.550003</v>
      </c>
      <c r="E1573" s="115">
        <v>215.229996</v>
      </c>
      <c r="F1573" s="34">
        <v>211.39999399999999</v>
      </c>
      <c r="G1573" s="34">
        <v>213.21000699999999</v>
      </c>
      <c r="H1573" s="34">
        <v>205.08547999999999</v>
      </c>
      <c r="I1573" s="29">
        <v>5633900</v>
      </c>
      <c r="P1573" s="125"/>
      <c r="Q1573" s="34"/>
      <c r="R1573" s="115"/>
      <c r="S1573" s="34"/>
      <c r="T1573" s="34"/>
      <c r="U1573" s="34"/>
      <c r="V1573" s="29"/>
    </row>
    <row r="1574" spans="3:22">
      <c r="C1574" s="125">
        <v>44365</v>
      </c>
      <c r="D1574" s="34">
        <v>174</v>
      </c>
      <c r="E1574" s="115">
        <v>175.35</v>
      </c>
      <c r="F1574" s="34">
        <v>173.69</v>
      </c>
      <c r="G1574" s="34">
        <v>174.35</v>
      </c>
      <c r="H1574" s="34">
        <v>174.35</v>
      </c>
      <c r="I1574" s="29">
        <v>104954000</v>
      </c>
      <c r="P1574" s="125"/>
      <c r="Q1574" s="34"/>
      <c r="R1574" s="115"/>
      <c r="S1574" s="34"/>
      <c r="T1574" s="34"/>
      <c r="U1574" s="34"/>
      <c r="V1574" s="29"/>
    </row>
    <row r="1575" spans="3:22">
      <c r="C1575" s="125">
        <v>44365</v>
      </c>
      <c r="D1575" s="34">
        <v>206.179993</v>
      </c>
      <c r="E1575" s="115">
        <v>211.80999800000001</v>
      </c>
      <c r="F1575" s="34">
        <v>205.5</v>
      </c>
      <c r="G1575" s="34">
        <v>208.86000100000001</v>
      </c>
      <c r="H1575" s="34">
        <v>200.90123</v>
      </c>
      <c r="I1575" s="29">
        <v>7156400</v>
      </c>
      <c r="P1575" s="125"/>
      <c r="Q1575" s="34"/>
      <c r="R1575" s="115"/>
      <c r="S1575" s="34"/>
      <c r="T1575" s="34"/>
      <c r="U1575" s="34"/>
      <c r="V1575" s="29"/>
    </row>
    <row r="1576" spans="3:22">
      <c r="C1576" s="125">
        <v>44364</v>
      </c>
      <c r="D1576" s="34">
        <v>170.16</v>
      </c>
      <c r="E1576" s="115">
        <v>174.86</v>
      </c>
      <c r="F1576" s="34">
        <v>170.05</v>
      </c>
      <c r="G1576" s="34">
        <v>174.46</v>
      </c>
      <c r="H1576" s="34">
        <v>174.46</v>
      </c>
      <c r="I1576" s="29">
        <v>102730000</v>
      </c>
      <c r="P1576" s="125"/>
      <c r="Q1576" s="34"/>
      <c r="R1576" s="115"/>
      <c r="S1576" s="34"/>
      <c r="T1576" s="34"/>
      <c r="U1576" s="34"/>
      <c r="V1576" s="29"/>
    </row>
    <row r="1577" spans="3:22">
      <c r="C1577" s="125">
        <v>44364</v>
      </c>
      <c r="D1577" s="34">
        <v>216.970001</v>
      </c>
      <c r="E1577" s="115">
        <v>218.270004</v>
      </c>
      <c r="F1577" s="34">
        <v>207.88000500000001</v>
      </c>
      <c r="G1577" s="34">
        <v>209.449997</v>
      </c>
      <c r="H1577" s="34">
        <v>201.46875</v>
      </c>
      <c r="I1577" s="29">
        <v>7995300</v>
      </c>
      <c r="P1577" s="125"/>
      <c r="Q1577" s="34"/>
      <c r="R1577" s="115"/>
      <c r="S1577" s="34"/>
      <c r="T1577" s="34"/>
      <c r="U1577" s="34"/>
      <c r="V1577" s="29"/>
    </row>
    <row r="1578" spans="3:22">
      <c r="C1578" s="125">
        <v>44363</v>
      </c>
      <c r="D1578" s="34">
        <v>169.6</v>
      </c>
      <c r="E1578" s="115">
        <v>171.32</v>
      </c>
      <c r="F1578" s="34">
        <v>168.03</v>
      </c>
      <c r="G1578" s="34">
        <v>170.76</v>
      </c>
      <c r="H1578" s="34">
        <v>170.76</v>
      </c>
      <c r="I1578" s="29">
        <v>84056000</v>
      </c>
      <c r="P1578" s="125"/>
      <c r="Q1578" s="34"/>
      <c r="R1578" s="115"/>
      <c r="S1578" s="34"/>
      <c r="T1578" s="34"/>
      <c r="U1578" s="34"/>
      <c r="V1578" s="29"/>
    </row>
    <row r="1579" spans="3:22">
      <c r="C1579" s="125">
        <v>44363</v>
      </c>
      <c r="D1579" s="34">
        <v>219.009995</v>
      </c>
      <c r="E1579" s="115">
        <v>219.38999899999999</v>
      </c>
      <c r="F1579" s="34">
        <v>216.699997</v>
      </c>
      <c r="G1579" s="34">
        <v>217.16000399999999</v>
      </c>
      <c r="H1579" s="34">
        <v>208.884964</v>
      </c>
      <c r="I1579" s="29">
        <v>4156900</v>
      </c>
      <c r="P1579" s="125"/>
      <c r="Q1579" s="34"/>
      <c r="R1579" s="115"/>
      <c r="S1579" s="34"/>
      <c r="T1579" s="34"/>
      <c r="U1579" s="34"/>
      <c r="V1579" s="29"/>
    </row>
    <row r="1580" spans="3:22">
      <c r="C1580" s="125">
        <v>44362</v>
      </c>
      <c r="D1580" s="34">
        <v>169.2</v>
      </c>
      <c r="E1580" s="115">
        <v>169.85</v>
      </c>
      <c r="F1580" s="34">
        <v>168.16</v>
      </c>
      <c r="G1580" s="34">
        <v>169.16</v>
      </c>
      <c r="H1580" s="34">
        <v>169.16</v>
      </c>
      <c r="I1580" s="29">
        <v>48524000</v>
      </c>
      <c r="P1580" s="125"/>
      <c r="Q1580" s="34"/>
      <c r="R1580" s="115"/>
      <c r="S1580" s="34"/>
      <c r="T1580" s="34"/>
      <c r="U1580" s="34"/>
      <c r="V1580" s="29"/>
    </row>
    <row r="1581" spans="3:22">
      <c r="C1581" s="125">
        <v>44362</v>
      </c>
      <c r="D1581" s="34">
        <v>219.88999899999999</v>
      </c>
      <c r="E1581" s="115">
        <v>220.779999</v>
      </c>
      <c r="F1581" s="34">
        <v>216.259995</v>
      </c>
      <c r="G1581" s="34">
        <v>219.46000699999999</v>
      </c>
      <c r="H1581" s="34">
        <v>211.09733600000001</v>
      </c>
      <c r="I1581" s="29">
        <v>5055900</v>
      </c>
      <c r="P1581" s="125"/>
      <c r="Q1581" s="34"/>
      <c r="R1581" s="115"/>
      <c r="S1581" s="34"/>
      <c r="T1581" s="34"/>
      <c r="U1581" s="34"/>
      <c r="V1581" s="29"/>
    </row>
    <row r="1582" spans="3:22">
      <c r="C1582" s="125">
        <v>44361</v>
      </c>
      <c r="D1582" s="34">
        <v>167.34</v>
      </c>
      <c r="E1582" s="115">
        <v>169.25</v>
      </c>
      <c r="F1582" s="34">
        <v>166.77</v>
      </c>
      <c r="G1582" s="34">
        <v>169.19</v>
      </c>
      <c r="H1582" s="34">
        <v>169.19</v>
      </c>
      <c r="I1582" s="29">
        <v>51394000</v>
      </c>
      <c r="P1582" s="125"/>
      <c r="Q1582" s="34"/>
      <c r="R1582" s="115"/>
      <c r="S1582" s="34"/>
      <c r="T1582" s="34"/>
      <c r="U1582" s="34"/>
      <c r="V1582" s="29"/>
    </row>
    <row r="1583" spans="3:22">
      <c r="C1583" s="125">
        <v>44361</v>
      </c>
      <c r="D1583" s="34">
        <v>220.070007</v>
      </c>
      <c r="E1583" s="115">
        <v>221.970001</v>
      </c>
      <c r="F1583" s="34">
        <v>215.60000600000001</v>
      </c>
      <c r="G1583" s="34">
        <v>219.009995</v>
      </c>
      <c r="H1583" s="34">
        <v>210.664444</v>
      </c>
      <c r="I1583" s="29">
        <v>7213300</v>
      </c>
      <c r="P1583" s="125"/>
      <c r="Q1583" s="34"/>
      <c r="R1583" s="115"/>
      <c r="S1583" s="34"/>
      <c r="T1583" s="34"/>
      <c r="U1583" s="34"/>
      <c r="V1583" s="29"/>
    </row>
    <row r="1584" spans="3:22">
      <c r="C1584" s="125">
        <v>44358</v>
      </c>
      <c r="D1584" s="34">
        <v>167.48</v>
      </c>
      <c r="E1584" s="115">
        <v>168.33</v>
      </c>
      <c r="F1584" s="34">
        <v>166.67</v>
      </c>
      <c r="G1584" s="34">
        <v>167.34</v>
      </c>
      <c r="H1584" s="34">
        <v>167.34</v>
      </c>
      <c r="I1584" s="29">
        <v>56348000</v>
      </c>
      <c r="P1584" s="125"/>
      <c r="Q1584" s="34"/>
      <c r="R1584" s="115"/>
      <c r="S1584" s="34"/>
      <c r="T1584" s="34"/>
      <c r="U1584" s="34"/>
      <c r="V1584" s="29"/>
    </row>
    <row r="1585" spans="3:22">
      <c r="C1585" s="125">
        <v>44358</v>
      </c>
      <c r="D1585" s="34">
        <v>226.300003</v>
      </c>
      <c r="E1585" s="115">
        <v>227.91999799999999</v>
      </c>
      <c r="F1585" s="34">
        <v>220.029999</v>
      </c>
      <c r="G1585" s="34">
        <v>220.699997</v>
      </c>
      <c r="H1585" s="34">
        <v>212.29006999999999</v>
      </c>
      <c r="I1585" s="29">
        <v>8734900</v>
      </c>
      <c r="P1585" s="125"/>
      <c r="Q1585" s="34"/>
      <c r="R1585" s="115"/>
      <c r="S1585" s="34"/>
      <c r="T1585" s="34"/>
      <c r="U1585" s="34"/>
      <c r="V1585" s="29"/>
    </row>
    <row r="1586" spans="3:22">
      <c r="C1586" s="125">
        <v>44357</v>
      </c>
      <c r="D1586" s="34">
        <v>164.1</v>
      </c>
      <c r="E1586" s="115">
        <v>167.55</v>
      </c>
      <c r="F1586" s="34">
        <v>164.06</v>
      </c>
      <c r="G1586" s="34">
        <v>167.48</v>
      </c>
      <c r="H1586" s="34">
        <v>167.48</v>
      </c>
      <c r="I1586" s="29">
        <v>69530000</v>
      </c>
      <c r="P1586" s="125"/>
      <c r="Q1586" s="34"/>
      <c r="R1586" s="115"/>
      <c r="S1586" s="34"/>
      <c r="T1586" s="34"/>
      <c r="U1586" s="34"/>
      <c r="V1586" s="29"/>
    </row>
    <row r="1587" spans="3:22">
      <c r="C1587" s="125">
        <v>44357</v>
      </c>
      <c r="D1587" s="34">
        <v>236.13999899999999</v>
      </c>
      <c r="E1587" s="115">
        <v>236.64999399999999</v>
      </c>
      <c r="F1587" s="34">
        <v>225.58000200000001</v>
      </c>
      <c r="G1587" s="34">
        <v>225.729996</v>
      </c>
      <c r="H1587" s="34">
        <v>217.128387</v>
      </c>
      <c r="I1587" s="29">
        <v>6281800</v>
      </c>
      <c r="P1587" s="125"/>
      <c r="Q1587" s="34"/>
      <c r="R1587" s="115"/>
      <c r="S1587" s="34"/>
      <c r="T1587" s="34"/>
      <c r="U1587" s="34"/>
      <c r="V1587" s="29"/>
    </row>
    <row r="1588" spans="3:22">
      <c r="C1588" s="125">
        <v>44356</v>
      </c>
      <c r="D1588" s="34">
        <v>163.63999999999999</v>
      </c>
      <c r="E1588" s="115">
        <v>164.88</v>
      </c>
      <c r="F1588" s="34">
        <v>163.54</v>
      </c>
      <c r="G1588" s="34">
        <v>164.06</v>
      </c>
      <c r="H1588" s="34">
        <v>164.06</v>
      </c>
      <c r="I1588" s="29">
        <v>49110000</v>
      </c>
      <c r="P1588" s="125"/>
      <c r="Q1588" s="34"/>
      <c r="R1588" s="115"/>
      <c r="S1588" s="34"/>
      <c r="T1588" s="34"/>
      <c r="U1588" s="34"/>
      <c r="V1588" s="29"/>
    </row>
    <row r="1589" spans="3:22">
      <c r="C1589" s="125">
        <v>44356</v>
      </c>
      <c r="D1589" s="34">
        <v>239</v>
      </c>
      <c r="E1589" s="115">
        <v>239.19000199999999</v>
      </c>
      <c r="F1589" s="34">
        <v>234.449997</v>
      </c>
      <c r="G1589" s="34">
        <v>234.64999399999999</v>
      </c>
      <c r="H1589" s="34">
        <v>225.70846599999999</v>
      </c>
      <c r="I1589" s="29">
        <v>2919600</v>
      </c>
      <c r="P1589" s="125"/>
      <c r="Q1589" s="34"/>
      <c r="R1589" s="115"/>
      <c r="S1589" s="34"/>
      <c r="T1589" s="34"/>
      <c r="U1589" s="34"/>
      <c r="V1589" s="29"/>
    </row>
    <row r="1590" spans="3:22">
      <c r="C1590" s="125">
        <v>44355</v>
      </c>
      <c r="D1590" s="34">
        <v>161.13</v>
      </c>
      <c r="E1590" s="115">
        <v>163.98</v>
      </c>
      <c r="F1590" s="34">
        <v>160.9</v>
      </c>
      <c r="G1590" s="34">
        <v>163.21</v>
      </c>
      <c r="H1590" s="34">
        <v>163.21</v>
      </c>
      <c r="I1590" s="29">
        <v>68334000</v>
      </c>
      <c r="P1590" s="125"/>
      <c r="Q1590" s="34"/>
      <c r="R1590" s="115"/>
      <c r="S1590" s="34"/>
      <c r="T1590" s="34"/>
      <c r="U1590" s="34"/>
      <c r="V1590" s="29"/>
    </row>
    <row r="1591" spans="3:22">
      <c r="C1591" s="125">
        <v>44355</v>
      </c>
      <c r="D1591" s="34">
        <v>239.39999399999999</v>
      </c>
      <c r="E1591" s="115">
        <v>241.21000699999999</v>
      </c>
      <c r="F1591" s="34">
        <v>236.05999800000001</v>
      </c>
      <c r="G1591" s="34">
        <v>240.16000399999999</v>
      </c>
      <c r="H1591" s="34">
        <v>231.00853000000001</v>
      </c>
      <c r="I1591" s="29">
        <v>2212300</v>
      </c>
      <c r="P1591" s="125"/>
      <c r="Q1591" s="34"/>
      <c r="R1591" s="115"/>
      <c r="S1591" s="34"/>
      <c r="T1591" s="34"/>
      <c r="U1591" s="34"/>
      <c r="V1591" s="29"/>
    </row>
    <row r="1592" spans="3:22">
      <c r="C1592" s="125">
        <v>44354</v>
      </c>
      <c r="D1592" s="34">
        <v>159.87</v>
      </c>
      <c r="E1592" s="115">
        <v>160.4</v>
      </c>
      <c r="F1592" s="34">
        <v>158.61000000000001</v>
      </c>
      <c r="G1592" s="34">
        <v>159.9</v>
      </c>
      <c r="H1592" s="34">
        <v>159.9</v>
      </c>
      <c r="I1592" s="29">
        <v>44316000</v>
      </c>
      <c r="P1592" s="125"/>
      <c r="Q1592" s="34"/>
      <c r="R1592" s="115"/>
      <c r="S1592" s="34"/>
      <c r="T1592" s="34"/>
      <c r="U1592" s="34"/>
      <c r="V1592" s="29"/>
    </row>
    <row r="1593" spans="3:22">
      <c r="C1593" s="125">
        <v>44354</v>
      </c>
      <c r="D1593" s="34">
        <v>244.050003</v>
      </c>
      <c r="E1593" s="115">
        <v>244.33000200000001</v>
      </c>
      <c r="F1593" s="34">
        <v>238.61999499999999</v>
      </c>
      <c r="G1593" s="34">
        <v>239.759995</v>
      </c>
      <c r="H1593" s="34">
        <v>230.623749</v>
      </c>
      <c r="I1593" s="29">
        <v>2330700</v>
      </c>
      <c r="P1593" s="125"/>
      <c r="Q1593" s="34"/>
      <c r="R1593" s="115"/>
      <c r="S1593" s="34"/>
      <c r="T1593" s="34"/>
      <c r="U1593" s="34"/>
      <c r="V1593" s="29"/>
    </row>
    <row r="1594" spans="3:22">
      <c r="C1594" s="125">
        <v>44351</v>
      </c>
      <c r="D1594" s="34">
        <v>160.6</v>
      </c>
      <c r="E1594" s="115">
        <v>161.05000000000001</v>
      </c>
      <c r="F1594" s="34">
        <v>159.94</v>
      </c>
      <c r="G1594" s="34">
        <v>160.31</v>
      </c>
      <c r="H1594" s="34">
        <v>160.31</v>
      </c>
      <c r="I1594" s="29">
        <v>44994000</v>
      </c>
      <c r="P1594" s="125"/>
      <c r="Q1594" s="34"/>
      <c r="R1594" s="115"/>
      <c r="S1594" s="34"/>
      <c r="T1594" s="34"/>
      <c r="U1594" s="34"/>
      <c r="V1594" s="29"/>
    </row>
    <row r="1595" spans="3:22">
      <c r="C1595" s="125">
        <v>44351</v>
      </c>
      <c r="D1595" s="34">
        <v>245.11999499999999</v>
      </c>
      <c r="E1595" s="115">
        <v>246.69000199999999</v>
      </c>
      <c r="F1595" s="34">
        <v>242.320007</v>
      </c>
      <c r="G1595" s="34">
        <v>244.020004</v>
      </c>
      <c r="H1595" s="34">
        <v>234.721451</v>
      </c>
      <c r="I1595" s="29">
        <v>1837900</v>
      </c>
      <c r="P1595" s="125"/>
      <c r="Q1595" s="34"/>
      <c r="R1595" s="115"/>
      <c r="S1595" s="34"/>
      <c r="T1595" s="34"/>
      <c r="U1595" s="34"/>
      <c r="V1595" s="29"/>
    </row>
    <row r="1596" spans="3:22">
      <c r="C1596" s="125">
        <v>44350</v>
      </c>
      <c r="D1596" s="34">
        <v>160.21</v>
      </c>
      <c r="E1596" s="115">
        <v>160.72</v>
      </c>
      <c r="F1596" s="34">
        <v>159.19999999999999</v>
      </c>
      <c r="G1596" s="34">
        <v>159.35</v>
      </c>
      <c r="H1596" s="34">
        <v>159.35</v>
      </c>
      <c r="I1596" s="29">
        <v>47966000</v>
      </c>
      <c r="P1596" s="125"/>
      <c r="Q1596" s="34"/>
      <c r="R1596" s="115"/>
      <c r="S1596" s="34"/>
      <c r="T1596" s="34"/>
      <c r="U1596" s="34"/>
      <c r="V1596" s="29"/>
    </row>
    <row r="1597" spans="3:22">
      <c r="C1597" s="125">
        <v>44350</v>
      </c>
      <c r="D1597" s="34">
        <v>242.429993</v>
      </c>
      <c r="E1597" s="115">
        <v>246.44000199999999</v>
      </c>
      <c r="F1597" s="34">
        <v>240.86999499999999</v>
      </c>
      <c r="G1597" s="34">
        <v>243.83999600000001</v>
      </c>
      <c r="H1597" s="34">
        <v>234.548294</v>
      </c>
      <c r="I1597" s="29">
        <v>1923200</v>
      </c>
      <c r="P1597" s="125"/>
      <c r="Q1597" s="34"/>
      <c r="R1597" s="115"/>
      <c r="S1597" s="34"/>
      <c r="T1597" s="34"/>
      <c r="U1597" s="34"/>
      <c r="V1597" s="29"/>
    </row>
    <row r="1598" spans="3:22">
      <c r="C1598" s="125">
        <v>44349</v>
      </c>
      <c r="D1598" s="34">
        <v>161.15</v>
      </c>
      <c r="E1598" s="115">
        <v>161.75</v>
      </c>
      <c r="F1598" s="34">
        <v>160.4</v>
      </c>
      <c r="G1598" s="34">
        <v>161.69999999999999</v>
      </c>
      <c r="H1598" s="34">
        <v>161.69999999999999</v>
      </c>
      <c r="I1598" s="29">
        <v>40290000</v>
      </c>
      <c r="P1598" s="125"/>
      <c r="Q1598" s="34"/>
      <c r="R1598" s="115"/>
      <c r="S1598" s="34"/>
      <c r="T1598" s="34"/>
      <c r="U1598" s="34"/>
      <c r="V1598" s="29"/>
    </row>
    <row r="1599" spans="3:22">
      <c r="C1599" s="125">
        <v>44349</v>
      </c>
      <c r="D1599" s="34">
        <v>243.070007</v>
      </c>
      <c r="E1599" s="115">
        <v>245.10000600000001</v>
      </c>
      <c r="F1599" s="34">
        <v>240.699997</v>
      </c>
      <c r="G1599" s="34">
        <v>243.46000699999999</v>
      </c>
      <c r="H1599" s="34">
        <v>234.18275499999999</v>
      </c>
      <c r="I1599" s="29">
        <v>2348500</v>
      </c>
      <c r="P1599" s="125"/>
      <c r="Q1599" s="34"/>
      <c r="R1599" s="115"/>
      <c r="S1599" s="34"/>
      <c r="T1599" s="34"/>
      <c r="U1599" s="34"/>
      <c r="V1599" s="29"/>
    </row>
    <row r="1600" spans="3:22">
      <c r="C1600" s="125">
        <v>44348</v>
      </c>
      <c r="D1600" s="34">
        <v>162.18</v>
      </c>
      <c r="E1600" s="115">
        <v>162.55000000000001</v>
      </c>
      <c r="F1600" s="34">
        <v>160.44999999999999</v>
      </c>
      <c r="G1600" s="34">
        <v>160.93</v>
      </c>
      <c r="H1600" s="34">
        <v>160.93</v>
      </c>
      <c r="I1600" s="29">
        <v>48600000</v>
      </c>
      <c r="P1600" s="125"/>
      <c r="Q1600" s="34"/>
      <c r="R1600" s="115"/>
      <c r="S1600" s="34"/>
      <c r="T1600" s="34"/>
      <c r="U1600" s="34"/>
      <c r="V1600" s="29"/>
    </row>
    <row r="1601" spans="3:22">
      <c r="C1601" s="125">
        <v>44348</v>
      </c>
      <c r="D1601" s="34">
        <v>244.009995</v>
      </c>
      <c r="E1601" s="115">
        <v>244.929993</v>
      </c>
      <c r="F1601" s="34">
        <v>241.80999800000001</v>
      </c>
      <c r="G1601" s="34">
        <v>242.759995</v>
      </c>
      <c r="H1601" s="34">
        <v>233.50941499999999</v>
      </c>
      <c r="I1601" s="29">
        <v>2476000</v>
      </c>
      <c r="P1601" s="125"/>
      <c r="Q1601" s="34"/>
      <c r="R1601" s="115"/>
      <c r="S1601" s="34"/>
      <c r="T1601" s="34"/>
      <c r="U1601" s="34"/>
      <c r="V1601" s="29"/>
    </row>
    <row r="1602" spans="3:22">
      <c r="C1602" s="125">
        <v>44344</v>
      </c>
      <c r="D1602" s="34">
        <v>162.1</v>
      </c>
      <c r="E1602" s="115">
        <v>162.4</v>
      </c>
      <c r="F1602" s="34">
        <v>160.99</v>
      </c>
      <c r="G1602" s="34">
        <v>161.15</v>
      </c>
      <c r="H1602" s="34">
        <v>161.15</v>
      </c>
      <c r="I1602" s="29">
        <v>46596000</v>
      </c>
      <c r="P1602" s="125"/>
      <c r="Q1602" s="34"/>
      <c r="R1602" s="115"/>
      <c r="S1602" s="34"/>
      <c r="T1602" s="34"/>
      <c r="U1602" s="34"/>
      <c r="V1602" s="29"/>
    </row>
    <row r="1603" spans="3:22">
      <c r="C1603" s="125">
        <v>44344</v>
      </c>
      <c r="D1603" s="34">
        <v>241.91000399999999</v>
      </c>
      <c r="E1603" s="115">
        <v>242.259995</v>
      </c>
      <c r="F1603" s="34">
        <v>238.78999300000001</v>
      </c>
      <c r="G1603" s="34">
        <v>241.08000200000001</v>
      </c>
      <c r="H1603" s="34">
        <v>231.893463</v>
      </c>
      <c r="I1603" s="29">
        <v>2290700</v>
      </c>
      <c r="P1603" s="125"/>
      <c r="Q1603" s="34"/>
      <c r="R1603" s="115"/>
      <c r="S1603" s="34"/>
      <c r="T1603" s="34"/>
      <c r="U1603" s="34"/>
      <c r="V1603" s="29"/>
    </row>
    <row r="1604" spans="3:22">
      <c r="C1604" s="125">
        <v>44343</v>
      </c>
      <c r="D1604" s="34">
        <v>162.80000000000001</v>
      </c>
      <c r="E1604" s="115">
        <v>163.02000000000001</v>
      </c>
      <c r="F1604" s="34">
        <v>161.5</v>
      </c>
      <c r="G1604" s="34">
        <v>161.51</v>
      </c>
      <c r="H1604" s="34">
        <v>161.51</v>
      </c>
      <c r="I1604" s="29">
        <v>51224000</v>
      </c>
      <c r="P1604" s="125"/>
      <c r="Q1604" s="34"/>
      <c r="R1604" s="115"/>
      <c r="S1604" s="34"/>
      <c r="T1604" s="34"/>
      <c r="U1604" s="34"/>
      <c r="V1604" s="29"/>
    </row>
    <row r="1605" spans="3:22">
      <c r="C1605" s="125">
        <v>44343</v>
      </c>
      <c r="D1605" s="34">
        <v>241.5</v>
      </c>
      <c r="E1605" s="115">
        <v>243.36999499999999</v>
      </c>
      <c r="F1605" s="34">
        <v>238.929993</v>
      </c>
      <c r="G1605" s="34">
        <v>241.279999</v>
      </c>
      <c r="H1605" s="34">
        <v>232.08583100000001</v>
      </c>
      <c r="I1605" s="29">
        <v>3594700</v>
      </c>
      <c r="P1605" s="125"/>
      <c r="Q1605" s="34"/>
      <c r="R1605" s="115"/>
      <c r="S1605" s="34"/>
      <c r="T1605" s="34"/>
      <c r="U1605" s="34"/>
      <c r="V1605" s="29"/>
    </row>
    <row r="1606" spans="3:22">
      <c r="C1606" s="125">
        <v>44342</v>
      </c>
      <c r="D1606" s="34">
        <v>163.72999999999999</v>
      </c>
      <c r="E1606" s="115">
        <v>164.79</v>
      </c>
      <c r="F1606" s="34">
        <v>162.93</v>
      </c>
      <c r="G1606" s="34">
        <v>163.26</v>
      </c>
      <c r="H1606" s="34">
        <v>163.26</v>
      </c>
      <c r="I1606" s="29">
        <v>47680000</v>
      </c>
      <c r="P1606" s="125"/>
      <c r="Q1606" s="34"/>
      <c r="R1606" s="115"/>
      <c r="S1606" s="34"/>
      <c r="T1606" s="34"/>
      <c r="U1606" s="34"/>
      <c r="V1606" s="29"/>
    </row>
    <row r="1607" spans="3:22">
      <c r="C1607" s="125">
        <v>44342</v>
      </c>
      <c r="D1607" s="34">
        <v>237.41000399999999</v>
      </c>
      <c r="E1607" s="115">
        <v>239.5</v>
      </c>
      <c r="F1607" s="34">
        <v>236.61999499999999</v>
      </c>
      <c r="G1607" s="34">
        <v>237.71000699999999</v>
      </c>
      <c r="H1607" s="34">
        <v>228.65188599999999</v>
      </c>
      <c r="I1607" s="29">
        <v>2070000</v>
      </c>
      <c r="P1607" s="125"/>
      <c r="Q1607" s="34"/>
      <c r="R1607" s="115"/>
      <c r="S1607" s="34"/>
      <c r="T1607" s="34"/>
      <c r="U1607" s="34"/>
      <c r="V1607" s="29"/>
    </row>
    <row r="1608" spans="3:22">
      <c r="C1608" s="125">
        <v>44341</v>
      </c>
      <c r="D1608" s="34">
        <v>163.33000000000001</v>
      </c>
      <c r="E1608" s="115">
        <v>163.99</v>
      </c>
      <c r="F1608" s="34">
        <v>160.69</v>
      </c>
      <c r="G1608" s="34">
        <v>162.94999999999999</v>
      </c>
      <c r="H1608" s="34">
        <v>162.94999999999999</v>
      </c>
      <c r="I1608" s="29">
        <v>65222000</v>
      </c>
      <c r="P1608" s="125"/>
      <c r="Q1608" s="34"/>
      <c r="R1608" s="115"/>
      <c r="S1608" s="34"/>
      <c r="T1608" s="34"/>
      <c r="U1608" s="34"/>
      <c r="V1608" s="29"/>
    </row>
    <row r="1609" spans="3:22">
      <c r="C1609" s="125">
        <v>44341</v>
      </c>
      <c r="D1609" s="34">
        <v>239.509995</v>
      </c>
      <c r="E1609" s="115">
        <v>241.88999899999999</v>
      </c>
      <c r="F1609" s="34">
        <v>236.740005</v>
      </c>
      <c r="G1609" s="34">
        <v>237.16999799999999</v>
      </c>
      <c r="H1609" s="34">
        <v>228.132431</v>
      </c>
      <c r="I1609" s="29">
        <v>2265700</v>
      </c>
      <c r="P1609" s="125"/>
      <c r="Q1609" s="34"/>
      <c r="R1609" s="115"/>
      <c r="S1609" s="34"/>
      <c r="T1609" s="34"/>
      <c r="U1609" s="34"/>
      <c r="V1609" s="29"/>
    </row>
    <row r="1610" spans="3:22">
      <c r="C1610" s="125">
        <v>44340</v>
      </c>
      <c r="D1610" s="34">
        <v>160.77000000000001</v>
      </c>
      <c r="E1610" s="115">
        <v>162.9</v>
      </c>
      <c r="F1610" s="34">
        <v>160.52000000000001</v>
      </c>
      <c r="G1610" s="34">
        <v>162.25</v>
      </c>
      <c r="H1610" s="34">
        <v>162.25</v>
      </c>
      <c r="I1610" s="29">
        <v>48456000</v>
      </c>
      <c r="P1610" s="125"/>
      <c r="Q1610" s="34"/>
      <c r="R1610" s="115"/>
      <c r="S1610" s="34"/>
      <c r="T1610" s="34"/>
      <c r="U1610" s="34"/>
      <c r="V1610" s="29"/>
    </row>
    <row r="1611" spans="3:22">
      <c r="C1611" s="125">
        <v>44340</v>
      </c>
      <c r="D1611" s="34">
        <v>237.69000199999999</v>
      </c>
      <c r="E1611" s="115">
        <v>239.71000699999999</v>
      </c>
      <c r="F1611" s="34">
        <v>236.220001</v>
      </c>
      <c r="G1611" s="34">
        <v>239.050003</v>
      </c>
      <c r="H1611" s="34">
        <v>229.94079600000001</v>
      </c>
      <c r="I1611" s="29">
        <v>2372700</v>
      </c>
      <c r="P1611" s="125"/>
      <c r="Q1611" s="34"/>
      <c r="R1611" s="115"/>
      <c r="S1611" s="34"/>
      <c r="T1611" s="34"/>
      <c r="U1611" s="34"/>
      <c r="V1611" s="29"/>
    </row>
    <row r="1612" spans="3:22">
      <c r="C1612" s="125">
        <v>44337</v>
      </c>
      <c r="D1612" s="34">
        <v>162.5</v>
      </c>
      <c r="E1612" s="115">
        <v>162.83000000000001</v>
      </c>
      <c r="F1612" s="34">
        <v>159.85</v>
      </c>
      <c r="G1612" s="34">
        <v>160.15</v>
      </c>
      <c r="H1612" s="34">
        <v>160.15</v>
      </c>
      <c r="I1612" s="29">
        <v>82098000</v>
      </c>
      <c r="P1612" s="125"/>
      <c r="Q1612" s="34"/>
      <c r="R1612" s="115"/>
      <c r="S1612" s="34"/>
      <c r="T1612" s="34"/>
      <c r="U1612" s="34"/>
      <c r="V1612" s="29"/>
    </row>
    <row r="1613" spans="3:22">
      <c r="C1613" s="125">
        <v>44337</v>
      </c>
      <c r="D1613" s="34">
        <v>236.60000600000001</v>
      </c>
      <c r="E1613" s="115">
        <v>239.39999399999999</v>
      </c>
      <c r="F1613" s="34">
        <v>235.009995</v>
      </c>
      <c r="G1613" s="34">
        <v>237.240005</v>
      </c>
      <c r="H1613" s="34">
        <v>228.19979900000001</v>
      </c>
      <c r="I1613" s="29">
        <v>2479100</v>
      </c>
      <c r="P1613" s="125"/>
      <c r="Q1613" s="34"/>
      <c r="R1613" s="115"/>
      <c r="S1613" s="34"/>
      <c r="T1613" s="34"/>
      <c r="U1613" s="34"/>
      <c r="V1613" s="29"/>
    </row>
    <row r="1614" spans="3:22">
      <c r="C1614" s="125">
        <v>44336</v>
      </c>
      <c r="D1614" s="34">
        <v>162.22</v>
      </c>
      <c r="E1614" s="115">
        <v>162.97999999999999</v>
      </c>
      <c r="F1614" s="34">
        <v>161.81</v>
      </c>
      <c r="G1614" s="34">
        <v>162.38</v>
      </c>
      <c r="H1614" s="34">
        <v>162.38</v>
      </c>
      <c r="I1614" s="29">
        <v>52664000</v>
      </c>
      <c r="P1614" s="125"/>
      <c r="Q1614" s="34"/>
      <c r="R1614" s="115"/>
      <c r="S1614" s="34"/>
      <c r="T1614" s="34"/>
      <c r="U1614" s="34"/>
      <c r="V1614" s="29"/>
    </row>
    <row r="1615" spans="3:22">
      <c r="C1615" s="125">
        <v>44336</v>
      </c>
      <c r="D1615" s="34">
        <v>237.479996</v>
      </c>
      <c r="E1615" s="115">
        <v>237.60000600000001</v>
      </c>
      <c r="F1615" s="34">
        <v>232.58999600000001</v>
      </c>
      <c r="G1615" s="34">
        <v>234.990005</v>
      </c>
      <c r="H1615" s="34">
        <v>226.035538</v>
      </c>
      <c r="I1615" s="29">
        <v>3339200</v>
      </c>
      <c r="P1615" s="125"/>
      <c r="Q1615" s="34"/>
      <c r="R1615" s="115"/>
      <c r="S1615" s="34"/>
      <c r="T1615" s="34"/>
      <c r="U1615" s="34"/>
      <c r="V1615" s="29"/>
    </row>
    <row r="1616" spans="3:22">
      <c r="C1616" s="125">
        <v>44335</v>
      </c>
      <c r="D1616" s="34">
        <v>159.75</v>
      </c>
      <c r="E1616" s="115">
        <v>161.74</v>
      </c>
      <c r="F1616" s="34">
        <v>159.19999999999999</v>
      </c>
      <c r="G1616" s="34">
        <v>161.59</v>
      </c>
      <c r="H1616" s="34">
        <v>161.59</v>
      </c>
      <c r="I1616" s="29">
        <v>53594000</v>
      </c>
      <c r="P1616" s="125"/>
      <c r="Q1616" s="34"/>
      <c r="R1616" s="115"/>
      <c r="S1616" s="34"/>
      <c r="T1616" s="34"/>
      <c r="U1616" s="34"/>
      <c r="V1616" s="29"/>
    </row>
    <row r="1617" spans="3:22">
      <c r="C1617" s="125">
        <v>44335</v>
      </c>
      <c r="D1617" s="34">
        <v>236.10000600000001</v>
      </c>
      <c r="E1617" s="115">
        <v>237.08000200000001</v>
      </c>
      <c r="F1617" s="34">
        <v>231.94000199999999</v>
      </c>
      <c r="G1617" s="34">
        <v>236.86999499999999</v>
      </c>
      <c r="H1617" s="34">
        <v>227.843887</v>
      </c>
      <c r="I1617" s="29">
        <v>3143100</v>
      </c>
      <c r="P1617" s="125"/>
      <c r="Q1617" s="34"/>
      <c r="R1617" s="115"/>
      <c r="S1617" s="34"/>
      <c r="T1617" s="34"/>
      <c r="U1617" s="34"/>
      <c r="V1617" s="29"/>
    </row>
    <row r="1618" spans="3:22">
      <c r="C1618" s="125">
        <v>44334</v>
      </c>
      <c r="D1618" s="34">
        <v>164.63</v>
      </c>
      <c r="E1618" s="115">
        <v>165.6</v>
      </c>
      <c r="F1618" s="34">
        <v>161.52000000000001</v>
      </c>
      <c r="G1618" s="34">
        <v>161.61000000000001</v>
      </c>
      <c r="H1618" s="34">
        <v>161.61000000000001</v>
      </c>
      <c r="I1618" s="29">
        <v>56568000</v>
      </c>
      <c r="P1618" s="125"/>
      <c r="Q1618" s="34"/>
      <c r="R1618" s="115"/>
      <c r="S1618" s="34"/>
      <c r="T1618" s="34"/>
      <c r="U1618" s="34"/>
      <c r="V1618" s="29"/>
    </row>
    <row r="1619" spans="3:22">
      <c r="C1619" s="125">
        <v>44334</v>
      </c>
      <c r="D1619" s="34">
        <v>244.78999300000001</v>
      </c>
      <c r="E1619" s="115">
        <v>245.53999300000001</v>
      </c>
      <c r="F1619" s="34">
        <v>239.41000399999999</v>
      </c>
      <c r="G1619" s="34">
        <v>239.470001</v>
      </c>
      <c r="H1619" s="34">
        <v>230.34480300000001</v>
      </c>
      <c r="I1619" s="29">
        <v>2436200</v>
      </c>
      <c r="P1619" s="125"/>
      <c r="Q1619" s="34"/>
      <c r="R1619" s="115"/>
      <c r="S1619" s="34"/>
      <c r="T1619" s="34"/>
      <c r="U1619" s="34"/>
      <c r="V1619" s="29"/>
    </row>
    <row r="1620" spans="3:22">
      <c r="C1620" s="125">
        <v>44333</v>
      </c>
      <c r="D1620" s="34">
        <v>162.30000000000001</v>
      </c>
      <c r="E1620" s="115">
        <v>164.64</v>
      </c>
      <c r="F1620" s="34">
        <v>161.72999999999999</v>
      </c>
      <c r="G1620" s="34">
        <v>163.52000000000001</v>
      </c>
      <c r="H1620" s="34">
        <v>163.52000000000001</v>
      </c>
      <c r="I1620" s="29">
        <v>74478000</v>
      </c>
      <c r="P1620" s="125"/>
      <c r="Q1620" s="34"/>
      <c r="R1620" s="115"/>
      <c r="S1620" s="34"/>
      <c r="T1620" s="34"/>
      <c r="U1620" s="34"/>
      <c r="V1620" s="29"/>
    </row>
    <row r="1621" spans="3:22">
      <c r="C1621" s="125">
        <v>44333</v>
      </c>
      <c r="D1621" s="34">
        <v>242.740005</v>
      </c>
      <c r="E1621" s="115">
        <v>245.449997</v>
      </c>
      <c r="F1621" s="34">
        <v>241.11999499999999</v>
      </c>
      <c r="G1621" s="34">
        <v>244.78999300000001</v>
      </c>
      <c r="H1621" s="34">
        <v>235.46208200000001</v>
      </c>
      <c r="I1621" s="29">
        <v>1998400</v>
      </c>
      <c r="P1621" s="125"/>
      <c r="Q1621" s="34"/>
      <c r="R1621" s="115"/>
      <c r="S1621" s="34"/>
      <c r="T1621" s="34"/>
      <c r="U1621" s="34"/>
      <c r="V1621" s="29"/>
    </row>
    <row r="1622" spans="3:22">
      <c r="C1622" s="125">
        <v>44330</v>
      </c>
      <c r="D1622" s="34">
        <v>159.28</v>
      </c>
      <c r="E1622" s="115">
        <v>161.44</v>
      </c>
      <c r="F1622" s="34">
        <v>159.15</v>
      </c>
      <c r="G1622" s="34">
        <v>161.15</v>
      </c>
      <c r="H1622" s="34">
        <v>161.15</v>
      </c>
      <c r="I1622" s="29">
        <v>66500000</v>
      </c>
      <c r="P1622" s="125"/>
      <c r="Q1622" s="34"/>
      <c r="R1622" s="115"/>
      <c r="S1622" s="34"/>
      <c r="T1622" s="34"/>
      <c r="U1622" s="34"/>
      <c r="V1622" s="29"/>
    </row>
    <row r="1623" spans="3:22">
      <c r="C1623" s="125">
        <v>44330</v>
      </c>
      <c r="D1623" s="34">
        <v>242</v>
      </c>
      <c r="E1623" s="115">
        <v>243.35000600000001</v>
      </c>
      <c r="F1623" s="34">
        <v>240.08000200000001</v>
      </c>
      <c r="G1623" s="34">
        <v>242.229996</v>
      </c>
      <c r="H1623" s="34">
        <v>232.99963399999999</v>
      </c>
      <c r="I1623" s="29">
        <v>2041600</v>
      </c>
      <c r="P1623" s="125"/>
      <c r="Q1623" s="34"/>
      <c r="R1623" s="115"/>
      <c r="S1623" s="34"/>
      <c r="T1623" s="34"/>
      <c r="U1623" s="34"/>
      <c r="V1623" s="29"/>
    </row>
    <row r="1624" spans="3:22">
      <c r="C1624" s="125">
        <v>44329</v>
      </c>
      <c r="D1624" s="34">
        <v>159.27000000000001</v>
      </c>
      <c r="E1624" s="115">
        <v>160.19</v>
      </c>
      <c r="F1624" s="34">
        <v>156.65</v>
      </c>
      <c r="G1624" s="34">
        <v>158.07</v>
      </c>
      <c r="H1624" s="34">
        <v>158.07</v>
      </c>
      <c r="I1624" s="29">
        <v>67018000</v>
      </c>
      <c r="P1624" s="125"/>
      <c r="Q1624" s="34"/>
      <c r="R1624" s="115"/>
      <c r="S1624" s="34"/>
      <c r="T1624" s="34"/>
      <c r="U1624" s="34"/>
      <c r="V1624" s="29"/>
    </row>
    <row r="1625" spans="3:22">
      <c r="C1625" s="125">
        <v>44329</v>
      </c>
      <c r="D1625" s="34">
        <v>236.03999300000001</v>
      </c>
      <c r="E1625" s="115">
        <v>240.990005</v>
      </c>
      <c r="F1625" s="34">
        <v>234.570007</v>
      </c>
      <c r="G1625" s="34">
        <v>240.070007</v>
      </c>
      <c r="H1625" s="34">
        <v>230.921967</v>
      </c>
      <c r="I1625" s="29">
        <v>2228100</v>
      </c>
      <c r="P1625" s="125"/>
      <c r="Q1625" s="34"/>
      <c r="R1625" s="115"/>
      <c r="S1625" s="34"/>
      <c r="T1625" s="34"/>
      <c r="U1625" s="34"/>
      <c r="V1625" s="29"/>
    </row>
    <row r="1626" spans="3:22">
      <c r="C1626" s="125">
        <v>44328</v>
      </c>
      <c r="D1626" s="34">
        <v>159.25</v>
      </c>
      <c r="E1626" s="115">
        <v>160.4</v>
      </c>
      <c r="F1626" s="34">
        <v>156.65</v>
      </c>
      <c r="G1626" s="34">
        <v>157.6</v>
      </c>
      <c r="H1626" s="34">
        <v>157.6</v>
      </c>
      <c r="I1626" s="29">
        <v>98728000</v>
      </c>
      <c r="P1626" s="125"/>
      <c r="Q1626" s="34"/>
      <c r="R1626" s="115"/>
      <c r="S1626" s="34"/>
      <c r="T1626" s="34"/>
      <c r="U1626" s="34"/>
      <c r="V1626" s="29"/>
    </row>
    <row r="1627" spans="3:22">
      <c r="C1627" s="125">
        <v>44328</v>
      </c>
      <c r="D1627" s="34">
        <v>241.270004</v>
      </c>
      <c r="E1627" s="115">
        <v>243.229996</v>
      </c>
      <c r="F1627" s="34">
        <v>236.44000199999999</v>
      </c>
      <c r="G1627" s="34">
        <v>237.320007</v>
      </c>
      <c r="H1627" s="34">
        <v>228.276749</v>
      </c>
      <c r="I1627" s="29">
        <v>3668500</v>
      </c>
      <c r="P1627" s="125"/>
      <c r="Q1627" s="34"/>
      <c r="R1627" s="115"/>
      <c r="S1627" s="34"/>
      <c r="T1627" s="34"/>
      <c r="U1627" s="34"/>
      <c r="V1627" s="29"/>
    </row>
    <row r="1628" spans="3:22">
      <c r="C1628" s="125">
        <v>44327</v>
      </c>
      <c r="D1628" s="34">
        <v>156.81</v>
      </c>
      <c r="E1628" s="115">
        <v>161.9</v>
      </c>
      <c r="F1628" s="34">
        <v>156.37</v>
      </c>
      <c r="G1628" s="34">
        <v>161.19999999999999</v>
      </c>
      <c r="H1628" s="34">
        <v>161.19999999999999</v>
      </c>
      <c r="I1628" s="29">
        <v>92396000</v>
      </c>
      <c r="P1628" s="125"/>
      <c r="Q1628" s="34"/>
      <c r="R1628" s="115"/>
      <c r="S1628" s="34"/>
      <c r="T1628" s="34"/>
      <c r="U1628" s="34"/>
      <c r="V1628" s="29"/>
    </row>
    <row r="1629" spans="3:22">
      <c r="C1629" s="125">
        <v>44327</v>
      </c>
      <c r="D1629" s="34">
        <v>238.779999</v>
      </c>
      <c r="E1629" s="115">
        <v>242.990005</v>
      </c>
      <c r="F1629" s="34">
        <v>236.53999300000001</v>
      </c>
      <c r="G1629" s="34">
        <v>239.300003</v>
      </c>
      <c r="H1629" s="34">
        <v>230.18130500000001</v>
      </c>
      <c r="I1629" s="29">
        <v>3163100</v>
      </c>
      <c r="P1629" s="125"/>
      <c r="Q1629" s="34"/>
      <c r="R1629" s="115"/>
      <c r="S1629" s="34"/>
      <c r="T1629" s="34"/>
      <c r="U1629" s="34"/>
      <c r="V1629" s="29"/>
    </row>
    <row r="1630" spans="3:22">
      <c r="C1630" s="125">
        <v>44326</v>
      </c>
      <c r="D1630" s="34">
        <v>164.12</v>
      </c>
      <c r="E1630" s="115">
        <v>164.15</v>
      </c>
      <c r="F1630" s="34">
        <v>159.5</v>
      </c>
      <c r="G1630" s="34">
        <v>159.52000000000001</v>
      </c>
      <c r="H1630" s="34">
        <v>159.52000000000001</v>
      </c>
      <c r="I1630" s="29">
        <v>116772000</v>
      </c>
      <c r="P1630" s="125"/>
      <c r="Q1630" s="34"/>
      <c r="R1630" s="115"/>
      <c r="S1630" s="34"/>
      <c r="T1630" s="34"/>
      <c r="U1630" s="34"/>
      <c r="V1630" s="29"/>
    </row>
    <row r="1631" spans="3:22">
      <c r="C1631" s="125">
        <v>44326</v>
      </c>
      <c r="D1631" s="34">
        <v>243.5</v>
      </c>
      <c r="E1631" s="115">
        <v>245.779999</v>
      </c>
      <c r="F1631" s="34">
        <v>242.58999600000001</v>
      </c>
      <c r="G1631" s="34">
        <v>242.61000100000001</v>
      </c>
      <c r="H1631" s="34">
        <v>233.36515800000001</v>
      </c>
      <c r="I1631" s="29">
        <v>3752900</v>
      </c>
      <c r="P1631" s="125"/>
      <c r="Q1631" s="34"/>
      <c r="R1631" s="115"/>
      <c r="S1631" s="34"/>
      <c r="T1631" s="34"/>
      <c r="U1631" s="34"/>
      <c r="V1631" s="29"/>
    </row>
    <row r="1632" spans="3:22">
      <c r="C1632" s="125">
        <v>44323</v>
      </c>
      <c r="D1632" s="34">
        <v>165.95</v>
      </c>
      <c r="E1632" s="115">
        <v>166.54</v>
      </c>
      <c r="F1632" s="34">
        <v>164.45</v>
      </c>
      <c r="G1632" s="34">
        <v>164.58</v>
      </c>
      <c r="H1632" s="34">
        <v>164.58</v>
      </c>
      <c r="I1632" s="29">
        <v>94206000</v>
      </c>
      <c r="P1632" s="125"/>
      <c r="Q1632" s="34"/>
      <c r="R1632" s="115"/>
      <c r="S1632" s="34"/>
      <c r="T1632" s="34"/>
      <c r="U1632" s="34"/>
      <c r="V1632" s="29"/>
    </row>
    <row r="1633" spans="3:22">
      <c r="C1633" s="125">
        <v>44323</v>
      </c>
      <c r="D1633" s="34">
        <v>235.63999899999999</v>
      </c>
      <c r="E1633" s="115">
        <v>241.88999899999999</v>
      </c>
      <c r="F1633" s="34">
        <v>233.16000399999999</v>
      </c>
      <c r="G1633" s="34">
        <v>240.990005</v>
      </c>
      <c r="H1633" s="34">
        <v>231.80690000000001</v>
      </c>
      <c r="I1633" s="29">
        <v>3327900</v>
      </c>
      <c r="P1633" s="125"/>
      <c r="Q1633" s="34"/>
      <c r="R1633" s="115"/>
      <c r="S1633" s="34"/>
      <c r="T1633" s="34"/>
      <c r="U1633" s="34"/>
      <c r="V1633" s="29"/>
    </row>
    <row r="1634" spans="3:22">
      <c r="C1634" s="125">
        <v>44322</v>
      </c>
      <c r="D1634" s="34">
        <v>163.5</v>
      </c>
      <c r="E1634" s="115">
        <v>165.72</v>
      </c>
      <c r="F1634" s="34">
        <v>162.36000000000001</v>
      </c>
      <c r="G1634" s="34">
        <v>165.32</v>
      </c>
      <c r="H1634" s="34">
        <v>165.32</v>
      </c>
      <c r="I1634" s="29">
        <v>88954000</v>
      </c>
      <c r="P1634" s="125"/>
      <c r="Q1634" s="34"/>
      <c r="R1634" s="115"/>
      <c r="S1634" s="34"/>
      <c r="T1634" s="34"/>
      <c r="U1634" s="34"/>
      <c r="V1634" s="29"/>
    </row>
    <row r="1635" spans="3:22">
      <c r="C1635" s="125">
        <v>44322</v>
      </c>
      <c r="D1635" s="34">
        <v>238</v>
      </c>
      <c r="E1635" s="115">
        <v>240.979996</v>
      </c>
      <c r="F1635" s="34">
        <v>236</v>
      </c>
      <c r="G1635" s="34">
        <v>237.070007</v>
      </c>
      <c r="H1635" s="34">
        <v>228.03628499999999</v>
      </c>
      <c r="I1635" s="29">
        <v>4527000</v>
      </c>
      <c r="P1635" s="125"/>
      <c r="Q1635" s="34"/>
      <c r="R1635" s="115"/>
      <c r="S1635" s="34"/>
      <c r="T1635" s="34"/>
      <c r="U1635" s="34"/>
      <c r="V1635" s="29"/>
    </row>
    <row r="1636" spans="3:22">
      <c r="C1636" s="125">
        <v>44321</v>
      </c>
      <c r="D1636" s="34">
        <v>166.94</v>
      </c>
      <c r="E1636" s="115">
        <v>167.74</v>
      </c>
      <c r="F1636" s="34">
        <v>163.22</v>
      </c>
      <c r="G1636" s="34">
        <v>163.53</v>
      </c>
      <c r="H1636" s="34">
        <v>163.53</v>
      </c>
      <c r="I1636" s="29">
        <v>74226000</v>
      </c>
      <c r="P1636" s="125"/>
      <c r="Q1636" s="34"/>
      <c r="R1636" s="115"/>
      <c r="S1636" s="34"/>
      <c r="T1636" s="34"/>
      <c r="U1636" s="34"/>
      <c r="V1636" s="29"/>
    </row>
    <row r="1637" spans="3:22">
      <c r="C1637" s="125">
        <v>44321</v>
      </c>
      <c r="D1637" s="34">
        <v>234.61999499999999</v>
      </c>
      <c r="E1637" s="115">
        <v>239.33000200000001</v>
      </c>
      <c r="F1637" s="34">
        <v>231.85000600000001</v>
      </c>
      <c r="G1637" s="34">
        <v>237.88000500000001</v>
      </c>
      <c r="H1637" s="34">
        <v>228.81539900000001</v>
      </c>
      <c r="I1637" s="29">
        <v>3690600</v>
      </c>
      <c r="P1637" s="125"/>
      <c r="Q1637" s="34"/>
      <c r="R1637" s="115"/>
      <c r="S1637" s="34"/>
      <c r="T1637" s="34"/>
      <c r="U1637" s="34"/>
      <c r="V1637" s="29"/>
    </row>
    <row r="1638" spans="3:22">
      <c r="C1638" s="125">
        <v>44320</v>
      </c>
      <c r="D1638" s="34">
        <v>167.81</v>
      </c>
      <c r="E1638" s="115">
        <v>168.4</v>
      </c>
      <c r="F1638" s="34">
        <v>163.61000000000001</v>
      </c>
      <c r="G1638" s="34">
        <v>165.59</v>
      </c>
      <c r="H1638" s="34">
        <v>165.59</v>
      </c>
      <c r="I1638" s="29">
        <v>108788000</v>
      </c>
      <c r="P1638" s="125"/>
      <c r="Q1638" s="34"/>
      <c r="R1638" s="115"/>
      <c r="S1638" s="34"/>
      <c r="T1638" s="34"/>
      <c r="U1638" s="34"/>
      <c r="V1638" s="29"/>
    </row>
    <row r="1639" spans="3:22">
      <c r="C1639" s="125">
        <v>44320</v>
      </c>
      <c r="D1639" s="34">
        <v>227</v>
      </c>
      <c r="E1639" s="115">
        <v>234</v>
      </c>
      <c r="F1639" s="34">
        <v>225.35000600000001</v>
      </c>
      <c r="G1639" s="34">
        <v>233.41000399999999</v>
      </c>
      <c r="H1639" s="34">
        <v>224.51573200000001</v>
      </c>
      <c r="I1639" s="29">
        <v>4040700</v>
      </c>
      <c r="P1639" s="125"/>
      <c r="Q1639" s="34"/>
      <c r="R1639" s="115"/>
      <c r="S1639" s="34"/>
      <c r="T1639" s="34"/>
      <c r="U1639" s="34"/>
      <c r="V1639" s="29"/>
    </row>
    <row r="1640" spans="3:22">
      <c r="C1640" s="125">
        <v>44319</v>
      </c>
      <c r="D1640" s="34">
        <v>174.24</v>
      </c>
      <c r="E1640" s="115">
        <v>174.33</v>
      </c>
      <c r="F1640" s="34">
        <v>168.63</v>
      </c>
      <c r="G1640" s="34">
        <v>169.32</v>
      </c>
      <c r="H1640" s="34">
        <v>169.32</v>
      </c>
      <c r="I1640" s="29">
        <v>117510000</v>
      </c>
      <c r="P1640" s="125"/>
      <c r="Q1640" s="34"/>
      <c r="R1640" s="115"/>
      <c r="S1640" s="34"/>
      <c r="T1640" s="34"/>
      <c r="U1640" s="34"/>
      <c r="V1640" s="29"/>
    </row>
    <row r="1641" spans="3:22">
      <c r="C1641" s="125">
        <v>44319</v>
      </c>
      <c r="D1641" s="34">
        <v>230</v>
      </c>
      <c r="E1641" s="115">
        <v>230.929993</v>
      </c>
      <c r="F1641" s="34">
        <v>227.21000699999999</v>
      </c>
      <c r="G1641" s="34">
        <v>228.16999799999999</v>
      </c>
      <c r="H1641" s="34">
        <v>219.475403</v>
      </c>
      <c r="I1641" s="29">
        <v>3182900</v>
      </c>
      <c r="P1641" s="125"/>
      <c r="Q1641" s="34"/>
      <c r="R1641" s="115"/>
      <c r="S1641" s="34"/>
      <c r="T1641" s="34"/>
      <c r="U1641" s="34"/>
      <c r="V1641" s="29"/>
    </row>
    <row r="1642" spans="3:22">
      <c r="C1642" s="125">
        <v>44316</v>
      </c>
      <c r="D1642" s="34">
        <v>176.26</v>
      </c>
      <c r="E1642" s="115">
        <v>177.7</v>
      </c>
      <c r="F1642" s="34">
        <v>173.13</v>
      </c>
      <c r="G1642" s="34">
        <v>173.37</v>
      </c>
      <c r="H1642" s="34">
        <v>173.37</v>
      </c>
      <c r="I1642" s="29">
        <v>140186000</v>
      </c>
      <c r="P1642" s="125"/>
      <c r="Q1642" s="34"/>
      <c r="R1642" s="115"/>
      <c r="S1642" s="34"/>
      <c r="T1642" s="34"/>
      <c r="U1642" s="34"/>
      <c r="V1642" s="29"/>
    </row>
    <row r="1643" spans="3:22">
      <c r="C1643" s="125">
        <v>44316</v>
      </c>
      <c r="D1643" s="34">
        <v>225.520004</v>
      </c>
      <c r="E1643" s="115">
        <v>228.38999899999999</v>
      </c>
      <c r="F1643" s="34">
        <v>224.88000500000001</v>
      </c>
      <c r="G1643" s="34">
        <v>228.11000100000001</v>
      </c>
      <c r="H1643" s="34">
        <v>219.417709</v>
      </c>
      <c r="I1643" s="29">
        <v>3953500</v>
      </c>
      <c r="P1643" s="125"/>
      <c r="Q1643" s="34"/>
      <c r="R1643" s="115"/>
      <c r="S1643" s="34"/>
      <c r="T1643" s="34"/>
      <c r="U1643" s="34"/>
      <c r="V1643" s="29"/>
    </row>
    <row r="1644" spans="3:22">
      <c r="C1644" s="125">
        <v>44315</v>
      </c>
      <c r="D1644" s="34">
        <v>175.26</v>
      </c>
      <c r="E1644" s="115">
        <v>175.72</v>
      </c>
      <c r="F1644" s="34">
        <v>171.75</v>
      </c>
      <c r="G1644" s="34">
        <v>173.57</v>
      </c>
      <c r="H1644" s="34">
        <v>173.57</v>
      </c>
      <c r="I1644" s="29">
        <v>153648000</v>
      </c>
      <c r="P1644" s="125"/>
      <c r="Q1644" s="34"/>
      <c r="R1644" s="115"/>
      <c r="S1644" s="34"/>
      <c r="T1644" s="34"/>
      <c r="U1644" s="34"/>
      <c r="V1644" s="29"/>
    </row>
    <row r="1645" spans="3:22">
      <c r="C1645" s="125">
        <v>44315</v>
      </c>
      <c r="D1645" s="34">
        <v>235</v>
      </c>
      <c r="E1645" s="115">
        <v>235.199997</v>
      </c>
      <c r="F1645" s="34">
        <v>223.199997</v>
      </c>
      <c r="G1645" s="34">
        <v>227.470001</v>
      </c>
      <c r="H1645" s="34">
        <v>218.80209400000001</v>
      </c>
      <c r="I1645" s="29">
        <v>5442400</v>
      </c>
      <c r="P1645" s="125"/>
      <c r="Q1645" s="34"/>
      <c r="R1645" s="115"/>
      <c r="S1645" s="34"/>
      <c r="T1645" s="34"/>
      <c r="U1645" s="34"/>
      <c r="V1645" s="29"/>
    </row>
    <row r="1646" spans="3:22">
      <c r="C1646" s="125">
        <v>44314</v>
      </c>
      <c r="D1646" s="34">
        <v>171.74</v>
      </c>
      <c r="E1646" s="115">
        <v>174.49</v>
      </c>
      <c r="F1646" s="34">
        <v>171.25</v>
      </c>
      <c r="G1646" s="34">
        <v>172.93</v>
      </c>
      <c r="H1646" s="34">
        <v>172.93</v>
      </c>
      <c r="I1646" s="29">
        <v>92638000</v>
      </c>
      <c r="P1646" s="125"/>
      <c r="Q1646" s="34"/>
      <c r="R1646" s="115"/>
      <c r="S1646" s="34"/>
      <c r="T1646" s="34"/>
      <c r="U1646" s="34"/>
      <c r="V1646" s="29"/>
    </row>
    <row r="1647" spans="3:22">
      <c r="C1647" s="125">
        <v>44314</v>
      </c>
      <c r="D1647" s="34">
        <v>230.050003</v>
      </c>
      <c r="E1647" s="115">
        <v>233.720001</v>
      </c>
      <c r="F1647" s="34">
        <v>229.38000500000001</v>
      </c>
      <c r="G1647" s="34">
        <v>232.300003</v>
      </c>
      <c r="H1647" s="34">
        <v>223.44802899999999</v>
      </c>
      <c r="I1647" s="29">
        <v>2965300</v>
      </c>
      <c r="P1647" s="125"/>
      <c r="Q1647" s="34"/>
      <c r="R1647" s="115"/>
      <c r="S1647" s="34"/>
      <c r="T1647" s="34"/>
      <c r="U1647" s="34"/>
      <c r="V1647" s="29"/>
    </row>
    <row r="1648" spans="3:22">
      <c r="C1648" s="125">
        <v>44313</v>
      </c>
      <c r="D1648" s="34">
        <v>172.17</v>
      </c>
      <c r="E1648" s="115">
        <v>173</v>
      </c>
      <c r="F1648" s="34">
        <v>169.9</v>
      </c>
      <c r="G1648" s="34">
        <v>170.87</v>
      </c>
      <c r="H1648" s="34">
        <v>170.87</v>
      </c>
      <c r="I1648" s="29">
        <v>76542000</v>
      </c>
      <c r="P1648" s="125"/>
      <c r="Q1648" s="34"/>
      <c r="R1648" s="115"/>
      <c r="S1648" s="34"/>
      <c r="T1648" s="34"/>
      <c r="U1648" s="34"/>
      <c r="V1648" s="29"/>
    </row>
    <row r="1649" spans="3:22">
      <c r="C1649" s="125">
        <v>44313</v>
      </c>
      <c r="D1649" s="34">
        <v>230.28999300000001</v>
      </c>
      <c r="E1649" s="115">
        <v>230.86000100000001</v>
      </c>
      <c r="F1649" s="34">
        <v>228.08000200000001</v>
      </c>
      <c r="G1649" s="34">
        <v>230.33999600000001</v>
      </c>
      <c r="H1649" s="34">
        <v>221.56272899999999</v>
      </c>
      <c r="I1649" s="29">
        <v>1959300</v>
      </c>
      <c r="P1649" s="125"/>
      <c r="Q1649" s="34"/>
      <c r="R1649" s="115"/>
      <c r="S1649" s="34"/>
      <c r="T1649" s="34"/>
      <c r="U1649" s="34"/>
      <c r="V1649" s="29"/>
    </row>
    <row r="1650" spans="3:22">
      <c r="C1650" s="125">
        <v>44312</v>
      </c>
      <c r="D1650" s="34">
        <v>167.4</v>
      </c>
      <c r="E1650" s="115">
        <v>171.42</v>
      </c>
      <c r="F1650" s="34">
        <v>166.55</v>
      </c>
      <c r="G1650" s="34">
        <v>170.45</v>
      </c>
      <c r="H1650" s="34">
        <v>170.45</v>
      </c>
      <c r="I1650" s="29">
        <v>97614000</v>
      </c>
      <c r="P1650" s="125"/>
      <c r="Q1650" s="34"/>
      <c r="R1650" s="115"/>
      <c r="S1650" s="34"/>
      <c r="T1650" s="34"/>
      <c r="U1650" s="34"/>
      <c r="V1650" s="29"/>
    </row>
    <row r="1651" spans="3:22">
      <c r="C1651" s="125">
        <v>44312</v>
      </c>
      <c r="D1651" s="34">
        <v>230.570007</v>
      </c>
      <c r="E1651" s="115">
        <v>232.85000600000001</v>
      </c>
      <c r="F1651" s="34">
        <v>229.96000699999999</v>
      </c>
      <c r="G1651" s="34">
        <v>230.55999800000001</v>
      </c>
      <c r="H1651" s="34">
        <v>221.77432300000001</v>
      </c>
      <c r="I1651" s="29">
        <v>1864800</v>
      </c>
      <c r="P1651" s="125"/>
      <c r="Q1651" s="34"/>
      <c r="R1651" s="115"/>
      <c r="S1651" s="34"/>
      <c r="T1651" s="34"/>
      <c r="U1651" s="34"/>
      <c r="V1651" s="29"/>
    </row>
    <row r="1652" spans="3:22">
      <c r="C1652" s="125">
        <v>44309</v>
      </c>
      <c r="D1652" s="34">
        <v>165.96</v>
      </c>
      <c r="E1652" s="115">
        <v>168.75</v>
      </c>
      <c r="F1652" s="34">
        <v>165.43</v>
      </c>
      <c r="G1652" s="34">
        <v>167.04</v>
      </c>
      <c r="H1652" s="34">
        <v>167.04</v>
      </c>
      <c r="I1652" s="29">
        <v>63856000</v>
      </c>
      <c r="P1652" s="125"/>
      <c r="Q1652" s="34"/>
      <c r="R1652" s="115"/>
      <c r="S1652" s="34"/>
      <c r="T1652" s="34"/>
      <c r="U1652" s="34"/>
      <c r="V1652" s="29"/>
    </row>
    <row r="1653" spans="3:22">
      <c r="C1653" s="125">
        <v>44309</v>
      </c>
      <c r="D1653" s="34">
        <v>229.36000100000001</v>
      </c>
      <c r="E1653" s="115">
        <v>231.64999399999999</v>
      </c>
      <c r="F1653" s="34">
        <v>227.88000500000001</v>
      </c>
      <c r="G1653" s="34">
        <v>230.11000100000001</v>
      </c>
      <c r="H1653" s="34">
        <v>221.34149199999999</v>
      </c>
      <c r="I1653" s="29">
        <v>3458300</v>
      </c>
      <c r="P1653" s="125"/>
      <c r="Q1653" s="34"/>
      <c r="R1653" s="115"/>
      <c r="S1653" s="34"/>
      <c r="T1653" s="34"/>
      <c r="U1653" s="34"/>
      <c r="V1653" s="29"/>
    </row>
    <row r="1654" spans="3:22">
      <c r="C1654" s="125">
        <v>44308</v>
      </c>
      <c r="D1654" s="34">
        <v>168.58</v>
      </c>
      <c r="E1654" s="115">
        <v>168.64</v>
      </c>
      <c r="F1654" s="34">
        <v>165.07</v>
      </c>
      <c r="G1654" s="34">
        <v>165.45</v>
      </c>
      <c r="H1654" s="34">
        <v>165.45</v>
      </c>
      <c r="I1654" s="29">
        <v>51612000</v>
      </c>
      <c r="P1654" s="125"/>
      <c r="Q1654" s="34"/>
      <c r="R1654" s="115"/>
      <c r="S1654" s="34"/>
      <c r="T1654" s="34"/>
      <c r="U1654" s="34"/>
      <c r="V1654" s="29"/>
    </row>
    <row r="1655" spans="3:22">
      <c r="C1655" s="125">
        <v>44308</v>
      </c>
      <c r="D1655" s="34">
        <v>233.25</v>
      </c>
      <c r="E1655" s="115">
        <v>233.429993</v>
      </c>
      <c r="F1655" s="34">
        <v>228.770004</v>
      </c>
      <c r="G1655" s="34">
        <v>228.88999899999999</v>
      </c>
      <c r="H1655" s="34">
        <v>219.17721599999999</v>
      </c>
      <c r="I1655" s="29">
        <v>2410700</v>
      </c>
      <c r="P1655" s="125"/>
      <c r="Q1655" s="34"/>
      <c r="R1655" s="115"/>
      <c r="S1655" s="34"/>
      <c r="T1655" s="34"/>
      <c r="U1655" s="34"/>
      <c r="V1655" s="29"/>
    </row>
    <row r="1656" spans="3:22">
      <c r="C1656" s="125">
        <v>44307</v>
      </c>
      <c r="D1656" s="34">
        <v>165.8</v>
      </c>
      <c r="E1656" s="115">
        <v>168.14</v>
      </c>
      <c r="F1656" s="34">
        <v>165.19</v>
      </c>
      <c r="G1656" s="34">
        <v>168.1</v>
      </c>
      <c r="H1656" s="34">
        <v>168.1</v>
      </c>
      <c r="I1656" s="29">
        <v>44224000</v>
      </c>
      <c r="P1656" s="125"/>
      <c r="Q1656" s="34"/>
      <c r="R1656" s="115"/>
      <c r="S1656" s="34"/>
      <c r="T1656" s="34"/>
      <c r="U1656" s="34"/>
      <c r="V1656" s="29"/>
    </row>
    <row r="1657" spans="3:22">
      <c r="C1657" s="125">
        <v>44307</v>
      </c>
      <c r="D1657" s="34">
        <v>227.320007</v>
      </c>
      <c r="E1657" s="115">
        <v>232.61000100000001</v>
      </c>
      <c r="F1657" s="34">
        <v>226.020004</v>
      </c>
      <c r="G1657" s="34">
        <v>232.46000699999999</v>
      </c>
      <c r="H1657" s="34">
        <v>222.59573399999999</v>
      </c>
      <c r="I1657" s="29">
        <v>1977700</v>
      </c>
      <c r="P1657" s="125"/>
      <c r="Q1657" s="34"/>
      <c r="R1657" s="115"/>
      <c r="S1657" s="34"/>
      <c r="T1657" s="34"/>
      <c r="U1657" s="34"/>
      <c r="V1657" s="29"/>
    </row>
    <row r="1658" spans="3:22">
      <c r="C1658" s="125">
        <v>44306</v>
      </c>
      <c r="D1658" s="34">
        <v>168.68</v>
      </c>
      <c r="E1658" s="115">
        <v>169.15</v>
      </c>
      <c r="F1658" s="34">
        <v>165.8</v>
      </c>
      <c r="G1658" s="34">
        <v>166.73</v>
      </c>
      <c r="H1658" s="34">
        <v>166.73</v>
      </c>
      <c r="I1658" s="29">
        <v>52460000</v>
      </c>
      <c r="P1658" s="125"/>
      <c r="Q1658" s="34"/>
      <c r="R1658" s="115"/>
      <c r="S1658" s="34"/>
      <c r="T1658" s="34"/>
      <c r="U1658" s="34"/>
      <c r="V1658" s="29"/>
    </row>
    <row r="1659" spans="3:22">
      <c r="C1659" s="125">
        <v>44306</v>
      </c>
      <c r="D1659" s="34">
        <v>230.89999399999999</v>
      </c>
      <c r="E1659" s="115">
        <v>231.300003</v>
      </c>
      <c r="F1659" s="34">
        <v>225.60000600000001</v>
      </c>
      <c r="G1659" s="34">
        <v>227.63000500000001</v>
      </c>
      <c r="H1659" s="34">
        <v>217.97067300000001</v>
      </c>
      <c r="I1659" s="29">
        <v>2815800</v>
      </c>
      <c r="P1659" s="125"/>
      <c r="Q1659" s="34"/>
      <c r="R1659" s="115"/>
      <c r="S1659" s="34"/>
      <c r="T1659" s="34"/>
      <c r="U1659" s="34"/>
      <c r="V1659" s="29"/>
    </row>
    <row r="1660" spans="3:22">
      <c r="C1660" s="125">
        <v>44305</v>
      </c>
      <c r="D1660" s="34">
        <v>169.52</v>
      </c>
      <c r="E1660" s="115">
        <v>171.8</v>
      </c>
      <c r="F1660" s="34">
        <v>168.01</v>
      </c>
      <c r="G1660" s="34">
        <v>168.6</v>
      </c>
      <c r="H1660" s="34">
        <v>168.6</v>
      </c>
      <c r="I1660" s="29">
        <v>54508000</v>
      </c>
      <c r="P1660" s="125"/>
      <c r="Q1660" s="34"/>
      <c r="R1660" s="115"/>
      <c r="S1660" s="34"/>
      <c r="T1660" s="34"/>
      <c r="U1660" s="34"/>
      <c r="V1660" s="29"/>
    </row>
    <row r="1661" spans="3:22">
      <c r="C1661" s="125">
        <v>44305</v>
      </c>
      <c r="D1661" s="34">
        <v>232.89999399999999</v>
      </c>
      <c r="E1661" s="115">
        <v>233.10000600000001</v>
      </c>
      <c r="F1661" s="34">
        <v>229.91000399999999</v>
      </c>
      <c r="G1661" s="34">
        <v>232.38999899999999</v>
      </c>
      <c r="H1661" s="34">
        <v>222.528717</v>
      </c>
      <c r="I1661" s="29">
        <v>1712600</v>
      </c>
      <c r="P1661" s="125"/>
      <c r="Q1661" s="34"/>
      <c r="R1661" s="115"/>
      <c r="S1661" s="34"/>
      <c r="T1661" s="34"/>
      <c r="U1661" s="34"/>
      <c r="V1661" s="29"/>
    </row>
    <row r="1662" spans="3:22">
      <c r="C1662" s="125">
        <v>44302</v>
      </c>
      <c r="D1662" s="34">
        <v>169</v>
      </c>
      <c r="E1662" s="115">
        <v>170.34</v>
      </c>
      <c r="F1662" s="34">
        <v>167.78</v>
      </c>
      <c r="G1662" s="34">
        <v>169.97</v>
      </c>
      <c r="H1662" s="34">
        <v>169.97</v>
      </c>
      <c r="I1662" s="29">
        <v>63720000</v>
      </c>
      <c r="P1662" s="125"/>
      <c r="Q1662" s="34"/>
      <c r="R1662" s="115"/>
      <c r="S1662" s="34"/>
      <c r="T1662" s="34"/>
      <c r="U1662" s="34"/>
      <c r="V1662" s="29"/>
    </row>
    <row r="1663" spans="3:22">
      <c r="C1663" s="125">
        <v>44302</v>
      </c>
      <c r="D1663" s="34">
        <v>234.61999499999999</v>
      </c>
      <c r="E1663" s="115">
        <v>235.94000199999999</v>
      </c>
      <c r="F1663" s="34">
        <v>232.270004</v>
      </c>
      <c r="G1663" s="34">
        <v>233.36000100000001</v>
      </c>
      <c r="H1663" s="34">
        <v>223.45755</v>
      </c>
      <c r="I1663" s="29">
        <v>2128400</v>
      </c>
      <c r="P1663" s="125"/>
      <c r="Q1663" s="34"/>
      <c r="R1663" s="115"/>
      <c r="S1663" s="34"/>
      <c r="T1663" s="34"/>
      <c r="U1663" s="34"/>
      <c r="V1663" s="29"/>
    </row>
    <row r="1664" spans="3:22">
      <c r="C1664" s="125">
        <v>44301</v>
      </c>
      <c r="D1664" s="34">
        <v>168.55</v>
      </c>
      <c r="E1664" s="115">
        <v>169.85</v>
      </c>
      <c r="F1664" s="34">
        <v>167.6</v>
      </c>
      <c r="G1664" s="34">
        <v>168.95</v>
      </c>
      <c r="H1664" s="34">
        <v>168.95</v>
      </c>
      <c r="I1664" s="29">
        <v>64672000</v>
      </c>
      <c r="P1664" s="125"/>
      <c r="Q1664" s="34"/>
      <c r="R1664" s="115"/>
      <c r="S1664" s="34"/>
      <c r="T1664" s="34"/>
      <c r="U1664" s="34"/>
      <c r="V1664" s="29"/>
    </row>
    <row r="1665" spans="3:22">
      <c r="C1665" s="125">
        <v>44301</v>
      </c>
      <c r="D1665" s="34">
        <v>233.14999399999999</v>
      </c>
      <c r="E1665" s="115">
        <v>233.44000199999999</v>
      </c>
      <c r="F1665" s="34">
        <v>230.740005</v>
      </c>
      <c r="G1665" s="34">
        <v>232.520004</v>
      </c>
      <c r="H1665" s="34">
        <v>222.65318300000001</v>
      </c>
      <c r="I1665" s="29">
        <v>1860200</v>
      </c>
      <c r="P1665" s="125"/>
      <c r="Q1665" s="34"/>
      <c r="R1665" s="115"/>
      <c r="S1665" s="34"/>
      <c r="T1665" s="34"/>
      <c r="U1665" s="34"/>
      <c r="V1665" s="29"/>
    </row>
    <row r="1666" spans="3:22">
      <c r="C1666" s="125">
        <v>44300</v>
      </c>
      <c r="D1666" s="34">
        <v>170.2</v>
      </c>
      <c r="E1666" s="115">
        <v>170.21</v>
      </c>
      <c r="F1666" s="34">
        <v>166.3</v>
      </c>
      <c r="G1666" s="34">
        <v>166.65</v>
      </c>
      <c r="H1666" s="34">
        <v>166.65</v>
      </c>
      <c r="I1666" s="29">
        <v>62904000</v>
      </c>
      <c r="P1666" s="125"/>
      <c r="Q1666" s="34"/>
      <c r="R1666" s="115"/>
      <c r="S1666" s="34"/>
      <c r="T1666" s="34"/>
      <c r="U1666" s="34"/>
      <c r="V1666" s="29"/>
    </row>
    <row r="1667" spans="3:22">
      <c r="C1667" s="125">
        <v>44300</v>
      </c>
      <c r="D1667" s="34">
        <v>229.60000600000001</v>
      </c>
      <c r="E1667" s="115">
        <v>234.220001</v>
      </c>
      <c r="F1667" s="34">
        <v>229.550003</v>
      </c>
      <c r="G1667" s="34">
        <v>232.58000200000001</v>
      </c>
      <c r="H1667" s="34">
        <v>222.71064799999999</v>
      </c>
      <c r="I1667" s="29">
        <v>2491000</v>
      </c>
      <c r="P1667" s="125"/>
      <c r="Q1667" s="34"/>
      <c r="R1667" s="115"/>
      <c r="S1667" s="34"/>
      <c r="T1667" s="34"/>
      <c r="U1667" s="34"/>
      <c r="V1667" s="29"/>
    </row>
    <row r="1668" spans="3:22">
      <c r="C1668" s="125">
        <v>44299</v>
      </c>
      <c r="D1668" s="34">
        <v>170.04</v>
      </c>
      <c r="E1668" s="115">
        <v>171.6</v>
      </c>
      <c r="F1668" s="34">
        <v>169.78</v>
      </c>
      <c r="G1668" s="34">
        <v>170</v>
      </c>
      <c r="H1668" s="34">
        <v>170</v>
      </c>
      <c r="I1668" s="29">
        <v>66316000</v>
      </c>
      <c r="P1668" s="125"/>
      <c r="Q1668" s="34"/>
      <c r="R1668" s="115"/>
      <c r="S1668" s="34"/>
      <c r="T1668" s="34"/>
      <c r="U1668" s="34"/>
      <c r="V1668" s="29"/>
    </row>
    <row r="1669" spans="3:22">
      <c r="C1669" s="125">
        <v>44299</v>
      </c>
      <c r="D1669" s="34">
        <v>233.41000399999999</v>
      </c>
      <c r="E1669" s="115">
        <v>233.5</v>
      </c>
      <c r="F1669" s="34">
        <v>228.050003</v>
      </c>
      <c r="G1669" s="34">
        <v>229.35000600000001</v>
      </c>
      <c r="H1669" s="34">
        <v>219.617706</v>
      </c>
      <c r="I1669" s="29">
        <v>2286400</v>
      </c>
      <c r="P1669" s="125"/>
      <c r="Q1669" s="34"/>
      <c r="R1669" s="115"/>
      <c r="S1669" s="34"/>
      <c r="T1669" s="34"/>
      <c r="U1669" s="34"/>
      <c r="V1669" s="29"/>
    </row>
    <row r="1670" spans="3:22">
      <c r="C1670" s="125">
        <v>44298</v>
      </c>
      <c r="D1670" s="34">
        <v>167.76</v>
      </c>
      <c r="E1670" s="115">
        <v>169.75</v>
      </c>
      <c r="F1670" s="34">
        <v>167.56</v>
      </c>
      <c r="G1670" s="34">
        <v>168.97</v>
      </c>
      <c r="H1670" s="34">
        <v>168.97</v>
      </c>
      <c r="I1670" s="29">
        <v>65636000</v>
      </c>
      <c r="P1670" s="125"/>
      <c r="Q1670" s="34"/>
      <c r="R1670" s="115"/>
      <c r="S1670" s="34"/>
      <c r="T1670" s="34"/>
      <c r="U1670" s="34"/>
      <c r="V1670" s="29"/>
    </row>
    <row r="1671" spans="3:22">
      <c r="C1671" s="125">
        <v>44298</v>
      </c>
      <c r="D1671" s="34">
        <v>230.300003</v>
      </c>
      <c r="E1671" s="115">
        <v>231.300003</v>
      </c>
      <c r="F1671" s="34">
        <v>228.929993</v>
      </c>
      <c r="G1671" s="34">
        <v>230.929993</v>
      </c>
      <c r="H1671" s="34">
        <v>221.13064600000001</v>
      </c>
      <c r="I1671" s="29">
        <v>1688200</v>
      </c>
      <c r="P1671" s="125"/>
      <c r="Q1671" s="34"/>
      <c r="R1671" s="115"/>
      <c r="S1671" s="34"/>
      <c r="T1671" s="34"/>
      <c r="U1671" s="34"/>
      <c r="V1671" s="29"/>
    </row>
    <row r="1672" spans="3:22">
      <c r="C1672" s="125">
        <v>44295</v>
      </c>
      <c r="D1672" s="34">
        <v>165.24</v>
      </c>
      <c r="E1672" s="115">
        <v>168.61</v>
      </c>
      <c r="F1672" s="34">
        <v>164.45</v>
      </c>
      <c r="G1672" s="34">
        <v>168.61</v>
      </c>
      <c r="H1672" s="34">
        <v>168.61</v>
      </c>
      <c r="I1672" s="29">
        <v>86830000</v>
      </c>
      <c r="P1672" s="125"/>
      <c r="Q1672" s="34"/>
      <c r="R1672" s="115"/>
      <c r="S1672" s="34"/>
      <c r="T1672" s="34"/>
      <c r="U1672" s="34"/>
      <c r="V1672" s="29"/>
    </row>
    <row r="1673" spans="3:22">
      <c r="C1673" s="125">
        <v>44295</v>
      </c>
      <c r="D1673" s="34">
        <v>231.300003</v>
      </c>
      <c r="E1673" s="115">
        <v>232.199997</v>
      </c>
      <c r="F1673" s="34">
        <v>227.53999300000001</v>
      </c>
      <c r="G1673" s="34">
        <v>230.75</v>
      </c>
      <c r="H1673" s="34">
        <v>220.958282</v>
      </c>
      <c r="I1673" s="29">
        <v>2482900</v>
      </c>
      <c r="P1673" s="125"/>
      <c r="Q1673" s="34"/>
      <c r="R1673" s="115"/>
      <c r="S1673" s="34"/>
      <c r="T1673" s="34"/>
      <c r="U1673" s="34"/>
      <c r="V1673" s="29"/>
    </row>
    <row r="1674" spans="3:22">
      <c r="C1674" s="125">
        <v>44294</v>
      </c>
      <c r="D1674" s="34">
        <v>165.54</v>
      </c>
      <c r="E1674" s="115">
        <v>166.23</v>
      </c>
      <c r="F1674" s="34">
        <v>164.6</v>
      </c>
      <c r="G1674" s="34">
        <v>164.96</v>
      </c>
      <c r="H1674" s="34">
        <v>164.96</v>
      </c>
      <c r="I1674" s="29">
        <v>56242000</v>
      </c>
      <c r="P1674" s="125"/>
      <c r="Q1674" s="34"/>
      <c r="R1674" s="115"/>
      <c r="S1674" s="34"/>
      <c r="T1674" s="34"/>
      <c r="U1674" s="34"/>
      <c r="V1674" s="29"/>
    </row>
    <row r="1675" spans="3:22">
      <c r="C1675" s="125">
        <v>44294</v>
      </c>
      <c r="D1675" s="34">
        <v>230.13000500000001</v>
      </c>
      <c r="E1675" s="115">
        <v>231.050003</v>
      </c>
      <c r="F1675" s="34">
        <v>227.16999799999999</v>
      </c>
      <c r="G1675" s="34">
        <v>230.479996</v>
      </c>
      <c r="H1675" s="34">
        <v>220.69975299999999</v>
      </c>
      <c r="I1675" s="29">
        <v>2158900</v>
      </c>
      <c r="P1675" s="125"/>
      <c r="Q1675" s="34"/>
      <c r="R1675" s="115"/>
      <c r="S1675" s="34"/>
      <c r="T1675" s="34"/>
      <c r="U1675" s="34"/>
      <c r="V1675" s="29"/>
    </row>
    <row r="1676" spans="3:22">
      <c r="C1676" s="125">
        <v>44293</v>
      </c>
      <c r="D1676" s="34">
        <v>161.69</v>
      </c>
      <c r="E1676" s="115">
        <v>165.18</v>
      </c>
      <c r="F1676" s="34">
        <v>161.18</v>
      </c>
      <c r="G1676" s="34">
        <v>163.97</v>
      </c>
      <c r="H1676" s="34">
        <v>163.97</v>
      </c>
      <c r="I1676" s="29">
        <v>66924000</v>
      </c>
      <c r="P1676" s="125"/>
      <c r="Q1676" s="34"/>
      <c r="R1676" s="115"/>
      <c r="S1676" s="34"/>
      <c r="T1676" s="34"/>
      <c r="U1676" s="34"/>
      <c r="V1676" s="29"/>
    </row>
    <row r="1677" spans="3:22">
      <c r="C1677" s="125">
        <v>44293</v>
      </c>
      <c r="D1677" s="34">
        <v>231.96000699999999</v>
      </c>
      <c r="E1677" s="115">
        <v>234.19000199999999</v>
      </c>
      <c r="F1677" s="34">
        <v>229.35000600000001</v>
      </c>
      <c r="G1677" s="34">
        <v>230.41000399999999</v>
      </c>
      <c r="H1677" s="34">
        <v>220.63270600000001</v>
      </c>
      <c r="I1677" s="29">
        <v>2449600</v>
      </c>
      <c r="P1677" s="125"/>
      <c r="Q1677" s="34"/>
      <c r="R1677" s="115"/>
      <c r="S1677" s="34"/>
      <c r="T1677" s="34"/>
      <c r="U1677" s="34"/>
      <c r="V1677" s="29"/>
    </row>
    <row r="1678" spans="3:22">
      <c r="C1678" s="125">
        <v>44292</v>
      </c>
      <c r="D1678" s="34">
        <v>161.19</v>
      </c>
      <c r="E1678" s="115">
        <v>162.37</v>
      </c>
      <c r="F1678" s="34">
        <v>160.85</v>
      </c>
      <c r="G1678" s="34">
        <v>161.19</v>
      </c>
      <c r="H1678" s="34">
        <v>161.19</v>
      </c>
      <c r="I1678" s="29">
        <v>50756000</v>
      </c>
      <c r="P1678" s="125"/>
      <c r="Q1678" s="34"/>
      <c r="R1678" s="115"/>
      <c r="S1678" s="34"/>
      <c r="T1678" s="34"/>
      <c r="U1678" s="34"/>
      <c r="V1678" s="29"/>
    </row>
    <row r="1679" spans="3:22">
      <c r="C1679" s="125">
        <v>44292</v>
      </c>
      <c r="D1679" s="34">
        <v>232.5</v>
      </c>
      <c r="E1679" s="115">
        <v>236.679993</v>
      </c>
      <c r="F1679" s="34">
        <v>230.229996</v>
      </c>
      <c r="G1679" s="34">
        <v>230.63999899999999</v>
      </c>
      <c r="H1679" s="34">
        <v>220.852982</v>
      </c>
      <c r="I1679" s="29">
        <v>2614500</v>
      </c>
      <c r="P1679" s="125"/>
      <c r="Q1679" s="34"/>
      <c r="R1679" s="115"/>
      <c r="S1679" s="34"/>
      <c r="T1679" s="34"/>
      <c r="U1679" s="34"/>
      <c r="V1679" s="29"/>
    </row>
    <row r="1680" spans="3:22">
      <c r="C1680" s="125">
        <v>44291</v>
      </c>
      <c r="D1680" s="34">
        <v>158.65</v>
      </c>
      <c r="E1680" s="115">
        <v>161.80000000000001</v>
      </c>
      <c r="F1680" s="34">
        <v>158.06</v>
      </c>
      <c r="G1680" s="34">
        <v>161.34</v>
      </c>
      <c r="H1680" s="34">
        <v>161.34</v>
      </c>
      <c r="I1680" s="29">
        <v>66698000</v>
      </c>
      <c r="P1680" s="125"/>
      <c r="Q1680" s="34"/>
      <c r="R1680" s="115"/>
      <c r="S1680" s="34"/>
      <c r="T1680" s="34"/>
      <c r="U1680" s="34"/>
      <c r="V1680" s="29"/>
    </row>
    <row r="1681" spans="3:22">
      <c r="C1681" s="125">
        <v>44291</v>
      </c>
      <c r="D1681" s="34">
        <v>235</v>
      </c>
      <c r="E1681" s="115">
        <v>235.66000399999999</v>
      </c>
      <c r="F1681" s="34">
        <v>232.36999499999999</v>
      </c>
      <c r="G1681" s="34">
        <v>233.71000699999999</v>
      </c>
      <c r="H1681" s="34">
        <v>223.792709</v>
      </c>
      <c r="I1681" s="29">
        <v>2323400</v>
      </c>
      <c r="P1681" s="125"/>
      <c r="Q1681" s="34"/>
      <c r="R1681" s="115"/>
      <c r="S1681" s="34"/>
      <c r="T1681" s="34"/>
      <c r="U1681" s="34"/>
      <c r="V1681" s="29"/>
    </row>
    <row r="1682" spans="3:22">
      <c r="C1682" s="125">
        <v>44287</v>
      </c>
      <c r="D1682" s="34">
        <v>155.9</v>
      </c>
      <c r="E1682" s="115">
        <v>158.12</v>
      </c>
      <c r="F1682" s="34">
        <v>155.78</v>
      </c>
      <c r="G1682" s="34">
        <v>158.05000000000001</v>
      </c>
      <c r="H1682" s="34">
        <v>158.05000000000001</v>
      </c>
      <c r="I1682" s="29">
        <v>58806000</v>
      </c>
      <c r="P1682" s="125"/>
      <c r="Q1682" s="34"/>
      <c r="R1682" s="115"/>
      <c r="S1682" s="34"/>
      <c r="T1682" s="34"/>
      <c r="U1682" s="34"/>
      <c r="V1682" s="29"/>
    </row>
    <row r="1683" spans="3:22">
      <c r="C1683" s="125">
        <v>44287</v>
      </c>
      <c r="D1683" s="34">
        <v>231.300003</v>
      </c>
      <c r="E1683" s="115">
        <v>235</v>
      </c>
      <c r="F1683" s="34">
        <v>227.58999600000001</v>
      </c>
      <c r="G1683" s="34">
        <v>232.740005</v>
      </c>
      <c r="H1683" s="34">
        <v>222.86386100000001</v>
      </c>
      <c r="I1683" s="29">
        <v>3787100</v>
      </c>
      <c r="P1683" s="125"/>
      <c r="Q1683" s="34"/>
      <c r="R1683" s="115"/>
      <c r="S1683" s="34"/>
      <c r="T1683" s="34"/>
      <c r="U1683" s="34"/>
      <c r="V1683" s="29"/>
    </row>
    <row r="1684" spans="3:22">
      <c r="C1684" s="125">
        <v>44286</v>
      </c>
      <c r="D1684" s="34">
        <v>153.19999999999999</v>
      </c>
      <c r="E1684" s="115">
        <v>155.97</v>
      </c>
      <c r="F1684" s="34">
        <v>153.13</v>
      </c>
      <c r="G1684" s="34">
        <v>154.69999999999999</v>
      </c>
      <c r="H1684" s="34">
        <v>154.69999999999999</v>
      </c>
      <c r="I1684" s="29">
        <v>61878000</v>
      </c>
      <c r="P1684" s="125"/>
      <c r="Q1684" s="34"/>
      <c r="R1684" s="115"/>
      <c r="S1684" s="34"/>
      <c r="T1684" s="34"/>
      <c r="U1684" s="34"/>
      <c r="V1684" s="29"/>
    </row>
    <row r="1685" spans="3:22">
      <c r="C1685" s="125">
        <v>44286</v>
      </c>
      <c r="D1685" s="34">
        <v>234.35000600000001</v>
      </c>
      <c r="E1685" s="115">
        <v>237.009995</v>
      </c>
      <c r="F1685" s="34">
        <v>228.85000600000001</v>
      </c>
      <c r="G1685" s="34">
        <v>231.86999499999999</v>
      </c>
      <c r="H1685" s="34">
        <v>222.03074599999999</v>
      </c>
      <c r="I1685" s="29">
        <v>4512300</v>
      </c>
      <c r="P1685" s="125"/>
      <c r="Q1685" s="34"/>
      <c r="R1685" s="115"/>
      <c r="S1685" s="34"/>
      <c r="T1685" s="34"/>
      <c r="U1685" s="34"/>
      <c r="V1685" s="29"/>
    </row>
    <row r="1686" spans="3:22">
      <c r="C1686" s="125">
        <v>44285</v>
      </c>
      <c r="D1686" s="34">
        <v>153.5</v>
      </c>
      <c r="E1686" s="115">
        <v>153.65</v>
      </c>
      <c r="F1686" s="34">
        <v>151.69999999999999</v>
      </c>
      <c r="G1686" s="34">
        <v>152.76</v>
      </c>
      <c r="H1686" s="34">
        <v>152.76</v>
      </c>
      <c r="I1686" s="29">
        <v>46752000</v>
      </c>
      <c r="P1686" s="125"/>
      <c r="Q1686" s="34"/>
      <c r="R1686" s="115"/>
      <c r="S1686" s="34"/>
      <c r="T1686" s="34"/>
      <c r="U1686" s="34"/>
      <c r="V1686" s="29"/>
    </row>
    <row r="1687" spans="3:22">
      <c r="C1687" s="125">
        <v>44285</v>
      </c>
      <c r="D1687" s="34">
        <v>231.199997</v>
      </c>
      <c r="E1687" s="115">
        <v>234.720001</v>
      </c>
      <c r="F1687" s="34">
        <v>231.13999899999999</v>
      </c>
      <c r="G1687" s="34">
        <v>233.08000200000001</v>
      </c>
      <c r="H1687" s="34">
        <v>223.18940699999999</v>
      </c>
      <c r="I1687" s="29">
        <v>3139100</v>
      </c>
      <c r="P1687" s="125"/>
      <c r="Q1687" s="34"/>
      <c r="R1687" s="115"/>
      <c r="S1687" s="34"/>
      <c r="T1687" s="34"/>
      <c r="U1687" s="34"/>
      <c r="V1687" s="29"/>
    </row>
    <row r="1688" spans="3:22">
      <c r="C1688" s="125">
        <v>44284</v>
      </c>
      <c r="D1688" s="34">
        <v>152.77000000000001</v>
      </c>
      <c r="E1688" s="115">
        <v>154.56</v>
      </c>
      <c r="F1688" s="34">
        <v>151.41999999999999</v>
      </c>
      <c r="G1688" s="34">
        <v>153.79</v>
      </c>
      <c r="H1688" s="34">
        <v>153.79</v>
      </c>
      <c r="I1688" s="29">
        <v>54920000</v>
      </c>
      <c r="P1688" s="125"/>
      <c r="Q1688" s="34"/>
      <c r="R1688" s="115"/>
      <c r="S1688" s="34"/>
      <c r="T1688" s="34"/>
      <c r="U1688" s="34"/>
      <c r="V1688" s="29"/>
    </row>
    <row r="1689" spans="3:22">
      <c r="C1689" s="125">
        <v>44284</v>
      </c>
      <c r="D1689" s="34">
        <v>228.10000600000001</v>
      </c>
      <c r="E1689" s="115">
        <v>231.85000600000001</v>
      </c>
      <c r="F1689" s="34">
        <v>227.71000699999999</v>
      </c>
      <c r="G1689" s="34">
        <v>230.220001</v>
      </c>
      <c r="H1689" s="34">
        <v>220.45079000000001</v>
      </c>
      <c r="I1689" s="29">
        <v>3003200</v>
      </c>
      <c r="P1689" s="125"/>
      <c r="Q1689" s="34"/>
      <c r="R1689" s="115"/>
      <c r="S1689" s="34"/>
      <c r="T1689" s="34"/>
      <c r="U1689" s="34"/>
      <c r="V1689" s="29"/>
    </row>
    <row r="1690" spans="3:22">
      <c r="C1690" s="125">
        <v>44281</v>
      </c>
      <c r="D1690" s="34">
        <v>152.19999999999999</v>
      </c>
      <c r="E1690" s="115">
        <v>152.83000000000001</v>
      </c>
      <c r="F1690" s="34">
        <v>149.80000000000001</v>
      </c>
      <c r="G1690" s="34">
        <v>152.6</v>
      </c>
      <c r="H1690" s="34">
        <v>152.6</v>
      </c>
      <c r="I1690" s="29">
        <v>66258000</v>
      </c>
      <c r="P1690" s="125"/>
      <c r="Q1690" s="34"/>
      <c r="R1690" s="115"/>
      <c r="S1690" s="34"/>
      <c r="T1690" s="34"/>
      <c r="U1690" s="34"/>
      <c r="V1690" s="29"/>
    </row>
    <row r="1691" spans="3:22">
      <c r="C1691" s="125">
        <v>44281</v>
      </c>
      <c r="D1691" s="34">
        <v>226.35000600000001</v>
      </c>
      <c r="E1691" s="115">
        <v>229.83999600000001</v>
      </c>
      <c r="F1691" s="34">
        <v>225.21000699999999</v>
      </c>
      <c r="G1691" s="34">
        <v>229.5</v>
      </c>
      <c r="H1691" s="34">
        <v>219.76132200000001</v>
      </c>
      <c r="I1691" s="29">
        <v>3040100</v>
      </c>
      <c r="P1691" s="125"/>
      <c r="Q1691" s="34"/>
      <c r="R1691" s="115"/>
      <c r="S1691" s="34"/>
      <c r="T1691" s="34"/>
      <c r="U1691" s="34"/>
      <c r="V1691" s="29"/>
    </row>
    <row r="1692" spans="3:22">
      <c r="C1692" s="125">
        <v>44280</v>
      </c>
      <c r="D1692" s="34">
        <v>153.65</v>
      </c>
      <c r="E1692" s="115">
        <v>155.49</v>
      </c>
      <c r="F1692" s="34">
        <v>151.86000000000001</v>
      </c>
      <c r="G1692" s="34">
        <v>152.31</v>
      </c>
      <c r="H1692" s="34">
        <v>152.31</v>
      </c>
      <c r="I1692" s="29">
        <v>71270000</v>
      </c>
      <c r="P1692" s="125"/>
      <c r="Q1692" s="34"/>
      <c r="R1692" s="115"/>
      <c r="S1692" s="34"/>
      <c r="T1692" s="34"/>
      <c r="U1692" s="34"/>
      <c r="V1692" s="29"/>
    </row>
    <row r="1693" spans="3:22">
      <c r="C1693" s="125">
        <v>44280</v>
      </c>
      <c r="D1693" s="34">
        <v>219.229996</v>
      </c>
      <c r="E1693" s="115">
        <v>224.970001</v>
      </c>
      <c r="F1693" s="34">
        <v>216.03999300000001</v>
      </c>
      <c r="G1693" s="34">
        <v>224.25</v>
      </c>
      <c r="H1693" s="34">
        <v>214.73413099999999</v>
      </c>
      <c r="I1693" s="29">
        <v>2901800</v>
      </c>
      <c r="P1693" s="125"/>
      <c r="Q1693" s="34"/>
      <c r="R1693" s="115"/>
      <c r="S1693" s="34"/>
      <c r="T1693" s="34"/>
      <c r="U1693" s="34"/>
      <c r="V1693" s="29"/>
    </row>
    <row r="1694" spans="3:22">
      <c r="C1694" s="125">
        <v>44279</v>
      </c>
      <c r="D1694" s="34">
        <v>157.55000000000001</v>
      </c>
      <c r="E1694" s="115">
        <v>158.02000000000001</v>
      </c>
      <c r="F1694" s="34">
        <v>154.26</v>
      </c>
      <c r="G1694" s="34">
        <v>154.35</v>
      </c>
      <c r="H1694" s="34">
        <v>154.35</v>
      </c>
      <c r="I1694" s="29">
        <v>59180000</v>
      </c>
      <c r="P1694" s="125"/>
      <c r="Q1694" s="34"/>
      <c r="R1694" s="115"/>
      <c r="S1694" s="34"/>
      <c r="T1694" s="34"/>
      <c r="U1694" s="34"/>
      <c r="V1694" s="29"/>
    </row>
    <row r="1695" spans="3:22">
      <c r="C1695" s="125">
        <v>44279</v>
      </c>
      <c r="D1695" s="34">
        <v>220.509995</v>
      </c>
      <c r="E1695" s="115">
        <v>227.11000100000001</v>
      </c>
      <c r="F1695" s="34">
        <v>220.509995</v>
      </c>
      <c r="G1695" s="34">
        <v>221.229996</v>
      </c>
      <c r="H1695" s="34">
        <v>211.84227000000001</v>
      </c>
      <c r="I1695" s="29">
        <v>4258000</v>
      </c>
      <c r="P1695" s="125"/>
      <c r="Q1695" s="34"/>
      <c r="R1695" s="115"/>
      <c r="S1695" s="34"/>
      <c r="T1695" s="34"/>
      <c r="U1695" s="34"/>
      <c r="V1695" s="29"/>
    </row>
    <row r="1696" spans="3:22">
      <c r="C1696" s="125">
        <v>44278</v>
      </c>
      <c r="D1696" s="34">
        <v>156.35</v>
      </c>
      <c r="E1696" s="115">
        <v>159.1</v>
      </c>
      <c r="F1696" s="34">
        <v>156.04</v>
      </c>
      <c r="G1696" s="34">
        <v>156.88</v>
      </c>
      <c r="H1696" s="34">
        <v>156.88</v>
      </c>
      <c r="I1696" s="29">
        <v>76346000</v>
      </c>
      <c r="P1696" s="125"/>
      <c r="Q1696" s="34"/>
      <c r="R1696" s="115"/>
      <c r="S1696" s="34"/>
      <c r="T1696" s="34"/>
      <c r="U1696" s="34"/>
      <c r="V1696" s="29"/>
    </row>
    <row r="1697" spans="3:22">
      <c r="C1697" s="125">
        <v>44278</v>
      </c>
      <c r="D1697" s="34">
        <v>222.05999800000001</v>
      </c>
      <c r="E1697" s="115">
        <v>225.240005</v>
      </c>
      <c r="F1697" s="34">
        <v>216.64999399999999</v>
      </c>
      <c r="G1697" s="34">
        <v>218.25</v>
      </c>
      <c r="H1697" s="34">
        <v>208.98872399999999</v>
      </c>
      <c r="I1697" s="29">
        <v>4017600</v>
      </c>
      <c r="P1697" s="125"/>
      <c r="Q1697" s="34"/>
      <c r="R1697" s="115"/>
      <c r="S1697" s="34"/>
      <c r="T1697" s="34"/>
      <c r="U1697" s="34"/>
      <c r="V1697" s="29"/>
    </row>
    <row r="1698" spans="3:22">
      <c r="C1698" s="125">
        <v>44277</v>
      </c>
      <c r="D1698" s="34">
        <v>153.38999999999999</v>
      </c>
      <c r="E1698" s="115">
        <v>156.33000000000001</v>
      </c>
      <c r="F1698" s="34">
        <v>153</v>
      </c>
      <c r="G1698" s="34">
        <v>155.54</v>
      </c>
      <c r="H1698" s="34">
        <v>155.54</v>
      </c>
      <c r="I1698" s="29">
        <v>58044000</v>
      </c>
      <c r="P1698" s="125"/>
      <c r="Q1698" s="34"/>
      <c r="R1698" s="115"/>
      <c r="S1698" s="34"/>
      <c r="T1698" s="34"/>
      <c r="U1698" s="34"/>
      <c r="V1698" s="29"/>
    </row>
    <row r="1699" spans="3:22">
      <c r="C1699" s="125">
        <v>44277</v>
      </c>
      <c r="D1699" s="34">
        <v>226.61999499999999</v>
      </c>
      <c r="E1699" s="115">
        <v>227.179993</v>
      </c>
      <c r="F1699" s="34">
        <v>223.570007</v>
      </c>
      <c r="G1699" s="34">
        <v>226.020004</v>
      </c>
      <c r="H1699" s="34">
        <v>216.429001</v>
      </c>
      <c r="I1699" s="29">
        <v>2211600</v>
      </c>
      <c r="P1699" s="125"/>
      <c r="Q1699" s="34"/>
      <c r="R1699" s="115"/>
      <c r="S1699" s="34"/>
      <c r="T1699" s="34"/>
      <c r="U1699" s="34"/>
      <c r="V1699" s="29"/>
    </row>
    <row r="1700" spans="3:22">
      <c r="C1700" s="125">
        <v>44274</v>
      </c>
      <c r="D1700" s="34">
        <v>151.46</v>
      </c>
      <c r="E1700" s="115">
        <v>153.86000000000001</v>
      </c>
      <c r="F1700" s="34">
        <v>150.83000000000001</v>
      </c>
      <c r="G1700" s="34">
        <v>153.75</v>
      </c>
      <c r="H1700" s="34">
        <v>153.75</v>
      </c>
      <c r="I1700" s="29">
        <v>92508000</v>
      </c>
      <c r="P1700" s="125"/>
      <c r="Q1700" s="34"/>
      <c r="R1700" s="115"/>
      <c r="S1700" s="34"/>
      <c r="T1700" s="34"/>
      <c r="U1700" s="34"/>
      <c r="V1700" s="29"/>
    </row>
    <row r="1701" spans="3:22">
      <c r="C1701" s="125">
        <v>44274</v>
      </c>
      <c r="D1701" s="34">
        <v>228.75</v>
      </c>
      <c r="E1701" s="115">
        <v>229.64999399999999</v>
      </c>
      <c r="F1701" s="34">
        <v>224.050003</v>
      </c>
      <c r="G1701" s="34">
        <v>225.28999300000001</v>
      </c>
      <c r="H1701" s="34">
        <v>215.72998000000001</v>
      </c>
      <c r="I1701" s="29">
        <v>7485100</v>
      </c>
      <c r="P1701" s="125"/>
      <c r="Q1701" s="34"/>
      <c r="R1701" s="115"/>
      <c r="S1701" s="34"/>
      <c r="T1701" s="34"/>
      <c r="U1701" s="34"/>
      <c r="V1701" s="29"/>
    </row>
    <row r="1702" spans="3:22">
      <c r="C1702" s="125">
        <v>44273</v>
      </c>
      <c r="D1702" s="34">
        <v>155.05000000000001</v>
      </c>
      <c r="E1702" s="115">
        <v>155.83000000000001</v>
      </c>
      <c r="F1702" s="34">
        <v>151.25</v>
      </c>
      <c r="G1702" s="34">
        <v>151.4</v>
      </c>
      <c r="H1702" s="34">
        <v>151.4</v>
      </c>
      <c r="I1702" s="29">
        <v>72992000</v>
      </c>
      <c r="P1702" s="125"/>
      <c r="Q1702" s="34"/>
      <c r="R1702" s="115"/>
      <c r="S1702" s="34"/>
      <c r="T1702" s="34"/>
      <c r="U1702" s="34"/>
      <c r="V1702" s="29"/>
    </row>
    <row r="1703" spans="3:22">
      <c r="C1703" s="125">
        <v>44273</v>
      </c>
      <c r="D1703" s="34">
        <v>234</v>
      </c>
      <c r="E1703" s="115">
        <v>237.779999</v>
      </c>
      <c r="F1703" s="34">
        <v>229.740005</v>
      </c>
      <c r="G1703" s="34">
        <v>230.679993</v>
      </c>
      <c r="H1703" s="34">
        <v>220.89123499999999</v>
      </c>
      <c r="I1703" s="29">
        <v>4336200</v>
      </c>
      <c r="P1703" s="125"/>
      <c r="Q1703" s="34"/>
      <c r="R1703" s="115"/>
      <c r="S1703" s="34"/>
      <c r="T1703" s="34"/>
      <c r="U1703" s="34"/>
      <c r="V1703" s="29"/>
    </row>
    <row r="1704" spans="3:22">
      <c r="C1704" s="125">
        <v>44272</v>
      </c>
      <c r="D1704" s="34">
        <v>153.66</v>
      </c>
      <c r="E1704" s="115">
        <v>158.65</v>
      </c>
      <c r="F1704" s="34">
        <v>153.51</v>
      </c>
      <c r="G1704" s="34">
        <v>156.79</v>
      </c>
      <c r="H1704" s="34">
        <v>156.79</v>
      </c>
      <c r="I1704" s="29">
        <v>62372000</v>
      </c>
      <c r="P1704" s="125"/>
      <c r="Q1704" s="34"/>
      <c r="R1704" s="115"/>
      <c r="S1704" s="34"/>
      <c r="T1704" s="34"/>
      <c r="U1704" s="34"/>
      <c r="V1704" s="29"/>
    </row>
    <row r="1705" spans="3:22">
      <c r="C1705" s="125">
        <v>44272</v>
      </c>
      <c r="D1705" s="34">
        <v>228.13000500000001</v>
      </c>
      <c r="E1705" s="115">
        <v>234.300003</v>
      </c>
      <c r="F1705" s="34">
        <v>227.13000500000001</v>
      </c>
      <c r="G1705" s="34">
        <v>233.63000500000001</v>
      </c>
      <c r="H1705" s="34">
        <v>223.71610999999999</v>
      </c>
      <c r="I1705" s="29">
        <v>3518500</v>
      </c>
      <c r="P1705" s="125"/>
      <c r="Q1705" s="34"/>
      <c r="R1705" s="115"/>
      <c r="S1705" s="34"/>
      <c r="T1705" s="34"/>
      <c r="U1705" s="34"/>
      <c r="V1705" s="29"/>
    </row>
    <row r="1706" spans="3:22">
      <c r="C1706" s="125">
        <v>44271</v>
      </c>
      <c r="D1706" s="34">
        <v>155.25</v>
      </c>
      <c r="E1706" s="115">
        <v>156.44999999999999</v>
      </c>
      <c r="F1706" s="34">
        <v>153.79</v>
      </c>
      <c r="G1706" s="34">
        <v>154.59</v>
      </c>
      <c r="H1706" s="34">
        <v>154.59</v>
      </c>
      <c r="I1706" s="29">
        <v>50776000</v>
      </c>
      <c r="P1706" s="125"/>
      <c r="Q1706" s="34"/>
      <c r="R1706" s="115"/>
      <c r="S1706" s="34"/>
      <c r="T1706" s="34"/>
      <c r="U1706" s="34"/>
      <c r="V1706" s="29"/>
    </row>
    <row r="1707" spans="3:22">
      <c r="C1707" s="125">
        <v>44271</v>
      </c>
      <c r="D1707" s="34">
        <v>227.720001</v>
      </c>
      <c r="E1707" s="115">
        <v>231.21000699999999</v>
      </c>
      <c r="F1707" s="34">
        <v>224.770004</v>
      </c>
      <c r="G1707" s="34">
        <v>226.46000699999999</v>
      </c>
      <c r="H1707" s="34">
        <v>216.85034200000001</v>
      </c>
      <c r="I1707" s="29">
        <v>3539200</v>
      </c>
      <c r="P1707" s="125"/>
      <c r="Q1707" s="34"/>
      <c r="R1707" s="115"/>
      <c r="S1707" s="34"/>
      <c r="T1707" s="34"/>
      <c r="U1707" s="34"/>
      <c r="V1707" s="29"/>
    </row>
    <row r="1708" spans="3:22">
      <c r="C1708" s="125">
        <v>44270</v>
      </c>
      <c r="D1708" s="34">
        <v>153.72999999999999</v>
      </c>
      <c r="E1708" s="115">
        <v>154.11000000000001</v>
      </c>
      <c r="F1708" s="34">
        <v>151.6</v>
      </c>
      <c r="G1708" s="34">
        <v>154.08000000000001</v>
      </c>
      <c r="H1708" s="34">
        <v>154.08000000000001</v>
      </c>
      <c r="I1708" s="29">
        <v>58272000</v>
      </c>
      <c r="P1708" s="125"/>
      <c r="Q1708" s="34"/>
      <c r="R1708" s="115"/>
      <c r="S1708" s="34"/>
      <c r="T1708" s="34"/>
      <c r="U1708" s="34"/>
      <c r="V1708" s="29"/>
    </row>
    <row r="1709" spans="3:22">
      <c r="C1709" s="125">
        <v>44270</v>
      </c>
      <c r="D1709" s="34">
        <v>228.86999499999999</v>
      </c>
      <c r="E1709" s="115">
        <v>231.800003</v>
      </c>
      <c r="F1709" s="34">
        <v>225.83000200000001</v>
      </c>
      <c r="G1709" s="34">
        <v>230.740005</v>
      </c>
      <c r="H1709" s="34">
        <v>220.94873000000001</v>
      </c>
      <c r="I1709" s="29">
        <v>4215300</v>
      </c>
      <c r="P1709" s="125"/>
      <c r="Q1709" s="34"/>
      <c r="R1709" s="115"/>
      <c r="S1709" s="34"/>
      <c r="T1709" s="34"/>
      <c r="U1709" s="34"/>
      <c r="V1709" s="29"/>
    </row>
    <row r="1710" spans="3:22">
      <c r="C1710" s="125">
        <v>44267</v>
      </c>
      <c r="D1710" s="34">
        <v>153.75</v>
      </c>
      <c r="E1710" s="115">
        <v>154.94999999999999</v>
      </c>
      <c r="F1710" s="34">
        <v>152.27000000000001</v>
      </c>
      <c r="G1710" s="34">
        <v>154.47</v>
      </c>
      <c r="H1710" s="34">
        <v>154.47</v>
      </c>
      <c r="I1710" s="29">
        <v>48438000</v>
      </c>
      <c r="P1710" s="125"/>
      <c r="Q1710" s="34"/>
      <c r="R1710" s="115"/>
      <c r="S1710" s="34"/>
      <c r="T1710" s="34"/>
      <c r="U1710" s="34"/>
      <c r="V1710" s="29"/>
    </row>
    <row r="1711" spans="3:22">
      <c r="C1711" s="125">
        <v>44267</v>
      </c>
      <c r="D1711" s="34">
        <v>219</v>
      </c>
      <c r="E1711" s="115">
        <v>229.020004</v>
      </c>
      <c r="F1711" s="34">
        <v>218.11999499999999</v>
      </c>
      <c r="G1711" s="34">
        <v>229</v>
      </c>
      <c r="H1711" s="34">
        <v>219.28256200000001</v>
      </c>
      <c r="I1711" s="29">
        <v>4756500</v>
      </c>
      <c r="P1711" s="125"/>
      <c r="Q1711" s="34"/>
      <c r="R1711" s="115"/>
      <c r="S1711" s="34"/>
      <c r="T1711" s="34"/>
      <c r="U1711" s="34"/>
      <c r="V1711" s="29"/>
    </row>
    <row r="1712" spans="3:22">
      <c r="C1712" s="125">
        <v>44266</v>
      </c>
      <c r="D1712" s="34">
        <v>155.19999999999999</v>
      </c>
      <c r="E1712" s="115">
        <v>156.59</v>
      </c>
      <c r="F1712" s="34">
        <v>154.15</v>
      </c>
      <c r="G1712" s="34">
        <v>155.68</v>
      </c>
      <c r="H1712" s="34">
        <v>155.68</v>
      </c>
      <c r="I1712" s="29">
        <v>55528000</v>
      </c>
      <c r="P1712" s="125"/>
      <c r="Q1712" s="34"/>
      <c r="R1712" s="115"/>
      <c r="S1712" s="34"/>
      <c r="T1712" s="34"/>
      <c r="U1712" s="34"/>
      <c r="V1712" s="29"/>
    </row>
    <row r="1713" spans="3:22">
      <c r="C1713" s="125">
        <v>44266</v>
      </c>
      <c r="D1713" s="34">
        <v>223</v>
      </c>
      <c r="E1713" s="115">
        <v>223.60000600000001</v>
      </c>
      <c r="F1713" s="34">
        <v>219.14999399999999</v>
      </c>
      <c r="G1713" s="34">
        <v>219.759995</v>
      </c>
      <c r="H1713" s="34">
        <v>210.43464700000001</v>
      </c>
      <c r="I1713" s="29">
        <v>2960000</v>
      </c>
      <c r="P1713" s="125"/>
      <c r="Q1713" s="34"/>
      <c r="R1713" s="115"/>
      <c r="S1713" s="34"/>
      <c r="T1713" s="34"/>
      <c r="U1713" s="34"/>
      <c r="V1713" s="29"/>
    </row>
    <row r="1714" spans="3:22">
      <c r="C1714" s="125">
        <v>44265</v>
      </c>
      <c r="D1714" s="34">
        <v>154.91999999999999</v>
      </c>
      <c r="E1714" s="115">
        <v>155.82</v>
      </c>
      <c r="F1714" s="34">
        <v>151.5</v>
      </c>
      <c r="G1714" s="34">
        <v>152.88</v>
      </c>
      <c r="H1714" s="34">
        <v>152.88</v>
      </c>
      <c r="I1714" s="29">
        <v>60250000</v>
      </c>
      <c r="P1714" s="125"/>
      <c r="Q1714" s="34"/>
      <c r="R1714" s="115"/>
      <c r="S1714" s="34"/>
      <c r="T1714" s="34"/>
      <c r="U1714" s="34"/>
      <c r="V1714" s="29"/>
    </row>
    <row r="1715" spans="3:22">
      <c r="C1715" s="125">
        <v>44265</v>
      </c>
      <c r="D1715" s="34">
        <v>217.729996</v>
      </c>
      <c r="E1715" s="115">
        <v>222.050003</v>
      </c>
      <c r="F1715" s="34">
        <v>217.19000199999999</v>
      </c>
      <c r="G1715" s="34">
        <v>221.05999800000001</v>
      </c>
      <c r="H1715" s="34">
        <v>211.67948899999999</v>
      </c>
      <c r="I1715" s="29">
        <v>2435800</v>
      </c>
      <c r="P1715" s="125"/>
      <c r="Q1715" s="34"/>
      <c r="R1715" s="115"/>
      <c r="S1715" s="34"/>
      <c r="T1715" s="34"/>
      <c r="U1715" s="34"/>
      <c r="V1715" s="29"/>
    </row>
    <row r="1716" spans="3:22">
      <c r="C1716" s="125">
        <v>44264</v>
      </c>
      <c r="D1716" s="34">
        <v>150.9</v>
      </c>
      <c r="E1716" s="115">
        <v>154.55000000000001</v>
      </c>
      <c r="F1716" s="34">
        <v>150.26</v>
      </c>
      <c r="G1716" s="34">
        <v>153.13999999999999</v>
      </c>
      <c r="H1716" s="34">
        <v>153.13999999999999</v>
      </c>
      <c r="I1716" s="29">
        <v>80600000</v>
      </c>
      <c r="P1716" s="125"/>
      <c r="Q1716" s="34"/>
      <c r="R1716" s="115"/>
      <c r="S1716" s="34"/>
      <c r="T1716" s="34"/>
      <c r="U1716" s="34"/>
      <c r="V1716" s="29"/>
    </row>
    <row r="1717" spans="3:22">
      <c r="C1717" s="125">
        <v>44264</v>
      </c>
      <c r="D1717" s="34">
        <v>221.38000500000001</v>
      </c>
      <c r="E1717" s="115">
        <v>222.33000200000001</v>
      </c>
      <c r="F1717" s="34">
        <v>216.13999899999999</v>
      </c>
      <c r="G1717" s="34">
        <v>216.800003</v>
      </c>
      <c r="H1717" s="34">
        <v>207.600281</v>
      </c>
      <c r="I1717" s="29">
        <v>2902400</v>
      </c>
      <c r="P1717" s="125"/>
      <c r="Q1717" s="34"/>
      <c r="R1717" s="115"/>
      <c r="S1717" s="34"/>
      <c r="T1717" s="34"/>
      <c r="U1717" s="34"/>
      <c r="V1717" s="29"/>
    </row>
    <row r="1718" spans="3:22">
      <c r="C1718" s="125">
        <v>44263</v>
      </c>
      <c r="D1718" s="34">
        <v>150.75</v>
      </c>
      <c r="E1718" s="115">
        <v>153.22999999999999</v>
      </c>
      <c r="F1718" s="34">
        <v>147.57</v>
      </c>
      <c r="G1718" s="34">
        <v>147.6</v>
      </c>
      <c r="H1718" s="34">
        <v>147.6</v>
      </c>
      <c r="I1718" s="29">
        <v>83700000</v>
      </c>
      <c r="P1718" s="125"/>
      <c r="Q1718" s="34"/>
      <c r="R1718" s="115"/>
      <c r="S1718" s="34"/>
      <c r="T1718" s="34"/>
      <c r="U1718" s="34"/>
      <c r="V1718" s="29"/>
    </row>
    <row r="1719" spans="3:22">
      <c r="C1719" s="125">
        <v>44263</v>
      </c>
      <c r="D1719" s="34">
        <v>220.970001</v>
      </c>
      <c r="E1719" s="115">
        <v>224.300003</v>
      </c>
      <c r="F1719" s="34">
        <v>218.21000699999999</v>
      </c>
      <c r="G1719" s="34">
        <v>221.58000200000001</v>
      </c>
      <c r="H1719" s="34">
        <v>212.177414</v>
      </c>
      <c r="I1719" s="29">
        <v>3048700</v>
      </c>
      <c r="P1719" s="125"/>
      <c r="Q1719" s="34"/>
      <c r="R1719" s="115"/>
      <c r="S1719" s="34"/>
      <c r="T1719" s="34"/>
      <c r="U1719" s="34"/>
      <c r="V1719" s="29"/>
    </row>
    <row r="1720" spans="3:22">
      <c r="C1720" s="125">
        <v>44260</v>
      </c>
      <c r="D1720" s="34">
        <v>150.25</v>
      </c>
      <c r="E1720" s="115">
        <v>150.44999999999999</v>
      </c>
      <c r="F1720" s="34">
        <v>144.05000000000001</v>
      </c>
      <c r="G1720" s="34">
        <v>150.02000000000001</v>
      </c>
      <c r="H1720" s="34">
        <v>150.02000000000001</v>
      </c>
      <c r="I1720" s="29">
        <v>107772000</v>
      </c>
      <c r="P1720" s="125"/>
      <c r="Q1720" s="34"/>
      <c r="R1720" s="115"/>
      <c r="S1720" s="34"/>
      <c r="T1720" s="34"/>
      <c r="U1720" s="34"/>
      <c r="V1720" s="29"/>
    </row>
    <row r="1721" spans="3:22">
      <c r="C1721" s="125">
        <v>44260</v>
      </c>
      <c r="D1721" s="34">
        <v>214.33999600000001</v>
      </c>
      <c r="E1721" s="115">
        <v>220.779999</v>
      </c>
      <c r="F1721" s="34">
        <v>211.5</v>
      </c>
      <c r="G1721" s="34">
        <v>220.16000399999999</v>
      </c>
      <c r="H1721" s="34">
        <v>210.817688</v>
      </c>
      <c r="I1721" s="29">
        <v>3602300</v>
      </c>
      <c r="P1721" s="125"/>
      <c r="Q1721" s="34"/>
      <c r="R1721" s="115"/>
      <c r="S1721" s="34"/>
      <c r="T1721" s="34"/>
      <c r="U1721" s="34"/>
      <c r="V1721" s="29"/>
    </row>
    <row r="1722" spans="3:22">
      <c r="C1722" s="125">
        <v>44259</v>
      </c>
      <c r="D1722" s="34">
        <v>150.6</v>
      </c>
      <c r="E1722" s="115">
        <v>152.91</v>
      </c>
      <c r="F1722" s="34">
        <v>147.27000000000001</v>
      </c>
      <c r="G1722" s="34">
        <v>148.88</v>
      </c>
      <c r="H1722" s="34">
        <v>148.88</v>
      </c>
      <c r="I1722" s="29">
        <v>109632000</v>
      </c>
      <c r="P1722" s="125"/>
      <c r="Q1722" s="34"/>
      <c r="R1722" s="115"/>
      <c r="S1722" s="34"/>
      <c r="T1722" s="34"/>
      <c r="U1722" s="34"/>
      <c r="V1722" s="29"/>
    </row>
    <row r="1723" spans="3:22">
      <c r="C1723" s="125">
        <v>44259</v>
      </c>
      <c r="D1723" s="34">
        <v>214.479996</v>
      </c>
      <c r="E1723" s="115">
        <v>216.66999799999999</v>
      </c>
      <c r="F1723" s="34">
        <v>208.470001</v>
      </c>
      <c r="G1723" s="34">
        <v>212.770004</v>
      </c>
      <c r="H1723" s="34">
        <v>203.74125699999999</v>
      </c>
      <c r="I1723" s="29">
        <v>3568400</v>
      </c>
      <c r="P1723" s="125"/>
      <c r="Q1723" s="34"/>
      <c r="R1723" s="115"/>
      <c r="S1723" s="34"/>
      <c r="T1723" s="34"/>
      <c r="U1723" s="34"/>
      <c r="V1723" s="29"/>
    </row>
    <row r="1724" spans="3:22">
      <c r="C1724" s="125">
        <v>44258</v>
      </c>
      <c r="D1724" s="34">
        <v>154.06</v>
      </c>
      <c r="E1724" s="115">
        <v>155.38999999999999</v>
      </c>
      <c r="F1724" s="34">
        <v>149.75</v>
      </c>
      <c r="G1724" s="34">
        <v>150.25</v>
      </c>
      <c r="H1724" s="34">
        <v>150.25</v>
      </c>
      <c r="I1724" s="29">
        <v>79774000</v>
      </c>
      <c r="P1724" s="125"/>
      <c r="Q1724" s="34"/>
      <c r="R1724" s="115"/>
      <c r="S1724" s="34"/>
      <c r="T1724" s="34"/>
      <c r="U1724" s="34"/>
      <c r="V1724" s="29"/>
    </row>
    <row r="1725" spans="3:22">
      <c r="C1725" s="125">
        <v>44258</v>
      </c>
      <c r="D1725" s="34">
        <v>212.13999899999999</v>
      </c>
      <c r="E1725" s="115">
        <v>217.550003</v>
      </c>
      <c r="F1725" s="34">
        <v>212.009995</v>
      </c>
      <c r="G1725" s="34">
        <v>214.91000399999999</v>
      </c>
      <c r="H1725" s="34">
        <v>205.79045099999999</v>
      </c>
      <c r="I1725" s="29">
        <v>2664000</v>
      </c>
      <c r="P1725" s="125"/>
      <c r="Q1725" s="34"/>
      <c r="R1725" s="115"/>
      <c r="S1725" s="34"/>
      <c r="T1725" s="34"/>
      <c r="U1725" s="34"/>
      <c r="V1725" s="29"/>
    </row>
    <row r="1726" spans="3:22">
      <c r="C1726" s="125">
        <v>44257</v>
      </c>
      <c r="D1726" s="34">
        <v>157.16999999999999</v>
      </c>
      <c r="E1726" s="115">
        <v>158.18</v>
      </c>
      <c r="F1726" s="34">
        <v>154.36000000000001</v>
      </c>
      <c r="G1726" s="34">
        <v>154.72999999999999</v>
      </c>
      <c r="H1726" s="34">
        <v>154.72999999999999</v>
      </c>
      <c r="I1726" s="29">
        <v>51916000</v>
      </c>
      <c r="P1726" s="125"/>
      <c r="Q1726" s="34"/>
      <c r="R1726" s="115"/>
      <c r="S1726" s="34"/>
      <c r="T1726" s="34"/>
      <c r="U1726" s="34"/>
      <c r="V1726" s="29"/>
    </row>
    <row r="1727" spans="3:22">
      <c r="C1727" s="125">
        <v>44257</v>
      </c>
      <c r="D1727" s="34">
        <v>218.69000199999999</v>
      </c>
      <c r="E1727" s="115">
        <v>219.33999600000001</v>
      </c>
      <c r="F1727" s="34">
        <v>215.009995</v>
      </c>
      <c r="G1727" s="34">
        <v>215.820007</v>
      </c>
      <c r="H1727" s="34">
        <v>206.66184999999999</v>
      </c>
      <c r="I1727" s="29">
        <v>2854300</v>
      </c>
      <c r="P1727" s="125"/>
      <c r="Q1727" s="34"/>
      <c r="R1727" s="115"/>
      <c r="S1727" s="34"/>
      <c r="T1727" s="34"/>
      <c r="U1727" s="34"/>
      <c r="V1727" s="29"/>
    </row>
    <row r="1728" spans="3:22">
      <c r="C1728" s="125">
        <v>44256</v>
      </c>
      <c r="D1728" s="34">
        <v>156.38999999999999</v>
      </c>
      <c r="E1728" s="115">
        <v>157.47999999999999</v>
      </c>
      <c r="F1728" s="34">
        <v>154.9</v>
      </c>
      <c r="G1728" s="34">
        <v>157.31</v>
      </c>
      <c r="H1728" s="34">
        <v>157.31</v>
      </c>
      <c r="I1728" s="29">
        <v>54582000</v>
      </c>
      <c r="P1728" s="125"/>
      <c r="Q1728" s="34"/>
      <c r="R1728" s="115"/>
      <c r="S1728" s="34"/>
      <c r="T1728" s="34"/>
      <c r="U1728" s="34"/>
      <c r="V1728" s="29"/>
    </row>
    <row r="1729" spans="3:22">
      <c r="C1729" s="125">
        <v>44256</v>
      </c>
      <c r="D1729" s="34">
        <v>219.30999800000001</v>
      </c>
      <c r="E1729" s="115">
        <v>222.58000200000001</v>
      </c>
      <c r="F1729" s="34">
        <v>218.89999399999999</v>
      </c>
      <c r="G1729" s="34">
        <v>219.759995</v>
      </c>
      <c r="H1729" s="34">
        <v>210.43464700000001</v>
      </c>
      <c r="I1729" s="29">
        <v>2871200</v>
      </c>
      <c r="P1729" s="125"/>
      <c r="Q1729" s="34"/>
      <c r="R1729" s="115"/>
      <c r="S1729" s="34"/>
      <c r="T1729" s="34"/>
      <c r="U1729" s="34"/>
      <c r="V1729" s="29"/>
    </row>
    <row r="1730" spans="3:22">
      <c r="C1730" s="125">
        <v>44253</v>
      </c>
      <c r="D1730" s="34">
        <v>154.76</v>
      </c>
      <c r="E1730" s="115">
        <v>156.12</v>
      </c>
      <c r="F1730" s="34">
        <v>151.84</v>
      </c>
      <c r="G1730" s="34">
        <v>154.65</v>
      </c>
      <c r="H1730" s="34">
        <v>154.65</v>
      </c>
      <c r="I1730" s="29">
        <v>85518000</v>
      </c>
      <c r="P1730" s="125"/>
      <c r="Q1730" s="34"/>
      <c r="R1730" s="115"/>
      <c r="S1730" s="34"/>
      <c r="T1730" s="34"/>
      <c r="U1730" s="34"/>
      <c r="V1730" s="29"/>
    </row>
    <row r="1731" spans="3:22">
      <c r="C1731" s="125">
        <v>44253</v>
      </c>
      <c r="D1731" s="34">
        <v>220.75</v>
      </c>
      <c r="E1731" s="115">
        <v>222.39999399999999</v>
      </c>
      <c r="F1731" s="34">
        <v>215.820007</v>
      </c>
      <c r="G1731" s="34">
        <v>215.88000500000001</v>
      </c>
      <c r="H1731" s="34">
        <v>206.71928399999999</v>
      </c>
      <c r="I1731" s="29">
        <v>4461300</v>
      </c>
      <c r="P1731" s="125"/>
      <c r="Q1731" s="34"/>
      <c r="R1731" s="115"/>
      <c r="S1731" s="34"/>
      <c r="T1731" s="34"/>
      <c r="U1731" s="34"/>
      <c r="V1731" s="29"/>
    </row>
    <row r="1732" spans="3:22">
      <c r="C1732" s="125">
        <v>44252</v>
      </c>
      <c r="D1732" s="34">
        <v>156.84</v>
      </c>
      <c r="E1732" s="115">
        <v>158.91</v>
      </c>
      <c r="F1732" s="34">
        <v>152.38999999999999</v>
      </c>
      <c r="G1732" s="34">
        <v>152.86000000000001</v>
      </c>
      <c r="H1732" s="34">
        <v>152.86000000000001</v>
      </c>
      <c r="I1732" s="29">
        <v>90676000</v>
      </c>
      <c r="P1732" s="125"/>
      <c r="Q1732" s="34"/>
      <c r="R1732" s="115"/>
      <c r="S1732" s="34"/>
      <c r="T1732" s="34"/>
      <c r="U1732" s="34"/>
      <c r="V1732" s="29"/>
    </row>
    <row r="1733" spans="3:22">
      <c r="C1733" s="125">
        <v>44252</v>
      </c>
      <c r="D1733" s="34">
        <v>223.61999499999999</v>
      </c>
      <c r="E1733" s="115">
        <v>224.39999399999999</v>
      </c>
      <c r="F1733" s="34">
        <v>219.720001</v>
      </c>
      <c r="G1733" s="34">
        <v>221.820007</v>
      </c>
      <c r="H1733" s="34">
        <v>212.407242</v>
      </c>
      <c r="I1733" s="29">
        <v>4313000</v>
      </c>
      <c r="P1733" s="125"/>
      <c r="Q1733" s="34"/>
      <c r="R1733" s="115"/>
      <c r="S1733" s="34"/>
      <c r="T1733" s="34"/>
      <c r="U1733" s="34"/>
      <c r="V1733" s="29"/>
    </row>
    <row r="1734" spans="3:22">
      <c r="C1734" s="125">
        <v>44251</v>
      </c>
      <c r="D1734" s="34">
        <v>158.34</v>
      </c>
      <c r="E1734" s="115">
        <v>158.56</v>
      </c>
      <c r="F1734" s="34">
        <v>156.27000000000001</v>
      </c>
      <c r="G1734" s="34">
        <v>157.97999999999999</v>
      </c>
      <c r="H1734" s="34">
        <v>157.97999999999999</v>
      </c>
      <c r="I1734" s="29">
        <v>60226000</v>
      </c>
      <c r="P1734" s="125"/>
      <c r="Q1734" s="34"/>
      <c r="R1734" s="115"/>
      <c r="S1734" s="34"/>
      <c r="T1734" s="34"/>
      <c r="U1734" s="34"/>
      <c r="V1734" s="29"/>
    </row>
    <row r="1735" spans="3:22">
      <c r="C1735" s="125">
        <v>44251</v>
      </c>
      <c r="D1735" s="34">
        <v>220.41000399999999</v>
      </c>
      <c r="E1735" s="115">
        <v>226.66999799999999</v>
      </c>
      <c r="F1735" s="34">
        <v>219.88000500000001</v>
      </c>
      <c r="G1735" s="34">
        <v>222.470001</v>
      </c>
      <c r="H1735" s="34">
        <v>213.029663</v>
      </c>
      <c r="I1735" s="29">
        <v>4925000</v>
      </c>
      <c r="P1735" s="125"/>
      <c r="Q1735" s="34"/>
      <c r="R1735" s="115"/>
      <c r="S1735" s="34"/>
      <c r="T1735" s="34"/>
      <c r="U1735" s="34"/>
      <c r="V1735" s="29"/>
    </row>
    <row r="1736" spans="3:22">
      <c r="C1736" s="125">
        <v>44250</v>
      </c>
      <c r="D1736" s="34">
        <v>156.35</v>
      </c>
      <c r="E1736" s="115">
        <v>160.24</v>
      </c>
      <c r="F1736" s="34">
        <v>154.68</v>
      </c>
      <c r="G1736" s="34">
        <v>159.72999999999999</v>
      </c>
      <c r="H1736" s="34">
        <v>159.72999999999999</v>
      </c>
      <c r="I1736" s="29">
        <v>93544000</v>
      </c>
      <c r="P1736" s="125"/>
      <c r="Q1736" s="34"/>
      <c r="R1736" s="115"/>
      <c r="S1736" s="34"/>
      <c r="T1736" s="34"/>
      <c r="U1736" s="34"/>
      <c r="V1736" s="29"/>
    </row>
    <row r="1737" spans="3:22">
      <c r="C1737" s="125">
        <v>44250</v>
      </c>
      <c r="D1737" s="34">
        <v>219.529999</v>
      </c>
      <c r="E1737" s="115">
        <v>220.740005</v>
      </c>
      <c r="F1737" s="34">
        <v>213.279999</v>
      </c>
      <c r="G1737" s="34">
        <v>220.179993</v>
      </c>
      <c r="H1737" s="34">
        <v>210.836792</v>
      </c>
      <c r="I1737" s="29">
        <v>4125100</v>
      </c>
      <c r="P1737" s="125"/>
      <c r="Q1737" s="34"/>
      <c r="R1737" s="115"/>
      <c r="S1737" s="34"/>
      <c r="T1737" s="34"/>
      <c r="U1737" s="34"/>
      <c r="V1737" s="29"/>
    </row>
    <row r="1738" spans="3:22">
      <c r="C1738" s="125">
        <v>44249</v>
      </c>
      <c r="D1738" s="34">
        <v>160.41</v>
      </c>
      <c r="E1738" s="115">
        <v>161.62</v>
      </c>
      <c r="F1738" s="34">
        <v>158.61000000000001</v>
      </c>
      <c r="G1738" s="34">
        <v>159.04</v>
      </c>
      <c r="H1738" s="34">
        <v>159.04</v>
      </c>
      <c r="I1738" s="29">
        <v>70314000</v>
      </c>
      <c r="P1738" s="125"/>
      <c r="Q1738" s="34"/>
      <c r="R1738" s="115"/>
      <c r="S1738" s="34"/>
      <c r="T1738" s="34"/>
      <c r="U1738" s="34"/>
      <c r="V1738" s="29"/>
    </row>
    <row r="1739" spans="3:22">
      <c r="C1739" s="125">
        <v>44249</v>
      </c>
      <c r="D1739" s="34">
        <v>209.63000500000001</v>
      </c>
      <c r="E1739" s="115">
        <v>218.86999499999999</v>
      </c>
      <c r="F1739" s="34">
        <v>209.33999600000001</v>
      </c>
      <c r="G1739" s="34">
        <v>218.05999800000001</v>
      </c>
      <c r="H1739" s="34">
        <v>208.806793</v>
      </c>
      <c r="I1739" s="29">
        <v>4578300</v>
      </c>
      <c r="P1739" s="125"/>
      <c r="Q1739" s="34"/>
      <c r="R1739" s="115"/>
      <c r="S1739" s="34"/>
      <c r="T1739" s="34"/>
      <c r="U1739" s="34"/>
      <c r="V1739" s="29"/>
    </row>
    <row r="1740" spans="3:22">
      <c r="C1740" s="125">
        <v>44246</v>
      </c>
      <c r="D1740" s="34">
        <v>166.41</v>
      </c>
      <c r="E1740" s="115">
        <v>166.68</v>
      </c>
      <c r="F1740" s="34">
        <v>162.29</v>
      </c>
      <c r="G1740" s="34">
        <v>162.49</v>
      </c>
      <c r="H1740" s="34">
        <v>162.49</v>
      </c>
      <c r="I1740" s="29">
        <v>86104000</v>
      </c>
      <c r="P1740" s="125"/>
      <c r="Q1740" s="34"/>
      <c r="R1740" s="115"/>
      <c r="S1740" s="34"/>
      <c r="T1740" s="34"/>
      <c r="U1740" s="34"/>
      <c r="V1740" s="29"/>
    </row>
    <row r="1741" spans="3:22">
      <c r="C1741" s="125">
        <v>44246</v>
      </c>
      <c r="D1741" s="34">
        <v>203.25</v>
      </c>
      <c r="E1741" s="115">
        <v>211.46000699999999</v>
      </c>
      <c r="F1741" s="34">
        <v>202.699997</v>
      </c>
      <c r="G1741" s="34">
        <v>209.91000399999999</v>
      </c>
      <c r="H1741" s="34">
        <v>201.00264000000001</v>
      </c>
      <c r="I1741" s="29">
        <v>4937300</v>
      </c>
      <c r="P1741" s="125"/>
      <c r="Q1741" s="34"/>
      <c r="R1741" s="115"/>
      <c r="S1741" s="34"/>
      <c r="T1741" s="34"/>
      <c r="U1741" s="34"/>
      <c r="V1741" s="29"/>
    </row>
    <row r="1742" spans="3:22">
      <c r="C1742" s="125">
        <v>44245</v>
      </c>
      <c r="D1742" s="34">
        <v>164.12</v>
      </c>
      <c r="E1742" s="115">
        <v>166.9</v>
      </c>
      <c r="F1742" s="34">
        <v>163.69999999999999</v>
      </c>
      <c r="G1742" s="34">
        <v>166.41</v>
      </c>
      <c r="H1742" s="34">
        <v>166.41</v>
      </c>
      <c r="I1742" s="29">
        <v>60548000</v>
      </c>
      <c r="P1742" s="125"/>
      <c r="Q1742" s="34"/>
      <c r="R1742" s="115"/>
      <c r="S1742" s="34"/>
      <c r="T1742" s="34"/>
      <c r="U1742" s="34"/>
      <c r="V1742" s="29"/>
    </row>
    <row r="1743" spans="3:22">
      <c r="C1743" s="125">
        <v>44245</v>
      </c>
      <c r="D1743" s="34">
        <v>201.550003</v>
      </c>
      <c r="E1743" s="115">
        <v>202.88000500000001</v>
      </c>
      <c r="F1743" s="34">
        <v>198.58000200000001</v>
      </c>
      <c r="G1743" s="34">
        <v>199.91999799999999</v>
      </c>
      <c r="H1743" s="34">
        <v>191.43653900000001</v>
      </c>
      <c r="I1743" s="29">
        <v>2345800</v>
      </c>
      <c r="P1743" s="125"/>
      <c r="Q1743" s="34"/>
      <c r="R1743" s="115"/>
      <c r="S1743" s="34"/>
      <c r="T1743" s="34"/>
      <c r="U1743" s="34"/>
      <c r="V1743" s="29"/>
    </row>
    <row r="1744" spans="3:22">
      <c r="C1744" s="125">
        <v>44244</v>
      </c>
      <c r="D1744" s="34">
        <v>163.18</v>
      </c>
      <c r="E1744" s="115">
        <v>166.05</v>
      </c>
      <c r="F1744" s="34">
        <v>162.97999999999999</v>
      </c>
      <c r="G1744" s="34">
        <v>165.43</v>
      </c>
      <c r="H1744" s="34">
        <v>165.43</v>
      </c>
      <c r="I1744" s="29">
        <v>65950000</v>
      </c>
      <c r="P1744" s="125"/>
      <c r="Q1744" s="34"/>
      <c r="R1744" s="115"/>
      <c r="S1744" s="34"/>
      <c r="T1744" s="34"/>
      <c r="U1744" s="34"/>
      <c r="V1744" s="29"/>
    </row>
    <row r="1745" spans="3:22">
      <c r="C1745" s="125">
        <v>44244</v>
      </c>
      <c r="D1745" s="34">
        <v>202.38999899999999</v>
      </c>
      <c r="E1745" s="115">
        <v>202.89999399999999</v>
      </c>
      <c r="F1745" s="34">
        <v>199.78999300000001</v>
      </c>
      <c r="G1745" s="34">
        <v>202.300003</v>
      </c>
      <c r="H1745" s="34">
        <v>193.71554599999999</v>
      </c>
      <c r="I1745" s="29">
        <v>2290400</v>
      </c>
      <c r="P1745" s="125"/>
      <c r="Q1745" s="34"/>
      <c r="R1745" s="115"/>
      <c r="S1745" s="34"/>
      <c r="T1745" s="34"/>
      <c r="U1745" s="34"/>
      <c r="V1745" s="29"/>
    </row>
    <row r="1746" spans="3:22">
      <c r="C1746" s="125">
        <v>44243</v>
      </c>
      <c r="D1746" s="34">
        <v>162.69999999999999</v>
      </c>
      <c r="E1746" s="115">
        <v>165.41</v>
      </c>
      <c r="F1746" s="34">
        <v>162.68</v>
      </c>
      <c r="G1746" s="34">
        <v>163.44999999999999</v>
      </c>
      <c r="H1746" s="34">
        <v>163.44999999999999</v>
      </c>
      <c r="I1746" s="29">
        <v>51494000</v>
      </c>
      <c r="P1746" s="125"/>
      <c r="Q1746" s="34"/>
      <c r="R1746" s="115"/>
      <c r="S1746" s="34"/>
      <c r="T1746" s="34"/>
      <c r="U1746" s="34"/>
      <c r="V1746" s="29"/>
    </row>
    <row r="1747" spans="3:22">
      <c r="C1747" s="125">
        <v>44243</v>
      </c>
      <c r="D1747" s="34">
        <v>199.75</v>
      </c>
      <c r="E1747" s="115">
        <v>205.179993</v>
      </c>
      <c r="F1747" s="34">
        <v>199.240005</v>
      </c>
      <c r="G1747" s="34">
        <v>202.38000500000001</v>
      </c>
      <c r="H1747" s="34">
        <v>193.79217499999999</v>
      </c>
      <c r="I1747" s="29">
        <v>3722700</v>
      </c>
      <c r="P1747" s="125"/>
      <c r="Q1747" s="34"/>
      <c r="R1747" s="115"/>
      <c r="S1747" s="34"/>
      <c r="T1747" s="34"/>
      <c r="U1747" s="34"/>
      <c r="V1747" s="29"/>
    </row>
    <row r="1748" spans="3:22">
      <c r="C1748" s="125">
        <v>44239</v>
      </c>
      <c r="D1748" s="34">
        <v>162.5</v>
      </c>
      <c r="E1748" s="115">
        <v>164.01</v>
      </c>
      <c r="F1748" s="34">
        <v>161.66999999999999</v>
      </c>
      <c r="G1748" s="34">
        <v>163.89</v>
      </c>
      <c r="H1748" s="34">
        <v>163.89</v>
      </c>
      <c r="I1748" s="29">
        <v>46706000</v>
      </c>
      <c r="P1748" s="125"/>
      <c r="Q1748" s="34"/>
      <c r="R1748" s="115"/>
      <c r="S1748" s="34"/>
      <c r="T1748" s="34"/>
      <c r="U1748" s="34"/>
      <c r="V1748" s="29"/>
    </row>
    <row r="1749" spans="3:22">
      <c r="C1749" s="125">
        <v>44239</v>
      </c>
      <c r="D1749" s="34">
        <v>197.979996</v>
      </c>
      <c r="E1749" s="115">
        <v>198.759995</v>
      </c>
      <c r="F1749" s="34">
        <v>196.759995</v>
      </c>
      <c r="G1749" s="34">
        <v>197.990005</v>
      </c>
      <c r="H1749" s="34">
        <v>189.58843999999999</v>
      </c>
      <c r="I1749" s="29">
        <v>1804200</v>
      </c>
      <c r="P1749" s="125"/>
      <c r="Q1749" s="34"/>
      <c r="R1749" s="115"/>
      <c r="S1749" s="34"/>
      <c r="T1749" s="34"/>
      <c r="U1749" s="34"/>
      <c r="V1749" s="29"/>
    </row>
    <row r="1750" spans="3:22">
      <c r="C1750" s="125">
        <v>44238</v>
      </c>
      <c r="D1750" s="34">
        <v>164.6</v>
      </c>
      <c r="E1750" s="115">
        <v>164.6</v>
      </c>
      <c r="F1750" s="34">
        <v>162.4</v>
      </c>
      <c r="G1750" s="34">
        <v>163.11000000000001</v>
      </c>
      <c r="H1750" s="34">
        <v>163.11000000000001</v>
      </c>
      <c r="I1750" s="29">
        <v>46028000</v>
      </c>
      <c r="P1750" s="125"/>
      <c r="Q1750" s="34"/>
      <c r="R1750" s="115"/>
      <c r="S1750" s="34"/>
      <c r="T1750" s="34"/>
      <c r="U1750" s="34"/>
      <c r="V1750" s="29"/>
    </row>
    <row r="1751" spans="3:22">
      <c r="C1751" s="125">
        <v>44238</v>
      </c>
      <c r="D1751" s="34">
        <v>197.58999600000001</v>
      </c>
      <c r="E1751" s="115">
        <v>198.41999799999999</v>
      </c>
      <c r="F1751" s="34">
        <v>194.38999899999999</v>
      </c>
      <c r="G1751" s="34">
        <v>198.35000600000001</v>
      </c>
      <c r="H1751" s="34">
        <v>189.933167</v>
      </c>
      <c r="I1751" s="29">
        <v>2178200</v>
      </c>
      <c r="P1751" s="125"/>
      <c r="Q1751" s="34"/>
      <c r="R1751" s="115"/>
      <c r="S1751" s="34"/>
      <c r="T1751" s="34"/>
      <c r="U1751" s="34"/>
      <c r="V1751" s="29"/>
    </row>
    <row r="1752" spans="3:22">
      <c r="C1752" s="125">
        <v>44237</v>
      </c>
      <c r="D1752" s="34">
        <v>165.7</v>
      </c>
      <c r="E1752" s="115">
        <v>165.9</v>
      </c>
      <c r="F1752" s="34">
        <v>162.69999999999999</v>
      </c>
      <c r="G1752" s="34">
        <v>164.33</v>
      </c>
      <c r="H1752" s="34">
        <v>164.33</v>
      </c>
      <c r="I1752" s="29">
        <v>63032000</v>
      </c>
      <c r="P1752" s="125"/>
      <c r="Q1752" s="34"/>
      <c r="R1752" s="115"/>
      <c r="S1752" s="34"/>
      <c r="T1752" s="34"/>
      <c r="U1752" s="34"/>
      <c r="V1752" s="29"/>
    </row>
    <row r="1753" spans="3:22">
      <c r="C1753" s="125">
        <v>44237</v>
      </c>
      <c r="D1753" s="34">
        <v>198.5</v>
      </c>
      <c r="E1753" s="115">
        <v>199.71000699999999</v>
      </c>
      <c r="F1753" s="34">
        <v>196.259995</v>
      </c>
      <c r="G1753" s="34">
        <v>197.720001</v>
      </c>
      <c r="H1753" s="34">
        <v>189.329926</v>
      </c>
      <c r="I1753" s="29">
        <v>2816400</v>
      </c>
      <c r="P1753" s="125"/>
      <c r="Q1753" s="34"/>
      <c r="R1753" s="115"/>
      <c r="S1753" s="34"/>
      <c r="T1753" s="34"/>
      <c r="U1753" s="34"/>
      <c r="V1753" s="29"/>
    </row>
    <row r="1754" spans="3:22">
      <c r="C1754" s="125">
        <v>44236</v>
      </c>
      <c r="D1754" s="34">
        <v>165.62</v>
      </c>
      <c r="E1754" s="115">
        <v>166.9</v>
      </c>
      <c r="F1754" s="34">
        <v>164.89</v>
      </c>
      <c r="G1754" s="34">
        <v>165.25</v>
      </c>
      <c r="H1754" s="34">
        <v>165.25</v>
      </c>
      <c r="I1754" s="29">
        <v>44070000</v>
      </c>
      <c r="P1754" s="125"/>
      <c r="Q1754" s="34"/>
      <c r="R1754" s="115"/>
      <c r="S1754" s="34"/>
      <c r="T1754" s="34"/>
      <c r="U1754" s="34"/>
      <c r="V1754" s="29"/>
    </row>
    <row r="1755" spans="3:22">
      <c r="C1755" s="125">
        <v>44236</v>
      </c>
      <c r="D1755" s="34">
        <v>197.53999300000001</v>
      </c>
      <c r="E1755" s="115">
        <v>198.66000399999999</v>
      </c>
      <c r="F1755" s="34">
        <v>194.88999899999999</v>
      </c>
      <c r="G1755" s="34">
        <v>197.279999</v>
      </c>
      <c r="H1755" s="34">
        <v>188.90855400000001</v>
      </c>
      <c r="I1755" s="29">
        <v>2331600</v>
      </c>
      <c r="P1755" s="125"/>
      <c r="Q1755" s="34"/>
      <c r="R1755" s="115"/>
      <c r="S1755" s="34"/>
      <c r="T1755" s="34"/>
      <c r="U1755" s="34"/>
      <c r="V1755" s="29"/>
    </row>
    <row r="1756" spans="3:22">
      <c r="C1756" s="125">
        <v>44235</v>
      </c>
      <c r="D1756" s="34">
        <v>167.93</v>
      </c>
      <c r="E1756" s="115">
        <v>168.25</v>
      </c>
      <c r="F1756" s="34">
        <v>165.2</v>
      </c>
      <c r="G1756" s="34">
        <v>166.15</v>
      </c>
      <c r="H1756" s="34">
        <v>166.15</v>
      </c>
      <c r="I1756" s="29">
        <v>65148000</v>
      </c>
      <c r="P1756" s="125"/>
      <c r="Q1756" s="34"/>
      <c r="R1756" s="115"/>
      <c r="S1756" s="34"/>
      <c r="T1756" s="34"/>
      <c r="U1756" s="34"/>
      <c r="V1756" s="29"/>
    </row>
    <row r="1757" spans="3:22">
      <c r="C1757" s="125">
        <v>44235</v>
      </c>
      <c r="D1757" s="34">
        <v>195</v>
      </c>
      <c r="E1757" s="115">
        <v>197.53999300000001</v>
      </c>
      <c r="F1757" s="34">
        <v>194.66999799999999</v>
      </c>
      <c r="G1757" s="34">
        <v>197.449997</v>
      </c>
      <c r="H1757" s="34">
        <v>189.07135</v>
      </c>
      <c r="I1757" s="29">
        <v>2725700</v>
      </c>
      <c r="P1757" s="125"/>
      <c r="Q1757" s="34"/>
      <c r="R1757" s="115"/>
      <c r="S1757" s="34"/>
      <c r="T1757" s="34"/>
      <c r="U1757" s="34"/>
      <c r="V1757" s="29"/>
    </row>
    <row r="1758" spans="3:22">
      <c r="C1758" s="125">
        <v>44232</v>
      </c>
      <c r="D1758" s="34">
        <v>165.95</v>
      </c>
      <c r="E1758" s="115">
        <v>168.85</v>
      </c>
      <c r="F1758" s="34">
        <v>165.14</v>
      </c>
      <c r="G1758" s="34">
        <v>167.61</v>
      </c>
      <c r="H1758" s="34">
        <v>167.61</v>
      </c>
      <c r="I1758" s="29">
        <v>72416000</v>
      </c>
      <c r="P1758" s="125"/>
      <c r="Q1758" s="34"/>
      <c r="R1758" s="115"/>
      <c r="S1758" s="34"/>
      <c r="T1758" s="34"/>
      <c r="U1758" s="34"/>
      <c r="V1758" s="29"/>
    </row>
    <row r="1759" spans="3:22">
      <c r="C1759" s="125">
        <v>44232</v>
      </c>
      <c r="D1759" s="34">
        <v>192.520004</v>
      </c>
      <c r="E1759" s="115">
        <v>194.33000200000001</v>
      </c>
      <c r="F1759" s="34">
        <v>190.009995</v>
      </c>
      <c r="G1759" s="34">
        <v>193</v>
      </c>
      <c r="H1759" s="34">
        <v>184.810181</v>
      </c>
      <c r="I1759" s="29">
        <v>2240000</v>
      </c>
      <c r="P1759" s="125"/>
      <c r="Q1759" s="34"/>
      <c r="R1759" s="115"/>
      <c r="S1759" s="34"/>
      <c r="T1759" s="34"/>
      <c r="U1759" s="34"/>
      <c r="V1759" s="29"/>
    </row>
    <row r="1760" spans="3:22">
      <c r="C1760" s="125">
        <v>44231</v>
      </c>
      <c r="D1760" s="34">
        <v>166.5</v>
      </c>
      <c r="E1760" s="115">
        <v>167.35</v>
      </c>
      <c r="F1760" s="34">
        <v>163.89</v>
      </c>
      <c r="G1760" s="34">
        <v>166.55</v>
      </c>
      <c r="H1760" s="34">
        <v>166.55</v>
      </c>
      <c r="I1760" s="29">
        <v>73414000</v>
      </c>
      <c r="P1760" s="125"/>
      <c r="Q1760" s="34"/>
      <c r="R1760" s="115"/>
      <c r="S1760" s="34"/>
      <c r="T1760" s="34"/>
      <c r="U1760" s="34"/>
      <c r="V1760" s="29"/>
    </row>
    <row r="1761" spans="3:22">
      <c r="C1761" s="125">
        <v>44231</v>
      </c>
      <c r="D1761" s="34">
        <v>192</v>
      </c>
      <c r="E1761" s="115">
        <v>192.61000100000001</v>
      </c>
      <c r="F1761" s="34">
        <v>190.199997</v>
      </c>
      <c r="G1761" s="34">
        <v>191.64999399999999</v>
      </c>
      <c r="H1761" s="34">
        <v>183.517471</v>
      </c>
      <c r="I1761" s="29">
        <v>2253800</v>
      </c>
      <c r="P1761" s="125"/>
      <c r="Q1761" s="34"/>
      <c r="R1761" s="115"/>
      <c r="S1761" s="34"/>
      <c r="T1761" s="34"/>
      <c r="U1761" s="34"/>
      <c r="V1761" s="29"/>
    </row>
    <row r="1762" spans="3:22">
      <c r="C1762" s="125">
        <v>44230</v>
      </c>
      <c r="D1762" s="34">
        <v>171.25</v>
      </c>
      <c r="E1762" s="115">
        <v>171.7</v>
      </c>
      <c r="F1762" s="34">
        <v>165.43</v>
      </c>
      <c r="G1762" s="34">
        <v>165.63</v>
      </c>
      <c r="H1762" s="34">
        <v>165.63</v>
      </c>
      <c r="I1762" s="29">
        <v>141776000</v>
      </c>
      <c r="P1762" s="125"/>
      <c r="Q1762" s="34"/>
      <c r="R1762" s="115"/>
      <c r="S1762" s="34"/>
      <c r="T1762" s="34"/>
      <c r="U1762" s="34"/>
      <c r="V1762" s="29"/>
    </row>
    <row r="1763" spans="3:22">
      <c r="C1763" s="125">
        <v>44230</v>
      </c>
      <c r="D1763" s="34">
        <v>190.91000399999999</v>
      </c>
      <c r="E1763" s="115">
        <v>191.529999</v>
      </c>
      <c r="F1763" s="34">
        <v>189.05999800000001</v>
      </c>
      <c r="G1763" s="34">
        <v>191.449997</v>
      </c>
      <c r="H1763" s="34">
        <v>183.325974</v>
      </c>
      <c r="I1763" s="29">
        <v>2979000</v>
      </c>
      <c r="P1763" s="125"/>
      <c r="Q1763" s="34"/>
      <c r="R1763" s="115"/>
      <c r="S1763" s="34"/>
      <c r="T1763" s="34"/>
      <c r="U1763" s="34"/>
      <c r="V1763" s="29"/>
    </row>
    <row r="1764" spans="3:22">
      <c r="C1764" s="125">
        <v>44229</v>
      </c>
      <c r="D1764" s="34">
        <v>169</v>
      </c>
      <c r="E1764" s="115">
        <v>171.39</v>
      </c>
      <c r="F1764" s="34">
        <v>168.06</v>
      </c>
      <c r="G1764" s="34">
        <v>169</v>
      </c>
      <c r="H1764" s="34">
        <v>169</v>
      </c>
      <c r="I1764" s="29">
        <v>141972000</v>
      </c>
      <c r="P1764" s="125"/>
      <c r="Q1764" s="34"/>
      <c r="R1764" s="115"/>
      <c r="S1764" s="34"/>
      <c r="T1764" s="34"/>
      <c r="U1764" s="34"/>
      <c r="V1764" s="29"/>
    </row>
    <row r="1765" spans="3:22">
      <c r="C1765" s="125">
        <v>44229</v>
      </c>
      <c r="D1765" s="34">
        <v>186.5</v>
      </c>
      <c r="E1765" s="115">
        <v>192.779999</v>
      </c>
      <c r="F1765" s="34">
        <v>185.63999899999999</v>
      </c>
      <c r="G1765" s="34">
        <v>192.5</v>
      </c>
      <c r="H1765" s="34">
        <v>184.33140599999999</v>
      </c>
      <c r="I1765" s="29">
        <v>5265400</v>
      </c>
      <c r="P1765" s="125"/>
      <c r="Q1765" s="34"/>
      <c r="R1765" s="115"/>
      <c r="S1765" s="34"/>
      <c r="T1765" s="34"/>
      <c r="U1765" s="34"/>
      <c r="V1765" s="29"/>
    </row>
    <row r="1766" spans="3:22">
      <c r="C1766" s="125">
        <v>44228</v>
      </c>
      <c r="D1766" s="34">
        <v>162.12</v>
      </c>
      <c r="E1766" s="115">
        <v>167.51</v>
      </c>
      <c r="F1766" s="34">
        <v>161.75</v>
      </c>
      <c r="G1766" s="34">
        <v>167.14</v>
      </c>
      <c r="H1766" s="34">
        <v>167.14</v>
      </c>
      <c r="I1766" s="29">
        <v>83204000</v>
      </c>
      <c r="P1766" s="125"/>
      <c r="Q1766" s="34"/>
      <c r="R1766" s="115"/>
      <c r="S1766" s="34"/>
      <c r="T1766" s="34"/>
      <c r="U1766" s="34"/>
      <c r="V1766" s="29"/>
    </row>
    <row r="1767" spans="3:22">
      <c r="C1767" s="125">
        <v>44228</v>
      </c>
      <c r="D1767" s="34">
        <v>185.96000699999999</v>
      </c>
      <c r="E1767" s="115">
        <v>186.800003</v>
      </c>
      <c r="F1767" s="34">
        <v>182.020004</v>
      </c>
      <c r="G1767" s="34">
        <v>184.720001</v>
      </c>
      <c r="H1767" s="34">
        <v>176.881531</v>
      </c>
      <c r="I1767" s="29">
        <v>2738200</v>
      </c>
      <c r="P1767" s="125"/>
      <c r="Q1767" s="34"/>
      <c r="R1767" s="115"/>
      <c r="S1767" s="34"/>
      <c r="T1767" s="34"/>
      <c r="U1767" s="34"/>
      <c r="V1767" s="29"/>
    </row>
    <row r="1768" spans="3:22">
      <c r="C1768" s="125">
        <v>44225</v>
      </c>
      <c r="D1768" s="34">
        <v>161.5</v>
      </c>
      <c r="E1768" s="115">
        <v>161.85</v>
      </c>
      <c r="F1768" s="34">
        <v>159.22999999999999</v>
      </c>
      <c r="G1768" s="34">
        <v>160.31</v>
      </c>
      <c r="H1768" s="34">
        <v>160.31</v>
      </c>
      <c r="I1768" s="29">
        <v>85872000</v>
      </c>
      <c r="P1768" s="125"/>
      <c r="Q1768" s="34"/>
      <c r="R1768" s="115"/>
      <c r="S1768" s="34"/>
      <c r="T1768" s="34"/>
      <c r="U1768" s="34"/>
      <c r="V1768" s="29"/>
    </row>
    <row r="1769" spans="3:22">
      <c r="C1769" s="125">
        <v>44225</v>
      </c>
      <c r="D1769" s="34">
        <v>183.5</v>
      </c>
      <c r="E1769" s="115">
        <v>188.820007</v>
      </c>
      <c r="F1769" s="34">
        <v>180.729996</v>
      </c>
      <c r="G1769" s="34">
        <v>182.83999600000001</v>
      </c>
      <c r="H1769" s="34">
        <v>175.08131399999999</v>
      </c>
      <c r="I1769" s="29">
        <v>4541400</v>
      </c>
      <c r="P1769" s="125"/>
      <c r="Q1769" s="34"/>
      <c r="R1769" s="115"/>
      <c r="S1769" s="34"/>
      <c r="T1769" s="34"/>
      <c r="U1769" s="34"/>
      <c r="V1769" s="29"/>
    </row>
    <row r="1770" spans="3:22">
      <c r="C1770" s="125">
        <v>44224</v>
      </c>
      <c r="D1770" s="34">
        <v>161.75</v>
      </c>
      <c r="E1770" s="115">
        <v>165.08</v>
      </c>
      <c r="F1770" s="34">
        <v>161.43</v>
      </c>
      <c r="G1770" s="34">
        <v>161.88</v>
      </c>
      <c r="H1770" s="34">
        <v>161.88</v>
      </c>
      <c r="I1770" s="29">
        <v>62984000</v>
      </c>
      <c r="P1770" s="125"/>
      <c r="Q1770" s="34"/>
      <c r="R1770" s="115"/>
      <c r="S1770" s="34"/>
      <c r="T1770" s="34"/>
      <c r="U1770" s="34"/>
      <c r="V1770" s="29"/>
    </row>
    <row r="1771" spans="3:22">
      <c r="C1771" s="125">
        <v>44224</v>
      </c>
      <c r="D1771" s="34">
        <v>182.259995</v>
      </c>
      <c r="E1771" s="115">
        <v>187.61000100000001</v>
      </c>
      <c r="F1771" s="34">
        <v>181.30999800000001</v>
      </c>
      <c r="G1771" s="34">
        <v>184.33999600000001</v>
      </c>
      <c r="H1771" s="34">
        <v>176.51767000000001</v>
      </c>
      <c r="I1771" s="29">
        <v>3445400</v>
      </c>
      <c r="P1771" s="125"/>
      <c r="Q1771" s="34"/>
      <c r="R1771" s="115"/>
      <c r="S1771" s="34"/>
      <c r="T1771" s="34"/>
      <c r="U1771" s="34"/>
      <c r="V1771" s="29"/>
    </row>
    <row r="1772" spans="3:22">
      <c r="C1772" s="125">
        <v>44223</v>
      </c>
      <c r="D1772" s="34">
        <v>167.07</v>
      </c>
      <c r="E1772" s="115">
        <v>167.33</v>
      </c>
      <c r="F1772" s="34">
        <v>160.35</v>
      </c>
      <c r="G1772" s="34">
        <v>161.63</v>
      </c>
      <c r="H1772" s="34">
        <v>161.63</v>
      </c>
      <c r="I1772" s="29">
        <v>93204000</v>
      </c>
      <c r="P1772" s="125"/>
      <c r="Q1772" s="34"/>
      <c r="R1772" s="115"/>
      <c r="S1772" s="34"/>
      <c r="T1772" s="34"/>
      <c r="U1772" s="34"/>
      <c r="V1772" s="29"/>
    </row>
    <row r="1773" spans="3:22">
      <c r="C1773" s="125">
        <v>44223</v>
      </c>
      <c r="D1773" s="34">
        <v>184.199997</v>
      </c>
      <c r="E1773" s="115">
        <v>185.550003</v>
      </c>
      <c r="F1773" s="34">
        <v>179.33999600000001</v>
      </c>
      <c r="G1773" s="34">
        <v>180.63000500000001</v>
      </c>
      <c r="H1773" s="34">
        <v>172.965103</v>
      </c>
      <c r="I1773" s="29">
        <v>4095300</v>
      </c>
      <c r="P1773" s="125"/>
      <c r="Q1773" s="34"/>
      <c r="R1773" s="115"/>
      <c r="S1773" s="34"/>
      <c r="T1773" s="34"/>
      <c r="U1773" s="34"/>
      <c r="V1773" s="29"/>
    </row>
    <row r="1774" spans="3:22">
      <c r="C1774" s="125">
        <v>44222</v>
      </c>
      <c r="D1774" s="34">
        <v>164.82</v>
      </c>
      <c r="E1774" s="115">
        <v>166.9</v>
      </c>
      <c r="F1774" s="34">
        <v>164.14</v>
      </c>
      <c r="G1774" s="34">
        <v>166.31</v>
      </c>
      <c r="H1774" s="34">
        <v>166.31</v>
      </c>
      <c r="I1774" s="29">
        <v>59104000</v>
      </c>
      <c r="P1774" s="125"/>
      <c r="Q1774" s="34"/>
      <c r="R1774" s="115"/>
      <c r="S1774" s="34"/>
      <c r="T1774" s="34"/>
      <c r="U1774" s="34"/>
      <c r="V1774" s="29"/>
    </row>
    <row r="1775" spans="3:22">
      <c r="C1775" s="125">
        <v>44222</v>
      </c>
      <c r="D1775" s="34">
        <v>187.60000600000001</v>
      </c>
      <c r="E1775" s="115">
        <v>189.41000399999999</v>
      </c>
      <c r="F1775" s="34">
        <v>186.83000200000001</v>
      </c>
      <c r="G1775" s="34">
        <v>187.21000699999999</v>
      </c>
      <c r="H1775" s="34">
        <v>179.26589999999999</v>
      </c>
      <c r="I1775" s="29">
        <v>2506000</v>
      </c>
      <c r="P1775" s="125"/>
      <c r="Q1775" s="34"/>
      <c r="R1775" s="115"/>
      <c r="S1775" s="34"/>
      <c r="T1775" s="34"/>
      <c r="U1775" s="34"/>
      <c r="V1775" s="29"/>
    </row>
    <row r="1776" spans="3:22">
      <c r="C1776" s="125">
        <v>44221</v>
      </c>
      <c r="D1776" s="34">
        <v>166.43</v>
      </c>
      <c r="E1776" s="115">
        <v>168.19</v>
      </c>
      <c r="F1776" s="34">
        <v>162.16</v>
      </c>
      <c r="G1776" s="34">
        <v>164.7</v>
      </c>
      <c r="H1776" s="34">
        <v>164.7</v>
      </c>
      <c r="I1776" s="29">
        <v>74996000</v>
      </c>
      <c r="P1776" s="125"/>
      <c r="Q1776" s="34"/>
      <c r="R1776" s="115"/>
      <c r="S1776" s="34"/>
      <c r="T1776" s="34"/>
      <c r="U1776" s="34"/>
      <c r="V1776" s="29"/>
    </row>
    <row r="1777" spans="3:22">
      <c r="C1777" s="125">
        <v>44221</v>
      </c>
      <c r="D1777" s="34">
        <v>190.55999800000001</v>
      </c>
      <c r="E1777" s="115">
        <v>191.36999499999999</v>
      </c>
      <c r="F1777" s="34">
        <v>186.970001</v>
      </c>
      <c r="G1777" s="34">
        <v>187.33999600000001</v>
      </c>
      <c r="H1777" s="34">
        <v>179.39035000000001</v>
      </c>
      <c r="I1777" s="29">
        <v>3837100</v>
      </c>
      <c r="P1777" s="125"/>
      <c r="Q1777" s="34"/>
      <c r="R1777" s="115"/>
      <c r="S1777" s="34"/>
      <c r="T1777" s="34"/>
      <c r="U1777" s="34"/>
      <c r="V1777" s="29"/>
    </row>
    <row r="1778" spans="3:22">
      <c r="C1778" s="125">
        <v>44218</v>
      </c>
      <c r="D1778" s="34">
        <v>165.22</v>
      </c>
      <c r="E1778" s="115">
        <v>166.1</v>
      </c>
      <c r="F1778" s="34">
        <v>164.16</v>
      </c>
      <c r="G1778" s="34">
        <v>164.61</v>
      </c>
      <c r="H1778" s="34">
        <v>164.61</v>
      </c>
      <c r="I1778" s="29">
        <v>56438000</v>
      </c>
      <c r="P1778" s="125"/>
      <c r="Q1778" s="34"/>
      <c r="R1778" s="115"/>
      <c r="S1778" s="34"/>
      <c r="T1778" s="34"/>
      <c r="U1778" s="34"/>
      <c r="V1778" s="29"/>
    </row>
    <row r="1779" spans="3:22">
      <c r="C1779" s="125">
        <v>44218</v>
      </c>
      <c r="D1779" s="34">
        <v>190.85000600000001</v>
      </c>
      <c r="E1779" s="115">
        <v>192.820007</v>
      </c>
      <c r="F1779" s="34">
        <v>189.30999800000001</v>
      </c>
      <c r="G1779" s="34">
        <v>191.94000199999999</v>
      </c>
      <c r="H1779" s="34">
        <v>183.79518100000001</v>
      </c>
      <c r="I1779" s="29">
        <v>2027000</v>
      </c>
      <c r="P1779" s="125"/>
      <c r="Q1779" s="34"/>
      <c r="R1779" s="115"/>
      <c r="S1779" s="34"/>
      <c r="T1779" s="34"/>
      <c r="U1779" s="34"/>
      <c r="V1779" s="29"/>
    </row>
    <row r="1780" spans="3:22">
      <c r="C1780" s="125">
        <v>44217</v>
      </c>
      <c r="D1780" s="34">
        <v>164.65</v>
      </c>
      <c r="E1780" s="115">
        <v>167.43</v>
      </c>
      <c r="F1780" s="34">
        <v>164.48</v>
      </c>
      <c r="G1780" s="34">
        <v>165.35</v>
      </c>
      <c r="H1780" s="34">
        <v>165.35</v>
      </c>
      <c r="I1780" s="29">
        <v>98722000</v>
      </c>
      <c r="P1780" s="125"/>
      <c r="Q1780" s="34"/>
      <c r="R1780" s="115"/>
      <c r="S1780" s="34"/>
      <c r="T1780" s="34"/>
      <c r="U1780" s="34"/>
      <c r="V1780" s="29"/>
    </row>
    <row r="1781" spans="3:22">
      <c r="C1781" s="125">
        <v>44217</v>
      </c>
      <c r="D1781" s="34">
        <v>192.35000600000001</v>
      </c>
      <c r="E1781" s="115">
        <v>193.720001</v>
      </c>
      <c r="F1781" s="34">
        <v>190.050003</v>
      </c>
      <c r="G1781" s="34">
        <v>192.19000199999999</v>
      </c>
      <c r="H1781" s="34">
        <v>184.03454600000001</v>
      </c>
      <c r="I1781" s="29">
        <v>1951200</v>
      </c>
      <c r="P1781" s="125"/>
      <c r="Q1781" s="34"/>
      <c r="R1781" s="115"/>
      <c r="S1781" s="34"/>
      <c r="T1781" s="34"/>
      <c r="U1781" s="34"/>
      <c r="V1781" s="29"/>
    </row>
    <row r="1782" spans="3:22">
      <c r="C1782" s="125">
        <v>44216</v>
      </c>
      <c r="D1782" s="34">
        <v>159.1</v>
      </c>
      <c r="E1782" s="115">
        <v>163.99</v>
      </c>
      <c r="F1782" s="34">
        <v>158.75</v>
      </c>
      <c r="G1782" s="34">
        <v>163.16999999999999</v>
      </c>
      <c r="H1782" s="34">
        <v>163.16999999999999</v>
      </c>
      <c r="I1782" s="29">
        <v>106196000</v>
      </c>
      <c r="P1782" s="125"/>
      <c r="Q1782" s="34"/>
      <c r="R1782" s="115"/>
      <c r="S1782" s="34"/>
      <c r="T1782" s="34"/>
      <c r="U1782" s="34"/>
      <c r="V1782" s="29"/>
    </row>
    <row r="1783" spans="3:22">
      <c r="C1783" s="125">
        <v>44216</v>
      </c>
      <c r="D1783" s="34">
        <v>192.66000399999999</v>
      </c>
      <c r="E1783" s="115">
        <v>193.89999399999999</v>
      </c>
      <c r="F1783" s="34">
        <v>190.41999799999999</v>
      </c>
      <c r="G1783" s="34">
        <v>192.33999600000001</v>
      </c>
      <c r="H1783" s="34">
        <v>184.17817700000001</v>
      </c>
      <c r="I1783" s="29">
        <v>2501100</v>
      </c>
      <c r="P1783" s="125"/>
      <c r="Q1783" s="34"/>
      <c r="R1783" s="115"/>
      <c r="S1783" s="34"/>
      <c r="T1783" s="34"/>
      <c r="U1783" s="34"/>
      <c r="V1783" s="29"/>
    </row>
    <row r="1784" spans="3:22">
      <c r="C1784" s="125">
        <v>44215</v>
      </c>
      <c r="D1784" s="34">
        <v>155.35</v>
      </c>
      <c r="E1784" s="115">
        <v>157.25</v>
      </c>
      <c r="F1784" s="34">
        <v>154.80000000000001</v>
      </c>
      <c r="G1784" s="34">
        <v>156.04</v>
      </c>
      <c r="H1784" s="34">
        <v>156.04</v>
      </c>
      <c r="I1784" s="29">
        <v>66102000</v>
      </c>
      <c r="P1784" s="125"/>
      <c r="Q1784" s="34"/>
      <c r="R1784" s="115"/>
      <c r="S1784" s="34"/>
      <c r="T1784" s="34"/>
      <c r="U1784" s="34"/>
      <c r="V1784" s="29"/>
    </row>
    <row r="1785" spans="3:22">
      <c r="C1785" s="125">
        <v>44215</v>
      </c>
      <c r="D1785" s="34">
        <v>194.28999300000001</v>
      </c>
      <c r="E1785" s="115">
        <v>196.11000100000001</v>
      </c>
      <c r="F1785" s="34">
        <v>193.44000199999999</v>
      </c>
      <c r="G1785" s="34">
        <v>194.05999800000001</v>
      </c>
      <c r="H1785" s="34">
        <v>185.82519500000001</v>
      </c>
      <c r="I1785" s="29">
        <v>2361200</v>
      </c>
      <c r="P1785" s="125"/>
      <c r="Q1785" s="34"/>
      <c r="R1785" s="115"/>
      <c r="S1785" s="34"/>
      <c r="T1785" s="34"/>
      <c r="U1785" s="34"/>
      <c r="V1785" s="29"/>
    </row>
    <row r="1786" spans="3:22">
      <c r="C1786" s="125">
        <v>44211</v>
      </c>
      <c r="D1786" s="34">
        <v>156.15</v>
      </c>
      <c r="E1786" s="115">
        <v>157.13</v>
      </c>
      <c r="F1786" s="34">
        <v>154.76</v>
      </c>
      <c r="G1786" s="34">
        <v>155.21</v>
      </c>
      <c r="H1786" s="34">
        <v>155.21</v>
      </c>
      <c r="I1786" s="29">
        <v>84880000</v>
      </c>
      <c r="P1786" s="125"/>
      <c r="Q1786" s="34"/>
      <c r="R1786" s="115"/>
      <c r="S1786" s="34"/>
      <c r="T1786" s="34"/>
      <c r="U1786" s="34"/>
      <c r="V1786" s="29"/>
    </row>
    <row r="1787" spans="3:22">
      <c r="C1787" s="125">
        <v>44211</v>
      </c>
      <c r="D1787" s="34">
        <v>195.66000399999999</v>
      </c>
      <c r="E1787" s="115">
        <v>195.71000699999999</v>
      </c>
      <c r="F1787" s="34">
        <v>190.88000500000001</v>
      </c>
      <c r="G1787" s="34">
        <v>194.61999499999999</v>
      </c>
      <c r="H1787" s="34">
        <v>185.37515300000001</v>
      </c>
      <c r="I1787" s="29">
        <v>3317100</v>
      </c>
      <c r="P1787" s="125"/>
      <c r="Q1787" s="34"/>
      <c r="R1787" s="115"/>
      <c r="S1787" s="34"/>
      <c r="T1787" s="34"/>
      <c r="U1787" s="34"/>
      <c r="V1787" s="29"/>
    </row>
    <row r="1788" spans="3:22">
      <c r="C1788" s="125">
        <v>44210</v>
      </c>
      <c r="D1788" s="34">
        <v>158.38</v>
      </c>
      <c r="E1788" s="115">
        <v>158.9</v>
      </c>
      <c r="F1788" s="34">
        <v>156.03</v>
      </c>
      <c r="G1788" s="34">
        <v>156.37</v>
      </c>
      <c r="H1788" s="34">
        <v>156.37</v>
      </c>
      <c r="I1788" s="29">
        <v>61418000</v>
      </c>
      <c r="P1788" s="125"/>
      <c r="Q1788" s="34"/>
      <c r="R1788" s="115"/>
      <c r="S1788" s="34"/>
      <c r="T1788" s="34"/>
      <c r="U1788" s="34"/>
      <c r="V1788" s="29"/>
    </row>
    <row r="1789" spans="3:22">
      <c r="C1789" s="125">
        <v>44210</v>
      </c>
      <c r="D1789" s="34">
        <v>196.10000600000001</v>
      </c>
      <c r="E1789" s="115">
        <v>197.91000399999999</v>
      </c>
      <c r="F1789" s="34">
        <v>195.36000100000001</v>
      </c>
      <c r="G1789" s="34">
        <v>197.39999399999999</v>
      </c>
      <c r="H1789" s="34">
        <v>188.023087</v>
      </c>
      <c r="I1789" s="29">
        <v>2486600</v>
      </c>
      <c r="P1789" s="125"/>
      <c r="Q1789" s="34"/>
      <c r="R1789" s="115"/>
      <c r="S1789" s="34"/>
      <c r="T1789" s="34"/>
      <c r="U1789" s="34"/>
      <c r="V1789" s="29"/>
    </row>
    <row r="1790" spans="3:22">
      <c r="C1790" s="125">
        <v>44209</v>
      </c>
      <c r="D1790" s="34">
        <v>156.41999999999999</v>
      </c>
      <c r="E1790" s="115">
        <v>159.5</v>
      </c>
      <c r="F1790" s="34">
        <v>156.1</v>
      </c>
      <c r="G1790" s="34">
        <v>158.29</v>
      </c>
      <c r="H1790" s="34">
        <v>158.29</v>
      </c>
      <c r="I1790" s="29">
        <v>66424000</v>
      </c>
      <c r="P1790" s="125"/>
      <c r="Q1790" s="34"/>
      <c r="R1790" s="115"/>
      <c r="S1790" s="34"/>
      <c r="T1790" s="34"/>
      <c r="U1790" s="34"/>
      <c r="V1790" s="29"/>
    </row>
    <row r="1791" spans="3:22">
      <c r="C1791" s="125">
        <v>44209</v>
      </c>
      <c r="D1791" s="34">
        <v>198.78999300000001</v>
      </c>
      <c r="E1791" s="115">
        <v>200.16999799999999</v>
      </c>
      <c r="F1791" s="34">
        <v>195.800003</v>
      </c>
      <c r="G1791" s="34">
        <v>195.88999899999999</v>
      </c>
      <c r="H1791" s="34">
        <v>186.58483899999999</v>
      </c>
      <c r="I1791" s="29">
        <v>3154700</v>
      </c>
      <c r="P1791" s="125"/>
      <c r="Q1791" s="34"/>
      <c r="R1791" s="115"/>
      <c r="S1791" s="34"/>
      <c r="T1791" s="34"/>
      <c r="U1791" s="34"/>
      <c r="V1791" s="29"/>
    </row>
    <row r="1792" spans="3:22">
      <c r="C1792" s="125">
        <v>44208</v>
      </c>
      <c r="D1792" s="34">
        <v>156</v>
      </c>
      <c r="E1792" s="115">
        <v>157.11000000000001</v>
      </c>
      <c r="F1792" s="34">
        <v>154.30000000000001</v>
      </c>
      <c r="G1792" s="34">
        <v>156.04</v>
      </c>
      <c r="H1792" s="34">
        <v>156.04</v>
      </c>
      <c r="I1792" s="29">
        <v>70292000</v>
      </c>
      <c r="P1792" s="125"/>
      <c r="Q1792" s="34"/>
      <c r="R1792" s="115"/>
      <c r="S1792" s="34"/>
      <c r="T1792" s="34"/>
      <c r="U1792" s="34"/>
      <c r="V1792" s="29"/>
    </row>
    <row r="1793" spans="3:22">
      <c r="C1793" s="125">
        <v>44208</v>
      </c>
      <c r="D1793" s="34">
        <v>194.679993</v>
      </c>
      <c r="E1793" s="115">
        <v>198</v>
      </c>
      <c r="F1793" s="34">
        <v>193.30999800000001</v>
      </c>
      <c r="G1793" s="34">
        <v>197.53999300000001</v>
      </c>
      <c r="H1793" s="34">
        <v>188.15644800000001</v>
      </c>
      <c r="I1793" s="29">
        <v>2466100</v>
      </c>
      <c r="P1793" s="125"/>
      <c r="Q1793" s="34"/>
      <c r="R1793" s="115"/>
      <c r="S1793" s="34"/>
      <c r="T1793" s="34"/>
      <c r="U1793" s="34"/>
      <c r="V1793" s="29"/>
    </row>
    <row r="1794" spans="3:22">
      <c r="C1794" s="125">
        <v>44207</v>
      </c>
      <c r="D1794" s="34">
        <v>157.4</v>
      </c>
      <c r="E1794" s="115">
        <v>157.82</v>
      </c>
      <c r="F1794" s="34">
        <v>155.5</v>
      </c>
      <c r="G1794" s="34">
        <v>155.71</v>
      </c>
      <c r="H1794" s="34">
        <v>155.71</v>
      </c>
      <c r="I1794" s="29">
        <v>73668000</v>
      </c>
      <c r="P1794" s="125"/>
      <c r="Q1794" s="34"/>
      <c r="R1794" s="115"/>
      <c r="S1794" s="34"/>
      <c r="T1794" s="34"/>
      <c r="U1794" s="34"/>
      <c r="V1794" s="29"/>
    </row>
    <row r="1795" spans="3:22">
      <c r="C1795" s="125">
        <v>44207</v>
      </c>
      <c r="D1795" s="34">
        <v>191.55999800000001</v>
      </c>
      <c r="E1795" s="115">
        <v>195.46000699999999</v>
      </c>
      <c r="F1795" s="34">
        <v>190.30999800000001</v>
      </c>
      <c r="G1795" s="34">
        <v>193.86000100000001</v>
      </c>
      <c r="H1795" s="34">
        <v>184.65124499999999</v>
      </c>
      <c r="I1795" s="29">
        <v>2540800</v>
      </c>
      <c r="P1795" s="125"/>
      <c r="Q1795" s="34"/>
      <c r="R1795" s="115"/>
      <c r="S1795" s="34"/>
      <c r="T1795" s="34"/>
      <c r="U1795" s="34"/>
      <c r="V1795" s="29"/>
    </row>
    <row r="1796" spans="3:22">
      <c r="C1796" s="125">
        <v>44204</v>
      </c>
      <c r="D1796" s="34">
        <v>159</v>
      </c>
      <c r="E1796" s="115">
        <v>159.53</v>
      </c>
      <c r="F1796" s="34">
        <v>157.11000000000001</v>
      </c>
      <c r="G1796" s="34">
        <v>159.13</v>
      </c>
      <c r="H1796" s="34">
        <v>159.13</v>
      </c>
      <c r="I1796" s="29">
        <v>70754000</v>
      </c>
      <c r="P1796" s="125"/>
      <c r="Q1796" s="34"/>
      <c r="R1796" s="115"/>
      <c r="S1796" s="34"/>
      <c r="T1796" s="34"/>
      <c r="U1796" s="34"/>
      <c r="V1796" s="29"/>
    </row>
    <row r="1797" spans="3:22">
      <c r="C1797" s="125">
        <v>44204</v>
      </c>
      <c r="D1797" s="34">
        <v>193.85000600000001</v>
      </c>
      <c r="E1797" s="115">
        <v>195.259995</v>
      </c>
      <c r="F1797" s="34">
        <v>191.320007</v>
      </c>
      <c r="G1797" s="34">
        <v>194.259995</v>
      </c>
      <c r="H1797" s="34">
        <v>185.03227200000001</v>
      </c>
      <c r="I1797" s="29">
        <v>3186600</v>
      </c>
      <c r="P1797" s="125"/>
      <c r="Q1797" s="34"/>
      <c r="R1797" s="115"/>
      <c r="S1797" s="34"/>
      <c r="T1797" s="34"/>
      <c r="U1797" s="34"/>
      <c r="V1797" s="29"/>
    </row>
    <row r="1798" spans="3:22">
      <c r="C1798" s="125">
        <v>44203</v>
      </c>
      <c r="D1798" s="34">
        <v>157.85</v>
      </c>
      <c r="E1798" s="115">
        <v>160.43</v>
      </c>
      <c r="F1798" s="34">
        <v>157.75</v>
      </c>
      <c r="G1798" s="34">
        <v>158.11000000000001</v>
      </c>
      <c r="H1798" s="34">
        <v>158.11000000000001</v>
      </c>
      <c r="I1798" s="29">
        <v>70290000</v>
      </c>
      <c r="P1798" s="125"/>
      <c r="Q1798" s="34"/>
      <c r="R1798" s="115"/>
      <c r="S1798" s="34"/>
      <c r="T1798" s="34"/>
      <c r="U1798" s="34"/>
      <c r="V1798" s="29"/>
    </row>
    <row r="1799" spans="3:22">
      <c r="C1799" s="125">
        <v>44203</v>
      </c>
      <c r="D1799" s="34">
        <v>196.85000600000001</v>
      </c>
      <c r="E1799" s="115">
        <v>197.36999499999999</v>
      </c>
      <c r="F1799" s="34">
        <v>192.199997</v>
      </c>
      <c r="G1799" s="34">
        <v>194.229996</v>
      </c>
      <c r="H1799" s="34">
        <v>185.003693</v>
      </c>
      <c r="I1799" s="29">
        <v>5297500</v>
      </c>
      <c r="P1799" s="125"/>
      <c r="Q1799" s="34"/>
      <c r="R1799" s="115"/>
      <c r="S1799" s="34"/>
      <c r="T1799" s="34"/>
      <c r="U1799" s="34"/>
      <c r="V1799" s="29"/>
    </row>
    <row r="1800" spans="3:22">
      <c r="C1800" s="125">
        <v>44202</v>
      </c>
      <c r="D1800" s="34">
        <v>157.32</v>
      </c>
      <c r="E1800" s="115">
        <v>159.88</v>
      </c>
      <c r="F1800" s="34">
        <v>156.56</v>
      </c>
      <c r="G1800" s="34">
        <v>156.91999999999999</v>
      </c>
      <c r="H1800" s="34">
        <v>156.91999999999999</v>
      </c>
      <c r="I1800" s="29">
        <v>87896000</v>
      </c>
      <c r="P1800" s="125"/>
      <c r="Q1800" s="34"/>
      <c r="R1800" s="115"/>
      <c r="S1800" s="34"/>
      <c r="T1800" s="34"/>
      <c r="U1800" s="34"/>
      <c r="V1800" s="29"/>
    </row>
    <row r="1801" spans="3:22">
      <c r="C1801" s="125">
        <v>44202</v>
      </c>
      <c r="D1801" s="34">
        <v>187.14999399999999</v>
      </c>
      <c r="E1801" s="115">
        <v>197.279999</v>
      </c>
      <c r="F1801" s="34">
        <v>186.14999399999999</v>
      </c>
      <c r="G1801" s="34">
        <v>193.86000100000001</v>
      </c>
      <c r="H1801" s="34">
        <v>184.65124499999999</v>
      </c>
      <c r="I1801" s="29">
        <v>8034700</v>
      </c>
      <c r="P1801" s="125"/>
      <c r="Q1801" s="34"/>
      <c r="R1801" s="115"/>
      <c r="S1801" s="34"/>
      <c r="T1801" s="34"/>
      <c r="U1801" s="34"/>
      <c r="V1801" s="29"/>
    </row>
    <row r="1802" spans="3:22">
      <c r="C1802" s="125">
        <v>44201</v>
      </c>
      <c r="D1802" s="34">
        <v>158.30000000000001</v>
      </c>
      <c r="E1802" s="115">
        <v>161.16999999999999</v>
      </c>
      <c r="F1802" s="34">
        <v>158.25</v>
      </c>
      <c r="G1802" s="34">
        <v>160.93</v>
      </c>
      <c r="H1802" s="34">
        <v>160.93</v>
      </c>
      <c r="I1802" s="29">
        <v>53110000</v>
      </c>
      <c r="P1802" s="125"/>
      <c r="Q1802" s="34"/>
      <c r="R1802" s="115"/>
      <c r="S1802" s="34"/>
      <c r="T1802" s="34"/>
      <c r="U1802" s="34"/>
      <c r="V1802" s="29"/>
    </row>
    <row r="1803" spans="3:22">
      <c r="C1803" s="125">
        <v>44201</v>
      </c>
      <c r="D1803" s="34">
        <v>181.21000699999999</v>
      </c>
      <c r="E1803" s="115">
        <v>185.800003</v>
      </c>
      <c r="F1803" s="34">
        <v>181.21000699999999</v>
      </c>
      <c r="G1803" s="34">
        <v>183.63999899999999</v>
      </c>
      <c r="H1803" s="34">
        <v>174.916718</v>
      </c>
      <c r="I1803" s="29">
        <v>2933700</v>
      </c>
      <c r="P1803" s="125"/>
      <c r="Q1803" s="34"/>
      <c r="R1803" s="115"/>
      <c r="S1803" s="34"/>
      <c r="T1803" s="34"/>
      <c r="U1803" s="34"/>
      <c r="V1803" s="29"/>
    </row>
    <row r="1804" spans="3:22">
      <c r="C1804" s="125">
        <v>44200</v>
      </c>
      <c r="D1804" s="34">
        <v>163.5</v>
      </c>
      <c r="E1804" s="115">
        <v>163.6</v>
      </c>
      <c r="F1804" s="34">
        <v>157.19999999999999</v>
      </c>
      <c r="G1804" s="34">
        <v>159.33000000000001</v>
      </c>
      <c r="H1804" s="34">
        <v>159.33000000000001</v>
      </c>
      <c r="I1804" s="29">
        <v>88228000</v>
      </c>
      <c r="P1804" s="125"/>
      <c r="Q1804" s="34"/>
      <c r="R1804" s="115"/>
      <c r="S1804" s="34"/>
      <c r="T1804" s="34"/>
      <c r="U1804" s="34"/>
      <c r="V1804" s="29"/>
    </row>
    <row r="1805" spans="3:22">
      <c r="C1805" s="125">
        <v>44200</v>
      </c>
      <c r="D1805" s="34">
        <v>183</v>
      </c>
      <c r="E1805" s="115">
        <v>185.979996</v>
      </c>
      <c r="F1805" s="34">
        <v>180.25</v>
      </c>
      <c r="G1805" s="34">
        <v>182.14999399999999</v>
      </c>
      <c r="H1805" s="34">
        <v>173.49749800000001</v>
      </c>
      <c r="I1805" s="29">
        <v>4078300</v>
      </c>
      <c r="P1805" s="125"/>
      <c r="Q1805" s="34"/>
      <c r="R1805" s="115"/>
      <c r="S1805" s="34"/>
      <c r="T1805" s="34"/>
      <c r="U1805" s="34"/>
      <c r="V1805" s="29"/>
    </row>
    <row r="1806" spans="3:22">
      <c r="C1806" s="125">
        <v>44196</v>
      </c>
      <c r="D1806" s="34">
        <v>163.75</v>
      </c>
      <c r="E1806" s="115">
        <v>164.15</v>
      </c>
      <c r="F1806" s="34">
        <v>162.06</v>
      </c>
      <c r="G1806" s="34">
        <v>162.85</v>
      </c>
      <c r="H1806" s="34">
        <v>162.85</v>
      </c>
      <c r="I1806" s="29">
        <v>59144000</v>
      </c>
      <c r="P1806" s="125"/>
      <c r="Q1806" s="34"/>
      <c r="R1806" s="115"/>
      <c r="S1806" s="34"/>
      <c r="T1806" s="34"/>
      <c r="U1806" s="34"/>
      <c r="V1806" s="29"/>
    </row>
    <row r="1807" spans="3:22">
      <c r="C1807" s="125">
        <v>44196</v>
      </c>
      <c r="D1807" s="34">
        <v>180.25</v>
      </c>
      <c r="E1807" s="115">
        <v>182.10000600000001</v>
      </c>
      <c r="F1807" s="34">
        <v>178.75</v>
      </c>
      <c r="G1807" s="34">
        <v>182.020004</v>
      </c>
      <c r="H1807" s="34">
        <v>173.37370300000001</v>
      </c>
      <c r="I1807" s="29">
        <v>1717800</v>
      </c>
      <c r="P1807" s="125"/>
      <c r="Q1807" s="34"/>
      <c r="R1807" s="115"/>
      <c r="S1807" s="34"/>
      <c r="T1807" s="34"/>
      <c r="U1807" s="34"/>
      <c r="V1807" s="29"/>
    </row>
    <row r="1808" spans="3:22">
      <c r="C1808" s="125">
        <v>44195</v>
      </c>
      <c r="D1808" s="34">
        <v>167.05</v>
      </c>
      <c r="E1808" s="115">
        <v>167.1</v>
      </c>
      <c r="F1808" s="34">
        <v>164.12</v>
      </c>
      <c r="G1808" s="34">
        <v>164.29</v>
      </c>
      <c r="H1808" s="34">
        <v>164.29</v>
      </c>
      <c r="I1808" s="29">
        <v>64186000</v>
      </c>
      <c r="P1808" s="125"/>
      <c r="Q1808" s="34"/>
      <c r="R1808" s="115"/>
      <c r="S1808" s="34"/>
      <c r="T1808" s="34"/>
      <c r="U1808" s="34"/>
      <c r="V1808" s="29"/>
    </row>
    <row r="1809" spans="3:22">
      <c r="C1809" s="125">
        <v>44195</v>
      </c>
      <c r="D1809" s="34">
        <v>179.770004</v>
      </c>
      <c r="E1809" s="115">
        <v>182.229996</v>
      </c>
      <c r="F1809" s="34">
        <v>178.69000199999999</v>
      </c>
      <c r="G1809" s="34">
        <v>180.03999300000001</v>
      </c>
      <c r="H1809" s="34">
        <v>171.487717</v>
      </c>
      <c r="I1809" s="29">
        <v>2720600</v>
      </c>
      <c r="P1809" s="125"/>
      <c r="Q1809" s="34"/>
      <c r="R1809" s="115"/>
      <c r="S1809" s="34"/>
      <c r="T1809" s="34"/>
      <c r="U1809" s="34"/>
      <c r="V1809" s="29"/>
    </row>
    <row r="1810" spans="3:22">
      <c r="C1810" s="125">
        <v>44194</v>
      </c>
      <c r="D1810" s="34">
        <v>165.5</v>
      </c>
      <c r="E1810" s="115">
        <v>167.53</v>
      </c>
      <c r="F1810" s="34">
        <v>164.06</v>
      </c>
      <c r="G1810" s="34">
        <v>166.1</v>
      </c>
      <c r="H1810" s="34">
        <v>166.1</v>
      </c>
      <c r="I1810" s="29">
        <v>97458000</v>
      </c>
      <c r="P1810" s="125"/>
      <c r="Q1810" s="34"/>
      <c r="R1810" s="115"/>
      <c r="S1810" s="34"/>
      <c r="T1810" s="34"/>
      <c r="U1810" s="34"/>
      <c r="V1810" s="29"/>
    </row>
    <row r="1811" spans="3:22">
      <c r="C1811" s="125">
        <v>44194</v>
      </c>
      <c r="D1811" s="34">
        <v>179.16999799999999</v>
      </c>
      <c r="E1811" s="115">
        <v>179.38000500000001</v>
      </c>
      <c r="F1811" s="34">
        <v>175.11000100000001</v>
      </c>
      <c r="G1811" s="34">
        <v>176.64999399999999</v>
      </c>
      <c r="H1811" s="34">
        <v>168.25877399999999</v>
      </c>
      <c r="I1811" s="29">
        <v>1490300</v>
      </c>
      <c r="P1811" s="125"/>
      <c r="Q1811" s="34"/>
      <c r="R1811" s="115"/>
      <c r="S1811" s="34"/>
      <c r="T1811" s="34"/>
      <c r="U1811" s="34"/>
      <c r="V1811" s="29"/>
    </row>
    <row r="1812" spans="3:22">
      <c r="C1812" s="125">
        <v>44193</v>
      </c>
      <c r="D1812" s="34">
        <v>159.69999999999999</v>
      </c>
      <c r="E1812" s="115">
        <v>165.2</v>
      </c>
      <c r="F1812" s="34">
        <v>158.63</v>
      </c>
      <c r="G1812" s="34">
        <v>164.2</v>
      </c>
      <c r="H1812" s="34">
        <v>164.2</v>
      </c>
      <c r="I1812" s="29">
        <v>113736000</v>
      </c>
      <c r="P1812" s="125"/>
      <c r="Q1812" s="34"/>
      <c r="R1812" s="115"/>
      <c r="S1812" s="34"/>
      <c r="T1812" s="34"/>
      <c r="U1812" s="34"/>
      <c r="V1812" s="29"/>
    </row>
    <row r="1813" spans="3:22">
      <c r="C1813" s="125">
        <v>44193</v>
      </c>
      <c r="D1813" s="34">
        <v>180.479996</v>
      </c>
      <c r="E1813" s="115">
        <v>181.11999499999999</v>
      </c>
      <c r="F1813" s="34">
        <v>178.30999800000001</v>
      </c>
      <c r="G1813" s="34">
        <v>178.36999499999999</v>
      </c>
      <c r="H1813" s="34">
        <v>169.897064</v>
      </c>
      <c r="I1813" s="29">
        <v>1508800</v>
      </c>
      <c r="P1813" s="125"/>
      <c r="Q1813" s="34"/>
      <c r="R1813" s="115"/>
      <c r="S1813" s="34"/>
      <c r="T1813" s="34"/>
      <c r="U1813" s="34"/>
      <c r="V1813" s="29"/>
    </row>
    <row r="1814" spans="3:22">
      <c r="C1814" s="125">
        <v>44189</v>
      </c>
      <c r="D1814" s="34">
        <v>159.69999999999999</v>
      </c>
      <c r="E1814" s="115">
        <v>160.1</v>
      </c>
      <c r="F1814" s="34">
        <v>158.44999999999999</v>
      </c>
      <c r="G1814" s="34">
        <v>158.63</v>
      </c>
      <c r="H1814" s="34">
        <v>158.63</v>
      </c>
      <c r="I1814" s="29">
        <v>29038000</v>
      </c>
      <c r="P1814" s="125"/>
      <c r="Q1814" s="34"/>
      <c r="R1814" s="115"/>
      <c r="S1814" s="34"/>
      <c r="T1814" s="34"/>
      <c r="U1814" s="34"/>
      <c r="V1814" s="29"/>
    </row>
    <row r="1815" spans="3:22">
      <c r="C1815" s="125">
        <v>44189</v>
      </c>
      <c r="D1815" s="34">
        <v>179.449997</v>
      </c>
      <c r="E1815" s="115">
        <v>179.85000600000001</v>
      </c>
      <c r="F1815" s="34">
        <v>178.35000600000001</v>
      </c>
      <c r="G1815" s="34">
        <v>179.55999800000001</v>
      </c>
      <c r="H1815" s="34">
        <v>171.03053299999999</v>
      </c>
      <c r="I1815" s="29">
        <v>585700</v>
      </c>
      <c r="P1815" s="125"/>
      <c r="Q1815" s="34"/>
      <c r="R1815" s="115"/>
      <c r="S1815" s="34"/>
      <c r="T1815" s="34"/>
      <c r="U1815" s="34"/>
      <c r="V1815" s="29"/>
    </row>
    <row r="1816" spans="3:22">
      <c r="C1816" s="125">
        <v>44188</v>
      </c>
      <c r="D1816" s="34">
        <v>160.25</v>
      </c>
      <c r="E1816" s="115">
        <v>160.51</v>
      </c>
      <c r="F1816" s="34">
        <v>159.21</v>
      </c>
      <c r="G1816" s="34">
        <v>159.26</v>
      </c>
      <c r="H1816" s="34">
        <v>159.26</v>
      </c>
      <c r="I1816" s="29">
        <v>41876000</v>
      </c>
      <c r="P1816" s="125"/>
      <c r="Q1816" s="34"/>
      <c r="R1816" s="115"/>
      <c r="S1816" s="34"/>
      <c r="T1816" s="34"/>
      <c r="U1816" s="34"/>
      <c r="V1816" s="29"/>
    </row>
    <row r="1817" spans="3:22">
      <c r="C1817" s="125">
        <v>44188</v>
      </c>
      <c r="D1817" s="34">
        <v>177.449997</v>
      </c>
      <c r="E1817" s="115">
        <v>179.28999300000001</v>
      </c>
      <c r="F1817" s="34">
        <v>177.009995</v>
      </c>
      <c r="G1817" s="34">
        <v>178.41999799999999</v>
      </c>
      <c r="H1817" s="34">
        <v>169.94470200000001</v>
      </c>
      <c r="I1817" s="29">
        <v>1862500</v>
      </c>
      <c r="P1817" s="125"/>
      <c r="Q1817" s="34"/>
      <c r="R1817" s="115"/>
      <c r="S1817" s="34"/>
      <c r="T1817" s="34"/>
      <c r="U1817" s="34"/>
      <c r="V1817" s="29"/>
    </row>
    <row r="1818" spans="3:22">
      <c r="C1818" s="125">
        <v>44187</v>
      </c>
      <c r="D1818" s="34">
        <v>160.13999999999999</v>
      </c>
      <c r="E1818" s="115">
        <v>161.1</v>
      </c>
      <c r="F1818" s="34">
        <v>159</v>
      </c>
      <c r="G1818" s="34">
        <v>160.33000000000001</v>
      </c>
      <c r="H1818" s="34">
        <v>160.33000000000001</v>
      </c>
      <c r="I1818" s="29">
        <v>47388000</v>
      </c>
      <c r="P1818" s="125"/>
      <c r="Q1818" s="34"/>
      <c r="R1818" s="115"/>
      <c r="S1818" s="34"/>
      <c r="T1818" s="34"/>
      <c r="U1818" s="34"/>
      <c r="V1818" s="29"/>
    </row>
    <row r="1819" spans="3:22">
      <c r="C1819" s="125">
        <v>44187</v>
      </c>
      <c r="D1819" s="34">
        <v>179.28999300000001</v>
      </c>
      <c r="E1819" s="115">
        <v>180.16000399999999</v>
      </c>
      <c r="F1819" s="34">
        <v>176.479996</v>
      </c>
      <c r="G1819" s="34">
        <v>176.58000200000001</v>
      </c>
      <c r="H1819" s="34">
        <v>168.19207800000001</v>
      </c>
      <c r="I1819" s="29">
        <v>2493300</v>
      </c>
      <c r="P1819" s="125"/>
      <c r="Q1819" s="34"/>
      <c r="R1819" s="115"/>
      <c r="S1819" s="34"/>
      <c r="T1819" s="34"/>
      <c r="U1819" s="34"/>
      <c r="V1819" s="29"/>
    </row>
    <row r="1820" spans="3:22">
      <c r="C1820" s="125">
        <v>44186</v>
      </c>
      <c r="D1820" s="34">
        <v>160</v>
      </c>
      <c r="E1820" s="115">
        <v>161.35</v>
      </c>
      <c r="F1820" s="34">
        <v>158.30000000000001</v>
      </c>
      <c r="G1820" s="34">
        <v>160.31</v>
      </c>
      <c r="H1820" s="34">
        <v>160.31</v>
      </c>
      <c r="I1820" s="29">
        <v>76736000</v>
      </c>
      <c r="P1820" s="125"/>
      <c r="Q1820" s="34"/>
      <c r="R1820" s="115"/>
      <c r="S1820" s="34"/>
      <c r="T1820" s="34"/>
      <c r="U1820" s="34"/>
      <c r="V1820" s="29"/>
    </row>
    <row r="1821" spans="3:22">
      <c r="C1821" s="125">
        <v>44186</v>
      </c>
      <c r="D1821" s="34">
        <v>176.94000199999999</v>
      </c>
      <c r="E1821" s="115">
        <v>180.88999899999999</v>
      </c>
      <c r="F1821" s="34">
        <v>176.320007</v>
      </c>
      <c r="G1821" s="34">
        <v>180.16000399999999</v>
      </c>
      <c r="H1821" s="34">
        <v>171.602036</v>
      </c>
      <c r="I1821" s="29">
        <v>2071000</v>
      </c>
      <c r="P1821" s="125"/>
      <c r="Q1821" s="34"/>
      <c r="R1821" s="115"/>
      <c r="S1821" s="34"/>
      <c r="T1821" s="34"/>
      <c r="U1821" s="34"/>
      <c r="V1821" s="29"/>
    </row>
    <row r="1822" spans="3:22">
      <c r="C1822" s="125">
        <v>44183</v>
      </c>
      <c r="D1822" s="34">
        <v>162.19999999999999</v>
      </c>
      <c r="E1822" s="115">
        <v>162.47</v>
      </c>
      <c r="F1822" s="34">
        <v>158.58000000000001</v>
      </c>
      <c r="G1822" s="34">
        <v>160.08000000000001</v>
      </c>
      <c r="H1822" s="34">
        <v>160.08000000000001</v>
      </c>
      <c r="I1822" s="29">
        <v>119914000</v>
      </c>
      <c r="P1822" s="125"/>
      <c r="Q1822" s="34"/>
      <c r="R1822" s="115"/>
      <c r="S1822" s="34"/>
      <c r="T1822" s="34"/>
      <c r="U1822" s="34"/>
      <c r="V1822" s="29"/>
    </row>
    <row r="1823" spans="3:22">
      <c r="C1823" s="125">
        <v>44183</v>
      </c>
      <c r="D1823" s="34">
        <v>180.070007</v>
      </c>
      <c r="E1823" s="115">
        <v>181.300003</v>
      </c>
      <c r="F1823" s="34">
        <v>177.470001</v>
      </c>
      <c r="G1823" s="34">
        <v>180.96000699999999</v>
      </c>
      <c r="H1823" s="34">
        <v>172.364059</v>
      </c>
      <c r="I1823" s="29">
        <v>5262700</v>
      </c>
      <c r="P1823" s="125"/>
      <c r="Q1823" s="34"/>
      <c r="R1823" s="115"/>
      <c r="S1823" s="34"/>
      <c r="T1823" s="34"/>
      <c r="U1823" s="34"/>
      <c r="V1823" s="29"/>
    </row>
    <row r="1824" spans="3:22">
      <c r="C1824" s="125">
        <v>44182</v>
      </c>
      <c r="D1824" s="34">
        <v>162.5</v>
      </c>
      <c r="E1824" s="115">
        <v>163.18</v>
      </c>
      <c r="F1824" s="34">
        <v>161.05000000000001</v>
      </c>
      <c r="G1824" s="34">
        <v>161.80000000000001</v>
      </c>
      <c r="H1824" s="34">
        <v>161.80000000000001</v>
      </c>
      <c r="I1824" s="29">
        <v>69486000</v>
      </c>
      <c r="P1824" s="125"/>
      <c r="Q1824" s="34"/>
      <c r="R1824" s="115"/>
      <c r="S1824" s="34"/>
      <c r="T1824" s="34"/>
      <c r="U1824" s="34"/>
      <c r="V1824" s="29"/>
    </row>
    <row r="1825" spans="3:22">
      <c r="C1825" s="125">
        <v>44182</v>
      </c>
      <c r="D1825" s="34">
        <v>180.66999799999999</v>
      </c>
      <c r="E1825" s="115">
        <v>180.729996</v>
      </c>
      <c r="F1825" s="34">
        <v>178.58000200000001</v>
      </c>
      <c r="G1825" s="34">
        <v>179.16999799999999</v>
      </c>
      <c r="H1825" s="34">
        <v>170.65905799999999</v>
      </c>
      <c r="I1825" s="29">
        <v>2296500</v>
      </c>
      <c r="P1825" s="125"/>
      <c r="Q1825" s="34"/>
      <c r="R1825" s="115"/>
      <c r="S1825" s="34"/>
      <c r="T1825" s="34"/>
      <c r="U1825" s="34"/>
      <c r="V1825" s="29"/>
    </row>
    <row r="1826" spans="3:22">
      <c r="C1826" s="125">
        <v>44181</v>
      </c>
      <c r="D1826" s="34">
        <v>158.80000000000001</v>
      </c>
      <c r="E1826" s="115">
        <v>162.35</v>
      </c>
      <c r="F1826" s="34">
        <v>158.18</v>
      </c>
      <c r="G1826" s="34">
        <v>162.05000000000001</v>
      </c>
      <c r="H1826" s="34">
        <v>162.05000000000001</v>
      </c>
      <c r="I1826" s="29">
        <v>88552000</v>
      </c>
      <c r="P1826" s="125"/>
      <c r="Q1826" s="34"/>
      <c r="R1826" s="115"/>
      <c r="S1826" s="34"/>
      <c r="T1826" s="34"/>
      <c r="U1826" s="34"/>
      <c r="V1826" s="29"/>
    </row>
    <row r="1827" spans="3:22">
      <c r="C1827" s="125">
        <v>44181</v>
      </c>
      <c r="D1827" s="34">
        <v>180.85000600000001</v>
      </c>
      <c r="E1827" s="115">
        <v>181.270004</v>
      </c>
      <c r="F1827" s="34">
        <v>178.36000100000001</v>
      </c>
      <c r="G1827" s="34">
        <v>179.5</v>
      </c>
      <c r="H1827" s="34">
        <v>170.97337300000001</v>
      </c>
      <c r="I1827" s="29">
        <v>2031800</v>
      </c>
      <c r="P1827" s="125"/>
      <c r="Q1827" s="34"/>
      <c r="R1827" s="115"/>
      <c r="S1827" s="34"/>
      <c r="T1827" s="34"/>
      <c r="U1827" s="34"/>
      <c r="V1827" s="29"/>
    </row>
    <row r="1828" spans="3:22">
      <c r="C1828" s="125">
        <v>44180</v>
      </c>
      <c r="D1828" s="34">
        <v>159.05000000000001</v>
      </c>
      <c r="E1828" s="115">
        <v>159.43</v>
      </c>
      <c r="F1828" s="34">
        <v>156.52000000000001</v>
      </c>
      <c r="G1828" s="34">
        <v>158.26</v>
      </c>
      <c r="H1828" s="34">
        <v>158.26</v>
      </c>
      <c r="I1828" s="29">
        <v>66390000</v>
      </c>
      <c r="P1828" s="125"/>
      <c r="Q1828" s="34"/>
      <c r="R1828" s="115"/>
      <c r="S1828" s="34"/>
      <c r="T1828" s="34"/>
      <c r="U1828" s="34"/>
      <c r="V1828" s="29"/>
    </row>
    <row r="1829" spans="3:22">
      <c r="C1829" s="125">
        <v>44180</v>
      </c>
      <c r="D1829" s="34">
        <v>179.929993</v>
      </c>
      <c r="E1829" s="115">
        <v>182.759995</v>
      </c>
      <c r="F1829" s="34">
        <v>179.020004</v>
      </c>
      <c r="G1829" s="34">
        <v>181.740005</v>
      </c>
      <c r="H1829" s="34">
        <v>173.106979</v>
      </c>
      <c r="I1829" s="29">
        <v>2360300</v>
      </c>
      <c r="P1829" s="125"/>
      <c r="Q1829" s="34"/>
      <c r="R1829" s="115"/>
      <c r="S1829" s="34"/>
      <c r="T1829" s="34"/>
      <c r="U1829" s="34"/>
      <c r="V1829" s="29"/>
    </row>
    <row r="1830" spans="3:22">
      <c r="C1830" s="125">
        <v>44179</v>
      </c>
      <c r="D1830" s="34">
        <v>157.15</v>
      </c>
      <c r="E1830" s="115">
        <v>159.52000000000001</v>
      </c>
      <c r="F1830" s="34">
        <v>156.30000000000001</v>
      </c>
      <c r="G1830" s="34">
        <v>157.85</v>
      </c>
      <c r="H1830" s="34">
        <v>157.85</v>
      </c>
      <c r="I1830" s="29">
        <v>83116000</v>
      </c>
      <c r="P1830" s="125"/>
      <c r="Q1830" s="34"/>
      <c r="R1830" s="115"/>
      <c r="S1830" s="34"/>
      <c r="T1830" s="34"/>
      <c r="U1830" s="34"/>
      <c r="V1830" s="29"/>
    </row>
    <row r="1831" spans="3:22">
      <c r="C1831" s="125">
        <v>44179</v>
      </c>
      <c r="D1831" s="34">
        <v>180.60000600000001</v>
      </c>
      <c r="E1831" s="115">
        <v>183.33000200000001</v>
      </c>
      <c r="F1831" s="34">
        <v>177.779999</v>
      </c>
      <c r="G1831" s="34">
        <v>178.050003</v>
      </c>
      <c r="H1831" s="34">
        <v>169.59225499999999</v>
      </c>
      <c r="I1831" s="29">
        <v>2533600</v>
      </c>
      <c r="P1831" s="125"/>
      <c r="Q1831" s="34"/>
      <c r="R1831" s="115"/>
      <c r="S1831" s="34"/>
      <c r="T1831" s="34"/>
      <c r="U1831" s="34"/>
      <c r="V1831" s="29"/>
    </row>
    <row r="1832" spans="3:22">
      <c r="C1832" s="125">
        <v>44176</v>
      </c>
      <c r="D1832" s="34">
        <v>154.83000000000001</v>
      </c>
      <c r="E1832" s="115">
        <v>155.93</v>
      </c>
      <c r="F1832" s="34">
        <v>153.63999999999999</v>
      </c>
      <c r="G1832" s="34">
        <v>155.82</v>
      </c>
      <c r="H1832" s="34">
        <v>155.82</v>
      </c>
      <c r="I1832" s="29">
        <v>61294000</v>
      </c>
      <c r="P1832" s="125"/>
      <c r="Q1832" s="34"/>
      <c r="R1832" s="115"/>
      <c r="S1832" s="34"/>
      <c r="T1832" s="34"/>
      <c r="U1832" s="34"/>
      <c r="V1832" s="29"/>
    </row>
    <row r="1833" spans="3:22">
      <c r="C1833" s="125">
        <v>44176</v>
      </c>
      <c r="D1833" s="34">
        <v>176.990005</v>
      </c>
      <c r="E1833" s="115">
        <v>179.779999</v>
      </c>
      <c r="F1833" s="34">
        <v>176.229996</v>
      </c>
      <c r="G1833" s="34">
        <v>179.28999300000001</v>
      </c>
      <c r="H1833" s="34">
        <v>170.773346</v>
      </c>
      <c r="I1833" s="29">
        <v>2673400</v>
      </c>
      <c r="P1833" s="125"/>
      <c r="Q1833" s="34"/>
      <c r="R1833" s="115"/>
      <c r="S1833" s="34"/>
      <c r="T1833" s="34"/>
      <c r="U1833" s="34"/>
      <c r="V1833" s="29"/>
    </row>
    <row r="1834" spans="3:22">
      <c r="C1834" s="125">
        <v>44175</v>
      </c>
      <c r="D1834" s="34">
        <v>154.44999999999999</v>
      </c>
      <c r="E1834" s="115">
        <v>157.1</v>
      </c>
      <c r="F1834" s="34">
        <v>153.80000000000001</v>
      </c>
      <c r="G1834" s="34">
        <v>155.07</v>
      </c>
      <c r="H1834" s="34">
        <v>155.07</v>
      </c>
      <c r="I1834" s="29">
        <v>60604000</v>
      </c>
      <c r="P1834" s="125"/>
      <c r="Q1834" s="34"/>
      <c r="R1834" s="115"/>
      <c r="S1834" s="34"/>
      <c r="T1834" s="34"/>
      <c r="U1834" s="34"/>
      <c r="V1834" s="29"/>
    </row>
    <row r="1835" spans="3:22">
      <c r="C1835" s="125">
        <v>44175</v>
      </c>
      <c r="D1835" s="34">
        <v>179.240005</v>
      </c>
      <c r="E1835" s="115">
        <v>179.529999</v>
      </c>
      <c r="F1835" s="34">
        <v>177.13999899999999</v>
      </c>
      <c r="G1835" s="34">
        <v>178.85000600000001</v>
      </c>
      <c r="H1835" s="34">
        <v>170.354263</v>
      </c>
      <c r="I1835" s="29">
        <v>3109400</v>
      </c>
      <c r="P1835" s="125"/>
      <c r="Q1835" s="34"/>
      <c r="R1835" s="115"/>
      <c r="S1835" s="34"/>
      <c r="T1835" s="34"/>
      <c r="U1835" s="34"/>
      <c r="V1835" s="29"/>
    </row>
    <row r="1836" spans="3:22">
      <c r="C1836" s="125">
        <v>44174</v>
      </c>
      <c r="D1836" s="34">
        <v>158.38999999999999</v>
      </c>
      <c r="E1836" s="115">
        <v>158.72</v>
      </c>
      <c r="F1836" s="34">
        <v>154.4</v>
      </c>
      <c r="G1836" s="34">
        <v>155.21</v>
      </c>
      <c r="H1836" s="34">
        <v>155.21</v>
      </c>
      <c r="I1836" s="29">
        <v>82016000</v>
      </c>
      <c r="P1836" s="125"/>
      <c r="Q1836" s="34"/>
      <c r="R1836" s="115"/>
      <c r="S1836" s="34"/>
      <c r="T1836" s="34"/>
      <c r="U1836" s="34"/>
      <c r="V1836" s="29"/>
    </row>
    <row r="1837" spans="3:22">
      <c r="C1837" s="125">
        <v>44174</v>
      </c>
      <c r="D1837" s="34">
        <v>179.61999499999999</v>
      </c>
      <c r="E1837" s="115">
        <v>180.479996</v>
      </c>
      <c r="F1837" s="34">
        <v>177</v>
      </c>
      <c r="G1837" s="34">
        <v>180.070007</v>
      </c>
      <c r="H1837" s="34">
        <v>171.51632699999999</v>
      </c>
      <c r="I1837" s="29">
        <v>2915500</v>
      </c>
      <c r="P1837" s="125"/>
      <c r="Q1837" s="34"/>
      <c r="R1837" s="115"/>
      <c r="S1837" s="34"/>
      <c r="T1837" s="34"/>
      <c r="U1837" s="34"/>
      <c r="V1837" s="29"/>
    </row>
    <row r="1838" spans="3:22">
      <c r="C1838" s="125">
        <v>44173</v>
      </c>
      <c r="D1838" s="34">
        <v>157.94999999999999</v>
      </c>
      <c r="E1838" s="115">
        <v>159.21</v>
      </c>
      <c r="F1838" s="34">
        <v>156</v>
      </c>
      <c r="G1838" s="34">
        <v>158.86000000000001</v>
      </c>
      <c r="H1838" s="34">
        <v>158.86000000000001</v>
      </c>
      <c r="I1838" s="29">
        <v>65726000</v>
      </c>
      <c r="P1838" s="125"/>
      <c r="Q1838" s="34"/>
      <c r="R1838" s="115"/>
      <c r="S1838" s="34"/>
      <c r="T1838" s="34"/>
      <c r="U1838" s="34"/>
      <c r="V1838" s="29"/>
    </row>
    <row r="1839" spans="3:22">
      <c r="C1839" s="125">
        <v>44173</v>
      </c>
      <c r="D1839" s="34">
        <v>177.66000399999999</v>
      </c>
      <c r="E1839" s="115">
        <v>180.740005</v>
      </c>
      <c r="F1839" s="34">
        <v>177.5</v>
      </c>
      <c r="G1839" s="34">
        <v>178.83999600000001</v>
      </c>
      <c r="H1839" s="34">
        <v>170.34472700000001</v>
      </c>
      <c r="I1839" s="29">
        <v>2001600</v>
      </c>
      <c r="P1839" s="125"/>
      <c r="Q1839" s="34"/>
      <c r="R1839" s="115"/>
      <c r="S1839" s="34"/>
      <c r="T1839" s="34"/>
      <c r="U1839" s="34"/>
      <c r="V1839" s="29"/>
    </row>
    <row r="1840" spans="3:22">
      <c r="C1840" s="125">
        <v>44172</v>
      </c>
      <c r="D1840" s="34">
        <v>157.82</v>
      </c>
      <c r="E1840" s="115">
        <v>159.04</v>
      </c>
      <c r="F1840" s="34">
        <v>157.08000000000001</v>
      </c>
      <c r="G1840" s="34">
        <v>157.9</v>
      </c>
      <c r="H1840" s="34">
        <v>157.9</v>
      </c>
      <c r="I1840" s="29">
        <v>55026000</v>
      </c>
      <c r="P1840" s="125"/>
      <c r="Q1840" s="34"/>
      <c r="R1840" s="115"/>
      <c r="S1840" s="34"/>
      <c r="T1840" s="34"/>
      <c r="U1840" s="34"/>
      <c r="V1840" s="29"/>
    </row>
    <row r="1841" spans="3:22">
      <c r="C1841" s="125">
        <v>44172</v>
      </c>
      <c r="D1841" s="34">
        <v>180.38999899999999</v>
      </c>
      <c r="E1841" s="115">
        <v>180.38999899999999</v>
      </c>
      <c r="F1841" s="34">
        <v>176.55999800000001</v>
      </c>
      <c r="G1841" s="34">
        <v>178.71000699999999</v>
      </c>
      <c r="H1841" s="34">
        <v>170.220932</v>
      </c>
      <c r="I1841" s="29">
        <v>4587400</v>
      </c>
      <c r="P1841" s="125"/>
      <c r="Q1841" s="34"/>
      <c r="R1841" s="115"/>
      <c r="S1841" s="34"/>
      <c r="T1841" s="34"/>
      <c r="U1841" s="34"/>
      <c r="V1841" s="29"/>
    </row>
    <row r="1842" spans="3:22">
      <c r="C1842" s="125">
        <v>44169</v>
      </c>
      <c r="D1842" s="34">
        <v>159.91</v>
      </c>
      <c r="E1842" s="115">
        <v>159.91</v>
      </c>
      <c r="F1842" s="34">
        <v>157.94</v>
      </c>
      <c r="G1842" s="34">
        <v>158.13</v>
      </c>
      <c r="H1842" s="34">
        <v>158.13</v>
      </c>
      <c r="I1842" s="29">
        <v>58272000</v>
      </c>
      <c r="P1842" s="125"/>
      <c r="Q1842" s="34"/>
      <c r="R1842" s="115"/>
      <c r="S1842" s="34"/>
      <c r="T1842" s="34"/>
      <c r="U1842" s="34"/>
      <c r="V1842" s="29"/>
    </row>
    <row r="1843" spans="3:22">
      <c r="C1843" s="125">
        <v>44169</v>
      </c>
      <c r="D1843" s="34">
        <v>175.91999799999999</v>
      </c>
      <c r="E1843" s="115">
        <v>183.80999800000001</v>
      </c>
      <c r="F1843" s="34">
        <v>175.61999499999999</v>
      </c>
      <c r="G1843" s="34">
        <v>182.21000699999999</v>
      </c>
      <c r="H1843" s="34">
        <v>173.55465699999999</v>
      </c>
      <c r="I1843" s="29">
        <v>6086200</v>
      </c>
      <c r="P1843" s="125"/>
      <c r="Q1843" s="34"/>
      <c r="R1843" s="115"/>
      <c r="S1843" s="34"/>
      <c r="T1843" s="34"/>
      <c r="U1843" s="34"/>
      <c r="V1843" s="29"/>
    </row>
    <row r="1844" spans="3:22">
      <c r="C1844" s="125">
        <v>44168</v>
      </c>
      <c r="D1844" s="34">
        <v>160.27000000000001</v>
      </c>
      <c r="E1844" s="115">
        <v>161.43</v>
      </c>
      <c r="F1844" s="34">
        <v>159.07</v>
      </c>
      <c r="G1844" s="34">
        <v>159.34</v>
      </c>
      <c r="H1844" s="34">
        <v>159.34</v>
      </c>
      <c r="I1844" s="29">
        <v>57840000</v>
      </c>
      <c r="P1844" s="125"/>
      <c r="Q1844" s="34"/>
      <c r="R1844" s="115"/>
      <c r="S1844" s="34"/>
      <c r="T1844" s="34"/>
      <c r="U1844" s="34"/>
      <c r="V1844" s="29"/>
    </row>
    <row r="1845" spans="3:22">
      <c r="C1845" s="125">
        <v>44168</v>
      </c>
      <c r="D1845" s="34">
        <v>173.86999499999999</v>
      </c>
      <c r="E1845" s="115">
        <v>175.08000200000001</v>
      </c>
      <c r="F1845" s="34">
        <v>173.279999</v>
      </c>
      <c r="G1845" s="34">
        <v>174.63000500000001</v>
      </c>
      <c r="H1845" s="34">
        <v>166.33471700000001</v>
      </c>
      <c r="I1845" s="29">
        <v>2903900</v>
      </c>
      <c r="P1845" s="125"/>
      <c r="Q1845" s="34"/>
      <c r="R1845" s="115"/>
      <c r="S1845" s="34"/>
      <c r="T1845" s="34"/>
      <c r="U1845" s="34"/>
      <c r="V1845" s="29"/>
    </row>
    <row r="1846" spans="3:22">
      <c r="C1846" s="125">
        <v>44167</v>
      </c>
      <c r="D1846" s="34">
        <v>161.08000000000001</v>
      </c>
      <c r="E1846" s="115">
        <v>161.6</v>
      </c>
      <c r="F1846" s="34">
        <v>158.66</v>
      </c>
      <c r="G1846" s="34">
        <v>160.18</v>
      </c>
      <c r="H1846" s="34">
        <v>160.18</v>
      </c>
      <c r="I1846" s="29">
        <v>62586000</v>
      </c>
      <c r="P1846" s="125"/>
      <c r="Q1846" s="34"/>
      <c r="R1846" s="115"/>
      <c r="S1846" s="34"/>
      <c r="T1846" s="34"/>
      <c r="U1846" s="34"/>
      <c r="V1846" s="29"/>
    </row>
    <row r="1847" spans="3:22">
      <c r="C1847" s="125">
        <v>44167</v>
      </c>
      <c r="D1847" s="34">
        <v>173.259995</v>
      </c>
      <c r="E1847" s="115">
        <v>174.41999799999999</v>
      </c>
      <c r="F1847" s="34">
        <v>172.279999</v>
      </c>
      <c r="G1847" s="34">
        <v>173.86999499999999</v>
      </c>
      <c r="H1847" s="34">
        <v>165.61082500000001</v>
      </c>
      <c r="I1847" s="29">
        <v>1971000</v>
      </c>
      <c r="P1847" s="125"/>
      <c r="Q1847" s="34"/>
      <c r="R1847" s="115"/>
      <c r="S1847" s="34"/>
      <c r="T1847" s="34"/>
      <c r="U1847" s="34"/>
      <c r="V1847" s="29"/>
    </row>
    <row r="1848" spans="3:22">
      <c r="C1848" s="125">
        <v>44166</v>
      </c>
      <c r="D1848" s="34">
        <v>159.43</v>
      </c>
      <c r="E1848" s="115">
        <v>162.44999999999999</v>
      </c>
      <c r="F1848" s="34">
        <v>157.86000000000001</v>
      </c>
      <c r="G1848" s="34">
        <v>161</v>
      </c>
      <c r="H1848" s="34">
        <v>161</v>
      </c>
      <c r="I1848" s="29">
        <v>90740000</v>
      </c>
      <c r="P1848" s="125"/>
      <c r="Q1848" s="34"/>
      <c r="R1848" s="115"/>
      <c r="S1848" s="34"/>
      <c r="T1848" s="34"/>
      <c r="U1848" s="34"/>
      <c r="V1848" s="29"/>
    </row>
    <row r="1849" spans="3:22">
      <c r="C1849" s="125">
        <v>44166</v>
      </c>
      <c r="D1849" s="34">
        <v>175.38999899999999</v>
      </c>
      <c r="E1849" s="115">
        <v>176.570007</v>
      </c>
      <c r="F1849" s="34">
        <v>172.94000199999999</v>
      </c>
      <c r="G1849" s="34">
        <v>173.259995</v>
      </c>
      <c r="H1849" s="34">
        <v>165.029785</v>
      </c>
      <c r="I1849" s="29">
        <v>2710200</v>
      </c>
      <c r="P1849" s="125"/>
      <c r="Q1849" s="34"/>
      <c r="R1849" s="115"/>
      <c r="S1849" s="34"/>
      <c r="T1849" s="34"/>
      <c r="U1849" s="34"/>
      <c r="V1849" s="29"/>
    </row>
    <row r="1850" spans="3:22">
      <c r="C1850" s="125">
        <v>44165</v>
      </c>
      <c r="D1850" s="34">
        <v>160.41999999999999</v>
      </c>
      <c r="E1850" s="115">
        <v>161.41999999999999</v>
      </c>
      <c r="F1850" s="34">
        <v>156.28</v>
      </c>
      <c r="G1850" s="34">
        <v>158.4</v>
      </c>
      <c r="H1850" s="34">
        <v>158.4</v>
      </c>
      <c r="I1850" s="29">
        <v>81278000</v>
      </c>
      <c r="P1850" s="125"/>
      <c r="Q1850" s="34"/>
      <c r="R1850" s="115"/>
      <c r="S1850" s="34"/>
      <c r="T1850" s="34"/>
      <c r="U1850" s="34"/>
      <c r="V1850" s="29"/>
    </row>
    <row r="1851" spans="3:22">
      <c r="C1851" s="125">
        <v>44165</v>
      </c>
      <c r="D1851" s="34">
        <v>173.61000100000001</v>
      </c>
      <c r="E1851" s="115">
        <v>174.88000500000001</v>
      </c>
      <c r="F1851" s="34">
        <v>172.429993</v>
      </c>
      <c r="G1851" s="34">
        <v>173.58999600000001</v>
      </c>
      <c r="H1851" s="34">
        <v>165.34414699999999</v>
      </c>
      <c r="I1851" s="29">
        <v>2382600</v>
      </c>
      <c r="P1851" s="125"/>
      <c r="Q1851" s="34"/>
      <c r="R1851" s="115"/>
      <c r="S1851" s="34"/>
      <c r="T1851" s="34"/>
      <c r="U1851" s="34"/>
      <c r="V1851" s="29"/>
    </row>
    <row r="1852" spans="3:22">
      <c r="C1852" s="125">
        <v>44162</v>
      </c>
      <c r="D1852" s="34">
        <v>160.56</v>
      </c>
      <c r="E1852" s="115">
        <v>160.81</v>
      </c>
      <c r="F1852" s="34">
        <v>159.5</v>
      </c>
      <c r="G1852" s="34">
        <v>159.77000000000001</v>
      </c>
      <c r="H1852" s="34">
        <v>159.77000000000001</v>
      </c>
      <c r="I1852" s="29">
        <v>47858000</v>
      </c>
      <c r="P1852" s="125"/>
      <c r="Q1852" s="34"/>
      <c r="R1852" s="115"/>
      <c r="S1852" s="34"/>
      <c r="T1852" s="34"/>
      <c r="U1852" s="34"/>
      <c r="V1852" s="29"/>
    </row>
    <row r="1853" spans="3:22">
      <c r="C1853" s="125">
        <v>44162</v>
      </c>
      <c r="D1853" s="34">
        <v>174.41000399999999</v>
      </c>
      <c r="E1853" s="115">
        <v>175.91999799999999</v>
      </c>
      <c r="F1853" s="34">
        <v>173.88000500000001</v>
      </c>
      <c r="G1853" s="34">
        <v>175.08000200000001</v>
      </c>
      <c r="H1853" s="34">
        <v>166.763351</v>
      </c>
      <c r="I1853" s="29">
        <v>976900</v>
      </c>
      <c r="P1853" s="125"/>
      <c r="Q1853" s="34"/>
      <c r="R1853" s="115"/>
      <c r="S1853" s="34"/>
      <c r="T1853" s="34"/>
      <c r="U1853" s="34"/>
      <c r="V1853" s="29"/>
    </row>
    <row r="1854" spans="3:22">
      <c r="C1854" s="125">
        <v>44160</v>
      </c>
      <c r="D1854" s="34">
        <v>157.09</v>
      </c>
      <c r="E1854" s="115">
        <v>159.9</v>
      </c>
      <c r="F1854" s="34">
        <v>157.01</v>
      </c>
      <c r="G1854" s="34">
        <v>159.25</v>
      </c>
      <c r="H1854" s="34">
        <v>159.25</v>
      </c>
      <c r="I1854" s="29">
        <v>75808000</v>
      </c>
      <c r="P1854" s="125"/>
      <c r="Q1854" s="34"/>
      <c r="R1854" s="115"/>
      <c r="S1854" s="34"/>
      <c r="T1854" s="34"/>
      <c r="U1854" s="34"/>
      <c r="V1854" s="29"/>
    </row>
    <row r="1855" spans="3:22">
      <c r="C1855" s="125">
        <v>44160</v>
      </c>
      <c r="D1855" s="34">
        <v>176.46000699999999</v>
      </c>
      <c r="E1855" s="115">
        <v>176.479996</v>
      </c>
      <c r="F1855" s="34">
        <v>172.779999</v>
      </c>
      <c r="G1855" s="34">
        <v>174.63000500000001</v>
      </c>
      <c r="H1855" s="34">
        <v>166.33471700000001</v>
      </c>
      <c r="I1855" s="29">
        <v>2506400</v>
      </c>
      <c r="P1855" s="125"/>
      <c r="Q1855" s="34"/>
      <c r="R1855" s="115"/>
      <c r="S1855" s="34"/>
      <c r="T1855" s="34"/>
      <c r="U1855" s="34"/>
      <c r="V1855" s="29"/>
    </row>
    <row r="1856" spans="3:22">
      <c r="C1856" s="125">
        <v>44159</v>
      </c>
      <c r="D1856" s="34">
        <v>155.02000000000001</v>
      </c>
      <c r="E1856" s="115">
        <v>156.71</v>
      </c>
      <c r="F1856" s="34">
        <v>154.31</v>
      </c>
      <c r="G1856" s="34">
        <v>155.9</v>
      </c>
      <c r="H1856" s="34">
        <v>155.9</v>
      </c>
      <c r="I1856" s="29">
        <v>72042000</v>
      </c>
      <c r="P1856" s="125"/>
      <c r="Q1856" s="34"/>
      <c r="R1856" s="115"/>
      <c r="S1856" s="34"/>
      <c r="T1856" s="34"/>
      <c r="U1856" s="34"/>
      <c r="V1856" s="29"/>
    </row>
    <row r="1857" spans="3:22">
      <c r="C1857" s="125">
        <v>44159</v>
      </c>
      <c r="D1857" s="34">
        <v>176.25</v>
      </c>
      <c r="E1857" s="115">
        <v>178.320007</v>
      </c>
      <c r="F1857" s="34">
        <v>175.270004</v>
      </c>
      <c r="G1857" s="34">
        <v>176.89999399999999</v>
      </c>
      <c r="H1857" s="34">
        <v>168.496872</v>
      </c>
      <c r="I1857" s="29">
        <v>3447000</v>
      </c>
      <c r="P1857" s="125"/>
      <c r="Q1857" s="34"/>
      <c r="R1857" s="115"/>
      <c r="S1857" s="34"/>
      <c r="T1857" s="34"/>
      <c r="U1857" s="34"/>
      <c r="V1857" s="29"/>
    </row>
    <row r="1858" spans="3:22">
      <c r="C1858" s="125">
        <v>44158</v>
      </c>
      <c r="D1858" s="34">
        <v>155.84</v>
      </c>
      <c r="E1858" s="115">
        <v>156.99</v>
      </c>
      <c r="F1858" s="34">
        <v>153.27000000000001</v>
      </c>
      <c r="G1858" s="34">
        <v>154.91999999999999</v>
      </c>
      <c r="H1858" s="34">
        <v>154.91999999999999</v>
      </c>
      <c r="I1858" s="29">
        <v>94178000</v>
      </c>
      <c r="P1858" s="125"/>
      <c r="Q1858" s="34"/>
      <c r="R1858" s="115"/>
      <c r="S1858" s="34"/>
      <c r="T1858" s="34"/>
      <c r="U1858" s="34"/>
      <c r="V1858" s="29"/>
    </row>
    <row r="1859" spans="3:22">
      <c r="C1859" s="125">
        <v>44158</v>
      </c>
      <c r="D1859" s="34">
        <v>173.759995</v>
      </c>
      <c r="E1859" s="115">
        <v>175.5</v>
      </c>
      <c r="F1859" s="34">
        <v>173.240005</v>
      </c>
      <c r="G1859" s="34">
        <v>174.779999</v>
      </c>
      <c r="H1859" s="34">
        <v>166.4776</v>
      </c>
      <c r="I1859" s="29">
        <v>2403500</v>
      </c>
      <c r="P1859" s="125"/>
      <c r="Q1859" s="34"/>
      <c r="R1859" s="115"/>
      <c r="S1859" s="34"/>
      <c r="T1859" s="34"/>
      <c r="U1859" s="34"/>
      <c r="V1859" s="29"/>
    </row>
    <row r="1860" spans="3:22">
      <c r="C1860" s="125">
        <v>44155</v>
      </c>
      <c r="D1860" s="34">
        <v>155.85</v>
      </c>
      <c r="E1860" s="115">
        <v>156.63999999999999</v>
      </c>
      <c r="F1860" s="34">
        <v>154.9</v>
      </c>
      <c r="G1860" s="34">
        <v>154.97</v>
      </c>
      <c r="H1860" s="34">
        <v>154.97</v>
      </c>
      <c r="I1860" s="29">
        <v>67488000</v>
      </c>
      <c r="P1860" s="125"/>
      <c r="Q1860" s="34"/>
      <c r="R1860" s="115"/>
      <c r="S1860" s="34"/>
      <c r="T1860" s="34"/>
      <c r="U1860" s="34"/>
      <c r="V1860" s="29"/>
    </row>
    <row r="1861" spans="3:22">
      <c r="C1861" s="125">
        <v>44155</v>
      </c>
      <c r="D1861" s="34">
        <v>172.449997</v>
      </c>
      <c r="E1861" s="115">
        <v>173.11999499999999</v>
      </c>
      <c r="F1861" s="34">
        <v>171.30999800000001</v>
      </c>
      <c r="G1861" s="34">
        <v>172.229996</v>
      </c>
      <c r="H1861" s="34">
        <v>164.048721</v>
      </c>
      <c r="I1861" s="29">
        <v>2449800</v>
      </c>
      <c r="P1861" s="125"/>
      <c r="Q1861" s="34"/>
      <c r="R1861" s="115"/>
      <c r="S1861" s="34"/>
      <c r="T1861" s="34"/>
      <c r="U1861" s="34"/>
      <c r="V1861" s="29"/>
    </row>
    <row r="1862" spans="3:22">
      <c r="C1862" s="125">
        <v>44154</v>
      </c>
      <c r="D1862" s="34">
        <v>155.27000000000001</v>
      </c>
      <c r="E1862" s="115">
        <v>156.25</v>
      </c>
      <c r="F1862" s="34">
        <v>154.05000000000001</v>
      </c>
      <c r="G1862" s="34">
        <v>155.85</v>
      </c>
      <c r="H1862" s="34">
        <v>155.85</v>
      </c>
      <c r="I1862" s="29">
        <v>60206000</v>
      </c>
      <c r="P1862" s="125"/>
      <c r="Q1862" s="34"/>
      <c r="R1862" s="115"/>
      <c r="S1862" s="34"/>
      <c r="T1862" s="34"/>
      <c r="U1862" s="34"/>
      <c r="V1862" s="29"/>
    </row>
    <row r="1863" spans="3:22">
      <c r="C1863" s="125">
        <v>44154</v>
      </c>
      <c r="D1863" s="34">
        <v>172.5</v>
      </c>
      <c r="E1863" s="115">
        <v>173.25</v>
      </c>
      <c r="F1863" s="34">
        <v>170.71000699999999</v>
      </c>
      <c r="G1863" s="34">
        <v>172.89999399999999</v>
      </c>
      <c r="H1863" s="34">
        <v>164.686905</v>
      </c>
      <c r="I1863" s="29">
        <v>2012100</v>
      </c>
      <c r="P1863" s="125"/>
      <c r="Q1863" s="34"/>
      <c r="R1863" s="115"/>
      <c r="S1863" s="34"/>
      <c r="T1863" s="34"/>
      <c r="U1863" s="34"/>
      <c r="V1863" s="29"/>
    </row>
    <row r="1864" spans="3:22">
      <c r="C1864" s="125">
        <v>44153</v>
      </c>
      <c r="D1864" s="34">
        <v>156.69999999999999</v>
      </c>
      <c r="E1864" s="115">
        <v>157</v>
      </c>
      <c r="F1864" s="34">
        <v>155.26</v>
      </c>
      <c r="G1864" s="34">
        <v>155.27000000000001</v>
      </c>
      <c r="H1864" s="34">
        <v>155.27000000000001</v>
      </c>
      <c r="I1864" s="29">
        <v>58336000</v>
      </c>
      <c r="P1864" s="125"/>
      <c r="Q1864" s="34"/>
      <c r="R1864" s="115"/>
      <c r="S1864" s="34"/>
      <c r="T1864" s="34"/>
      <c r="U1864" s="34"/>
      <c r="V1864" s="29"/>
    </row>
    <row r="1865" spans="3:22">
      <c r="C1865" s="125">
        <v>44153</v>
      </c>
      <c r="D1865" s="34">
        <v>172.03999300000001</v>
      </c>
      <c r="E1865" s="115">
        <v>175.38000500000001</v>
      </c>
      <c r="F1865" s="34">
        <v>172.03999300000001</v>
      </c>
      <c r="G1865" s="34">
        <v>172.740005</v>
      </c>
      <c r="H1865" s="34">
        <v>164.53448499999999</v>
      </c>
      <c r="I1865" s="29">
        <v>3165100</v>
      </c>
      <c r="P1865" s="125"/>
      <c r="Q1865" s="34"/>
      <c r="R1865" s="115"/>
      <c r="S1865" s="34"/>
      <c r="T1865" s="34"/>
      <c r="U1865" s="34"/>
      <c r="V1865" s="29"/>
    </row>
    <row r="1866" spans="3:22">
      <c r="C1866" s="125">
        <v>44152</v>
      </c>
      <c r="D1866" s="34">
        <v>159.18</v>
      </c>
      <c r="E1866" s="115">
        <v>159.46</v>
      </c>
      <c r="F1866" s="34">
        <v>156.76</v>
      </c>
      <c r="G1866" s="34">
        <v>156.78</v>
      </c>
      <c r="H1866" s="34">
        <v>156.78</v>
      </c>
      <c r="I1866" s="29">
        <v>68894000</v>
      </c>
      <c r="P1866" s="125"/>
      <c r="Q1866" s="34"/>
      <c r="R1866" s="115"/>
      <c r="S1866" s="34"/>
      <c r="T1866" s="34"/>
      <c r="U1866" s="34"/>
      <c r="V1866" s="29"/>
    </row>
    <row r="1867" spans="3:22">
      <c r="C1867" s="125">
        <v>44152</v>
      </c>
      <c r="D1867" s="34">
        <v>172.16999799999999</v>
      </c>
      <c r="E1867" s="115">
        <v>172.479996</v>
      </c>
      <c r="F1867" s="34">
        <v>170.19000199999999</v>
      </c>
      <c r="G1867" s="34">
        <v>171.91000399999999</v>
      </c>
      <c r="H1867" s="34">
        <v>163.743942</v>
      </c>
      <c r="I1867" s="29">
        <v>2110800</v>
      </c>
      <c r="P1867" s="125"/>
      <c r="Q1867" s="34"/>
      <c r="R1867" s="115"/>
      <c r="S1867" s="34"/>
      <c r="T1867" s="34"/>
      <c r="U1867" s="34"/>
      <c r="V1867" s="29"/>
    </row>
    <row r="1868" spans="3:22">
      <c r="C1868" s="125">
        <v>44151</v>
      </c>
      <c r="D1868" s="34">
        <v>154.66</v>
      </c>
      <c r="E1868" s="115">
        <v>157.13</v>
      </c>
      <c r="F1868" s="34">
        <v>153.63</v>
      </c>
      <c r="G1868" s="34">
        <v>156.55000000000001</v>
      </c>
      <c r="H1868" s="34">
        <v>156.55000000000001</v>
      </c>
      <c r="I1868" s="29">
        <v>76174000</v>
      </c>
      <c r="P1868" s="125"/>
      <c r="Q1868" s="34"/>
      <c r="R1868" s="115"/>
      <c r="S1868" s="34"/>
      <c r="T1868" s="34"/>
      <c r="U1868" s="34"/>
      <c r="V1868" s="29"/>
    </row>
    <row r="1869" spans="3:22">
      <c r="C1869" s="125">
        <v>44151</v>
      </c>
      <c r="D1869" s="34">
        <v>175</v>
      </c>
      <c r="E1869" s="115">
        <v>175</v>
      </c>
      <c r="F1869" s="34">
        <v>171.83000200000001</v>
      </c>
      <c r="G1869" s="34">
        <v>173.19000199999999</v>
      </c>
      <c r="H1869" s="34">
        <v>164.96310399999999</v>
      </c>
      <c r="I1869" s="29">
        <v>3902400</v>
      </c>
      <c r="P1869" s="125"/>
      <c r="Q1869" s="34"/>
      <c r="R1869" s="115"/>
      <c r="S1869" s="34"/>
      <c r="T1869" s="34"/>
      <c r="U1869" s="34"/>
      <c r="V1869" s="29"/>
    </row>
    <row r="1870" spans="3:22">
      <c r="C1870" s="125">
        <v>44148</v>
      </c>
      <c r="D1870" s="34">
        <v>156.1</v>
      </c>
      <c r="E1870" s="115">
        <v>157.09</v>
      </c>
      <c r="F1870" s="34">
        <v>154.27000000000001</v>
      </c>
      <c r="G1870" s="34">
        <v>156.44</v>
      </c>
      <c r="H1870" s="34">
        <v>156.44</v>
      </c>
      <c r="I1870" s="29">
        <v>75124000</v>
      </c>
      <c r="P1870" s="125"/>
      <c r="Q1870" s="34"/>
      <c r="R1870" s="115"/>
      <c r="S1870" s="34"/>
      <c r="T1870" s="34"/>
      <c r="U1870" s="34"/>
      <c r="V1870" s="29"/>
    </row>
    <row r="1871" spans="3:22">
      <c r="C1871" s="125">
        <v>44148</v>
      </c>
      <c r="D1871" s="34">
        <v>170.300003</v>
      </c>
      <c r="E1871" s="115">
        <v>172.220001</v>
      </c>
      <c r="F1871" s="34">
        <v>169.19000199999999</v>
      </c>
      <c r="G1871" s="34">
        <v>171.71000699999999</v>
      </c>
      <c r="H1871" s="34">
        <v>163.553436</v>
      </c>
      <c r="I1871" s="29">
        <v>2120200</v>
      </c>
      <c r="P1871" s="125"/>
      <c r="Q1871" s="34"/>
      <c r="R1871" s="115"/>
      <c r="S1871" s="34"/>
      <c r="T1871" s="34"/>
      <c r="U1871" s="34"/>
      <c r="V1871" s="29"/>
    </row>
    <row r="1872" spans="3:22">
      <c r="C1872" s="125">
        <v>44147</v>
      </c>
      <c r="D1872" s="34">
        <v>158</v>
      </c>
      <c r="E1872" s="115">
        <v>158.79</v>
      </c>
      <c r="F1872" s="34">
        <v>154.30000000000001</v>
      </c>
      <c r="G1872" s="34">
        <v>155.51</v>
      </c>
      <c r="H1872" s="34">
        <v>155.51</v>
      </c>
      <c r="I1872" s="29">
        <v>87240000</v>
      </c>
      <c r="P1872" s="125"/>
      <c r="Q1872" s="34"/>
      <c r="R1872" s="115"/>
      <c r="S1872" s="34"/>
      <c r="T1872" s="34"/>
      <c r="U1872" s="34"/>
      <c r="V1872" s="29"/>
    </row>
    <row r="1873" spans="3:22">
      <c r="C1873" s="125">
        <v>44147</v>
      </c>
      <c r="D1873" s="34">
        <v>168.83000200000001</v>
      </c>
      <c r="E1873" s="115">
        <v>171.10000600000001</v>
      </c>
      <c r="F1873" s="34">
        <v>167.64999399999999</v>
      </c>
      <c r="G1873" s="34">
        <v>169.13000500000001</v>
      </c>
      <c r="H1873" s="34">
        <v>161.09599299999999</v>
      </c>
      <c r="I1873" s="29">
        <v>2185500</v>
      </c>
      <c r="P1873" s="125"/>
      <c r="Q1873" s="34"/>
      <c r="R1873" s="115"/>
      <c r="S1873" s="34"/>
      <c r="T1873" s="34"/>
      <c r="U1873" s="34"/>
      <c r="V1873" s="29"/>
    </row>
    <row r="1874" spans="3:22">
      <c r="C1874" s="125">
        <v>44146</v>
      </c>
      <c r="D1874" s="34">
        <v>153.09</v>
      </c>
      <c r="E1874" s="115">
        <v>156.96</v>
      </c>
      <c r="F1874" s="34">
        <v>152.5</v>
      </c>
      <c r="G1874" s="34">
        <v>156.87</v>
      </c>
      <c r="H1874" s="34">
        <v>156.87</v>
      </c>
      <c r="I1874" s="29">
        <v>87338000</v>
      </c>
      <c r="P1874" s="125"/>
      <c r="Q1874" s="34"/>
      <c r="R1874" s="115"/>
      <c r="S1874" s="34"/>
      <c r="T1874" s="34"/>
      <c r="U1874" s="34"/>
      <c r="V1874" s="29"/>
    </row>
    <row r="1875" spans="3:22">
      <c r="C1875" s="125">
        <v>44146</v>
      </c>
      <c r="D1875" s="34">
        <v>172.38000500000001</v>
      </c>
      <c r="E1875" s="115">
        <v>172.740005</v>
      </c>
      <c r="F1875" s="34">
        <v>167.470001</v>
      </c>
      <c r="G1875" s="34">
        <v>169.46000699999999</v>
      </c>
      <c r="H1875" s="34">
        <v>161.41030900000001</v>
      </c>
      <c r="I1875" s="29">
        <v>2345500</v>
      </c>
      <c r="P1875" s="125"/>
      <c r="Q1875" s="34"/>
      <c r="R1875" s="115"/>
      <c r="S1875" s="34"/>
      <c r="T1875" s="34"/>
      <c r="U1875" s="34"/>
      <c r="V1875" s="29"/>
    </row>
    <row r="1876" spans="3:22">
      <c r="C1876" s="125">
        <v>44145</v>
      </c>
      <c r="D1876" s="34">
        <v>154.75</v>
      </c>
      <c r="E1876" s="115">
        <v>155.69999999999999</v>
      </c>
      <c r="F1876" s="34">
        <v>150.97</v>
      </c>
      <c r="G1876" s="34">
        <v>151.75</v>
      </c>
      <c r="H1876" s="34">
        <v>151.75</v>
      </c>
      <c r="I1876" s="29">
        <v>131820000</v>
      </c>
      <c r="P1876" s="125"/>
      <c r="Q1876" s="34"/>
      <c r="R1876" s="115"/>
      <c r="S1876" s="34"/>
      <c r="T1876" s="34"/>
      <c r="U1876" s="34"/>
      <c r="V1876" s="29"/>
    </row>
    <row r="1877" spans="3:22">
      <c r="C1877" s="125">
        <v>44145</v>
      </c>
      <c r="D1877" s="34">
        <v>171.89999399999999</v>
      </c>
      <c r="E1877" s="115">
        <v>174.990005</v>
      </c>
      <c r="F1877" s="34">
        <v>170.770004</v>
      </c>
      <c r="G1877" s="34">
        <v>172.300003</v>
      </c>
      <c r="H1877" s="34">
        <v>164.11540199999999</v>
      </c>
      <c r="I1877" s="29">
        <v>3499100</v>
      </c>
      <c r="P1877" s="125"/>
      <c r="Q1877" s="34"/>
      <c r="R1877" s="115"/>
      <c r="S1877" s="34"/>
      <c r="T1877" s="34"/>
      <c r="U1877" s="34"/>
      <c r="V1877" s="29"/>
    </row>
    <row r="1878" spans="3:22">
      <c r="C1878" s="125">
        <v>44144</v>
      </c>
      <c r="D1878" s="34">
        <v>161.55000000000001</v>
      </c>
      <c r="E1878" s="115">
        <v>164.45</v>
      </c>
      <c r="F1878" s="34">
        <v>155.61000000000001</v>
      </c>
      <c r="G1878" s="34">
        <v>157.19</v>
      </c>
      <c r="H1878" s="34">
        <v>157.19</v>
      </c>
      <c r="I1878" s="29">
        <v>143808000</v>
      </c>
      <c r="P1878" s="125"/>
      <c r="Q1878" s="34"/>
      <c r="R1878" s="115"/>
      <c r="S1878" s="34"/>
      <c r="T1878" s="34"/>
      <c r="U1878" s="34"/>
      <c r="V1878" s="29"/>
    </row>
    <row r="1879" spans="3:22">
      <c r="C1879" s="125">
        <v>44144</v>
      </c>
      <c r="D1879" s="34">
        <v>174.029999</v>
      </c>
      <c r="E1879" s="115">
        <v>176.36999499999999</v>
      </c>
      <c r="F1879" s="34">
        <v>170.11999499999999</v>
      </c>
      <c r="G1879" s="34">
        <v>170.820007</v>
      </c>
      <c r="H1879" s="34">
        <v>162.70571899999999</v>
      </c>
      <c r="I1879" s="29">
        <v>5969600</v>
      </c>
      <c r="P1879" s="125"/>
      <c r="Q1879" s="34"/>
      <c r="R1879" s="115"/>
      <c r="S1879" s="34"/>
      <c r="T1879" s="34"/>
      <c r="U1879" s="34"/>
      <c r="V1879" s="29"/>
    </row>
    <row r="1880" spans="3:22">
      <c r="C1880" s="125">
        <v>44141</v>
      </c>
      <c r="D1880" s="34">
        <v>165.23</v>
      </c>
      <c r="E1880" s="115">
        <v>166.1</v>
      </c>
      <c r="F1880" s="34">
        <v>161.6</v>
      </c>
      <c r="G1880" s="34">
        <v>165.57</v>
      </c>
      <c r="H1880" s="34">
        <v>165.57</v>
      </c>
      <c r="I1880" s="29">
        <v>92946000</v>
      </c>
      <c r="P1880" s="125"/>
      <c r="Q1880" s="34"/>
      <c r="R1880" s="115"/>
      <c r="S1880" s="34"/>
      <c r="T1880" s="34"/>
      <c r="U1880" s="34"/>
      <c r="V1880" s="29"/>
    </row>
    <row r="1881" spans="3:22">
      <c r="C1881" s="125">
        <v>44141</v>
      </c>
      <c r="D1881" s="34">
        <v>163.94000199999999</v>
      </c>
      <c r="E1881" s="115">
        <v>165.53999300000001</v>
      </c>
      <c r="F1881" s="34">
        <v>160.759995</v>
      </c>
      <c r="G1881" s="34">
        <v>161.28999300000001</v>
      </c>
      <c r="H1881" s="34">
        <v>153.628387</v>
      </c>
      <c r="I1881" s="29">
        <v>2983000</v>
      </c>
      <c r="P1881" s="125"/>
      <c r="Q1881" s="34"/>
      <c r="R1881" s="115"/>
      <c r="S1881" s="34"/>
      <c r="T1881" s="34"/>
      <c r="U1881" s="34"/>
      <c r="V1881" s="29"/>
    </row>
    <row r="1882" spans="3:22">
      <c r="C1882" s="125">
        <v>44140</v>
      </c>
      <c r="D1882" s="34">
        <v>166</v>
      </c>
      <c r="E1882" s="115">
        <v>168.34</v>
      </c>
      <c r="F1882" s="34">
        <v>164.44</v>
      </c>
      <c r="G1882" s="34">
        <v>166.1</v>
      </c>
      <c r="H1882" s="34">
        <v>166.1</v>
      </c>
      <c r="I1882" s="29">
        <v>115786000</v>
      </c>
      <c r="P1882" s="125"/>
      <c r="Q1882" s="34"/>
      <c r="R1882" s="115"/>
      <c r="S1882" s="34"/>
      <c r="T1882" s="34"/>
      <c r="U1882" s="34"/>
      <c r="V1882" s="29"/>
    </row>
    <row r="1883" spans="3:22">
      <c r="C1883" s="125">
        <v>44140</v>
      </c>
      <c r="D1883" s="34">
        <v>157.66999799999999</v>
      </c>
      <c r="E1883" s="115">
        <v>164.96000699999999</v>
      </c>
      <c r="F1883" s="34">
        <v>157.60000600000001</v>
      </c>
      <c r="G1883" s="34">
        <v>163.08999600000001</v>
      </c>
      <c r="H1883" s="34">
        <v>155.342896</v>
      </c>
      <c r="I1883" s="29">
        <v>4821600</v>
      </c>
      <c r="P1883" s="125"/>
      <c r="Q1883" s="34"/>
      <c r="R1883" s="115"/>
      <c r="S1883" s="34"/>
      <c r="T1883" s="34"/>
      <c r="U1883" s="34"/>
      <c r="V1883" s="29"/>
    </row>
    <row r="1884" spans="3:22">
      <c r="C1884" s="125">
        <v>44139</v>
      </c>
      <c r="D1884" s="34">
        <v>158</v>
      </c>
      <c r="E1884" s="115">
        <v>162.24</v>
      </c>
      <c r="F1884" s="34">
        <v>156.99</v>
      </c>
      <c r="G1884" s="34">
        <v>162.06</v>
      </c>
      <c r="H1884" s="34">
        <v>162.06</v>
      </c>
      <c r="I1884" s="29">
        <v>136780000</v>
      </c>
      <c r="P1884" s="125"/>
      <c r="Q1884" s="34"/>
      <c r="R1884" s="115"/>
      <c r="S1884" s="34"/>
      <c r="T1884" s="34"/>
      <c r="U1884" s="34"/>
      <c r="V1884" s="29"/>
    </row>
    <row r="1885" spans="3:22">
      <c r="C1885" s="125">
        <v>44139</v>
      </c>
      <c r="D1885" s="34">
        <v>159.179993</v>
      </c>
      <c r="E1885" s="115">
        <v>162.38000500000001</v>
      </c>
      <c r="F1885" s="34">
        <v>155.229996</v>
      </c>
      <c r="G1885" s="34">
        <v>155.229996</v>
      </c>
      <c r="H1885" s="34">
        <v>147.856247</v>
      </c>
      <c r="I1885" s="29">
        <v>9081700</v>
      </c>
      <c r="P1885" s="125"/>
      <c r="Q1885" s="34"/>
      <c r="R1885" s="115"/>
      <c r="S1885" s="34"/>
      <c r="T1885" s="34"/>
      <c r="U1885" s="34"/>
      <c r="V1885" s="29"/>
    </row>
    <row r="1886" spans="3:22">
      <c r="C1886" s="125">
        <v>44138</v>
      </c>
      <c r="D1886" s="34">
        <v>150.93</v>
      </c>
      <c r="E1886" s="115">
        <v>153.74</v>
      </c>
      <c r="F1886" s="34">
        <v>149.05000000000001</v>
      </c>
      <c r="G1886" s="34">
        <v>152.41999999999999</v>
      </c>
      <c r="H1886" s="34">
        <v>152.41999999999999</v>
      </c>
      <c r="I1886" s="29">
        <v>97958000</v>
      </c>
      <c r="P1886" s="125"/>
      <c r="Q1886" s="34"/>
      <c r="R1886" s="115"/>
      <c r="S1886" s="34"/>
      <c r="T1886" s="34"/>
      <c r="U1886" s="34"/>
      <c r="V1886" s="29"/>
    </row>
    <row r="1887" spans="3:22">
      <c r="C1887" s="125">
        <v>44138</v>
      </c>
      <c r="D1887" s="34">
        <v>165</v>
      </c>
      <c r="E1887" s="115">
        <v>169</v>
      </c>
      <c r="F1887" s="34">
        <v>163.070007</v>
      </c>
      <c r="G1887" s="34">
        <v>167.69000199999999</v>
      </c>
      <c r="H1887" s="34">
        <v>159.72439600000001</v>
      </c>
      <c r="I1887" s="29">
        <v>4843600</v>
      </c>
      <c r="P1887" s="125"/>
      <c r="Q1887" s="34"/>
      <c r="R1887" s="115"/>
      <c r="S1887" s="34"/>
      <c r="T1887" s="34"/>
      <c r="U1887" s="34"/>
      <c r="V1887" s="29"/>
    </row>
    <row r="1888" spans="3:22">
      <c r="C1888" s="125">
        <v>44137</v>
      </c>
      <c r="D1888" s="34">
        <v>153.09</v>
      </c>
      <c r="E1888" s="115">
        <v>153.99</v>
      </c>
      <c r="F1888" s="34">
        <v>147.51</v>
      </c>
      <c r="G1888" s="34">
        <v>150.22</v>
      </c>
      <c r="H1888" s="34">
        <v>150.22</v>
      </c>
      <c r="I1888" s="29">
        <v>145148000</v>
      </c>
      <c r="P1888" s="125"/>
      <c r="Q1888" s="34"/>
      <c r="R1888" s="115"/>
      <c r="S1888" s="34"/>
      <c r="T1888" s="34"/>
      <c r="U1888" s="34"/>
      <c r="V1888" s="29"/>
    </row>
    <row r="1889" spans="3:22">
      <c r="C1889" s="125">
        <v>44137</v>
      </c>
      <c r="D1889" s="34">
        <v>159.199997</v>
      </c>
      <c r="E1889" s="115">
        <v>163.85000600000001</v>
      </c>
      <c r="F1889" s="34">
        <v>157.64999399999999</v>
      </c>
      <c r="G1889" s="34">
        <v>163.270004</v>
      </c>
      <c r="H1889" s="34">
        <v>155.51432800000001</v>
      </c>
      <c r="I1889" s="29">
        <v>4072400</v>
      </c>
      <c r="P1889" s="125"/>
      <c r="Q1889" s="34"/>
      <c r="R1889" s="115"/>
      <c r="S1889" s="34"/>
      <c r="T1889" s="34"/>
      <c r="U1889" s="34"/>
      <c r="V1889" s="29"/>
    </row>
    <row r="1890" spans="3:22">
      <c r="C1890" s="125">
        <v>44134</v>
      </c>
      <c r="D1890" s="34">
        <v>157.88999999999999</v>
      </c>
      <c r="E1890" s="115">
        <v>158.35</v>
      </c>
      <c r="F1890" s="34">
        <v>150.94999999999999</v>
      </c>
      <c r="G1890" s="34">
        <v>151.81</v>
      </c>
      <c r="H1890" s="34">
        <v>151.81</v>
      </c>
      <c r="I1890" s="29">
        <v>167728000</v>
      </c>
      <c r="P1890" s="125"/>
      <c r="Q1890" s="34"/>
      <c r="R1890" s="115"/>
      <c r="S1890" s="34"/>
      <c r="T1890" s="34"/>
      <c r="U1890" s="34"/>
      <c r="V1890" s="29"/>
    </row>
    <row r="1891" spans="3:22">
      <c r="C1891" s="125">
        <v>44134</v>
      </c>
      <c r="D1891" s="34">
        <v>153.96000699999999</v>
      </c>
      <c r="E1891" s="115">
        <v>157.28999300000001</v>
      </c>
      <c r="F1891" s="34">
        <v>153.03999300000001</v>
      </c>
      <c r="G1891" s="34">
        <v>157.050003</v>
      </c>
      <c r="H1891" s="34">
        <v>149.58981299999999</v>
      </c>
      <c r="I1891" s="29">
        <v>4373500</v>
      </c>
      <c r="P1891" s="125"/>
      <c r="Q1891" s="34"/>
      <c r="R1891" s="115"/>
      <c r="S1891" s="34"/>
      <c r="T1891" s="34"/>
      <c r="U1891" s="34"/>
      <c r="V1891" s="29"/>
    </row>
    <row r="1892" spans="3:22">
      <c r="C1892" s="125">
        <v>44133</v>
      </c>
      <c r="D1892" s="34">
        <v>160.06</v>
      </c>
      <c r="E1892" s="115">
        <v>162.86000000000001</v>
      </c>
      <c r="F1892" s="34">
        <v>158.19999999999999</v>
      </c>
      <c r="G1892" s="34">
        <v>160.55000000000001</v>
      </c>
      <c r="H1892" s="34">
        <v>160.55000000000001</v>
      </c>
      <c r="I1892" s="29">
        <v>131930000</v>
      </c>
      <c r="P1892" s="125"/>
      <c r="Q1892" s="34"/>
      <c r="R1892" s="115"/>
      <c r="S1892" s="34"/>
      <c r="T1892" s="34"/>
      <c r="U1892" s="34"/>
      <c r="V1892" s="29"/>
    </row>
    <row r="1893" spans="3:22">
      <c r="C1893" s="125">
        <v>44133</v>
      </c>
      <c r="D1893" s="34">
        <v>150.60000600000001</v>
      </c>
      <c r="E1893" s="115">
        <v>155.509995</v>
      </c>
      <c r="F1893" s="34">
        <v>149.63000500000001</v>
      </c>
      <c r="G1893" s="34">
        <v>154.66999799999999</v>
      </c>
      <c r="H1893" s="34">
        <v>147.32287600000001</v>
      </c>
      <c r="I1893" s="29">
        <v>3867200</v>
      </c>
      <c r="P1893" s="125"/>
      <c r="Q1893" s="34"/>
      <c r="R1893" s="115"/>
      <c r="S1893" s="34"/>
      <c r="T1893" s="34"/>
      <c r="U1893" s="34"/>
      <c r="V1893" s="29"/>
    </row>
    <row r="1894" spans="3:22">
      <c r="C1894" s="125">
        <v>44132</v>
      </c>
      <c r="D1894" s="34">
        <v>162.46</v>
      </c>
      <c r="E1894" s="115">
        <v>163.19999999999999</v>
      </c>
      <c r="F1894" s="34">
        <v>158.12</v>
      </c>
      <c r="G1894" s="34">
        <v>158.13999999999999</v>
      </c>
      <c r="H1894" s="34">
        <v>158.13999999999999</v>
      </c>
      <c r="I1894" s="29">
        <v>111766000</v>
      </c>
      <c r="P1894" s="125"/>
      <c r="Q1894" s="34"/>
      <c r="R1894" s="115"/>
      <c r="S1894" s="34"/>
      <c r="T1894" s="34"/>
      <c r="U1894" s="34"/>
      <c r="V1894" s="29"/>
    </row>
    <row r="1895" spans="3:22">
      <c r="C1895" s="125">
        <v>44132</v>
      </c>
      <c r="D1895" s="34">
        <v>153.800003</v>
      </c>
      <c r="E1895" s="115">
        <v>155.429993</v>
      </c>
      <c r="F1895" s="34">
        <v>150.520004</v>
      </c>
      <c r="G1895" s="34">
        <v>151.16000399999999</v>
      </c>
      <c r="H1895" s="34">
        <v>143.97958399999999</v>
      </c>
      <c r="I1895" s="29">
        <v>5645100</v>
      </c>
      <c r="P1895" s="125"/>
      <c r="Q1895" s="34"/>
      <c r="R1895" s="115"/>
      <c r="S1895" s="34"/>
      <c r="T1895" s="34"/>
      <c r="U1895" s="34"/>
      <c r="V1895" s="29"/>
    </row>
    <row r="1896" spans="3:22">
      <c r="C1896" s="125">
        <v>44131</v>
      </c>
      <c r="D1896" s="34">
        <v>161.25</v>
      </c>
      <c r="E1896" s="115">
        <v>164.58</v>
      </c>
      <c r="F1896" s="34">
        <v>160.57</v>
      </c>
      <c r="G1896" s="34">
        <v>164.32</v>
      </c>
      <c r="H1896" s="34">
        <v>164.32</v>
      </c>
      <c r="I1896" s="29">
        <v>85820000</v>
      </c>
      <c r="P1896" s="125"/>
      <c r="Q1896" s="34"/>
      <c r="R1896" s="115"/>
      <c r="S1896" s="34"/>
      <c r="T1896" s="34"/>
      <c r="U1896" s="34"/>
      <c r="V1896" s="29"/>
    </row>
    <row r="1897" spans="3:22">
      <c r="C1897" s="125">
        <v>44131</v>
      </c>
      <c r="D1897" s="34">
        <v>160.96000699999999</v>
      </c>
      <c r="E1897" s="115">
        <v>161.85000600000001</v>
      </c>
      <c r="F1897" s="34">
        <v>157.009995</v>
      </c>
      <c r="G1897" s="34">
        <v>157.91000399999999</v>
      </c>
      <c r="H1897" s="34">
        <v>150.40896599999999</v>
      </c>
      <c r="I1897" s="29">
        <v>4857900</v>
      </c>
      <c r="P1897" s="125"/>
      <c r="Q1897" s="34"/>
      <c r="R1897" s="115"/>
      <c r="S1897" s="34"/>
      <c r="T1897" s="34"/>
      <c r="U1897" s="34"/>
      <c r="V1897" s="29"/>
    </row>
    <row r="1898" spans="3:22">
      <c r="C1898" s="125">
        <v>44130</v>
      </c>
      <c r="D1898" s="34">
        <v>159.94</v>
      </c>
      <c r="E1898" s="115">
        <v>164.15</v>
      </c>
      <c r="F1898" s="34">
        <v>157.66</v>
      </c>
      <c r="G1898" s="34">
        <v>160.35</v>
      </c>
      <c r="H1898" s="34">
        <v>160.35</v>
      </c>
      <c r="I1898" s="29">
        <v>118024000</v>
      </c>
      <c r="P1898" s="125"/>
      <c r="Q1898" s="34"/>
      <c r="R1898" s="115"/>
      <c r="S1898" s="34"/>
      <c r="T1898" s="34"/>
      <c r="U1898" s="34"/>
      <c r="V1898" s="29"/>
    </row>
    <row r="1899" spans="3:22">
      <c r="C1899" s="125">
        <v>44130</v>
      </c>
      <c r="D1899" s="34">
        <v>166.63999899999999</v>
      </c>
      <c r="E1899" s="115">
        <v>166.63999899999999</v>
      </c>
      <c r="F1899" s="34">
        <v>160.83000200000001</v>
      </c>
      <c r="G1899" s="34">
        <v>163.199997</v>
      </c>
      <c r="H1899" s="34">
        <v>155.44766200000001</v>
      </c>
      <c r="I1899" s="29">
        <v>4506600</v>
      </c>
      <c r="P1899" s="125"/>
      <c r="Q1899" s="34"/>
      <c r="R1899" s="115"/>
      <c r="S1899" s="34"/>
      <c r="T1899" s="34"/>
      <c r="U1899" s="34"/>
      <c r="V1899" s="29"/>
    </row>
    <row r="1900" spans="3:22">
      <c r="C1900" s="125">
        <v>44127</v>
      </c>
      <c r="D1900" s="34">
        <v>159.55000000000001</v>
      </c>
      <c r="E1900" s="115">
        <v>160.27000000000001</v>
      </c>
      <c r="F1900" s="34">
        <v>157</v>
      </c>
      <c r="G1900" s="34">
        <v>160.22</v>
      </c>
      <c r="H1900" s="34">
        <v>160.22</v>
      </c>
      <c r="I1900" s="29">
        <v>69334000</v>
      </c>
      <c r="P1900" s="125"/>
      <c r="Q1900" s="34"/>
      <c r="R1900" s="115"/>
      <c r="S1900" s="34"/>
      <c r="T1900" s="34"/>
      <c r="U1900" s="34"/>
      <c r="V1900" s="29"/>
    </row>
    <row r="1901" spans="3:22">
      <c r="C1901" s="125">
        <v>44127</v>
      </c>
      <c r="D1901" s="34">
        <v>169.36999499999999</v>
      </c>
      <c r="E1901" s="115">
        <v>170.64999399999999</v>
      </c>
      <c r="F1901" s="34">
        <v>167.55999800000001</v>
      </c>
      <c r="G1901" s="34">
        <v>168.58999600000001</v>
      </c>
      <c r="H1901" s="34">
        <v>160.58163500000001</v>
      </c>
      <c r="I1901" s="29">
        <v>2857300</v>
      </c>
      <c r="P1901" s="125"/>
      <c r="Q1901" s="34"/>
      <c r="R1901" s="115"/>
      <c r="S1901" s="34"/>
      <c r="T1901" s="34"/>
      <c r="U1901" s="34"/>
      <c r="V1901" s="29"/>
    </row>
    <row r="1902" spans="3:22">
      <c r="C1902" s="125">
        <v>44126</v>
      </c>
      <c r="D1902" s="34">
        <v>159.49</v>
      </c>
      <c r="E1902" s="115">
        <v>159.94</v>
      </c>
      <c r="F1902" s="34">
        <v>156.1</v>
      </c>
      <c r="G1902" s="34">
        <v>158.82</v>
      </c>
      <c r="H1902" s="34">
        <v>158.82</v>
      </c>
      <c r="I1902" s="29">
        <v>84240000</v>
      </c>
      <c r="P1902" s="125"/>
      <c r="Q1902" s="34"/>
      <c r="R1902" s="115"/>
      <c r="S1902" s="34"/>
      <c r="T1902" s="34"/>
      <c r="U1902" s="34"/>
      <c r="V1902" s="29"/>
    </row>
    <row r="1903" spans="3:22">
      <c r="C1903" s="125">
        <v>44126</v>
      </c>
      <c r="D1903" s="34">
        <v>167.979996</v>
      </c>
      <c r="E1903" s="115">
        <v>169.85000600000001</v>
      </c>
      <c r="F1903" s="34">
        <v>166.88999899999999</v>
      </c>
      <c r="G1903" s="34">
        <v>169.66000399999999</v>
      </c>
      <c r="H1903" s="34">
        <v>160.61972</v>
      </c>
      <c r="I1903" s="29">
        <v>2356800</v>
      </c>
      <c r="P1903" s="125"/>
      <c r="Q1903" s="34"/>
      <c r="R1903" s="115"/>
      <c r="S1903" s="34"/>
      <c r="T1903" s="34"/>
      <c r="U1903" s="34"/>
      <c r="V1903" s="29"/>
    </row>
    <row r="1904" spans="3:22">
      <c r="C1904" s="125">
        <v>44125</v>
      </c>
      <c r="D1904" s="34">
        <v>160.63</v>
      </c>
      <c r="E1904" s="115">
        <v>161.69</v>
      </c>
      <c r="F1904" s="34">
        <v>158</v>
      </c>
      <c r="G1904" s="34">
        <v>159.25</v>
      </c>
      <c r="H1904" s="34">
        <v>159.25</v>
      </c>
      <c r="I1904" s="29">
        <v>91854000</v>
      </c>
      <c r="P1904" s="125"/>
      <c r="Q1904" s="34"/>
      <c r="R1904" s="115"/>
      <c r="S1904" s="34"/>
      <c r="T1904" s="34"/>
      <c r="U1904" s="34"/>
      <c r="V1904" s="29"/>
    </row>
    <row r="1905" spans="3:22">
      <c r="C1905" s="125">
        <v>44125</v>
      </c>
      <c r="D1905" s="34">
        <v>169.80999800000001</v>
      </c>
      <c r="E1905" s="115">
        <v>170.520004</v>
      </c>
      <c r="F1905" s="34">
        <v>166.740005</v>
      </c>
      <c r="G1905" s="34">
        <v>167.39999399999999</v>
      </c>
      <c r="H1905" s="34">
        <v>158.48014800000001</v>
      </c>
      <c r="I1905" s="29">
        <v>2502000</v>
      </c>
      <c r="P1905" s="125"/>
      <c r="Q1905" s="34"/>
      <c r="R1905" s="115"/>
      <c r="S1905" s="34"/>
      <c r="T1905" s="34"/>
      <c r="U1905" s="34"/>
      <c r="V1905" s="29"/>
    </row>
    <row r="1906" spans="3:22">
      <c r="C1906" s="125">
        <v>44124</v>
      </c>
      <c r="D1906" s="34">
        <v>161.11000000000001</v>
      </c>
      <c r="E1906" s="115">
        <v>163.30000000000001</v>
      </c>
      <c r="F1906" s="34">
        <v>159.6</v>
      </c>
      <c r="G1906" s="34">
        <v>160.85</v>
      </c>
      <c r="H1906" s="34">
        <v>160.85</v>
      </c>
      <c r="I1906" s="29">
        <v>90194000</v>
      </c>
      <c r="P1906" s="125"/>
      <c r="Q1906" s="34"/>
      <c r="R1906" s="115"/>
      <c r="S1906" s="34"/>
      <c r="T1906" s="34"/>
      <c r="U1906" s="34"/>
      <c r="V1906" s="29"/>
    </row>
    <row r="1907" spans="3:22">
      <c r="C1907" s="125">
        <v>44124</v>
      </c>
      <c r="D1907" s="34">
        <v>168.199997</v>
      </c>
      <c r="E1907" s="115">
        <v>171.259995</v>
      </c>
      <c r="F1907" s="34">
        <v>167.91000399999999</v>
      </c>
      <c r="G1907" s="34">
        <v>168.990005</v>
      </c>
      <c r="H1907" s="34">
        <v>159.985443</v>
      </c>
      <c r="I1907" s="29">
        <v>3007100</v>
      </c>
      <c r="P1907" s="125"/>
      <c r="Q1907" s="34"/>
      <c r="R1907" s="115"/>
      <c r="S1907" s="34"/>
      <c r="T1907" s="34"/>
      <c r="U1907" s="34"/>
      <c r="V1907" s="29"/>
    </row>
    <row r="1908" spans="3:22">
      <c r="C1908" s="125">
        <v>44123</v>
      </c>
      <c r="D1908" s="34">
        <v>164.98</v>
      </c>
      <c r="E1908" s="115">
        <v>166.45</v>
      </c>
      <c r="F1908" s="34">
        <v>159.63999999999999</v>
      </c>
      <c r="G1908" s="34">
        <v>160.36000000000001</v>
      </c>
      <c r="H1908" s="34">
        <v>160.36000000000001</v>
      </c>
      <c r="I1908" s="29">
        <v>104472000</v>
      </c>
      <c r="P1908" s="125"/>
      <c r="Q1908" s="34"/>
      <c r="R1908" s="115"/>
      <c r="S1908" s="34"/>
      <c r="T1908" s="34"/>
      <c r="U1908" s="34"/>
      <c r="V1908" s="29"/>
    </row>
    <row r="1909" spans="3:22">
      <c r="C1909" s="125">
        <v>44123</v>
      </c>
      <c r="D1909" s="34">
        <v>168.740005</v>
      </c>
      <c r="E1909" s="115">
        <v>170.020004</v>
      </c>
      <c r="F1909" s="34">
        <v>166.800003</v>
      </c>
      <c r="G1909" s="34">
        <v>167.529999</v>
      </c>
      <c r="H1909" s="34">
        <v>158.60322600000001</v>
      </c>
      <c r="I1909" s="29">
        <v>2757700</v>
      </c>
      <c r="P1909" s="125"/>
      <c r="Q1909" s="34"/>
      <c r="R1909" s="115"/>
      <c r="S1909" s="34"/>
      <c r="T1909" s="34"/>
      <c r="U1909" s="34"/>
      <c r="V1909" s="29"/>
    </row>
    <row r="1910" spans="3:22">
      <c r="C1910" s="125">
        <v>44120</v>
      </c>
      <c r="D1910" s="34">
        <v>168.16</v>
      </c>
      <c r="E1910" s="115">
        <v>169.98</v>
      </c>
      <c r="F1910" s="34">
        <v>158</v>
      </c>
      <c r="G1910" s="34">
        <v>163.63999999999999</v>
      </c>
      <c r="H1910" s="34">
        <v>163.63999999999999</v>
      </c>
      <c r="I1910" s="29">
        <v>129488000</v>
      </c>
      <c r="P1910" s="125"/>
      <c r="Q1910" s="34"/>
      <c r="R1910" s="115"/>
      <c r="S1910" s="34"/>
      <c r="T1910" s="34"/>
      <c r="U1910" s="34"/>
      <c r="V1910" s="29"/>
    </row>
    <row r="1911" spans="3:22">
      <c r="C1911" s="125">
        <v>44120</v>
      </c>
      <c r="D1911" s="34">
        <v>167.25</v>
      </c>
      <c r="E1911" s="115">
        <v>170.509995</v>
      </c>
      <c r="F1911" s="34">
        <v>166.61999499999999</v>
      </c>
      <c r="G1911" s="34">
        <v>168.75</v>
      </c>
      <c r="H1911" s="34">
        <v>159.75820899999999</v>
      </c>
      <c r="I1911" s="29">
        <v>5569000</v>
      </c>
      <c r="P1911" s="125"/>
      <c r="Q1911" s="34"/>
      <c r="R1911" s="115"/>
      <c r="S1911" s="34"/>
      <c r="T1911" s="34"/>
      <c r="U1911" s="34"/>
      <c r="V1911" s="29"/>
    </row>
    <row r="1912" spans="3:22">
      <c r="C1912" s="125">
        <v>44119</v>
      </c>
      <c r="D1912" s="34">
        <v>164.6</v>
      </c>
      <c r="E1912" s="115">
        <v>167.79</v>
      </c>
      <c r="F1912" s="34">
        <v>164</v>
      </c>
      <c r="G1912" s="34">
        <v>166.93</v>
      </c>
      <c r="H1912" s="34">
        <v>166.93</v>
      </c>
      <c r="I1912" s="29">
        <v>104468000</v>
      </c>
      <c r="P1912" s="125"/>
      <c r="Q1912" s="34"/>
      <c r="R1912" s="115"/>
      <c r="S1912" s="34"/>
      <c r="T1912" s="34"/>
      <c r="U1912" s="34"/>
      <c r="V1912" s="29"/>
    </row>
    <row r="1913" spans="3:22">
      <c r="C1913" s="125">
        <v>44119</v>
      </c>
      <c r="D1913" s="34">
        <v>160.270004</v>
      </c>
      <c r="E1913" s="115">
        <v>165.779999</v>
      </c>
      <c r="F1913" s="34">
        <v>160.14999399999999</v>
      </c>
      <c r="G1913" s="34">
        <v>165.03999300000001</v>
      </c>
      <c r="H1913" s="34">
        <v>156.24588</v>
      </c>
      <c r="I1913" s="29">
        <v>2958500</v>
      </c>
      <c r="P1913" s="125"/>
      <c r="Q1913" s="34"/>
      <c r="R1913" s="115"/>
      <c r="S1913" s="34"/>
      <c r="T1913" s="34"/>
      <c r="U1913" s="34"/>
      <c r="V1913" s="29"/>
    </row>
    <row r="1914" spans="3:22">
      <c r="C1914" s="125">
        <v>44118</v>
      </c>
      <c r="D1914" s="34">
        <v>172.35</v>
      </c>
      <c r="E1914" s="115">
        <v>173.24</v>
      </c>
      <c r="F1914" s="34">
        <v>167</v>
      </c>
      <c r="G1914" s="34">
        <v>168.19</v>
      </c>
      <c r="H1914" s="34">
        <v>168.19</v>
      </c>
      <c r="I1914" s="29">
        <v>116254000</v>
      </c>
      <c r="P1914" s="125"/>
      <c r="Q1914" s="34"/>
      <c r="R1914" s="115"/>
      <c r="S1914" s="34"/>
      <c r="T1914" s="34"/>
      <c r="U1914" s="34"/>
      <c r="V1914" s="29"/>
    </row>
    <row r="1915" spans="3:22">
      <c r="C1915" s="125">
        <v>44118</v>
      </c>
      <c r="D1915" s="34">
        <v>162.66000399999999</v>
      </c>
      <c r="E1915" s="115">
        <v>164.820007</v>
      </c>
      <c r="F1915" s="34">
        <v>162.5</v>
      </c>
      <c r="G1915" s="34">
        <v>163.61000100000001</v>
      </c>
      <c r="H1915" s="34">
        <v>154.89212000000001</v>
      </c>
      <c r="I1915" s="29">
        <v>4087100</v>
      </c>
      <c r="P1915" s="125"/>
      <c r="Q1915" s="34"/>
      <c r="R1915" s="115"/>
      <c r="S1915" s="34"/>
      <c r="T1915" s="34"/>
      <c r="U1915" s="34"/>
      <c r="V1915" s="29"/>
    </row>
    <row r="1916" spans="3:22">
      <c r="C1916" s="125">
        <v>44117</v>
      </c>
      <c r="D1916" s="34">
        <v>173.4</v>
      </c>
      <c r="E1916" s="115">
        <v>174.62</v>
      </c>
      <c r="F1916" s="34">
        <v>171.21</v>
      </c>
      <c r="G1916" s="34">
        <v>172.18</v>
      </c>
      <c r="H1916" s="34">
        <v>172.18</v>
      </c>
      <c r="I1916" s="29">
        <v>114894000</v>
      </c>
      <c r="P1916" s="125"/>
      <c r="Q1916" s="34"/>
      <c r="R1916" s="115"/>
      <c r="S1916" s="34"/>
      <c r="T1916" s="34"/>
      <c r="U1916" s="34"/>
      <c r="V1916" s="29"/>
    </row>
    <row r="1917" spans="3:22">
      <c r="C1917" s="125">
        <v>44117</v>
      </c>
      <c r="D1917" s="34">
        <v>161.720001</v>
      </c>
      <c r="E1917" s="115">
        <v>163.179993</v>
      </c>
      <c r="F1917" s="34">
        <v>161.11999499999999</v>
      </c>
      <c r="G1917" s="34">
        <v>162.11999499999999</v>
      </c>
      <c r="H1917" s="34">
        <v>153.48149100000001</v>
      </c>
      <c r="I1917" s="29">
        <v>3319000</v>
      </c>
      <c r="P1917" s="125"/>
      <c r="Q1917" s="34"/>
      <c r="R1917" s="115"/>
      <c r="S1917" s="34"/>
      <c r="T1917" s="34"/>
      <c r="U1917" s="34"/>
      <c r="V1917" s="29"/>
    </row>
    <row r="1918" spans="3:22">
      <c r="C1918" s="125">
        <v>44116</v>
      </c>
      <c r="D1918" s="34">
        <v>167.5</v>
      </c>
      <c r="E1918" s="115">
        <v>174.81</v>
      </c>
      <c r="F1918" s="34">
        <v>166.98</v>
      </c>
      <c r="G1918" s="34">
        <v>172.15</v>
      </c>
      <c r="H1918" s="34">
        <v>172.15</v>
      </c>
      <c r="I1918" s="29">
        <v>167284000</v>
      </c>
      <c r="P1918" s="125"/>
      <c r="Q1918" s="34"/>
      <c r="R1918" s="115"/>
      <c r="S1918" s="34"/>
      <c r="T1918" s="34"/>
      <c r="U1918" s="34"/>
      <c r="V1918" s="29"/>
    </row>
    <row r="1919" spans="3:22">
      <c r="C1919" s="125">
        <v>44116</v>
      </c>
      <c r="D1919" s="34">
        <v>159.970001</v>
      </c>
      <c r="E1919" s="115">
        <v>163.199997</v>
      </c>
      <c r="F1919" s="34">
        <v>159.520004</v>
      </c>
      <c r="G1919" s="34">
        <v>162.61000100000001</v>
      </c>
      <c r="H1919" s="34">
        <v>153.94537399999999</v>
      </c>
      <c r="I1919" s="29">
        <v>4279800</v>
      </c>
      <c r="P1919" s="125"/>
      <c r="Q1919" s="34"/>
      <c r="R1919" s="115"/>
      <c r="S1919" s="34"/>
      <c r="T1919" s="34"/>
      <c r="U1919" s="34"/>
      <c r="V1919" s="29"/>
    </row>
    <row r="1920" spans="3:22">
      <c r="C1920" s="125">
        <v>44113</v>
      </c>
      <c r="D1920" s="34">
        <v>160.5</v>
      </c>
      <c r="E1920" s="115">
        <v>164.45</v>
      </c>
      <c r="F1920" s="34">
        <v>159.88999999999999</v>
      </c>
      <c r="G1920" s="34">
        <v>164.33</v>
      </c>
      <c r="H1920" s="34">
        <v>164.33</v>
      </c>
      <c r="I1920" s="29">
        <v>98158000</v>
      </c>
      <c r="P1920" s="125"/>
      <c r="Q1920" s="34"/>
      <c r="R1920" s="115"/>
      <c r="S1920" s="34"/>
      <c r="T1920" s="34"/>
      <c r="U1920" s="34"/>
      <c r="V1920" s="29"/>
    </row>
    <row r="1921" spans="3:22">
      <c r="C1921" s="125">
        <v>44113</v>
      </c>
      <c r="D1921" s="34">
        <v>157.86999499999999</v>
      </c>
      <c r="E1921" s="115">
        <v>159.38999899999999</v>
      </c>
      <c r="F1921" s="34">
        <v>157.39999399999999</v>
      </c>
      <c r="G1921" s="34">
        <v>158.94000199999999</v>
      </c>
      <c r="H1921" s="34">
        <v>150.47091699999999</v>
      </c>
      <c r="I1921" s="29">
        <v>4084200</v>
      </c>
      <c r="P1921" s="125"/>
      <c r="Q1921" s="34"/>
      <c r="R1921" s="115"/>
      <c r="S1921" s="34"/>
      <c r="T1921" s="34"/>
      <c r="U1921" s="34"/>
      <c r="V1921" s="29"/>
    </row>
    <row r="1922" spans="3:22">
      <c r="C1922" s="125">
        <v>44112</v>
      </c>
      <c r="D1922" s="34">
        <v>161.25</v>
      </c>
      <c r="E1922" s="115">
        <v>161.66</v>
      </c>
      <c r="F1922" s="34">
        <v>158.75</v>
      </c>
      <c r="G1922" s="34">
        <v>159.53</v>
      </c>
      <c r="H1922" s="34">
        <v>159.53</v>
      </c>
      <c r="I1922" s="29">
        <v>63482000</v>
      </c>
      <c r="P1922" s="125"/>
      <c r="Q1922" s="34"/>
      <c r="R1922" s="115"/>
      <c r="S1922" s="34"/>
      <c r="T1922" s="34"/>
      <c r="U1922" s="34"/>
      <c r="V1922" s="29"/>
    </row>
    <row r="1923" spans="3:22">
      <c r="C1923" s="125">
        <v>44112</v>
      </c>
      <c r="D1923" s="34">
        <v>155.75</v>
      </c>
      <c r="E1923" s="115">
        <v>156.729996</v>
      </c>
      <c r="F1923" s="34">
        <v>154.240005</v>
      </c>
      <c r="G1923" s="34">
        <v>156.66000399999999</v>
      </c>
      <c r="H1923" s="34">
        <v>148.312454</v>
      </c>
      <c r="I1923" s="29">
        <v>1842900</v>
      </c>
      <c r="P1923" s="125"/>
      <c r="Q1923" s="34"/>
      <c r="R1923" s="115"/>
      <c r="S1923" s="34"/>
      <c r="T1923" s="34"/>
      <c r="U1923" s="34"/>
      <c r="V1923" s="29"/>
    </row>
    <row r="1924" spans="3:22">
      <c r="C1924" s="125">
        <v>44111</v>
      </c>
      <c r="D1924" s="34">
        <v>156.75</v>
      </c>
      <c r="E1924" s="115">
        <v>160</v>
      </c>
      <c r="F1924" s="34">
        <v>156.62</v>
      </c>
      <c r="G1924" s="34">
        <v>159.78</v>
      </c>
      <c r="H1924" s="34">
        <v>159.78</v>
      </c>
      <c r="I1924" s="29">
        <v>86188000</v>
      </c>
      <c r="P1924" s="125"/>
      <c r="Q1924" s="34"/>
      <c r="R1924" s="115"/>
      <c r="S1924" s="34"/>
      <c r="T1924" s="34"/>
      <c r="U1924" s="34"/>
      <c r="V1924" s="29"/>
    </row>
    <row r="1925" spans="3:22">
      <c r="C1925" s="125">
        <v>44111</v>
      </c>
      <c r="D1925" s="34">
        <v>153.279999</v>
      </c>
      <c r="E1925" s="115">
        <v>156.05999800000001</v>
      </c>
      <c r="F1925" s="34">
        <v>153.199997</v>
      </c>
      <c r="G1925" s="34">
        <v>154.770004</v>
      </c>
      <c r="H1925" s="34">
        <v>146.523132</v>
      </c>
      <c r="I1925" s="29">
        <v>2334200</v>
      </c>
      <c r="P1925" s="125"/>
      <c r="Q1925" s="34"/>
      <c r="R1925" s="115"/>
      <c r="S1925" s="34"/>
      <c r="T1925" s="34"/>
      <c r="U1925" s="34"/>
      <c r="V1925" s="29"/>
    </row>
    <row r="1926" spans="3:22">
      <c r="C1926" s="125">
        <v>44110</v>
      </c>
      <c r="D1926" s="34">
        <v>158.25</v>
      </c>
      <c r="E1926" s="115">
        <v>159.1</v>
      </c>
      <c r="F1926" s="34">
        <v>154.5</v>
      </c>
      <c r="G1926" s="34">
        <v>155</v>
      </c>
      <c r="H1926" s="34">
        <v>155</v>
      </c>
      <c r="I1926" s="29">
        <v>101738000</v>
      </c>
      <c r="P1926" s="125"/>
      <c r="Q1926" s="34"/>
      <c r="R1926" s="115"/>
      <c r="S1926" s="34"/>
      <c r="T1926" s="34"/>
      <c r="U1926" s="34"/>
      <c r="V1926" s="29"/>
    </row>
    <row r="1927" spans="3:22">
      <c r="C1927" s="125">
        <v>44110</v>
      </c>
      <c r="D1927" s="34">
        <v>154</v>
      </c>
      <c r="E1927" s="115">
        <v>155.449997</v>
      </c>
      <c r="F1927" s="34">
        <v>151.279999</v>
      </c>
      <c r="G1927" s="34">
        <v>151.529999</v>
      </c>
      <c r="H1927" s="34">
        <v>143.45579499999999</v>
      </c>
      <c r="I1927" s="29">
        <v>2559800</v>
      </c>
      <c r="P1927" s="125"/>
      <c r="Q1927" s="34"/>
      <c r="R1927" s="115"/>
      <c r="S1927" s="34"/>
      <c r="T1927" s="34"/>
      <c r="U1927" s="34"/>
      <c r="V1927" s="29"/>
    </row>
    <row r="1928" spans="3:22">
      <c r="C1928" s="125">
        <v>44109</v>
      </c>
      <c r="D1928" s="34">
        <v>157.29</v>
      </c>
      <c r="E1928" s="115">
        <v>160.13</v>
      </c>
      <c r="F1928" s="34">
        <v>157.04</v>
      </c>
      <c r="G1928" s="34">
        <v>159.96</v>
      </c>
      <c r="H1928" s="34">
        <v>159.96</v>
      </c>
      <c r="I1928" s="29">
        <v>75506000</v>
      </c>
      <c r="P1928" s="125"/>
      <c r="Q1928" s="34"/>
      <c r="R1928" s="115"/>
      <c r="S1928" s="34"/>
      <c r="T1928" s="34"/>
      <c r="U1928" s="34"/>
      <c r="V1928" s="29"/>
    </row>
    <row r="1929" spans="3:22">
      <c r="C1929" s="125">
        <v>44109</v>
      </c>
      <c r="D1929" s="34">
        <v>152.16999799999999</v>
      </c>
      <c r="E1929" s="115">
        <v>154.449997</v>
      </c>
      <c r="F1929" s="34">
        <v>151.61999499999999</v>
      </c>
      <c r="G1929" s="34">
        <v>153.490005</v>
      </c>
      <c r="H1929" s="34">
        <v>145.31134</v>
      </c>
      <c r="I1929" s="29">
        <v>2597700</v>
      </c>
      <c r="P1929" s="125"/>
      <c r="Q1929" s="34"/>
      <c r="R1929" s="115"/>
      <c r="S1929" s="34"/>
      <c r="T1929" s="34"/>
      <c r="U1929" s="34"/>
      <c r="V1929" s="29"/>
    </row>
    <row r="1930" spans="3:22">
      <c r="C1930" s="125">
        <v>44106</v>
      </c>
      <c r="D1930" s="34">
        <v>157.68</v>
      </c>
      <c r="E1930" s="115">
        <v>159.79</v>
      </c>
      <c r="F1930" s="34">
        <v>156.15</v>
      </c>
      <c r="G1930" s="34">
        <v>156.25</v>
      </c>
      <c r="H1930" s="34">
        <v>156.25</v>
      </c>
      <c r="I1930" s="29">
        <v>112262000</v>
      </c>
      <c r="P1930" s="125"/>
      <c r="Q1930" s="34"/>
      <c r="R1930" s="115"/>
      <c r="S1930" s="34"/>
      <c r="T1930" s="34"/>
      <c r="U1930" s="34"/>
      <c r="V1930" s="29"/>
    </row>
    <row r="1931" spans="3:22">
      <c r="C1931" s="125">
        <v>44106</v>
      </c>
      <c r="D1931" s="34">
        <v>144.270004</v>
      </c>
      <c r="E1931" s="115">
        <v>151.25</v>
      </c>
      <c r="F1931" s="34">
        <v>143.75</v>
      </c>
      <c r="G1931" s="34">
        <v>149.94000199999999</v>
      </c>
      <c r="H1931" s="34">
        <v>141.95048499999999</v>
      </c>
      <c r="I1931" s="29">
        <v>3220500</v>
      </c>
      <c r="P1931" s="125"/>
      <c r="Q1931" s="34"/>
      <c r="R1931" s="115"/>
      <c r="S1931" s="34"/>
      <c r="T1931" s="34"/>
      <c r="U1931" s="34"/>
      <c r="V1931" s="29"/>
    </row>
    <row r="1932" spans="3:22">
      <c r="C1932" s="125">
        <v>44105</v>
      </c>
      <c r="D1932" s="34">
        <v>160.4</v>
      </c>
      <c r="E1932" s="115">
        <v>161.19999999999999</v>
      </c>
      <c r="F1932" s="34">
        <v>158.6</v>
      </c>
      <c r="G1932" s="34">
        <v>161.06</v>
      </c>
      <c r="H1932" s="34">
        <v>161.06</v>
      </c>
      <c r="I1932" s="29">
        <v>99438000</v>
      </c>
      <c r="P1932" s="125"/>
      <c r="Q1932" s="34"/>
      <c r="R1932" s="115"/>
      <c r="S1932" s="34"/>
      <c r="T1932" s="34"/>
      <c r="U1932" s="34"/>
      <c r="V1932" s="29"/>
    </row>
    <row r="1933" spans="3:22">
      <c r="C1933" s="125">
        <v>44105</v>
      </c>
      <c r="D1933" s="34">
        <v>149.91999799999999</v>
      </c>
      <c r="E1933" s="115">
        <v>150.30999800000001</v>
      </c>
      <c r="F1933" s="34">
        <v>145.64999399999999</v>
      </c>
      <c r="G1933" s="34">
        <v>146.71000699999999</v>
      </c>
      <c r="H1933" s="34">
        <v>138.89260899999999</v>
      </c>
      <c r="I1933" s="29">
        <v>2157400</v>
      </c>
      <c r="P1933" s="125"/>
      <c r="Q1933" s="34"/>
      <c r="R1933" s="115"/>
      <c r="S1933" s="34"/>
      <c r="T1933" s="34"/>
      <c r="U1933" s="34"/>
      <c r="V1933" s="29"/>
    </row>
    <row r="1934" spans="3:22">
      <c r="C1934" s="125">
        <v>44104</v>
      </c>
      <c r="D1934" s="34">
        <v>157.06</v>
      </c>
      <c r="E1934" s="115">
        <v>160.63999999999999</v>
      </c>
      <c r="F1934" s="34">
        <v>156.69999999999999</v>
      </c>
      <c r="G1934" s="34">
        <v>157.44</v>
      </c>
      <c r="H1934" s="34">
        <v>157.44</v>
      </c>
      <c r="I1934" s="29">
        <v>97922000</v>
      </c>
      <c r="P1934" s="125"/>
      <c r="Q1934" s="34"/>
      <c r="R1934" s="115"/>
      <c r="S1934" s="34"/>
      <c r="T1934" s="34"/>
      <c r="U1934" s="34"/>
      <c r="V1934" s="29"/>
    </row>
    <row r="1935" spans="3:22">
      <c r="C1935" s="125">
        <v>44104</v>
      </c>
      <c r="D1935" s="34">
        <v>148</v>
      </c>
      <c r="E1935" s="115">
        <v>150.949997</v>
      </c>
      <c r="F1935" s="34">
        <v>147.740005</v>
      </c>
      <c r="G1935" s="34">
        <v>149.14999399999999</v>
      </c>
      <c r="H1935" s="34">
        <v>141.20259100000001</v>
      </c>
      <c r="I1935" s="29">
        <v>3642800</v>
      </c>
      <c r="P1935" s="125"/>
      <c r="Q1935" s="34"/>
      <c r="R1935" s="115"/>
      <c r="S1935" s="34"/>
      <c r="T1935" s="34"/>
      <c r="U1935" s="34"/>
      <c r="V1935" s="29"/>
    </row>
    <row r="1936" spans="3:22">
      <c r="C1936" s="125">
        <v>44103</v>
      </c>
      <c r="D1936" s="34">
        <v>158.77000000000001</v>
      </c>
      <c r="E1936" s="115">
        <v>159.41</v>
      </c>
      <c r="F1936" s="34">
        <v>156.63</v>
      </c>
      <c r="G1936" s="34">
        <v>157.24</v>
      </c>
      <c r="H1936" s="34">
        <v>157.24</v>
      </c>
      <c r="I1936" s="29">
        <v>69916000</v>
      </c>
      <c r="P1936" s="125"/>
      <c r="Q1936" s="34"/>
      <c r="R1936" s="115"/>
      <c r="S1936" s="34"/>
      <c r="T1936" s="34"/>
      <c r="U1936" s="34"/>
      <c r="V1936" s="29"/>
    </row>
    <row r="1937" spans="3:22">
      <c r="C1937" s="125">
        <v>44103</v>
      </c>
      <c r="D1937" s="34">
        <v>148.36999499999999</v>
      </c>
      <c r="E1937" s="115">
        <v>148.970001</v>
      </c>
      <c r="F1937" s="34">
        <v>146.21000699999999</v>
      </c>
      <c r="G1937" s="34">
        <v>147.41000399999999</v>
      </c>
      <c r="H1937" s="34">
        <v>139.55531300000001</v>
      </c>
      <c r="I1937" s="29">
        <v>1605600</v>
      </c>
      <c r="P1937" s="125"/>
      <c r="Q1937" s="34"/>
      <c r="R1937" s="115"/>
      <c r="S1937" s="34"/>
      <c r="T1937" s="34"/>
      <c r="U1937" s="34"/>
      <c r="V1937" s="29"/>
    </row>
    <row r="1938" spans="3:22">
      <c r="C1938" s="125">
        <v>44102</v>
      </c>
      <c r="D1938" s="34">
        <v>157.44</v>
      </c>
      <c r="E1938" s="115">
        <v>158.75</v>
      </c>
      <c r="F1938" s="34">
        <v>155.86000000000001</v>
      </c>
      <c r="G1938" s="34">
        <v>158.69999999999999</v>
      </c>
      <c r="H1938" s="34">
        <v>158.69999999999999</v>
      </c>
      <c r="I1938" s="29">
        <v>84484000</v>
      </c>
      <c r="P1938" s="125"/>
      <c r="Q1938" s="34"/>
      <c r="R1938" s="115"/>
      <c r="S1938" s="34"/>
      <c r="T1938" s="34"/>
      <c r="U1938" s="34"/>
      <c r="V1938" s="29"/>
    </row>
    <row r="1939" spans="3:22">
      <c r="C1939" s="125">
        <v>44102</v>
      </c>
      <c r="D1939" s="34">
        <v>148</v>
      </c>
      <c r="E1939" s="115">
        <v>150.30999800000001</v>
      </c>
      <c r="F1939" s="34">
        <v>147.41000399999999</v>
      </c>
      <c r="G1939" s="34">
        <v>147.679993</v>
      </c>
      <c r="H1939" s="34">
        <v>139.810913</v>
      </c>
      <c r="I1939" s="29">
        <v>2212700</v>
      </c>
      <c r="P1939" s="125"/>
      <c r="Q1939" s="34"/>
      <c r="R1939" s="115"/>
      <c r="S1939" s="34"/>
      <c r="T1939" s="34"/>
      <c r="U1939" s="34"/>
      <c r="V1939" s="29"/>
    </row>
    <row r="1940" spans="3:22">
      <c r="C1940" s="125">
        <v>44099</v>
      </c>
      <c r="D1940" s="34">
        <v>152.74</v>
      </c>
      <c r="E1940" s="115">
        <v>155.08000000000001</v>
      </c>
      <c r="F1940" s="34">
        <v>149.94999999999999</v>
      </c>
      <c r="G1940" s="34">
        <v>154.76</v>
      </c>
      <c r="H1940" s="34">
        <v>154.76</v>
      </c>
      <c r="I1940" s="29">
        <v>92304000</v>
      </c>
      <c r="P1940" s="125"/>
      <c r="Q1940" s="34"/>
      <c r="R1940" s="115"/>
      <c r="S1940" s="34"/>
      <c r="T1940" s="34"/>
      <c r="U1940" s="34"/>
      <c r="V1940" s="29"/>
    </row>
    <row r="1941" spans="3:22">
      <c r="C1941" s="125">
        <v>44099</v>
      </c>
      <c r="D1941" s="34">
        <v>143.88999899999999</v>
      </c>
      <c r="E1941" s="115">
        <v>146.699997</v>
      </c>
      <c r="F1941" s="34">
        <v>143.009995</v>
      </c>
      <c r="G1941" s="34">
        <v>145.91000399999999</v>
      </c>
      <c r="H1941" s="34">
        <v>138.13523900000001</v>
      </c>
      <c r="I1941" s="29">
        <v>1848900</v>
      </c>
      <c r="P1941" s="125"/>
      <c r="Q1941" s="34"/>
      <c r="R1941" s="115"/>
      <c r="S1941" s="34"/>
      <c r="T1941" s="34"/>
      <c r="U1941" s="34"/>
      <c r="V1941" s="29"/>
    </row>
    <row r="1942" spans="3:22">
      <c r="C1942" s="125">
        <v>44098</v>
      </c>
      <c r="D1942" s="34">
        <v>148.88999999999999</v>
      </c>
      <c r="E1942" s="115">
        <v>153.46</v>
      </c>
      <c r="F1942" s="34">
        <v>148.25</v>
      </c>
      <c r="G1942" s="34">
        <v>150.99</v>
      </c>
      <c r="H1942" s="34">
        <v>150.99</v>
      </c>
      <c r="I1942" s="29">
        <v>110588000</v>
      </c>
      <c r="P1942" s="125"/>
      <c r="Q1942" s="34"/>
      <c r="R1942" s="115"/>
      <c r="S1942" s="34"/>
      <c r="T1942" s="34"/>
      <c r="U1942" s="34"/>
      <c r="V1942" s="29"/>
    </row>
    <row r="1943" spans="3:22">
      <c r="C1943" s="125">
        <v>44098</v>
      </c>
      <c r="D1943" s="34">
        <v>144.020004</v>
      </c>
      <c r="E1943" s="115">
        <v>147.44000199999999</v>
      </c>
      <c r="F1943" s="34">
        <v>142.729996</v>
      </c>
      <c r="G1943" s="34">
        <v>145.13999899999999</v>
      </c>
      <c r="H1943" s="34">
        <v>137.40625</v>
      </c>
      <c r="I1943" s="29">
        <v>2138800</v>
      </c>
      <c r="P1943" s="125"/>
      <c r="Q1943" s="34"/>
      <c r="R1943" s="115"/>
      <c r="S1943" s="34"/>
      <c r="T1943" s="34"/>
      <c r="U1943" s="34"/>
      <c r="V1943" s="29"/>
    </row>
    <row r="1944" spans="3:22">
      <c r="C1944" s="125">
        <v>44097</v>
      </c>
      <c r="D1944" s="34">
        <v>156.02000000000001</v>
      </c>
      <c r="E1944" s="115">
        <v>156.35</v>
      </c>
      <c r="F1944" s="34">
        <v>149.62</v>
      </c>
      <c r="G1944" s="34">
        <v>149.99</v>
      </c>
      <c r="H1944" s="34">
        <v>149.99</v>
      </c>
      <c r="I1944" s="29">
        <v>113054000</v>
      </c>
      <c r="P1944" s="125"/>
      <c r="Q1944" s="34"/>
      <c r="R1944" s="115"/>
      <c r="S1944" s="34"/>
      <c r="T1944" s="34"/>
      <c r="U1944" s="34"/>
      <c r="V1944" s="29"/>
    </row>
    <row r="1945" spans="3:22">
      <c r="C1945" s="125">
        <v>44097</v>
      </c>
      <c r="D1945" s="34">
        <v>147.479996</v>
      </c>
      <c r="E1945" s="115">
        <v>148.91000399999999</v>
      </c>
      <c r="F1945" s="34">
        <v>143.60000600000001</v>
      </c>
      <c r="G1945" s="34">
        <v>144.38000500000001</v>
      </c>
      <c r="H1945" s="34">
        <v>136.68678299999999</v>
      </c>
      <c r="I1945" s="29">
        <v>2420100</v>
      </c>
      <c r="P1945" s="125"/>
      <c r="Q1945" s="34"/>
      <c r="R1945" s="115"/>
      <c r="S1945" s="34"/>
      <c r="T1945" s="34"/>
      <c r="U1945" s="34"/>
      <c r="V1945" s="29"/>
    </row>
    <row r="1946" spans="3:22">
      <c r="C1946" s="125">
        <v>44096</v>
      </c>
      <c r="D1946" s="34">
        <v>151.69</v>
      </c>
      <c r="E1946" s="115">
        <v>156.69999999999999</v>
      </c>
      <c r="F1946" s="34">
        <v>150.01</v>
      </c>
      <c r="G1946" s="34">
        <v>156.44999999999999</v>
      </c>
      <c r="H1946" s="34">
        <v>156.44999999999999</v>
      </c>
      <c r="I1946" s="29">
        <v>138976000</v>
      </c>
      <c r="P1946" s="125"/>
      <c r="Q1946" s="34"/>
      <c r="R1946" s="115"/>
      <c r="S1946" s="34"/>
      <c r="T1946" s="34"/>
      <c r="U1946" s="34"/>
      <c r="V1946" s="29"/>
    </row>
    <row r="1947" spans="3:22">
      <c r="C1947" s="125">
        <v>44096</v>
      </c>
      <c r="D1947" s="34">
        <v>145.009995</v>
      </c>
      <c r="E1947" s="115">
        <v>147.5</v>
      </c>
      <c r="F1947" s="34">
        <v>144.5</v>
      </c>
      <c r="G1947" s="34">
        <v>147.14999399999999</v>
      </c>
      <c r="H1947" s="34">
        <v>139.30914300000001</v>
      </c>
      <c r="I1947" s="29">
        <v>2579500</v>
      </c>
      <c r="P1947" s="125"/>
      <c r="Q1947" s="34"/>
      <c r="R1947" s="115"/>
      <c r="S1947" s="34"/>
      <c r="T1947" s="34"/>
      <c r="U1947" s="34"/>
      <c r="V1947" s="29"/>
    </row>
    <row r="1948" spans="3:22">
      <c r="C1948" s="125">
        <v>44095</v>
      </c>
      <c r="D1948" s="34">
        <v>145.32</v>
      </c>
      <c r="E1948" s="115">
        <v>148.1</v>
      </c>
      <c r="F1948" s="34">
        <v>143.55000000000001</v>
      </c>
      <c r="G1948" s="34">
        <v>148.02000000000001</v>
      </c>
      <c r="H1948" s="34">
        <v>148.02000000000001</v>
      </c>
      <c r="I1948" s="29">
        <v>122358000</v>
      </c>
      <c r="P1948" s="125"/>
      <c r="Q1948" s="34"/>
      <c r="R1948" s="115"/>
      <c r="S1948" s="34"/>
      <c r="T1948" s="34"/>
      <c r="U1948" s="34"/>
      <c r="V1948" s="29"/>
    </row>
    <row r="1949" spans="3:22">
      <c r="C1949" s="125">
        <v>44095</v>
      </c>
      <c r="D1949" s="34">
        <v>148.55999800000001</v>
      </c>
      <c r="E1949" s="115">
        <v>149.5</v>
      </c>
      <c r="F1949" s="34">
        <v>143.86999499999999</v>
      </c>
      <c r="G1949" s="34">
        <v>145.33000200000001</v>
      </c>
      <c r="H1949" s="34">
        <v>137.586151</v>
      </c>
      <c r="I1949" s="29">
        <v>4278200</v>
      </c>
      <c r="P1949" s="125"/>
      <c r="Q1949" s="34"/>
      <c r="R1949" s="115"/>
      <c r="S1949" s="34"/>
      <c r="T1949" s="34"/>
      <c r="U1949" s="34"/>
      <c r="V1949" s="29"/>
    </row>
    <row r="1950" spans="3:22">
      <c r="C1950" s="125">
        <v>44092</v>
      </c>
      <c r="D1950" s="34">
        <v>151.59</v>
      </c>
      <c r="E1950" s="115">
        <v>151.88999999999999</v>
      </c>
      <c r="F1950" s="34">
        <v>145.28</v>
      </c>
      <c r="G1950" s="34">
        <v>147.75</v>
      </c>
      <c r="H1950" s="34">
        <v>147.75</v>
      </c>
      <c r="I1950" s="29">
        <v>177852000</v>
      </c>
      <c r="P1950" s="125"/>
      <c r="Q1950" s="34"/>
      <c r="R1950" s="115"/>
      <c r="S1950" s="34"/>
      <c r="T1950" s="34"/>
      <c r="U1950" s="34"/>
      <c r="V1950" s="29"/>
    </row>
    <row r="1951" spans="3:22">
      <c r="C1951" s="125">
        <v>44092</v>
      </c>
      <c r="D1951" s="34">
        <v>153.679993</v>
      </c>
      <c r="E1951" s="115">
        <v>156.21000699999999</v>
      </c>
      <c r="F1951" s="34">
        <v>152.05999800000001</v>
      </c>
      <c r="G1951" s="34">
        <v>152.38999899999999</v>
      </c>
      <c r="H1951" s="34">
        <v>144.269958</v>
      </c>
      <c r="I1951" s="29">
        <v>5113500</v>
      </c>
      <c r="P1951" s="125"/>
      <c r="Q1951" s="34"/>
      <c r="R1951" s="115"/>
      <c r="S1951" s="34"/>
      <c r="T1951" s="34"/>
      <c r="U1951" s="34"/>
      <c r="V1951" s="29"/>
    </row>
    <row r="1952" spans="3:22">
      <c r="C1952" s="125">
        <v>44091</v>
      </c>
      <c r="D1952" s="34">
        <v>150.46</v>
      </c>
      <c r="E1952" s="115">
        <v>151.47</v>
      </c>
      <c r="F1952" s="34">
        <v>148.63</v>
      </c>
      <c r="G1952" s="34">
        <v>150.44</v>
      </c>
      <c r="H1952" s="34">
        <v>150.44</v>
      </c>
      <c r="I1952" s="29">
        <v>128982000</v>
      </c>
      <c r="P1952" s="125"/>
      <c r="Q1952" s="34"/>
      <c r="R1952" s="115"/>
      <c r="S1952" s="34"/>
      <c r="T1952" s="34"/>
      <c r="U1952" s="34"/>
      <c r="V1952" s="29"/>
    </row>
    <row r="1953" spans="3:22">
      <c r="C1953" s="125">
        <v>44091</v>
      </c>
      <c r="D1953" s="34">
        <v>149.85000600000001</v>
      </c>
      <c r="E1953" s="115">
        <v>156.25</v>
      </c>
      <c r="F1953" s="34">
        <v>149.14999399999999</v>
      </c>
      <c r="G1953" s="34">
        <v>153.86999499999999</v>
      </c>
      <c r="H1953" s="34">
        <v>145.67108200000001</v>
      </c>
      <c r="I1953" s="29">
        <v>4487000</v>
      </c>
      <c r="P1953" s="125"/>
      <c r="Q1953" s="34"/>
      <c r="R1953" s="115"/>
      <c r="S1953" s="34"/>
      <c r="T1953" s="34"/>
      <c r="U1953" s="34"/>
      <c r="V1953" s="29"/>
    </row>
    <row r="1954" spans="3:22">
      <c r="C1954" s="125">
        <v>44090</v>
      </c>
      <c r="D1954" s="34">
        <v>159</v>
      </c>
      <c r="E1954" s="115">
        <v>159.36000000000001</v>
      </c>
      <c r="F1954" s="34">
        <v>153.71</v>
      </c>
      <c r="G1954" s="34">
        <v>153.9</v>
      </c>
      <c r="H1954" s="34">
        <v>153.9</v>
      </c>
      <c r="I1954" s="29">
        <v>90244000</v>
      </c>
      <c r="P1954" s="125"/>
      <c r="Q1954" s="34"/>
      <c r="R1954" s="115"/>
      <c r="S1954" s="34"/>
      <c r="T1954" s="34"/>
      <c r="U1954" s="34"/>
      <c r="V1954" s="29"/>
    </row>
    <row r="1955" spans="3:22">
      <c r="C1955" s="125">
        <v>44090</v>
      </c>
      <c r="D1955" s="34">
        <v>150</v>
      </c>
      <c r="E1955" s="115">
        <v>151.979996</v>
      </c>
      <c r="F1955" s="34">
        <v>148.36999499999999</v>
      </c>
      <c r="G1955" s="34">
        <v>151.11000100000001</v>
      </c>
      <c r="H1955" s="34">
        <v>143.058167</v>
      </c>
      <c r="I1955" s="29">
        <v>3302000</v>
      </c>
      <c r="P1955" s="125"/>
      <c r="Q1955" s="34"/>
      <c r="R1955" s="115"/>
      <c r="S1955" s="34"/>
      <c r="T1955" s="34"/>
      <c r="U1955" s="34"/>
      <c r="V1955" s="29"/>
    </row>
    <row r="1956" spans="3:22">
      <c r="C1956" s="125">
        <v>44089</v>
      </c>
      <c r="D1956" s="34">
        <v>156.81</v>
      </c>
      <c r="E1956" s="115">
        <v>158.75</v>
      </c>
      <c r="F1956" s="34">
        <v>155.44999999999999</v>
      </c>
      <c r="G1956" s="34">
        <v>157.81</v>
      </c>
      <c r="H1956" s="34">
        <v>157.81</v>
      </c>
      <c r="I1956" s="29">
        <v>80430000</v>
      </c>
      <c r="P1956" s="125"/>
      <c r="Q1956" s="34"/>
      <c r="R1956" s="115"/>
      <c r="S1956" s="34"/>
      <c r="T1956" s="34"/>
      <c r="U1956" s="34"/>
      <c r="V1956" s="29"/>
    </row>
    <row r="1957" spans="3:22">
      <c r="C1957" s="125">
        <v>44089</v>
      </c>
      <c r="D1957" s="34">
        <v>154.199997</v>
      </c>
      <c r="E1957" s="115">
        <v>154.470001</v>
      </c>
      <c r="F1957" s="34">
        <v>148.36000100000001</v>
      </c>
      <c r="G1957" s="34">
        <v>148.60000600000001</v>
      </c>
      <c r="H1957" s="34">
        <v>140.681915</v>
      </c>
      <c r="I1957" s="29">
        <v>4092400</v>
      </c>
      <c r="P1957" s="125"/>
      <c r="Q1957" s="34"/>
      <c r="R1957" s="115"/>
      <c r="S1957" s="34"/>
      <c r="T1957" s="34"/>
      <c r="U1957" s="34"/>
      <c r="V1957" s="29"/>
    </row>
    <row r="1958" spans="3:22">
      <c r="C1958" s="125">
        <v>44088</v>
      </c>
      <c r="D1958" s="34">
        <v>158.65</v>
      </c>
      <c r="E1958" s="115">
        <v>159.37</v>
      </c>
      <c r="F1958" s="34">
        <v>154.80000000000001</v>
      </c>
      <c r="G1958" s="34">
        <v>155.15</v>
      </c>
      <c r="H1958" s="34">
        <v>155.15</v>
      </c>
      <c r="I1958" s="29">
        <v>90592000</v>
      </c>
      <c r="P1958" s="125"/>
      <c r="Q1958" s="34"/>
      <c r="R1958" s="115"/>
      <c r="S1958" s="34"/>
      <c r="T1958" s="34"/>
      <c r="U1958" s="34"/>
      <c r="V1958" s="29"/>
    </row>
    <row r="1959" spans="3:22">
      <c r="C1959" s="125">
        <v>44088</v>
      </c>
      <c r="D1959" s="34">
        <v>154</v>
      </c>
      <c r="E1959" s="115">
        <v>154.800003</v>
      </c>
      <c r="F1959" s="34">
        <v>152.21000699999999</v>
      </c>
      <c r="G1959" s="34">
        <v>153.509995</v>
      </c>
      <c r="H1959" s="34">
        <v>145.330276</v>
      </c>
      <c r="I1959" s="29">
        <v>2569300</v>
      </c>
      <c r="P1959" s="125"/>
      <c r="Q1959" s="34"/>
      <c r="R1959" s="115"/>
      <c r="S1959" s="34"/>
      <c r="T1959" s="34"/>
      <c r="U1959" s="34"/>
      <c r="V1959" s="29"/>
    </row>
    <row r="1960" spans="3:22">
      <c r="C1960" s="125">
        <v>44085</v>
      </c>
      <c r="D1960" s="34">
        <v>160.43</v>
      </c>
      <c r="E1960" s="115">
        <v>160.87</v>
      </c>
      <c r="F1960" s="34">
        <v>154.19999999999999</v>
      </c>
      <c r="G1960" s="34">
        <v>155.81</v>
      </c>
      <c r="H1960" s="34">
        <v>155.81</v>
      </c>
      <c r="I1960" s="29">
        <v>101880000</v>
      </c>
      <c r="P1960" s="125"/>
      <c r="Q1960" s="34"/>
      <c r="R1960" s="115"/>
      <c r="S1960" s="34"/>
      <c r="T1960" s="34"/>
      <c r="U1960" s="34"/>
      <c r="V1960" s="29"/>
    </row>
    <row r="1961" spans="3:22">
      <c r="C1961" s="125">
        <v>44085</v>
      </c>
      <c r="D1961" s="34">
        <v>150.479996</v>
      </c>
      <c r="E1961" s="115">
        <v>154.39999399999999</v>
      </c>
      <c r="F1961" s="34">
        <v>150.240005</v>
      </c>
      <c r="G1961" s="34">
        <v>153.83000200000001</v>
      </c>
      <c r="H1961" s="34">
        <v>145.63322400000001</v>
      </c>
      <c r="I1961" s="29">
        <v>3237100</v>
      </c>
      <c r="P1961" s="125"/>
      <c r="Q1961" s="34"/>
      <c r="R1961" s="115"/>
      <c r="S1961" s="34"/>
      <c r="T1961" s="34"/>
      <c r="U1961" s="34"/>
      <c r="V1961" s="29"/>
    </row>
    <row r="1962" spans="3:22">
      <c r="C1962" s="125">
        <v>44084</v>
      </c>
      <c r="D1962" s="34">
        <v>165.36</v>
      </c>
      <c r="E1962" s="115">
        <v>167.49</v>
      </c>
      <c r="F1962" s="34">
        <v>158.53</v>
      </c>
      <c r="G1962" s="34">
        <v>158.76</v>
      </c>
      <c r="H1962" s="34">
        <v>158.76</v>
      </c>
      <c r="I1962" s="29">
        <v>106614000</v>
      </c>
      <c r="P1962" s="125"/>
      <c r="Q1962" s="34"/>
      <c r="R1962" s="115"/>
      <c r="S1962" s="34"/>
      <c r="T1962" s="34"/>
      <c r="U1962" s="34"/>
      <c r="V1962" s="29"/>
    </row>
    <row r="1963" spans="3:22">
      <c r="C1963" s="125">
        <v>44084</v>
      </c>
      <c r="D1963" s="34">
        <v>152.009995</v>
      </c>
      <c r="E1963" s="115">
        <v>153.25</v>
      </c>
      <c r="F1963" s="34">
        <v>148.75</v>
      </c>
      <c r="G1963" s="34">
        <v>149.86000100000001</v>
      </c>
      <c r="H1963" s="34">
        <v>141.87477100000001</v>
      </c>
      <c r="I1963" s="29">
        <v>4387000</v>
      </c>
      <c r="P1963" s="125"/>
      <c r="Q1963" s="34"/>
      <c r="R1963" s="115"/>
      <c r="S1963" s="34"/>
      <c r="T1963" s="34"/>
      <c r="U1963" s="34"/>
      <c r="V1963" s="29"/>
    </row>
    <row r="1964" spans="3:22">
      <c r="C1964" s="125">
        <v>44083</v>
      </c>
      <c r="D1964" s="34">
        <v>160.15</v>
      </c>
      <c r="E1964" s="115">
        <v>165.16</v>
      </c>
      <c r="F1964" s="34">
        <v>159.25</v>
      </c>
      <c r="G1964" s="34">
        <v>163.43</v>
      </c>
      <c r="H1964" s="34">
        <v>163.43</v>
      </c>
      <c r="I1964" s="29">
        <v>103774000</v>
      </c>
      <c r="P1964" s="125"/>
      <c r="Q1964" s="34"/>
      <c r="R1964" s="115"/>
      <c r="S1964" s="34"/>
      <c r="T1964" s="34"/>
      <c r="U1964" s="34"/>
      <c r="V1964" s="29"/>
    </row>
    <row r="1965" spans="3:22">
      <c r="C1965" s="125">
        <v>44083</v>
      </c>
      <c r="D1965" s="34">
        <v>149.800003</v>
      </c>
      <c r="E1965" s="115">
        <v>155.479996</v>
      </c>
      <c r="F1965" s="34">
        <v>149.21000699999999</v>
      </c>
      <c r="G1965" s="34">
        <v>152.69000199999999</v>
      </c>
      <c r="H1965" s="34">
        <v>144.55398600000001</v>
      </c>
      <c r="I1965" s="29">
        <v>5345100</v>
      </c>
      <c r="P1965" s="125"/>
      <c r="Q1965" s="34"/>
      <c r="R1965" s="115"/>
      <c r="S1965" s="34"/>
      <c r="T1965" s="34"/>
      <c r="U1965" s="34"/>
      <c r="V1965" s="29"/>
    </row>
    <row r="1966" spans="3:22">
      <c r="C1966" s="125">
        <v>44082</v>
      </c>
      <c r="D1966" s="34">
        <v>157.19999999999999</v>
      </c>
      <c r="E1966" s="115">
        <v>162.54</v>
      </c>
      <c r="F1966" s="34">
        <v>156.5</v>
      </c>
      <c r="G1966" s="34">
        <v>157.49</v>
      </c>
      <c r="H1966" s="34">
        <v>157.49</v>
      </c>
      <c r="I1966" s="29">
        <v>121884000</v>
      </c>
      <c r="P1966" s="125"/>
      <c r="Q1966" s="34"/>
      <c r="R1966" s="115"/>
      <c r="S1966" s="34"/>
      <c r="T1966" s="34"/>
      <c r="U1966" s="34"/>
      <c r="V1966" s="29"/>
    </row>
    <row r="1967" spans="3:22">
      <c r="C1967" s="125">
        <v>44082</v>
      </c>
      <c r="D1967" s="34">
        <v>147</v>
      </c>
      <c r="E1967" s="115">
        <v>150.759995</v>
      </c>
      <c r="F1967" s="34">
        <v>145.720001</v>
      </c>
      <c r="G1967" s="34">
        <v>148.520004</v>
      </c>
      <c r="H1967" s="34">
        <v>140.60618600000001</v>
      </c>
      <c r="I1967" s="29">
        <v>4775200</v>
      </c>
      <c r="P1967" s="125"/>
      <c r="Q1967" s="34"/>
      <c r="R1967" s="115"/>
      <c r="S1967" s="34"/>
      <c r="T1967" s="34"/>
      <c r="U1967" s="34"/>
      <c r="V1967" s="29"/>
    </row>
    <row r="1968" spans="3:22">
      <c r="C1968" s="125">
        <v>44078</v>
      </c>
      <c r="D1968" s="34">
        <v>165.9</v>
      </c>
      <c r="E1968" s="115">
        <v>169.07</v>
      </c>
      <c r="F1968" s="34">
        <v>155.56</v>
      </c>
      <c r="G1968" s="34">
        <v>164.73</v>
      </c>
      <c r="H1968" s="34">
        <v>164.73</v>
      </c>
      <c r="I1968" s="29">
        <v>175636000</v>
      </c>
      <c r="P1968" s="125"/>
      <c r="Q1968" s="34"/>
      <c r="R1968" s="115"/>
      <c r="S1968" s="34"/>
      <c r="T1968" s="34"/>
      <c r="U1968" s="34"/>
      <c r="V1968" s="29"/>
    </row>
    <row r="1969" spans="3:22">
      <c r="C1969" s="125">
        <v>44078</v>
      </c>
      <c r="D1969" s="34">
        <v>148.699997</v>
      </c>
      <c r="E1969" s="115">
        <v>150.779999</v>
      </c>
      <c r="F1969" s="34">
        <v>146.03999300000001</v>
      </c>
      <c r="G1969" s="34">
        <v>148.179993</v>
      </c>
      <c r="H1969" s="34">
        <v>140.28427099999999</v>
      </c>
      <c r="I1969" s="29">
        <v>5129400</v>
      </c>
      <c r="P1969" s="125"/>
      <c r="Q1969" s="34"/>
      <c r="R1969" s="115"/>
      <c r="S1969" s="34"/>
      <c r="T1969" s="34"/>
      <c r="U1969" s="34"/>
      <c r="V1969" s="29"/>
    </row>
    <row r="1970" spans="3:22">
      <c r="C1970" s="125">
        <v>44077</v>
      </c>
      <c r="D1970" s="34">
        <v>174.25</v>
      </c>
      <c r="E1970" s="115">
        <v>174.42</v>
      </c>
      <c r="F1970" s="34">
        <v>165.15</v>
      </c>
      <c r="G1970" s="34">
        <v>168.4</v>
      </c>
      <c r="H1970" s="34">
        <v>168.4</v>
      </c>
      <c r="I1970" s="29">
        <v>163222000</v>
      </c>
      <c r="P1970" s="125"/>
      <c r="Q1970" s="34"/>
      <c r="R1970" s="115"/>
      <c r="S1970" s="34"/>
      <c r="T1970" s="34"/>
      <c r="U1970" s="34"/>
      <c r="V1970" s="29"/>
    </row>
    <row r="1971" spans="3:22">
      <c r="C1971" s="125">
        <v>44077</v>
      </c>
      <c r="D1971" s="34">
        <v>148.58999600000001</v>
      </c>
      <c r="E1971" s="115">
        <v>151.199997</v>
      </c>
      <c r="F1971" s="34">
        <v>145.300003</v>
      </c>
      <c r="G1971" s="34">
        <v>146.759995</v>
      </c>
      <c r="H1971" s="34">
        <v>138.93995699999999</v>
      </c>
      <c r="I1971" s="29">
        <v>4479100</v>
      </c>
      <c r="P1971" s="125"/>
      <c r="Q1971" s="34"/>
      <c r="R1971" s="115"/>
      <c r="S1971" s="34"/>
      <c r="T1971" s="34"/>
      <c r="U1971" s="34"/>
      <c r="V1971" s="29"/>
    </row>
    <row r="1972" spans="3:22">
      <c r="C1972" s="125">
        <v>44076</v>
      </c>
      <c r="D1972" s="34">
        <v>177.35</v>
      </c>
      <c r="E1972" s="115">
        <v>177.61</v>
      </c>
      <c r="F1972" s="34">
        <v>174.33</v>
      </c>
      <c r="G1972" s="34">
        <v>176.57</v>
      </c>
      <c r="H1972" s="34">
        <v>176.57</v>
      </c>
      <c r="I1972" s="29">
        <v>78630000</v>
      </c>
      <c r="P1972" s="125"/>
      <c r="Q1972" s="34"/>
      <c r="R1972" s="115"/>
      <c r="S1972" s="34"/>
      <c r="T1972" s="34"/>
      <c r="U1972" s="34"/>
      <c r="V1972" s="29"/>
    </row>
    <row r="1973" spans="3:22">
      <c r="C1973" s="125">
        <v>44076</v>
      </c>
      <c r="D1973" s="34">
        <v>146.86999499999999</v>
      </c>
      <c r="E1973" s="115">
        <v>149.550003</v>
      </c>
      <c r="F1973" s="34">
        <v>146.39999399999999</v>
      </c>
      <c r="G1973" s="34">
        <v>149.270004</v>
      </c>
      <c r="H1973" s="34">
        <v>141.316193</v>
      </c>
      <c r="I1973" s="29">
        <v>4515500</v>
      </c>
      <c r="P1973" s="125"/>
      <c r="Q1973" s="34"/>
      <c r="R1973" s="115"/>
      <c r="S1973" s="34"/>
      <c r="T1973" s="34"/>
      <c r="U1973" s="34"/>
      <c r="V1973" s="29"/>
    </row>
    <row r="1974" spans="3:22">
      <c r="C1974" s="125">
        <v>44075</v>
      </c>
      <c r="D1974" s="34">
        <v>174.48</v>
      </c>
      <c r="E1974" s="115">
        <v>175.69</v>
      </c>
      <c r="F1974" s="34">
        <v>173.35</v>
      </c>
      <c r="G1974" s="34">
        <v>174.96</v>
      </c>
      <c r="H1974" s="34">
        <v>174.96</v>
      </c>
      <c r="I1974" s="29">
        <v>68644000</v>
      </c>
      <c r="P1974" s="125"/>
      <c r="Q1974" s="34"/>
      <c r="R1974" s="115"/>
      <c r="S1974" s="34"/>
      <c r="T1974" s="34"/>
      <c r="U1974" s="34"/>
      <c r="V1974" s="29"/>
    </row>
    <row r="1975" spans="3:22">
      <c r="C1975" s="125">
        <v>44075</v>
      </c>
      <c r="D1975" s="34">
        <v>141.66999799999999</v>
      </c>
      <c r="E1975" s="115">
        <v>146.11999499999999</v>
      </c>
      <c r="F1975" s="34">
        <v>140.91000399999999</v>
      </c>
      <c r="G1975" s="34">
        <v>146.050003</v>
      </c>
      <c r="H1975" s="34">
        <v>138.26776100000001</v>
      </c>
      <c r="I1975" s="29">
        <v>2673900</v>
      </c>
      <c r="P1975" s="125"/>
      <c r="Q1975" s="34"/>
      <c r="R1975" s="115"/>
      <c r="S1975" s="34"/>
      <c r="T1975" s="34"/>
      <c r="U1975" s="34"/>
      <c r="V1975" s="29"/>
    </row>
    <row r="1976" spans="3:22">
      <c r="C1976" s="125">
        <v>44074</v>
      </c>
      <c r="D1976" s="34">
        <v>170.45</v>
      </c>
      <c r="E1976" s="115">
        <v>174.75</v>
      </c>
      <c r="F1976" s="34">
        <v>170.25</v>
      </c>
      <c r="G1976" s="34">
        <v>172.55</v>
      </c>
      <c r="H1976" s="34">
        <v>172.55</v>
      </c>
      <c r="I1976" s="29">
        <v>83718000</v>
      </c>
      <c r="P1976" s="125"/>
      <c r="Q1976" s="34"/>
      <c r="R1976" s="115"/>
      <c r="S1976" s="34"/>
      <c r="T1976" s="34"/>
      <c r="U1976" s="34"/>
      <c r="V1976" s="29"/>
    </row>
    <row r="1977" spans="3:22">
      <c r="C1977" s="125">
        <v>44074</v>
      </c>
      <c r="D1977" s="34">
        <v>143.5</v>
      </c>
      <c r="E1977" s="115">
        <v>143.60000600000001</v>
      </c>
      <c r="F1977" s="34">
        <v>142.270004</v>
      </c>
      <c r="G1977" s="34">
        <v>142.30999800000001</v>
      </c>
      <c r="H1977" s="34">
        <v>134.727081</v>
      </c>
      <c r="I1977" s="29">
        <v>2886500</v>
      </c>
      <c r="P1977" s="125"/>
      <c r="Q1977" s="34"/>
      <c r="R1977" s="115"/>
      <c r="S1977" s="34"/>
      <c r="T1977" s="34"/>
      <c r="U1977" s="34"/>
      <c r="V1977" s="29"/>
    </row>
    <row r="1978" spans="3:22">
      <c r="C1978" s="125">
        <v>44071</v>
      </c>
      <c r="D1978" s="34">
        <v>171.15</v>
      </c>
      <c r="E1978" s="115">
        <v>171.67</v>
      </c>
      <c r="F1978" s="34">
        <v>169.32</v>
      </c>
      <c r="G1978" s="34">
        <v>170.09</v>
      </c>
      <c r="H1978" s="34">
        <v>170.09</v>
      </c>
      <c r="I1978" s="29">
        <v>57940000</v>
      </c>
      <c r="P1978" s="125"/>
      <c r="Q1978" s="34"/>
      <c r="R1978" s="115"/>
      <c r="S1978" s="34"/>
      <c r="T1978" s="34"/>
      <c r="U1978" s="34"/>
      <c r="V1978" s="29"/>
    </row>
    <row r="1979" spans="3:22">
      <c r="C1979" s="125">
        <v>44071</v>
      </c>
      <c r="D1979" s="34">
        <v>144.279999</v>
      </c>
      <c r="E1979" s="115">
        <v>145.85000600000001</v>
      </c>
      <c r="F1979" s="34">
        <v>142.69000199999999</v>
      </c>
      <c r="G1979" s="34">
        <v>143.63000500000001</v>
      </c>
      <c r="H1979" s="34">
        <v>135.97673</v>
      </c>
      <c r="I1979" s="29">
        <v>3698700</v>
      </c>
      <c r="P1979" s="125"/>
      <c r="Q1979" s="34"/>
      <c r="R1979" s="115"/>
      <c r="S1979" s="34"/>
      <c r="T1979" s="34"/>
      <c r="U1979" s="34"/>
      <c r="V1979" s="29"/>
    </row>
    <row r="1980" spans="3:22">
      <c r="C1980" s="125">
        <v>44070</v>
      </c>
      <c r="D1980" s="34">
        <v>172.5</v>
      </c>
      <c r="E1980" s="115">
        <v>172.65</v>
      </c>
      <c r="F1980" s="34">
        <v>168.9</v>
      </c>
      <c r="G1980" s="34">
        <v>170</v>
      </c>
      <c r="H1980" s="34">
        <v>170</v>
      </c>
      <c r="I1980" s="29">
        <v>85296000</v>
      </c>
      <c r="P1980" s="125"/>
      <c r="Q1980" s="34"/>
      <c r="R1980" s="115"/>
      <c r="S1980" s="34"/>
      <c r="T1980" s="34"/>
      <c r="U1980" s="34"/>
      <c r="V1980" s="29"/>
    </row>
    <row r="1981" spans="3:22">
      <c r="C1981" s="125">
        <v>44070</v>
      </c>
      <c r="D1981" s="34">
        <v>142.13000500000001</v>
      </c>
      <c r="E1981" s="115">
        <v>144.33999600000001</v>
      </c>
      <c r="F1981" s="34">
        <v>141.279999</v>
      </c>
      <c r="G1981" s="34">
        <v>143.36999499999999</v>
      </c>
      <c r="H1981" s="34">
        <v>135.73057600000001</v>
      </c>
      <c r="I1981" s="29">
        <v>3010300</v>
      </c>
      <c r="P1981" s="125"/>
      <c r="Q1981" s="34"/>
      <c r="R1981" s="115"/>
      <c r="S1981" s="34"/>
      <c r="T1981" s="34"/>
      <c r="U1981" s="34"/>
      <c r="V1981" s="29"/>
    </row>
    <row r="1982" spans="3:22">
      <c r="C1982" s="125">
        <v>44069</v>
      </c>
      <c r="D1982" s="34">
        <v>167.56</v>
      </c>
      <c r="E1982" s="115">
        <v>172.59</v>
      </c>
      <c r="F1982" s="34">
        <v>167.23</v>
      </c>
      <c r="G1982" s="34">
        <v>172.09</v>
      </c>
      <c r="H1982" s="34">
        <v>172.09</v>
      </c>
      <c r="I1982" s="29">
        <v>130174000</v>
      </c>
      <c r="P1982" s="125"/>
      <c r="Q1982" s="34"/>
      <c r="R1982" s="115"/>
      <c r="S1982" s="34"/>
      <c r="T1982" s="34"/>
      <c r="U1982" s="34"/>
      <c r="V1982" s="29"/>
    </row>
    <row r="1983" spans="3:22">
      <c r="C1983" s="125">
        <v>44069</v>
      </c>
      <c r="D1983" s="34">
        <v>140.479996</v>
      </c>
      <c r="E1983" s="115">
        <v>142.44000199999999</v>
      </c>
      <c r="F1983" s="34">
        <v>139.80999800000001</v>
      </c>
      <c r="G1983" s="34">
        <v>141.83000200000001</v>
      </c>
      <c r="H1983" s="34">
        <v>134.272659</v>
      </c>
      <c r="I1983" s="29">
        <v>2379900</v>
      </c>
      <c r="P1983" s="125"/>
      <c r="Q1983" s="34"/>
      <c r="R1983" s="115"/>
      <c r="S1983" s="34"/>
      <c r="T1983" s="34"/>
      <c r="U1983" s="34"/>
      <c r="V1983" s="29"/>
    </row>
    <row r="1984" spans="3:22">
      <c r="C1984" s="125">
        <v>44068</v>
      </c>
      <c r="D1984" s="34">
        <v>164.75</v>
      </c>
      <c r="E1984" s="115">
        <v>167.87</v>
      </c>
      <c r="F1984" s="34">
        <v>163.35</v>
      </c>
      <c r="G1984" s="34">
        <v>167.32</v>
      </c>
      <c r="H1984" s="34">
        <v>167.32</v>
      </c>
      <c r="I1984" s="29">
        <v>79856000</v>
      </c>
      <c r="P1984" s="125"/>
      <c r="Q1984" s="34"/>
      <c r="R1984" s="115"/>
      <c r="S1984" s="34"/>
      <c r="T1984" s="34"/>
      <c r="U1984" s="34"/>
      <c r="V1984" s="29"/>
    </row>
    <row r="1985" spans="3:22">
      <c r="C1985" s="125">
        <v>44068</v>
      </c>
      <c r="D1985" s="34">
        <v>142.66999799999999</v>
      </c>
      <c r="E1985" s="115">
        <v>144.929993</v>
      </c>
      <c r="F1985" s="34">
        <v>140.53999300000001</v>
      </c>
      <c r="G1985" s="34">
        <v>141.14999399999999</v>
      </c>
      <c r="H1985" s="34">
        <v>133.62886</v>
      </c>
      <c r="I1985" s="29">
        <v>2467500</v>
      </c>
      <c r="P1985" s="125"/>
      <c r="Q1985" s="34"/>
      <c r="R1985" s="115"/>
      <c r="S1985" s="34"/>
      <c r="T1985" s="34"/>
      <c r="U1985" s="34"/>
      <c r="V1985" s="29"/>
    </row>
    <row r="1986" spans="3:22">
      <c r="C1986" s="125">
        <v>44067</v>
      </c>
      <c r="D1986" s="34">
        <v>165.51</v>
      </c>
      <c r="E1986" s="115">
        <v>169.02</v>
      </c>
      <c r="F1986" s="34">
        <v>162.88</v>
      </c>
      <c r="G1986" s="34">
        <v>165.37</v>
      </c>
      <c r="H1986" s="34">
        <v>165.37</v>
      </c>
      <c r="I1986" s="29">
        <v>93326000</v>
      </c>
      <c r="P1986" s="125"/>
      <c r="Q1986" s="34"/>
      <c r="R1986" s="115"/>
      <c r="S1986" s="34"/>
      <c r="T1986" s="34"/>
      <c r="U1986" s="34"/>
      <c r="V1986" s="29"/>
    </row>
    <row r="1987" spans="3:22">
      <c r="C1987" s="125">
        <v>44067</v>
      </c>
      <c r="D1987" s="34">
        <v>139.759995</v>
      </c>
      <c r="E1987" s="115">
        <v>142.25</v>
      </c>
      <c r="F1987" s="34">
        <v>139.08000200000001</v>
      </c>
      <c r="G1987" s="34">
        <v>141.679993</v>
      </c>
      <c r="H1987" s="34">
        <v>134.13064600000001</v>
      </c>
      <c r="I1987" s="29">
        <v>2921700</v>
      </c>
      <c r="P1987" s="125"/>
      <c r="Q1987" s="34"/>
      <c r="R1987" s="115"/>
      <c r="S1987" s="34"/>
      <c r="T1987" s="34"/>
      <c r="U1987" s="34"/>
      <c r="V1987" s="29"/>
    </row>
    <row r="1988" spans="3:22">
      <c r="C1988" s="125">
        <v>44064</v>
      </c>
      <c r="D1988" s="34">
        <v>164.75</v>
      </c>
      <c r="E1988" s="115">
        <v>165.72</v>
      </c>
      <c r="F1988" s="34">
        <v>163.77000000000001</v>
      </c>
      <c r="G1988" s="34">
        <v>164.24</v>
      </c>
      <c r="H1988" s="34">
        <v>164.24</v>
      </c>
      <c r="I1988" s="29">
        <v>71518000</v>
      </c>
      <c r="P1988" s="125"/>
      <c r="Q1988" s="34"/>
      <c r="R1988" s="115"/>
      <c r="S1988" s="34"/>
      <c r="T1988" s="34"/>
      <c r="U1988" s="34"/>
      <c r="V1988" s="29"/>
    </row>
    <row r="1989" spans="3:22">
      <c r="C1989" s="125">
        <v>44064</v>
      </c>
      <c r="D1989" s="34">
        <v>136.800003</v>
      </c>
      <c r="E1989" s="115">
        <v>139</v>
      </c>
      <c r="F1989" s="34">
        <v>136.800003</v>
      </c>
      <c r="G1989" s="34">
        <v>138.429993</v>
      </c>
      <c r="H1989" s="34">
        <v>131.053833</v>
      </c>
      <c r="I1989" s="29">
        <v>2524600</v>
      </c>
      <c r="P1989" s="125"/>
      <c r="Q1989" s="34"/>
      <c r="R1989" s="115"/>
      <c r="S1989" s="34"/>
      <c r="T1989" s="34"/>
      <c r="U1989" s="34"/>
      <c r="V1989" s="29"/>
    </row>
    <row r="1990" spans="3:22">
      <c r="C1990" s="125">
        <v>44063</v>
      </c>
      <c r="D1990" s="34">
        <v>162.6</v>
      </c>
      <c r="E1990" s="115">
        <v>165.63</v>
      </c>
      <c r="F1990" s="34">
        <v>161.9</v>
      </c>
      <c r="G1990" s="34">
        <v>164.87</v>
      </c>
      <c r="H1990" s="34">
        <v>164.87</v>
      </c>
      <c r="I1990" s="29">
        <v>66650000</v>
      </c>
      <c r="P1990" s="125"/>
      <c r="Q1990" s="34"/>
      <c r="R1990" s="115"/>
      <c r="S1990" s="34"/>
      <c r="T1990" s="34"/>
      <c r="U1990" s="34"/>
      <c r="V1990" s="29"/>
    </row>
    <row r="1991" spans="3:22">
      <c r="C1991" s="125">
        <v>44063</v>
      </c>
      <c r="D1991" s="34">
        <v>136.020004</v>
      </c>
      <c r="E1991" s="115">
        <v>137.979996</v>
      </c>
      <c r="F1991" s="34">
        <v>135.64999399999999</v>
      </c>
      <c r="G1991" s="34">
        <v>137.479996</v>
      </c>
      <c r="H1991" s="34">
        <v>130.15443400000001</v>
      </c>
      <c r="I1991" s="29">
        <v>2279700</v>
      </c>
      <c r="P1991" s="125"/>
      <c r="Q1991" s="34"/>
      <c r="R1991" s="115"/>
      <c r="S1991" s="34"/>
      <c r="T1991" s="34"/>
      <c r="U1991" s="34"/>
      <c r="V1991" s="29"/>
    </row>
    <row r="1992" spans="3:22">
      <c r="C1992" s="125">
        <v>44062</v>
      </c>
      <c r="D1992" s="34">
        <v>165.15</v>
      </c>
      <c r="E1992" s="115">
        <v>165.79</v>
      </c>
      <c r="F1992" s="34">
        <v>162.80000000000001</v>
      </c>
      <c r="G1992" s="34">
        <v>163.02000000000001</v>
      </c>
      <c r="H1992" s="34">
        <v>163.02000000000001</v>
      </c>
      <c r="I1992" s="29">
        <v>83702000</v>
      </c>
      <c r="P1992" s="125"/>
      <c r="Q1992" s="34"/>
      <c r="R1992" s="115"/>
      <c r="S1992" s="34"/>
      <c r="T1992" s="34"/>
      <c r="U1992" s="34"/>
      <c r="V1992" s="29"/>
    </row>
    <row r="1993" spans="3:22">
      <c r="C1993" s="125">
        <v>44062</v>
      </c>
      <c r="D1993" s="34">
        <v>138.5</v>
      </c>
      <c r="E1993" s="115">
        <v>139.91999799999999</v>
      </c>
      <c r="F1993" s="34">
        <v>137.46000699999999</v>
      </c>
      <c r="G1993" s="34">
        <v>138.020004</v>
      </c>
      <c r="H1993" s="34">
        <v>130.66566499999999</v>
      </c>
      <c r="I1993" s="29">
        <v>1849500</v>
      </c>
      <c r="P1993" s="125"/>
      <c r="Q1993" s="34"/>
      <c r="R1993" s="115"/>
      <c r="S1993" s="34"/>
      <c r="T1993" s="34"/>
      <c r="U1993" s="34"/>
      <c r="V1993" s="29"/>
    </row>
    <row r="1994" spans="3:22">
      <c r="C1994" s="125">
        <v>44061</v>
      </c>
      <c r="D1994" s="34">
        <v>160.6</v>
      </c>
      <c r="E1994" s="115">
        <v>166</v>
      </c>
      <c r="F1994" s="34">
        <v>160.29</v>
      </c>
      <c r="G1994" s="34">
        <v>165.62</v>
      </c>
      <c r="H1994" s="34">
        <v>165.62</v>
      </c>
      <c r="I1994" s="29">
        <v>106920000</v>
      </c>
      <c r="P1994" s="125"/>
      <c r="Q1994" s="34"/>
      <c r="R1994" s="115"/>
      <c r="S1994" s="34"/>
      <c r="T1994" s="34"/>
      <c r="U1994" s="34"/>
      <c r="V1994" s="29"/>
    </row>
    <row r="1995" spans="3:22">
      <c r="C1995" s="125">
        <v>44061</v>
      </c>
      <c r="D1995" s="34">
        <v>138.949997</v>
      </c>
      <c r="E1995" s="115">
        <v>140.11000100000001</v>
      </c>
      <c r="F1995" s="34">
        <v>138.08000200000001</v>
      </c>
      <c r="G1995" s="34">
        <v>138.36999499999999</v>
      </c>
      <c r="H1995" s="34">
        <v>130.996994</v>
      </c>
      <c r="I1995" s="29">
        <v>1563200</v>
      </c>
      <c r="P1995" s="125"/>
      <c r="Q1995" s="34"/>
      <c r="R1995" s="115"/>
      <c r="S1995" s="34"/>
      <c r="T1995" s="34"/>
      <c r="U1995" s="34"/>
      <c r="V1995" s="29"/>
    </row>
    <row r="1996" spans="3:22">
      <c r="C1996" s="125">
        <v>44060</v>
      </c>
      <c r="D1996" s="34">
        <v>158.66</v>
      </c>
      <c r="E1996" s="115">
        <v>159.75</v>
      </c>
      <c r="F1996" s="34">
        <v>157.71</v>
      </c>
      <c r="G1996" s="34">
        <v>159.12</v>
      </c>
      <c r="H1996" s="34">
        <v>159.12</v>
      </c>
      <c r="I1996" s="29">
        <v>53824000</v>
      </c>
      <c r="P1996" s="125"/>
      <c r="Q1996" s="34"/>
      <c r="R1996" s="115"/>
      <c r="S1996" s="34"/>
      <c r="T1996" s="34"/>
      <c r="U1996" s="34"/>
      <c r="V1996" s="29"/>
    </row>
    <row r="1997" spans="3:22">
      <c r="C1997" s="125">
        <v>44060</v>
      </c>
      <c r="D1997" s="34">
        <v>140.14999399999999</v>
      </c>
      <c r="E1997" s="115">
        <v>140.60000600000001</v>
      </c>
      <c r="F1997" s="34">
        <v>138.300003</v>
      </c>
      <c r="G1997" s="34">
        <v>138.720001</v>
      </c>
      <c r="H1997" s="34">
        <v>131.328339</v>
      </c>
      <c r="I1997" s="29">
        <v>2284000</v>
      </c>
      <c r="P1997" s="125"/>
      <c r="Q1997" s="34"/>
      <c r="R1997" s="115"/>
      <c r="S1997" s="34"/>
      <c r="T1997" s="34"/>
      <c r="U1997" s="34"/>
      <c r="V1997" s="29"/>
    </row>
    <row r="1998" spans="3:22">
      <c r="C1998" s="125">
        <v>44057</v>
      </c>
      <c r="D1998" s="34">
        <v>158.91</v>
      </c>
      <c r="E1998" s="115">
        <v>158.91</v>
      </c>
      <c r="F1998" s="34">
        <v>156</v>
      </c>
      <c r="G1998" s="34">
        <v>157.4</v>
      </c>
      <c r="H1998" s="34">
        <v>157.4</v>
      </c>
      <c r="I1998" s="29">
        <v>55034000</v>
      </c>
      <c r="P1998" s="125"/>
      <c r="Q1998" s="34"/>
      <c r="R1998" s="115"/>
      <c r="S1998" s="34"/>
      <c r="T1998" s="34"/>
      <c r="U1998" s="34"/>
      <c r="V1998" s="29"/>
    </row>
    <row r="1999" spans="3:22">
      <c r="C1999" s="125">
        <v>44057</v>
      </c>
      <c r="D1999" s="34">
        <v>139.449997</v>
      </c>
      <c r="E1999" s="115">
        <v>140.88999899999999</v>
      </c>
      <c r="F1999" s="34">
        <v>138.770004</v>
      </c>
      <c r="G1999" s="34">
        <v>139.96000699999999</v>
      </c>
      <c r="H1999" s="34">
        <v>132.50225800000001</v>
      </c>
      <c r="I1999" s="29">
        <v>2038500</v>
      </c>
      <c r="P1999" s="125"/>
      <c r="Q1999" s="34"/>
      <c r="R1999" s="115"/>
      <c r="S1999" s="34"/>
      <c r="T1999" s="34"/>
      <c r="U1999" s="34"/>
      <c r="V1999" s="29"/>
    </row>
    <row r="2000" spans="3:22">
      <c r="C2000" s="125">
        <v>44056</v>
      </c>
      <c r="D2000" s="34">
        <v>159.15</v>
      </c>
      <c r="E2000" s="115">
        <v>160.88</v>
      </c>
      <c r="F2000" s="34">
        <v>157.75</v>
      </c>
      <c r="G2000" s="34">
        <v>158.05000000000001</v>
      </c>
      <c r="H2000" s="34">
        <v>158.05000000000001</v>
      </c>
      <c r="I2000" s="29">
        <v>62980000</v>
      </c>
      <c r="P2000" s="125"/>
      <c r="Q2000" s="34"/>
      <c r="R2000" s="115"/>
      <c r="S2000" s="34"/>
      <c r="T2000" s="34"/>
      <c r="U2000" s="34"/>
      <c r="V2000" s="29"/>
    </row>
    <row r="2001" spans="3:22">
      <c r="C2001" s="125">
        <v>44056</v>
      </c>
      <c r="D2001" s="34">
        <v>141.60000600000001</v>
      </c>
      <c r="E2001" s="115">
        <v>142.740005</v>
      </c>
      <c r="F2001" s="34">
        <v>139.770004</v>
      </c>
      <c r="G2001" s="34">
        <v>140.66999799999999</v>
      </c>
      <c r="H2001" s="34">
        <v>133.17446899999999</v>
      </c>
      <c r="I2001" s="29">
        <v>2939900</v>
      </c>
      <c r="P2001" s="125"/>
      <c r="Q2001" s="34"/>
      <c r="R2001" s="115"/>
      <c r="S2001" s="34"/>
      <c r="T2001" s="34"/>
      <c r="U2001" s="34"/>
      <c r="V2001" s="29"/>
    </row>
    <row r="2002" spans="3:22">
      <c r="C2002" s="125">
        <v>44055</v>
      </c>
      <c r="D2002" s="34">
        <v>155.4</v>
      </c>
      <c r="E2002" s="115">
        <v>158.72</v>
      </c>
      <c r="F2002" s="34">
        <v>155.07</v>
      </c>
      <c r="G2002" s="34">
        <v>158.11000000000001</v>
      </c>
      <c r="H2002" s="34">
        <v>158.11000000000001</v>
      </c>
      <c r="I2002" s="29">
        <v>70442000</v>
      </c>
      <c r="P2002" s="125"/>
      <c r="Q2002" s="34"/>
      <c r="R2002" s="115"/>
      <c r="S2002" s="34"/>
      <c r="T2002" s="34"/>
      <c r="U2002" s="34"/>
      <c r="V2002" s="29"/>
    </row>
    <row r="2003" spans="3:22">
      <c r="C2003" s="125">
        <v>44055</v>
      </c>
      <c r="D2003" s="34">
        <v>143.949997</v>
      </c>
      <c r="E2003" s="115">
        <v>144.16999799999999</v>
      </c>
      <c r="F2003" s="34">
        <v>141.33000200000001</v>
      </c>
      <c r="G2003" s="34">
        <v>142.570007</v>
      </c>
      <c r="H2003" s="34">
        <v>134.973206</v>
      </c>
      <c r="I2003" s="29">
        <v>2541200</v>
      </c>
      <c r="P2003" s="125"/>
      <c r="Q2003" s="34"/>
      <c r="R2003" s="115"/>
      <c r="S2003" s="34"/>
      <c r="T2003" s="34"/>
      <c r="U2003" s="34"/>
      <c r="V2003" s="29"/>
    </row>
    <row r="2004" spans="3:22">
      <c r="C2004" s="125">
        <v>44054</v>
      </c>
      <c r="D2004" s="34">
        <v>155.66</v>
      </c>
      <c r="E2004" s="115">
        <v>157.96</v>
      </c>
      <c r="F2004" s="34">
        <v>153.65</v>
      </c>
      <c r="G2004" s="34">
        <v>154.03</v>
      </c>
      <c r="H2004" s="34">
        <v>154.03</v>
      </c>
      <c r="I2004" s="29">
        <v>74362000</v>
      </c>
      <c r="P2004" s="125"/>
      <c r="Q2004" s="34"/>
      <c r="R2004" s="115"/>
      <c r="S2004" s="34"/>
      <c r="T2004" s="34"/>
      <c r="U2004" s="34"/>
      <c r="V2004" s="29"/>
    </row>
    <row r="2005" spans="3:22">
      <c r="C2005" s="125">
        <v>44054</v>
      </c>
      <c r="D2005" s="34">
        <v>144.020004</v>
      </c>
      <c r="E2005" s="115">
        <v>146.199997</v>
      </c>
      <c r="F2005" s="34">
        <v>142.28999300000001</v>
      </c>
      <c r="G2005" s="34">
        <v>142.529999</v>
      </c>
      <c r="H2005" s="34">
        <v>134.93536399999999</v>
      </c>
      <c r="I2005" s="29">
        <v>4206000</v>
      </c>
      <c r="P2005" s="125"/>
      <c r="Q2005" s="34"/>
      <c r="R2005" s="115"/>
      <c r="S2005" s="34"/>
      <c r="T2005" s="34"/>
      <c r="U2005" s="34"/>
      <c r="V2005" s="29"/>
    </row>
    <row r="2006" spans="3:22">
      <c r="C2006" s="125">
        <v>44053</v>
      </c>
      <c r="D2006" s="34">
        <v>158.52000000000001</v>
      </c>
      <c r="E2006" s="115">
        <v>158.63</v>
      </c>
      <c r="F2006" s="34">
        <v>155.08000000000001</v>
      </c>
      <c r="G2006" s="34">
        <v>157.41</v>
      </c>
      <c r="H2006" s="34">
        <v>157.41</v>
      </c>
      <c r="I2006" s="29">
        <v>63346000</v>
      </c>
      <c r="P2006" s="125"/>
      <c r="Q2006" s="34"/>
      <c r="R2006" s="115"/>
      <c r="S2006" s="34"/>
      <c r="T2006" s="34"/>
      <c r="U2006" s="34"/>
      <c r="V2006" s="29"/>
    </row>
    <row r="2007" spans="3:22">
      <c r="C2007" s="125">
        <v>44053</v>
      </c>
      <c r="D2007" s="34">
        <v>135.729996</v>
      </c>
      <c r="E2007" s="115">
        <v>142.16000399999999</v>
      </c>
      <c r="F2007" s="34">
        <v>135.679993</v>
      </c>
      <c r="G2007" s="34">
        <v>142.020004</v>
      </c>
      <c r="H2007" s="34">
        <v>134.45251500000001</v>
      </c>
      <c r="I2007" s="29">
        <v>5181600</v>
      </c>
      <c r="P2007" s="125"/>
      <c r="Q2007" s="34"/>
      <c r="R2007" s="115"/>
      <c r="S2007" s="34"/>
      <c r="T2007" s="34"/>
      <c r="U2007" s="34"/>
      <c r="V2007" s="29"/>
    </row>
    <row r="2008" spans="3:22">
      <c r="C2008" s="125">
        <v>44050</v>
      </c>
      <c r="D2008" s="34">
        <v>161.19999999999999</v>
      </c>
      <c r="E2008" s="115">
        <v>162.04</v>
      </c>
      <c r="F2008" s="34">
        <v>157.03</v>
      </c>
      <c r="G2008" s="34">
        <v>158.37</v>
      </c>
      <c r="H2008" s="34">
        <v>158.37</v>
      </c>
      <c r="I2008" s="29">
        <v>78722000</v>
      </c>
      <c r="P2008" s="125"/>
      <c r="Q2008" s="34"/>
      <c r="R2008" s="115"/>
      <c r="S2008" s="34"/>
      <c r="T2008" s="34"/>
      <c r="U2008" s="34"/>
      <c r="V2008" s="29"/>
    </row>
    <row r="2009" spans="3:22">
      <c r="C2009" s="125">
        <v>44050</v>
      </c>
      <c r="D2009" s="34">
        <v>134</v>
      </c>
      <c r="E2009" s="115">
        <v>135.11000100000001</v>
      </c>
      <c r="F2009" s="34">
        <v>132.520004</v>
      </c>
      <c r="G2009" s="34">
        <v>134.91999799999999</v>
      </c>
      <c r="H2009" s="34">
        <v>127.73084299999999</v>
      </c>
      <c r="I2009" s="29">
        <v>2223700</v>
      </c>
      <c r="P2009" s="125"/>
      <c r="Q2009" s="34"/>
      <c r="R2009" s="115"/>
      <c r="S2009" s="34"/>
      <c r="T2009" s="34"/>
      <c r="U2009" s="34"/>
      <c r="V2009" s="29"/>
    </row>
    <row r="2010" spans="3:22">
      <c r="C2010" s="125">
        <v>44049</v>
      </c>
      <c r="D2010" s="34">
        <v>159.72</v>
      </c>
      <c r="E2010" s="115">
        <v>162.37</v>
      </c>
      <c r="F2010" s="34">
        <v>158.27000000000001</v>
      </c>
      <c r="G2010" s="34">
        <v>161.25</v>
      </c>
      <c r="H2010" s="34">
        <v>161.25</v>
      </c>
      <c r="I2010" s="29">
        <v>78812000</v>
      </c>
      <c r="P2010" s="125"/>
      <c r="Q2010" s="34"/>
      <c r="R2010" s="115"/>
      <c r="S2010" s="34"/>
      <c r="T2010" s="34"/>
      <c r="U2010" s="34"/>
      <c r="V2010" s="29"/>
    </row>
    <row r="2011" spans="3:22">
      <c r="C2011" s="125">
        <v>44049</v>
      </c>
      <c r="D2011" s="34">
        <v>134.520004</v>
      </c>
      <c r="E2011" s="115">
        <v>135.21000699999999</v>
      </c>
      <c r="F2011" s="34">
        <v>133.699997</v>
      </c>
      <c r="G2011" s="34">
        <v>134.38999899999999</v>
      </c>
      <c r="H2011" s="34">
        <v>127.229095</v>
      </c>
      <c r="I2011" s="29">
        <v>2446400</v>
      </c>
      <c r="P2011" s="125"/>
      <c r="Q2011" s="34"/>
      <c r="R2011" s="115"/>
      <c r="S2011" s="34"/>
      <c r="T2011" s="34"/>
      <c r="U2011" s="34"/>
      <c r="V2011" s="29"/>
    </row>
    <row r="2012" spans="3:22">
      <c r="C2012" s="125">
        <v>44048</v>
      </c>
      <c r="D2012" s="34">
        <v>157.19</v>
      </c>
      <c r="E2012" s="115">
        <v>160.68</v>
      </c>
      <c r="F2012" s="34">
        <v>156.37</v>
      </c>
      <c r="G2012" s="34">
        <v>160.25</v>
      </c>
      <c r="H2012" s="34">
        <v>160.25</v>
      </c>
      <c r="I2012" s="29">
        <v>78330000</v>
      </c>
      <c r="P2012" s="125"/>
      <c r="Q2012" s="34"/>
      <c r="R2012" s="115"/>
      <c r="S2012" s="34"/>
      <c r="T2012" s="34"/>
      <c r="U2012" s="34"/>
      <c r="V2012" s="29"/>
    </row>
    <row r="2013" spans="3:22">
      <c r="C2013" s="125">
        <v>44048</v>
      </c>
      <c r="D2013" s="34">
        <v>132.779999</v>
      </c>
      <c r="E2013" s="115">
        <v>135.94000199999999</v>
      </c>
      <c r="F2013" s="34">
        <v>132.61000100000001</v>
      </c>
      <c r="G2013" s="34">
        <v>134.970001</v>
      </c>
      <c r="H2013" s="34">
        <v>127.77819100000001</v>
      </c>
      <c r="I2013" s="29">
        <v>2767800</v>
      </c>
      <c r="P2013" s="125"/>
      <c r="Q2013" s="34"/>
      <c r="R2013" s="115"/>
      <c r="S2013" s="34"/>
      <c r="T2013" s="34"/>
      <c r="U2013" s="34"/>
      <c r="V2013" s="29"/>
    </row>
    <row r="2014" spans="3:22">
      <c r="C2014" s="125">
        <v>44047</v>
      </c>
      <c r="D2014" s="34">
        <v>155.06</v>
      </c>
      <c r="E2014" s="115">
        <v>158.36000000000001</v>
      </c>
      <c r="F2014" s="34">
        <v>155.06</v>
      </c>
      <c r="G2014" s="34">
        <v>156.94</v>
      </c>
      <c r="H2014" s="34">
        <v>156.94</v>
      </c>
      <c r="I2014" s="29">
        <v>93886000</v>
      </c>
      <c r="P2014" s="125"/>
      <c r="Q2014" s="34"/>
      <c r="R2014" s="115"/>
      <c r="S2014" s="34"/>
      <c r="T2014" s="34"/>
      <c r="U2014" s="34"/>
      <c r="V2014" s="29"/>
    </row>
    <row r="2015" spans="3:22">
      <c r="C2015" s="125">
        <v>44047</v>
      </c>
      <c r="D2015" s="34">
        <v>131.36999499999999</v>
      </c>
      <c r="E2015" s="115">
        <v>132.44000199999999</v>
      </c>
      <c r="F2015" s="34">
        <v>130.66999799999999</v>
      </c>
      <c r="G2015" s="34">
        <v>131.520004</v>
      </c>
      <c r="H2015" s="34">
        <v>124.512016</v>
      </c>
      <c r="I2015" s="29">
        <v>2301800</v>
      </c>
      <c r="P2015" s="125"/>
      <c r="Q2015" s="34"/>
      <c r="R2015" s="115"/>
      <c r="S2015" s="34"/>
      <c r="T2015" s="34"/>
      <c r="U2015" s="34"/>
      <c r="V2015" s="29"/>
    </row>
    <row r="2016" spans="3:22">
      <c r="C2016" s="125">
        <v>44046</v>
      </c>
      <c r="D2016" s="34">
        <v>159.03</v>
      </c>
      <c r="E2016" s="115">
        <v>159.19999999999999</v>
      </c>
      <c r="F2016" s="34">
        <v>155.19999999999999</v>
      </c>
      <c r="G2016" s="34">
        <v>155.59</v>
      </c>
      <c r="H2016" s="34">
        <v>155.59</v>
      </c>
      <c r="I2016" s="29">
        <v>101494000</v>
      </c>
      <c r="P2016" s="125"/>
      <c r="Q2016" s="34"/>
      <c r="R2016" s="115"/>
      <c r="S2016" s="34"/>
      <c r="T2016" s="34"/>
      <c r="U2016" s="34"/>
      <c r="V2016" s="29"/>
    </row>
    <row r="2017" spans="3:22">
      <c r="C2017" s="125">
        <v>44046</v>
      </c>
      <c r="D2017" s="34">
        <v>132.300003</v>
      </c>
      <c r="E2017" s="115">
        <v>133</v>
      </c>
      <c r="F2017" s="34">
        <v>131.10000600000001</v>
      </c>
      <c r="G2017" s="34">
        <v>131.779999</v>
      </c>
      <c r="H2017" s="34">
        <v>124.758133</v>
      </c>
      <c r="I2017" s="29">
        <v>2851100</v>
      </c>
      <c r="P2017" s="125"/>
      <c r="Q2017" s="34"/>
      <c r="R2017" s="115"/>
      <c r="S2017" s="34"/>
      <c r="T2017" s="34"/>
      <c r="U2017" s="34"/>
      <c r="V2017" s="29"/>
    </row>
    <row r="2018" spans="3:22">
      <c r="C2018" s="125">
        <v>44043</v>
      </c>
      <c r="D2018" s="34">
        <v>162.19999999999999</v>
      </c>
      <c r="E2018" s="115">
        <v>162.34</v>
      </c>
      <c r="F2018" s="34">
        <v>157.55000000000001</v>
      </c>
      <c r="G2018" s="34">
        <v>158.22999999999999</v>
      </c>
      <c r="H2018" s="34">
        <v>158.22999999999999</v>
      </c>
      <c r="I2018" s="29">
        <v>161710000</v>
      </c>
      <c r="P2018" s="125"/>
      <c r="Q2018" s="34"/>
      <c r="R2018" s="115"/>
      <c r="S2018" s="34"/>
      <c r="T2018" s="34"/>
      <c r="U2018" s="34"/>
      <c r="V2018" s="29"/>
    </row>
    <row r="2019" spans="3:22">
      <c r="C2019" s="125">
        <v>44043</v>
      </c>
      <c r="D2019" s="34">
        <v>132.429993</v>
      </c>
      <c r="E2019" s="115">
        <v>135.14999399999999</v>
      </c>
      <c r="F2019" s="34">
        <v>130.21000699999999</v>
      </c>
      <c r="G2019" s="34">
        <v>132.88000500000001</v>
      </c>
      <c r="H2019" s="34">
        <v>125.799515</v>
      </c>
      <c r="I2019" s="29">
        <v>6780900</v>
      </c>
      <c r="P2019" s="125"/>
      <c r="Q2019" s="34"/>
      <c r="R2019" s="115"/>
      <c r="S2019" s="34"/>
      <c r="T2019" s="34"/>
      <c r="U2019" s="34"/>
      <c r="V2019" s="29"/>
    </row>
    <row r="2020" spans="3:22">
      <c r="C2020" s="125">
        <v>44042</v>
      </c>
      <c r="D2020" s="34">
        <v>150.69999999999999</v>
      </c>
      <c r="E2020" s="115">
        <v>154.6</v>
      </c>
      <c r="F2020" s="34">
        <v>150.25</v>
      </c>
      <c r="G2020" s="34">
        <v>152.59</v>
      </c>
      <c r="H2020" s="34">
        <v>152.59</v>
      </c>
      <c r="I2020" s="29">
        <v>122566000</v>
      </c>
      <c r="P2020" s="125"/>
      <c r="Q2020" s="34"/>
      <c r="R2020" s="115"/>
      <c r="S2020" s="34"/>
      <c r="T2020" s="34"/>
      <c r="U2020" s="34"/>
      <c r="V2020" s="29"/>
    </row>
    <row r="2021" spans="3:22">
      <c r="C2021" s="125">
        <v>44042</v>
      </c>
      <c r="D2021" s="34">
        <v>139.08000200000001</v>
      </c>
      <c r="E2021" s="115">
        <v>139.10000600000001</v>
      </c>
      <c r="F2021" s="34">
        <v>135.970001</v>
      </c>
      <c r="G2021" s="34">
        <v>136.729996</v>
      </c>
      <c r="H2021" s="34">
        <v>129.444366</v>
      </c>
      <c r="I2021" s="29">
        <v>3063500</v>
      </c>
      <c r="P2021" s="125"/>
      <c r="Q2021" s="34"/>
      <c r="R2021" s="115"/>
      <c r="S2021" s="34"/>
      <c r="T2021" s="34"/>
      <c r="U2021" s="34"/>
      <c r="V2021" s="29"/>
    </row>
    <row r="2022" spans="3:22">
      <c r="C2022" s="125">
        <v>44041</v>
      </c>
      <c r="D2022" s="34">
        <v>151.55000000000001</v>
      </c>
      <c r="E2022" s="115">
        <v>151.96</v>
      </c>
      <c r="F2022" s="34">
        <v>149.84</v>
      </c>
      <c r="G2022" s="34">
        <v>151.68</v>
      </c>
      <c r="H2022" s="34">
        <v>151.68</v>
      </c>
      <c r="I2022" s="29">
        <v>59482000</v>
      </c>
      <c r="P2022" s="125"/>
      <c r="Q2022" s="34"/>
      <c r="R2022" s="115"/>
      <c r="S2022" s="34"/>
      <c r="T2022" s="34"/>
      <c r="U2022" s="34"/>
      <c r="V2022" s="29"/>
    </row>
    <row r="2023" spans="3:22">
      <c r="C2023" s="125">
        <v>44041</v>
      </c>
      <c r="D2023" s="34">
        <v>138.58000200000001</v>
      </c>
      <c r="E2023" s="115">
        <v>141.08000200000001</v>
      </c>
      <c r="F2023" s="34">
        <v>137.800003</v>
      </c>
      <c r="G2023" s="34">
        <v>140.529999</v>
      </c>
      <c r="H2023" s="34">
        <v>133.041901</v>
      </c>
      <c r="I2023" s="29">
        <v>2338300</v>
      </c>
      <c r="P2023" s="125"/>
      <c r="Q2023" s="34"/>
      <c r="R2023" s="115"/>
      <c r="S2023" s="34"/>
      <c r="T2023" s="34"/>
      <c r="U2023" s="34"/>
      <c r="V2023" s="29"/>
    </row>
    <row r="2024" spans="3:22">
      <c r="C2024" s="125">
        <v>44040</v>
      </c>
      <c r="D2024" s="34">
        <v>152.71</v>
      </c>
      <c r="E2024" s="115">
        <v>153.85</v>
      </c>
      <c r="F2024" s="34">
        <v>149.79</v>
      </c>
      <c r="G2024" s="34">
        <v>150.02000000000001</v>
      </c>
      <c r="H2024" s="34">
        <v>150.02000000000001</v>
      </c>
      <c r="I2024" s="29">
        <v>62534000</v>
      </c>
      <c r="P2024" s="125"/>
      <c r="Q2024" s="34"/>
      <c r="R2024" s="115"/>
      <c r="S2024" s="34"/>
      <c r="T2024" s="34"/>
      <c r="U2024" s="34"/>
      <c r="V2024" s="29"/>
    </row>
    <row r="2025" spans="3:22">
      <c r="C2025" s="125">
        <v>44040</v>
      </c>
      <c r="D2025" s="34">
        <v>138.94000199999999</v>
      </c>
      <c r="E2025" s="115">
        <v>139.990005</v>
      </c>
      <c r="F2025" s="34">
        <v>137.91999799999999</v>
      </c>
      <c r="G2025" s="34">
        <v>138.029999</v>
      </c>
      <c r="H2025" s="34">
        <v>130.67512500000001</v>
      </c>
      <c r="I2025" s="29">
        <v>2029900</v>
      </c>
      <c r="P2025" s="125"/>
      <c r="Q2025" s="34"/>
      <c r="R2025" s="115"/>
      <c r="S2025" s="34"/>
      <c r="T2025" s="34"/>
      <c r="U2025" s="34"/>
      <c r="V2025" s="29"/>
    </row>
    <row r="2026" spans="3:22">
      <c r="C2026" s="125">
        <v>44039</v>
      </c>
      <c r="D2026" s="34">
        <v>153.1</v>
      </c>
      <c r="E2026" s="115">
        <v>154.9</v>
      </c>
      <c r="F2026" s="34">
        <v>150.79</v>
      </c>
      <c r="G2026" s="34">
        <v>152.76</v>
      </c>
      <c r="H2026" s="34">
        <v>152.76</v>
      </c>
      <c r="I2026" s="29">
        <v>83410000</v>
      </c>
      <c r="P2026" s="125"/>
      <c r="Q2026" s="34"/>
      <c r="R2026" s="115"/>
      <c r="S2026" s="34"/>
      <c r="T2026" s="34"/>
      <c r="U2026" s="34"/>
      <c r="V2026" s="29"/>
    </row>
    <row r="2027" spans="3:22">
      <c r="C2027" s="125">
        <v>44039</v>
      </c>
      <c r="D2027" s="34">
        <v>137.14999399999999</v>
      </c>
      <c r="E2027" s="115">
        <v>140.33999600000001</v>
      </c>
      <c r="F2027" s="34">
        <v>137.05999800000001</v>
      </c>
      <c r="G2027" s="34">
        <v>139.88999899999999</v>
      </c>
      <c r="H2027" s="34">
        <v>132.43604999999999</v>
      </c>
      <c r="I2027" s="29">
        <v>2506900</v>
      </c>
      <c r="P2027" s="125"/>
      <c r="Q2027" s="34"/>
      <c r="R2027" s="115"/>
      <c r="S2027" s="34"/>
      <c r="T2027" s="34"/>
      <c r="U2027" s="34"/>
      <c r="V2027" s="29"/>
    </row>
    <row r="2028" spans="3:22">
      <c r="C2028" s="125">
        <v>44036</v>
      </c>
      <c r="D2028" s="34">
        <v>146.5</v>
      </c>
      <c r="E2028" s="115">
        <v>151.58000000000001</v>
      </c>
      <c r="F2028" s="34">
        <v>144.4</v>
      </c>
      <c r="G2028" s="34">
        <v>150.44999999999999</v>
      </c>
      <c r="H2028" s="34">
        <v>150.44999999999999</v>
      </c>
      <c r="I2028" s="29">
        <v>112648000</v>
      </c>
      <c r="P2028" s="125"/>
      <c r="Q2028" s="34"/>
      <c r="R2028" s="115"/>
      <c r="S2028" s="34"/>
      <c r="T2028" s="34"/>
      <c r="U2028" s="34"/>
      <c r="V2028" s="29"/>
    </row>
    <row r="2029" spans="3:22">
      <c r="C2029" s="125">
        <v>44036</v>
      </c>
      <c r="D2029" s="34">
        <v>137.199997</v>
      </c>
      <c r="E2029" s="115">
        <v>138.69000199999999</v>
      </c>
      <c r="F2029" s="34">
        <v>136.85000600000001</v>
      </c>
      <c r="G2029" s="34">
        <v>137.58000200000001</v>
      </c>
      <c r="H2029" s="34">
        <v>130.2491</v>
      </c>
      <c r="I2029" s="29">
        <v>2036300</v>
      </c>
      <c r="P2029" s="125"/>
      <c r="Q2029" s="34"/>
      <c r="R2029" s="115"/>
      <c r="S2029" s="34"/>
      <c r="T2029" s="34"/>
      <c r="U2029" s="34"/>
      <c r="V2029" s="29"/>
    </row>
    <row r="2030" spans="3:22">
      <c r="C2030" s="125">
        <v>44035</v>
      </c>
      <c r="D2030" s="34">
        <v>154.91</v>
      </c>
      <c r="E2030" s="115">
        <v>154.91</v>
      </c>
      <c r="F2030" s="34">
        <v>148.5</v>
      </c>
      <c r="G2030" s="34">
        <v>149.33000000000001</v>
      </c>
      <c r="H2030" s="34">
        <v>149.33000000000001</v>
      </c>
      <c r="I2030" s="29">
        <v>113138000</v>
      </c>
      <c r="P2030" s="125"/>
      <c r="Q2030" s="34"/>
      <c r="R2030" s="115"/>
      <c r="S2030" s="34"/>
      <c r="T2030" s="34"/>
      <c r="U2030" s="34"/>
      <c r="V2030" s="29"/>
    </row>
    <row r="2031" spans="3:22">
      <c r="C2031" s="125">
        <v>44035</v>
      </c>
      <c r="D2031" s="34">
        <v>136.89999399999999</v>
      </c>
      <c r="E2031" s="115">
        <v>137.520004</v>
      </c>
      <c r="F2031" s="34">
        <v>135.71000699999999</v>
      </c>
      <c r="G2031" s="34">
        <v>136.60000600000001</v>
      </c>
      <c r="H2031" s="34">
        <v>129.32131999999999</v>
      </c>
      <c r="I2031" s="29">
        <v>1613700</v>
      </c>
      <c r="P2031" s="125"/>
      <c r="Q2031" s="34"/>
      <c r="R2031" s="115"/>
      <c r="S2031" s="34"/>
      <c r="T2031" s="34"/>
      <c r="U2031" s="34"/>
      <c r="V2031" s="29"/>
    </row>
    <row r="2032" spans="3:22">
      <c r="C2032" s="125">
        <v>44034</v>
      </c>
      <c r="D2032" s="34">
        <v>156.25</v>
      </c>
      <c r="E2032" s="115">
        <v>157.5</v>
      </c>
      <c r="F2032" s="34">
        <v>153.26</v>
      </c>
      <c r="G2032" s="34">
        <v>155</v>
      </c>
      <c r="H2032" s="34">
        <v>155</v>
      </c>
      <c r="I2032" s="29">
        <v>82084000</v>
      </c>
      <c r="P2032" s="125"/>
      <c r="Q2032" s="34"/>
      <c r="R2032" s="115"/>
      <c r="S2032" s="34"/>
      <c r="T2032" s="34"/>
      <c r="U2032" s="34"/>
      <c r="V2032" s="29"/>
    </row>
    <row r="2033" spans="3:22">
      <c r="C2033" s="125">
        <v>44034</v>
      </c>
      <c r="D2033" s="34">
        <v>135.25</v>
      </c>
      <c r="E2033" s="115">
        <v>137.86999499999999</v>
      </c>
      <c r="F2033" s="34">
        <v>135.19000199999999</v>
      </c>
      <c r="G2033" s="34">
        <v>136.979996</v>
      </c>
      <c r="H2033" s="34">
        <v>129.68104600000001</v>
      </c>
      <c r="I2033" s="29">
        <v>2156800</v>
      </c>
      <c r="P2033" s="125"/>
      <c r="Q2033" s="34"/>
      <c r="R2033" s="115"/>
      <c r="S2033" s="34"/>
      <c r="T2033" s="34"/>
      <c r="U2033" s="34"/>
      <c r="V2033" s="29"/>
    </row>
    <row r="2034" spans="3:22">
      <c r="C2034" s="125">
        <v>44033</v>
      </c>
      <c r="D2034" s="34">
        <v>161.62</v>
      </c>
      <c r="E2034" s="115">
        <v>162.03</v>
      </c>
      <c r="F2034" s="34">
        <v>155.29</v>
      </c>
      <c r="G2034" s="34">
        <v>156.91</v>
      </c>
      <c r="H2034" s="34">
        <v>156.91</v>
      </c>
      <c r="I2034" s="29">
        <v>122426000</v>
      </c>
      <c r="P2034" s="125"/>
      <c r="Q2034" s="34"/>
      <c r="R2034" s="115"/>
      <c r="S2034" s="34"/>
      <c r="T2034" s="34"/>
      <c r="U2034" s="34"/>
      <c r="V2034" s="29"/>
    </row>
    <row r="2035" spans="3:22">
      <c r="C2035" s="125">
        <v>44033</v>
      </c>
      <c r="D2035" s="34">
        <v>134.770004</v>
      </c>
      <c r="E2035" s="115">
        <v>137.179993</v>
      </c>
      <c r="F2035" s="34">
        <v>134.429993</v>
      </c>
      <c r="G2035" s="34">
        <v>135.86999499999999</v>
      </c>
      <c r="H2035" s="34">
        <v>128.63021900000001</v>
      </c>
      <c r="I2035" s="29">
        <v>3221100</v>
      </c>
      <c r="P2035" s="125"/>
      <c r="Q2035" s="34"/>
      <c r="R2035" s="115"/>
      <c r="S2035" s="34"/>
      <c r="T2035" s="34"/>
      <c r="U2035" s="34"/>
      <c r="V2035" s="29"/>
    </row>
    <row r="2036" spans="3:22">
      <c r="C2036" s="125">
        <v>44032</v>
      </c>
      <c r="D2036" s="34">
        <v>150.01</v>
      </c>
      <c r="E2036" s="115">
        <v>160.07</v>
      </c>
      <c r="F2036" s="34">
        <v>149.69999999999999</v>
      </c>
      <c r="G2036" s="34">
        <v>159.84</v>
      </c>
      <c r="H2036" s="34">
        <v>159.84</v>
      </c>
      <c r="I2036" s="29">
        <v>151964000</v>
      </c>
      <c r="P2036" s="125"/>
      <c r="Q2036" s="34"/>
      <c r="R2036" s="115"/>
      <c r="S2036" s="34"/>
      <c r="T2036" s="34"/>
      <c r="U2036" s="34"/>
      <c r="V2036" s="29"/>
    </row>
    <row r="2037" spans="3:22">
      <c r="C2037" s="125">
        <v>44032</v>
      </c>
      <c r="D2037" s="34">
        <v>135.759995</v>
      </c>
      <c r="E2037" s="115">
        <v>136.949997</v>
      </c>
      <c r="F2037" s="34">
        <v>134.259995</v>
      </c>
      <c r="G2037" s="34">
        <v>134.63000500000001</v>
      </c>
      <c r="H2037" s="34">
        <v>127.456284</v>
      </c>
      <c r="I2037" s="29">
        <v>2478000</v>
      </c>
      <c r="P2037" s="125"/>
      <c r="Q2037" s="34"/>
      <c r="R2037" s="115"/>
      <c r="S2037" s="34"/>
      <c r="T2037" s="34"/>
      <c r="U2037" s="34"/>
      <c r="V2037" s="29"/>
    </row>
    <row r="2038" spans="3:22">
      <c r="C2038" s="125">
        <v>44029</v>
      </c>
      <c r="D2038" s="34">
        <v>150.44999999999999</v>
      </c>
      <c r="E2038" s="115">
        <v>151.19999999999999</v>
      </c>
      <c r="F2038" s="34">
        <v>147.41999999999999</v>
      </c>
      <c r="G2038" s="34">
        <v>148.1</v>
      </c>
      <c r="H2038" s="34">
        <v>148.1</v>
      </c>
      <c r="I2038" s="29">
        <v>95226000</v>
      </c>
      <c r="P2038" s="125"/>
      <c r="Q2038" s="34"/>
      <c r="R2038" s="115"/>
      <c r="S2038" s="34"/>
      <c r="T2038" s="34"/>
      <c r="U2038" s="34"/>
      <c r="V2038" s="29"/>
    </row>
    <row r="2039" spans="3:22">
      <c r="C2039" s="125">
        <v>44029</v>
      </c>
      <c r="D2039" s="34">
        <v>137.86999499999999</v>
      </c>
      <c r="E2039" s="115">
        <v>138.429993</v>
      </c>
      <c r="F2039" s="34">
        <v>136.529999</v>
      </c>
      <c r="G2039" s="34">
        <v>136.89999399999999</v>
      </c>
      <c r="H2039" s="34">
        <v>129.60531599999999</v>
      </c>
      <c r="I2039" s="29">
        <v>2458200</v>
      </c>
      <c r="P2039" s="125"/>
      <c r="Q2039" s="34"/>
      <c r="R2039" s="115"/>
      <c r="S2039" s="34"/>
      <c r="T2039" s="34"/>
      <c r="U2039" s="34"/>
      <c r="V2039" s="29"/>
    </row>
    <row r="2040" spans="3:22">
      <c r="C2040" s="125">
        <v>44028</v>
      </c>
      <c r="D2040" s="34">
        <v>148.55000000000001</v>
      </c>
      <c r="E2040" s="115">
        <v>151.6</v>
      </c>
      <c r="F2040" s="34">
        <v>145.91</v>
      </c>
      <c r="G2040" s="34">
        <v>149.99</v>
      </c>
      <c r="H2040" s="34">
        <v>149.99</v>
      </c>
      <c r="I2040" s="29">
        <v>127884000</v>
      </c>
      <c r="P2040" s="125"/>
      <c r="Q2040" s="34"/>
      <c r="R2040" s="115"/>
      <c r="S2040" s="34"/>
      <c r="T2040" s="34"/>
      <c r="U2040" s="34"/>
      <c r="V2040" s="29"/>
    </row>
    <row r="2041" spans="3:22">
      <c r="C2041" s="125">
        <v>44028</v>
      </c>
      <c r="D2041" s="34">
        <v>138.300003</v>
      </c>
      <c r="E2041" s="115">
        <v>140.990005</v>
      </c>
      <c r="F2041" s="34">
        <v>137.60000600000001</v>
      </c>
      <c r="G2041" s="34">
        <v>138.55999800000001</v>
      </c>
      <c r="H2041" s="34">
        <v>130.20176699999999</v>
      </c>
      <c r="I2041" s="29">
        <v>3621500</v>
      </c>
      <c r="P2041" s="125"/>
      <c r="Q2041" s="34"/>
      <c r="R2041" s="115"/>
      <c r="S2041" s="34"/>
      <c r="T2041" s="34"/>
      <c r="U2041" s="34"/>
      <c r="V2041" s="29"/>
    </row>
    <row r="2042" spans="3:22">
      <c r="C2042" s="125">
        <v>44027</v>
      </c>
      <c r="D2042" s="34">
        <v>154.01</v>
      </c>
      <c r="E2042" s="115">
        <v>154.91999999999999</v>
      </c>
      <c r="F2042" s="34">
        <v>148.66</v>
      </c>
      <c r="G2042" s="34">
        <v>150.44</v>
      </c>
      <c r="H2042" s="34">
        <v>150.44</v>
      </c>
      <c r="I2042" s="29">
        <v>115778000</v>
      </c>
      <c r="P2042" s="125"/>
      <c r="Q2042" s="34"/>
      <c r="R2042" s="115"/>
      <c r="S2042" s="34"/>
      <c r="T2042" s="34"/>
      <c r="U2042" s="34"/>
      <c r="V2042" s="29"/>
    </row>
    <row r="2043" spans="3:22">
      <c r="C2043" s="125">
        <v>44027</v>
      </c>
      <c r="D2043" s="34">
        <v>140.16999799999999</v>
      </c>
      <c r="E2043" s="115">
        <v>140.16999799999999</v>
      </c>
      <c r="F2043" s="34">
        <v>137.11000100000001</v>
      </c>
      <c r="G2043" s="34">
        <v>138.36000100000001</v>
      </c>
      <c r="H2043" s="34">
        <v>130.013824</v>
      </c>
      <c r="I2043" s="29">
        <v>4915200</v>
      </c>
      <c r="P2043" s="125"/>
      <c r="Q2043" s="34"/>
      <c r="R2043" s="115"/>
      <c r="S2043" s="34"/>
      <c r="T2043" s="34"/>
      <c r="U2043" s="34"/>
      <c r="V2043" s="29"/>
    </row>
    <row r="2044" spans="3:22">
      <c r="C2044" s="125">
        <v>44026</v>
      </c>
      <c r="D2044" s="34">
        <v>154.44999999999999</v>
      </c>
      <c r="E2044" s="115">
        <v>156.37</v>
      </c>
      <c r="F2044" s="34">
        <v>147.5</v>
      </c>
      <c r="G2044" s="34">
        <v>154.19999999999999</v>
      </c>
      <c r="H2044" s="34">
        <v>154.19999999999999</v>
      </c>
      <c r="I2044" s="29">
        <v>144638000</v>
      </c>
      <c r="P2044" s="125"/>
      <c r="Q2044" s="34"/>
      <c r="R2044" s="115"/>
      <c r="S2044" s="34"/>
      <c r="T2044" s="34"/>
      <c r="U2044" s="34"/>
      <c r="V2044" s="29"/>
    </row>
    <row r="2045" spans="3:22">
      <c r="C2045" s="125">
        <v>44026</v>
      </c>
      <c r="D2045" s="34">
        <v>130.320007</v>
      </c>
      <c r="E2045" s="115">
        <v>137.30999800000001</v>
      </c>
      <c r="F2045" s="34">
        <v>129.229996</v>
      </c>
      <c r="G2045" s="34">
        <v>136.88000500000001</v>
      </c>
      <c r="H2045" s="34">
        <v>128.623108</v>
      </c>
      <c r="I2045" s="29">
        <v>6540800</v>
      </c>
      <c r="P2045" s="125"/>
      <c r="Q2045" s="34"/>
      <c r="R2045" s="115"/>
      <c r="S2045" s="34"/>
      <c r="T2045" s="34"/>
      <c r="U2045" s="34"/>
      <c r="V2045" s="29"/>
    </row>
    <row r="2046" spans="3:22">
      <c r="C2046" s="125">
        <v>44025</v>
      </c>
      <c r="D2046" s="34">
        <v>162.55000000000001</v>
      </c>
      <c r="E2046" s="115">
        <v>167.21</v>
      </c>
      <c r="F2046" s="34">
        <v>153.41999999999999</v>
      </c>
      <c r="G2046" s="34">
        <v>155.19999999999999</v>
      </c>
      <c r="H2046" s="34">
        <v>155.19999999999999</v>
      </c>
      <c r="I2046" s="29">
        <v>154408000</v>
      </c>
      <c r="P2046" s="125"/>
      <c r="Q2046" s="34"/>
      <c r="R2046" s="115"/>
      <c r="S2046" s="34"/>
      <c r="T2046" s="34"/>
      <c r="U2046" s="34"/>
      <c r="V2046" s="29"/>
    </row>
    <row r="2047" spans="3:22">
      <c r="C2047" s="125">
        <v>44025</v>
      </c>
      <c r="D2047" s="34">
        <v>129.41999799999999</v>
      </c>
      <c r="E2047" s="115">
        <v>132.08999600000001</v>
      </c>
      <c r="F2047" s="34">
        <v>128.85000600000001</v>
      </c>
      <c r="G2047" s="34">
        <v>130.570007</v>
      </c>
      <c r="H2047" s="34">
        <v>122.693764</v>
      </c>
      <c r="I2047" s="29">
        <v>3708400</v>
      </c>
      <c r="P2047" s="125"/>
      <c r="Q2047" s="34"/>
      <c r="R2047" s="115"/>
      <c r="S2047" s="34"/>
      <c r="T2047" s="34"/>
      <c r="U2047" s="34"/>
      <c r="V2047" s="29"/>
    </row>
    <row r="2048" spans="3:22">
      <c r="C2048" s="125">
        <v>44022</v>
      </c>
      <c r="D2048" s="34">
        <v>159.59</v>
      </c>
      <c r="E2048" s="115">
        <v>160.75</v>
      </c>
      <c r="F2048" s="34">
        <v>156.79</v>
      </c>
      <c r="G2048" s="34">
        <v>160</v>
      </c>
      <c r="H2048" s="34">
        <v>160</v>
      </c>
      <c r="I2048" s="29">
        <v>109720000</v>
      </c>
      <c r="P2048" s="125"/>
      <c r="Q2048" s="34"/>
      <c r="R2048" s="115"/>
      <c r="S2048" s="34"/>
      <c r="T2048" s="34"/>
      <c r="U2048" s="34"/>
      <c r="V2048" s="29"/>
    </row>
    <row r="2049" spans="3:22">
      <c r="C2049" s="125">
        <v>44022</v>
      </c>
      <c r="D2049" s="34">
        <v>125.970001</v>
      </c>
      <c r="E2049" s="115">
        <v>128.229996</v>
      </c>
      <c r="F2049" s="34">
        <v>125.82</v>
      </c>
      <c r="G2049" s="34">
        <v>128.009995</v>
      </c>
      <c r="H2049" s="34">
        <v>120.288162</v>
      </c>
      <c r="I2049" s="29">
        <v>2691400</v>
      </c>
      <c r="P2049" s="125"/>
      <c r="Q2049" s="34"/>
      <c r="R2049" s="115"/>
      <c r="S2049" s="34"/>
      <c r="T2049" s="34"/>
      <c r="U2049" s="34"/>
      <c r="V2049" s="29"/>
    </row>
    <row r="2050" spans="3:22">
      <c r="C2050" s="125">
        <v>44021</v>
      </c>
      <c r="D2050" s="34">
        <v>155.80000000000001</v>
      </c>
      <c r="E2050" s="115">
        <v>159.69</v>
      </c>
      <c r="F2050" s="34">
        <v>153.69999999999999</v>
      </c>
      <c r="G2050" s="34">
        <v>159.13</v>
      </c>
      <c r="H2050" s="34">
        <v>159.13</v>
      </c>
      <c r="I2050" s="29">
        <v>127774000</v>
      </c>
      <c r="P2050" s="125"/>
      <c r="Q2050" s="34"/>
      <c r="R2050" s="115"/>
      <c r="S2050" s="34"/>
      <c r="T2050" s="34"/>
      <c r="U2050" s="34"/>
      <c r="V2050" s="29"/>
    </row>
    <row r="2051" spans="3:22">
      <c r="C2051" s="125">
        <v>44021</v>
      </c>
      <c r="D2051" s="34">
        <v>127.540001</v>
      </c>
      <c r="E2051" s="115">
        <v>128.35000600000001</v>
      </c>
      <c r="F2051" s="34">
        <v>125.120003</v>
      </c>
      <c r="G2051" s="34">
        <v>125.730003</v>
      </c>
      <c r="H2051" s="34">
        <v>118.145714</v>
      </c>
      <c r="I2051" s="29">
        <v>2663500</v>
      </c>
      <c r="P2051" s="125"/>
      <c r="Q2051" s="34"/>
      <c r="R2051" s="115"/>
      <c r="S2051" s="34"/>
      <c r="T2051" s="34"/>
      <c r="U2051" s="34"/>
      <c r="V2051" s="29"/>
    </row>
    <row r="2052" spans="3:22">
      <c r="C2052" s="125">
        <v>44020</v>
      </c>
      <c r="D2052" s="34">
        <v>151.13</v>
      </c>
      <c r="E2052" s="115">
        <v>154.19999999999999</v>
      </c>
      <c r="F2052" s="34">
        <v>150.62</v>
      </c>
      <c r="G2052" s="34">
        <v>154.06</v>
      </c>
      <c r="H2052" s="34">
        <v>154.06</v>
      </c>
      <c r="I2052" s="29">
        <v>100752000</v>
      </c>
      <c r="P2052" s="125"/>
      <c r="Q2052" s="34"/>
      <c r="R2052" s="115"/>
      <c r="S2052" s="34"/>
      <c r="T2052" s="34"/>
      <c r="U2052" s="34"/>
      <c r="V2052" s="29"/>
    </row>
    <row r="2053" spans="3:22">
      <c r="C2053" s="125">
        <v>44020</v>
      </c>
      <c r="D2053" s="34">
        <v>129.33000200000001</v>
      </c>
      <c r="E2053" s="115">
        <v>129.33000200000001</v>
      </c>
      <c r="F2053" s="34">
        <v>126.470001</v>
      </c>
      <c r="G2053" s="34">
        <v>128.13000500000001</v>
      </c>
      <c r="H2053" s="34">
        <v>120.400932</v>
      </c>
      <c r="I2053" s="29">
        <v>2279500</v>
      </c>
      <c r="P2053" s="125"/>
      <c r="Q2053" s="34"/>
      <c r="R2053" s="115"/>
      <c r="S2053" s="34"/>
      <c r="T2053" s="34"/>
      <c r="U2053" s="34"/>
      <c r="V2053" s="29"/>
    </row>
    <row r="2054" spans="3:22">
      <c r="C2054" s="125">
        <v>44019</v>
      </c>
      <c r="D2054" s="34">
        <v>152.93</v>
      </c>
      <c r="E2054" s="115">
        <v>153.47999999999999</v>
      </c>
      <c r="F2054" s="34">
        <v>149.5</v>
      </c>
      <c r="G2054" s="34">
        <v>150.01</v>
      </c>
      <c r="H2054" s="34">
        <v>150.01</v>
      </c>
      <c r="I2054" s="29">
        <v>105150000</v>
      </c>
      <c r="P2054" s="125"/>
      <c r="Q2054" s="34"/>
      <c r="R2054" s="115"/>
      <c r="S2054" s="34"/>
      <c r="T2054" s="34"/>
      <c r="U2054" s="34"/>
      <c r="V2054" s="29"/>
    </row>
    <row r="2055" spans="3:22">
      <c r="C2055" s="125">
        <v>44019</v>
      </c>
      <c r="D2055" s="34">
        <v>127.739998</v>
      </c>
      <c r="E2055" s="115">
        <v>128.75</v>
      </c>
      <c r="F2055" s="34">
        <v>126.800003</v>
      </c>
      <c r="G2055" s="34">
        <v>127.199997</v>
      </c>
      <c r="H2055" s="34">
        <v>119.52703099999999</v>
      </c>
      <c r="I2055" s="29">
        <v>2018100</v>
      </c>
      <c r="P2055" s="125"/>
      <c r="Q2055" s="34"/>
      <c r="R2055" s="115"/>
      <c r="S2055" s="34"/>
      <c r="T2055" s="34"/>
      <c r="U2055" s="34"/>
      <c r="V2055" s="29"/>
    </row>
    <row r="2056" spans="3:22">
      <c r="C2056" s="125">
        <v>44018</v>
      </c>
      <c r="D2056" s="34">
        <v>146.75</v>
      </c>
      <c r="E2056" s="115">
        <v>152.99</v>
      </c>
      <c r="F2056" s="34">
        <v>146.5</v>
      </c>
      <c r="G2056" s="34">
        <v>152.85</v>
      </c>
      <c r="H2056" s="34">
        <v>152.85</v>
      </c>
      <c r="I2056" s="29">
        <v>137612000</v>
      </c>
      <c r="P2056" s="125"/>
      <c r="Q2056" s="34"/>
      <c r="R2056" s="115"/>
      <c r="S2056" s="34"/>
      <c r="T2056" s="34"/>
      <c r="U2056" s="34"/>
      <c r="V2056" s="29"/>
    </row>
    <row r="2057" spans="3:22">
      <c r="C2057" s="125">
        <v>44018</v>
      </c>
      <c r="D2057" s="34">
        <v>130.13000500000001</v>
      </c>
      <c r="E2057" s="115">
        <v>130.5</v>
      </c>
      <c r="F2057" s="34">
        <v>128.16999799999999</v>
      </c>
      <c r="G2057" s="34">
        <v>129.429993</v>
      </c>
      <c r="H2057" s="34">
        <v>121.622505</v>
      </c>
      <c r="I2057" s="29">
        <v>2491900</v>
      </c>
      <c r="P2057" s="125"/>
      <c r="Q2057" s="34"/>
      <c r="R2057" s="115"/>
      <c r="S2057" s="34"/>
      <c r="T2057" s="34"/>
      <c r="U2057" s="34"/>
      <c r="V2057" s="29"/>
    </row>
    <row r="2058" spans="3:22">
      <c r="C2058" s="125">
        <v>44014</v>
      </c>
      <c r="D2058" s="34">
        <v>145.6</v>
      </c>
      <c r="E2058" s="115">
        <v>147.78</v>
      </c>
      <c r="F2058" s="34">
        <v>143.55000000000001</v>
      </c>
      <c r="G2058" s="34">
        <v>144.51</v>
      </c>
      <c r="H2058" s="34">
        <v>144.51</v>
      </c>
      <c r="I2058" s="29">
        <v>131868000</v>
      </c>
      <c r="P2058" s="125"/>
      <c r="Q2058" s="34"/>
      <c r="R2058" s="115"/>
      <c r="S2058" s="34"/>
      <c r="T2058" s="34"/>
      <c r="U2058" s="34"/>
      <c r="V2058" s="29"/>
    </row>
    <row r="2059" spans="3:22">
      <c r="C2059" s="125">
        <v>44014</v>
      </c>
      <c r="D2059" s="34">
        <v>128.25</v>
      </c>
      <c r="E2059" s="115">
        <v>130.33999600000001</v>
      </c>
      <c r="F2059" s="34">
        <v>127.19000200000001</v>
      </c>
      <c r="G2059" s="34">
        <v>127.720001</v>
      </c>
      <c r="H2059" s="34">
        <v>120.015663</v>
      </c>
      <c r="I2059" s="29">
        <v>2527500</v>
      </c>
      <c r="P2059" s="125"/>
      <c r="Q2059" s="34"/>
      <c r="R2059" s="115"/>
      <c r="S2059" s="34"/>
      <c r="T2059" s="34"/>
      <c r="U2059" s="34"/>
      <c r="V2059" s="29"/>
    </row>
    <row r="2060" spans="3:22">
      <c r="C2060" s="125">
        <v>44013</v>
      </c>
      <c r="D2060" s="34">
        <v>137.9</v>
      </c>
      <c r="E2060" s="115">
        <v>144.75</v>
      </c>
      <c r="F2060" s="34">
        <v>137.69999999999999</v>
      </c>
      <c r="G2060" s="34">
        <v>143.93</v>
      </c>
      <c r="H2060" s="34">
        <v>143.93</v>
      </c>
      <c r="I2060" s="29">
        <v>127268000</v>
      </c>
      <c r="P2060" s="125"/>
      <c r="Q2060" s="34"/>
      <c r="R2060" s="115"/>
      <c r="S2060" s="34"/>
      <c r="T2060" s="34"/>
      <c r="U2060" s="34"/>
      <c r="V2060" s="29"/>
    </row>
    <row r="2061" spans="3:22">
      <c r="C2061" s="125">
        <v>44013</v>
      </c>
      <c r="D2061" s="34">
        <v>129.38000500000001</v>
      </c>
      <c r="E2061" s="115">
        <v>129.39999399999999</v>
      </c>
      <c r="F2061" s="34">
        <v>125.879997</v>
      </c>
      <c r="G2061" s="34">
        <v>126.05999799999999</v>
      </c>
      <c r="H2061" s="34">
        <v>118.45579499999999</v>
      </c>
      <c r="I2061" s="29">
        <v>2807800</v>
      </c>
      <c r="P2061" s="125"/>
      <c r="Q2061" s="34"/>
      <c r="R2061" s="115"/>
      <c r="S2061" s="34"/>
      <c r="T2061" s="34"/>
      <c r="U2061" s="34"/>
      <c r="V2061" s="29"/>
    </row>
    <row r="2062" spans="3:22">
      <c r="C2062" s="125">
        <v>44012</v>
      </c>
      <c r="D2062" s="34">
        <v>134.25</v>
      </c>
      <c r="E2062" s="115">
        <v>138.47999999999999</v>
      </c>
      <c r="F2062" s="34">
        <v>133.75</v>
      </c>
      <c r="G2062" s="34">
        <v>137.94</v>
      </c>
      <c r="H2062" s="34">
        <v>137.94</v>
      </c>
      <c r="I2062" s="29">
        <v>75394000</v>
      </c>
      <c r="P2062" s="125"/>
      <c r="Q2062" s="34"/>
      <c r="R2062" s="115"/>
      <c r="S2062" s="34"/>
      <c r="T2062" s="34"/>
      <c r="U2062" s="34"/>
      <c r="V2062" s="29"/>
    </row>
    <row r="2063" spans="3:22">
      <c r="C2063" s="125">
        <v>44012</v>
      </c>
      <c r="D2063" s="34">
        <v>124.010002</v>
      </c>
      <c r="E2063" s="115">
        <v>127.05999799999999</v>
      </c>
      <c r="F2063" s="34">
        <v>124.010002</v>
      </c>
      <c r="G2063" s="34">
        <v>126.5</v>
      </c>
      <c r="H2063" s="34">
        <v>118.869247</v>
      </c>
      <c r="I2063" s="29">
        <v>2778800</v>
      </c>
      <c r="P2063" s="125"/>
      <c r="Q2063" s="34"/>
      <c r="R2063" s="115"/>
      <c r="S2063" s="34"/>
      <c r="T2063" s="34"/>
      <c r="U2063" s="34"/>
      <c r="V2063" s="29"/>
    </row>
    <row r="2064" spans="3:22">
      <c r="C2064" s="125">
        <v>44011</v>
      </c>
      <c r="D2064" s="34">
        <v>134.5</v>
      </c>
      <c r="E2064" s="115">
        <v>134.84</v>
      </c>
      <c r="F2064" s="34">
        <v>131.5</v>
      </c>
      <c r="G2064" s="34">
        <v>134.02000000000001</v>
      </c>
      <c r="H2064" s="34">
        <v>134.02000000000001</v>
      </c>
      <c r="I2064" s="29">
        <v>84468000</v>
      </c>
      <c r="P2064" s="125"/>
      <c r="Q2064" s="34"/>
      <c r="R2064" s="115"/>
      <c r="S2064" s="34"/>
      <c r="T2064" s="34"/>
      <c r="U2064" s="34"/>
      <c r="V2064" s="29"/>
    </row>
    <row r="2065" spans="3:22">
      <c r="C2065" s="125">
        <v>44011</v>
      </c>
      <c r="D2065" s="34">
        <v>123.720001</v>
      </c>
      <c r="E2065" s="115">
        <v>126.040001</v>
      </c>
      <c r="F2065" s="34">
        <v>123.279999</v>
      </c>
      <c r="G2065" s="34">
        <v>125.25</v>
      </c>
      <c r="H2065" s="34">
        <v>117.694664</v>
      </c>
      <c r="I2065" s="29">
        <v>2798700</v>
      </c>
      <c r="P2065" s="125"/>
      <c r="Q2065" s="34"/>
      <c r="R2065" s="115"/>
      <c r="S2065" s="34"/>
      <c r="T2065" s="34"/>
      <c r="U2065" s="34"/>
      <c r="V2065" s="29"/>
    </row>
    <row r="2066" spans="3:22">
      <c r="C2066" s="125">
        <v>44008</v>
      </c>
      <c r="D2066" s="34">
        <v>138.75</v>
      </c>
      <c r="E2066" s="115">
        <v>139.13</v>
      </c>
      <c r="F2066" s="34">
        <v>134.4</v>
      </c>
      <c r="G2066" s="34">
        <v>134.63999999999999</v>
      </c>
      <c r="H2066" s="34">
        <v>134.63999999999999</v>
      </c>
      <c r="I2066" s="29">
        <v>130016000</v>
      </c>
      <c r="P2066" s="125"/>
      <c r="Q2066" s="34"/>
      <c r="R2066" s="115"/>
      <c r="S2066" s="34"/>
      <c r="T2066" s="34"/>
      <c r="U2066" s="34"/>
      <c r="V2066" s="29"/>
    </row>
    <row r="2067" spans="3:22">
      <c r="C2067" s="125">
        <v>44008</v>
      </c>
      <c r="D2067" s="34">
        <v>124.33000199999999</v>
      </c>
      <c r="E2067" s="115">
        <v>124.44000200000001</v>
      </c>
      <c r="F2067" s="34">
        <v>121.449997</v>
      </c>
      <c r="G2067" s="34">
        <v>122.389999</v>
      </c>
      <c r="H2067" s="34">
        <v>115.00717899999999</v>
      </c>
      <c r="I2067" s="29">
        <v>3645800</v>
      </c>
      <c r="P2067" s="125"/>
      <c r="Q2067" s="34"/>
      <c r="R2067" s="115"/>
      <c r="S2067" s="34"/>
      <c r="T2067" s="34"/>
      <c r="U2067" s="34"/>
      <c r="V2067" s="29"/>
    </row>
    <row r="2068" spans="3:22">
      <c r="C2068" s="125">
        <v>44007</v>
      </c>
      <c r="D2068" s="34">
        <v>136.97999999999999</v>
      </c>
      <c r="E2068" s="115">
        <v>137.81</v>
      </c>
      <c r="F2068" s="34">
        <v>135.61000000000001</v>
      </c>
      <c r="G2068" s="34">
        <v>137.72999999999999</v>
      </c>
      <c r="H2068" s="34">
        <v>137.72999999999999</v>
      </c>
      <c r="I2068" s="29">
        <v>59374000</v>
      </c>
      <c r="P2068" s="125"/>
      <c r="Q2068" s="34"/>
      <c r="R2068" s="115"/>
      <c r="S2068" s="34"/>
      <c r="T2068" s="34"/>
      <c r="U2068" s="34"/>
      <c r="V2068" s="29"/>
    </row>
    <row r="2069" spans="3:22">
      <c r="C2069" s="125">
        <v>44007</v>
      </c>
      <c r="D2069" s="34">
        <v>121.610001</v>
      </c>
      <c r="E2069" s="115">
        <v>124.83000199999999</v>
      </c>
      <c r="F2069" s="34">
        <v>120.800003</v>
      </c>
      <c r="G2069" s="34">
        <v>124.709999</v>
      </c>
      <c r="H2069" s="34">
        <v>117.187225</v>
      </c>
      <c r="I2069" s="29">
        <v>2903400</v>
      </c>
      <c r="P2069" s="125"/>
      <c r="Q2069" s="34"/>
      <c r="R2069" s="115"/>
      <c r="S2069" s="34"/>
      <c r="T2069" s="34"/>
      <c r="U2069" s="34"/>
      <c r="V2069" s="29"/>
    </row>
    <row r="2070" spans="3:22">
      <c r="C2070" s="125">
        <v>44006</v>
      </c>
      <c r="D2070" s="34">
        <v>139</v>
      </c>
      <c r="E2070" s="115">
        <v>139.80000000000001</v>
      </c>
      <c r="F2070" s="34">
        <v>136.05000000000001</v>
      </c>
      <c r="G2070" s="34">
        <v>136.72</v>
      </c>
      <c r="H2070" s="34">
        <v>136.72</v>
      </c>
      <c r="I2070" s="29">
        <v>90532000</v>
      </c>
      <c r="P2070" s="125"/>
      <c r="Q2070" s="34"/>
      <c r="R2070" s="115"/>
      <c r="S2070" s="34"/>
      <c r="T2070" s="34"/>
      <c r="U2070" s="34"/>
      <c r="V2070" s="29"/>
    </row>
    <row r="2071" spans="3:22">
      <c r="C2071" s="125">
        <v>44006</v>
      </c>
      <c r="D2071" s="34">
        <v>124.790001</v>
      </c>
      <c r="E2071" s="115">
        <v>124.839996</v>
      </c>
      <c r="F2071" s="34">
        <v>121.83000199999999</v>
      </c>
      <c r="G2071" s="34">
        <v>122.05999799999999</v>
      </c>
      <c r="H2071" s="34">
        <v>114.697075</v>
      </c>
      <c r="I2071" s="29">
        <v>3766500</v>
      </c>
      <c r="P2071" s="125"/>
      <c r="Q2071" s="34"/>
      <c r="R2071" s="115"/>
      <c r="S2071" s="34"/>
      <c r="T2071" s="34"/>
      <c r="U2071" s="34"/>
      <c r="V2071" s="29"/>
    </row>
    <row r="2072" spans="3:22">
      <c r="C2072" s="125">
        <v>44005</v>
      </c>
      <c r="D2072" s="34">
        <v>136.30000000000001</v>
      </c>
      <c r="E2072" s="115">
        <v>139.16</v>
      </c>
      <c r="F2072" s="34">
        <v>135.9</v>
      </c>
      <c r="G2072" s="34">
        <v>138.22</v>
      </c>
      <c r="H2072" s="34">
        <v>138.22</v>
      </c>
      <c r="I2072" s="29">
        <v>84634000</v>
      </c>
      <c r="P2072" s="125"/>
      <c r="Q2072" s="34"/>
      <c r="R2072" s="115"/>
      <c r="S2072" s="34"/>
      <c r="T2072" s="34"/>
      <c r="U2072" s="34"/>
      <c r="V2072" s="29"/>
    </row>
    <row r="2073" spans="3:22">
      <c r="C2073" s="125">
        <v>44005</v>
      </c>
      <c r="D2073" s="34">
        <v>127.389999</v>
      </c>
      <c r="E2073" s="115">
        <v>127.57</v>
      </c>
      <c r="F2073" s="34">
        <v>125.83000199999999</v>
      </c>
      <c r="G2073" s="34">
        <v>126.25</v>
      </c>
      <c r="H2073" s="34">
        <v>118.634338</v>
      </c>
      <c r="I2073" s="29">
        <v>2357100</v>
      </c>
      <c r="P2073" s="125"/>
      <c r="Q2073" s="34"/>
      <c r="R2073" s="115"/>
      <c r="S2073" s="34"/>
      <c r="T2073" s="34"/>
      <c r="U2073" s="34"/>
      <c r="V2073" s="29"/>
    </row>
    <row r="2074" spans="3:22">
      <c r="C2074" s="125">
        <v>44004</v>
      </c>
      <c r="D2074" s="34">
        <v>134.22999999999999</v>
      </c>
      <c r="E2074" s="115">
        <v>135.75</v>
      </c>
      <c r="F2074" s="34">
        <v>133.44999999999999</v>
      </c>
      <c r="G2074" s="34">
        <v>135.69</v>
      </c>
      <c r="H2074" s="34">
        <v>135.69</v>
      </c>
      <c r="I2074" s="29">
        <v>64176000</v>
      </c>
      <c r="P2074" s="125"/>
      <c r="Q2074" s="34"/>
      <c r="R2074" s="115"/>
      <c r="S2074" s="34"/>
      <c r="T2074" s="34"/>
      <c r="U2074" s="34"/>
      <c r="V2074" s="29"/>
    </row>
    <row r="2075" spans="3:22">
      <c r="C2075" s="125">
        <v>44004</v>
      </c>
      <c r="D2075" s="34">
        <v>126.360001</v>
      </c>
      <c r="E2075" s="115">
        <v>126.480003</v>
      </c>
      <c r="F2075" s="34">
        <v>124.599998</v>
      </c>
      <c r="G2075" s="34">
        <v>125.790001</v>
      </c>
      <c r="H2075" s="34">
        <v>118.20208</v>
      </c>
      <c r="I2075" s="29">
        <v>2806300</v>
      </c>
      <c r="P2075" s="125"/>
      <c r="Q2075" s="34"/>
      <c r="R2075" s="115"/>
      <c r="S2075" s="34"/>
      <c r="T2075" s="34"/>
      <c r="U2075" s="34"/>
      <c r="V2075" s="29"/>
    </row>
    <row r="2076" spans="3:22">
      <c r="C2076" s="125">
        <v>44001</v>
      </c>
      <c r="D2076" s="34">
        <v>133.9</v>
      </c>
      <c r="E2076" s="115">
        <v>134.87</v>
      </c>
      <c r="F2076" s="34">
        <v>132.94999999999999</v>
      </c>
      <c r="G2076" s="34">
        <v>133.75</v>
      </c>
      <c r="H2076" s="34">
        <v>133.75</v>
      </c>
      <c r="I2076" s="29">
        <v>115540000</v>
      </c>
      <c r="P2076" s="125"/>
      <c r="Q2076" s="34"/>
      <c r="R2076" s="115"/>
      <c r="S2076" s="34"/>
      <c r="T2076" s="34"/>
      <c r="U2076" s="34"/>
      <c r="V2076" s="29"/>
    </row>
    <row r="2077" spans="3:22">
      <c r="C2077" s="125">
        <v>44001</v>
      </c>
      <c r="D2077" s="34">
        <v>130</v>
      </c>
      <c r="E2077" s="115">
        <v>130</v>
      </c>
      <c r="F2077" s="34">
        <v>125.730003</v>
      </c>
      <c r="G2077" s="34">
        <v>127.459999</v>
      </c>
      <c r="H2077" s="34">
        <v>119.771339</v>
      </c>
      <c r="I2077" s="29">
        <v>6488000</v>
      </c>
      <c r="P2077" s="125"/>
      <c r="Q2077" s="34"/>
      <c r="R2077" s="115"/>
      <c r="S2077" s="34"/>
      <c r="T2077" s="34"/>
      <c r="U2077" s="34"/>
      <c r="V2077" s="29"/>
    </row>
    <row r="2078" spans="3:22">
      <c r="C2078" s="125">
        <v>44000</v>
      </c>
      <c r="D2078" s="34">
        <v>132.35</v>
      </c>
      <c r="E2078" s="115">
        <v>132.97999999999999</v>
      </c>
      <c r="F2078" s="34">
        <v>131.81</v>
      </c>
      <c r="G2078" s="34">
        <v>132.69999999999999</v>
      </c>
      <c r="H2078" s="34">
        <v>132.69999999999999</v>
      </c>
      <c r="I2078" s="29">
        <v>49756000</v>
      </c>
      <c r="P2078" s="125"/>
      <c r="Q2078" s="34"/>
      <c r="R2078" s="115"/>
      <c r="S2078" s="34"/>
      <c r="T2078" s="34"/>
      <c r="U2078" s="34"/>
      <c r="V2078" s="29"/>
    </row>
    <row r="2079" spans="3:22">
      <c r="C2079" s="125">
        <v>44000</v>
      </c>
      <c r="D2079" s="34">
        <v>127.139999</v>
      </c>
      <c r="E2079" s="115">
        <v>128.979996</v>
      </c>
      <c r="F2079" s="34">
        <v>126.699997</v>
      </c>
      <c r="G2079" s="34">
        <v>127.589996</v>
      </c>
      <c r="H2079" s="34">
        <v>119.893501</v>
      </c>
      <c r="I2079" s="29">
        <v>2467700</v>
      </c>
      <c r="P2079" s="125"/>
      <c r="Q2079" s="34"/>
      <c r="R2079" s="115"/>
      <c r="S2079" s="34"/>
      <c r="T2079" s="34"/>
      <c r="U2079" s="34"/>
      <c r="V2079" s="29"/>
    </row>
    <row r="2080" spans="3:22">
      <c r="C2080" s="125">
        <v>43999</v>
      </c>
      <c r="D2080" s="34">
        <v>132.38</v>
      </c>
      <c r="E2080" s="115">
        <v>132.75</v>
      </c>
      <c r="F2080" s="34">
        <v>131.59</v>
      </c>
      <c r="G2080" s="34">
        <v>132.05000000000001</v>
      </c>
      <c r="H2080" s="34">
        <v>132.05000000000001</v>
      </c>
      <c r="I2080" s="29">
        <v>59186000</v>
      </c>
      <c r="P2080" s="125"/>
      <c r="Q2080" s="34"/>
      <c r="R2080" s="115"/>
      <c r="S2080" s="34"/>
      <c r="T2080" s="34"/>
      <c r="U2080" s="34"/>
      <c r="V2080" s="29"/>
    </row>
    <row r="2081" spans="3:22">
      <c r="C2081" s="125">
        <v>43999</v>
      </c>
      <c r="D2081" s="34">
        <v>130.16000399999999</v>
      </c>
      <c r="E2081" s="115">
        <v>130.470001</v>
      </c>
      <c r="F2081" s="34">
        <v>127.760002</v>
      </c>
      <c r="G2081" s="34">
        <v>128.229996</v>
      </c>
      <c r="H2081" s="34">
        <v>120.494888</v>
      </c>
      <c r="I2081" s="29">
        <v>3228100</v>
      </c>
      <c r="P2081" s="125"/>
      <c r="Q2081" s="34"/>
      <c r="R2081" s="115"/>
      <c r="S2081" s="34"/>
      <c r="T2081" s="34"/>
      <c r="U2081" s="34"/>
      <c r="V2081" s="29"/>
    </row>
    <row r="2082" spans="3:22">
      <c r="C2082" s="125">
        <v>43998</v>
      </c>
      <c r="D2082" s="34">
        <v>131</v>
      </c>
      <c r="E2082" s="115">
        <v>131</v>
      </c>
      <c r="F2082" s="34">
        <v>128.80000000000001</v>
      </c>
      <c r="G2082" s="34">
        <v>130.76</v>
      </c>
      <c r="H2082" s="34">
        <v>130.76</v>
      </c>
      <c r="I2082" s="29">
        <v>71712000</v>
      </c>
      <c r="P2082" s="125"/>
      <c r="Q2082" s="34"/>
      <c r="R2082" s="115"/>
      <c r="S2082" s="34"/>
      <c r="T2082" s="34"/>
      <c r="U2082" s="34"/>
      <c r="V2082" s="29"/>
    </row>
    <row r="2083" spans="3:22">
      <c r="C2083" s="125">
        <v>43998</v>
      </c>
      <c r="D2083" s="34">
        <v>131.36999499999999</v>
      </c>
      <c r="E2083" s="115">
        <v>132.44000199999999</v>
      </c>
      <c r="F2083" s="34">
        <v>126.389999</v>
      </c>
      <c r="G2083" s="34">
        <v>130.11000100000001</v>
      </c>
      <c r="H2083" s="34">
        <v>122.26149700000001</v>
      </c>
      <c r="I2083" s="29">
        <v>6892400</v>
      </c>
      <c r="P2083" s="125"/>
      <c r="Q2083" s="34"/>
      <c r="R2083" s="115"/>
      <c r="S2083" s="34"/>
      <c r="T2083" s="34"/>
      <c r="U2083" s="34"/>
      <c r="V2083" s="29"/>
    </row>
    <row r="2084" spans="3:22">
      <c r="C2084" s="125">
        <v>43997</v>
      </c>
      <c r="D2084" s="34">
        <v>126.33</v>
      </c>
      <c r="E2084" s="115">
        <v>129.19999999999999</v>
      </c>
      <c r="F2084" s="34">
        <v>125.4</v>
      </c>
      <c r="G2084" s="34">
        <v>128.63</v>
      </c>
      <c r="H2084" s="34">
        <v>128.63</v>
      </c>
      <c r="I2084" s="29">
        <v>77302000</v>
      </c>
      <c r="P2084" s="125"/>
      <c r="Q2084" s="34"/>
      <c r="R2084" s="115"/>
      <c r="S2084" s="34"/>
      <c r="T2084" s="34"/>
      <c r="U2084" s="34"/>
      <c r="V2084" s="29"/>
    </row>
    <row r="2085" spans="3:22">
      <c r="C2085" s="125">
        <v>43997</v>
      </c>
      <c r="D2085" s="34">
        <v>118.510002</v>
      </c>
      <c r="E2085" s="115">
        <v>124.379997</v>
      </c>
      <c r="F2085" s="34">
        <v>118.010002</v>
      </c>
      <c r="G2085" s="34">
        <v>123.610001</v>
      </c>
      <c r="H2085" s="34">
        <v>116.153603</v>
      </c>
      <c r="I2085" s="29">
        <v>4093100</v>
      </c>
      <c r="P2085" s="125"/>
      <c r="Q2085" s="34"/>
      <c r="R2085" s="115"/>
      <c r="S2085" s="34"/>
      <c r="T2085" s="34"/>
      <c r="U2085" s="34"/>
      <c r="V2085" s="29"/>
    </row>
    <row r="2086" spans="3:22">
      <c r="C2086" s="125">
        <v>43994</v>
      </c>
      <c r="D2086" s="34">
        <v>130.06</v>
      </c>
      <c r="E2086" s="115">
        <v>131.07</v>
      </c>
      <c r="F2086" s="34">
        <v>125.17</v>
      </c>
      <c r="G2086" s="34">
        <v>127.25</v>
      </c>
      <c r="H2086" s="34">
        <v>127.25</v>
      </c>
      <c r="I2086" s="29">
        <v>108722000</v>
      </c>
      <c r="P2086" s="125"/>
      <c r="Q2086" s="34"/>
      <c r="R2086" s="115"/>
      <c r="S2086" s="34"/>
      <c r="T2086" s="34"/>
      <c r="U2086" s="34"/>
      <c r="V2086" s="29"/>
    </row>
    <row r="2087" spans="3:22">
      <c r="C2087" s="125">
        <v>43994</v>
      </c>
      <c r="D2087" s="34">
        <v>124.400002</v>
      </c>
      <c r="E2087" s="115">
        <v>125.16999800000001</v>
      </c>
      <c r="F2087" s="34">
        <v>119.349998</v>
      </c>
      <c r="G2087" s="34">
        <v>123.150002</v>
      </c>
      <c r="H2087" s="34">
        <v>115.721329</v>
      </c>
      <c r="I2087" s="29">
        <v>4492700</v>
      </c>
      <c r="P2087" s="125"/>
      <c r="Q2087" s="34"/>
      <c r="R2087" s="115"/>
      <c r="S2087" s="34"/>
      <c r="T2087" s="34"/>
      <c r="U2087" s="34"/>
      <c r="V2087" s="29"/>
    </row>
    <row r="2088" spans="3:22">
      <c r="C2088" s="125">
        <v>43993</v>
      </c>
      <c r="D2088" s="34">
        <v>130.18</v>
      </c>
      <c r="E2088" s="115">
        <v>133.57</v>
      </c>
      <c r="F2088" s="34">
        <v>126.81</v>
      </c>
      <c r="G2088" s="34">
        <v>127.9</v>
      </c>
      <c r="H2088" s="34">
        <v>127.9</v>
      </c>
      <c r="I2088" s="29">
        <v>116002000</v>
      </c>
      <c r="P2088" s="125"/>
      <c r="Q2088" s="34"/>
      <c r="R2088" s="115"/>
      <c r="S2088" s="34"/>
      <c r="T2088" s="34"/>
      <c r="U2088" s="34"/>
      <c r="V2088" s="29"/>
    </row>
    <row r="2089" spans="3:22">
      <c r="C2089" s="125">
        <v>43993</v>
      </c>
      <c r="D2089" s="34">
        <v>126.410004</v>
      </c>
      <c r="E2089" s="115">
        <v>126.839996</v>
      </c>
      <c r="F2089" s="34">
        <v>121.519997</v>
      </c>
      <c r="G2089" s="34">
        <v>121.550003</v>
      </c>
      <c r="H2089" s="34">
        <v>114.21785</v>
      </c>
      <c r="I2089" s="29">
        <v>5969300</v>
      </c>
      <c r="P2089" s="125"/>
      <c r="Q2089" s="34"/>
      <c r="R2089" s="115"/>
      <c r="S2089" s="34"/>
      <c r="T2089" s="34"/>
      <c r="U2089" s="34"/>
      <c r="V2089" s="29"/>
    </row>
    <row r="2090" spans="3:22">
      <c r="C2090" s="125">
        <v>43992</v>
      </c>
      <c r="D2090" s="34">
        <v>132.25</v>
      </c>
      <c r="E2090" s="115">
        <v>136.12</v>
      </c>
      <c r="F2090" s="34">
        <v>131.31</v>
      </c>
      <c r="G2090" s="34">
        <v>132.37</v>
      </c>
      <c r="H2090" s="34">
        <v>132.37</v>
      </c>
      <c r="I2090" s="29">
        <v>98920000</v>
      </c>
      <c r="P2090" s="125"/>
      <c r="Q2090" s="34"/>
      <c r="R2090" s="115"/>
      <c r="S2090" s="34"/>
      <c r="T2090" s="34"/>
      <c r="U2090" s="34"/>
      <c r="V2090" s="29"/>
    </row>
    <row r="2091" spans="3:22">
      <c r="C2091" s="125">
        <v>43992</v>
      </c>
      <c r="D2091" s="34">
        <v>133.720001</v>
      </c>
      <c r="E2091" s="115">
        <v>135.38000500000001</v>
      </c>
      <c r="F2091" s="34">
        <v>130.55999800000001</v>
      </c>
      <c r="G2091" s="34">
        <v>132.44000199999999</v>
      </c>
      <c r="H2091" s="34">
        <v>124.45096599999999</v>
      </c>
      <c r="I2091" s="29">
        <v>4018700</v>
      </c>
      <c r="P2091" s="125"/>
      <c r="Q2091" s="34"/>
      <c r="R2091" s="115"/>
      <c r="S2091" s="34"/>
      <c r="T2091" s="34"/>
      <c r="U2091" s="34"/>
      <c r="V2091" s="29"/>
    </row>
    <row r="2092" spans="3:22">
      <c r="C2092" s="125">
        <v>43991</v>
      </c>
      <c r="D2092" s="34">
        <v>126.47</v>
      </c>
      <c r="E2092" s="115">
        <v>131.32</v>
      </c>
      <c r="F2092" s="34">
        <v>126.25</v>
      </c>
      <c r="G2092" s="34">
        <v>130.04</v>
      </c>
      <c r="H2092" s="34">
        <v>130.04</v>
      </c>
      <c r="I2092" s="29">
        <v>103520000</v>
      </c>
      <c r="P2092" s="125"/>
      <c r="Q2092" s="34"/>
      <c r="R2092" s="115"/>
      <c r="S2092" s="34"/>
      <c r="T2092" s="34"/>
      <c r="U2092" s="34"/>
      <c r="V2092" s="29"/>
    </row>
    <row r="2093" spans="3:22">
      <c r="C2093" s="125">
        <v>43991</v>
      </c>
      <c r="D2093" s="34">
        <v>135.020004</v>
      </c>
      <c r="E2093" s="115">
        <v>135.41000399999999</v>
      </c>
      <c r="F2093" s="34">
        <v>133.21000699999999</v>
      </c>
      <c r="G2093" s="34">
        <v>134.19000199999999</v>
      </c>
      <c r="H2093" s="34">
        <v>126.09538999999999</v>
      </c>
      <c r="I2093" s="29">
        <v>3819600</v>
      </c>
      <c r="P2093" s="125"/>
      <c r="Q2093" s="34"/>
      <c r="R2093" s="115"/>
      <c r="S2093" s="34"/>
      <c r="T2093" s="34"/>
      <c r="U2093" s="34"/>
      <c r="V2093" s="29"/>
    </row>
    <row r="2094" spans="3:22">
      <c r="C2094" s="125">
        <v>43990</v>
      </c>
      <c r="D2094" s="34">
        <v>125.01</v>
      </c>
      <c r="E2094" s="115">
        <v>126.5</v>
      </c>
      <c r="F2094" s="34">
        <v>124.37</v>
      </c>
      <c r="G2094" s="34">
        <v>126.2</v>
      </c>
      <c r="H2094" s="34">
        <v>126.2</v>
      </c>
      <c r="I2094" s="29">
        <v>79414000</v>
      </c>
      <c r="P2094" s="125"/>
      <c r="Q2094" s="34"/>
      <c r="R2094" s="115"/>
      <c r="S2094" s="34"/>
      <c r="T2094" s="34"/>
      <c r="U2094" s="34"/>
      <c r="V2094" s="29"/>
    </row>
    <row r="2095" spans="3:22">
      <c r="C2095" s="125">
        <v>43990</v>
      </c>
      <c r="D2095" s="34">
        <v>135.320007</v>
      </c>
      <c r="E2095" s="115">
        <v>139.94000199999999</v>
      </c>
      <c r="F2095" s="34">
        <v>135.320007</v>
      </c>
      <c r="G2095" s="34">
        <v>137.720001</v>
      </c>
      <c r="H2095" s="34">
        <v>129.41244499999999</v>
      </c>
      <c r="I2095" s="29">
        <v>4139200</v>
      </c>
      <c r="P2095" s="125"/>
      <c r="Q2095" s="34"/>
      <c r="R2095" s="115"/>
      <c r="S2095" s="34"/>
      <c r="T2095" s="34"/>
      <c r="U2095" s="34"/>
      <c r="V2095" s="29"/>
    </row>
    <row r="2096" spans="3:22">
      <c r="C2096" s="125">
        <v>43987</v>
      </c>
      <c r="D2096" s="34">
        <v>122.23</v>
      </c>
      <c r="E2096" s="115">
        <v>124.43</v>
      </c>
      <c r="F2096" s="34">
        <v>121.86</v>
      </c>
      <c r="G2096" s="34">
        <v>124.15</v>
      </c>
      <c r="H2096" s="34">
        <v>124.15</v>
      </c>
      <c r="I2096" s="29">
        <v>66128000</v>
      </c>
      <c r="P2096" s="125"/>
      <c r="Q2096" s="34"/>
      <c r="R2096" s="115"/>
      <c r="S2096" s="34"/>
      <c r="T2096" s="34"/>
      <c r="U2096" s="34"/>
      <c r="V2096" s="29"/>
    </row>
    <row r="2097" spans="3:22">
      <c r="C2097" s="125">
        <v>43987</v>
      </c>
      <c r="D2097" s="34">
        <v>137.85000600000001</v>
      </c>
      <c r="E2097" s="115">
        <v>139.36999499999999</v>
      </c>
      <c r="F2097" s="34">
        <v>133.38999899999999</v>
      </c>
      <c r="G2097" s="34">
        <v>135.11999499999999</v>
      </c>
      <c r="H2097" s="34">
        <v>126.969284</v>
      </c>
      <c r="I2097" s="29">
        <v>5591900</v>
      </c>
      <c r="P2097" s="125"/>
      <c r="Q2097" s="34"/>
      <c r="R2097" s="115"/>
      <c r="S2097" s="34"/>
      <c r="T2097" s="34"/>
      <c r="U2097" s="34"/>
      <c r="V2097" s="29"/>
    </row>
    <row r="2098" spans="3:22">
      <c r="C2098" s="125">
        <v>43986</v>
      </c>
      <c r="D2098" s="34">
        <v>123.87</v>
      </c>
      <c r="E2098" s="115">
        <v>125.38</v>
      </c>
      <c r="F2098" s="34">
        <v>122.5</v>
      </c>
      <c r="G2098" s="34">
        <v>123.03</v>
      </c>
      <c r="H2098" s="34">
        <v>123.03</v>
      </c>
      <c r="I2098" s="29">
        <v>58974000</v>
      </c>
      <c r="P2098" s="125"/>
      <c r="Q2098" s="34"/>
      <c r="R2098" s="115"/>
      <c r="S2098" s="34"/>
      <c r="T2098" s="34"/>
      <c r="U2098" s="34"/>
      <c r="V2098" s="29"/>
    </row>
    <row r="2099" spans="3:22">
      <c r="C2099" s="125">
        <v>43986</v>
      </c>
      <c r="D2099" s="34">
        <v>125.410004</v>
      </c>
      <c r="E2099" s="115">
        <v>129.029999</v>
      </c>
      <c r="F2099" s="34">
        <v>124.739998</v>
      </c>
      <c r="G2099" s="34">
        <v>128.96000699999999</v>
      </c>
      <c r="H2099" s="34">
        <v>121.18087800000001</v>
      </c>
      <c r="I2099" s="29">
        <v>3076700</v>
      </c>
      <c r="P2099" s="125"/>
      <c r="Q2099" s="34"/>
      <c r="R2099" s="115"/>
      <c r="S2099" s="34"/>
      <c r="T2099" s="34"/>
      <c r="U2099" s="34"/>
      <c r="V2099" s="29"/>
    </row>
    <row r="2100" spans="3:22">
      <c r="C2100" s="125">
        <v>43985</v>
      </c>
      <c r="D2100" s="34">
        <v>123.4</v>
      </c>
      <c r="E2100" s="115">
        <v>124.4</v>
      </c>
      <c r="F2100" s="34">
        <v>123.06</v>
      </c>
      <c r="G2100" s="34">
        <v>123.92</v>
      </c>
      <c r="H2100" s="34">
        <v>123.92</v>
      </c>
      <c r="I2100" s="29">
        <v>53420000</v>
      </c>
      <c r="P2100" s="125"/>
      <c r="Q2100" s="34"/>
      <c r="R2100" s="115"/>
      <c r="S2100" s="34"/>
      <c r="T2100" s="34"/>
      <c r="U2100" s="34"/>
      <c r="V2100" s="29"/>
    </row>
    <row r="2101" spans="3:22">
      <c r="C2101" s="125">
        <v>43985</v>
      </c>
      <c r="D2101" s="34">
        <v>125.449997</v>
      </c>
      <c r="E2101" s="115">
        <v>127.349998</v>
      </c>
      <c r="F2101" s="34">
        <v>125.010002</v>
      </c>
      <c r="G2101" s="34">
        <v>127.089996</v>
      </c>
      <c r="H2101" s="34">
        <v>119.42366800000001</v>
      </c>
      <c r="I2101" s="29">
        <v>3712600</v>
      </c>
      <c r="P2101" s="125"/>
      <c r="Q2101" s="34"/>
      <c r="R2101" s="115"/>
      <c r="S2101" s="34"/>
      <c r="T2101" s="34"/>
      <c r="U2101" s="34"/>
      <c r="V2101" s="29"/>
    </row>
    <row r="2102" spans="3:22">
      <c r="C2102" s="125">
        <v>43984</v>
      </c>
      <c r="D2102" s="34">
        <v>123.35</v>
      </c>
      <c r="E2102" s="115">
        <v>123.68</v>
      </c>
      <c r="F2102" s="34">
        <v>122.27</v>
      </c>
      <c r="G2102" s="34">
        <v>123.62</v>
      </c>
      <c r="H2102" s="34">
        <v>123.62</v>
      </c>
      <c r="I2102" s="29">
        <v>50598000</v>
      </c>
      <c r="P2102" s="125"/>
      <c r="Q2102" s="34"/>
      <c r="R2102" s="115"/>
      <c r="S2102" s="34"/>
      <c r="T2102" s="34"/>
      <c r="U2102" s="34"/>
      <c r="V2102" s="29"/>
    </row>
    <row r="2103" spans="3:22">
      <c r="C2103" s="125">
        <v>43984</v>
      </c>
      <c r="D2103" s="34">
        <v>121.839996</v>
      </c>
      <c r="E2103" s="115">
        <v>123.82</v>
      </c>
      <c r="F2103" s="34">
        <v>121.279999</v>
      </c>
      <c r="G2103" s="34">
        <v>123.32</v>
      </c>
      <c r="H2103" s="34">
        <v>115.881073</v>
      </c>
      <c r="I2103" s="29">
        <v>2977500</v>
      </c>
      <c r="P2103" s="125"/>
      <c r="Q2103" s="34"/>
      <c r="R2103" s="115"/>
      <c r="S2103" s="34"/>
      <c r="T2103" s="34"/>
      <c r="U2103" s="34"/>
      <c r="V2103" s="29"/>
    </row>
    <row r="2104" spans="3:22">
      <c r="C2104" s="125">
        <v>43983</v>
      </c>
      <c r="D2104" s="34">
        <v>122.4</v>
      </c>
      <c r="E2104" s="115">
        <v>123.85</v>
      </c>
      <c r="F2104" s="34">
        <v>122.21</v>
      </c>
      <c r="G2104" s="34">
        <v>123.55</v>
      </c>
      <c r="H2104" s="34">
        <v>123.55</v>
      </c>
      <c r="I2104" s="29">
        <v>58578000</v>
      </c>
      <c r="P2104" s="125"/>
      <c r="Q2104" s="34"/>
      <c r="R2104" s="115"/>
      <c r="S2104" s="34"/>
      <c r="T2104" s="34"/>
      <c r="U2104" s="34"/>
      <c r="V2104" s="29"/>
    </row>
    <row r="2105" spans="3:22">
      <c r="C2105" s="125">
        <v>43983</v>
      </c>
      <c r="D2105" s="34">
        <v>119.860001</v>
      </c>
      <c r="E2105" s="115">
        <v>121.199997</v>
      </c>
      <c r="F2105" s="34">
        <v>117.610001</v>
      </c>
      <c r="G2105" s="34">
        <v>120.5</v>
      </c>
      <c r="H2105" s="34">
        <v>113.231194</v>
      </c>
      <c r="I2105" s="29">
        <v>2131300</v>
      </c>
      <c r="P2105" s="125"/>
      <c r="Q2105" s="34"/>
      <c r="R2105" s="115"/>
      <c r="S2105" s="34"/>
      <c r="T2105" s="34"/>
      <c r="U2105" s="34"/>
      <c r="V2105" s="29"/>
    </row>
    <row r="2106" spans="3:22">
      <c r="C2106" s="125">
        <v>43980</v>
      </c>
      <c r="D2106" s="34">
        <v>120.8</v>
      </c>
      <c r="E2106" s="115">
        <v>122.12</v>
      </c>
      <c r="F2106" s="34">
        <v>119.91</v>
      </c>
      <c r="G2106" s="34">
        <v>122.12</v>
      </c>
      <c r="H2106" s="34">
        <v>122.12</v>
      </c>
      <c r="I2106" s="29">
        <v>70198000</v>
      </c>
      <c r="P2106" s="125"/>
      <c r="Q2106" s="34"/>
      <c r="R2106" s="115"/>
      <c r="S2106" s="34"/>
      <c r="T2106" s="34"/>
      <c r="U2106" s="34"/>
      <c r="V2106" s="29"/>
    </row>
    <row r="2107" spans="3:22">
      <c r="C2107" s="125">
        <v>43980</v>
      </c>
      <c r="D2107" s="34">
        <v>119.629997</v>
      </c>
      <c r="E2107" s="115">
        <v>120.709999</v>
      </c>
      <c r="F2107" s="34">
        <v>117.57</v>
      </c>
      <c r="G2107" s="34">
        <v>120.129997</v>
      </c>
      <c r="H2107" s="34">
        <v>112.883499</v>
      </c>
      <c r="I2107" s="29">
        <v>4219000</v>
      </c>
      <c r="P2107" s="125"/>
      <c r="Q2107" s="34"/>
      <c r="R2107" s="115"/>
      <c r="S2107" s="34"/>
      <c r="T2107" s="34"/>
      <c r="U2107" s="34"/>
      <c r="V2107" s="29"/>
    </row>
    <row r="2108" spans="3:22">
      <c r="C2108" s="125">
        <v>43979</v>
      </c>
      <c r="D2108" s="34">
        <v>119.22</v>
      </c>
      <c r="E2108" s="115">
        <v>121.85</v>
      </c>
      <c r="F2108" s="34">
        <v>118.91</v>
      </c>
      <c r="G2108" s="34">
        <v>120.06</v>
      </c>
      <c r="H2108" s="34">
        <v>120.06</v>
      </c>
      <c r="I2108" s="29">
        <v>63804000</v>
      </c>
      <c r="P2108" s="125"/>
      <c r="Q2108" s="34"/>
      <c r="R2108" s="115"/>
      <c r="S2108" s="34"/>
      <c r="T2108" s="34"/>
      <c r="U2108" s="34"/>
      <c r="V2108" s="29"/>
    </row>
    <row r="2109" spans="3:22">
      <c r="C2109" s="125">
        <v>43979</v>
      </c>
      <c r="D2109" s="34">
        <v>124.75</v>
      </c>
      <c r="E2109" s="115">
        <v>124.83000199999999</v>
      </c>
      <c r="F2109" s="34">
        <v>120.279999</v>
      </c>
      <c r="G2109" s="34">
        <v>120.739998</v>
      </c>
      <c r="H2109" s="34">
        <v>113.456703</v>
      </c>
      <c r="I2109" s="29">
        <v>3743700</v>
      </c>
      <c r="P2109" s="125"/>
      <c r="Q2109" s="34"/>
      <c r="R2109" s="115"/>
      <c r="S2109" s="34"/>
      <c r="T2109" s="34"/>
      <c r="U2109" s="34"/>
      <c r="V2109" s="29"/>
    </row>
    <row r="2110" spans="3:22">
      <c r="C2110" s="125">
        <v>43978</v>
      </c>
      <c r="D2110" s="34">
        <v>120.25</v>
      </c>
      <c r="E2110" s="115">
        <v>120.68</v>
      </c>
      <c r="F2110" s="34">
        <v>116.5</v>
      </c>
      <c r="G2110" s="34">
        <v>120.52</v>
      </c>
      <c r="H2110" s="34">
        <v>120.52</v>
      </c>
      <c r="I2110" s="29">
        <v>101138000</v>
      </c>
      <c r="P2110" s="125"/>
      <c r="Q2110" s="34"/>
      <c r="R2110" s="115"/>
      <c r="S2110" s="34"/>
      <c r="T2110" s="34"/>
      <c r="U2110" s="34"/>
      <c r="V2110" s="29"/>
    </row>
    <row r="2111" spans="3:22">
      <c r="C2111" s="125">
        <v>43978</v>
      </c>
      <c r="D2111" s="34">
        <v>119.720001</v>
      </c>
      <c r="E2111" s="115">
        <v>122.489998</v>
      </c>
      <c r="F2111" s="34">
        <v>119.529999</v>
      </c>
      <c r="G2111" s="34">
        <v>122.41999800000001</v>
      </c>
      <c r="H2111" s="34">
        <v>115.03536200000001</v>
      </c>
      <c r="I2111" s="29">
        <v>4462700</v>
      </c>
      <c r="P2111" s="125"/>
      <c r="Q2111" s="34"/>
      <c r="R2111" s="115"/>
      <c r="S2111" s="34"/>
      <c r="T2111" s="34"/>
      <c r="U2111" s="34"/>
      <c r="V2111" s="29"/>
    </row>
    <row r="2112" spans="3:22">
      <c r="C2112" s="125">
        <v>43977</v>
      </c>
      <c r="D2112" s="34">
        <v>122.9</v>
      </c>
      <c r="E2112" s="115">
        <v>123.1</v>
      </c>
      <c r="F2112" s="34">
        <v>120.7</v>
      </c>
      <c r="G2112" s="34">
        <v>121.09</v>
      </c>
      <c r="H2112" s="34">
        <v>121.09</v>
      </c>
      <c r="I2112" s="29">
        <v>71364000</v>
      </c>
      <c r="P2112" s="125"/>
      <c r="Q2112" s="34"/>
      <c r="R2112" s="115"/>
      <c r="S2112" s="34"/>
      <c r="T2112" s="34"/>
      <c r="U2112" s="34"/>
      <c r="V2112" s="29"/>
    </row>
    <row r="2113" spans="3:22">
      <c r="C2113" s="125">
        <v>43977</v>
      </c>
      <c r="D2113" s="34">
        <v>115.980003</v>
      </c>
      <c r="E2113" s="115">
        <v>118.55999799999999</v>
      </c>
      <c r="F2113" s="34">
        <v>115.980003</v>
      </c>
      <c r="G2113" s="34">
        <v>117.410004</v>
      </c>
      <c r="H2113" s="34">
        <v>110.327591</v>
      </c>
      <c r="I2113" s="29">
        <v>4185100</v>
      </c>
      <c r="P2113" s="125"/>
      <c r="Q2113" s="34"/>
      <c r="R2113" s="115"/>
      <c r="S2113" s="34"/>
      <c r="T2113" s="34"/>
      <c r="U2113" s="34"/>
      <c r="V2113" s="29"/>
    </row>
    <row r="2114" spans="3:22">
      <c r="C2114" s="125">
        <v>43973</v>
      </c>
      <c r="D2114" s="34">
        <v>122.75</v>
      </c>
      <c r="E2114" s="115">
        <v>123.49</v>
      </c>
      <c r="F2114" s="34">
        <v>121.51</v>
      </c>
      <c r="G2114" s="34">
        <v>121.84</v>
      </c>
      <c r="H2114" s="34">
        <v>121.84</v>
      </c>
      <c r="I2114" s="29">
        <v>57342000</v>
      </c>
      <c r="P2114" s="125"/>
      <c r="Q2114" s="34"/>
      <c r="R2114" s="115"/>
      <c r="S2114" s="34"/>
      <c r="T2114" s="34"/>
      <c r="U2114" s="34"/>
      <c r="V2114" s="29"/>
    </row>
    <row r="2115" spans="3:22">
      <c r="C2115" s="125">
        <v>43973</v>
      </c>
      <c r="D2115" s="34">
        <v>114.129997</v>
      </c>
      <c r="E2115" s="115">
        <v>114.160004</v>
      </c>
      <c r="F2115" s="34">
        <v>111.470001</v>
      </c>
      <c r="G2115" s="34">
        <v>112.470001</v>
      </c>
      <c r="H2115" s="34">
        <v>105.68557</v>
      </c>
      <c r="I2115" s="29">
        <v>2735100</v>
      </c>
      <c r="P2115" s="125"/>
      <c r="Q2115" s="34"/>
      <c r="R2115" s="115"/>
      <c r="S2115" s="34"/>
      <c r="T2115" s="34"/>
      <c r="U2115" s="34"/>
      <c r="V2115" s="29"/>
    </row>
    <row r="2116" spans="3:22">
      <c r="C2116" s="125">
        <v>43972</v>
      </c>
      <c r="D2116" s="34">
        <v>125</v>
      </c>
      <c r="E2116" s="115">
        <v>126.27</v>
      </c>
      <c r="F2116" s="34">
        <v>122.13</v>
      </c>
      <c r="G2116" s="34">
        <v>122.34</v>
      </c>
      <c r="H2116" s="34">
        <v>122.34</v>
      </c>
      <c r="I2116" s="29">
        <v>102288000</v>
      </c>
      <c r="P2116" s="125"/>
      <c r="Q2116" s="34"/>
      <c r="R2116" s="115"/>
      <c r="S2116" s="34"/>
      <c r="T2116" s="34"/>
      <c r="U2116" s="34"/>
      <c r="V2116" s="29"/>
    </row>
    <row r="2117" spans="3:22">
      <c r="C2117" s="125">
        <v>43972</v>
      </c>
      <c r="D2117" s="34">
        <v>114.949997</v>
      </c>
      <c r="E2117" s="115">
        <v>115.68</v>
      </c>
      <c r="F2117" s="34">
        <v>113.82</v>
      </c>
      <c r="G2117" s="34">
        <v>114.05999799999999</v>
      </c>
      <c r="H2117" s="34">
        <v>107.179665</v>
      </c>
      <c r="I2117" s="29">
        <v>2342300</v>
      </c>
      <c r="P2117" s="125"/>
      <c r="Q2117" s="34"/>
      <c r="R2117" s="115"/>
      <c r="S2117" s="34"/>
      <c r="T2117" s="34"/>
      <c r="U2117" s="34"/>
      <c r="V2117" s="29"/>
    </row>
    <row r="2118" spans="3:22">
      <c r="C2118" s="125">
        <v>43971</v>
      </c>
      <c r="D2118" s="34">
        <v>123.89</v>
      </c>
      <c r="E2118" s="115">
        <v>125</v>
      </c>
      <c r="F2118" s="34">
        <v>123.36</v>
      </c>
      <c r="G2118" s="34">
        <v>124.9</v>
      </c>
      <c r="H2118" s="34">
        <v>124.9</v>
      </c>
      <c r="I2118" s="29">
        <v>79962000</v>
      </c>
      <c r="P2118" s="125"/>
      <c r="Q2118" s="34"/>
      <c r="R2118" s="115"/>
      <c r="S2118" s="34"/>
      <c r="T2118" s="34"/>
      <c r="U2118" s="34"/>
      <c r="V2118" s="29"/>
    </row>
    <row r="2119" spans="3:22">
      <c r="C2119" s="125">
        <v>43971</v>
      </c>
      <c r="D2119" s="34">
        <v>113.30999799999999</v>
      </c>
      <c r="E2119" s="115">
        <v>117.480003</v>
      </c>
      <c r="F2119" s="34">
        <v>113.050003</v>
      </c>
      <c r="G2119" s="34">
        <v>115.69000200000001</v>
      </c>
      <c r="H2119" s="34">
        <v>108.71133399999999</v>
      </c>
      <c r="I2119" s="29">
        <v>3735700</v>
      </c>
      <c r="P2119" s="125"/>
      <c r="Q2119" s="34"/>
      <c r="R2119" s="115"/>
      <c r="S2119" s="34"/>
      <c r="T2119" s="34"/>
      <c r="U2119" s="34"/>
      <c r="V2119" s="29"/>
    </row>
    <row r="2120" spans="3:22">
      <c r="C2120" s="125">
        <v>43970</v>
      </c>
      <c r="D2120" s="34">
        <v>121.49</v>
      </c>
      <c r="E2120" s="115">
        <v>124.25</v>
      </c>
      <c r="F2120" s="34">
        <v>121.45</v>
      </c>
      <c r="G2120" s="34">
        <v>122.47</v>
      </c>
      <c r="H2120" s="34">
        <v>122.47</v>
      </c>
      <c r="I2120" s="29">
        <v>86410000</v>
      </c>
      <c r="P2120" s="125"/>
      <c r="Q2120" s="34"/>
      <c r="R2120" s="115"/>
      <c r="S2120" s="34"/>
      <c r="T2120" s="34"/>
      <c r="U2120" s="34"/>
      <c r="V2120" s="29"/>
    </row>
    <row r="2121" spans="3:22">
      <c r="C2121" s="125">
        <v>43970</v>
      </c>
      <c r="D2121" s="34">
        <v>114.949997</v>
      </c>
      <c r="E2121" s="115">
        <v>115.44000200000001</v>
      </c>
      <c r="F2121" s="34">
        <v>112.010002</v>
      </c>
      <c r="G2121" s="34">
        <v>112.08000199999999</v>
      </c>
      <c r="H2121" s="34">
        <v>105.319092</v>
      </c>
      <c r="I2121" s="29">
        <v>3404900</v>
      </c>
      <c r="P2121" s="125"/>
      <c r="Q2121" s="34"/>
      <c r="R2121" s="115"/>
      <c r="S2121" s="34"/>
      <c r="T2121" s="34"/>
      <c r="U2121" s="34"/>
      <c r="V2121" s="29"/>
    </row>
    <row r="2122" spans="3:22">
      <c r="C2122" s="125">
        <v>43969</v>
      </c>
      <c r="D2122" s="34">
        <v>120.22</v>
      </c>
      <c r="E2122" s="115">
        <v>121.65</v>
      </c>
      <c r="F2122" s="34">
        <v>119.2</v>
      </c>
      <c r="G2122" s="34">
        <v>121.31</v>
      </c>
      <c r="H2122" s="34">
        <v>121.31</v>
      </c>
      <c r="I2122" s="29">
        <v>87144000</v>
      </c>
      <c r="P2122" s="125"/>
      <c r="Q2122" s="34"/>
      <c r="R2122" s="115"/>
      <c r="S2122" s="34"/>
      <c r="T2122" s="34"/>
      <c r="U2122" s="34"/>
      <c r="V2122" s="29"/>
    </row>
    <row r="2123" spans="3:22">
      <c r="C2123" s="125">
        <v>43969</v>
      </c>
      <c r="D2123" s="34">
        <v>112.220001</v>
      </c>
      <c r="E2123" s="115">
        <v>115.660004</v>
      </c>
      <c r="F2123" s="34">
        <v>112.010002</v>
      </c>
      <c r="G2123" s="34">
        <v>115.019997</v>
      </c>
      <c r="H2123" s="34">
        <v>108.081749</v>
      </c>
      <c r="I2123" s="29">
        <v>5603500</v>
      </c>
      <c r="P2123" s="125"/>
      <c r="Q2123" s="34"/>
      <c r="R2123" s="115"/>
      <c r="S2123" s="34"/>
      <c r="T2123" s="34"/>
      <c r="U2123" s="34"/>
      <c r="V2123" s="29"/>
    </row>
    <row r="2124" spans="3:22">
      <c r="C2124" s="125">
        <v>43966</v>
      </c>
      <c r="D2124" s="34">
        <v>118.43</v>
      </c>
      <c r="E2124" s="115">
        <v>120.55</v>
      </c>
      <c r="F2124" s="34">
        <v>117.82</v>
      </c>
      <c r="G2124" s="34">
        <v>120.49</v>
      </c>
      <c r="H2124" s="34">
        <v>120.49</v>
      </c>
      <c r="I2124" s="29">
        <v>84700000</v>
      </c>
      <c r="P2124" s="125"/>
      <c r="Q2124" s="34"/>
      <c r="R2124" s="115"/>
      <c r="S2124" s="34"/>
      <c r="T2124" s="34"/>
      <c r="U2124" s="34"/>
      <c r="V2124" s="29"/>
    </row>
    <row r="2125" spans="3:22">
      <c r="C2125" s="125">
        <v>43966</v>
      </c>
      <c r="D2125" s="34">
        <v>105.18</v>
      </c>
      <c r="E2125" s="115">
        <v>107.989998</v>
      </c>
      <c r="F2125" s="34">
        <v>104.279999</v>
      </c>
      <c r="G2125" s="34">
        <v>107.91999800000001</v>
      </c>
      <c r="H2125" s="34">
        <v>101.410049</v>
      </c>
      <c r="I2125" s="29">
        <v>6583100</v>
      </c>
      <c r="P2125" s="125"/>
      <c r="Q2125" s="34"/>
      <c r="R2125" s="115"/>
      <c r="S2125" s="34"/>
      <c r="T2125" s="34"/>
      <c r="U2125" s="34"/>
      <c r="V2125" s="29"/>
    </row>
    <row r="2126" spans="3:22">
      <c r="C2126" s="125">
        <v>43965</v>
      </c>
      <c r="D2126" s="34">
        <v>118.05</v>
      </c>
      <c r="E2126" s="115">
        <v>119.57</v>
      </c>
      <c r="F2126" s="34">
        <v>117.66</v>
      </c>
      <c r="G2126" s="34">
        <v>119.44</v>
      </c>
      <c r="H2126" s="34">
        <v>119.44</v>
      </c>
      <c r="I2126" s="29">
        <v>72962000</v>
      </c>
      <c r="P2126" s="125"/>
      <c r="Q2126" s="34"/>
      <c r="R2126" s="115"/>
      <c r="S2126" s="34"/>
      <c r="T2126" s="34"/>
      <c r="U2126" s="34"/>
      <c r="V2126" s="29"/>
    </row>
    <row r="2127" spans="3:22">
      <c r="C2127" s="125">
        <v>43965</v>
      </c>
      <c r="D2127" s="34">
        <v>102.5</v>
      </c>
      <c r="E2127" s="115">
        <v>106.279999</v>
      </c>
      <c r="F2127" s="34">
        <v>100.220001</v>
      </c>
      <c r="G2127" s="34">
        <v>106.19000200000001</v>
      </c>
      <c r="H2127" s="34">
        <v>99.784392999999994</v>
      </c>
      <c r="I2127" s="29">
        <v>5542400</v>
      </c>
      <c r="P2127" s="125"/>
      <c r="Q2127" s="34"/>
      <c r="R2127" s="115"/>
      <c r="S2127" s="34"/>
      <c r="T2127" s="34"/>
      <c r="U2127" s="34"/>
      <c r="V2127" s="29"/>
    </row>
    <row r="2128" spans="3:22">
      <c r="C2128" s="125">
        <v>43964</v>
      </c>
      <c r="D2128" s="34">
        <v>118.34</v>
      </c>
      <c r="E2128" s="115">
        <v>120.39</v>
      </c>
      <c r="F2128" s="34">
        <v>116.89</v>
      </c>
      <c r="G2128" s="34">
        <v>118.4</v>
      </c>
      <c r="H2128" s="34">
        <v>118.4</v>
      </c>
      <c r="I2128" s="29">
        <v>95658000</v>
      </c>
      <c r="P2128" s="125"/>
      <c r="Q2128" s="34"/>
      <c r="R2128" s="115"/>
      <c r="S2128" s="34"/>
      <c r="T2128" s="34"/>
      <c r="U2128" s="34"/>
      <c r="V2128" s="29"/>
    </row>
    <row r="2129" spans="3:22">
      <c r="C2129" s="125">
        <v>43964</v>
      </c>
      <c r="D2129" s="34">
        <v>105.139999</v>
      </c>
      <c r="E2129" s="115">
        <v>105.290001</v>
      </c>
      <c r="F2129" s="34">
        <v>102.550003</v>
      </c>
      <c r="G2129" s="34">
        <v>104.480003</v>
      </c>
      <c r="H2129" s="34">
        <v>98.177543999999997</v>
      </c>
      <c r="I2129" s="29">
        <v>5376100</v>
      </c>
      <c r="P2129" s="125"/>
      <c r="Q2129" s="34"/>
      <c r="R2129" s="115"/>
      <c r="S2129" s="34"/>
      <c r="T2129" s="34"/>
      <c r="U2129" s="34"/>
      <c r="V2129" s="29"/>
    </row>
    <row r="2130" spans="3:22">
      <c r="C2130" s="125">
        <v>43963</v>
      </c>
      <c r="D2130" s="34">
        <v>120.59</v>
      </c>
      <c r="E2130" s="115">
        <v>120.95</v>
      </c>
      <c r="F2130" s="34">
        <v>117.75</v>
      </c>
      <c r="G2130" s="34">
        <v>117.85</v>
      </c>
      <c r="H2130" s="34">
        <v>117.85</v>
      </c>
      <c r="I2130" s="29">
        <v>61498000</v>
      </c>
      <c r="P2130" s="125"/>
      <c r="Q2130" s="34"/>
      <c r="R2130" s="115"/>
      <c r="S2130" s="34"/>
      <c r="T2130" s="34"/>
      <c r="U2130" s="34"/>
      <c r="V2130" s="29"/>
    </row>
    <row r="2131" spans="3:22">
      <c r="C2131" s="125">
        <v>43963</v>
      </c>
      <c r="D2131" s="34">
        <v>109.110001</v>
      </c>
      <c r="E2131" s="115">
        <v>109.33000199999999</v>
      </c>
      <c r="F2131" s="34">
        <v>105</v>
      </c>
      <c r="G2131" s="34">
        <v>105</v>
      </c>
      <c r="H2131" s="34">
        <v>98.666190999999998</v>
      </c>
      <c r="I2131" s="29">
        <v>3874100</v>
      </c>
      <c r="P2131" s="125"/>
      <c r="Q2131" s="34"/>
      <c r="R2131" s="115"/>
      <c r="S2131" s="34"/>
      <c r="T2131" s="34"/>
      <c r="U2131" s="34"/>
      <c r="V2131" s="29"/>
    </row>
    <row r="2132" spans="3:22">
      <c r="C2132" s="125">
        <v>43962</v>
      </c>
      <c r="D2132" s="34">
        <v>118.74</v>
      </c>
      <c r="E2132" s="115">
        <v>120.98</v>
      </c>
      <c r="F2132" s="34">
        <v>118.61</v>
      </c>
      <c r="G2132" s="34">
        <v>120.45</v>
      </c>
      <c r="H2132" s="34">
        <v>120.45</v>
      </c>
      <c r="I2132" s="29">
        <v>65184000</v>
      </c>
      <c r="P2132" s="125"/>
      <c r="Q2132" s="34"/>
      <c r="R2132" s="115"/>
      <c r="S2132" s="34"/>
      <c r="T2132" s="34"/>
      <c r="U2132" s="34"/>
      <c r="V2132" s="29"/>
    </row>
    <row r="2133" spans="3:22">
      <c r="C2133" s="125">
        <v>43962</v>
      </c>
      <c r="D2133" s="34">
        <v>110.160004</v>
      </c>
      <c r="E2133" s="115">
        <v>110.769997</v>
      </c>
      <c r="F2133" s="34">
        <v>108.18</v>
      </c>
      <c r="G2133" s="34">
        <v>108.610001</v>
      </c>
      <c r="H2133" s="34">
        <v>102.058426</v>
      </c>
      <c r="I2133" s="29">
        <v>4207300</v>
      </c>
      <c r="P2133" s="125"/>
      <c r="Q2133" s="34"/>
      <c r="R2133" s="115"/>
      <c r="S2133" s="34"/>
      <c r="T2133" s="34"/>
      <c r="U2133" s="34"/>
      <c r="V2133" s="29"/>
    </row>
    <row r="2134" spans="3:22">
      <c r="C2134" s="125">
        <v>43959</v>
      </c>
      <c r="D2134" s="34">
        <v>118.61</v>
      </c>
      <c r="E2134" s="115">
        <v>119.36</v>
      </c>
      <c r="F2134" s="34">
        <v>117.85</v>
      </c>
      <c r="G2134" s="34">
        <v>118.98</v>
      </c>
      <c r="H2134" s="34">
        <v>118.98</v>
      </c>
      <c r="I2134" s="29">
        <v>64132000</v>
      </c>
      <c r="P2134" s="125"/>
      <c r="Q2134" s="34"/>
      <c r="R2134" s="115"/>
      <c r="S2134" s="34"/>
      <c r="T2134" s="34"/>
      <c r="U2134" s="34"/>
      <c r="V2134" s="29"/>
    </row>
    <row r="2135" spans="3:22">
      <c r="C2135" s="125">
        <v>43959</v>
      </c>
      <c r="D2135" s="34">
        <v>108.970001</v>
      </c>
      <c r="E2135" s="115">
        <v>112.199997</v>
      </c>
      <c r="F2135" s="34">
        <v>108.300003</v>
      </c>
      <c r="G2135" s="34">
        <v>112.110001</v>
      </c>
      <c r="H2135" s="34">
        <v>105.34729</v>
      </c>
      <c r="I2135" s="29">
        <v>3911300</v>
      </c>
      <c r="P2135" s="125"/>
      <c r="Q2135" s="34"/>
      <c r="R2135" s="115"/>
      <c r="S2135" s="34"/>
      <c r="T2135" s="34"/>
      <c r="U2135" s="34"/>
      <c r="V2135" s="29"/>
    </row>
    <row r="2136" spans="3:22">
      <c r="C2136" s="125">
        <v>43958</v>
      </c>
      <c r="D2136" s="34">
        <v>118.74</v>
      </c>
      <c r="E2136" s="115">
        <v>118.8</v>
      </c>
      <c r="F2136" s="34">
        <v>117.16</v>
      </c>
      <c r="G2136" s="34">
        <v>118.38</v>
      </c>
      <c r="H2136" s="34">
        <v>118.38</v>
      </c>
      <c r="I2136" s="29">
        <v>67928000</v>
      </c>
      <c r="P2136" s="125"/>
      <c r="Q2136" s="34"/>
      <c r="R2136" s="115"/>
      <c r="S2136" s="34"/>
      <c r="T2136" s="34"/>
      <c r="U2136" s="34"/>
      <c r="V2136" s="29"/>
    </row>
    <row r="2137" spans="3:22">
      <c r="C2137" s="125">
        <v>43958</v>
      </c>
      <c r="D2137" s="34">
        <v>109.019997</v>
      </c>
      <c r="E2137" s="115">
        <v>110.050003</v>
      </c>
      <c r="F2137" s="34">
        <v>106.779999</v>
      </c>
      <c r="G2137" s="34">
        <v>107.290001</v>
      </c>
      <c r="H2137" s="34">
        <v>100.818039</v>
      </c>
      <c r="I2137" s="29">
        <v>4377900</v>
      </c>
      <c r="P2137" s="125"/>
      <c r="Q2137" s="34"/>
      <c r="R2137" s="115"/>
      <c r="S2137" s="34"/>
      <c r="T2137" s="34"/>
      <c r="U2137" s="34"/>
      <c r="V2137" s="29"/>
    </row>
    <row r="2138" spans="3:22">
      <c r="C2138" s="125">
        <v>43957</v>
      </c>
      <c r="D2138" s="34">
        <v>116.47</v>
      </c>
      <c r="E2138" s="115">
        <v>117.87</v>
      </c>
      <c r="F2138" s="34">
        <v>116</v>
      </c>
      <c r="G2138" s="34">
        <v>117.56</v>
      </c>
      <c r="H2138" s="34">
        <v>117.56</v>
      </c>
      <c r="I2138" s="29">
        <v>62356000</v>
      </c>
      <c r="P2138" s="125"/>
      <c r="Q2138" s="34"/>
      <c r="R2138" s="115"/>
      <c r="S2138" s="34"/>
      <c r="T2138" s="34"/>
      <c r="U2138" s="34"/>
      <c r="V2138" s="29"/>
    </row>
    <row r="2139" spans="3:22">
      <c r="C2139" s="125">
        <v>43957</v>
      </c>
      <c r="D2139" s="34">
        <v>110.029999</v>
      </c>
      <c r="E2139" s="115">
        <v>110.239998</v>
      </c>
      <c r="F2139" s="34">
        <v>106.699997</v>
      </c>
      <c r="G2139" s="34">
        <v>107.66999800000001</v>
      </c>
      <c r="H2139" s="34">
        <v>101.17512499999999</v>
      </c>
      <c r="I2139" s="29">
        <v>4465300</v>
      </c>
      <c r="P2139" s="125"/>
      <c r="Q2139" s="34"/>
      <c r="R2139" s="115"/>
      <c r="S2139" s="34"/>
      <c r="T2139" s="34"/>
      <c r="U2139" s="34"/>
      <c r="V2139" s="29"/>
    </row>
    <row r="2140" spans="3:22">
      <c r="C2140" s="125">
        <v>43956</v>
      </c>
      <c r="D2140" s="34">
        <v>117</v>
      </c>
      <c r="E2140" s="115">
        <v>117.55</v>
      </c>
      <c r="F2140" s="34">
        <v>115.36</v>
      </c>
      <c r="G2140" s="34">
        <v>115.89</v>
      </c>
      <c r="H2140" s="34">
        <v>115.89</v>
      </c>
      <c r="I2140" s="29">
        <v>64850000</v>
      </c>
      <c r="P2140" s="125"/>
      <c r="Q2140" s="34"/>
      <c r="R2140" s="115"/>
      <c r="S2140" s="34"/>
      <c r="T2140" s="34"/>
      <c r="U2140" s="34"/>
      <c r="V2140" s="29"/>
    </row>
    <row r="2141" spans="3:22">
      <c r="C2141" s="125">
        <v>43956</v>
      </c>
      <c r="D2141" s="34">
        <v>109.239998</v>
      </c>
      <c r="E2141" s="115">
        <v>111.089996</v>
      </c>
      <c r="F2141" s="34">
        <v>108.739998</v>
      </c>
      <c r="G2141" s="34">
        <v>108.910004</v>
      </c>
      <c r="H2141" s="34">
        <v>102.340317</v>
      </c>
      <c r="I2141" s="29">
        <v>3477400</v>
      </c>
      <c r="P2141" s="125"/>
      <c r="Q2141" s="34"/>
      <c r="R2141" s="115"/>
      <c r="S2141" s="34"/>
      <c r="T2141" s="34"/>
      <c r="U2141" s="34"/>
      <c r="V2141" s="29"/>
    </row>
    <row r="2142" spans="3:22">
      <c r="C2142" s="125">
        <v>43955</v>
      </c>
      <c r="D2142" s="34">
        <v>112.82</v>
      </c>
      <c r="E2142" s="115">
        <v>116.35</v>
      </c>
      <c r="F2142" s="34">
        <v>112.82</v>
      </c>
      <c r="G2142" s="34">
        <v>115.8</v>
      </c>
      <c r="H2142" s="34">
        <v>115.8</v>
      </c>
      <c r="I2142" s="29">
        <v>97318000</v>
      </c>
      <c r="P2142" s="125"/>
      <c r="Q2142" s="34"/>
      <c r="R2142" s="115"/>
      <c r="S2142" s="34"/>
      <c r="T2142" s="34"/>
      <c r="U2142" s="34"/>
      <c r="V2142" s="29"/>
    </row>
    <row r="2143" spans="3:22">
      <c r="C2143" s="125">
        <v>43955</v>
      </c>
      <c r="D2143" s="34">
        <v>110.019997</v>
      </c>
      <c r="E2143" s="115">
        <v>110.279999</v>
      </c>
      <c r="F2143" s="34">
        <v>106.58000199999999</v>
      </c>
      <c r="G2143" s="34">
        <v>107.720001</v>
      </c>
      <c r="H2143" s="34">
        <v>101.222092</v>
      </c>
      <c r="I2143" s="29">
        <v>4500700</v>
      </c>
      <c r="P2143" s="125"/>
      <c r="Q2143" s="34"/>
      <c r="R2143" s="115"/>
      <c r="S2143" s="34"/>
      <c r="T2143" s="34"/>
      <c r="U2143" s="34"/>
      <c r="V2143" s="29"/>
    </row>
    <row r="2144" spans="3:22">
      <c r="C2144" s="125">
        <v>43952</v>
      </c>
      <c r="D2144" s="34">
        <v>116.84</v>
      </c>
      <c r="E2144" s="115">
        <v>118.12</v>
      </c>
      <c r="F2144" s="34">
        <v>112.91</v>
      </c>
      <c r="G2144" s="34">
        <v>114.3</v>
      </c>
      <c r="H2144" s="34">
        <v>114.3</v>
      </c>
      <c r="I2144" s="29">
        <v>195452000</v>
      </c>
      <c r="P2144" s="125"/>
      <c r="Q2144" s="34"/>
      <c r="R2144" s="115"/>
      <c r="S2144" s="34"/>
      <c r="T2144" s="34"/>
      <c r="U2144" s="34"/>
      <c r="V2144" s="29"/>
    </row>
    <row r="2145" spans="3:22">
      <c r="C2145" s="125">
        <v>43952</v>
      </c>
      <c r="D2145" s="34">
        <v>114</v>
      </c>
      <c r="E2145" s="115">
        <v>114.589996</v>
      </c>
      <c r="F2145" s="34">
        <v>110.57</v>
      </c>
      <c r="G2145" s="34">
        <v>110.879997</v>
      </c>
      <c r="H2145" s="34">
        <v>104.19149</v>
      </c>
      <c r="I2145" s="29">
        <v>3960400</v>
      </c>
      <c r="P2145" s="125"/>
      <c r="Q2145" s="34"/>
      <c r="R2145" s="115"/>
      <c r="S2145" s="34"/>
      <c r="T2145" s="34"/>
      <c r="U2145" s="34"/>
      <c r="V2145" s="29"/>
    </row>
    <row r="2146" spans="3:22">
      <c r="C2146" s="125">
        <v>43951</v>
      </c>
      <c r="D2146" s="34">
        <v>120.99</v>
      </c>
      <c r="E2146" s="115">
        <v>123.75</v>
      </c>
      <c r="F2146" s="34">
        <v>119.8</v>
      </c>
      <c r="G2146" s="34">
        <v>123.7</v>
      </c>
      <c r="H2146" s="34">
        <v>123.7</v>
      </c>
      <c r="I2146" s="29">
        <v>190692000</v>
      </c>
      <c r="P2146" s="125"/>
      <c r="Q2146" s="34"/>
      <c r="R2146" s="115"/>
      <c r="S2146" s="34"/>
      <c r="T2146" s="34"/>
      <c r="U2146" s="34"/>
      <c r="V2146" s="29"/>
    </row>
    <row r="2147" spans="3:22">
      <c r="C2147" s="125">
        <v>43951</v>
      </c>
      <c r="D2147" s="34">
        <v>118</v>
      </c>
      <c r="E2147" s="115">
        <v>118.25</v>
      </c>
      <c r="F2147" s="34">
        <v>115.33000199999999</v>
      </c>
      <c r="G2147" s="34">
        <v>116.379997</v>
      </c>
      <c r="H2147" s="34">
        <v>109.359718</v>
      </c>
      <c r="I2147" s="29">
        <v>4040500</v>
      </c>
      <c r="P2147" s="125"/>
      <c r="Q2147" s="34"/>
      <c r="R2147" s="115"/>
      <c r="S2147" s="34"/>
      <c r="T2147" s="34"/>
      <c r="U2147" s="34"/>
      <c r="V2147" s="29"/>
    </row>
    <row r="2148" spans="3:22">
      <c r="C2148" s="125">
        <v>43950</v>
      </c>
      <c r="D2148" s="34">
        <v>116.5</v>
      </c>
      <c r="E2148" s="115">
        <v>119.59</v>
      </c>
      <c r="F2148" s="34">
        <v>115.5</v>
      </c>
      <c r="G2148" s="34">
        <v>118.64</v>
      </c>
      <c r="H2148" s="34">
        <v>118.64</v>
      </c>
      <c r="I2148" s="29">
        <v>91832000</v>
      </c>
      <c r="P2148" s="125"/>
      <c r="Q2148" s="34"/>
      <c r="R2148" s="115"/>
      <c r="S2148" s="34"/>
      <c r="T2148" s="34"/>
      <c r="U2148" s="34"/>
      <c r="V2148" s="29"/>
    </row>
    <row r="2149" spans="3:22">
      <c r="C2149" s="125">
        <v>43950</v>
      </c>
      <c r="D2149" s="34">
        <v>116.959999</v>
      </c>
      <c r="E2149" s="115">
        <v>120.82</v>
      </c>
      <c r="F2149" s="34">
        <v>116.529999</v>
      </c>
      <c r="G2149" s="34">
        <v>120.05999799999999</v>
      </c>
      <c r="H2149" s="34">
        <v>112.81772599999999</v>
      </c>
      <c r="I2149" s="29">
        <v>4261100</v>
      </c>
      <c r="P2149" s="125"/>
      <c r="Q2149" s="34"/>
      <c r="R2149" s="115"/>
      <c r="S2149" s="34"/>
      <c r="T2149" s="34"/>
      <c r="U2149" s="34"/>
      <c r="V2149" s="29"/>
    </row>
    <row r="2150" spans="3:22">
      <c r="C2150" s="125">
        <v>43949</v>
      </c>
      <c r="D2150" s="34">
        <v>118.61</v>
      </c>
      <c r="E2150" s="115">
        <v>118.68</v>
      </c>
      <c r="F2150" s="34">
        <v>115.3</v>
      </c>
      <c r="G2150" s="34">
        <v>115.7</v>
      </c>
      <c r="H2150" s="34">
        <v>115.7</v>
      </c>
      <c r="I2150" s="29">
        <v>105388000</v>
      </c>
      <c r="P2150" s="125"/>
      <c r="Q2150" s="34"/>
      <c r="R2150" s="115"/>
      <c r="S2150" s="34"/>
      <c r="T2150" s="34"/>
      <c r="U2150" s="34"/>
      <c r="V2150" s="29"/>
    </row>
    <row r="2151" spans="3:22">
      <c r="C2151" s="125">
        <v>43949</v>
      </c>
      <c r="D2151" s="34">
        <v>117.860001</v>
      </c>
      <c r="E2151" s="115">
        <v>118</v>
      </c>
      <c r="F2151" s="34">
        <v>113.370003</v>
      </c>
      <c r="G2151" s="34">
        <v>115.459999</v>
      </c>
      <c r="H2151" s="34">
        <v>108.495216</v>
      </c>
      <c r="I2151" s="29">
        <v>5604600</v>
      </c>
      <c r="P2151" s="125"/>
      <c r="Q2151" s="34"/>
      <c r="R2151" s="115"/>
      <c r="S2151" s="34"/>
      <c r="T2151" s="34"/>
      <c r="U2151" s="34"/>
      <c r="V2151" s="29"/>
    </row>
    <row r="2152" spans="3:22">
      <c r="C2152" s="125">
        <v>43948</v>
      </c>
      <c r="D2152" s="34">
        <v>122.16</v>
      </c>
      <c r="E2152" s="115">
        <v>122.24</v>
      </c>
      <c r="F2152" s="34">
        <v>118.15</v>
      </c>
      <c r="G2152" s="34">
        <v>118.8</v>
      </c>
      <c r="H2152" s="34">
        <v>118.8</v>
      </c>
      <c r="I2152" s="29">
        <v>112912000</v>
      </c>
      <c r="P2152" s="125"/>
      <c r="Q2152" s="34"/>
      <c r="R2152" s="115"/>
      <c r="S2152" s="34"/>
      <c r="T2152" s="34"/>
      <c r="U2152" s="34"/>
      <c r="V2152" s="29"/>
    </row>
    <row r="2153" spans="3:22">
      <c r="C2153" s="125">
        <v>43948</v>
      </c>
      <c r="D2153" s="34">
        <v>110.849998</v>
      </c>
      <c r="E2153" s="115">
        <v>116.129997</v>
      </c>
      <c r="F2153" s="34">
        <v>109.730003</v>
      </c>
      <c r="G2153" s="34">
        <v>115.199997</v>
      </c>
      <c r="H2153" s="34">
        <v>108.250885</v>
      </c>
      <c r="I2153" s="29">
        <v>5344800</v>
      </c>
      <c r="P2153" s="125"/>
      <c r="Q2153" s="34"/>
      <c r="R2153" s="115"/>
      <c r="S2153" s="34"/>
      <c r="T2153" s="34"/>
      <c r="U2153" s="34"/>
      <c r="V2153" s="29"/>
    </row>
    <row r="2154" spans="3:22">
      <c r="C2154" s="125">
        <v>43945</v>
      </c>
      <c r="D2154" s="34">
        <v>120.85</v>
      </c>
      <c r="E2154" s="115">
        <v>121.02</v>
      </c>
      <c r="F2154" s="34">
        <v>119.1</v>
      </c>
      <c r="G2154" s="34">
        <v>120.51</v>
      </c>
      <c r="H2154" s="34">
        <v>120.51</v>
      </c>
      <c r="I2154" s="29">
        <v>76498000</v>
      </c>
      <c r="P2154" s="125"/>
      <c r="Q2154" s="34"/>
      <c r="R2154" s="115"/>
      <c r="S2154" s="34"/>
      <c r="T2154" s="34"/>
      <c r="U2154" s="34"/>
      <c r="V2154" s="29"/>
    </row>
    <row r="2155" spans="3:22">
      <c r="C2155" s="125">
        <v>43945</v>
      </c>
      <c r="D2155" s="34">
        <v>113.989998</v>
      </c>
      <c r="E2155" s="115">
        <v>114.379997</v>
      </c>
      <c r="F2155" s="34">
        <v>111.209999</v>
      </c>
      <c r="G2155" s="34">
        <v>114.040001</v>
      </c>
      <c r="H2155" s="34">
        <v>107.160866</v>
      </c>
      <c r="I2155" s="29">
        <v>3045300</v>
      </c>
      <c r="P2155" s="125"/>
      <c r="Q2155" s="34"/>
      <c r="R2155" s="115"/>
      <c r="S2155" s="34"/>
      <c r="T2155" s="34"/>
      <c r="U2155" s="34"/>
      <c r="V2155" s="29"/>
    </row>
    <row r="2156" spans="3:22">
      <c r="C2156" s="125">
        <v>43944</v>
      </c>
      <c r="D2156" s="34">
        <v>120</v>
      </c>
      <c r="E2156" s="115">
        <v>121.21</v>
      </c>
      <c r="F2156" s="34">
        <v>119.1</v>
      </c>
      <c r="G2156" s="34">
        <v>119.97</v>
      </c>
      <c r="H2156" s="34">
        <v>119.97</v>
      </c>
      <c r="I2156" s="29">
        <v>101332000</v>
      </c>
      <c r="P2156" s="125"/>
      <c r="Q2156" s="34"/>
      <c r="R2156" s="115"/>
      <c r="S2156" s="34"/>
      <c r="T2156" s="34"/>
      <c r="U2156" s="34"/>
      <c r="V2156" s="29"/>
    </row>
    <row r="2157" spans="3:22">
      <c r="C2157" s="125">
        <v>43944</v>
      </c>
      <c r="D2157" s="34">
        <v>111.33000199999999</v>
      </c>
      <c r="E2157" s="115">
        <v>115.230003</v>
      </c>
      <c r="F2157" s="34">
        <v>110.949997</v>
      </c>
      <c r="G2157" s="34">
        <v>112.910004</v>
      </c>
      <c r="H2157" s="34">
        <v>106.09903</v>
      </c>
      <c r="I2157" s="29">
        <v>3545400</v>
      </c>
      <c r="P2157" s="125"/>
      <c r="Q2157" s="34"/>
      <c r="R2157" s="115"/>
      <c r="S2157" s="34"/>
      <c r="T2157" s="34"/>
      <c r="U2157" s="34"/>
      <c r="V2157" s="29"/>
    </row>
    <row r="2158" spans="3:22">
      <c r="C2158" s="125">
        <v>43943</v>
      </c>
      <c r="D2158" s="34">
        <v>118.45</v>
      </c>
      <c r="E2158" s="115">
        <v>119.7</v>
      </c>
      <c r="F2158" s="34">
        <v>117.55</v>
      </c>
      <c r="G2158" s="34">
        <v>118.17</v>
      </c>
      <c r="H2158" s="34">
        <v>118.17</v>
      </c>
      <c r="I2158" s="29">
        <v>84244000</v>
      </c>
      <c r="P2158" s="125"/>
      <c r="Q2158" s="34"/>
      <c r="R2158" s="115"/>
      <c r="S2158" s="34"/>
      <c r="T2158" s="34"/>
      <c r="U2158" s="34"/>
      <c r="V2158" s="29"/>
    </row>
    <row r="2159" spans="3:22">
      <c r="C2159" s="125">
        <v>43943</v>
      </c>
      <c r="D2159" s="34">
        <v>112.029999</v>
      </c>
      <c r="E2159" s="115">
        <v>112.099998</v>
      </c>
      <c r="F2159" s="34">
        <v>109.209999</v>
      </c>
      <c r="G2159" s="34">
        <v>110.639999</v>
      </c>
      <c r="H2159" s="34">
        <v>103.965958</v>
      </c>
      <c r="I2159" s="29">
        <v>3794000</v>
      </c>
      <c r="P2159" s="125"/>
      <c r="Q2159" s="34"/>
      <c r="R2159" s="115"/>
      <c r="S2159" s="34"/>
      <c r="T2159" s="34"/>
      <c r="U2159" s="34"/>
      <c r="V2159" s="29"/>
    </row>
    <row r="2160" spans="3:22">
      <c r="C2160" s="125">
        <v>43942</v>
      </c>
      <c r="D2160" s="34">
        <v>120.83</v>
      </c>
      <c r="E2160" s="115">
        <v>121.42</v>
      </c>
      <c r="F2160" s="34">
        <v>113.98</v>
      </c>
      <c r="G2160" s="34">
        <v>116.41</v>
      </c>
      <c r="H2160" s="34">
        <v>116.41</v>
      </c>
      <c r="I2160" s="29">
        <v>149534000</v>
      </c>
      <c r="P2160" s="125"/>
      <c r="Q2160" s="34"/>
      <c r="R2160" s="115"/>
      <c r="S2160" s="34"/>
      <c r="T2160" s="34"/>
      <c r="U2160" s="34"/>
      <c r="V2160" s="29"/>
    </row>
    <row r="2161" spans="3:22">
      <c r="C2161" s="125">
        <v>43942</v>
      </c>
      <c r="D2161" s="34">
        <v>111.040001</v>
      </c>
      <c r="E2161" s="115">
        <v>111.040001</v>
      </c>
      <c r="F2161" s="34">
        <v>108.599998</v>
      </c>
      <c r="G2161" s="34">
        <v>109.849998</v>
      </c>
      <c r="H2161" s="34">
        <v>103.223625</v>
      </c>
      <c r="I2161" s="29">
        <v>5743300</v>
      </c>
      <c r="P2161" s="125"/>
      <c r="Q2161" s="34"/>
      <c r="R2161" s="115"/>
      <c r="S2161" s="34"/>
      <c r="T2161" s="34"/>
      <c r="U2161" s="34"/>
      <c r="V2161" s="29"/>
    </row>
    <row r="2162" spans="3:22">
      <c r="C2162" s="125">
        <v>43941</v>
      </c>
      <c r="D2162" s="34">
        <v>119.5</v>
      </c>
      <c r="E2162" s="115">
        <v>122.25</v>
      </c>
      <c r="F2162" s="34">
        <v>119.3</v>
      </c>
      <c r="G2162" s="34">
        <v>119.68</v>
      </c>
      <c r="H2162" s="34">
        <v>119.68</v>
      </c>
      <c r="I2162" s="29">
        <v>115414000</v>
      </c>
      <c r="P2162" s="125"/>
      <c r="Q2162" s="34"/>
      <c r="R2162" s="115"/>
      <c r="S2162" s="34"/>
      <c r="T2162" s="34"/>
      <c r="U2162" s="34"/>
      <c r="V2162" s="29"/>
    </row>
    <row r="2163" spans="3:22">
      <c r="C2163" s="125">
        <v>43941</v>
      </c>
      <c r="D2163" s="34">
        <v>114.44000200000001</v>
      </c>
      <c r="E2163" s="115">
        <v>117.07</v>
      </c>
      <c r="F2163" s="34">
        <v>112.120003</v>
      </c>
      <c r="G2163" s="34">
        <v>114.599998</v>
      </c>
      <c r="H2163" s="34">
        <v>107.687073</v>
      </c>
      <c r="I2163" s="29">
        <v>4083800</v>
      </c>
      <c r="P2163" s="125"/>
      <c r="Q2163" s="34"/>
      <c r="R2163" s="115"/>
      <c r="S2163" s="34"/>
      <c r="T2163" s="34"/>
      <c r="U2163" s="34"/>
      <c r="V2163" s="29"/>
    </row>
    <row r="2164" spans="3:22">
      <c r="C2164" s="125">
        <v>43938</v>
      </c>
      <c r="D2164" s="34">
        <v>118.62</v>
      </c>
      <c r="E2164" s="115">
        <v>120</v>
      </c>
      <c r="F2164" s="34">
        <v>115.8</v>
      </c>
      <c r="G2164" s="34">
        <v>118.75</v>
      </c>
      <c r="H2164" s="34">
        <v>118.75</v>
      </c>
      <c r="I2164" s="29">
        <v>158600000</v>
      </c>
      <c r="P2164" s="125"/>
      <c r="Q2164" s="34"/>
      <c r="R2164" s="115"/>
      <c r="S2164" s="34"/>
      <c r="T2164" s="34"/>
      <c r="U2164" s="34"/>
      <c r="V2164" s="29"/>
    </row>
    <row r="2165" spans="3:22">
      <c r="C2165" s="125">
        <v>43938</v>
      </c>
      <c r="D2165" s="34">
        <v>114.449997</v>
      </c>
      <c r="E2165" s="115">
        <v>116.540001</v>
      </c>
      <c r="F2165" s="34">
        <v>113.849998</v>
      </c>
      <c r="G2165" s="34">
        <v>116.300003</v>
      </c>
      <c r="H2165" s="34">
        <v>109.284538</v>
      </c>
      <c r="I2165" s="29">
        <v>4132300</v>
      </c>
      <c r="P2165" s="125"/>
      <c r="Q2165" s="34"/>
      <c r="R2165" s="115"/>
      <c r="S2165" s="34"/>
      <c r="T2165" s="34"/>
      <c r="U2165" s="34"/>
      <c r="V2165" s="29"/>
    </row>
    <row r="2166" spans="3:22">
      <c r="C2166" s="125">
        <v>43937</v>
      </c>
      <c r="D2166" s="34">
        <v>117.3</v>
      </c>
      <c r="E2166" s="115">
        <v>123.05</v>
      </c>
      <c r="F2166" s="34">
        <v>116.75</v>
      </c>
      <c r="G2166" s="34">
        <v>120.41</v>
      </c>
      <c r="H2166" s="34">
        <v>120.41</v>
      </c>
      <c r="I2166" s="29">
        <v>240764000</v>
      </c>
      <c r="P2166" s="125"/>
      <c r="Q2166" s="34"/>
      <c r="R2166" s="115"/>
      <c r="S2166" s="34"/>
      <c r="T2166" s="34"/>
      <c r="U2166" s="34"/>
      <c r="V2166" s="29"/>
    </row>
    <row r="2167" spans="3:22">
      <c r="C2167" s="125">
        <v>43937</v>
      </c>
      <c r="D2167" s="34">
        <v>111.849998</v>
      </c>
      <c r="E2167" s="115">
        <v>113.470001</v>
      </c>
      <c r="F2167" s="34">
        <v>108.860001</v>
      </c>
      <c r="G2167" s="34">
        <v>113.220001</v>
      </c>
      <c r="H2167" s="34">
        <v>105.42247</v>
      </c>
      <c r="I2167" s="29">
        <v>5926400</v>
      </c>
      <c r="P2167" s="125"/>
      <c r="Q2167" s="34"/>
      <c r="R2167" s="115"/>
      <c r="S2167" s="34"/>
      <c r="T2167" s="34"/>
      <c r="U2167" s="34"/>
      <c r="V2167" s="29"/>
    </row>
    <row r="2168" spans="3:22">
      <c r="C2168" s="125">
        <v>43936</v>
      </c>
      <c r="D2168" s="34">
        <v>112.88</v>
      </c>
      <c r="E2168" s="115">
        <v>116.67</v>
      </c>
      <c r="F2168" s="34">
        <v>112.25</v>
      </c>
      <c r="G2168" s="34">
        <v>115.38</v>
      </c>
      <c r="H2168" s="34">
        <v>115.38</v>
      </c>
      <c r="I2168" s="29">
        <v>137332000</v>
      </c>
      <c r="P2168" s="125"/>
      <c r="Q2168" s="34"/>
      <c r="R2168" s="115"/>
      <c r="S2168" s="34"/>
      <c r="T2168" s="34"/>
      <c r="U2168" s="34"/>
      <c r="V2168" s="29"/>
    </row>
    <row r="2169" spans="3:22">
      <c r="C2169" s="125">
        <v>43936</v>
      </c>
      <c r="D2169" s="34">
        <v>112.959999</v>
      </c>
      <c r="E2169" s="115">
        <v>113.099998</v>
      </c>
      <c r="F2169" s="34">
        <v>109.800003</v>
      </c>
      <c r="G2169" s="34">
        <v>111.529999</v>
      </c>
      <c r="H2169" s="34">
        <v>103.848854</v>
      </c>
      <c r="I2169" s="29">
        <v>5652800</v>
      </c>
      <c r="P2169" s="125"/>
      <c r="Q2169" s="34"/>
      <c r="R2169" s="115"/>
      <c r="S2169" s="34"/>
      <c r="T2169" s="34"/>
      <c r="U2169" s="34"/>
      <c r="V2169" s="29"/>
    </row>
    <row r="2170" spans="3:22">
      <c r="C2170" s="125">
        <v>43935</v>
      </c>
      <c r="D2170" s="34">
        <v>110.02</v>
      </c>
      <c r="E2170" s="115">
        <v>114.6</v>
      </c>
      <c r="F2170" s="34">
        <v>109.31</v>
      </c>
      <c r="G2170" s="34">
        <v>114.17</v>
      </c>
      <c r="H2170" s="34">
        <v>114.17</v>
      </c>
      <c r="I2170" s="29">
        <v>161744000</v>
      </c>
      <c r="P2170" s="125"/>
      <c r="Q2170" s="34"/>
      <c r="R2170" s="115"/>
      <c r="S2170" s="34"/>
      <c r="T2170" s="34"/>
      <c r="U2170" s="34"/>
      <c r="V2170" s="29"/>
    </row>
    <row r="2171" spans="3:22">
      <c r="C2171" s="125">
        <v>43935</v>
      </c>
      <c r="D2171" s="34">
        <v>116.5</v>
      </c>
      <c r="E2171" s="115">
        <v>117.839996</v>
      </c>
      <c r="F2171" s="34">
        <v>114.510002</v>
      </c>
      <c r="G2171" s="34">
        <v>116.480003</v>
      </c>
      <c r="H2171" s="34">
        <v>108.457954</v>
      </c>
      <c r="I2171" s="29">
        <v>7166300</v>
      </c>
      <c r="P2171" s="125"/>
      <c r="Q2171" s="34"/>
      <c r="R2171" s="115"/>
      <c r="S2171" s="34"/>
      <c r="T2171" s="34"/>
      <c r="U2171" s="34"/>
      <c r="V2171" s="29"/>
    </row>
    <row r="2172" spans="3:22">
      <c r="C2172" s="125">
        <v>43934</v>
      </c>
      <c r="D2172" s="34">
        <v>102</v>
      </c>
      <c r="E2172" s="115">
        <v>109</v>
      </c>
      <c r="F2172" s="34">
        <v>101.9</v>
      </c>
      <c r="G2172" s="34">
        <v>108.44</v>
      </c>
      <c r="H2172" s="34">
        <v>108.44</v>
      </c>
      <c r="I2172" s="29">
        <v>134334000</v>
      </c>
      <c r="P2172" s="125"/>
      <c r="Q2172" s="34"/>
      <c r="R2172" s="115"/>
      <c r="S2172" s="34"/>
      <c r="T2172" s="34"/>
      <c r="U2172" s="34"/>
      <c r="V2172" s="29"/>
    </row>
    <row r="2173" spans="3:22">
      <c r="C2173" s="125">
        <v>43934</v>
      </c>
      <c r="D2173" s="34">
        <v>119.949997</v>
      </c>
      <c r="E2173" s="115">
        <v>120.050003</v>
      </c>
      <c r="F2173" s="34">
        <v>113.58000199999999</v>
      </c>
      <c r="G2173" s="34">
        <v>114.139999</v>
      </c>
      <c r="H2173" s="34">
        <v>106.279099</v>
      </c>
      <c r="I2173" s="29">
        <v>10519600</v>
      </c>
      <c r="P2173" s="125"/>
      <c r="Q2173" s="34"/>
      <c r="R2173" s="115"/>
      <c r="S2173" s="34"/>
      <c r="T2173" s="34"/>
      <c r="U2173" s="34"/>
      <c r="V2173" s="29"/>
    </row>
    <row r="2174" spans="3:22">
      <c r="C2174" s="125">
        <v>43930</v>
      </c>
      <c r="D2174" s="34">
        <v>102.21</v>
      </c>
      <c r="E2174" s="115">
        <v>102.65</v>
      </c>
      <c r="F2174" s="34">
        <v>100.88</v>
      </c>
      <c r="G2174" s="34">
        <v>102.14</v>
      </c>
      <c r="H2174" s="34">
        <v>102.14</v>
      </c>
      <c r="I2174" s="29">
        <v>92930000</v>
      </c>
      <c r="P2174" s="125"/>
      <c r="Q2174" s="34"/>
      <c r="R2174" s="115"/>
      <c r="S2174" s="34"/>
      <c r="T2174" s="34"/>
      <c r="U2174" s="34"/>
      <c r="V2174" s="29"/>
    </row>
    <row r="2175" spans="3:22">
      <c r="C2175" s="125">
        <v>43930</v>
      </c>
      <c r="D2175" s="34">
        <v>128.64999399999999</v>
      </c>
      <c r="E2175" s="115">
        <v>129.60000600000001</v>
      </c>
      <c r="F2175" s="34">
        <v>123.150002</v>
      </c>
      <c r="G2175" s="34">
        <v>125.029999</v>
      </c>
      <c r="H2175" s="34">
        <v>116.41909800000001</v>
      </c>
      <c r="I2175" s="29">
        <v>4752100</v>
      </c>
      <c r="P2175" s="125"/>
      <c r="Q2175" s="34"/>
      <c r="R2175" s="115"/>
      <c r="S2175" s="34"/>
      <c r="T2175" s="34"/>
      <c r="U2175" s="34"/>
      <c r="V2175" s="29"/>
    </row>
    <row r="2176" spans="3:22">
      <c r="C2176" s="125">
        <v>43929</v>
      </c>
      <c r="D2176" s="34">
        <v>101.05</v>
      </c>
      <c r="E2176" s="115">
        <v>102.2</v>
      </c>
      <c r="F2176" s="34">
        <v>100.56</v>
      </c>
      <c r="G2176" s="34">
        <v>102.15</v>
      </c>
      <c r="H2176" s="34">
        <v>102.15</v>
      </c>
      <c r="I2176" s="29">
        <v>79546000</v>
      </c>
      <c r="P2176" s="125"/>
      <c r="Q2176" s="34"/>
      <c r="R2176" s="115"/>
      <c r="S2176" s="34"/>
      <c r="T2176" s="34"/>
      <c r="U2176" s="34"/>
      <c r="V2176" s="29"/>
    </row>
    <row r="2177" spans="3:22">
      <c r="C2177" s="125">
        <v>43929</v>
      </c>
      <c r="D2177" s="34">
        <v>122.989998</v>
      </c>
      <c r="E2177" s="115">
        <v>128.179993</v>
      </c>
      <c r="F2177" s="34">
        <v>121.040001</v>
      </c>
      <c r="G2177" s="34">
        <v>127.400002</v>
      </c>
      <c r="H2177" s="34">
        <v>118.62587000000001</v>
      </c>
      <c r="I2177" s="29">
        <v>4686100</v>
      </c>
      <c r="P2177" s="125"/>
      <c r="Q2177" s="34"/>
      <c r="R2177" s="115"/>
      <c r="S2177" s="34"/>
      <c r="T2177" s="34"/>
      <c r="U2177" s="34"/>
      <c r="V2177" s="29"/>
    </row>
    <row r="2178" spans="3:22">
      <c r="C2178" s="125">
        <v>43928</v>
      </c>
      <c r="D2178" s="34">
        <v>100.86</v>
      </c>
      <c r="E2178" s="115">
        <v>101.79</v>
      </c>
      <c r="F2178" s="34">
        <v>99.88</v>
      </c>
      <c r="G2178" s="34">
        <v>100.58</v>
      </c>
      <c r="H2178" s="34">
        <v>100.58</v>
      </c>
      <c r="I2178" s="29">
        <v>102280000</v>
      </c>
      <c r="P2178" s="125"/>
      <c r="Q2178" s="34"/>
      <c r="R2178" s="115"/>
      <c r="S2178" s="34"/>
      <c r="T2178" s="34"/>
      <c r="U2178" s="34"/>
      <c r="V2178" s="29"/>
    </row>
    <row r="2179" spans="3:22">
      <c r="C2179" s="125">
        <v>43928</v>
      </c>
      <c r="D2179" s="34">
        <v>122.889999</v>
      </c>
      <c r="E2179" s="115">
        <v>128.800003</v>
      </c>
      <c r="F2179" s="34">
        <v>120.510002</v>
      </c>
      <c r="G2179" s="34">
        <v>121.91999800000001</v>
      </c>
      <c r="H2179" s="34">
        <v>113.52327</v>
      </c>
      <c r="I2179" s="29">
        <v>8489900</v>
      </c>
      <c r="P2179" s="125"/>
      <c r="Q2179" s="34"/>
      <c r="R2179" s="115"/>
      <c r="S2179" s="34"/>
      <c r="T2179" s="34"/>
      <c r="U2179" s="34"/>
      <c r="V2179" s="29"/>
    </row>
    <row r="2180" spans="3:22">
      <c r="C2180" s="125">
        <v>43927</v>
      </c>
      <c r="D2180" s="34">
        <v>96.8</v>
      </c>
      <c r="E2180" s="115">
        <v>99.93</v>
      </c>
      <c r="F2180" s="34">
        <v>96.5</v>
      </c>
      <c r="G2180" s="34">
        <v>99.88</v>
      </c>
      <c r="H2180" s="34">
        <v>99.88</v>
      </c>
      <c r="I2180" s="29">
        <v>115464000</v>
      </c>
      <c r="P2180" s="125"/>
      <c r="Q2180" s="34"/>
      <c r="R2180" s="115"/>
      <c r="S2180" s="34"/>
      <c r="T2180" s="34"/>
      <c r="U2180" s="34"/>
      <c r="V2180" s="29"/>
    </row>
    <row r="2181" spans="3:22">
      <c r="C2181" s="125">
        <v>43927</v>
      </c>
      <c r="D2181" s="34">
        <v>120.040001</v>
      </c>
      <c r="E2181" s="115">
        <v>121.730003</v>
      </c>
      <c r="F2181" s="34">
        <v>118.129997</v>
      </c>
      <c r="G2181" s="34">
        <v>120.43</v>
      </c>
      <c r="H2181" s="34">
        <v>112.135887</v>
      </c>
      <c r="I2181" s="29">
        <v>5785600</v>
      </c>
      <c r="P2181" s="125"/>
      <c r="Q2181" s="34"/>
      <c r="R2181" s="115"/>
      <c r="S2181" s="34"/>
      <c r="T2181" s="34"/>
      <c r="U2181" s="34"/>
      <c r="V2181" s="29"/>
    </row>
    <row r="2182" spans="3:22">
      <c r="C2182" s="125">
        <v>43924</v>
      </c>
      <c r="D2182" s="34">
        <v>95.56</v>
      </c>
      <c r="E2182" s="115">
        <v>96.32</v>
      </c>
      <c r="F2182" s="34">
        <v>94.46</v>
      </c>
      <c r="G2182" s="34">
        <v>95.33</v>
      </c>
      <c r="H2182" s="34">
        <v>95.33</v>
      </c>
      <c r="I2182" s="29">
        <v>72198000</v>
      </c>
      <c r="P2182" s="125"/>
      <c r="Q2182" s="34"/>
      <c r="R2182" s="115"/>
      <c r="S2182" s="34"/>
      <c r="T2182" s="34"/>
      <c r="U2182" s="34"/>
      <c r="V2182" s="29"/>
    </row>
    <row r="2183" spans="3:22">
      <c r="C2183" s="125">
        <v>43924</v>
      </c>
      <c r="D2183" s="34">
        <v>115.5</v>
      </c>
      <c r="E2183" s="115">
        <v>116.839996</v>
      </c>
      <c r="F2183" s="34">
        <v>112.120003</v>
      </c>
      <c r="G2183" s="34">
        <v>114.66999800000001</v>
      </c>
      <c r="H2183" s="34">
        <v>106.772598</v>
      </c>
      <c r="I2183" s="29">
        <v>5036400</v>
      </c>
      <c r="P2183" s="125"/>
      <c r="Q2183" s="34"/>
      <c r="R2183" s="115"/>
      <c r="S2183" s="34"/>
      <c r="T2183" s="34"/>
      <c r="U2183" s="34"/>
      <c r="V2183" s="29"/>
    </row>
    <row r="2184" spans="3:22">
      <c r="C2184" s="125">
        <v>43923</v>
      </c>
      <c r="D2184" s="34">
        <v>95.08</v>
      </c>
      <c r="E2184" s="115">
        <v>96.38</v>
      </c>
      <c r="F2184" s="34">
        <v>94.5</v>
      </c>
      <c r="G2184" s="34">
        <v>95.94</v>
      </c>
      <c r="H2184" s="34">
        <v>95.94</v>
      </c>
      <c r="I2184" s="29">
        <v>86720000</v>
      </c>
      <c r="P2184" s="125"/>
      <c r="Q2184" s="34"/>
      <c r="R2184" s="115"/>
      <c r="S2184" s="34"/>
      <c r="T2184" s="34"/>
      <c r="U2184" s="34"/>
      <c r="V2184" s="29"/>
    </row>
    <row r="2185" spans="3:22">
      <c r="C2185" s="125">
        <v>43923</v>
      </c>
      <c r="D2185" s="34">
        <v>111.230003</v>
      </c>
      <c r="E2185" s="115">
        <v>118.519997</v>
      </c>
      <c r="F2185" s="34">
        <v>111.129997</v>
      </c>
      <c r="G2185" s="34">
        <v>116.739998</v>
      </c>
      <c r="H2185" s="34">
        <v>108.700035</v>
      </c>
      <c r="I2185" s="29">
        <v>8106500</v>
      </c>
      <c r="P2185" s="125"/>
      <c r="Q2185" s="34"/>
      <c r="R2185" s="115"/>
      <c r="S2185" s="34"/>
      <c r="T2185" s="34"/>
      <c r="U2185" s="34"/>
      <c r="V2185" s="29"/>
    </row>
    <row r="2186" spans="3:22">
      <c r="C2186" s="125">
        <v>43922</v>
      </c>
      <c r="D2186" s="34">
        <v>96.65</v>
      </c>
      <c r="E2186" s="115">
        <v>97.25</v>
      </c>
      <c r="F2186" s="34">
        <v>94.65</v>
      </c>
      <c r="G2186" s="34">
        <v>95.39</v>
      </c>
      <c r="H2186" s="34">
        <v>95.39</v>
      </c>
      <c r="I2186" s="29">
        <v>82438000</v>
      </c>
      <c r="P2186" s="125"/>
      <c r="Q2186" s="34"/>
      <c r="R2186" s="115"/>
      <c r="S2186" s="34"/>
      <c r="T2186" s="34"/>
      <c r="U2186" s="34"/>
      <c r="V2186" s="29"/>
    </row>
    <row r="2187" spans="3:22">
      <c r="C2187" s="125">
        <v>43922</v>
      </c>
      <c r="D2187" s="34">
        <v>112.089996</v>
      </c>
      <c r="E2187" s="115">
        <v>116.75</v>
      </c>
      <c r="F2187" s="34">
        <v>109.5</v>
      </c>
      <c r="G2187" s="34">
        <v>111.349998</v>
      </c>
      <c r="H2187" s="34">
        <v>103.681259</v>
      </c>
      <c r="I2187" s="29">
        <v>6847000</v>
      </c>
      <c r="P2187" s="125"/>
      <c r="Q2187" s="34"/>
      <c r="R2187" s="115"/>
      <c r="S2187" s="34"/>
      <c r="T2187" s="34"/>
      <c r="U2187" s="34"/>
      <c r="V2187" s="29"/>
    </row>
    <row r="2188" spans="3:22">
      <c r="C2188" s="125">
        <v>43921</v>
      </c>
      <c r="D2188" s="34">
        <v>98.22</v>
      </c>
      <c r="E2188" s="115">
        <v>99.65</v>
      </c>
      <c r="F2188" s="34">
        <v>97.2</v>
      </c>
      <c r="G2188" s="34">
        <v>97.49</v>
      </c>
      <c r="H2188" s="34">
        <v>97.49</v>
      </c>
      <c r="I2188" s="29">
        <v>102472000</v>
      </c>
      <c r="P2188" s="125"/>
      <c r="Q2188" s="34"/>
      <c r="R2188" s="115"/>
      <c r="S2188" s="34"/>
      <c r="T2188" s="34"/>
      <c r="U2188" s="34"/>
      <c r="V2188" s="29"/>
    </row>
    <row r="2189" spans="3:22">
      <c r="C2189" s="125">
        <v>43921</v>
      </c>
      <c r="D2189" s="34">
        <v>110.730003</v>
      </c>
      <c r="E2189" s="115">
        <v>116.910004</v>
      </c>
      <c r="F2189" s="34">
        <v>110.260002</v>
      </c>
      <c r="G2189" s="34">
        <v>116.040001</v>
      </c>
      <c r="H2189" s="34">
        <v>108.048241</v>
      </c>
      <c r="I2189" s="29">
        <v>8970800</v>
      </c>
      <c r="P2189" s="125"/>
      <c r="Q2189" s="34"/>
      <c r="R2189" s="115"/>
      <c r="S2189" s="34"/>
      <c r="T2189" s="34"/>
      <c r="U2189" s="34"/>
      <c r="V2189" s="29"/>
    </row>
    <row r="2190" spans="3:22">
      <c r="C2190" s="125">
        <v>43920</v>
      </c>
      <c r="D2190" s="34">
        <v>96.14</v>
      </c>
      <c r="E2190" s="115">
        <v>98.68</v>
      </c>
      <c r="F2190" s="34">
        <v>95.62</v>
      </c>
      <c r="G2190" s="34">
        <v>98.2</v>
      </c>
      <c r="H2190" s="34">
        <v>98.2</v>
      </c>
      <c r="I2190" s="29">
        <v>122522000</v>
      </c>
      <c r="P2190" s="125"/>
      <c r="Q2190" s="34"/>
      <c r="R2190" s="115"/>
      <c r="S2190" s="34"/>
      <c r="T2190" s="34"/>
      <c r="U2190" s="34"/>
      <c r="V2190" s="29"/>
    </row>
    <row r="2191" spans="3:22">
      <c r="C2191" s="125">
        <v>43920</v>
      </c>
      <c r="D2191" s="34">
        <v>106.33000199999999</v>
      </c>
      <c r="E2191" s="115">
        <v>112.839996</v>
      </c>
      <c r="F2191" s="34">
        <v>104.93</v>
      </c>
      <c r="G2191" s="34">
        <v>111.709999</v>
      </c>
      <c r="H2191" s="34">
        <v>104.01644899999999</v>
      </c>
      <c r="I2191" s="29">
        <v>5725600</v>
      </c>
      <c r="P2191" s="125"/>
      <c r="Q2191" s="34"/>
      <c r="R2191" s="115"/>
      <c r="S2191" s="34"/>
      <c r="T2191" s="34"/>
      <c r="U2191" s="34"/>
      <c r="V2191" s="29"/>
    </row>
    <row r="2192" spans="3:22">
      <c r="C2192" s="125">
        <v>43917</v>
      </c>
      <c r="D2192" s="34">
        <v>96.54</v>
      </c>
      <c r="E2192" s="115">
        <v>96.99</v>
      </c>
      <c r="F2192" s="34">
        <v>95</v>
      </c>
      <c r="G2192" s="34">
        <v>95</v>
      </c>
      <c r="H2192" s="34">
        <v>95</v>
      </c>
      <c r="I2192" s="29">
        <v>107758000</v>
      </c>
      <c r="P2192" s="125"/>
      <c r="Q2192" s="34"/>
      <c r="R2192" s="115"/>
      <c r="S2192" s="34"/>
      <c r="T2192" s="34"/>
      <c r="U2192" s="34"/>
      <c r="V2192" s="29"/>
    </row>
    <row r="2193" spans="3:22">
      <c r="C2193" s="125">
        <v>43917</v>
      </c>
      <c r="D2193" s="34">
        <v>104.43</v>
      </c>
      <c r="E2193" s="115">
        <v>109.639999</v>
      </c>
      <c r="F2193" s="34">
        <v>103.400002</v>
      </c>
      <c r="G2193" s="34">
        <v>105.44000200000001</v>
      </c>
      <c r="H2193" s="34">
        <v>98.178275999999997</v>
      </c>
      <c r="I2193" s="29">
        <v>5746500</v>
      </c>
      <c r="P2193" s="125"/>
      <c r="Q2193" s="34"/>
      <c r="R2193" s="115"/>
      <c r="S2193" s="34"/>
      <c r="T2193" s="34"/>
      <c r="U2193" s="34"/>
      <c r="V2193" s="29"/>
    </row>
    <row r="2194" spans="3:22">
      <c r="C2194" s="125">
        <v>43916</v>
      </c>
      <c r="D2194" s="34">
        <v>95.1</v>
      </c>
      <c r="E2194" s="115">
        <v>97.82</v>
      </c>
      <c r="F2194" s="34">
        <v>94.46</v>
      </c>
      <c r="G2194" s="34">
        <v>97.77</v>
      </c>
      <c r="H2194" s="34">
        <v>97.77</v>
      </c>
      <c r="I2194" s="29">
        <v>124426000</v>
      </c>
      <c r="P2194" s="125"/>
      <c r="Q2194" s="34"/>
      <c r="R2194" s="115"/>
      <c r="S2194" s="34"/>
      <c r="T2194" s="34"/>
      <c r="U2194" s="34"/>
      <c r="V2194" s="29"/>
    </row>
    <row r="2195" spans="3:22">
      <c r="C2195" s="125">
        <v>43916</v>
      </c>
      <c r="D2195" s="34">
        <v>104.849998</v>
      </c>
      <c r="E2195" s="115">
        <v>110.970001</v>
      </c>
      <c r="F2195" s="34">
        <v>102.889999</v>
      </c>
      <c r="G2195" s="34">
        <v>110.5</v>
      </c>
      <c r="H2195" s="34">
        <v>102.889793</v>
      </c>
      <c r="I2195" s="29">
        <v>6059600</v>
      </c>
      <c r="P2195" s="125"/>
      <c r="Q2195" s="34"/>
      <c r="R2195" s="115"/>
      <c r="S2195" s="34"/>
      <c r="T2195" s="34"/>
      <c r="U2195" s="34"/>
      <c r="V2195" s="29"/>
    </row>
    <row r="2196" spans="3:22">
      <c r="C2196" s="125">
        <v>43915</v>
      </c>
      <c r="D2196" s="34">
        <v>96.03</v>
      </c>
      <c r="E2196" s="115">
        <v>97.51</v>
      </c>
      <c r="F2196" s="34">
        <v>94.29</v>
      </c>
      <c r="G2196" s="34">
        <v>94.29</v>
      </c>
      <c r="H2196" s="34">
        <v>94.29</v>
      </c>
      <c r="I2196" s="29">
        <v>129582000</v>
      </c>
      <c r="P2196" s="125"/>
      <c r="Q2196" s="34"/>
      <c r="R2196" s="115"/>
      <c r="S2196" s="34"/>
      <c r="T2196" s="34"/>
      <c r="U2196" s="34"/>
      <c r="V2196" s="29"/>
    </row>
    <row r="2197" spans="3:22">
      <c r="C2197" s="125">
        <v>43915</v>
      </c>
      <c r="D2197" s="34">
        <v>101.16999800000001</v>
      </c>
      <c r="E2197" s="115">
        <v>108.5</v>
      </c>
      <c r="F2197" s="34">
        <v>98.5</v>
      </c>
      <c r="G2197" s="34">
        <v>104.66999800000001</v>
      </c>
      <c r="H2197" s="34">
        <v>97.461296000000004</v>
      </c>
      <c r="I2197" s="29">
        <v>6578100</v>
      </c>
      <c r="P2197" s="125"/>
      <c r="Q2197" s="34"/>
      <c r="R2197" s="115"/>
      <c r="S2197" s="34"/>
      <c r="T2197" s="34"/>
      <c r="U2197" s="34"/>
      <c r="V2197" s="29"/>
    </row>
    <row r="2198" spans="3:22">
      <c r="C2198" s="125">
        <v>43914</v>
      </c>
      <c r="D2198" s="34">
        <v>97.57</v>
      </c>
      <c r="E2198" s="115">
        <v>97.75</v>
      </c>
      <c r="F2198" s="34">
        <v>95.02</v>
      </c>
      <c r="G2198" s="34">
        <v>97</v>
      </c>
      <c r="H2198" s="34">
        <v>97</v>
      </c>
      <c r="I2198" s="29">
        <v>142942000</v>
      </c>
      <c r="P2198" s="125"/>
      <c r="Q2198" s="34"/>
      <c r="R2198" s="115"/>
      <c r="S2198" s="34"/>
      <c r="T2198" s="34"/>
      <c r="U2198" s="34"/>
      <c r="V2198" s="29"/>
    </row>
    <row r="2199" spans="3:22">
      <c r="C2199" s="125">
        <v>43914</v>
      </c>
      <c r="D2199" s="34">
        <v>96.059997999999993</v>
      </c>
      <c r="E2199" s="115">
        <v>102.029999</v>
      </c>
      <c r="F2199" s="34">
        <v>95.169998000000007</v>
      </c>
      <c r="G2199" s="34">
        <v>101.339996</v>
      </c>
      <c r="H2199" s="34">
        <v>94.360634000000005</v>
      </c>
      <c r="I2199" s="29">
        <v>7417100</v>
      </c>
      <c r="P2199" s="125"/>
      <c r="Q2199" s="34"/>
      <c r="R2199" s="115"/>
      <c r="S2199" s="34"/>
      <c r="T2199" s="34"/>
      <c r="U2199" s="34"/>
      <c r="V2199" s="29"/>
    </row>
    <row r="2200" spans="3:22">
      <c r="C2200" s="125">
        <v>43913</v>
      </c>
      <c r="D2200" s="34">
        <v>91.39</v>
      </c>
      <c r="E2200" s="115">
        <v>95.97</v>
      </c>
      <c r="F2200" s="34">
        <v>90.6</v>
      </c>
      <c r="G2200" s="34">
        <v>95.14</v>
      </c>
      <c r="H2200" s="34">
        <v>95.14</v>
      </c>
      <c r="I2200" s="29">
        <v>156170000</v>
      </c>
      <c r="P2200" s="125"/>
      <c r="Q2200" s="34"/>
      <c r="R2200" s="115"/>
      <c r="S2200" s="34"/>
      <c r="T2200" s="34"/>
      <c r="U2200" s="34"/>
      <c r="V2200" s="29"/>
    </row>
    <row r="2201" spans="3:22">
      <c r="C2201" s="125">
        <v>43913</v>
      </c>
      <c r="D2201" s="34">
        <v>93.900002000000001</v>
      </c>
      <c r="E2201" s="115">
        <v>96.239998</v>
      </c>
      <c r="F2201" s="34">
        <v>90.639999000000003</v>
      </c>
      <c r="G2201" s="34">
        <v>91.849997999999999</v>
      </c>
      <c r="H2201" s="34">
        <v>85.524215999999996</v>
      </c>
      <c r="I2201" s="29">
        <v>6737500</v>
      </c>
      <c r="P2201" s="125"/>
      <c r="Q2201" s="34"/>
      <c r="R2201" s="115"/>
      <c r="S2201" s="34"/>
      <c r="T2201" s="34"/>
      <c r="U2201" s="34"/>
      <c r="V2201" s="29"/>
    </row>
    <row r="2202" spans="3:22">
      <c r="C2202" s="125">
        <v>43910</v>
      </c>
      <c r="D2202" s="34">
        <v>96.32</v>
      </c>
      <c r="E2202" s="115">
        <v>97.85</v>
      </c>
      <c r="F2202" s="34">
        <v>91.04</v>
      </c>
      <c r="G2202" s="34">
        <v>92.3</v>
      </c>
      <c r="H2202" s="34">
        <v>92.3</v>
      </c>
      <c r="I2202" s="29">
        <v>196358000</v>
      </c>
      <c r="P2202" s="125"/>
      <c r="Q2202" s="34"/>
      <c r="R2202" s="115"/>
      <c r="S2202" s="34"/>
      <c r="T2202" s="34"/>
      <c r="U2202" s="34"/>
      <c r="V2202" s="29"/>
    </row>
    <row r="2203" spans="3:22">
      <c r="C2203" s="125">
        <v>43910</v>
      </c>
      <c r="D2203" s="34">
        <v>103.120003</v>
      </c>
      <c r="E2203" s="115">
        <v>103.989998</v>
      </c>
      <c r="F2203" s="34">
        <v>94.160004000000001</v>
      </c>
      <c r="G2203" s="34">
        <v>95.5</v>
      </c>
      <c r="H2203" s="34">
        <v>88.922852000000006</v>
      </c>
      <c r="I2203" s="29">
        <v>7650300</v>
      </c>
      <c r="P2203" s="125"/>
      <c r="Q2203" s="34"/>
      <c r="R2203" s="115"/>
      <c r="S2203" s="34"/>
      <c r="T2203" s="34"/>
      <c r="U2203" s="34"/>
      <c r="V2203" s="29"/>
    </row>
    <row r="2204" spans="3:22">
      <c r="C2204" s="125">
        <v>43909</v>
      </c>
      <c r="D2204" s="34">
        <v>93</v>
      </c>
      <c r="E2204" s="115">
        <v>97.25</v>
      </c>
      <c r="F2204" s="34">
        <v>91.63</v>
      </c>
      <c r="G2204" s="34">
        <v>94.05</v>
      </c>
      <c r="H2204" s="34">
        <v>94.05</v>
      </c>
      <c r="I2204" s="29">
        <v>207998000</v>
      </c>
      <c r="P2204" s="125"/>
      <c r="Q2204" s="34"/>
      <c r="R2204" s="115"/>
      <c r="S2204" s="34"/>
      <c r="T2204" s="34"/>
      <c r="U2204" s="34"/>
      <c r="V2204" s="29"/>
    </row>
    <row r="2205" spans="3:22">
      <c r="C2205" s="125">
        <v>43909</v>
      </c>
      <c r="D2205" s="34">
        <v>99.230002999999996</v>
      </c>
      <c r="E2205" s="115">
        <v>104.400002</v>
      </c>
      <c r="F2205" s="34">
        <v>97.25</v>
      </c>
      <c r="G2205" s="34">
        <v>103.010002</v>
      </c>
      <c r="H2205" s="34">
        <v>95.915633999999997</v>
      </c>
      <c r="I2205" s="29">
        <v>6870800</v>
      </c>
      <c r="P2205" s="125"/>
      <c r="Q2205" s="34"/>
      <c r="R2205" s="115"/>
      <c r="S2205" s="34"/>
      <c r="T2205" s="34"/>
      <c r="U2205" s="34"/>
      <c r="V2205" s="29"/>
    </row>
    <row r="2206" spans="3:22">
      <c r="C2206" s="125">
        <v>43908</v>
      </c>
      <c r="D2206" s="34">
        <v>87.5</v>
      </c>
      <c r="E2206" s="115">
        <v>92.08</v>
      </c>
      <c r="F2206" s="34">
        <v>87.25</v>
      </c>
      <c r="G2206" s="34">
        <v>91.5</v>
      </c>
      <c r="H2206" s="34">
        <v>91.5</v>
      </c>
      <c r="I2206" s="29">
        <v>192904000</v>
      </c>
      <c r="P2206" s="125"/>
      <c r="Q2206" s="34"/>
      <c r="R2206" s="115"/>
      <c r="S2206" s="34"/>
      <c r="T2206" s="34"/>
      <c r="U2206" s="34"/>
      <c r="V2206" s="29"/>
    </row>
    <row r="2207" spans="3:22">
      <c r="C2207" s="125">
        <v>43908</v>
      </c>
      <c r="D2207" s="34">
        <v>93.989998</v>
      </c>
      <c r="E2207" s="115">
        <v>102.949997</v>
      </c>
      <c r="F2207" s="34">
        <v>93.110000999999997</v>
      </c>
      <c r="G2207" s="34">
        <v>100.120003</v>
      </c>
      <c r="H2207" s="34">
        <v>93.224663000000007</v>
      </c>
      <c r="I2207" s="29">
        <v>6995100</v>
      </c>
      <c r="P2207" s="125"/>
      <c r="Q2207" s="34"/>
      <c r="R2207" s="115"/>
      <c r="S2207" s="34"/>
      <c r="T2207" s="34"/>
      <c r="U2207" s="34"/>
      <c r="V2207" s="29"/>
    </row>
    <row r="2208" spans="3:22">
      <c r="C2208" s="125">
        <v>43907</v>
      </c>
      <c r="D2208" s="34">
        <v>88.77</v>
      </c>
      <c r="E2208" s="115">
        <v>92.89</v>
      </c>
      <c r="F2208" s="34">
        <v>84.46</v>
      </c>
      <c r="G2208" s="34">
        <v>90.39</v>
      </c>
      <c r="H2208" s="34">
        <v>90.39</v>
      </c>
      <c r="I2208" s="29">
        <v>218342000</v>
      </c>
      <c r="P2208" s="125"/>
      <c r="Q2208" s="34"/>
      <c r="R2208" s="115"/>
      <c r="S2208" s="34"/>
      <c r="T2208" s="34"/>
      <c r="U2208" s="34"/>
      <c r="V2208" s="29"/>
    </row>
    <row r="2209" spans="3:22">
      <c r="C2209" s="125">
        <v>43907</v>
      </c>
      <c r="D2209" s="34">
        <v>96.010002</v>
      </c>
      <c r="E2209" s="115">
        <v>100.44000200000001</v>
      </c>
      <c r="F2209" s="34">
        <v>92.970000999999996</v>
      </c>
      <c r="G2209" s="34">
        <v>100.199997</v>
      </c>
      <c r="H2209" s="34">
        <v>93.299149</v>
      </c>
      <c r="I2209" s="29">
        <v>7206100</v>
      </c>
      <c r="P2209" s="125"/>
      <c r="Q2209" s="34"/>
      <c r="R2209" s="115"/>
      <c r="S2209" s="34"/>
      <c r="T2209" s="34"/>
      <c r="U2209" s="34"/>
      <c r="V2209" s="29"/>
    </row>
    <row r="2210" spans="3:22">
      <c r="C2210" s="125">
        <v>43906</v>
      </c>
      <c r="D2210" s="34">
        <v>82.08</v>
      </c>
      <c r="E2210" s="115">
        <v>87.97</v>
      </c>
      <c r="F2210" s="34">
        <v>81.3</v>
      </c>
      <c r="G2210" s="34">
        <v>84.46</v>
      </c>
      <c r="H2210" s="34">
        <v>84.46</v>
      </c>
      <c r="I2210" s="29">
        <v>178346000</v>
      </c>
      <c r="P2210" s="125"/>
      <c r="Q2210" s="34"/>
      <c r="R2210" s="115"/>
      <c r="S2210" s="34"/>
      <c r="T2210" s="34"/>
      <c r="U2210" s="34"/>
      <c r="V2210" s="29"/>
    </row>
    <row r="2211" spans="3:22">
      <c r="C2211" s="125">
        <v>43906</v>
      </c>
      <c r="D2211" s="34">
        <v>89</v>
      </c>
      <c r="E2211" s="115">
        <v>105.849998</v>
      </c>
      <c r="F2211" s="34">
        <v>88.5</v>
      </c>
      <c r="G2211" s="34">
        <v>93.410004000000001</v>
      </c>
      <c r="H2211" s="34">
        <v>86.976799</v>
      </c>
      <c r="I2211" s="29">
        <v>9899000</v>
      </c>
      <c r="P2211" s="125"/>
      <c r="Q2211" s="34"/>
      <c r="R2211" s="115"/>
      <c r="S2211" s="34"/>
      <c r="T2211" s="34"/>
      <c r="U2211" s="34"/>
      <c r="V2211" s="29"/>
    </row>
    <row r="2212" spans="3:22">
      <c r="C2212" s="125">
        <v>43903</v>
      </c>
      <c r="D2212" s="34">
        <v>87.75</v>
      </c>
      <c r="E2212" s="115">
        <v>89.32</v>
      </c>
      <c r="F2212" s="34">
        <v>84.03</v>
      </c>
      <c r="G2212" s="34">
        <v>89.25</v>
      </c>
      <c r="H2212" s="34">
        <v>89.25</v>
      </c>
      <c r="I2212" s="29">
        <v>176194000</v>
      </c>
      <c r="P2212" s="125"/>
      <c r="Q2212" s="34"/>
      <c r="R2212" s="115"/>
      <c r="S2212" s="34"/>
      <c r="T2212" s="34"/>
      <c r="U2212" s="34"/>
      <c r="V2212" s="29"/>
    </row>
    <row r="2213" spans="3:22">
      <c r="C2213" s="125">
        <v>43903</v>
      </c>
      <c r="D2213" s="34">
        <v>98.389999000000003</v>
      </c>
      <c r="E2213" s="115">
        <v>99.910004000000001</v>
      </c>
      <c r="F2213" s="34">
        <v>90.139999000000003</v>
      </c>
      <c r="G2213" s="34">
        <v>99.639999000000003</v>
      </c>
      <c r="H2213" s="34">
        <v>92.777725000000004</v>
      </c>
      <c r="I2213" s="29">
        <v>8718600</v>
      </c>
      <c r="P2213" s="125"/>
      <c r="Q2213" s="34"/>
      <c r="R2213" s="115"/>
      <c r="S2213" s="34"/>
      <c r="T2213" s="34"/>
      <c r="U2213" s="34"/>
      <c r="V2213" s="29"/>
    </row>
    <row r="2214" spans="3:22">
      <c r="C2214" s="125">
        <v>43902</v>
      </c>
      <c r="D2214" s="34">
        <v>86.1</v>
      </c>
      <c r="E2214" s="115">
        <v>88.25</v>
      </c>
      <c r="F2214" s="34">
        <v>83.75</v>
      </c>
      <c r="G2214" s="34">
        <v>83.83</v>
      </c>
      <c r="H2214" s="34">
        <v>83.83</v>
      </c>
      <c r="I2214" s="29">
        <v>226924000</v>
      </c>
      <c r="P2214" s="125"/>
      <c r="Q2214" s="34"/>
      <c r="R2214" s="115"/>
      <c r="S2214" s="34"/>
      <c r="T2214" s="34"/>
      <c r="U2214" s="34"/>
      <c r="V2214" s="29"/>
    </row>
    <row r="2215" spans="3:22">
      <c r="C2215" s="125">
        <v>43902</v>
      </c>
      <c r="D2215" s="34">
        <v>93.5</v>
      </c>
      <c r="E2215" s="115">
        <v>94.279999000000004</v>
      </c>
      <c r="F2215" s="34">
        <v>87.5</v>
      </c>
      <c r="G2215" s="34">
        <v>92.260002</v>
      </c>
      <c r="H2215" s="34">
        <v>85.905983000000006</v>
      </c>
      <c r="I2215" s="29">
        <v>10285900</v>
      </c>
      <c r="P2215" s="125"/>
      <c r="Q2215" s="34"/>
      <c r="R2215" s="115"/>
      <c r="S2215" s="34"/>
      <c r="T2215" s="34"/>
      <c r="U2215" s="34"/>
      <c r="V2215" s="29"/>
    </row>
    <row r="2216" spans="3:22">
      <c r="C2216" s="125">
        <v>43901</v>
      </c>
      <c r="D2216" s="34">
        <v>92.89</v>
      </c>
      <c r="E2216" s="115">
        <v>93.57</v>
      </c>
      <c r="F2216" s="34">
        <v>90.07</v>
      </c>
      <c r="G2216" s="34">
        <v>91.04</v>
      </c>
      <c r="H2216" s="34">
        <v>91.04</v>
      </c>
      <c r="I2216" s="29">
        <v>112496000</v>
      </c>
      <c r="P2216" s="125"/>
      <c r="Q2216" s="34"/>
      <c r="R2216" s="115"/>
      <c r="S2216" s="34"/>
      <c r="T2216" s="34"/>
      <c r="U2216" s="34"/>
      <c r="V2216" s="29"/>
    </row>
    <row r="2217" spans="3:22">
      <c r="C2217" s="125">
        <v>43901</v>
      </c>
      <c r="D2217" s="34">
        <v>103.800003</v>
      </c>
      <c r="E2217" s="115">
        <v>104.75</v>
      </c>
      <c r="F2217" s="34">
        <v>100.07</v>
      </c>
      <c r="G2217" s="34">
        <v>100.69000200000001</v>
      </c>
      <c r="H2217" s="34">
        <v>93.755424000000005</v>
      </c>
      <c r="I2217" s="29">
        <v>6543600</v>
      </c>
      <c r="P2217" s="125"/>
      <c r="Q2217" s="34"/>
      <c r="R2217" s="115"/>
      <c r="S2217" s="34"/>
      <c r="T2217" s="34"/>
      <c r="U2217" s="34"/>
      <c r="V2217" s="29"/>
    </row>
    <row r="2218" spans="3:22">
      <c r="C2218" s="125">
        <v>43900</v>
      </c>
      <c r="D2218" s="34">
        <v>93.54</v>
      </c>
      <c r="E2218" s="115">
        <v>94.71</v>
      </c>
      <c r="F2218" s="34">
        <v>90.91</v>
      </c>
      <c r="G2218" s="34">
        <v>94.59</v>
      </c>
      <c r="H2218" s="34">
        <v>94.59</v>
      </c>
      <c r="I2218" s="29">
        <v>142666000</v>
      </c>
      <c r="P2218" s="125"/>
      <c r="Q2218" s="34"/>
      <c r="R2218" s="115"/>
      <c r="S2218" s="34"/>
      <c r="T2218" s="34"/>
      <c r="U2218" s="34"/>
      <c r="V2218" s="29"/>
    </row>
    <row r="2219" spans="3:22">
      <c r="C2219" s="125">
        <v>43900</v>
      </c>
      <c r="D2219" s="34">
        <v>108.639999</v>
      </c>
      <c r="E2219" s="115">
        <v>109.05999799999999</v>
      </c>
      <c r="F2219" s="34">
        <v>99.110000999999997</v>
      </c>
      <c r="G2219" s="34">
        <v>106.489998</v>
      </c>
      <c r="H2219" s="34">
        <v>99.155959999999993</v>
      </c>
      <c r="I2219" s="29">
        <v>8293200</v>
      </c>
      <c r="P2219" s="125"/>
      <c r="Q2219" s="34"/>
      <c r="R2219" s="115"/>
      <c r="S2219" s="34"/>
      <c r="T2219" s="34"/>
      <c r="U2219" s="34"/>
      <c r="V2219" s="29"/>
    </row>
    <row r="2220" spans="3:22">
      <c r="C2220" s="125">
        <v>43899</v>
      </c>
      <c r="D2220" s="34">
        <v>88.69</v>
      </c>
      <c r="E2220" s="115">
        <v>93.14</v>
      </c>
      <c r="F2220" s="34">
        <v>88.06</v>
      </c>
      <c r="G2220" s="34">
        <v>90.03</v>
      </c>
      <c r="H2220" s="34">
        <v>90.03</v>
      </c>
      <c r="I2220" s="29">
        <v>156264000</v>
      </c>
      <c r="P2220" s="125"/>
      <c r="Q2220" s="34"/>
      <c r="R2220" s="115"/>
      <c r="S2220" s="34"/>
      <c r="T2220" s="34"/>
      <c r="U2220" s="34"/>
      <c r="V2220" s="29"/>
    </row>
    <row r="2221" spans="3:22">
      <c r="C2221" s="125">
        <v>43899</v>
      </c>
      <c r="D2221" s="34">
        <v>112.989998</v>
      </c>
      <c r="E2221" s="115">
        <v>112.989998</v>
      </c>
      <c r="F2221" s="34">
        <v>104.029999</v>
      </c>
      <c r="G2221" s="34">
        <v>104.07</v>
      </c>
      <c r="H2221" s="34">
        <v>96.902634000000006</v>
      </c>
      <c r="I2221" s="29">
        <v>8636200</v>
      </c>
      <c r="P2221" s="125"/>
      <c r="Q2221" s="34"/>
      <c r="R2221" s="115"/>
      <c r="S2221" s="34"/>
      <c r="T2221" s="34"/>
      <c r="U2221" s="34"/>
      <c r="V2221" s="29"/>
    </row>
    <row r="2222" spans="3:22">
      <c r="C2222" s="125">
        <v>43896</v>
      </c>
      <c r="D2222" s="34">
        <v>93.75</v>
      </c>
      <c r="E2222" s="115">
        <v>95.54</v>
      </c>
      <c r="F2222" s="34">
        <v>93.47</v>
      </c>
      <c r="G2222" s="34">
        <v>95.05</v>
      </c>
      <c r="H2222" s="34">
        <v>95.05</v>
      </c>
      <c r="I2222" s="29">
        <v>105472000</v>
      </c>
      <c r="P2222" s="125"/>
      <c r="Q2222" s="34"/>
      <c r="R2222" s="115"/>
      <c r="S2222" s="34"/>
      <c r="T2222" s="34"/>
      <c r="U2222" s="34"/>
      <c r="V2222" s="29"/>
    </row>
    <row r="2223" spans="3:22">
      <c r="C2223" s="125">
        <v>43896</v>
      </c>
      <c r="D2223" s="34">
        <v>119</v>
      </c>
      <c r="E2223" s="115">
        <v>121.849998</v>
      </c>
      <c r="F2223" s="34">
        <v>118.83000199999999</v>
      </c>
      <c r="G2223" s="34">
        <v>121.410004</v>
      </c>
      <c r="H2223" s="34">
        <v>113.04840900000001</v>
      </c>
      <c r="I2223" s="29">
        <v>5767900</v>
      </c>
      <c r="P2223" s="125"/>
      <c r="Q2223" s="34"/>
      <c r="R2223" s="115"/>
      <c r="S2223" s="34"/>
      <c r="T2223" s="34"/>
      <c r="U2223" s="34"/>
      <c r="V2223" s="29"/>
    </row>
    <row r="2224" spans="3:22">
      <c r="C2224" s="125">
        <v>43895</v>
      </c>
      <c r="D2224" s="34">
        <v>96.65</v>
      </c>
      <c r="E2224" s="115">
        <v>98.04</v>
      </c>
      <c r="F2224" s="34">
        <v>95.5</v>
      </c>
      <c r="G2224" s="34">
        <v>96.2</v>
      </c>
      <c r="H2224" s="34">
        <v>96.2</v>
      </c>
      <c r="I2224" s="29">
        <v>94964000</v>
      </c>
      <c r="P2224" s="125"/>
      <c r="Q2224" s="34"/>
      <c r="R2224" s="115"/>
      <c r="S2224" s="34"/>
      <c r="T2224" s="34"/>
      <c r="U2224" s="34"/>
      <c r="V2224" s="29"/>
    </row>
    <row r="2225" spans="3:22">
      <c r="C2225" s="125">
        <v>43895</v>
      </c>
      <c r="D2225" s="34">
        <v>123.150002</v>
      </c>
      <c r="E2225" s="115">
        <v>124.849998</v>
      </c>
      <c r="F2225" s="34">
        <v>121.239998</v>
      </c>
      <c r="G2225" s="34">
        <v>121.970001</v>
      </c>
      <c r="H2225" s="34">
        <v>113.569847</v>
      </c>
      <c r="I2225" s="29">
        <v>6015300</v>
      </c>
      <c r="P2225" s="125"/>
      <c r="Q2225" s="34"/>
      <c r="R2225" s="115"/>
      <c r="S2225" s="34"/>
      <c r="T2225" s="34"/>
      <c r="U2225" s="34"/>
      <c r="V2225" s="29"/>
    </row>
    <row r="2226" spans="3:22">
      <c r="C2226" s="125">
        <v>43894</v>
      </c>
      <c r="D2226" s="34">
        <v>97.33</v>
      </c>
      <c r="E2226" s="115">
        <v>98.9</v>
      </c>
      <c r="F2226" s="34">
        <v>96.1</v>
      </c>
      <c r="G2226" s="34">
        <v>98.79</v>
      </c>
      <c r="H2226" s="34">
        <v>98.79</v>
      </c>
      <c r="I2226" s="29">
        <v>95458000</v>
      </c>
      <c r="P2226" s="125"/>
      <c r="Q2226" s="34"/>
      <c r="R2226" s="115"/>
      <c r="S2226" s="34"/>
      <c r="T2226" s="34"/>
      <c r="U2226" s="34"/>
      <c r="V2226" s="29"/>
    </row>
    <row r="2227" spans="3:22">
      <c r="C2227" s="125">
        <v>43894</v>
      </c>
      <c r="D2227" s="34">
        <v>126.07</v>
      </c>
      <c r="E2227" s="115">
        <v>127.44000200000001</v>
      </c>
      <c r="F2227" s="34">
        <v>124.30999799999999</v>
      </c>
      <c r="G2227" s="34">
        <v>127.400002</v>
      </c>
      <c r="H2227" s="34">
        <v>118.62587000000001</v>
      </c>
      <c r="I2227" s="29">
        <v>5074700</v>
      </c>
      <c r="P2227" s="125"/>
      <c r="Q2227" s="34"/>
      <c r="R2227" s="115"/>
      <c r="S2227" s="34"/>
      <c r="T2227" s="34"/>
      <c r="U2227" s="34"/>
      <c r="V2227" s="29"/>
    </row>
    <row r="2228" spans="3:22">
      <c r="C2228" s="125">
        <v>43893</v>
      </c>
      <c r="D2228" s="34">
        <v>98.77</v>
      </c>
      <c r="E2228" s="115">
        <v>99.82</v>
      </c>
      <c r="F2228" s="34">
        <v>94.4</v>
      </c>
      <c r="G2228" s="34">
        <v>95.45</v>
      </c>
      <c r="H2228" s="34">
        <v>95.45</v>
      </c>
      <c r="I2228" s="29">
        <v>150690000</v>
      </c>
      <c r="P2228" s="125"/>
      <c r="Q2228" s="34"/>
      <c r="R2228" s="115"/>
      <c r="S2228" s="34"/>
      <c r="T2228" s="34"/>
      <c r="U2228" s="34"/>
      <c r="V2228" s="29"/>
    </row>
    <row r="2229" spans="3:22">
      <c r="C2229" s="125">
        <v>43893</v>
      </c>
      <c r="D2229" s="34">
        <v>127</v>
      </c>
      <c r="E2229" s="115">
        <v>129.55999800000001</v>
      </c>
      <c r="F2229" s="34">
        <v>123.779999</v>
      </c>
      <c r="G2229" s="34">
        <v>124.379997</v>
      </c>
      <c r="H2229" s="34">
        <v>115.813858</v>
      </c>
      <c r="I2229" s="29">
        <v>6358100</v>
      </c>
      <c r="P2229" s="125"/>
      <c r="Q2229" s="34"/>
      <c r="R2229" s="115"/>
      <c r="S2229" s="34"/>
      <c r="T2229" s="34"/>
      <c r="U2229" s="34"/>
      <c r="V2229" s="29"/>
    </row>
    <row r="2230" spans="3:22">
      <c r="C2230" s="125">
        <v>43892</v>
      </c>
      <c r="D2230" s="34">
        <v>95.32</v>
      </c>
      <c r="E2230" s="115">
        <v>97.73</v>
      </c>
      <c r="F2230" s="34">
        <v>93.5</v>
      </c>
      <c r="G2230" s="34">
        <v>97.7</v>
      </c>
      <c r="H2230" s="34">
        <v>97.7</v>
      </c>
      <c r="I2230" s="29">
        <v>135234000</v>
      </c>
      <c r="P2230" s="125"/>
      <c r="Q2230" s="34"/>
      <c r="R2230" s="115"/>
      <c r="S2230" s="34"/>
      <c r="T2230" s="34"/>
      <c r="U2230" s="34"/>
      <c r="V2230" s="29"/>
    </row>
    <row r="2231" spans="3:22">
      <c r="C2231" s="125">
        <v>43892</v>
      </c>
      <c r="D2231" s="34">
        <v>125.050003</v>
      </c>
      <c r="E2231" s="115">
        <v>127.879997</v>
      </c>
      <c r="F2231" s="34">
        <v>123.010002</v>
      </c>
      <c r="G2231" s="34">
        <v>127.599998</v>
      </c>
      <c r="H2231" s="34">
        <v>118.812088</v>
      </c>
      <c r="I2231" s="29">
        <v>6100200</v>
      </c>
      <c r="P2231" s="125"/>
      <c r="Q2231" s="34"/>
      <c r="R2231" s="115"/>
      <c r="S2231" s="34"/>
      <c r="T2231" s="34"/>
      <c r="U2231" s="34"/>
      <c r="V2231" s="29"/>
    </row>
    <row r="2232" spans="3:22">
      <c r="C2232" s="125">
        <v>43889</v>
      </c>
      <c r="D2232" s="34">
        <v>90.73</v>
      </c>
      <c r="E2232" s="115">
        <v>94.49</v>
      </c>
      <c r="F2232" s="34">
        <v>90.56</v>
      </c>
      <c r="G2232" s="34">
        <v>94.19</v>
      </c>
      <c r="H2232" s="34">
        <v>94.19</v>
      </c>
      <c r="I2232" s="29">
        <v>189620000</v>
      </c>
      <c r="P2232" s="125"/>
      <c r="Q2232" s="34"/>
      <c r="R2232" s="115"/>
      <c r="S2232" s="34"/>
      <c r="T2232" s="34"/>
      <c r="U2232" s="34"/>
      <c r="V2232" s="29"/>
    </row>
    <row r="2233" spans="3:22">
      <c r="C2233" s="125">
        <v>43889</v>
      </c>
      <c r="D2233" s="34">
        <v>119.57</v>
      </c>
      <c r="E2233" s="115">
        <v>124.239998</v>
      </c>
      <c r="F2233" s="34">
        <v>119.029999</v>
      </c>
      <c r="G2233" s="34">
        <v>124.239998</v>
      </c>
      <c r="H2233" s="34">
        <v>115.68351</v>
      </c>
      <c r="I2233" s="29">
        <v>8300700</v>
      </c>
      <c r="P2233" s="125"/>
      <c r="Q2233" s="34"/>
      <c r="R2233" s="115"/>
      <c r="S2233" s="34"/>
      <c r="T2233" s="34"/>
      <c r="U2233" s="34"/>
      <c r="V2233" s="29"/>
    </row>
    <row r="2234" spans="3:22">
      <c r="C2234" s="125">
        <v>43888</v>
      </c>
      <c r="D2234" s="34">
        <v>96.72</v>
      </c>
      <c r="E2234" s="115">
        <v>98.75</v>
      </c>
      <c r="F2234" s="34">
        <v>94.14</v>
      </c>
      <c r="G2234" s="34">
        <v>94.21</v>
      </c>
      <c r="H2234" s="34">
        <v>94.21</v>
      </c>
      <c r="I2234" s="29">
        <v>162880000</v>
      </c>
      <c r="P2234" s="125"/>
      <c r="Q2234" s="34"/>
      <c r="R2234" s="115"/>
      <c r="S2234" s="34"/>
      <c r="T2234" s="34"/>
      <c r="U2234" s="34"/>
      <c r="V2234" s="29"/>
    </row>
    <row r="2235" spans="3:22">
      <c r="C2235" s="125">
        <v>43888</v>
      </c>
      <c r="D2235" s="34">
        <v>125.599998</v>
      </c>
      <c r="E2235" s="115">
        <v>128.529999</v>
      </c>
      <c r="F2235" s="34">
        <v>123.220001</v>
      </c>
      <c r="G2235" s="34">
        <v>123.269997</v>
      </c>
      <c r="H2235" s="34">
        <v>114.78029600000001</v>
      </c>
      <c r="I2235" s="29">
        <v>7369000</v>
      </c>
      <c r="P2235" s="125"/>
      <c r="Q2235" s="34"/>
      <c r="R2235" s="115"/>
      <c r="S2235" s="34"/>
      <c r="T2235" s="34"/>
      <c r="U2235" s="34"/>
      <c r="V2235" s="29"/>
    </row>
    <row r="2236" spans="3:22">
      <c r="C2236" s="125">
        <v>43887</v>
      </c>
      <c r="D2236" s="34">
        <v>98.51</v>
      </c>
      <c r="E2236" s="115">
        <v>100.73</v>
      </c>
      <c r="F2236" s="34">
        <v>98.02</v>
      </c>
      <c r="G2236" s="34">
        <v>98.98</v>
      </c>
      <c r="H2236" s="34">
        <v>98.98</v>
      </c>
      <c r="I2236" s="29">
        <v>104492000</v>
      </c>
      <c r="P2236" s="125"/>
      <c r="Q2236" s="34"/>
      <c r="R2236" s="115"/>
      <c r="S2236" s="34"/>
      <c r="T2236" s="34"/>
      <c r="U2236" s="34"/>
      <c r="V2236" s="29"/>
    </row>
    <row r="2237" spans="3:22">
      <c r="C2237" s="125">
        <v>43887</v>
      </c>
      <c r="D2237" s="34">
        <v>129.64999399999999</v>
      </c>
      <c r="E2237" s="115">
        <v>130.990005</v>
      </c>
      <c r="F2237" s="34">
        <v>127.550003</v>
      </c>
      <c r="G2237" s="34">
        <v>128.25</v>
      </c>
      <c r="H2237" s="34">
        <v>119.41733600000001</v>
      </c>
      <c r="I2237" s="29">
        <v>3902500</v>
      </c>
      <c r="P2237" s="125"/>
      <c r="Q2237" s="34"/>
      <c r="R2237" s="115"/>
      <c r="S2237" s="34"/>
      <c r="T2237" s="34"/>
      <c r="U2237" s="34"/>
      <c r="V2237" s="29"/>
    </row>
    <row r="2238" spans="3:22">
      <c r="C2238" s="125">
        <v>43886</v>
      </c>
      <c r="D2238" s="34">
        <v>101.32</v>
      </c>
      <c r="E2238" s="115">
        <v>101.73</v>
      </c>
      <c r="F2238" s="34">
        <v>97.92</v>
      </c>
      <c r="G2238" s="34">
        <v>98.64</v>
      </c>
      <c r="H2238" s="34">
        <v>98.64</v>
      </c>
      <c r="I2238" s="29">
        <v>124382000</v>
      </c>
      <c r="P2238" s="125"/>
      <c r="Q2238" s="34"/>
      <c r="R2238" s="115"/>
      <c r="S2238" s="34"/>
      <c r="T2238" s="34"/>
      <c r="U2238" s="34"/>
      <c r="V2238" s="29"/>
    </row>
    <row r="2239" spans="3:22">
      <c r="C2239" s="125">
        <v>43886</v>
      </c>
      <c r="D2239" s="34">
        <v>132.970001</v>
      </c>
      <c r="E2239" s="115">
        <v>133.13999899999999</v>
      </c>
      <c r="F2239" s="34">
        <v>128.25</v>
      </c>
      <c r="G2239" s="34">
        <v>129</v>
      </c>
      <c r="H2239" s="34">
        <v>120.115669</v>
      </c>
      <c r="I2239" s="29">
        <v>4840200</v>
      </c>
      <c r="P2239" s="125"/>
      <c r="Q2239" s="34"/>
      <c r="R2239" s="115"/>
      <c r="S2239" s="34"/>
      <c r="T2239" s="34"/>
      <c r="U2239" s="34"/>
      <c r="V2239" s="29"/>
    </row>
    <row r="2240" spans="3:22">
      <c r="C2240" s="125">
        <v>43885</v>
      </c>
      <c r="D2240" s="34">
        <v>100.16</v>
      </c>
      <c r="E2240" s="115">
        <v>101.96</v>
      </c>
      <c r="F2240" s="34">
        <v>99.4</v>
      </c>
      <c r="G2240" s="34">
        <v>100.46</v>
      </c>
      <c r="H2240" s="34">
        <v>100.46</v>
      </c>
      <c r="I2240" s="29">
        <v>130940000</v>
      </c>
      <c r="P2240" s="125"/>
      <c r="Q2240" s="34"/>
      <c r="R2240" s="115"/>
      <c r="S2240" s="34"/>
      <c r="T2240" s="34"/>
      <c r="U2240" s="34"/>
      <c r="V2240" s="29"/>
    </row>
    <row r="2241" spans="3:22">
      <c r="C2241" s="125">
        <v>43885</v>
      </c>
      <c r="D2241" s="34">
        <v>132.529999</v>
      </c>
      <c r="E2241" s="115">
        <v>133.86000100000001</v>
      </c>
      <c r="F2241" s="34">
        <v>132.050003</v>
      </c>
      <c r="G2241" s="34">
        <v>132.16999799999999</v>
      </c>
      <c r="H2241" s="34">
        <v>123.067375</v>
      </c>
      <c r="I2241" s="29">
        <v>4964800</v>
      </c>
      <c r="P2241" s="125"/>
      <c r="Q2241" s="34"/>
      <c r="R2241" s="115"/>
      <c r="S2241" s="34"/>
      <c r="T2241" s="34"/>
      <c r="U2241" s="34"/>
      <c r="V2241" s="29"/>
    </row>
    <row r="2242" spans="3:22">
      <c r="C2242" s="125">
        <v>43882</v>
      </c>
      <c r="D2242" s="34">
        <v>107.11</v>
      </c>
      <c r="E2242" s="115">
        <v>107.23</v>
      </c>
      <c r="F2242" s="34">
        <v>104.4</v>
      </c>
      <c r="G2242" s="34">
        <v>104.8</v>
      </c>
      <c r="H2242" s="34">
        <v>104.8</v>
      </c>
      <c r="I2242" s="29">
        <v>92926000</v>
      </c>
      <c r="P2242" s="125"/>
      <c r="Q2242" s="34"/>
      <c r="R2242" s="115"/>
      <c r="S2242" s="34"/>
      <c r="T2242" s="34"/>
      <c r="U2242" s="34"/>
      <c r="V2242" s="29"/>
    </row>
    <row r="2243" spans="3:22">
      <c r="C2243" s="125">
        <v>43882</v>
      </c>
      <c r="D2243" s="34">
        <v>136.5</v>
      </c>
      <c r="E2243" s="115">
        <v>137.44000199999999</v>
      </c>
      <c r="F2243" s="34">
        <v>135.11000100000001</v>
      </c>
      <c r="G2243" s="34">
        <v>137.21000699999999</v>
      </c>
      <c r="H2243" s="34">
        <v>127.760284</v>
      </c>
      <c r="I2243" s="29">
        <v>2855600</v>
      </c>
      <c r="P2243" s="125"/>
      <c r="Q2243" s="34"/>
      <c r="R2243" s="115"/>
      <c r="S2243" s="34"/>
      <c r="T2243" s="34"/>
      <c r="U2243" s="34"/>
      <c r="V2243" s="29"/>
    </row>
    <row r="2244" spans="3:22">
      <c r="C2244" s="125">
        <v>43881</v>
      </c>
      <c r="D2244" s="34">
        <v>108.65</v>
      </c>
      <c r="E2244" s="115">
        <v>108.84</v>
      </c>
      <c r="F2244" s="34">
        <v>106.37</v>
      </c>
      <c r="G2244" s="34">
        <v>107.65</v>
      </c>
      <c r="H2244" s="34">
        <v>107.65</v>
      </c>
      <c r="I2244" s="29">
        <v>62626000</v>
      </c>
      <c r="P2244" s="125"/>
      <c r="Q2244" s="34"/>
      <c r="R2244" s="115"/>
      <c r="S2244" s="34"/>
      <c r="T2244" s="34"/>
      <c r="U2244" s="34"/>
      <c r="V2244" s="29"/>
    </row>
    <row r="2245" spans="3:22">
      <c r="C2245" s="125">
        <v>43881</v>
      </c>
      <c r="D2245" s="34">
        <v>136.259995</v>
      </c>
      <c r="E2245" s="115">
        <v>138.88999899999999</v>
      </c>
      <c r="F2245" s="34">
        <v>136.199997</v>
      </c>
      <c r="G2245" s="34">
        <v>136.929993</v>
      </c>
      <c r="H2245" s="34">
        <v>127.49951900000001</v>
      </c>
      <c r="I2245" s="29">
        <v>2678200</v>
      </c>
      <c r="P2245" s="125"/>
      <c r="Q2245" s="34"/>
      <c r="R2245" s="115"/>
      <c r="S2245" s="34"/>
      <c r="T2245" s="34"/>
      <c r="U2245" s="34"/>
      <c r="V2245" s="29"/>
    </row>
    <row r="2246" spans="3:22">
      <c r="C2246" s="125">
        <v>43880</v>
      </c>
      <c r="D2246" s="34">
        <v>108.39</v>
      </c>
      <c r="E2246" s="115">
        <v>109.25</v>
      </c>
      <c r="F2246" s="34">
        <v>108.06</v>
      </c>
      <c r="G2246" s="34">
        <v>108.51</v>
      </c>
      <c r="H2246" s="34">
        <v>108.51</v>
      </c>
      <c r="I2246" s="29">
        <v>51224000</v>
      </c>
      <c r="P2246" s="125"/>
      <c r="Q2246" s="34"/>
      <c r="R2246" s="115"/>
      <c r="S2246" s="34"/>
      <c r="T2246" s="34"/>
      <c r="U2246" s="34"/>
      <c r="V2246" s="29"/>
    </row>
    <row r="2247" spans="3:22">
      <c r="C2247" s="125">
        <v>43880</v>
      </c>
      <c r="D2247" s="34">
        <v>136.78999300000001</v>
      </c>
      <c r="E2247" s="115">
        <v>137.21000699999999</v>
      </c>
      <c r="F2247" s="34">
        <v>136.05999800000001</v>
      </c>
      <c r="G2247" s="34">
        <v>136.86000100000001</v>
      </c>
      <c r="H2247" s="34">
        <v>127.434364</v>
      </c>
      <c r="I2247" s="29">
        <v>2134900</v>
      </c>
      <c r="P2247" s="125"/>
      <c r="Q2247" s="34"/>
      <c r="R2247" s="115"/>
      <c r="S2247" s="34"/>
      <c r="T2247" s="34"/>
      <c r="U2247" s="34"/>
      <c r="V2247" s="29"/>
    </row>
    <row r="2248" spans="3:22">
      <c r="C2248" s="125">
        <v>43879</v>
      </c>
      <c r="D2248" s="34">
        <v>106.25</v>
      </c>
      <c r="E2248" s="115">
        <v>108.3</v>
      </c>
      <c r="F2248" s="34">
        <v>106.21</v>
      </c>
      <c r="G2248" s="34">
        <v>107.78</v>
      </c>
      <c r="H2248" s="34">
        <v>107.78</v>
      </c>
      <c r="I2248" s="29">
        <v>58912000</v>
      </c>
      <c r="P2248" s="125"/>
      <c r="Q2248" s="34"/>
      <c r="R2248" s="115"/>
      <c r="S2248" s="34"/>
      <c r="T2248" s="34"/>
      <c r="U2248" s="34"/>
      <c r="V2248" s="29"/>
    </row>
    <row r="2249" spans="3:22" ht="12" customHeight="1">
      <c r="C2249" s="125">
        <v>43879</v>
      </c>
      <c r="D2249" s="34">
        <v>137.46000699999999</v>
      </c>
      <c r="E2249" s="115">
        <v>138.570007</v>
      </c>
      <c r="F2249" s="34">
        <v>135.08000200000001</v>
      </c>
      <c r="G2249" s="34">
        <v>136.58000200000001</v>
      </c>
      <c r="H2249" s="34">
        <v>127.17366</v>
      </c>
      <c r="I2249" s="29">
        <v>3869700</v>
      </c>
      <c r="P2249" s="125"/>
      <c r="Q2249" s="34"/>
      <c r="R2249" s="115"/>
      <c r="S2249" s="34"/>
      <c r="T2249" s="34"/>
      <c r="U2249" s="34"/>
      <c r="V2249" s="29"/>
    </row>
    <row r="2250" spans="3:22" ht="12" customHeight="1">
      <c r="C2250" s="125">
        <v>43875</v>
      </c>
      <c r="D2250" s="34">
        <v>107.78</v>
      </c>
      <c r="E2250" s="115">
        <v>107.95</v>
      </c>
      <c r="F2250" s="34">
        <v>106.29</v>
      </c>
      <c r="G2250" s="34">
        <v>106.74</v>
      </c>
      <c r="H2250" s="34">
        <v>106.74</v>
      </c>
      <c r="I2250" s="29">
        <v>52124000</v>
      </c>
      <c r="P2250" s="125"/>
      <c r="Q2250" s="34"/>
      <c r="R2250" s="115"/>
      <c r="S2250" s="34"/>
      <c r="T2250" s="34"/>
      <c r="U2250" s="34"/>
      <c r="V2250" s="29"/>
    </row>
    <row r="2251" spans="3:22">
      <c r="C2251" s="125">
        <v>43875</v>
      </c>
      <c r="D2251" s="34">
        <v>139.490005</v>
      </c>
      <c r="E2251" s="115">
        <v>139.61999499999999</v>
      </c>
      <c r="F2251" s="34">
        <v>136.88999899999999</v>
      </c>
      <c r="G2251" s="34">
        <v>137.990005</v>
      </c>
      <c r="H2251" s="34">
        <v>128.486526</v>
      </c>
      <c r="I2251" s="29">
        <v>2813400</v>
      </c>
      <c r="P2251" s="125"/>
      <c r="Q2251" s="34"/>
      <c r="R2251" s="115"/>
      <c r="S2251" s="34"/>
      <c r="T2251" s="34"/>
      <c r="U2251" s="34"/>
      <c r="V2251" s="29"/>
    </row>
    <row r="2252" spans="3:22">
      <c r="C2252" s="125">
        <v>43874</v>
      </c>
      <c r="D2252" s="34">
        <v>107.25</v>
      </c>
      <c r="E2252" s="115">
        <v>108.51</v>
      </c>
      <c r="F2252" s="34">
        <v>107.1</v>
      </c>
      <c r="G2252" s="34">
        <v>107.49</v>
      </c>
      <c r="H2252" s="34">
        <v>107.49</v>
      </c>
      <c r="I2252" s="29">
        <v>60636000</v>
      </c>
      <c r="P2252" s="125"/>
      <c r="Q2252" s="34"/>
      <c r="R2252" s="115"/>
      <c r="S2252" s="34"/>
      <c r="T2252" s="34"/>
      <c r="U2252" s="34"/>
      <c r="V2252" s="29"/>
    </row>
    <row r="2253" spans="3:22">
      <c r="C2253" s="125">
        <v>43874</v>
      </c>
      <c r="D2253" s="34">
        <v>140</v>
      </c>
      <c r="E2253" s="115">
        <v>140.5</v>
      </c>
      <c r="F2253" s="34">
        <v>138.429993</v>
      </c>
      <c r="G2253" s="34">
        <v>139.720001</v>
      </c>
      <c r="H2253" s="34">
        <v>130.097397</v>
      </c>
      <c r="I2253" s="29">
        <v>3318800</v>
      </c>
      <c r="P2253" s="125"/>
      <c r="Q2253" s="34"/>
      <c r="R2253" s="115"/>
      <c r="S2253" s="34"/>
      <c r="T2253" s="34"/>
      <c r="U2253" s="34"/>
      <c r="V2253" s="29"/>
    </row>
    <row r="2254" spans="3:22">
      <c r="C2254" s="125">
        <v>43873</v>
      </c>
      <c r="D2254" s="34">
        <v>108.16</v>
      </c>
      <c r="E2254" s="115">
        <v>109.01</v>
      </c>
      <c r="F2254" s="34">
        <v>107.76</v>
      </c>
      <c r="G2254" s="34">
        <v>108</v>
      </c>
      <c r="H2254" s="34">
        <v>108</v>
      </c>
      <c r="I2254" s="29">
        <v>66686000</v>
      </c>
      <c r="P2254" s="125"/>
      <c r="Q2254" s="34"/>
      <c r="R2254" s="115"/>
      <c r="S2254" s="34"/>
      <c r="T2254" s="34"/>
      <c r="U2254" s="34"/>
      <c r="V2254" s="29"/>
    </row>
    <row r="2255" spans="3:22">
      <c r="C2255" s="125">
        <v>43873</v>
      </c>
      <c r="D2255" s="34">
        <v>138.39999399999999</v>
      </c>
      <c r="E2255" s="115">
        <v>139.94000199999999</v>
      </c>
      <c r="F2255" s="34">
        <v>138.08999600000001</v>
      </c>
      <c r="G2255" s="34">
        <v>139.58999600000001</v>
      </c>
      <c r="H2255" s="34">
        <v>129.97631799999999</v>
      </c>
      <c r="I2255" s="29">
        <v>3222000</v>
      </c>
      <c r="P2255" s="125"/>
      <c r="Q2255" s="34"/>
      <c r="R2255" s="115"/>
      <c r="S2255" s="34"/>
      <c r="T2255" s="34"/>
      <c r="U2255" s="34"/>
      <c r="V2255" s="29"/>
    </row>
    <row r="2256" spans="3:22">
      <c r="C2256" s="125">
        <v>43872</v>
      </c>
      <c r="D2256" s="34">
        <v>107.54</v>
      </c>
      <c r="E2256" s="115">
        <v>109.3</v>
      </c>
      <c r="F2256" s="34">
        <v>106.8</v>
      </c>
      <c r="G2256" s="34">
        <v>107.54</v>
      </c>
      <c r="H2256" s="34">
        <v>107.54</v>
      </c>
      <c r="I2256" s="29">
        <v>114920000</v>
      </c>
      <c r="P2256" s="125"/>
      <c r="Q2256" s="34"/>
      <c r="R2256" s="115"/>
      <c r="S2256" s="34"/>
      <c r="T2256" s="34"/>
      <c r="U2256" s="34"/>
      <c r="V2256" s="29"/>
    </row>
    <row r="2257" spans="3:22">
      <c r="C2257" s="125">
        <v>43872</v>
      </c>
      <c r="D2257" s="34">
        <v>135.490005</v>
      </c>
      <c r="E2257" s="115">
        <v>137.229996</v>
      </c>
      <c r="F2257" s="34">
        <v>135.05999800000001</v>
      </c>
      <c r="G2257" s="34">
        <v>136.19000199999999</v>
      </c>
      <c r="H2257" s="34">
        <v>126.810501</v>
      </c>
      <c r="I2257" s="29">
        <v>2381900</v>
      </c>
      <c r="P2257" s="125"/>
      <c r="Q2257" s="34"/>
      <c r="R2257" s="115"/>
      <c r="S2257" s="34"/>
      <c r="T2257" s="34"/>
      <c r="U2257" s="34"/>
      <c r="V2257" s="29"/>
    </row>
    <row r="2258" spans="3:22">
      <c r="C2258" s="125">
        <v>43871</v>
      </c>
      <c r="D2258" s="34">
        <v>104.25</v>
      </c>
      <c r="E2258" s="115">
        <v>106.78</v>
      </c>
      <c r="F2258" s="34">
        <v>104.25</v>
      </c>
      <c r="G2258" s="34">
        <v>106.7</v>
      </c>
      <c r="H2258" s="34">
        <v>106.7</v>
      </c>
      <c r="I2258" s="29">
        <v>101124000</v>
      </c>
      <c r="P2258" s="125"/>
      <c r="Q2258" s="34"/>
      <c r="R2258" s="115"/>
      <c r="S2258" s="34"/>
      <c r="T2258" s="34"/>
      <c r="U2258" s="34"/>
      <c r="V2258" s="29"/>
    </row>
    <row r="2259" spans="3:22">
      <c r="C2259" s="125">
        <v>43871</v>
      </c>
      <c r="D2259" s="34">
        <v>133.03999300000001</v>
      </c>
      <c r="E2259" s="115">
        <v>134.33000200000001</v>
      </c>
      <c r="F2259" s="34">
        <v>132.779999</v>
      </c>
      <c r="G2259" s="34">
        <v>134.320007</v>
      </c>
      <c r="H2259" s="34">
        <v>125.069305</v>
      </c>
      <c r="I2259" s="29">
        <v>2331600</v>
      </c>
      <c r="P2259" s="125"/>
      <c r="Q2259" s="34"/>
      <c r="R2259" s="115"/>
      <c r="S2259" s="34"/>
      <c r="T2259" s="34"/>
      <c r="U2259" s="34"/>
      <c r="V2259" s="29"/>
    </row>
    <row r="2260" spans="3:22">
      <c r="C2260" s="125">
        <v>43868</v>
      </c>
      <c r="D2260" s="34">
        <v>102.1</v>
      </c>
      <c r="E2260" s="115">
        <v>104.93</v>
      </c>
      <c r="F2260" s="34">
        <v>101.9</v>
      </c>
      <c r="G2260" s="34">
        <v>103.96</v>
      </c>
      <c r="H2260" s="34">
        <v>103.96</v>
      </c>
      <c r="I2260" s="29">
        <v>101906000</v>
      </c>
      <c r="P2260" s="125"/>
      <c r="Q2260" s="34"/>
      <c r="R2260" s="115"/>
      <c r="S2260" s="34"/>
      <c r="T2260" s="34"/>
      <c r="U2260" s="34"/>
      <c r="V2260" s="29"/>
    </row>
    <row r="2261" spans="3:22">
      <c r="C2261" s="125">
        <v>43868</v>
      </c>
      <c r="D2261" s="34">
        <v>136.03999300000001</v>
      </c>
      <c r="E2261" s="115">
        <v>136.490005</v>
      </c>
      <c r="F2261" s="34">
        <v>133</v>
      </c>
      <c r="G2261" s="34">
        <v>133.36999499999999</v>
      </c>
      <c r="H2261" s="34">
        <v>124.184715</v>
      </c>
      <c r="I2261" s="29">
        <v>3812300</v>
      </c>
      <c r="P2261" s="125"/>
      <c r="Q2261" s="34"/>
      <c r="R2261" s="115"/>
      <c r="S2261" s="34"/>
      <c r="T2261" s="34"/>
      <c r="U2261" s="34"/>
      <c r="V2261" s="29"/>
    </row>
    <row r="2262" spans="3:22">
      <c r="C2262" s="125">
        <v>43867</v>
      </c>
      <c r="D2262" s="34">
        <v>102.05</v>
      </c>
      <c r="E2262" s="115">
        <v>102.82</v>
      </c>
      <c r="F2262" s="34">
        <v>101.24</v>
      </c>
      <c r="G2262" s="34">
        <v>102.51</v>
      </c>
      <c r="H2262" s="34">
        <v>102.51</v>
      </c>
      <c r="I2262" s="29">
        <v>63660000</v>
      </c>
      <c r="P2262" s="125"/>
      <c r="Q2262" s="34"/>
      <c r="R2262" s="115"/>
      <c r="S2262" s="34"/>
      <c r="T2262" s="34"/>
      <c r="U2262" s="34"/>
      <c r="V2262" s="29"/>
    </row>
    <row r="2263" spans="3:22">
      <c r="C2263" s="125">
        <v>43867</v>
      </c>
      <c r="D2263" s="34">
        <v>138.199997</v>
      </c>
      <c r="E2263" s="115">
        <v>138.33000200000001</v>
      </c>
      <c r="F2263" s="34">
        <v>136.13000500000001</v>
      </c>
      <c r="G2263" s="34">
        <v>137.25</v>
      </c>
      <c r="H2263" s="34">
        <v>127.797501</v>
      </c>
      <c r="I2263" s="29">
        <v>2283800</v>
      </c>
      <c r="P2263" s="125"/>
      <c r="Q2263" s="34"/>
      <c r="R2263" s="115"/>
      <c r="S2263" s="34"/>
      <c r="T2263" s="34"/>
      <c r="U2263" s="34"/>
      <c r="V2263" s="29"/>
    </row>
    <row r="2264" spans="3:22">
      <c r="C2264" s="125">
        <v>43866</v>
      </c>
      <c r="D2264" s="34">
        <v>103.55</v>
      </c>
      <c r="E2264" s="115">
        <v>103.55</v>
      </c>
      <c r="F2264" s="34">
        <v>101.6</v>
      </c>
      <c r="G2264" s="34">
        <v>101.99</v>
      </c>
      <c r="H2264" s="34">
        <v>101.99</v>
      </c>
      <c r="I2264" s="29">
        <v>87524000</v>
      </c>
      <c r="P2264" s="125"/>
      <c r="Q2264" s="34"/>
      <c r="R2264" s="115"/>
      <c r="S2264" s="34"/>
      <c r="T2264" s="34"/>
      <c r="U2264" s="34"/>
      <c r="V2264" s="29"/>
    </row>
    <row r="2265" spans="3:22">
      <c r="C2265" s="125">
        <v>43866</v>
      </c>
      <c r="D2265" s="34">
        <v>135.550003</v>
      </c>
      <c r="E2265" s="115">
        <v>137.470001</v>
      </c>
      <c r="F2265" s="34">
        <v>135.44000199999999</v>
      </c>
      <c r="G2265" s="34">
        <v>137.44000199999999</v>
      </c>
      <c r="H2265" s="34">
        <v>127.974434</v>
      </c>
      <c r="I2265" s="29">
        <v>4448100</v>
      </c>
      <c r="P2265" s="125"/>
      <c r="Q2265" s="34"/>
      <c r="R2265" s="115"/>
      <c r="S2265" s="34"/>
      <c r="T2265" s="34"/>
      <c r="U2265" s="34"/>
      <c r="V2265" s="29"/>
    </row>
    <row r="2266" spans="3:22">
      <c r="C2266" s="125">
        <v>43865</v>
      </c>
      <c r="D2266" s="34">
        <v>101.49</v>
      </c>
      <c r="E2266" s="115">
        <v>102.99</v>
      </c>
      <c r="F2266" s="34">
        <v>100.77</v>
      </c>
      <c r="G2266" s="34">
        <v>102.48</v>
      </c>
      <c r="H2266" s="34">
        <v>102.48</v>
      </c>
      <c r="I2266" s="29">
        <v>105786000</v>
      </c>
      <c r="P2266" s="125"/>
      <c r="Q2266" s="34"/>
      <c r="R2266" s="115"/>
      <c r="S2266" s="34"/>
      <c r="T2266" s="34"/>
      <c r="U2266" s="34"/>
      <c r="V2266" s="29"/>
    </row>
    <row r="2267" spans="3:22">
      <c r="C2267" s="125">
        <v>43865</v>
      </c>
      <c r="D2267" s="34">
        <v>133</v>
      </c>
      <c r="E2267" s="115">
        <v>134.779999</v>
      </c>
      <c r="F2267" s="34">
        <v>132.679993</v>
      </c>
      <c r="G2267" s="34">
        <v>133.509995</v>
      </c>
      <c r="H2267" s="34">
        <v>124.31506299999999</v>
      </c>
      <c r="I2267" s="29">
        <v>3501600</v>
      </c>
      <c r="P2267" s="125"/>
      <c r="Q2267" s="34"/>
      <c r="R2267" s="115"/>
      <c r="S2267" s="34"/>
      <c r="T2267" s="34"/>
      <c r="U2267" s="34"/>
      <c r="V2267" s="29"/>
    </row>
    <row r="2268" spans="3:22">
      <c r="C2268" s="125">
        <v>43864</v>
      </c>
      <c r="D2268" s="34">
        <v>100.53</v>
      </c>
      <c r="E2268" s="115">
        <v>102.43</v>
      </c>
      <c r="F2268" s="34">
        <v>100.01</v>
      </c>
      <c r="G2268" s="34">
        <v>100.21</v>
      </c>
      <c r="H2268" s="34">
        <v>100.21</v>
      </c>
      <c r="I2268" s="29">
        <v>117834000</v>
      </c>
      <c r="P2268" s="125"/>
      <c r="Q2268" s="34"/>
      <c r="R2268" s="115"/>
      <c r="S2268" s="34"/>
      <c r="T2268" s="34"/>
      <c r="U2268" s="34"/>
      <c r="V2268" s="29"/>
    </row>
    <row r="2269" spans="3:22">
      <c r="C2269" s="125">
        <v>43864</v>
      </c>
      <c r="D2269" s="34">
        <v>131.44000199999999</v>
      </c>
      <c r="E2269" s="115">
        <v>133.16000399999999</v>
      </c>
      <c r="F2269" s="34">
        <v>129.300003</v>
      </c>
      <c r="G2269" s="34">
        <v>129.770004</v>
      </c>
      <c r="H2269" s="34">
        <v>120.83266399999999</v>
      </c>
      <c r="I2269" s="29">
        <v>4385300</v>
      </c>
      <c r="P2269" s="125"/>
      <c r="Q2269" s="34"/>
      <c r="R2269" s="115"/>
      <c r="S2269" s="34"/>
      <c r="T2269" s="34"/>
      <c r="U2269" s="34"/>
      <c r="V2269" s="29"/>
    </row>
    <row r="2270" spans="3:22">
      <c r="C2270" s="125">
        <v>43861</v>
      </c>
      <c r="D2270" s="34">
        <v>102.57</v>
      </c>
      <c r="E2270" s="115">
        <v>102.79</v>
      </c>
      <c r="F2270" s="34">
        <v>100.11</v>
      </c>
      <c r="G2270" s="34">
        <v>100.44</v>
      </c>
      <c r="H2270" s="34">
        <v>100.44</v>
      </c>
      <c r="I2270" s="29">
        <v>311346000</v>
      </c>
      <c r="P2270" s="125"/>
      <c r="Q2270" s="34"/>
      <c r="R2270" s="115"/>
      <c r="S2270" s="34"/>
      <c r="T2270" s="34"/>
      <c r="U2270" s="34"/>
      <c r="V2270" s="29"/>
    </row>
    <row r="2271" spans="3:22">
      <c r="C2271" s="125">
        <v>43861</v>
      </c>
      <c r="D2271" s="34">
        <v>133.820007</v>
      </c>
      <c r="E2271" s="115">
        <v>134.990005</v>
      </c>
      <c r="F2271" s="34">
        <v>130.53999300000001</v>
      </c>
      <c r="G2271" s="34">
        <v>131.35000600000001</v>
      </c>
      <c r="H2271" s="34">
        <v>122.303848</v>
      </c>
      <c r="I2271" s="29">
        <v>6785700</v>
      </c>
      <c r="P2271" s="125"/>
      <c r="Q2271" s="34"/>
      <c r="R2271" s="115"/>
      <c r="S2271" s="34"/>
      <c r="T2271" s="34"/>
      <c r="U2271" s="34"/>
      <c r="V2271" s="29"/>
    </row>
    <row r="2272" spans="3:22">
      <c r="C2272" s="125">
        <v>43860</v>
      </c>
      <c r="D2272" s="34">
        <v>92.9</v>
      </c>
      <c r="E2272" s="115">
        <v>93.64</v>
      </c>
      <c r="F2272" s="34">
        <v>92.53</v>
      </c>
      <c r="G2272" s="34">
        <v>93.53</v>
      </c>
      <c r="H2272" s="34">
        <v>93.53</v>
      </c>
      <c r="I2272" s="29">
        <v>126548000</v>
      </c>
      <c r="P2272" s="125"/>
      <c r="Q2272" s="34"/>
      <c r="R2272" s="115"/>
      <c r="S2272" s="34"/>
      <c r="T2272" s="34"/>
      <c r="U2272" s="34"/>
      <c r="V2272" s="29"/>
    </row>
    <row r="2273" spans="3:22">
      <c r="C2273" s="125">
        <v>43860</v>
      </c>
      <c r="D2273" s="34">
        <v>134.759995</v>
      </c>
      <c r="E2273" s="115">
        <v>135.970001</v>
      </c>
      <c r="F2273" s="34">
        <v>132.91000399999999</v>
      </c>
      <c r="G2273" s="34">
        <v>135.36999499999999</v>
      </c>
      <c r="H2273" s="34">
        <v>126.046967</v>
      </c>
      <c r="I2273" s="29">
        <v>3862600</v>
      </c>
      <c r="P2273" s="125"/>
      <c r="Q2273" s="34"/>
      <c r="R2273" s="115"/>
      <c r="S2273" s="34"/>
      <c r="T2273" s="34"/>
      <c r="U2273" s="34"/>
      <c r="V2273" s="29"/>
    </row>
    <row r="2274" spans="3:22">
      <c r="C2274" s="125">
        <v>43859</v>
      </c>
      <c r="D2274" s="34">
        <v>93.2</v>
      </c>
      <c r="E2274" s="115">
        <v>93.74</v>
      </c>
      <c r="F2274" s="34">
        <v>92.75</v>
      </c>
      <c r="G2274" s="34">
        <v>92.9</v>
      </c>
      <c r="H2274" s="34">
        <v>92.9</v>
      </c>
      <c r="I2274" s="29">
        <v>41760000</v>
      </c>
      <c r="P2274" s="125"/>
      <c r="Q2274" s="34"/>
      <c r="R2274" s="115"/>
      <c r="S2274" s="34"/>
      <c r="T2274" s="34"/>
      <c r="U2274" s="34"/>
      <c r="V2274" s="29"/>
    </row>
    <row r="2275" spans="3:22">
      <c r="C2275" s="125">
        <v>43859</v>
      </c>
      <c r="D2275" s="34">
        <v>137.58999600000001</v>
      </c>
      <c r="E2275" s="115">
        <v>137.759995</v>
      </c>
      <c r="F2275" s="34">
        <v>135.66999799999999</v>
      </c>
      <c r="G2275" s="34">
        <v>135.779999</v>
      </c>
      <c r="H2275" s="34">
        <v>126.42873400000001</v>
      </c>
      <c r="I2275" s="29">
        <v>2620000</v>
      </c>
      <c r="P2275" s="125"/>
      <c r="Q2275" s="34"/>
      <c r="R2275" s="115"/>
      <c r="S2275" s="34"/>
      <c r="T2275" s="34"/>
      <c r="U2275" s="34"/>
      <c r="V2275" s="29"/>
    </row>
    <row r="2276" spans="3:22">
      <c r="C2276" s="125">
        <v>43858</v>
      </c>
      <c r="D2276" s="34">
        <v>92.03</v>
      </c>
      <c r="E2276" s="115">
        <v>92.91</v>
      </c>
      <c r="F2276" s="34">
        <v>91.5</v>
      </c>
      <c r="G2276" s="34">
        <v>92.66</v>
      </c>
      <c r="H2276" s="34">
        <v>92.66</v>
      </c>
      <c r="I2276" s="29">
        <v>56160000</v>
      </c>
      <c r="P2276" s="125"/>
      <c r="Q2276" s="34"/>
      <c r="R2276" s="115"/>
      <c r="S2276" s="34"/>
      <c r="T2276" s="34"/>
      <c r="U2276" s="34"/>
      <c r="V2276" s="29"/>
    </row>
    <row r="2277" spans="3:22">
      <c r="C2277" s="125">
        <v>43858</v>
      </c>
      <c r="D2277" s="34">
        <v>137.020004</v>
      </c>
      <c r="E2277" s="115">
        <v>137.60000600000001</v>
      </c>
      <c r="F2277" s="34">
        <v>135.61999499999999</v>
      </c>
      <c r="G2277" s="34">
        <v>136.740005</v>
      </c>
      <c r="H2277" s="34">
        <v>127.322632</v>
      </c>
      <c r="I2277" s="29">
        <v>2763800</v>
      </c>
      <c r="P2277" s="125"/>
      <c r="Q2277" s="34"/>
      <c r="R2277" s="115"/>
      <c r="S2277" s="34"/>
      <c r="T2277" s="34"/>
      <c r="U2277" s="34"/>
      <c r="V2277" s="29"/>
    </row>
    <row r="2278" spans="3:22">
      <c r="C2278" s="125">
        <v>43857</v>
      </c>
      <c r="D2278" s="34">
        <v>91</v>
      </c>
      <c r="E2278" s="115">
        <v>92.05</v>
      </c>
      <c r="F2278" s="34">
        <v>90.77</v>
      </c>
      <c r="G2278" s="34">
        <v>91.42</v>
      </c>
      <c r="H2278" s="34">
        <v>91.42</v>
      </c>
      <c r="I2278" s="29">
        <v>70570000</v>
      </c>
      <c r="P2278" s="125"/>
      <c r="Q2278" s="34"/>
      <c r="R2278" s="115"/>
      <c r="S2278" s="34"/>
      <c r="T2278" s="34"/>
      <c r="U2278" s="34"/>
      <c r="V2278" s="29"/>
    </row>
    <row r="2279" spans="3:22">
      <c r="C2279" s="125">
        <v>43857</v>
      </c>
      <c r="D2279" s="34">
        <v>136.89999399999999</v>
      </c>
      <c r="E2279" s="115">
        <v>137.80999800000001</v>
      </c>
      <c r="F2279" s="34">
        <v>135.570007</v>
      </c>
      <c r="G2279" s="34">
        <v>135.729996</v>
      </c>
      <c r="H2279" s="34">
        <v>126.382172</v>
      </c>
      <c r="I2279" s="29">
        <v>2920500</v>
      </c>
      <c r="P2279" s="125"/>
      <c r="Q2279" s="34"/>
      <c r="R2279" s="115"/>
      <c r="S2279" s="34"/>
      <c r="T2279" s="34"/>
      <c r="U2279" s="34"/>
      <c r="V2279" s="29"/>
    </row>
    <row r="2280" spans="3:22">
      <c r="C2280" s="125">
        <v>43854</v>
      </c>
      <c r="D2280" s="34">
        <v>94.57</v>
      </c>
      <c r="E2280" s="115">
        <v>94.75</v>
      </c>
      <c r="F2280" s="34">
        <v>92.37</v>
      </c>
      <c r="G2280" s="34">
        <v>93.08</v>
      </c>
      <c r="H2280" s="34">
        <v>93.08</v>
      </c>
      <c r="I2280" s="29">
        <v>75324000</v>
      </c>
      <c r="P2280" s="125"/>
      <c r="Q2280" s="34"/>
      <c r="R2280" s="115"/>
      <c r="S2280" s="34"/>
      <c r="T2280" s="34"/>
      <c r="U2280" s="34"/>
      <c r="V2280" s="29"/>
    </row>
    <row r="2281" spans="3:22">
      <c r="C2281" s="125">
        <v>43854</v>
      </c>
      <c r="D2281" s="34">
        <v>142.550003</v>
      </c>
      <c r="E2281" s="115">
        <v>142.699997</v>
      </c>
      <c r="F2281" s="34">
        <v>139.259995</v>
      </c>
      <c r="G2281" s="34">
        <v>140.38000500000001</v>
      </c>
      <c r="H2281" s="34">
        <v>130.711929</v>
      </c>
      <c r="I2281" s="29">
        <v>2526200</v>
      </c>
      <c r="P2281" s="125"/>
      <c r="Q2281" s="34"/>
      <c r="R2281" s="115"/>
      <c r="S2281" s="34"/>
      <c r="T2281" s="34"/>
      <c r="U2281" s="34"/>
      <c r="V2281" s="29"/>
    </row>
    <row r="2282" spans="3:22">
      <c r="C2282" s="125">
        <v>43853</v>
      </c>
      <c r="D2282" s="34">
        <v>94.26</v>
      </c>
      <c r="E2282" s="115">
        <v>94.5</v>
      </c>
      <c r="F2282" s="34">
        <v>93.64</v>
      </c>
      <c r="G2282" s="34">
        <v>94.23</v>
      </c>
      <c r="H2282" s="34">
        <v>94.23</v>
      </c>
      <c r="I2282" s="29">
        <v>49692000</v>
      </c>
      <c r="P2282" s="125"/>
      <c r="Q2282" s="34"/>
      <c r="R2282" s="115"/>
      <c r="S2282" s="34"/>
      <c r="T2282" s="34"/>
      <c r="U2282" s="34"/>
      <c r="V2282" s="29"/>
    </row>
    <row r="2283" spans="3:22">
      <c r="C2283" s="125">
        <v>43853</v>
      </c>
      <c r="D2283" s="34">
        <v>141.80999800000001</v>
      </c>
      <c r="E2283" s="115">
        <v>143.21000699999999</v>
      </c>
      <c r="F2283" s="34">
        <v>139.800003</v>
      </c>
      <c r="G2283" s="34">
        <v>142.75</v>
      </c>
      <c r="H2283" s="34">
        <v>132.918701</v>
      </c>
      <c r="I2283" s="29">
        <v>3182700</v>
      </c>
      <c r="P2283" s="125"/>
      <c r="Q2283" s="34"/>
      <c r="R2283" s="115"/>
      <c r="S2283" s="34"/>
      <c r="T2283" s="34"/>
      <c r="U2283" s="34"/>
      <c r="V2283" s="29"/>
    </row>
    <row r="2284" spans="3:22">
      <c r="C2284" s="125">
        <v>43852</v>
      </c>
      <c r="D2284" s="34">
        <v>94.8</v>
      </c>
      <c r="E2284" s="115">
        <v>95.13</v>
      </c>
      <c r="F2284" s="34">
        <v>94.17</v>
      </c>
      <c r="G2284" s="34">
        <v>94.37</v>
      </c>
      <c r="H2284" s="34">
        <v>94.37</v>
      </c>
      <c r="I2284" s="29">
        <v>64326000</v>
      </c>
      <c r="P2284" s="125"/>
      <c r="Q2284" s="34"/>
      <c r="R2284" s="115"/>
      <c r="S2284" s="34"/>
      <c r="T2284" s="34"/>
      <c r="U2284" s="34"/>
      <c r="V2284" s="29"/>
    </row>
    <row r="2285" spans="3:22">
      <c r="C2285" s="125">
        <v>43852</v>
      </c>
      <c r="D2285" s="34">
        <v>146.25</v>
      </c>
      <c r="E2285" s="115">
        <v>146.55999800000001</v>
      </c>
      <c r="F2285" s="34">
        <v>142.520004</v>
      </c>
      <c r="G2285" s="34">
        <v>142.63000500000001</v>
      </c>
      <c r="H2285" s="34">
        <v>132.806961</v>
      </c>
      <c r="I2285" s="29">
        <v>3602400</v>
      </c>
      <c r="P2285" s="125"/>
      <c r="Q2285" s="34"/>
      <c r="R2285" s="115"/>
      <c r="S2285" s="34"/>
      <c r="T2285" s="34"/>
      <c r="U2285" s="34"/>
      <c r="V2285" s="29"/>
    </row>
    <row r="2286" spans="3:22">
      <c r="C2286" s="125">
        <v>43851</v>
      </c>
      <c r="D2286" s="34">
        <v>93.25</v>
      </c>
      <c r="E2286" s="115">
        <v>94.71</v>
      </c>
      <c r="F2286" s="34">
        <v>93</v>
      </c>
      <c r="G2286" s="34">
        <v>94.6</v>
      </c>
      <c r="H2286" s="34">
        <v>94.6</v>
      </c>
      <c r="I2286" s="29">
        <v>74156000</v>
      </c>
      <c r="P2286" s="125"/>
      <c r="Q2286" s="34"/>
      <c r="R2286" s="115"/>
      <c r="S2286" s="34"/>
      <c r="T2286" s="34"/>
      <c r="U2286" s="34"/>
      <c r="V2286" s="29"/>
    </row>
    <row r="2287" spans="3:22">
      <c r="C2287" s="125">
        <v>43851</v>
      </c>
      <c r="D2287" s="34">
        <v>147.199997</v>
      </c>
      <c r="E2287" s="115">
        <v>147.86999499999999</v>
      </c>
      <c r="F2287" s="34">
        <v>145.69000199999999</v>
      </c>
      <c r="G2287" s="34">
        <v>145.85000600000001</v>
      </c>
      <c r="H2287" s="34">
        <v>135.805252</v>
      </c>
      <c r="I2287" s="29">
        <v>2476700</v>
      </c>
      <c r="P2287" s="125"/>
      <c r="Q2287" s="34"/>
      <c r="R2287" s="115"/>
      <c r="S2287" s="34"/>
      <c r="T2287" s="34"/>
      <c r="U2287" s="34"/>
      <c r="V2287" s="29"/>
    </row>
    <row r="2288" spans="3:22">
      <c r="C2288" s="125">
        <v>43847</v>
      </c>
      <c r="D2288" s="34">
        <v>94.29</v>
      </c>
      <c r="E2288" s="115">
        <v>94.33</v>
      </c>
      <c r="F2288" s="34">
        <v>92.86</v>
      </c>
      <c r="G2288" s="34">
        <v>93.24</v>
      </c>
      <c r="H2288" s="34">
        <v>93.24</v>
      </c>
      <c r="I2288" s="29">
        <v>79946000</v>
      </c>
      <c r="P2288" s="125"/>
      <c r="Q2288" s="34"/>
      <c r="R2288" s="115"/>
      <c r="S2288" s="34"/>
      <c r="T2288" s="34"/>
      <c r="U2288" s="34"/>
      <c r="V2288" s="29"/>
    </row>
    <row r="2289" spans="3:22">
      <c r="C2289" s="125">
        <v>43847</v>
      </c>
      <c r="D2289" s="34">
        <v>147.21000699999999</v>
      </c>
      <c r="E2289" s="115">
        <v>148.270004</v>
      </c>
      <c r="F2289" s="34">
        <v>146.60000600000001</v>
      </c>
      <c r="G2289" s="34">
        <v>147.779999</v>
      </c>
      <c r="H2289" s="34">
        <v>137.60232500000001</v>
      </c>
      <c r="I2289" s="29">
        <v>3331500</v>
      </c>
      <c r="P2289" s="125"/>
      <c r="Q2289" s="34"/>
      <c r="R2289" s="115"/>
      <c r="S2289" s="34"/>
      <c r="T2289" s="34"/>
      <c r="U2289" s="34"/>
      <c r="V2289" s="29"/>
    </row>
    <row r="2290" spans="3:22">
      <c r="C2290" s="125">
        <v>43846</v>
      </c>
      <c r="D2290" s="34">
        <v>94.15</v>
      </c>
      <c r="E2290" s="115">
        <v>94.28</v>
      </c>
      <c r="F2290" s="34">
        <v>93.3</v>
      </c>
      <c r="G2290" s="34">
        <v>93.9</v>
      </c>
      <c r="H2290" s="34">
        <v>93.9</v>
      </c>
      <c r="I2290" s="29">
        <v>53190000</v>
      </c>
      <c r="P2290" s="125"/>
      <c r="Q2290" s="34"/>
      <c r="R2290" s="115"/>
      <c r="S2290" s="34"/>
      <c r="T2290" s="34"/>
      <c r="U2290" s="34"/>
      <c r="V2290" s="29"/>
    </row>
    <row r="2291" spans="3:22">
      <c r="C2291" s="125">
        <v>43846</v>
      </c>
      <c r="D2291" s="34">
        <v>146.429993</v>
      </c>
      <c r="E2291" s="115">
        <v>147.929993</v>
      </c>
      <c r="F2291" s="34">
        <v>146.240005</v>
      </c>
      <c r="G2291" s="34">
        <v>147.86999499999999</v>
      </c>
      <c r="H2291" s="34">
        <v>136.72702000000001</v>
      </c>
      <c r="I2291" s="29">
        <v>3070900</v>
      </c>
      <c r="P2291" s="125"/>
      <c r="Q2291" s="34"/>
      <c r="R2291" s="115"/>
      <c r="S2291" s="34"/>
      <c r="T2291" s="34"/>
      <c r="U2291" s="34"/>
      <c r="V2291" s="29"/>
    </row>
    <row r="2292" spans="3:22">
      <c r="C2292" s="125">
        <v>43845</v>
      </c>
      <c r="D2292" s="34">
        <v>93.61</v>
      </c>
      <c r="E2292" s="115">
        <v>93.94</v>
      </c>
      <c r="F2292" s="34">
        <v>92.75</v>
      </c>
      <c r="G2292" s="34">
        <v>93.1</v>
      </c>
      <c r="H2292" s="34">
        <v>93.1</v>
      </c>
      <c r="I2292" s="29">
        <v>57932000</v>
      </c>
      <c r="P2292" s="125"/>
      <c r="Q2292" s="34"/>
      <c r="R2292" s="115"/>
      <c r="S2292" s="34"/>
      <c r="T2292" s="34"/>
      <c r="U2292" s="34"/>
      <c r="V2292" s="29"/>
    </row>
    <row r="2293" spans="3:22">
      <c r="C2293" s="125">
        <v>43845</v>
      </c>
      <c r="D2293" s="34">
        <v>146.220001</v>
      </c>
      <c r="E2293" s="115">
        <v>146.740005</v>
      </c>
      <c r="F2293" s="34">
        <v>145.199997</v>
      </c>
      <c r="G2293" s="34">
        <v>145.570007</v>
      </c>
      <c r="H2293" s="34">
        <v>134.60034200000001</v>
      </c>
      <c r="I2293" s="29">
        <v>2640500</v>
      </c>
      <c r="P2293" s="125"/>
      <c r="Q2293" s="34"/>
      <c r="R2293" s="115"/>
      <c r="S2293" s="34"/>
      <c r="T2293" s="34"/>
      <c r="U2293" s="34"/>
      <c r="V2293" s="29"/>
    </row>
    <row r="2294" spans="3:22">
      <c r="C2294" s="125">
        <v>43844</v>
      </c>
      <c r="D2294" s="34">
        <v>94.29</v>
      </c>
      <c r="E2294" s="115">
        <v>94.36</v>
      </c>
      <c r="F2294" s="34">
        <v>92.93</v>
      </c>
      <c r="G2294" s="34">
        <v>93.47</v>
      </c>
      <c r="H2294" s="34">
        <v>93.47</v>
      </c>
      <c r="I2294" s="29">
        <v>68818000</v>
      </c>
      <c r="P2294" s="125"/>
      <c r="Q2294" s="34"/>
      <c r="R2294" s="115"/>
      <c r="S2294" s="34"/>
      <c r="T2294" s="34"/>
      <c r="U2294" s="34"/>
      <c r="V2294" s="29"/>
    </row>
    <row r="2295" spans="3:22">
      <c r="C2295" s="125">
        <v>43844</v>
      </c>
      <c r="D2295" s="34">
        <v>147.449997</v>
      </c>
      <c r="E2295" s="115">
        <v>147.979996</v>
      </c>
      <c r="F2295" s="34">
        <v>146.30999800000001</v>
      </c>
      <c r="G2295" s="34">
        <v>146.679993</v>
      </c>
      <c r="H2295" s="34">
        <v>135.626678</v>
      </c>
      <c r="I2295" s="29">
        <v>2742200</v>
      </c>
      <c r="P2295" s="125"/>
      <c r="Q2295" s="34"/>
      <c r="R2295" s="115"/>
      <c r="S2295" s="34"/>
      <c r="T2295" s="34"/>
      <c r="U2295" s="34"/>
      <c r="V2295" s="29"/>
    </row>
    <row r="2296" spans="3:22">
      <c r="C2296" s="125">
        <v>43843</v>
      </c>
      <c r="D2296" s="34">
        <v>94.57</v>
      </c>
      <c r="E2296" s="115">
        <v>94.9</v>
      </c>
      <c r="F2296" s="34">
        <v>94.04</v>
      </c>
      <c r="G2296" s="34">
        <v>94.57</v>
      </c>
      <c r="H2296" s="34">
        <v>94.57</v>
      </c>
      <c r="I2296" s="29">
        <v>55616000</v>
      </c>
      <c r="P2296" s="125"/>
      <c r="Q2296" s="34"/>
      <c r="R2296" s="115"/>
      <c r="S2296" s="34"/>
      <c r="T2296" s="34"/>
      <c r="U2296" s="34"/>
      <c r="V2296" s="29"/>
    </row>
    <row r="2297" spans="3:22">
      <c r="C2297" s="125">
        <v>43843</v>
      </c>
      <c r="D2297" s="34">
        <v>146.529999</v>
      </c>
      <c r="E2297" s="115">
        <v>146.83000200000001</v>
      </c>
      <c r="F2297" s="34">
        <v>145.550003</v>
      </c>
      <c r="G2297" s="34">
        <v>146.820007</v>
      </c>
      <c r="H2297" s="34">
        <v>135.756134</v>
      </c>
      <c r="I2297" s="29">
        <v>3355200</v>
      </c>
      <c r="P2297" s="125"/>
      <c r="Q2297" s="34"/>
      <c r="R2297" s="115"/>
      <c r="S2297" s="34"/>
      <c r="T2297" s="34"/>
      <c r="U2297" s="34"/>
      <c r="V2297" s="29"/>
    </row>
    <row r="2298" spans="3:22">
      <c r="C2298" s="125">
        <v>43840</v>
      </c>
      <c r="D2298" s="34">
        <v>95.27</v>
      </c>
      <c r="E2298" s="115">
        <v>95.35</v>
      </c>
      <c r="F2298" s="34">
        <v>94</v>
      </c>
      <c r="G2298" s="34">
        <v>94.16</v>
      </c>
      <c r="H2298" s="34">
        <v>94.16</v>
      </c>
      <c r="I2298" s="29">
        <v>57074000</v>
      </c>
      <c r="P2298" s="125"/>
      <c r="Q2298" s="34"/>
      <c r="R2298" s="115"/>
      <c r="S2298" s="34"/>
      <c r="T2298" s="34"/>
      <c r="U2298" s="34"/>
      <c r="V2298" s="29"/>
    </row>
    <row r="2299" spans="3:22">
      <c r="C2299" s="125">
        <v>43840</v>
      </c>
      <c r="D2299" s="34">
        <v>147.449997</v>
      </c>
      <c r="E2299" s="115">
        <v>147.720001</v>
      </c>
      <c r="F2299" s="34">
        <v>145.83000200000001</v>
      </c>
      <c r="G2299" s="34">
        <v>146.13000500000001</v>
      </c>
      <c r="H2299" s="34">
        <v>135.11814899999999</v>
      </c>
      <c r="I2299" s="29">
        <v>2393700</v>
      </c>
      <c r="P2299" s="125"/>
      <c r="Q2299" s="34"/>
      <c r="R2299" s="115"/>
      <c r="S2299" s="34"/>
      <c r="T2299" s="34"/>
      <c r="U2299" s="34"/>
      <c r="V2299" s="29"/>
    </row>
    <row r="2300" spans="3:22">
      <c r="C2300" s="125">
        <v>43839</v>
      </c>
      <c r="D2300" s="34">
        <v>95.49</v>
      </c>
      <c r="E2300" s="115">
        <v>95.89</v>
      </c>
      <c r="F2300" s="34">
        <v>94.79</v>
      </c>
      <c r="G2300" s="34">
        <v>95.05</v>
      </c>
      <c r="H2300" s="34">
        <v>95.05</v>
      </c>
      <c r="I2300" s="29">
        <v>63346000</v>
      </c>
      <c r="P2300" s="125"/>
      <c r="Q2300" s="34"/>
      <c r="R2300" s="115"/>
      <c r="S2300" s="34"/>
      <c r="T2300" s="34"/>
      <c r="U2300" s="34"/>
      <c r="V2300" s="29"/>
    </row>
    <row r="2301" spans="3:22">
      <c r="C2301" s="125">
        <v>43839</v>
      </c>
      <c r="D2301" s="34">
        <v>147.80999800000001</v>
      </c>
      <c r="E2301" s="115">
        <v>147.970001</v>
      </c>
      <c r="F2301" s="34">
        <v>146.509995</v>
      </c>
      <c r="G2301" s="34">
        <v>147.30999800000001</v>
      </c>
      <c r="H2301" s="34">
        <v>136.20924400000001</v>
      </c>
      <c r="I2301" s="29">
        <v>2272500</v>
      </c>
      <c r="P2301" s="125"/>
      <c r="Q2301" s="34"/>
      <c r="R2301" s="115"/>
      <c r="S2301" s="34"/>
      <c r="T2301" s="34"/>
      <c r="U2301" s="34"/>
      <c r="V2301" s="29"/>
    </row>
    <row r="2302" spans="3:22">
      <c r="C2302" s="125">
        <v>43838</v>
      </c>
      <c r="D2302" s="34">
        <v>94.9</v>
      </c>
      <c r="E2302" s="115">
        <v>95.55</v>
      </c>
      <c r="F2302" s="34">
        <v>94.32</v>
      </c>
      <c r="G2302" s="34">
        <v>94.6</v>
      </c>
      <c r="H2302" s="34">
        <v>94.6</v>
      </c>
      <c r="I2302" s="29">
        <v>70160000</v>
      </c>
      <c r="P2302" s="125"/>
      <c r="Q2302" s="34"/>
      <c r="R2302" s="115"/>
      <c r="S2302" s="34"/>
      <c r="T2302" s="34"/>
      <c r="U2302" s="34"/>
      <c r="V2302" s="29"/>
    </row>
    <row r="2303" spans="3:22">
      <c r="C2303" s="125">
        <v>43838</v>
      </c>
      <c r="D2303" s="34">
        <v>146.83000200000001</v>
      </c>
      <c r="E2303" s="115">
        <v>148.570007</v>
      </c>
      <c r="F2303" s="34">
        <v>146.46000699999999</v>
      </c>
      <c r="G2303" s="34">
        <v>147.679993</v>
      </c>
      <c r="H2303" s="34">
        <v>136.551331</v>
      </c>
      <c r="I2303" s="29">
        <v>2153200</v>
      </c>
      <c r="P2303" s="125"/>
      <c r="Q2303" s="34"/>
      <c r="R2303" s="115"/>
      <c r="S2303" s="34"/>
      <c r="T2303" s="34"/>
      <c r="U2303" s="34"/>
      <c r="V2303" s="29"/>
    </row>
    <row r="2304" spans="3:22">
      <c r="C2304" s="125">
        <v>43837</v>
      </c>
      <c r="D2304" s="34">
        <v>95.22</v>
      </c>
      <c r="E2304" s="115">
        <v>95.69</v>
      </c>
      <c r="F2304" s="34">
        <v>94.6</v>
      </c>
      <c r="G2304" s="34">
        <v>95.34</v>
      </c>
      <c r="H2304" s="34">
        <v>95.34</v>
      </c>
      <c r="I2304" s="29">
        <v>80898000</v>
      </c>
      <c r="P2304" s="125"/>
      <c r="Q2304" s="34"/>
      <c r="R2304" s="115"/>
      <c r="S2304" s="34"/>
      <c r="T2304" s="34"/>
      <c r="U2304" s="34"/>
      <c r="V2304" s="29"/>
    </row>
    <row r="2305" spans="3:22">
      <c r="C2305" s="125">
        <v>43837</v>
      </c>
      <c r="D2305" s="34">
        <v>147.35000600000001</v>
      </c>
      <c r="E2305" s="115">
        <v>147.570007</v>
      </c>
      <c r="F2305" s="34">
        <v>145.509995</v>
      </c>
      <c r="G2305" s="34">
        <v>146.38000500000001</v>
      </c>
      <c r="H2305" s="34">
        <v>135.34930399999999</v>
      </c>
      <c r="I2305" s="29">
        <v>2841900</v>
      </c>
      <c r="P2305" s="125"/>
      <c r="Q2305" s="34"/>
      <c r="R2305" s="115"/>
      <c r="S2305" s="34"/>
      <c r="T2305" s="34"/>
      <c r="U2305" s="34"/>
      <c r="V2305" s="29"/>
    </row>
    <row r="2306" spans="3:22">
      <c r="C2306" s="125">
        <v>43836</v>
      </c>
      <c r="D2306" s="34">
        <v>93</v>
      </c>
      <c r="E2306" s="115">
        <v>95.18</v>
      </c>
      <c r="F2306" s="34">
        <v>93</v>
      </c>
      <c r="G2306" s="34">
        <v>95.14</v>
      </c>
      <c r="H2306" s="34">
        <v>95.14</v>
      </c>
      <c r="I2306" s="29">
        <v>81236000</v>
      </c>
      <c r="P2306" s="125"/>
      <c r="Q2306" s="34"/>
      <c r="R2306" s="115"/>
      <c r="S2306" s="34"/>
      <c r="T2306" s="34"/>
      <c r="U2306" s="34"/>
      <c r="V2306" s="29"/>
    </row>
    <row r="2307" spans="3:22">
      <c r="C2307" s="125">
        <v>43836</v>
      </c>
      <c r="D2307" s="34">
        <v>147.270004</v>
      </c>
      <c r="E2307" s="115">
        <v>148.55999800000001</v>
      </c>
      <c r="F2307" s="34">
        <v>146.53999300000001</v>
      </c>
      <c r="G2307" s="34">
        <v>148.33999600000001</v>
      </c>
      <c r="H2307" s="34">
        <v>137.161621</v>
      </c>
      <c r="I2307" s="29">
        <v>2549600</v>
      </c>
      <c r="P2307" s="125"/>
      <c r="Q2307" s="34"/>
      <c r="R2307" s="115"/>
      <c r="S2307" s="34"/>
      <c r="T2307" s="34"/>
      <c r="U2307" s="34"/>
      <c r="V2307" s="29"/>
    </row>
    <row r="2308" spans="3:22">
      <c r="C2308" s="125">
        <v>43833</v>
      </c>
      <c r="D2308" s="34">
        <v>93.22</v>
      </c>
      <c r="E2308" s="115">
        <v>94.31</v>
      </c>
      <c r="F2308" s="34">
        <v>93.22</v>
      </c>
      <c r="G2308" s="34">
        <v>93.75</v>
      </c>
      <c r="H2308" s="34">
        <v>93.75</v>
      </c>
      <c r="I2308" s="29">
        <v>75288000</v>
      </c>
      <c r="P2308" s="125"/>
      <c r="Q2308" s="34"/>
      <c r="R2308" s="115"/>
      <c r="S2308" s="34"/>
      <c r="T2308" s="34"/>
      <c r="U2308" s="34"/>
      <c r="V2308" s="29"/>
    </row>
    <row r="2309" spans="3:22">
      <c r="C2309" s="125">
        <v>43833</v>
      </c>
      <c r="D2309" s="34">
        <v>148.770004</v>
      </c>
      <c r="E2309" s="115">
        <v>149.96000699999999</v>
      </c>
      <c r="F2309" s="34">
        <v>147.449997</v>
      </c>
      <c r="G2309" s="34">
        <v>148.44000199999999</v>
      </c>
      <c r="H2309" s="34">
        <v>137.254074</v>
      </c>
      <c r="I2309" s="29">
        <v>3100600</v>
      </c>
      <c r="P2309" s="125"/>
      <c r="Q2309" s="34"/>
      <c r="R2309" s="115"/>
      <c r="S2309" s="34"/>
      <c r="T2309" s="34"/>
      <c r="U2309" s="34"/>
      <c r="V2309" s="29"/>
    </row>
    <row r="2310" spans="3:22">
      <c r="C2310" s="125">
        <v>43832</v>
      </c>
      <c r="D2310" s="34">
        <v>93.75</v>
      </c>
      <c r="E2310" s="115">
        <v>94.9</v>
      </c>
      <c r="F2310" s="34">
        <v>93.21</v>
      </c>
      <c r="G2310" s="34">
        <v>94.9</v>
      </c>
      <c r="H2310" s="34">
        <v>94.9</v>
      </c>
      <c r="I2310" s="29">
        <v>80580000</v>
      </c>
      <c r="P2310" s="125"/>
      <c r="Q2310" s="34"/>
      <c r="R2310" s="115"/>
      <c r="S2310" s="34"/>
      <c r="T2310" s="34"/>
      <c r="U2310" s="34"/>
      <c r="V2310" s="29"/>
    </row>
    <row r="2311" spans="3:22">
      <c r="C2311" s="125">
        <v>43832</v>
      </c>
      <c r="D2311" s="34">
        <v>149</v>
      </c>
      <c r="E2311" s="115">
        <v>150.550003</v>
      </c>
      <c r="F2311" s="34">
        <v>147.979996</v>
      </c>
      <c r="G2311" s="34">
        <v>150.529999</v>
      </c>
      <c r="H2311" s="34">
        <v>139.18656899999999</v>
      </c>
      <c r="I2311" s="29">
        <v>3311900</v>
      </c>
      <c r="P2311" s="125"/>
      <c r="Q2311" s="34"/>
      <c r="R2311" s="115"/>
      <c r="S2311" s="34"/>
      <c r="T2311" s="34"/>
      <c r="U2311" s="34"/>
      <c r="V2311" s="29"/>
    </row>
    <row r="2312" spans="3:22">
      <c r="C2312" s="125">
        <v>43830</v>
      </c>
      <c r="D2312" s="34">
        <v>92.1</v>
      </c>
      <c r="E2312" s="115">
        <v>92.66</v>
      </c>
      <c r="F2312" s="34">
        <v>91.61</v>
      </c>
      <c r="G2312" s="34">
        <v>92.39</v>
      </c>
      <c r="H2312" s="34">
        <v>92.39</v>
      </c>
      <c r="I2312" s="29">
        <v>50130000</v>
      </c>
      <c r="P2312" s="125"/>
      <c r="Q2312" s="34"/>
      <c r="R2312" s="115"/>
      <c r="S2312" s="34"/>
      <c r="T2312" s="34"/>
      <c r="U2312" s="34"/>
      <c r="V2312" s="29"/>
    </row>
    <row r="2313" spans="3:22">
      <c r="C2313" s="125">
        <v>43829</v>
      </c>
      <c r="D2313" s="34">
        <v>93.7</v>
      </c>
      <c r="E2313" s="115">
        <v>94.2</v>
      </c>
      <c r="F2313" s="34">
        <v>92.03</v>
      </c>
      <c r="G2313" s="34">
        <v>92.34</v>
      </c>
      <c r="H2313" s="34">
        <v>92.34</v>
      </c>
      <c r="I2313" s="29">
        <v>73494000</v>
      </c>
      <c r="P2313" s="125"/>
      <c r="Q2313" s="34"/>
      <c r="R2313" s="115"/>
      <c r="S2313" s="34"/>
      <c r="T2313" s="34"/>
      <c r="U2313" s="34"/>
      <c r="V2313" s="29"/>
    </row>
    <row r="2314" spans="3:22">
      <c r="C2314" s="125">
        <v>43826</v>
      </c>
      <c r="D2314" s="34">
        <v>94.15</v>
      </c>
      <c r="E2314" s="115">
        <v>95.07</v>
      </c>
      <c r="F2314" s="34">
        <v>93.3</v>
      </c>
      <c r="G2314" s="34">
        <v>93.49</v>
      </c>
      <c r="H2314" s="34">
        <v>93.49</v>
      </c>
      <c r="I2314" s="29">
        <v>123732000</v>
      </c>
      <c r="P2314" s="125"/>
      <c r="Q2314" s="34"/>
      <c r="R2314" s="115"/>
      <c r="S2314" s="34"/>
      <c r="T2314" s="34"/>
      <c r="U2314" s="34"/>
      <c r="V2314" s="29"/>
    </row>
    <row r="2315" spans="3:22">
      <c r="C2315" s="125">
        <v>43825</v>
      </c>
      <c r="D2315" s="34">
        <v>90.05</v>
      </c>
      <c r="E2315" s="115">
        <v>93.52</v>
      </c>
      <c r="F2315" s="34">
        <v>89.97</v>
      </c>
      <c r="G2315" s="34">
        <v>93.44</v>
      </c>
      <c r="H2315" s="34">
        <v>93.44</v>
      </c>
      <c r="I2315" s="29">
        <v>120108000</v>
      </c>
      <c r="P2315" s="125"/>
      <c r="Q2315" s="34"/>
      <c r="R2315" s="115"/>
      <c r="S2315" s="34"/>
      <c r="T2315" s="34"/>
      <c r="U2315" s="34"/>
      <c r="V2315" s="29"/>
    </row>
    <row r="2316" spans="3:22">
      <c r="C2316" s="125">
        <v>43823</v>
      </c>
      <c r="D2316" s="34">
        <v>89.69</v>
      </c>
      <c r="E2316" s="115">
        <v>89.78</v>
      </c>
      <c r="F2316" s="34">
        <v>89.38</v>
      </c>
      <c r="G2316" s="34">
        <v>89.46</v>
      </c>
      <c r="H2316" s="34">
        <v>89.46</v>
      </c>
      <c r="I2316" s="29">
        <v>17626000</v>
      </c>
      <c r="P2316" s="125"/>
      <c r="Q2316" s="34"/>
      <c r="R2316" s="115"/>
      <c r="S2316" s="34"/>
      <c r="T2316" s="34"/>
      <c r="U2316" s="34"/>
      <c r="V2316" s="29"/>
    </row>
    <row r="2317" spans="3:22">
      <c r="C2317" s="125">
        <v>43822</v>
      </c>
      <c r="D2317" s="34">
        <v>89.41</v>
      </c>
      <c r="E2317" s="115">
        <v>89.65</v>
      </c>
      <c r="F2317" s="34">
        <v>89.23</v>
      </c>
      <c r="G2317" s="34">
        <v>89.65</v>
      </c>
      <c r="H2317" s="34">
        <v>89.65</v>
      </c>
      <c r="I2317" s="29">
        <v>42728000</v>
      </c>
      <c r="P2317" s="125"/>
      <c r="Q2317" s="34"/>
      <c r="R2317" s="115"/>
      <c r="S2317" s="34"/>
      <c r="T2317" s="34"/>
      <c r="U2317" s="34"/>
      <c r="V2317" s="29"/>
    </row>
    <row r="2318" spans="3:22">
      <c r="C2318" s="125">
        <v>43819</v>
      </c>
      <c r="D2318" s="34">
        <v>89.98</v>
      </c>
      <c r="E2318" s="115">
        <v>90.15</v>
      </c>
      <c r="F2318" s="34">
        <v>89.12</v>
      </c>
      <c r="G2318" s="34">
        <v>89.32</v>
      </c>
      <c r="H2318" s="34">
        <v>89.32</v>
      </c>
      <c r="I2318" s="29">
        <v>103016000</v>
      </c>
      <c r="P2318" s="125"/>
      <c r="Q2318" s="34"/>
      <c r="R2318" s="115"/>
      <c r="S2318" s="34"/>
      <c r="T2318" s="34"/>
      <c r="U2318" s="34"/>
      <c r="V2318" s="29"/>
    </row>
    <row r="2319" spans="3:22">
      <c r="C2319" s="125">
        <v>43818</v>
      </c>
      <c r="D2319" s="34">
        <v>89.03</v>
      </c>
      <c r="E2319" s="115">
        <v>89.65</v>
      </c>
      <c r="F2319" s="34">
        <v>88.7</v>
      </c>
      <c r="G2319" s="34">
        <v>89.61</v>
      </c>
      <c r="H2319" s="34">
        <v>89.61</v>
      </c>
      <c r="I2319" s="29">
        <v>53056000</v>
      </c>
      <c r="P2319" s="125"/>
      <c r="Q2319" s="34"/>
      <c r="R2319" s="115"/>
      <c r="S2319" s="34"/>
      <c r="T2319" s="34"/>
      <c r="U2319" s="34"/>
      <c r="V2319" s="29"/>
    </row>
    <row r="2320" spans="3:22">
      <c r="C2320" s="125">
        <v>43817</v>
      </c>
      <c r="D2320" s="34">
        <v>89.75</v>
      </c>
      <c r="E2320" s="115">
        <v>89.91</v>
      </c>
      <c r="F2320" s="34">
        <v>89.12</v>
      </c>
      <c r="G2320" s="34">
        <v>89.2</v>
      </c>
      <c r="H2320" s="34">
        <v>89.2</v>
      </c>
      <c r="I2320" s="29">
        <v>67028000</v>
      </c>
      <c r="P2320" s="125"/>
      <c r="Q2320" s="34"/>
      <c r="R2320" s="115"/>
      <c r="S2320" s="34"/>
      <c r="T2320" s="34"/>
      <c r="U2320" s="34"/>
      <c r="V2320" s="29"/>
    </row>
    <row r="2321" spans="3:22">
      <c r="C2321" s="125">
        <v>43816</v>
      </c>
      <c r="D2321" s="34">
        <v>88.9</v>
      </c>
      <c r="E2321" s="115">
        <v>89.6</v>
      </c>
      <c r="F2321" s="34">
        <v>88.87</v>
      </c>
      <c r="G2321" s="34">
        <v>89.53</v>
      </c>
      <c r="H2321" s="34">
        <v>89.53</v>
      </c>
      <c r="I2321" s="29">
        <v>72888000</v>
      </c>
      <c r="P2321" s="125"/>
      <c r="Q2321" s="34"/>
      <c r="R2321" s="115"/>
      <c r="S2321" s="34"/>
      <c r="T2321" s="34"/>
      <c r="U2321" s="34"/>
      <c r="V2321" s="29"/>
    </row>
    <row r="2322" spans="3:22">
      <c r="C2322" s="125">
        <v>43815</v>
      </c>
      <c r="D2322" s="34">
        <v>88.35</v>
      </c>
      <c r="E2322" s="115">
        <v>88.47</v>
      </c>
      <c r="F2322" s="34">
        <v>87.85</v>
      </c>
      <c r="G2322" s="34">
        <v>88.46</v>
      </c>
      <c r="H2322" s="34">
        <v>88.46</v>
      </c>
      <c r="I2322" s="29">
        <v>62904000</v>
      </c>
      <c r="P2322" s="125"/>
      <c r="Q2322" s="34"/>
      <c r="R2322" s="115"/>
      <c r="S2322" s="34"/>
      <c r="T2322" s="34"/>
      <c r="U2322" s="34"/>
      <c r="V2322" s="29"/>
    </row>
    <row r="2323" spans="3:22">
      <c r="C2323" s="125">
        <v>43812</v>
      </c>
      <c r="D2323" s="34">
        <v>88.25</v>
      </c>
      <c r="E2323" s="115">
        <v>88.45</v>
      </c>
      <c r="F2323" s="34">
        <v>87.75</v>
      </c>
      <c r="G2323" s="34">
        <v>88.05</v>
      </c>
      <c r="H2323" s="34">
        <v>88.05</v>
      </c>
      <c r="I2323" s="29">
        <v>54914000</v>
      </c>
      <c r="P2323" s="125"/>
      <c r="Q2323" s="34"/>
      <c r="R2323" s="115"/>
      <c r="S2323" s="34"/>
      <c r="T2323" s="34"/>
      <c r="U2323" s="34"/>
      <c r="V2323" s="29"/>
    </row>
    <row r="2324" spans="3:22">
      <c r="C2324" s="125">
        <v>43811</v>
      </c>
      <c r="D2324" s="34">
        <v>87.5</v>
      </c>
      <c r="E2324" s="115">
        <v>88.2</v>
      </c>
      <c r="F2324" s="34">
        <v>87.27</v>
      </c>
      <c r="G2324" s="34">
        <v>88.02</v>
      </c>
      <c r="H2324" s="34">
        <v>88.02</v>
      </c>
      <c r="I2324" s="29">
        <v>61918000</v>
      </c>
      <c r="P2324" s="125"/>
      <c r="Q2324" s="34"/>
      <c r="R2324" s="115"/>
      <c r="S2324" s="34"/>
      <c r="T2324" s="34"/>
      <c r="U2324" s="34"/>
      <c r="V2324" s="29"/>
    </row>
    <row r="2325" spans="3:22">
      <c r="C2325" s="125">
        <v>43810</v>
      </c>
      <c r="D2325" s="34">
        <v>87.08</v>
      </c>
      <c r="E2325" s="115">
        <v>87.5</v>
      </c>
      <c r="F2325" s="34">
        <v>86.79</v>
      </c>
      <c r="G2325" s="34">
        <v>87.44</v>
      </c>
      <c r="H2325" s="34">
        <v>87.44</v>
      </c>
      <c r="I2325" s="29">
        <v>41952000</v>
      </c>
      <c r="P2325" s="125"/>
      <c r="Q2325" s="34"/>
      <c r="R2325" s="115"/>
      <c r="S2325" s="34"/>
      <c r="T2325" s="34"/>
      <c r="U2325" s="34"/>
      <c r="V2325" s="29"/>
    </row>
    <row r="2326" spans="3:22">
      <c r="C2326" s="125">
        <v>43809</v>
      </c>
      <c r="D2326" s="34">
        <v>87.37</v>
      </c>
      <c r="E2326" s="115">
        <v>87.53</v>
      </c>
      <c r="F2326" s="34">
        <v>86.75</v>
      </c>
      <c r="G2326" s="34">
        <v>86.96</v>
      </c>
      <c r="H2326" s="34">
        <v>86.96</v>
      </c>
      <c r="I2326" s="29">
        <v>50286000</v>
      </c>
      <c r="P2326" s="125"/>
      <c r="Q2326" s="34"/>
      <c r="R2326" s="115"/>
      <c r="S2326" s="34"/>
      <c r="T2326" s="34"/>
      <c r="U2326" s="34"/>
      <c r="V2326" s="29"/>
    </row>
    <row r="2327" spans="3:22">
      <c r="C2327" s="125">
        <v>43808</v>
      </c>
      <c r="D2327" s="34">
        <v>87.53</v>
      </c>
      <c r="E2327" s="115">
        <v>88.34</v>
      </c>
      <c r="F2327" s="34">
        <v>87.28</v>
      </c>
      <c r="G2327" s="34">
        <v>87.48</v>
      </c>
      <c r="H2327" s="34">
        <v>87.48</v>
      </c>
      <c r="I2327" s="29">
        <v>48856000</v>
      </c>
      <c r="P2327" s="125"/>
      <c r="Q2327" s="34"/>
      <c r="R2327" s="115"/>
      <c r="S2327" s="34"/>
      <c r="T2327" s="34"/>
      <c r="U2327" s="34"/>
      <c r="V2327" s="29"/>
    </row>
    <row r="2328" spans="3:22">
      <c r="C2328" s="125">
        <v>43805</v>
      </c>
      <c r="D2328" s="34">
        <v>87.56</v>
      </c>
      <c r="E2328" s="115">
        <v>87.72</v>
      </c>
      <c r="F2328" s="34">
        <v>87.01</v>
      </c>
      <c r="G2328" s="34">
        <v>87.58</v>
      </c>
      <c r="H2328" s="34">
        <v>87.58</v>
      </c>
      <c r="I2328" s="29">
        <v>62348000</v>
      </c>
      <c r="P2328" s="125"/>
      <c r="Q2328" s="34"/>
      <c r="R2328" s="115"/>
      <c r="S2328" s="34"/>
      <c r="T2328" s="34"/>
      <c r="U2328" s="34"/>
      <c r="V2328" s="29"/>
    </row>
    <row r="2329" spans="3:22">
      <c r="C2329" s="125">
        <v>43804</v>
      </c>
      <c r="D2329" s="34">
        <v>88.18</v>
      </c>
      <c r="E2329" s="115">
        <v>88.18</v>
      </c>
      <c r="F2329" s="34">
        <v>87</v>
      </c>
      <c r="G2329" s="34">
        <v>87.02</v>
      </c>
      <c r="H2329" s="34">
        <v>87.02</v>
      </c>
      <c r="I2329" s="29">
        <v>56476000</v>
      </c>
      <c r="P2329" s="125"/>
      <c r="Q2329" s="34"/>
      <c r="R2329" s="115"/>
      <c r="S2329" s="34"/>
      <c r="T2329" s="34"/>
      <c r="U2329" s="34"/>
      <c r="V2329" s="29"/>
    </row>
    <row r="2330" spans="3:22">
      <c r="C2330" s="125">
        <v>43803</v>
      </c>
      <c r="D2330" s="34">
        <v>88.7</v>
      </c>
      <c r="E2330" s="115">
        <v>89.45</v>
      </c>
      <c r="F2330" s="34">
        <v>88.01</v>
      </c>
      <c r="G2330" s="34">
        <v>88.03</v>
      </c>
      <c r="H2330" s="34">
        <v>88.03</v>
      </c>
      <c r="I2330" s="29">
        <v>53402000</v>
      </c>
      <c r="P2330" s="125"/>
      <c r="Q2330" s="34"/>
      <c r="R2330" s="115"/>
      <c r="S2330" s="34"/>
      <c r="T2330" s="34"/>
      <c r="U2330" s="34"/>
      <c r="V2330" s="29"/>
    </row>
    <row r="2331" spans="3:22">
      <c r="C2331" s="125">
        <v>43802</v>
      </c>
      <c r="D2331" s="34">
        <v>88</v>
      </c>
      <c r="E2331" s="115">
        <v>88.64</v>
      </c>
      <c r="F2331" s="34">
        <v>87.36</v>
      </c>
      <c r="G2331" s="34">
        <v>88.5</v>
      </c>
      <c r="H2331" s="34">
        <v>88.5</v>
      </c>
      <c r="I2331" s="29">
        <v>67618000</v>
      </c>
      <c r="P2331" s="125"/>
      <c r="Q2331" s="34"/>
      <c r="R2331" s="115"/>
      <c r="S2331" s="34"/>
      <c r="T2331" s="34"/>
      <c r="U2331" s="34"/>
      <c r="V2331" s="29"/>
    </row>
    <row r="2332" spans="3:22">
      <c r="C2332" s="125">
        <v>43801</v>
      </c>
      <c r="D2332" s="34">
        <v>90.22</v>
      </c>
      <c r="E2332" s="115">
        <v>90.28</v>
      </c>
      <c r="F2332" s="34">
        <v>88.13</v>
      </c>
      <c r="G2332" s="34">
        <v>89.08</v>
      </c>
      <c r="H2332" s="34">
        <v>89.08</v>
      </c>
      <c r="I2332" s="29">
        <v>78512000</v>
      </c>
      <c r="P2332" s="125"/>
      <c r="Q2332" s="34"/>
      <c r="R2332" s="115"/>
      <c r="S2332" s="34"/>
      <c r="T2332" s="34"/>
      <c r="U2332" s="34"/>
      <c r="V2332" s="29"/>
    </row>
    <row r="2333" spans="3:22">
      <c r="C2333" s="125">
        <v>43798</v>
      </c>
      <c r="D2333" s="34">
        <v>90.89</v>
      </c>
      <c r="E2333" s="115">
        <v>91.23</v>
      </c>
      <c r="F2333" s="34">
        <v>90.04</v>
      </c>
      <c r="G2333" s="34">
        <v>90.04</v>
      </c>
      <c r="H2333" s="34">
        <v>90.04</v>
      </c>
      <c r="I2333" s="29">
        <v>38468000</v>
      </c>
      <c r="P2333" s="125"/>
      <c r="Q2333" s="34"/>
      <c r="R2333" s="115"/>
      <c r="S2333" s="34"/>
      <c r="T2333" s="34"/>
      <c r="U2333" s="34"/>
      <c r="V2333" s="29"/>
    </row>
    <row r="2334" spans="3:22">
      <c r="C2334" s="125">
        <v>43796</v>
      </c>
      <c r="D2334" s="34">
        <v>90.05</v>
      </c>
      <c r="E2334" s="115">
        <v>91.22</v>
      </c>
      <c r="F2334" s="34">
        <v>89.87</v>
      </c>
      <c r="G2334" s="34">
        <v>90.93</v>
      </c>
      <c r="H2334" s="34">
        <v>90.93</v>
      </c>
      <c r="I2334" s="29">
        <v>60512000</v>
      </c>
      <c r="P2334" s="125"/>
      <c r="Q2334" s="34"/>
      <c r="R2334" s="115"/>
      <c r="S2334" s="34"/>
      <c r="T2334" s="34"/>
      <c r="U2334" s="34"/>
      <c r="V2334" s="29"/>
    </row>
    <row r="2335" spans="3:22">
      <c r="C2335" s="125">
        <v>43795</v>
      </c>
      <c r="D2335" s="34">
        <v>89</v>
      </c>
      <c r="E2335" s="115">
        <v>89.85</v>
      </c>
      <c r="F2335" s="34">
        <v>88.92</v>
      </c>
      <c r="G2335" s="34">
        <v>89.85</v>
      </c>
      <c r="H2335" s="34">
        <v>89.85</v>
      </c>
      <c r="I2335" s="29">
        <v>63624000</v>
      </c>
      <c r="P2335" s="125"/>
      <c r="Q2335" s="34"/>
      <c r="R2335" s="115"/>
      <c r="S2335" s="34"/>
      <c r="T2335" s="34"/>
      <c r="U2335" s="34"/>
      <c r="V2335" s="29"/>
    </row>
    <row r="2336" spans="3:22">
      <c r="C2336" s="125">
        <v>43794</v>
      </c>
      <c r="D2336" s="34">
        <v>87.66</v>
      </c>
      <c r="E2336" s="115">
        <v>88.87</v>
      </c>
      <c r="F2336" s="34">
        <v>87.66</v>
      </c>
      <c r="G2336" s="34">
        <v>88.69</v>
      </c>
      <c r="H2336" s="34">
        <v>88.69</v>
      </c>
      <c r="I2336" s="29">
        <v>69724000</v>
      </c>
      <c r="P2336" s="125"/>
      <c r="Q2336" s="34"/>
      <c r="R2336" s="115"/>
      <c r="S2336" s="34"/>
      <c r="T2336" s="34"/>
      <c r="U2336" s="34"/>
      <c r="V2336" s="29"/>
    </row>
    <row r="2337" spans="3:22">
      <c r="C2337" s="125">
        <v>43791</v>
      </c>
      <c r="D2337" s="34">
        <v>86.95</v>
      </c>
      <c r="E2337" s="115">
        <v>87.32</v>
      </c>
      <c r="F2337" s="34">
        <v>86.55</v>
      </c>
      <c r="G2337" s="34">
        <v>87.29</v>
      </c>
      <c r="H2337" s="34">
        <v>87.29</v>
      </c>
      <c r="I2337" s="29">
        <v>49582000</v>
      </c>
      <c r="P2337" s="125"/>
      <c r="Q2337" s="34"/>
      <c r="R2337" s="115"/>
      <c r="S2337" s="34"/>
      <c r="T2337" s="34"/>
      <c r="U2337" s="34"/>
      <c r="V2337" s="29"/>
    </row>
    <row r="2338" spans="3:22">
      <c r="C2338" s="125">
        <v>43790</v>
      </c>
      <c r="D2338" s="34">
        <v>87.15</v>
      </c>
      <c r="E2338" s="115">
        <v>87.34</v>
      </c>
      <c r="F2338" s="34">
        <v>86.52</v>
      </c>
      <c r="G2338" s="34">
        <v>86.74</v>
      </c>
      <c r="H2338" s="34">
        <v>86.74</v>
      </c>
      <c r="I2338" s="29">
        <v>53258000</v>
      </c>
      <c r="P2338" s="125"/>
      <c r="Q2338" s="34"/>
      <c r="R2338" s="115"/>
      <c r="S2338" s="34"/>
      <c r="T2338" s="34"/>
      <c r="U2338" s="34"/>
      <c r="V2338" s="29"/>
    </row>
    <row r="2339" spans="3:22">
      <c r="C2339" s="125">
        <v>43789</v>
      </c>
      <c r="D2339" s="34">
        <v>87.46</v>
      </c>
      <c r="E2339" s="115">
        <v>88.13</v>
      </c>
      <c r="F2339" s="34">
        <v>86.71</v>
      </c>
      <c r="G2339" s="34">
        <v>87.28</v>
      </c>
      <c r="H2339" s="34">
        <v>87.28</v>
      </c>
      <c r="I2339" s="29">
        <v>55800000</v>
      </c>
      <c r="P2339" s="125"/>
      <c r="Q2339" s="34"/>
      <c r="R2339" s="115"/>
      <c r="S2339" s="34"/>
      <c r="T2339" s="34"/>
      <c r="U2339" s="34"/>
      <c r="V2339" s="29"/>
    </row>
    <row r="2340" spans="3:22">
      <c r="C2340" s="125">
        <v>43788</v>
      </c>
      <c r="D2340" s="34">
        <v>87.85</v>
      </c>
      <c r="E2340" s="115">
        <v>88.03</v>
      </c>
      <c r="F2340" s="34">
        <v>87.15</v>
      </c>
      <c r="G2340" s="34">
        <v>87.64</v>
      </c>
      <c r="H2340" s="34">
        <v>87.64</v>
      </c>
      <c r="I2340" s="29">
        <v>45416000</v>
      </c>
      <c r="P2340" s="125"/>
      <c r="Q2340" s="34"/>
      <c r="R2340" s="115"/>
      <c r="S2340" s="34"/>
      <c r="T2340" s="34"/>
      <c r="U2340" s="34"/>
      <c r="V2340" s="29"/>
    </row>
    <row r="2341" spans="3:22">
      <c r="C2341" s="125">
        <v>43787</v>
      </c>
      <c r="D2341" s="34">
        <v>86.92</v>
      </c>
      <c r="E2341" s="115">
        <v>87.68</v>
      </c>
      <c r="F2341" s="34">
        <v>86.14</v>
      </c>
      <c r="G2341" s="34">
        <v>87.63</v>
      </c>
      <c r="H2341" s="34">
        <v>87.63</v>
      </c>
      <c r="I2341" s="29">
        <v>56790000</v>
      </c>
      <c r="P2341" s="125"/>
      <c r="Q2341" s="34"/>
      <c r="R2341" s="115"/>
      <c r="S2341" s="34"/>
      <c r="T2341" s="34"/>
      <c r="U2341" s="34"/>
      <c r="V2341" s="29"/>
    </row>
    <row r="2342" spans="3:22">
      <c r="C2342" s="125">
        <v>43784</v>
      </c>
      <c r="D2342" s="34">
        <v>88</v>
      </c>
      <c r="E2342" s="115">
        <v>88.08</v>
      </c>
      <c r="F2342" s="34">
        <v>86.64</v>
      </c>
      <c r="G2342" s="34">
        <v>86.97</v>
      </c>
      <c r="H2342" s="34">
        <v>86.97</v>
      </c>
      <c r="I2342" s="29">
        <v>78552000</v>
      </c>
      <c r="P2342" s="125"/>
      <c r="Q2342" s="34"/>
      <c r="R2342" s="115"/>
      <c r="S2342" s="34"/>
      <c r="T2342" s="34"/>
      <c r="U2342" s="34"/>
      <c r="V2342" s="29"/>
    </row>
    <row r="2343" spans="3:22">
      <c r="C2343" s="125">
        <v>43783</v>
      </c>
      <c r="D2343" s="34">
        <v>87.57</v>
      </c>
      <c r="E2343" s="115">
        <v>88.33</v>
      </c>
      <c r="F2343" s="34">
        <v>87.48</v>
      </c>
      <c r="G2343" s="34">
        <v>87.73</v>
      </c>
      <c r="H2343" s="34">
        <v>87.73</v>
      </c>
      <c r="I2343" s="29">
        <v>45296000</v>
      </c>
      <c r="P2343" s="125"/>
      <c r="Q2343" s="34"/>
      <c r="R2343" s="115"/>
      <c r="S2343" s="34"/>
      <c r="T2343" s="34"/>
      <c r="U2343" s="34"/>
      <c r="V2343" s="29"/>
    </row>
    <row r="2344" spans="3:22">
      <c r="C2344" s="125">
        <v>43782</v>
      </c>
      <c r="D2344" s="34">
        <v>88.67</v>
      </c>
      <c r="E2344" s="115">
        <v>88.75</v>
      </c>
      <c r="F2344" s="34">
        <v>87.37</v>
      </c>
      <c r="G2344" s="34">
        <v>87.66</v>
      </c>
      <c r="H2344" s="34">
        <v>87.66</v>
      </c>
      <c r="I2344" s="29">
        <v>59790000</v>
      </c>
      <c r="P2344" s="125"/>
      <c r="Q2344" s="34"/>
      <c r="R2344" s="115"/>
      <c r="S2344" s="34"/>
      <c r="T2344" s="34"/>
      <c r="U2344" s="34"/>
      <c r="V2344" s="29"/>
    </row>
    <row r="2345" spans="3:22">
      <c r="C2345" s="125">
        <v>43781</v>
      </c>
      <c r="D2345" s="34">
        <v>88.73</v>
      </c>
      <c r="E2345" s="115">
        <v>89.31</v>
      </c>
      <c r="F2345" s="34">
        <v>88.6</v>
      </c>
      <c r="G2345" s="34">
        <v>88.9</v>
      </c>
      <c r="H2345" s="34">
        <v>88.9</v>
      </c>
      <c r="I2345" s="29">
        <v>40752000</v>
      </c>
      <c r="P2345" s="125"/>
      <c r="Q2345" s="34"/>
      <c r="R2345" s="115"/>
      <c r="S2345" s="34"/>
      <c r="T2345" s="34"/>
      <c r="U2345" s="34"/>
      <c r="V2345" s="29"/>
    </row>
    <row r="2346" spans="3:22">
      <c r="C2346" s="125">
        <v>43780</v>
      </c>
      <c r="D2346" s="34">
        <v>88.9</v>
      </c>
      <c r="E2346" s="115">
        <v>89</v>
      </c>
      <c r="F2346" s="34">
        <v>88.36</v>
      </c>
      <c r="G2346" s="34">
        <v>88.58</v>
      </c>
      <c r="H2346" s="34">
        <v>88.58</v>
      </c>
      <c r="I2346" s="29">
        <v>38920000</v>
      </c>
      <c r="P2346" s="125"/>
      <c r="Q2346" s="34"/>
      <c r="R2346" s="115"/>
      <c r="S2346" s="34"/>
      <c r="T2346" s="34"/>
      <c r="U2346" s="34"/>
      <c r="V2346" s="29"/>
    </row>
    <row r="2347" spans="3:22">
      <c r="C2347" s="125">
        <v>43777</v>
      </c>
      <c r="D2347" s="34">
        <v>89.39</v>
      </c>
      <c r="E2347" s="115">
        <v>89.49</v>
      </c>
      <c r="F2347" s="34">
        <v>88.7</v>
      </c>
      <c r="G2347" s="34">
        <v>89.29</v>
      </c>
      <c r="H2347" s="34">
        <v>89.29</v>
      </c>
      <c r="I2347" s="29">
        <v>42466000</v>
      </c>
      <c r="P2347" s="125"/>
      <c r="Q2347" s="34"/>
      <c r="R2347" s="115"/>
      <c r="S2347" s="34"/>
      <c r="T2347" s="34"/>
      <c r="U2347" s="34"/>
      <c r="V2347" s="29"/>
    </row>
    <row r="2348" spans="3:22">
      <c r="C2348" s="125">
        <v>43776</v>
      </c>
      <c r="D2348" s="34">
        <v>90.19</v>
      </c>
      <c r="E2348" s="115">
        <v>90.29</v>
      </c>
      <c r="F2348" s="34">
        <v>89.17</v>
      </c>
      <c r="G2348" s="34">
        <v>89.41</v>
      </c>
      <c r="H2348" s="34">
        <v>89.41</v>
      </c>
      <c r="I2348" s="29">
        <v>53022000</v>
      </c>
      <c r="P2348" s="125"/>
      <c r="Q2348" s="34"/>
      <c r="R2348" s="115"/>
      <c r="S2348" s="34"/>
      <c r="T2348" s="34"/>
      <c r="U2348" s="34"/>
      <c r="V2348" s="29"/>
    </row>
    <row r="2349" spans="3:22">
      <c r="C2349" s="125">
        <v>43775</v>
      </c>
      <c r="D2349" s="34">
        <v>90.05</v>
      </c>
      <c r="E2349" s="115">
        <v>90.13</v>
      </c>
      <c r="F2349" s="34">
        <v>89.43</v>
      </c>
      <c r="G2349" s="34">
        <v>89.79</v>
      </c>
      <c r="H2349" s="34">
        <v>89.79</v>
      </c>
      <c r="I2349" s="29">
        <v>40596000</v>
      </c>
      <c r="P2349" s="125"/>
      <c r="Q2349" s="34"/>
      <c r="R2349" s="115"/>
      <c r="S2349" s="34"/>
      <c r="T2349" s="34"/>
      <c r="U2349" s="34"/>
      <c r="V2349" s="29"/>
    </row>
    <row r="2350" spans="3:22">
      <c r="C2350" s="125">
        <v>43774</v>
      </c>
      <c r="D2350" s="34">
        <v>90.46</v>
      </c>
      <c r="E2350" s="115">
        <v>90.51</v>
      </c>
      <c r="F2350" s="34">
        <v>89.7</v>
      </c>
      <c r="G2350" s="34">
        <v>90.09</v>
      </c>
      <c r="H2350" s="34">
        <v>90.09</v>
      </c>
      <c r="I2350" s="29">
        <v>37710000</v>
      </c>
      <c r="P2350" s="125"/>
      <c r="Q2350" s="34"/>
      <c r="R2350" s="115"/>
      <c r="S2350" s="34"/>
      <c r="T2350" s="34"/>
      <c r="U2350" s="34"/>
      <c r="V2350" s="29"/>
    </row>
    <row r="2351" spans="3:22">
      <c r="C2351" s="125">
        <v>43773</v>
      </c>
      <c r="D2351" s="34">
        <v>90.05</v>
      </c>
      <c r="E2351" s="115">
        <v>90.75</v>
      </c>
      <c r="F2351" s="34">
        <v>90.05</v>
      </c>
      <c r="G2351" s="34">
        <v>90.23</v>
      </c>
      <c r="H2351" s="34">
        <v>90.23</v>
      </c>
      <c r="I2351" s="29">
        <v>55438000</v>
      </c>
      <c r="P2351" s="125"/>
      <c r="Q2351" s="34"/>
      <c r="R2351" s="115"/>
      <c r="S2351" s="34"/>
      <c r="T2351" s="34"/>
      <c r="U2351" s="34"/>
      <c r="V2351" s="29"/>
    </row>
    <row r="2352" spans="3:22">
      <c r="C2352" s="125">
        <v>43770</v>
      </c>
      <c r="D2352" s="34">
        <v>89.4</v>
      </c>
      <c r="E2352" s="115">
        <v>89.87</v>
      </c>
      <c r="F2352" s="34">
        <v>89.26</v>
      </c>
      <c r="G2352" s="34">
        <v>89.57</v>
      </c>
      <c r="H2352" s="34">
        <v>89.57</v>
      </c>
      <c r="I2352" s="29">
        <v>55808000</v>
      </c>
      <c r="P2352" s="125"/>
      <c r="Q2352" s="34"/>
      <c r="R2352" s="115"/>
      <c r="S2352" s="34"/>
      <c r="T2352" s="34"/>
      <c r="U2352" s="34"/>
      <c r="V2352" s="29"/>
    </row>
    <row r="2353" spans="3:22">
      <c r="C2353" s="125">
        <v>43769</v>
      </c>
      <c r="D2353" s="34">
        <v>88.8</v>
      </c>
      <c r="E2353" s="115">
        <v>89.6</v>
      </c>
      <c r="F2353" s="34">
        <v>88.57</v>
      </c>
      <c r="G2353" s="34">
        <v>88.83</v>
      </c>
      <c r="H2353" s="34">
        <v>88.83</v>
      </c>
      <c r="I2353" s="29">
        <v>55624000</v>
      </c>
      <c r="P2353" s="125"/>
      <c r="Q2353" s="34"/>
      <c r="R2353" s="115"/>
      <c r="S2353" s="34"/>
      <c r="T2353" s="34"/>
      <c r="U2353" s="34"/>
      <c r="V2353" s="29"/>
    </row>
    <row r="2354" spans="3:22">
      <c r="C2354" s="125">
        <v>43768</v>
      </c>
      <c r="D2354" s="34">
        <v>88.01</v>
      </c>
      <c r="E2354" s="115">
        <v>89.12</v>
      </c>
      <c r="F2354" s="34">
        <v>87.96</v>
      </c>
      <c r="G2354" s="34">
        <v>89</v>
      </c>
      <c r="H2354" s="34">
        <v>89</v>
      </c>
      <c r="I2354" s="29">
        <v>48988000</v>
      </c>
      <c r="P2354" s="125"/>
      <c r="Q2354" s="34"/>
      <c r="R2354" s="115"/>
      <c r="S2354" s="34"/>
      <c r="T2354" s="34"/>
      <c r="U2354" s="34"/>
      <c r="V2354" s="29"/>
    </row>
    <row r="2355" spans="3:22">
      <c r="C2355" s="125">
        <v>43767</v>
      </c>
      <c r="D2355" s="34">
        <v>88.74</v>
      </c>
      <c r="E2355" s="115">
        <v>88.85</v>
      </c>
      <c r="F2355" s="34">
        <v>87.79</v>
      </c>
      <c r="G2355" s="34">
        <v>88.14</v>
      </c>
      <c r="H2355" s="34">
        <v>88.14</v>
      </c>
      <c r="I2355" s="29">
        <v>45538000</v>
      </c>
      <c r="P2355" s="125"/>
      <c r="Q2355" s="34"/>
      <c r="R2355" s="115"/>
      <c r="S2355" s="34"/>
      <c r="T2355" s="34"/>
      <c r="U2355" s="34"/>
      <c r="V2355" s="29"/>
    </row>
    <row r="2356" spans="3:22">
      <c r="C2356" s="125">
        <v>43766</v>
      </c>
      <c r="D2356" s="34">
        <v>87.4</v>
      </c>
      <c r="E2356" s="115">
        <v>88.93</v>
      </c>
      <c r="F2356" s="34">
        <v>87.13</v>
      </c>
      <c r="G2356" s="34">
        <v>88.85</v>
      </c>
      <c r="H2356" s="34">
        <v>88.85</v>
      </c>
      <c r="I2356" s="29">
        <v>74178000</v>
      </c>
      <c r="P2356" s="125"/>
      <c r="Q2356" s="34"/>
      <c r="R2356" s="115"/>
      <c r="S2356" s="34"/>
      <c r="T2356" s="34"/>
      <c r="U2356" s="34"/>
      <c r="V2356" s="29"/>
    </row>
    <row r="2357" spans="3:22">
      <c r="C2357" s="125">
        <v>43763</v>
      </c>
      <c r="D2357" s="34">
        <v>84.88</v>
      </c>
      <c r="E2357" s="115">
        <v>88.21</v>
      </c>
      <c r="F2357" s="34">
        <v>84.75</v>
      </c>
      <c r="G2357" s="34">
        <v>88.07</v>
      </c>
      <c r="H2357" s="34">
        <v>88.07</v>
      </c>
      <c r="I2357" s="29">
        <v>192528000</v>
      </c>
      <c r="P2357" s="125"/>
      <c r="Q2357" s="34"/>
      <c r="R2357" s="115"/>
      <c r="S2357" s="34"/>
      <c r="T2357" s="34"/>
      <c r="U2357" s="34"/>
      <c r="V2357" s="29"/>
    </row>
    <row r="2358" spans="3:22">
      <c r="C2358" s="125">
        <v>43762</v>
      </c>
      <c r="D2358" s="34">
        <v>88.55</v>
      </c>
      <c r="E2358" s="115">
        <v>89.42</v>
      </c>
      <c r="F2358" s="34">
        <v>88.01</v>
      </c>
      <c r="G2358" s="34">
        <v>89.04</v>
      </c>
      <c r="H2358" s="34">
        <v>89.04</v>
      </c>
      <c r="I2358" s="29">
        <v>88922000</v>
      </c>
      <c r="P2358" s="125"/>
      <c r="Q2358" s="34"/>
      <c r="R2358" s="115"/>
      <c r="S2358" s="34"/>
      <c r="T2358" s="34"/>
      <c r="U2358" s="34"/>
      <c r="V2358" s="29"/>
    </row>
    <row r="2359" spans="3:22">
      <c r="C2359" s="125">
        <v>43761</v>
      </c>
      <c r="D2359" s="34">
        <v>88.07</v>
      </c>
      <c r="E2359" s="115">
        <v>88.5</v>
      </c>
      <c r="F2359" s="34">
        <v>87.1</v>
      </c>
      <c r="G2359" s="34">
        <v>88.11</v>
      </c>
      <c r="H2359" s="34">
        <v>88.11</v>
      </c>
      <c r="I2359" s="29">
        <v>42764000</v>
      </c>
      <c r="P2359" s="125"/>
      <c r="Q2359" s="34"/>
      <c r="R2359" s="115"/>
      <c r="S2359" s="34"/>
      <c r="T2359" s="34"/>
      <c r="U2359" s="34"/>
      <c r="V2359" s="29"/>
    </row>
    <row r="2360" spans="3:22">
      <c r="C2360" s="125">
        <v>43760</v>
      </c>
      <c r="D2360" s="34">
        <v>89.41</v>
      </c>
      <c r="E2360" s="115">
        <v>89.49</v>
      </c>
      <c r="F2360" s="34">
        <v>88.1</v>
      </c>
      <c r="G2360" s="34">
        <v>88.29</v>
      </c>
      <c r="H2360" s="34">
        <v>88.29</v>
      </c>
      <c r="I2360" s="29">
        <v>42234000</v>
      </c>
      <c r="P2360" s="125"/>
      <c r="Q2360" s="34"/>
      <c r="R2360" s="115"/>
      <c r="S2360" s="34"/>
      <c r="T2360" s="34"/>
      <c r="U2360" s="34"/>
      <c r="V2360" s="29"/>
    </row>
    <row r="2361" spans="3:22">
      <c r="C2361" s="125">
        <v>43759</v>
      </c>
      <c r="D2361" s="34">
        <v>88.48</v>
      </c>
      <c r="E2361" s="115">
        <v>89.29</v>
      </c>
      <c r="F2361" s="34">
        <v>88.25</v>
      </c>
      <c r="G2361" s="34">
        <v>89.28</v>
      </c>
      <c r="H2361" s="34">
        <v>89.28</v>
      </c>
      <c r="I2361" s="29">
        <v>42608000</v>
      </c>
      <c r="P2361" s="125"/>
      <c r="Q2361" s="34"/>
      <c r="R2361" s="115"/>
      <c r="S2361" s="34"/>
      <c r="T2361" s="34"/>
      <c r="U2361" s="34"/>
      <c r="V2361" s="29"/>
    </row>
    <row r="2362" spans="3:22">
      <c r="C2362" s="125">
        <v>43756</v>
      </c>
      <c r="D2362" s="34">
        <v>89.39</v>
      </c>
      <c r="E2362" s="115">
        <v>89.7</v>
      </c>
      <c r="F2362" s="34">
        <v>87.46</v>
      </c>
      <c r="G2362" s="34">
        <v>87.88</v>
      </c>
      <c r="H2362" s="34">
        <v>87.88</v>
      </c>
      <c r="I2362" s="29">
        <v>67250000</v>
      </c>
      <c r="P2362" s="125"/>
      <c r="Q2362" s="34"/>
      <c r="R2362" s="115"/>
      <c r="S2362" s="34"/>
      <c r="T2362" s="34"/>
      <c r="U2362" s="34"/>
      <c r="V2362" s="29"/>
    </row>
    <row r="2363" spans="3:22">
      <c r="C2363" s="125">
        <v>43755</v>
      </c>
      <c r="D2363" s="34">
        <v>89.82</v>
      </c>
      <c r="E2363" s="115">
        <v>89.94</v>
      </c>
      <c r="F2363" s="34">
        <v>89.1</v>
      </c>
      <c r="G2363" s="34">
        <v>89.37</v>
      </c>
      <c r="H2363" s="34">
        <v>89.37</v>
      </c>
      <c r="I2363" s="29">
        <v>52948000</v>
      </c>
      <c r="P2363" s="125"/>
      <c r="Q2363" s="34"/>
      <c r="R2363" s="115"/>
      <c r="S2363" s="34"/>
      <c r="T2363" s="34"/>
      <c r="U2363" s="34"/>
      <c r="V2363" s="29"/>
    </row>
    <row r="2364" spans="3:22">
      <c r="C2364" s="125">
        <v>43754</v>
      </c>
      <c r="D2364" s="34">
        <v>88.67</v>
      </c>
      <c r="E2364" s="115">
        <v>89.31</v>
      </c>
      <c r="F2364" s="34">
        <v>88.53</v>
      </c>
      <c r="G2364" s="34">
        <v>88.87</v>
      </c>
      <c r="H2364" s="34">
        <v>88.87</v>
      </c>
      <c r="I2364" s="29">
        <v>55268000</v>
      </c>
      <c r="P2364" s="125"/>
      <c r="Q2364" s="34"/>
      <c r="R2364" s="115"/>
      <c r="S2364" s="34"/>
      <c r="T2364" s="34"/>
      <c r="U2364" s="34"/>
      <c r="V2364" s="29"/>
    </row>
    <row r="2365" spans="3:22">
      <c r="C2365" s="125">
        <v>43753</v>
      </c>
      <c r="D2365" s="34">
        <v>87.11</v>
      </c>
      <c r="E2365" s="115">
        <v>88.82</v>
      </c>
      <c r="F2365" s="34">
        <v>87.03</v>
      </c>
      <c r="G2365" s="34">
        <v>88.37</v>
      </c>
      <c r="H2365" s="34">
        <v>88.37</v>
      </c>
      <c r="I2365" s="29">
        <v>62234000</v>
      </c>
      <c r="P2365" s="125"/>
      <c r="Q2365" s="34"/>
      <c r="R2365" s="115"/>
      <c r="S2365" s="34"/>
      <c r="T2365" s="34"/>
      <c r="U2365" s="34"/>
      <c r="V2365" s="29"/>
    </row>
    <row r="2366" spans="3:22">
      <c r="C2366" s="125">
        <v>43752</v>
      </c>
      <c r="D2366" s="34">
        <v>86.45</v>
      </c>
      <c r="E2366" s="115">
        <v>87.09</v>
      </c>
      <c r="F2366" s="34">
        <v>86.1</v>
      </c>
      <c r="G2366" s="34">
        <v>86.82</v>
      </c>
      <c r="H2366" s="34">
        <v>86.82</v>
      </c>
      <c r="I2366" s="29">
        <v>38204000</v>
      </c>
      <c r="P2366" s="125"/>
      <c r="Q2366" s="34"/>
      <c r="R2366" s="115"/>
      <c r="S2366" s="34"/>
      <c r="T2366" s="34"/>
      <c r="U2366" s="34"/>
      <c r="V2366" s="29"/>
    </row>
    <row r="2367" spans="3:22">
      <c r="C2367" s="125">
        <v>43749</v>
      </c>
      <c r="D2367" s="34">
        <v>87.15</v>
      </c>
      <c r="E2367" s="115">
        <v>87.27</v>
      </c>
      <c r="F2367" s="34">
        <v>86.49</v>
      </c>
      <c r="G2367" s="34">
        <v>86.6</v>
      </c>
      <c r="H2367" s="34">
        <v>86.6</v>
      </c>
      <c r="I2367" s="29">
        <v>65100000</v>
      </c>
      <c r="P2367" s="125"/>
      <c r="Q2367" s="34"/>
      <c r="R2367" s="115"/>
      <c r="S2367" s="34"/>
      <c r="T2367" s="34"/>
      <c r="U2367" s="34"/>
      <c r="V2367" s="29"/>
    </row>
    <row r="2368" spans="3:22">
      <c r="C2368" s="125">
        <v>43748</v>
      </c>
      <c r="D2368" s="34">
        <v>86.26</v>
      </c>
      <c r="E2368" s="115">
        <v>86.91</v>
      </c>
      <c r="F2368" s="34">
        <v>85.69</v>
      </c>
      <c r="G2368" s="34">
        <v>86.01</v>
      </c>
      <c r="H2368" s="34">
        <v>86.01</v>
      </c>
      <c r="I2368" s="29">
        <v>51504000</v>
      </c>
      <c r="P2368" s="125"/>
      <c r="Q2368" s="34"/>
      <c r="R2368" s="115"/>
      <c r="S2368" s="34"/>
      <c r="T2368" s="34"/>
      <c r="U2368" s="34"/>
      <c r="V2368" s="29"/>
    </row>
    <row r="2369" spans="3:22">
      <c r="C2369" s="125">
        <v>43747</v>
      </c>
      <c r="D2369" s="34">
        <v>85.98</v>
      </c>
      <c r="E2369" s="115">
        <v>86.5</v>
      </c>
      <c r="F2369" s="34">
        <v>85.72</v>
      </c>
      <c r="G2369" s="34">
        <v>86.1</v>
      </c>
      <c r="H2369" s="34">
        <v>86.1</v>
      </c>
      <c r="I2369" s="29">
        <v>40870000</v>
      </c>
      <c r="P2369" s="125"/>
      <c r="Q2369" s="34"/>
      <c r="R2369" s="115"/>
      <c r="S2369" s="34"/>
      <c r="T2369" s="34"/>
      <c r="U2369" s="34"/>
      <c r="V2369" s="29"/>
    </row>
    <row r="2370" spans="3:22">
      <c r="C2370" s="125">
        <v>43746</v>
      </c>
      <c r="D2370" s="34">
        <v>86.12</v>
      </c>
      <c r="E2370" s="115">
        <v>86.35</v>
      </c>
      <c r="F2370" s="34">
        <v>85.25</v>
      </c>
      <c r="G2370" s="34">
        <v>85.28</v>
      </c>
      <c r="H2370" s="34">
        <v>85.28</v>
      </c>
      <c r="I2370" s="29">
        <v>50840000</v>
      </c>
      <c r="P2370" s="125"/>
      <c r="Q2370" s="34"/>
      <c r="R2370" s="115"/>
      <c r="S2370" s="34"/>
      <c r="T2370" s="34"/>
      <c r="U2370" s="34"/>
      <c r="V2370" s="29"/>
    </row>
    <row r="2371" spans="3:22">
      <c r="C2371" s="125">
        <v>43745</v>
      </c>
      <c r="D2371" s="34">
        <v>86.58</v>
      </c>
      <c r="E2371" s="115">
        <v>87.39</v>
      </c>
      <c r="F2371" s="34">
        <v>86.18</v>
      </c>
      <c r="G2371" s="34">
        <v>86.63</v>
      </c>
      <c r="H2371" s="34">
        <v>86.63</v>
      </c>
      <c r="I2371" s="29">
        <v>43094000</v>
      </c>
      <c r="P2371" s="125"/>
      <c r="Q2371" s="34"/>
      <c r="R2371" s="115"/>
      <c r="S2371" s="34"/>
      <c r="T2371" s="34"/>
      <c r="U2371" s="34"/>
      <c r="V2371" s="29"/>
    </row>
    <row r="2372" spans="3:22">
      <c r="C2372" s="125">
        <v>43742</v>
      </c>
      <c r="D2372" s="34">
        <v>86.3</v>
      </c>
      <c r="E2372" s="115">
        <v>87.03</v>
      </c>
      <c r="F2372" s="34">
        <v>85.96</v>
      </c>
      <c r="G2372" s="34">
        <v>86.98</v>
      </c>
      <c r="H2372" s="34">
        <v>86.98</v>
      </c>
      <c r="I2372" s="29">
        <v>49438000</v>
      </c>
      <c r="P2372" s="125"/>
      <c r="Q2372" s="34"/>
      <c r="R2372" s="115"/>
      <c r="S2372" s="34"/>
      <c r="T2372" s="34"/>
      <c r="U2372" s="34"/>
      <c r="V2372" s="29"/>
    </row>
    <row r="2373" spans="3:22">
      <c r="C2373" s="125">
        <v>43741</v>
      </c>
      <c r="D2373" s="34">
        <v>85.65</v>
      </c>
      <c r="E2373" s="115">
        <v>86.25</v>
      </c>
      <c r="F2373" s="34">
        <v>84.25</v>
      </c>
      <c r="G2373" s="34">
        <v>86.22</v>
      </c>
      <c r="H2373" s="34">
        <v>86.22</v>
      </c>
      <c r="I2373" s="29">
        <v>69364000</v>
      </c>
      <c r="P2373" s="125"/>
      <c r="Q2373" s="34"/>
      <c r="R2373" s="115"/>
      <c r="S2373" s="34"/>
      <c r="T2373" s="34"/>
      <c r="U2373" s="34"/>
      <c r="V2373" s="29"/>
    </row>
    <row r="2374" spans="3:22">
      <c r="C2374" s="125">
        <v>43740</v>
      </c>
      <c r="D2374" s="34">
        <v>86.39</v>
      </c>
      <c r="E2374" s="115">
        <v>86.44</v>
      </c>
      <c r="F2374" s="34">
        <v>85.25</v>
      </c>
      <c r="G2374" s="34">
        <v>85.66</v>
      </c>
      <c r="H2374" s="34">
        <v>85.66</v>
      </c>
      <c r="I2374" s="29">
        <v>66022000</v>
      </c>
      <c r="P2374" s="125"/>
      <c r="Q2374" s="34"/>
      <c r="R2374" s="115"/>
      <c r="S2374" s="34"/>
      <c r="T2374" s="34"/>
      <c r="U2374" s="34"/>
      <c r="V2374" s="29"/>
    </row>
    <row r="2375" spans="3:22">
      <c r="C2375" s="125">
        <v>43739</v>
      </c>
      <c r="D2375" s="34">
        <v>87.3</v>
      </c>
      <c r="E2375" s="115">
        <v>87.78</v>
      </c>
      <c r="F2375" s="34">
        <v>86.42</v>
      </c>
      <c r="G2375" s="34">
        <v>86.78</v>
      </c>
      <c r="H2375" s="34">
        <v>86.78</v>
      </c>
      <c r="I2375" s="29">
        <v>61690000</v>
      </c>
      <c r="P2375" s="125"/>
      <c r="Q2375" s="34"/>
      <c r="R2375" s="115"/>
      <c r="S2375" s="34"/>
      <c r="T2375" s="34"/>
      <c r="U2375" s="34"/>
      <c r="V2375" s="29"/>
    </row>
    <row r="2376" spans="3:22">
      <c r="C2376" s="125">
        <v>43738</v>
      </c>
      <c r="D2376" s="34">
        <v>86.35</v>
      </c>
      <c r="E2376" s="115">
        <v>86.87</v>
      </c>
      <c r="F2376" s="34">
        <v>85.46</v>
      </c>
      <c r="G2376" s="34">
        <v>86.8</v>
      </c>
      <c r="H2376" s="34">
        <v>86.8</v>
      </c>
      <c r="I2376" s="29">
        <v>52894000</v>
      </c>
      <c r="P2376" s="125"/>
      <c r="Q2376" s="34"/>
      <c r="R2376" s="115"/>
      <c r="S2376" s="34"/>
      <c r="T2376" s="34"/>
      <c r="U2376" s="34"/>
      <c r="V2376" s="29"/>
    </row>
    <row r="2377" spans="3:22">
      <c r="C2377" s="125">
        <v>43735</v>
      </c>
      <c r="D2377" s="34">
        <v>87.4</v>
      </c>
      <c r="E2377" s="115">
        <v>87.46</v>
      </c>
      <c r="F2377" s="34">
        <v>85.69</v>
      </c>
      <c r="G2377" s="34">
        <v>86.27</v>
      </c>
      <c r="H2377" s="34">
        <v>86.27</v>
      </c>
      <c r="I2377" s="29">
        <v>78144000</v>
      </c>
      <c r="P2377" s="125"/>
      <c r="Q2377" s="34"/>
      <c r="R2377" s="115"/>
      <c r="S2377" s="34"/>
      <c r="T2377" s="34"/>
      <c r="U2377" s="34"/>
      <c r="V2377" s="29"/>
    </row>
    <row r="2378" spans="3:22">
      <c r="C2378" s="125">
        <v>43734</v>
      </c>
      <c r="D2378" s="34">
        <v>88.14</v>
      </c>
      <c r="E2378" s="115">
        <v>88.17</v>
      </c>
      <c r="F2378" s="34">
        <v>86.57</v>
      </c>
      <c r="G2378" s="34">
        <v>86.99</v>
      </c>
      <c r="H2378" s="34">
        <v>86.99</v>
      </c>
      <c r="I2378" s="29">
        <v>70736000</v>
      </c>
      <c r="P2378" s="125"/>
      <c r="Q2378" s="34"/>
      <c r="R2378" s="115"/>
      <c r="S2378" s="34"/>
      <c r="T2378" s="34"/>
      <c r="U2378" s="34"/>
      <c r="V2378" s="29"/>
    </row>
    <row r="2379" spans="3:22">
      <c r="C2379" s="125">
        <v>43733</v>
      </c>
      <c r="D2379" s="34">
        <v>87.37</v>
      </c>
      <c r="E2379" s="115">
        <v>88.65</v>
      </c>
      <c r="F2379" s="34">
        <v>86.15</v>
      </c>
      <c r="G2379" s="34">
        <v>88.42</v>
      </c>
      <c r="H2379" s="34">
        <v>88.42</v>
      </c>
      <c r="I2379" s="29">
        <v>69864000</v>
      </c>
      <c r="P2379" s="125"/>
      <c r="Q2379" s="34"/>
      <c r="R2379" s="115"/>
      <c r="S2379" s="34"/>
      <c r="T2379" s="34"/>
      <c r="U2379" s="34"/>
      <c r="V2379" s="29"/>
    </row>
    <row r="2380" spans="3:22">
      <c r="C2380" s="125">
        <v>43732</v>
      </c>
      <c r="D2380" s="34">
        <v>89.53</v>
      </c>
      <c r="E2380" s="115">
        <v>89.79</v>
      </c>
      <c r="F2380" s="34">
        <v>86.78</v>
      </c>
      <c r="G2380" s="34">
        <v>87.08</v>
      </c>
      <c r="H2380" s="34">
        <v>87.08</v>
      </c>
      <c r="I2380" s="29">
        <v>92320000</v>
      </c>
      <c r="P2380" s="125"/>
      <c r="Q2380" s="34"/>
      <c r="R2380" s="115"/>
      <c r="S2380" s="34"/>
      <c r="T2380" s="34"/>
      <c r="U2380" s="34"/>
      <c r="V2380" s="29"/>
    </row>
    <row r="2381" spans="3:22">
      <c r="C2381" s="125">
        <v>43731</v>
      </c>
      <c r="D2381" s="34">
        <v>88.85</v>
      </c>
      <c r="E2381" s="115">
        <v>89.64</v>
      </c>
      <c r="F2381" s="34">
        <v>88.37</v>
      </c>
      <c r="G2381" s="34">
        <v>89.26</v>
      </c>
      <c r="H2381" s="34">
        <v>89.26</v>
      </c>
      <c r="I2381" s="29">
        <v>58446000</v>
      </c>
      <c r="P2381" s="125"/>
      <c r="Q2381" s="34"/>
      <c r="R2381" s="115"/>
      <c r="S2381" s="34"/>
      <c r="T2381" s="34"/>
      <c r="U2381" s="34"/>
      <c r="V2381" s="29"/>
    </row>
    <row r="2382" spans="3:22">
      <c r="C2382" s="125">
        <v>43728</v>
      </c>
      <c r="D2382" s="34">
        <v>91.09</v>
      </c>
      <c r="E2382" s="115">
        <v>91.53</v>
      </c>
      <c r="F2382" s="34">
        <v>89.05</v>
      </c>
      <c r="G2382" s="34">
        <v>89.71</v>
      </c>
      <c r="H2382" s="34">
        <v>89.71</v>
      </c>
      <c r="I2382" s="29">
        <v>106838000</v>
      </c>
      <c r="P2382" s="125"/>
      <c r="Q2382" s="34"/>
      <c r="R2382" s="115"/>
      <c r="S2382" s="34"/>
      <c r="T2382" s="34"/>
      <c r="U2382" s="34"/>
      <c r="V2382" s="29"/>
    </row>
    <row r="2383" spans="3:22">
      <c r="C2383" s="125">
        <v>43727</v>
      </c>
      <c r="D2383" s="34">
        <v>91.05</v>
      </c>
      <c r="E2383" s="115">
        <v>91.63</v>
      </c>
      <c r="F2383" s="34">
        <v>90.89</v>
      </c>
      <c r="G2383" s="34">
        <v>91.07</v>
      </c>
      <c r="H2383" s="34">
        <v>91.07</v>
      </c>
      <c r="I2383" s="29">
        <v>40630000</v>
      </c>
      <c r="P2383" s="125"/>
      <c r="Q2383" s="34"/>
      <c r="R2383" s="115"/>
      <c r="S2383" s="34"/>
      <c r="T2383" s="34"/>
      <c r="U2383" s="34"/>
      <c r="V2383" s="29"/>
    </row>
    <row r="2384" spans="3:22">
      <c r="C2384" s="125">
        <v>43726</v>
      </c>
      <c r="D2384" s="34">
        <v>90.85</v>
      </c>
      <c r="E2384" s="115">
        <v>91.1</v>
      </c>
      <c r="F2384" s="34">
        <v>89.78</v>
      </c>
      <c r="G2384" s="34">
        <v>90.87</v>
      </c>
      <c r="H2384" s="34">
        <v>90.87</v>
      </c>
      <c r="I2384" s="29">
        <v>50112000</v>
      </c>
      <c r="P2384" s="125"/>
      <c r="Q2384" s="34"/>
      <c r="R2384" s="115"/>
      <c r="S2384" s="34"/>
      <c r="T2384" s="34"/>
      <c r="U2384" s="34"/>
      <c r="V2384" s="29"/>
    </row>
    <row r="2385" spans="3:22">
      <c r="C2385" s="125">
        <v>43725</v>
      </c>
      <c r="D2385" s="34">
        <v>90.35</v>
      </c>
      <c r="E2385" s="115">
        <v>91.2</v>
      </c>
      <c r="F2385" s="34">
        <v>90.21</v>
      </c>
      <c r="G2385" s="34">
        <v>91.13</v>
      </c>
      <c r="H2385" s="34">
        <v>91.13</v>
      </c>
      <c r="I2385" s="29">
        <v>39648000</v>
      </c>
      <c r="P2385" s="125"/>
      <c r="Q2385" s="34"/>
      <c r="R2385" s="115"/>
      <c r="S2385" s="34"/>
      <c r="T2385" s="34"/>
      <c r="U2385" s="34"/>
      <c r="V2385" s="29"/>
    </row>
    <row r="2386" spans="3:22">
      <c r="C2386" s="125">
        <v>43724</v>
      </c>
      <c r="D2386" s="34">
        <v>91.2</v>
      </c>
      <c r="E2386" s="115">
        <v>91.28</v>
      </c>
      <c r="F2386" s="34">
        <v>90.01</v>
      </c>
      <c r="G2386" s="34">
        <v>90.39</v>
      </c>
      <c r="H2386" s="34">
        <v>90.39</v>
      </c>
      <c r="I2386" s="29">
        <v>73510000</v>
      </c>
      <c r="P2386" s="125"/>
      <c r="Q2386" s="34"/>
      <c r="R2386" s="115"/>
      <c r="S2386" s="34"/>
      <c r="T2386" s="34"/>
      <c r="U2386" s="34"/>
      <c r="V2386" s="29"/>
    </row>
    <row r="2387" spans="3:22">
      <c r="C2387" s="125">
        <v>43721</v>
      </c>
      <c r="D2387" s="34">
        <v>92.1</v>
      </c>
      <c r="E2387" s="115">
        <v>92.31</v>
      </c>
      <c r="F2387" s="34">
        <v>91.76</v>
      </c>
      <c r="G2387" s="34">
        <v>91.97</v>
      </c>
      <c r="H2387" s="34">
        <v>91.97</v>
      </c>
      <c r="I2387" s="29">
        <v>39426000</v>
      </c>
      <c r="P2387" s="125"/>
      <c r="Q2387" s="34"/>
      <c r="R2387" s="115"/>
      <c r="S2387" s="34"/>
      <c r="T2387" s="34"/>
      <c r="U2387" s="34"/>
      <c r="V2387" s="29"/>
    </row>
    <row r="2388" spans="3:22">
      <c r="C2388" s="125">
        <v>43720</v>
      </c>
      <c r="D2388" s="34">
        <v>91.88</v>
      </c>
      <c r="E2388" s="115">
        <v>92.68</v>
      </c>
      <c r="F2388" s="34">
        <v>91.71</v>
      </c>
      <c r="G2388" s="34">
        <v>92.18</v>
      </c>
      <c r="H2388" s="34">
        <v>92.18</v>
      </c>
      <c r="I2388" s="29">
        <v>56470000</v>
      </c>
      <c r="P2388" s="125"/>
      <c r="Q2388" s="34"/>
      <c r="R2388" s="115"/>
      <c r="S2388" s="34"/>
      <c r="T2388" s="34"/>
      <c r="U2388" s="34"/>
      <c r="V2388" s="29"/>
    </row>
    <row r="2389" spans="3:22">
      <c r="C2389" s="125">
        <v>43719</v>
      </c>
      <c r="D2389" s="34">
        <v>90.61</v>
      </c>
      <c r="E2389" s="115">
        <v>91.67</v>
      </c>
      <c r="F2389" s="34">
        <v>90.45</v>
      </c>
      <c r="G2389" s="34">
        <v>91.15</v>
      </c>
      <c r="H2389" s="34">
        <v>91.15</v>
      </c>
      <c r="I2389" s="29">
        <v>48656000</v>
      </c>
      <c r="P2389" s="125"/>
      <c r="Q2389" s="34"/>
      <c r="R2389" s="115"/>
      <c r="S2389" s="34"/>
      <c r="T2389" s="34"/>
      <c r="U2389" s="34"/>
      <c r="V2389" s="29"/>
    </row>
    <row r="2390" spans="3:22">
      <c r="C2390" s="125">
        <v>43718</v>
      </c>
      <c r="D2390" s="34">
        <v>91.14</v>
      </c>
      <c r="E2390" s="115">
        <v>91.29</v>
      </c>
      <c r="F2390" s="34">
        <v>90.27</v>
      </c>
      <c r="G2390" s="34">
        <v>91.03</v>
      </c>
      <c r="H2390" s="34">
        <v>91.03</v>
      </c>
      <c r="I2390" s="29">
        <v>52278000</v>
      </c>
      <c r="P2390" s="125"/>
      <c r="Q2390" s="34"/>
      <c r="R2390" s="115"/>
      <c r="S2390" s="34"/>
      <c r="T2390" s="34"/>
      <c r="U2390" s="34"/>
      <c r="V2390" s="29"/>
    </row>
    <row r="2391" spans="3:22">
      <c r="C2391" s="125">
        <v>43717</v>
      </c>
      <c r="D2391" s="34">
        <v>92.05</v>
      </c>
      <c r="E2391" s="115">
        <v>92.5</v>
      </c>
      <c r="F2391" s="34">
        <v>91.23</v>
      </c>
      <c r="G2391" s="34">
        <v>91.57</v>
      </c>
      <c r="H2391" s="34">
        <v>91.57</v>
      </c>
      <c r="I2391" s="29">
        <v>59990000</v>
      </c>
      <c r="P2391" s="125"/>
      <c r="Q2391" s="34"/>
      <c r="R2391" s="115"/>
      <c r="S2391" s="34"/>
      <c r="T2391" s="34"/>
      <c r="U2391" s="34"/>
      <c r="V2391" s="29"/>
    </row>
    <row r="2392" spans="3:22">
      <c r="C2392" s="125">
        <v>43714</v>
      </c>
      <c r="D2392" s="34">
        <v>91.91</v>
      </c>
      <c r="E2392" s="115">
        <v>92.03</v>
      </c>
      <c r="F2392" s="34">
        <v>91.32</v>
      </c>
      <c r="G2392" s="34">
        <v>91.68</v>
      </c>
      <c r="H2392" s="34">
        <v>91.68</v>
      </c>
      <c r="I2392" s="29">
        <v>49938000</v>
      </c>
      <c r="P2392" s="125"/>
      <c r="Q2392" s="34"/>
      <c r="R2392" s="115"/>
      <c r="S2392" s="34"/>
      <c r="T2392" s="34"/>
      <c r="U2392" s="34"/>
      <c r="V2392" s="29"/>
    </row>
    <row r="2393" spans="3:22">
      <c r="C2393" s="125">
        <v>43713</v>
      </c>
      <c r="D2393" s="34">
        <v>91.1</v>
      </c>
      <c r="E2393" s="115">
        <v>92.1</v>
      </c>
      <c r="F2393" s="34">
        <v>90.78</v>
      </c>
      <c r="G2393" s="34">
        <v>92.04</v>
      </c>
      <c r="H2393" s="34">
        <v>92.04</v>
      </c>
      <c r="I2393" s="29">
        <v>66216000</v>
      </c>
      <c r="P2393" s="125"/>
      <c r="Q2393" s="34"/>
      <c r="R2393" s="115"/>
      <c r="S2393" s="34"/>
      <c r="T2393" s="34"/>
      <c r="U2393" s="34"/>
      <c r="V2393" s="29"/>
    </row>
    <row r="2394" spans="3:22">
      <c r="C2394" s="125">
        <v>43712</v>
      </c>
      <c r="D2394" s="34">
        <v>90.25</v>
      </c>
      <c r="E2394" s="115">
        <v>90.38</v>
      </c>
      <c r="F2394" s="34">
        <v>89.81</v>
      </c>
      <c r="G2394" s="34">
        <v>90.03</v>
      </c>
      <c r="H2394" s="34">
        <v>90.03</v>
      </c>
      <c r="I2394" s="29">
        <v>46482000</v>
      </c>
      <c r="P2394" s="125"/>
      <c r="Q2394" s="34"/>
      <c r="R2394" s="115"/>
      <c r="S2394" s="34"/>
      <c r="T2394" s="34"/>
      <c r="U2394" s="34"/>
      <c r="V2394" s="29"/>
    </row>
    <row r="2395" spans="3:22">
      <c r="C2395" s="125">
        <v>43711</v>
      </c>
      <c r="D2395" s="34">
        <v>88.5</v>
      </c>
      <c r="E2395" s="115">
        <v>90.04</v>
      </c>
      <c r="F2395" s="34">
        <v>88.4</v>
      </c>
      <c r="G2395" s="34">
        <v>89.49</v>
      </c>
      <c r="H2395" s="34">
        <v>89.49</v>
      </c>
      <c r="I2395" s="29">
        <v>70860000</v>
      </c>
      <c r="P2395" s="125"/>
      <c r="Q2395" s="34"/>
      <c r="R2395" s="115"/>
      <c r="S2395" s="34"/>
      <c r="T2395" s="34"/>
      <c r="U2395" s="34"/>
      <c r="V2395" s="29"/>
    </row>
    <row r="2396" spans="3:22">
      <c r="C2396" s="125">
        <v>43707</v>
      </c>
      <c r="D2396" s="34">
        <v>89.87</v>
      </c>
      <c r="E2396" s="115">
        <v>89.99</v>
      </c>
      <c r="F2396" s="34">
        <v>88.23</v>
      </c>
      <c r="G2396" s="34">
        <v>88.81</v>
      </c>
      <c r="H2396" s="34">
        <v>88.81</v>
      </c>
      <c r="I2396" s="29">
        <v>61174000</v>
      </c>
      <c r="P2396" s="125"/>
      <c r="Q2396" s="34"/>
      <c r="R2396" s="115"/>
      <c r="S2396" s="34"/>
      <c r="T2396" s="34"/>
      <c r="U2396" s="34"/>
      <c r="V2396" s="29"/>
    </row>
    <row r="2397" spans="3:22">
      <c r="C2397" s="125">
        <v>43706</v>
      </c>
      <c r="D2397" s="34">
        <v>89.15</v>
      </c>
      <c r="E2397" s="115">
        <v>89.93</v>
      </c>
      <c r="F2397" s="34">
        <v>88.86</v>
      </c>
      <c r="G2397" s="34">
        <v>89.32</v>
      </c>
      <c r="H2397" s="34">
        <v>89.32</v>
      </c>
      <c r="I2397" s="29">
        <v>60302000</v>
      </c>
      <c r="P2397" s="125"/>
      <c r="Q2397" s="34"/>
      <c r="R2397" s="115"/>
      <c r="S2397" s="34"/>
      <c r="T2397" s="34"/>
      <c r="U2397" s="34"/>
      <c r="V2397" s="29"/>
    </row>
    <row r="2398" spans="3:22">
      <c r="C2398" s="125">
        <v>43705</v>
      </c>
      <c r="D2398" s="34">
        <v>87.75</v>
      </c>
      <c r="E2398" s="115">
        <v>88.39</v>
      </c>
      <c r="F2398" s="34">
        <v>87.2</v>
      </c>
      <c r="G2398" s="34">
        <v>88.21</v>
      </c>
      <c r="H2398" s="34">
        <v>88.21</v>
      </c>
      <c r="I2398" s="29">
        <v>48394000</v>
      </c>
      <c r="P2398" s="125"/>
      <c r="Q2398" s="34"/>
      <c r="R2398" s="115"/>
      <c r="S2398" s="34"/>
      <c r="T2398" s="34"/>
      <c r="U2398" s="34"/>
      <c r="V2398" s="29"/>
    </row>
    <row r="2399" spans="3:22">
      <c r="C2399" s="125">
        <v>43704</v>
      </c>
      <c r="D2399" s="34">
        <v>88.79</v>
      </c>
      <c r="E2399" s="115">
        <v>88.97</v>
      </c>
      <c r="F2399" s="34">
        <v>87.33</v>
      </c>
      <c r="G2399" s="34">
        <v>88.09</v>
      </c>
      <c r="H2399" s="34">
        <v>88.09</v>
      </c>
      <c r="I2399" s="29">
        <v>60394000</v>
      </c>
      <c r="P2399" s="125"/>
      <c r="Q2399" s="34"/>
      <c r="R2399" s="115"/>
      <c r="S2399" s="34"/>
      <c r="T2399" s="34"/>
      <c r="U2399" s="34"/>
      <c r="V2399" s="29"/>
    </row>
    <row r="2400" spans="3:22">
      <c r="C2400" s="125">
        <v>43703</v>
      </c>
      <c r="D2400" s="34">
        <v>88.35</v>
      </c>
      <c r="E2400" s="115">
        <v>88.5</v>
      </c>
      <c r="F2400" s="34">
        <v>87.18</v>
      </c>
      <c r="G2400" s="34">
        <v>88.44</v>
      </c>
      <c r="H2400" s="34">
        <v>88.44</v>
      </c>
      <c r="I2400" s="29">
        <v>61600000</v>
      </c>
      <c r="P2400" s="125"/>
      <c r="Q2400" s="34"/>
      <c r="R2400" s="115"/>
      <c r="S2400" s="34"/>
      <c r="T2400" s="34"/>
      <c r="U2400" s="34"/>
      <c r="V2400" s="29"/>
    </row>
    <row r="2401" spans="3:22">
      <c r="C2401" s="125">
        <v>43700</v>
      </c>
      <c r="D2401" s="34">
        <v>89.65</v>
      </c>
      <c r="E2401" s="115">
        <v>90.25</v>
      </c>
      <c r="F2401" s="34">
        <v>87.26</v>
      </c>
      <c r="G2401" s="34">
        <v>87.48</v>
      </c>
      <c r="H2401" s="34">
        <v>87.48</v>
      </c>
      <c r="I2401" s="29">
        <v>105416000</v>
      </c>
      <c r="P2401" s="125"/>
      <c r="Q2401" s="34"/>
      <c r="R2401" s="115"/>
      <c r="S2401" s="34"/>
      <c r="T2401" s="34"/>
      <c r="U2401" s="34"/>
      <c r="V2401" s="29"/>
    </row>
    <row r="2402" spans="3:22">
      <c r="C2402" s="125">
        <v>43699</v>
      </c>
      <c r="D2402" s="34">
        <v>91.4</v>
      </c>
      <c r="E2402" s="115">
        <v>91.47</v>
      </c>
      <c r="F2402" s="34">
        <v>90</v>
      </c>
      <c r="G2402" s="34">
        <v>90.23</v>
      </c>
      <c r="H2402" s="34">
        <v>90.23</v>
      </c>
      <c r="I2402" s="29">
        <v>53070000</v>
      </c>
      <c r="P2402" s="125"/>
      <c r="Q2402" s="34"/>
      <c r="R2402" s="115"/>
      <c r="S2402" s="34"/>
      <c r="T2402" s="34"/>
      <c r="U2402" s="34"/>
      <c r="V2402" s="29"/>
    </row>
    <row r="2403" spans="3:22">
      <c r="C2403" s="125">
        <v>43698</v>
      </c>
      <c r="D2403" s="34">
        <v>90.97</v>
      </c>
      <c r="E2403" s="115">
        <v>91.48</v>
      </c>
      <c r="F2403" s="34">
        <v>90.75</v>
      </c>
      <c r="G2403" s="34">
        <v>91.18</v>
      </c>
      <c r="H2403" s="34">
        <v>91.18</v>
      </c>
      <c r="I2403" s="29">
        <v>40636000</v>
      </c>
      <c r="P2403" s="125"/>
      <c r="Q2403" s="34"/>
      <c r="R2403" s="115"/>
      <c r="S2403" s="34"/>
      <c r="T2403" s="34"/>
      <c r="U2403" s="34"/>
      <c r="V2403" s="29"/>
    </row>
    <row r="2404" spans="3:22">
      <c r="C2404" s="125">
        <v>43697</v>
      </c>
      <c r="D2404" s="34">
        <v>90.72</v>
      </c>
      <c r="E2404" s="115">
        <v>90.84</v>
      </c>
      <c r="F2404" s="34">
        <v>89.99</v>
      </c>
      <c r="G2404" s="34">
        <v>90.07</v>
      </c>
      <c r="H2404" s="34">
        <v>90.07</v>
      </c>
      <c r="I2404" s="29">
        <v>38590000</v>
      </c>
      <c r="P2404" s="125"/>
      <c r="Q2404" s="34"/>
      <c r="R2404" s="115"/>
      <c r="S2404" s="34"/>
      <c r="T2404" s="34"/>
      <c r="U2404" s="34"/>
      <c r="V2404" s="29"/>
    </row>
    <row r="2405" spans="3:22">
      <c r="C2405" s="125">
        <v>43696</v>
      </c>
      <c r="D2405" s="34">
        <v>90.9</v>
      </c>
      <c r="E2405" s="115">
        <v>91.3</v>
      </c>
      <c r="F2405" s="34">
        <v>90.63</v>
      </c>
      <c r="G2405" s="34">
        <v>90.81</v>
      </c>
      <c r="H2405" s="34">
        <v>90.81</v>
      </c>
      <c r="I2405" s="29">
        <v>56326000</v>
      </c>
      <c r="P2405" s="125"/>
      <c r="Q2405" s="34"/>
      <c r="R2405" s="115"/>
      <c r="S2405" s="34"/>
      <c r="T2405" s="34"/>
      <c r="U2405" s="34"/>
      <c r="V2405" s="29"/>
    </row>
    <row r="2406" spans="3:22">
      <c r="C2406" s="125">
        <v>43693</v>
      </c>
      <c r="D2406" s="34">
        <v>89.64</v>
      </c>
      <c r="E2406" s="115">
        <v>90.15</v>
      </c>
      <c r="F2406" s="34">
        <v>89.23</v>
      </c>
      <c r="G2406" s="34">
        <v>89.63</v>
      </c>
      <c r="H2406" s="34">
        <v>89.63</v>
      </c>
      <c r="I2406" s="29">
        <v>60360000</v>
      </c>
      <c r="P2406" s="125"/>
      <c r="Q2406" s="34"/>
      <c r="R2406" s="115"/>
      <c r="S2406" s="34"/>
      <c r="T2406" s="34"/>
      <c r="U2406" s="34"/>
      <c r="V2406" s="29"/>
    </row>
    <row r="2407" spans="3:22">
      <c r="C2407" s="125">
        <v>43692</v>
      </c>
      <c r="D2407" s="34">
        <v>89.1</v>
      </c>
      <c r="E2407" s="115">
        <v>89.4</v>
      </c>
      <c r="F2407" s="34">
        <v>88.1</v>
      </c>
      <c r="G2407" s="34">
        <v>88.81</v>
      </c>
      <c r="H2407" s="34">
        <v>88.81</v>
      </c>
      <c r="I2407" s="29">
        <v>75182000</v>
      </c>
      <c r="P2407" s="125"/>
      <c r="Q2407" s="34"/>
      <c r="R2407" s="115"/>
      <c r="S2407" s="34"/>
      <c r="T2407" s="34"/>
      <c r="U2407" s="34"/>
      <c r="V2407" s="29"/>
    </row>
    <row r="2408" spans="3:22">
      <c r="C2408" s="125">
        <v>43691</v>
      </c>
      <c r="D2408" s="34">
        <v>89.65</v>
      </c>
      <c r="E2408" s="115">
        <v>89.78</v>
      </c>
      <c r="F2408" s="34">
        <v>87.86</v>
      </c>
      <c r="G2408" s="34">
        <v>88.15</v>
      </c>
      <c r="H2408" s="34">
        <v>88.15</v>
      </c>
      <c r="I2408" s="29">
        <v>97872000</v>
      </c>
      <c r="P2408" s="125"/>
      <c r="Q2408" s="34"/>
      <c r="R2408" s="115"/>
      <c r="S2408" s="34"/>
      <c r="T2408" s="34"/>
      <c r="U2408" s="34"/>
      <c r="V2408" s="29"/>
    </row>
    <row r="2409" spans="3:22">
      <c r="C2409" s="125">
        <v>43690</v>
      </c>
      <c r="D2409" s="34">
        <v>89.15</v>
      </c>
      <c r="E2409" s="115">
        <v>91.59</v>
      </c>
      <c r="F2409" s="34">
        <v>89</v>
      </c>
      <c r="G2409" s="34">
        <v>91.22</v>
      </c>
      <c r="H2409" s="34">
        <v>91.22</v>
      </c>
      <c r="I2409" s="29">
        <v>79880000</v>
      </c>
      <c r="P2409" s="125"/>
      <c r="Q2409" s="34"/>
      <c r="R2409" s="115"/>
      <c r="S2409" s="34"/>
      <c r="T2409" s="34"/>
      <c r="U2409" s="34"/>
      <c r="V2409" s="29"/>
    </row>
    <row r="2410" spans="3:22">
      <c r="C2410" s="125">
        <v>43689</v>
      </c>
      <c r="D2410" s="34">
        <v>89.8</v>
      </c>
      <c r="E2410" s="115">
        <v>90.05</v>
      </c>
      <c r="F2410" s="34">
        <v>88.85</v>
      </c>
      <c r="G2410" s="34">
        <v>89.25</v>
      </c>
      <c r="H2410" s="34">
        <v>89.25</v>
      </c>
      <c r="I2410" s="29">
        <v>58110000</v>
      </c>
      <c r="P2410" s="125"/>
      <c r="Q2410" s="34"/>
      <c r="R2410" s="115"/>
      <c r="S2410" s="34"/>
      <c r="T2410" s="34"/>
      <c r="U2410" s="34"/>
      <c r="V2410" s="29"/>
    </row>
    <row r="2411" spans="3:22">
      <c r="C2411" s="125">
        <v>43686</v>
      </c>
      <c r="D2411" s="34">
        <v>91.45</v>
      </c>
      <c r="E2411" s="115">
        <v>91.55</v>
      </c>
      <c r="F2411" s="34">
        <v>90.11</v>
      </c>
      <c r="G2411" s="34">
        <v>90.38</v>
      </c>
      <c r="H2411" s="34">
        <v>90.38</v>
      </c>
      <c r="I2411" s="29">
        <v>57596000</v>
      </c>
      <c r="P2411" s="125"/>
      <c r="Q2411" s="34"/>
      <c r="R2411" s="115"/>
      <c r="S2411" s="34"/>
      <c r="T2411" s="34"/>
      <c r="U2411" s="34"/>
      <c r="V2411" s="29"/>
    </row>
    <row r="2412" spans="3:22">
      <c r="C2412" s="125">
        <v>43685</v>
      </c>
      <c r="D2412" s="34">
        <v>90.3</v>
      </c>
      <c r="E2412" s="115">
        <v>91.71</v>
      </c>
      <c r="F2412" s="34">
        <v>89.91</v>
      </c>
      <c r="G2412" s="34">
        <v>91.64</v>
      </c>
      <c r="H2412" s="34">
        <v>91.64</v>
      </c>
      <c r="I2412" s="29">
        <v>74024000</v>
      </c>
      <c r="P2412" s="125"/>
      <c r="Q2412" s="34"/>
      <c r="R2412" s="115"/>
      <c r="S2412" s="34"/>
      <c r="T2412" s="34"/>
      <c r="U2412" s="34"/>
      <c r="V2412" s="29"/>
    </row>
    <row r="2413" spans="3:22">
      <c r="C2413" s="125">
        <v>43684</v>
      </c>
      <c r="D2413" s="34">
        <v>88.7</v>
      </c>
      <c r="E2413" s="115">
        <v>89.95</v>
      </c>
      <c r="F2413" s="34">
        <v>87.85</v>
      </c>
      <c r="G2413" s="34">
        <v>89.67</v>
      </c>
      <c r="H2413" s="34">
        <v>89.67</v>
      </c>
      <c r="I2413" s="29">
        <v>90538000</v>
      </c>
      <c r="P2413" s="125"/>
      <c r="Q2413" s="34"/>
      <c r="R2413" s="115"/>
      <c r="S2413" s="34"/>
      <c r="T2413" s="34"/>
      <c r="U2413" s="34"/>
      <c r="V2413" s="29"/>
    </row>
    <row r="2414" spans="3:22">
      <c r="C2414" s="125">
        <v>43683</v>
      </c>
      <c r="D2414" s="34">
        <v>89.61</v>
      </c>
      <c r="E2414" s="115">
        <v>89.69</v>
      </c>
      <c r="F2414" s="34">
        <v>87.67</v>
      </c>
      <c r="G2414" s="34">
        <v>89.39</v>
      </c>
      <c r="H2414" s="34">
        <v>89.39</v>
      </c>
      <c r="I2414" s="29">
        <v>101406000</v>
      </c>
      <c r="P2414" s="125"/>
      <c r="Q2414" s="34"/>
      <c r="R2414" s="115"/>
      <c r="S2414" s="34"/>
      <c r="T2414" s="34"/>
      <c r="U2414" s="34"/>
      <c r="V2414" s="29"/>
    </row>
    <row r="2415" spans="3:22">
      <c r="C2415" s="125">
        <v>43682</v>
      </c>
      <c r="D2415" s="34">
        <v>88.51</v>
      </c>
      <c r="E2415" s="115">
        <v>89.43</v>
      </c>
      <c r="F2415" s="34">
        <v>87.44</v>
      </c>
      <c r="G2415" s="34">
        <v>88.26</v>
      </c>
      <c r="H2415" s="34">
        <v>88.26</v>
      </c>
      <c r="I2415" s="29">
        <v>121164000</v>
      </c>
      <c r="P2415" s="125"/>
      <c r="Q2415" s="34"/>
      <c r="R2415" s="115"/>
      <c r="S2415" s="34"/>
      <c r="T2415" s="34"/>
      <c r="U2415" s="34"/>
      <c r="V2415" s="29"/>
    </row>
    <row r="2416" spans="3:22">
      <c r="C2416" s="125">
        <v>43679</v>
      </c>
      <c r="D2416" s="34">
        <v>92.25</v>
      </c>
      <c r="E2416" s="115">
        <v>92.32</v>
      </c>
      <c r="F2416" s="34">
        <v>90.4</v>
      </c>
      <c r="G2416" s="34">
        <v>91.16</v>
      </c>
      <c r="H2416" s="34">
        <v>91.16</v>
      </c>
      <c r="I2416" s="29">
        <v>99124000</v>
      </c>
      <c r="P2416" s="125"/>
      <c r="Q2416" s="34"/>
      <c r="R2416" s="115"/>
      <c r="S2416" s="34"/>
      <c r="T2416" s="34"/>
      <c r="U2416" s="34"/>
      <c r="V2416" s="29"/>
    </row>
    <row r="2417" spans="3:22">
      <c r="C2417" s="125">
        <v>43678</v>
      </c>
      <c r="D2417" s="34">
        <v>93.59</v>
      </c>
      <c r="E2417" s="115">
        <v>94.9</v>
      </c>
      <c r="F2417" s="34">
        <v>92.2</v>
      </c>
      <c r="G2417" s="34">
        <v>92.77</v>
      </c>
      <c r="H2417" s="34">
        <v>92.77</v>
      </c>
      <c r="I2417" s="29">
        <v>94266000</v>
      </c>
      <c r="P2417" s="125"/>
      <c r="Q2417" s="34"/>
      <c r="R2417" s="115"/>
      <c r="S2417" s="34"/>
      <c r="T2417" s="34"/>
      <c r="U2417" s="34"/>
      <c r="V2417" s="29"/>
    </row>
    <row r="2418" spans="3:22">
      <c r="C2418" s="125">
        <v>43677</v>
      </c>
      <c r="D2418" s="34">
        <v>94.91</v>
      </c>
      <c r="E2418" s="115">
        <v>94.98</v>
      </c>
      <c r="F2418" s="34">
        <v>92.47</v>
      </c>
      <c r="G2418" s="34">
        <v>93.34</v>
      </c>
      <c r="H2418" s="34">
        <v>93.34</v>
      </c>
      <c r="I2418" s="29">
        <v>89414000</v>
      </c>
      <c r="P2418" s="125"/>
      <c r="Q2418" s="34"/>
      <c r="R2418" s="115"/>
      <c r="S2418" s="34"/>
      <c r="T2418" s="34"/>
      <c r="U2418" s="34"/>
      <c r="V2418" s="29"/>
    </row>
    <row r="2419" spans="3:22">
      <c r="C2419" s="125">
        <v>43676</v>
      </c>
      <c r="D2419" s="34">
        <v>94.56</v>
      </c>
      <c r="E2419" s="115">
        <v>95.49</v>
      </c>
      <c r="F2419" s="34">
        <v>94.17</v>
      </c>
      <c r="G2419" s="34">
        <v>94.93</v>
      </c>
      <c r="H2419" s="34">
        <v>94.93</v>
      </c>
      <c r="I2419" s="29">
        <v>58218000</v>
      </c>
      <c r="P2419" s="125"/>
      <c r="Q2419" s="34"/>
      <c r="R2419" s="115"/>
      <c r="S2419" s="34"/>
      <c r="T2419" s="34"/>
      <c r="U2419" s="34"/>
      <c r="V2419" s="29"/>
    </row>
    <row r="2420" spans="3:22">
      <c r="C2420" s="125">
        <v>43675</v>
      </c>
      <c r="D2420" s="34">
        <v>96.5</v>
      </c>
      <c r="E2420" s="115">
        <v>96.61</v>
      </c>
      <c r="F2420" s="34">
        <v>94.53</v>
      </c>
      <c r="G2420" s="34">
        <v>95.62</v>
      </c>
      <c r="H2420" s="34">
        <v>95.62</v>
      </c>
      <c r="I2420" s="29">
        <v>89864000</v>
      </c>
      <c r="P2420" s="125"/>
      <c r="Q2420" s="34"/>
      <c r="R2420" s="115"/>
      <c r="S2420" s="34"/>
      <c r="T2420" s="34"/>
      <c r="U2420" s="34"/>
      <c r="V2420" s="29"/>
    </row>
    <row r="2421" spans="3:22">
      <c r="C2421" s="125">
        <v>43672</v>
      </c>
      <c r="D2421" s="34">
        <v>97.1</v>
      </c>
      <c r="E2421" s="115">
        <v>97.54</v>
      </c>
      <c r="F2421" s="34">
        <v>96.23</v>
      </c>
      <c r="G2421" s="34">
        <v>97.15</v>
      </c>
      <c r="H2421" s="34">
        <v>97.15</v>
      </c>
      <c r="I2421" s="29">
        <v>98542000</v>
      </c>
      <c r="P2421" s="125"/>
      <c r="Q2421" s="34"/>
      <c r="R2421" s="115"/>
      <c r="S2421" s="34"/>
      <c r="T2421" s="34"/>
      <c r="U2421" s="34"/>
      <c r="V2421" s="29"/>
    </row>
    <row r="2422" spans="3:22">
      <c r="C2422" s="125">
        <v>43671</v>
      </c>
      <c r="D2422" s="34">
        <v>100.05</v>
      </c>
      <c r="E2422" s="115">
        <v>100.06</v>
      </c>
      <c r="F2422" s="34">
        <v>98.64</v>
      </c>
      <c r="G2422" s="34">
        <v>98.69</v>
      </c>
      <c r="H2422" s="34">
        <v>98.69</v>
      </c>
      <c r="I2422" s="29">
        <v>82730000</v>
      </c>
      <c r="P2422" s="125"/>
      <c r="Q2422" s="34"/>
      <c r="R2422" s="115"/>
      <c r="S2422" s="34"/>
      <c r="T2422" s="34"/>
      <c r="U2422" s="34"/>
      <c r="V2422" s="29"/>
    </row>
    <row r="2423" spans="3:22">
      <c r="C2423" s="125">
        <v>43670</v>
      </c>
      <c r="D2423" s="34">
        <v>98.46</v>
      </c>
      <c r="E2423" s="115">
        <v>100.07</v>
      </c>
      <c r="F2423" s="34">
        <v>98.29</v>
      </c>
      <c r="G2423" s="34">
        <v>100.04</v>
      </c>
      <c r="H2423" s="34">
        <v>100.04</v>
      </c>
      <c r="I2423" s="29">
        <v>52626000</v>
      </c>
      <c r="P2423" s="125"/>
      <c r="Q2423" s="34"/>
      <c r="R2423" s="115"/>
      <c r="S2423" s="34"/>
      <c r="T2423" s="34"/>
      <c r="U2423" s="34"/>
      <c r="V2423" s="29"/>
    </row>
    <row r="2424" spans="3:22">
      <c r="C2424" s="125">
        <v>43669</v>
      </c>
      <c r="D2424" s="34">
        <v>99.8</v>
      </c>
      <c r="E2424" s="115">
        <v>99.89</v>
      </c>
      <c r="F2424" s="34">
        <v>98.66</v>
      </c>
      <c r="G2424" s="34">
        <v>99.72</v>
      </c>
      <c r="H2424" s="34">
        <v>99.72</v>
      </c>
      <c r="I2424" s="29">
        <v>54070000</v>
      </c>
      <c r="P2424" s="125"/>
      <c r="Q2424" s="34"/>
      <c r="R2424" s="115"/>
      <c r="S2424" s="34"/>
      <c r="T2424" s="34"/>
      <c r="U2424" s="34"/>
      <c r="V2424" s="29"/>
    </row>
    <row r="2425" spans="3:22">
      <c r="C2425" s="125">
        <v>43668</v>
      </c>
      <c r="D2425" s="34">
        <v>98.56</v>
      </c>
      <c r="E2425" s="115">
        <v>99.45</v>
      </c>
      <c r="F2425" s="34">
        <v>97.91</v>
      </c>
      <c r="G2425" s="34">
        <v>99.28</v>
      </c>
      <c r="H2425" s="34">
        <v>99.28</v>
      </c>
      <c r="I2425" s="29">
        <v>58000000</v>
      </c>
      <c r="P2425" s="125"/>
      <c r="Q2425" s="34"/>
      <c r="R2425" s="115"/>
      <c r="S2425" s="34"/>
      <c r="T2425" s="34"/>
      <c r="U2425" s="34"/>
      <c r="V2425" s="29"/>
    </row>
    <row r="2426" spans="3:22">
      <c r="C2426" s="125">
        <v>43665</v>
      </c>
      <c r="D2426" s="34">
        <v>99.56</v>
      </c>
      <c r="E2426" s="115">
        <v>99.8</v>
      </c>
      <c r="F2426" s="34">
        <v>98.11</v>
      </c>
      <c r="G2426" s="34">
        <v>98.23</v>
      </c>
      <c r="H2426" s="34">
        <v>98.23</v>
      </c>
      <c r="I2426" s="29">
        <v>63712000</v>
      </c>
      <c r="P2426" s="125"/>
      <c r="Q2426" s="34"/>
      <c r="R2426" s="115"/>
      <c r="S2426" s="34"/>
      <c r="T2426" s="34"/>
      <c r="U2426" s="34"/>
      <c r="V2426" s="29"/>
    </row>
    <row r="2427" spans="3:22">
      <c r="C2427" s="125">
        <v>43664</v>
      </c>
      <c r="D2427" s="34">
        <v>99</v>
      </c>
      <c r="E2427" s="115">
        <v>99.38</v>
      </c>
      <c r="F2427" s="34">
        <v>97.58</v>
      </c>
      <c r="G2427" s="34">
        <v>98.89</v>
      </c>
      <c r="H2427" s="34">
        <v>98.89</v>
      </c>
      <c r="I2427" s="29">
        <v>69738000</v>
      </c>
      <c r="P2427" s="125"/>
      <c r="Q2427" s="34"/>
      <c r="R2427" s="115"/>
      <c r="S2427" s="34"/>
      <c r="T2427" s="34"/>
      <c r="U2427" s="34"/>
      <c r="V2427" s="29"/>
    </row>
    <row r="2428" spans="3:22">
      <c r="C2428" s="125">
        <v>43663</v>
      </c>
      <c r="D2428" s="34">
        <v>100.35</v>
      </c>
      <c r="E2428" s="115">
        <v>100.6</v>
      </c>
      <c r="F2428" s="34">
        <v>99.6</v>
      </c>
      <c r="G2428" s="34">
        <v>99.6</v>
      </c>
      <c r="H2428" s="34">
        <v>99.6</v>
      </c>
      <c r="I2428" s="29">
        <v>51176000</v>
      </c>
      <c r="P2428" s="125"/>
      <c r="Q2428" s="34"/>
      <c r="R2428" s="115"/>
      <c r="S2428" s="34"/>
      <c r="T2428" s="34"/>
      <c r="U2428" s="34"/>
      <c r="V2428" s="29"/>
    </row>
    <row r="2429" spans="3:22">
      <c r="C2429" s="125">
        <v>43662</v>
      </c>
      <c r="D2429" s="34">
        <v>100.53</v>
      </c>
      <c r="E2429" s="115">
        <v>101.32</v>
      </c>
      <c r="F2429" s="34">
        <v>100.06</v>
      </c>
      <c r="G2429" s="34">
        <v>100.5</v>
      </c>
      <c r="H2429" s="34">
        <v>100.5</v>
      </c>
      <c r="I2429" s="29">
        <v>52364000</v>
      </c>
      <c r="P2429" s="125"/>
      <c r="Q2429" s="34"/>
      <c r="R2429" s="115"/>
      <c r="S2429" s="34"/>
      <c r="T2429" s="34"/>
      <c r="U2429" s="34"/>
      <c r="V2429" s="29"/>
    </row>
    <row r="2430" spans="3:22">
      <c r="C2430" s="125">
        <v>43661</v>
      </c>
      <c r="D2430" s="34">
        <v>101.07</v>
      </c>
      <c r="E2430" s="115">
        <v>101.14</v>
      </c>
      <c r="F2430" s="34">
        <v>100.08</v>
      </c>
      <c r="G2430" s="34">
        <v>101.05</v>
      </c>
      <c r="H2430" s="34">
        <v>101.05</v>
      </c>
      <c r="I2430" s="29">
        <v>59626000</v>
      </c>
      <c r="P2430" s="125"/>
      <c r="Q2430" s="34"/>
      <c r="R2430" s="115"/>
      <c r="S2430" s="34"/>
      <c r="T2430" s="34"/>
      <c r="U2430" s="34"/>
      <c r="V2430" s="29"/>
    </row>
    <row r="2431" spans="3:22">
      <c r="C2431" s="125">
        <v>43658</v>
      </c>
      <c r="D2431" s="34">
        <v>100.41</v>
      </c>
      <c r="E2431" s="115">
        <v>100.85</v>
      </c>
      <c r="F2431" s="34">
        <v>100.19</v>
      </c>
      <c r="G2431" s="34">
        <v>100.55</v>
      </c>
      <c r="H2431" s="34">
        <v>100.55</v>
      </c>
      <c r="I2431" s="29">
        <v>50186000</v>
      </c>
      <c r="P2431" s="125"/>
      <c r="Q2431" s="34"/>
      <c r="R2431" s="115"/>
      <c r="S2431" s="34"/>
      <c r="T2431" s="34"/>
      <c r="U2431" s="34"/>
      <c r="V2431" s="29"/>
    </row>
    <row r="2432" spans="3:22">
      <c r="C2432" s="125">
        <v>43657</v>
      </c>
      <c r="D2432" s="34">
        <v>101.28</v>
      </c>
      <c r="E2432" s="115">
        <v>101.79</v>
      </c>
      <c r="F2432" s="34">
        <v>99.76</v>
      </c>
      <c r="G2432" s="34">
        <v>100.05</v>
      </c>
      <c r="H2432" s="34">
        <v>100.05</v>
      </c>
      <c r="I2432" s="29">
        <v>86356000</v>
      </c>
      <c r="P2432" s="125"/>
      <c r="Q2432" s="34"/>
      <c r="R2432" s="115"/>
      <c r="S2432" s="34"/>
      <c r="T2432" s="34"/>
      <c r="U2432" s="34"/>
      <c r="V2432" s="29"/>
    </row>
    <row r="2433" spans="3:22">
      <c r="C2433" s="125">
        <v>43656</v>
      </c>
      <c r="D2433" s="34">
        <v>99.83</v>
      </c>
      <c r="E2433" s="115">
        <v>101.25</v>
      </c>
      <c r="F2433" s="34">
        <v>99.77</v>
      </c>
      <c r="G2433" s="34">
        <v>100.87</v>
      </c>
      <c r="H2433" s="34">
        <v>100.87</v>
      </c>
      <c r="I2433" s="29">
        <v>98638000</v>
      </c>
      <c r="P2433" s="125"/>
      <c r="Q2433" s="34"/>
      <c r="R2433" s="115"/>
      <c r="S2433" s="34"/>
      <c r="T2433" s="34"/>
      <c r="U2433" s="34"/>
      <c r="V2433" s="29"/>
    </row>
    <row r="2434" spans="3:22">
      <c r="C2434" s="125">
        <v>43655</v>
      </c>
      <c r="D2434" s="34">
        <v>97.39</v>
      </c>
      <c r="E2434" s="115">
        <v>99.5</v>
      </c>
      <c r="F2434" s="34">
        <v>97.17</v>
      </c>
      <c r="G2434" s="34">
        <v>99.42</v>
      </c>
      <c r="H2434" s="34">
        <v>99.42</v>
      </c>
      <c r="I2434" s="29">
        <v>86914000</v>
      </c>
      <c r="P2434" s="125"/>
      <c r="Q2434" s="34"/>
      <c r="R2434" s="115"/>
      <c r="S2434" s="34"/>
      <c r="T2434" s="34"/>
      <c r="U2434" s="34"/>
      <c r="V2434" s="29"/>
    </row>
    <row r="2435" spans="3:22">
      <c r="C2435" s="125">
        <v>43654</v>
      </c>
      <c r="D2435" s="34">
        <v>96.71</v>
      </c>
      <c r="E2435" s="115">
        <v>97.8</v>
      </c>
      <c r="F2435" s="34">
        <v>96.41</v>
      </c>
      <c r="G2435" s="34">
        <v>97.62</v>
      </c>
      <c r="H2435" s="34">
        <v>97.62</v>
      </c>
      <c r="I2435" s="29">
        <v>57668000</v>
      </c>
      <c r="P2435" s="125"/>
      <c r="Q2435" s="34"/>
      <c r="R2435" s="115"/>
      <c r="S2435" s="34"/>
      <c r="T2435" s="34"/>
      <c r="U2435" s="34"/>
      <c r="V2435" s="29"/>
    </row>
    <row r="2436" spans="3:22">
      <c r="C2436" s="125">
        <v>43651</v>
      </c>
      <c r="D2436" s="34">
        <v>96.43</v>
      </c>
      <c r="E2436" s="115">
        <v>97.29</v>
      </c>
      <c r="F2436" s="34">
        <v>96.26</v>
      </c>
      <c r="G2436" s="34">
        <v>97.15</v>
      </c>
      <c r="H2436" s="34">
        <v>97.15</v>
      </c>
      <c r="I2436" s="29">
        <v>52568000</v>
      </c>
      <c r="P2436" s="125"/>
      <c r="Q2436" s="34"/>
      <c r="R2436" s="115"/>
      <c r="S2436" s="34"/>
      <c r="T2436" s="34"/>
      <c r="U2436" s="34"/>
      <c r="V2436" s="29"/>
    </row>
    <row r="2437" spans="3:22">
      <c r="C2437" s="125">
        <v>43649</v>
      </c>
      <c r="D2437" s="34">
        <v>96.79</v>
      </c>
      <c r="E2437" s="115">
        <v>97.08</v>
      </c>
      <c r="F2437" s="34">
        <v>96.53</v>
      </c>
      <c r="G2437" s="34">
        <v>96.95</v>
      </c>
      <c r="H2437" s="34">
        <v>96.95</v>
      </c>
      <c r="I2437" s="29">
        <v>33806000</v>
      </c>
      <c r="P2437" s="125"/>
      <c r="Q2437" s="34"/>
      <c r="R2437" s="115"/>
      <c r="S2437" s="34"/>
      <c r="T2437" s="34"/>
      <c r="U2437" s="34"/>
      <c r="V2437" s="29"/>
    </row>
    <row r="2438" spans="3:22">
      <c r="C2438" s="125">
        <v>43648</v>
      </c>
      <c r="D2438" s="34">
        <v>95.97</v>
      </c>
      <c r="E2438" s="115">
        <v>96.74</v>
      </c>
      <c r="F2438" s="34">
        <v>95.33</v>
      </c>
      <c r="G2438" s="34">
        <v>96.72</v>
      </c>
      <c r="H2438" s="34">
        <v>96.72</v>
      </c>
      <c r="I2438" s="29">
        <v>52918000</v>
      </c>
      <c r="P2438" s="125"/>
      <c r="Q2438" s="34"/>
      <c r="R2438" s="115"/>
      <c r="S2438" s="34"/>
      <c r="T2438" s="34"/>
      <c r="U2438" s="34"/>
      <c r="V2438" s="29"/>
    </row>
    <row r="2439" spans="3:22">
      <c r="C2439" s="125">
        <v>43647</v>
      </c>
      <c r="D2439" s="34">
        <v>96.15</v>
      </c>
      <c r="E2439" s="115">
        <v>96.49</v>
      </c>
      <c r="F2439" s="34">
        <v>95.73</v>
      </c>
      <c r="G2439" s="34">
        <v>96.11</v>
      </c>
      <c r="H2439" s="34">
        <v>96.11</v>
      </c>
      <c r="I2439" s="29">
        <v>63842000</v>
      </c>
      <c r="P2439" s="125"/>
      <c r="Q2439" s="34"/>
      <c r="R2439" s="115"/>
      <c r="S2439" s="34"/>
      <c r="T2439" s="34"/>
      <c r="U2439" s="34"/>
      <c r="V2439" s="29"/>
    </row>
    <row r="2440" spans="3:22">
      <c r="C2440" s="125">
        <v>43644</v>
      </c>
      <c r="D2440" s="34">
        <v>95.46</v>
      </c>
      <c r="E2440" s="115">
        <v>95.65</v>
      </c>
      <c r="F2440" s="34">
        <v>94.2</v>
      </c>
      <c r="G2440" s="34">
        <v>94.68</v>
      </c>
      <c r="H2440" s="34">
        <v>94.68</v>
      </c>
      <c r="I2440" s="29">
        <v>60748000</v>
      </c>
      <c r="P2440" s="125"/>
      <c r="Q2440" s="34"/>
      <c r="R2440" s="115"/>
      <c r="S2440" s="34"/>
      <c r="T2440" s="34"/>
      <c r="U2440" s="34"/>
      <c r="V2440" s="29"/>
    </row>
    <row r="2441" spans="3:22">
      <c r="C2441" s="125">
        <v>43643</v>
      </c>
      <c r="D2441" s="34">
        <v>95.1</v>
      </c>
      <c r="E2441" s="115">
        <v>95.56</v>
      </c>
      <c r="F2441" s="34">
        <v>94.9</v>
      </c>
      <c r="G2441" s="34">
        <v>95.21</v>
      </c>
      <c r="H2441" s="34">
        <v>95.21</v>
      </c>
      <c r="I2441" s="29">
        <v>42834000</v>
      </c>
      <c r="P2441" s="125"/>
      <c r="Q2441" s="34"/>
      <c r="R2441" s="115"/>
      <c r="S2441" s="34"/>
      <c r="T2441" s="34"/>
      <c r="U2441" s="34"/>
      <c r="V2441" s="29"/>
    </row>
    <row r="2442" spans="3:22">
      <c r="C2442" s="125">
        <v>43642</v>
      </c>
      <c r="D2442" s="34">
        <v>94.62</v>
      </c>
      <c r="E2442" s="115">
        <v>95.19</v>
      </c>
      <c r="F2442" s="34">
        <v>94.37</v>
      </c>
      <c r="G2442" s="34">
        <v>94.89</v>
      </c>
      <c r="H2442" s="34">
        <v>94.89</v>
      </c>
      <c r="I2442" s="29">
        <v>48838000</v>
      </c>
      <c r="P2442" s="125"/>
      <c r="Q2442" s="34"/>
      <c r="R2442" s="115"/>
      <c r="S2442" s="34"/>
      <c r="T2442" s="34"/>
      <c r="U2442" s="34"/>
      <c r="V2442" s="29"/>
    </row>
    <row r="2443" spans="3:22">
      <c r="C2443" s="125">
        <v>43641</v>
      </c>
      <c r="D2443" s="34">
        <v>95.59</v>
      </c>
      <c r="E2443" s="115">
        <v>95.82</v>
      </c>
      <c r="F2443" s="34">
        <v>93.62</v>
      </c>
      <c r="G2443" s="34">
        <v>93.91</v>
      </c>
      <c r="H2443" s="34">
        <v>93.91</v>
      </c>
      <c r="I2443" s="29">
        <v>60246000</v>
      </c>
      <c r="P2443" s="125"/>
      <c r="Q2443" s="34"/>
      <c r="R2443" s="115"/>
      <c r="S2443" s="34"/>
      <c r="T2443" s="34"/>
      <c r="U2443" s="34"/>
      <c r="V2443" s="29"/>
    </row>
    <row r="2444" spans="3:22">
      <c r="C2444" s="125">
        <v>43640</v>
      </c>
      <c r="D2444" s="34">
        <v>95.63</v>
      </c>
      <c r="E2444" s="115">
        <v>95.84</v>
      </c>
      <c r="F2444" s="34">
        <v>95.07</v>
      </c>
      <c r="G2444" s="34">
        <v>95.69</v>
      </c>
      <c r="H2444" s="34">
        <v>95.69</v>
      </c>
      <c r="I2444" s="29">
        <v>45660000</v>
      </c>
      <c r="P2444" s="125"/>
      <c r="Q2444" s="34"/>
      <c r="R2444" s="115"/>
      <c r="S2444" s="34"/>
      <c r="T2444" s="34"/>
      <c r="U2444" s="34"/>
      <c r="V2444" s="29"/>
    </row>
    <row r="2445" spans="3:22">
      <c r="C2445" s="125">
        <v>43637</v>
      </c>
      <c r="D2445" s="34">
        <v>95.81</v>
      </c>
      <c r="E2445" s="115">
        <v>96.3</v>
      </c>
      <c r="F2445" s="34">
        <v>95.38</v>
      </c>
      <c r="G2445" s="34">
        <v>95.57</v>
      </c>
      <c r="H2445" s="34">
        <v>95.57</v>
      </c>
      <c r="I2445" s="29">
        <v>78672000</v>
      </c>
      <c r="P2445" s="125"/>
      <c r="Q2445" s="34"/>
      <c r="R2445" s="115"/>
      <c r="S2445" s="34"/>
      <c r="T2445" s="34"/>
      <c r="U2445" s="34"/>
      <c r="V2445" s="29"/>
    </row>
    <row r="2446" spans="3:22">
      <c r="C2446" s="125">
        <v>43636</v>
      </c>
      <c r="D2446" s="34">
        <v>96.67</v>
      </c>
      <c r="E2446" s="115">
        <v>96.76</v>
      </c>
      <c r="F2446" s="34">
        <v>95.29</v>
      </c>
      <c r="G2446" s="34">
        <v>95.91</v>
      </c>
      <c r="H2446" s="34">
        <v>95.91</v>
      </c>
      <c r="I2446" s="29">
        <v>64344000</v>
      </c>
      <c r="P2446" s="125"/>
      <c r="Q2446" s="34"/>
      <c r="R2446" s="115"/>
      <c r="S2446" s="34"/>
      <c r="T2446" s="34"/>
      <c r="U2446" s="34"/>
      <c r="V2446" s="29"/>
    </row>
    <row r="2447" spans="3:22">
      <c r="C2447" s="125">
        <v>43635</v>
      </c>
      <c r="D2447" s="34">
        <v>95.39</v>
      </c>
      <c r="E2447" s="115">
        <v>95.98</v>
      </c>
      <c r="F2447" s="34">
        <v>94.62</v>
      </c>
      <c r="G2447" s="34">
        <v>95.44</v>
      </c>
      <c r="H2447" s="34">
        <v>95.44</v>
      </c>
      <c r="I2447" s="29">
        <v>57906000</v>
      </c>
      <c r="P2447" s="125"/>
      <c r="Q2447" s="34"/>
      <c r="R2447" s="115"/>
      <c r="S2447" s="34"/>
      <c r="T2447" s="34"/>
      <c r="U2447" s="34"/>
      <c r="V2447" s="29"/>
    </row>
    <row r="2448" spans="3:22">
      <c r="C2448" s="125">
        <v>43634</v>
      </c>
      <c r="D2448" s="34">
        <v>95.07</v>
      </c>
      <c r="E2448" s="115">
        <v>96.08</v>
      </c>
      <c r="F2448" s="34">
        <v>94.99</v>
      </c>
      <c r="G2448" s="34">
        <v>95.07</v>
      </c>
      <c r="H2448" s="34">
        <v>95.07</v>
      </c>
      <c r="I2448" s="29">
        <v>77914000</v>
      </c>
      <c r="P2448" s="125"/>
      <c r="Q2448" s="34"/>
      <c r="R2448" s="115"/>
      <c r="S2448" s="34"/>
      <c r="T2448" s="34"/>
      <c r="U2448" s="34"/>
      <c r="V2448" s="29"/>
    </row>
    <row r="2449" spans="3:22">
      <c r="C2449" s="125">
        <v>43633</v>
      </c>
      <c r="D2449" s="34">
        <v>93.82</v>
      </c>
      <c r="E2449" s="115">
        <v>94.78</v>
      </c>
      <c r="F2449" s="34">
        <v>93.77</v>
      </c>
      <c r="G2449" s="34">
        <v>94.3</v>
      </c>
      <c r="H2449" s="34">
        <v>94.3</v>
      </c>
      <c r="I2449" s="29">
        <v>52686000</v>
      </c>
      <c r="P2449" s="125"/>
      <c r="Q2449" s="34"/>
      <c r="R2449" s="115"/>
      <c r="S2449" s="34"/>
      <c r="T2449" s="34"/>
      <c r="U2449" s="34"/>
      <c r="V2449" s="29"/>
    </row>
    <row r="2450" spans="3:22">
      <c r="C2450" s="125">
        <v>43630</v>
      </c>
      <c r="D2450" s="34">
        <v>93.2</v>
      </c>
      <c r="E2450" s="115">
        <v>93.8</v>
      </c>
      <c r="F2450" s="34">
        <v>92.95</v>
      </c>
      <c r="G2450" s="34">
        <v>93.48</v>
      </c>
      <c r="H2450" s="34">
        <v>93.48</v>
      </c>
      <c r="I2450" s="29">
        <v>57024000</v>
      </c>
      <c r="P2450" s="125"/>
      <c r="Q2450" s="34"/>
      <c r="R2450" s="115"/>
      <c r="S2450" s="34"/>
      <c r="T2450" s="34"/>
      <c r="U2450" s="34"/>
      <c r="V2450" s="29"/>
    </row>
    <row r="2451" spans="3:22">
      <c r="C2451" s="125">
        <v>43629</v>
      </c>
      <c r="D2451" s="34">
        <v>93.34</v>
      </c>
      <c r="E2451" s="115">
        <v>94.15</v>
      </c>
      <c r="F2451" s="34">
        <v>93.11</v>
      </c>
      <c r="G2451" s="34">
        <v>93.51</v>
      </c>
      <c r="H2451" s="34">
        <v>93.51</v>
      </c>
      <c r="I2451" s="29">
        <v>55916000</v>
      </c>
      <c r="P2451" s="125"/>
      <c r="Q2451" s="34"/>
      <c r="R2451" s="115"/>
      <c r="S2451" s="34"/>
      <c r="T2451" s="34"/>
      <c r="U2451" s="34"/>
      <c r="V2451" s="29"/>
    </row>
    <row r="2452" spans="3:22">
      <c r="C2452" s="125">
        <v>43628</v>
      </c>
      <c r="D2452" s="34">
        <v>92.7</v>
      </c>
      <c r="E2452" s="115">
        <v>93.25</v>
      </c>
      <c r="F2452" s="34">
        <v>92.22</v>
      </c>
      <c r="G2452" s="34">
        <v>92.77</v>
      </c>
      <c r="H2452" s="34">
        <v>92.77</v>
      </c>
      <c r="I2452" s="29">
        <v>53566000</v>
      </c>
      <c r="P2452" s="125"/>
      <c r="Q2452" s="34"/>
      <c r="R2452" s="115"/>
      <c r="S2452" s="34"/>
      <c r="T2452" s="34"/>
      <c r="U2452" s="34"/>
      <c r="V2452" s="29"/>
    </row>
    <row r="2453" spans="3:22">
      <c r="C2453" s="125">
        <v>43627</v>
      </c>
      <c r="D2453" s="34">
        <v>94.16</v>
      </c>
      <c r="E2453" s="115">
        <v>94.68</v>
      </c>
      <c r="F2453" s="34">
        <v>92.9</v>
      </c>
      <c r="G2453" s="34">
        <v>93.18</v>
      </c>
      <c r="H2453" s="34">
        <v>93.18</v>
      </c>
      <c r="I2453" s="29">
        <v>80854000</v>
      </c>
      <c r="P2453" s="125"/>
      <c r="Q2453" s="34"/>
      <c r="R2453" s="115"/>
      <c r="S2453" s="34"/>
      <c r="T2453" s="34"/>
      <c r="U2453" s="34"/>
      <c r="V2453" s="29"/>
    </row>
    <row r="2454" spans="3:22">
      <c r="C2454" s="125">
        <v>43626</v>
      </c>
      <c r="D2454" s="34">
        <v>91.1</v>
      </c>
      <c r="E2454" s="115">
        <v>94.24</v>
      </c>
      <c r="F2454" s="34">
        <v>90.9</v>
      </c>
      <c r="G2454" s="34">
        <v>93.03</v>
      </c>
      <c r="H2454" s="34">
        <v>93.03</v>
      </c>
      <c r="I2454" s="29">
        <v>107420000</v>
      </c>
      <c r="P2454" s="125"/>
      <c r="Q2454" s="34"/>
      <c r="R2454" s="115"/>
      <c r="S2454" s="34"/>
      <c r="T2454" s="34"/>
      <c r="U2454" s="34"/>
      <c r="V2454" s="29"/>
    </row>
    <row r="2455" spans="3:22">
      <c r="C2455" s="125">
        <v>43623</v>
      </c>
      <c r="D2455" s="34">
        <v>88.18</v>
      </c>
      <c r="E2455" s="115">
        <v>90.31</v>
      </c>
      <c r="F2455" s="34">
        <v>87.97</v>
      </c>
      <c r="G2455" s="34">
        <v>90.2</v>
      </c>
      <c r="H2455" s="34">
        <v>90.2</v>
      </c>
      <c r="I2455" s="29">
        <v>96164000</v>
      </c>
      <c r="P2455" s="125"/>
      <c r="Q2455" s="34"/>
      <c r="R2455" s="115"/>
      <c r="S2455" s="34"/>
      <c r="T2455" s="34"/>
      <c r="U2455" s="34"/>
      <c r="V2455" s="29"/>
    </row>
    <row r="2456" spans="3:22">
      <c r="C2456" s="125">
        <v>43622</v>
      </c>
      <c r="D2456" s="34">
        <v>86.89</v>
      </c>
      <c r="E2456" s="115">
        <v>88</v>
      </c>
      <c r="F2456" s="34">
        <v>86.31</v>
      </c>
      <c r="G2456" s="34">
        <v>87.72</v>
      </c>
      <c r="H2456" s="34">
        <v>87.72</v>
      </c>
      <c r="I2456" s="29">
        <v>73786000</v>
      </c>
      <c r="P2456" s="125"/>
      <c r="Q2456" s="34"/>
      <c r="R2456" s="115"/>
      <c r="S2456" s="34"/>
      <c r="T2456" s="34"/>
      <c r="U2456" s="34"/>
      <c r="V2456" s="29"/>
    </row>
    <row r="2457" spans="3:22">
      <c r="C2457" s="125">
        <v>43621</v>
      </c>
      <c r="D2457" s="34">
        <v>87.48</v>
      </c>
      <c r="E2457" s="115">
        <v>87.6</v>
      </c>
      <c r="F2457" s="34">
        <v>85.76</v>
      </c>
      <c r="G2457" s="34">
        <v>86.93</v>
      </c>
      <c r="H2457" s="34">
        <v>86.93</v>
      </c>
      <c r="I2457" s="29">
        <v>84796000</v>
      </c>
      <c r="P2457" s="125"/>
      <c r="Q2457" s="34"/>
      <c r="R2457" s="115"/>
      <c r="S2457" s="34"/>
      <c r="T2457" s="34"/>
      <c r="U2457" s="34"/>
      <c r="V2457" s="29"/>
    </row>
    <row r="2458" spans="3:22">
      <c r="C2458" s="125">
        <v>43620</v>
      </c>
      <c r="D2458" s="34">
        <v>84.96</v>
      </c>
      <c r="E2458" s="115">
        <v>86.54</v>
      </c>
      <c r="F2458" s="34">
        <v>84.04</v>
      </c>
      <c r="G2458" s="34">
        <v>86.48</v>
      </c>
      <c r="H2458" s="34">
        <v>86.48</v>
      </c>
      <c r="I2458" s="29">
        <v>113582000</v>
      </c>
      <c r="P2458" s="125"/>
      <c r="Q2458" s="34"/>
      <c r="R2458" s="115"/>
      <c r="S2458" s="34"/>
      <c r="T2458" s="34"/>
      <c r="U2458" s="34"/>
      <c r="V2458" s="29"/>
    </row>
    <row r="2459" spans="3:22">
      <c r="C2459" s="125">
        <v>43619</v>
      </c>
      <c r="D2459" s="34">
        <v>88</v>
      </c>
      <c r="E2459" s="115">
        <v>88.31</v>
      </c>
      <c r="F2459" s="34">
        <v>83.6</v>
      </c>
      <c r="G2459" s="34">
        <v>84.63</v>
      </c>
      <c r="H2459" s="34">
        <v>84.63</v>
      </c>
      <c r="I2459" s="29">
        <v>181974000</v>
      </c>
      <c r="P2459" s="125"/>
      <c r="Q2459" s="34"/>
      <c r="R2459" s="115"/>
      <c r="S2459" s="34"/>
      <c r="T2459" s="34"/>
      <c r="U2459" s="34"/>
      <c r="V2459" s="29"/>
    </row>
    <row r="2460" spans="3:22">
      <c r="C2460" s="125">
        <v>43616</v>
      </c>
      <c r="D2460" s="34">
        <v>89.5</v>
      </c>
      <c r="E2460" s="115">
        <v>89.78</v>
      </c>
      <c r="F2460" s="34">
        <v>88.64</v>
      </c>
      <c r="G2460" s="34">
        <v>88.75</v>
      </c>
      <c r="H2460" s="34">
        <v>88.75</v>
      </c>
      <c r="I2460" s="29">
        <v>92376000</v>
      </c>
      <c r="P2460" s="125"/>
      <c r="Q2460" s="34"/>
      <c r="R2460" s="115"/>
      <c r="S2460" s="34"/>
      <c r="T2460" s="34"/>
      <c r="U2460" s="34"/>
      <c r="V2460" s="29"/>
    </row>
    <row r="2461" spans="3:22">
      <c r="C2461" s="125">
        <v>43615</v>
      </c>
      <c r="D2461" s="34">
        <v>91.27</v>
      </c>
      <c r="E2461" s="115">
        <v>91.47</v>
      </c>
      <c r="F2461" s="34">
        <v>90.39</v>
      </c>
      <c r="G2461" s="34">
        <v>90.82</v>
      </c>
      <c r="H2461" s="34">
        <v>90.82</v>
      </c>
      <c r="I2461" s="29">
        <v>62938000</v>
      </c>
      <c r="P2461" s="125"/>
      <c r="Q2461" s="34"/>
      <c r="R2461" s="115"/>
      <c r="S2461" s="34"/>
      <c r="T2461" s="34"/>
      <c r="U2461" s="34"/>
      <c r="V2461" s="29"/>
    </row>
    <row r="2462" spans="3:22">
      <c r="C2462" s="125">
        <v>43614</v>
      </c>
      <c r="D2462" s="34">
        <v>91.16</v>
      </c>
      <c r="E2462" s="115">
        <v>91.5</v>
      </c>
      <c r="F2462" s="34">
        <v>90.38</v>
      </c>
      <c r="G2462" s="34">
        <v>90.96</v>
      </c>
      <c r="H2462" s="34">
        <v>90.96</v>
      </c>
      <c r="I2462" s="29">
        <v>85580000</v>
      </c>
      <c r="P2462" s="125"/>
      <c r="Q2462" s="34"/>
      <c r="R2462" s="115"/>
      <c r="S2462" s="34"/>
      <c r="T2462" s="34"/>
      <c r="U2462" s="34"/>
      <c r="V2462" s="29"/>
    </row>
    <row r="2463" spans="3:22">
      <c r="C2463" s="125">
        <v>43613</v>
      </c>
      <c r="D2463" s="34">
        <v>91.64</v>
      </c>
      <c r="E2463" s="115">
        <v>92.46</v>
      </c>
      <c r="F2463" s="34">
        <v>91.37</v>
      </c>
      <c r="G2463" s="34">
        <v>91.82</v>
      </c>
      <c r="H2463" s="34">
        <v>91.82</v>
      </c>
      <c r="I2463" s="29">
        <v>64000000</v>
      </c>
      <c r="P2463" s="125"/>
      <c r="Q2463" s="34"/>
      <c r="R2463" s="115"/>
      <c r="S2463" s="34"/>
      <c r="T2463" s="34"/>
      <c r="U2463" s="34"/>
      <c r="V2463" s="29"/>
    </row>
    <row r="2464" spans="3:22">
      <c r="C2464" s="125">
        <v>43609</v>
      </c>
      <c r="D2464" s="34">
        <v>91.79</v>
      </c>
      <c r="E2464" s="115">
        <v>92.09</v>
      </c>
      <c r="F2464" s="34">
        <v>90.89</v>
      </c>
      <c r="G2464" s="34">
        <v>91.16</v>
      </c>
      <c r="H2464" s="34">
        <v>91.16</v>
      </c>
      <c r="I2464" s="29">
        <v>67394000</v>
      </c>
      <c r="P2464" s="125"/>
      <c r="Q2464" s="34"/>
      <c r="R2464" s="115"/>
      <c r="S2464" s="34"/>
      <c r="T2464" s="34"/>
      <c r="U2464" s="34"/>
      <c r="V2464" s="29"/>
    </row>
    <row r="2465" spans="3:22">
      <c r="C2465" s="125">
        <v>43608</v>
      </c>
      <c r="D2465" s="34">
        <v>91.83</v>
      </c>
      <c r="E2465" s="115">
        <v>92.2</v>
      </c>
      <c r="F2465" s="34">
        <v>90.21</v>
      </c>
      <c r="G2465" s="34">
        <v>90.77</v>
      </c>
      <c r="H2465" s="34">
        <v>90.77</v>
      </c>
      <c r="I2465" s="29">
        <v>88486000</v>
      </c>
      <c r="P2465" s="125"/>
      <c r="Q2465" s="34"/>
      <c r="R2465" s="115"/>
      <c r="S2465" s="34"/>
      <c r="T2465" s="34"/>
      <c r="U2465" s="34"/>
      <c r="V2465" s="29"/>
    </row>
    <row r="2466" spans="3:22">
      <c r="C2466" s="125">
        <v>43607</v>
      </c>
      <c r="D2466" s="34">
        <v>92.59</v>
      </c>
      <c r="E2466" s="115">
        <v>93.57</v>
      </c>
      <c r="F2466" s="34">
        <v>92.55</v>
      </c>
      <c r="G2466" s="34">
        <v>92.98</v>
      </c>
      <c r="H2466" s="34">
        <v>92.98</v>
      </c>
      <c r="I2466" s="29">
        <v>58732000</v>
      </c>
      <c r="P2466" s="125"/>
      <c r="Q2466" s="34"/>
      <c r="R2466" s="115"/>
      <c r="S2466" s="34"/>
      <c r="T2466" s="34"/>
      <c r="U2466" s="34"/>
      <c r="V2466" s="29"/>
    </row>
    <row r="2467" spans="3:22">
      <c r="C2467" s="125">
        <v>43606</v>
      </c>
      <c r="D2467" s="34">
        <v>93.74</v>
      </c>
      <c r="E2467" s="115">
        <v>93.95</v>
      </c>
      <c r="F2467" s="34">
        <v>92.3</v>
      </c>
      <c r="G2467" s="34">
        <v>92.88</v>
      </c>
      <c r="H2467" s="34">
        <v>92.88</v>
      </c>
      <c r="I2467" s="29">
        <v>80102000</v>
      </c>
      <c r="P2467" s="125"/>
      <c r="Q2467" s="34"/>
      <c r="R2467" s="115"/>
      <c r="S2467" s="34"/>
      <c r="T2467" s="34"/>
      <c r="U2467" s="34"/>
      <c r="V2467" s="29"/>
    </row>
    <row r="2468" spans="3:22">
      <c r="C2468" s="125">
        <v>43605</v>
      </c>
      <c r="D2468" s="34">
        <v>92.63</v>
      </c>
      <c r="E2468" s="115">
        <v>93.39</v>
      </c>
      <c r="F2468" s="34">
        <v>91.78</v>
      </c>
      <c r="G2468" s="34">
        <v>92.95</v>
      </c>
      <c r="H2468" s="34">
        <v>92.95</v>
      </c>
      <c r="I2468" s="29">
        <v>75964000</v>
      </c>
      <c r="P2468" s="125"/>
      <c r="Q2468" s="34"/>
      <c r="R2468" s="115"/>
      <c r="S2468" s="34"/>
      <c r="T2468" s="34"/>
      <c r="U2468" s="34"/>
      <c r="V2468" s="29"/>
    </row>
    <row r="2469" spans="3:22">
      <c r="C2469" s="125">
        <v>43602</v>
      </c>
      <c r="D2469" s="34">
        <v>94.65</v>
      </c>
      <c r="E2469" s="115">
        <v>95.53</v>
      </c>
      <c r="F2469" s="34">
        <v>93.37</v>
      </c>
      <c r="G2469" s="34">
        <v>93.45</v>
      </c>
      <c r="H2469" s="34">
        <v>93.45</v>
      </c>
      <c r="I2469" s="29">
        <v>94732000</v>
      </c>
      <c r="P2469" s="125"/>
      <c r="Q2469" s="34"/>
      <c r="R2469" s="115"/>
      <c r="S2469" s="34"/>
      <c r="T2469" s="34"/>
      <c r="U2469" s="34"/>
      <c r="V2469" s="29"/>
    </row>
    <row r="2470" spans="3:22">
      <c r="C2470" s="125">
        <v>43601</v>
      </c>
      <c r="D2470" s="34">
        <v>94.3</v>
      </c>
      <c r="E2470" s="115">
        <v>95.88</v>
      </c>
      <c r="F2470" s="34">
        <v>94.11</v>
      </c>
      <c r="G2470" s="34">
        <v>95.38</v>
      </c>
      <c r="H2470" s="34">
        <v>95.38</v>
      </c>
      <c r="I2470" s="29">
        <v>94156000</v>
      </c>
      <c r="P2470" s="125"/>
      <c r="Q2470" s="34"/>
      <c r="R2470" s="115"/>
      <c r="S2470" s="34"/>
      <c r="T2470" s="34"/>
      <c r="U2470" s="34"/>
      <c r="V2470" s="29"/>
    </row>
    <row r="2471" spans="3:22">
      <c r="C2471" s="125">
        <v>43600</v>
      </c>
      <c r="D2471" s="34">
        <v>91.4</v>
      </c>
      <c r="E2471" s="115">
        <v>93.72</v>
      </c>
      <c r="F2471" s="34">
        <v>91.15</v>
      </c>
      <c r="G2471" s="34">
        <v>93.56</v>
      </c>
      <c r="H2471" s="34">
        <v>93.56</v>
      </c>
      <c r="I2471" s="29">
        <v>93852000</v>
      </c>
      <c r="P2471" s="125"/>
      <c r="Q2471" s="34"/>
      <c r="R2471" s="115"/>
      <c r="S2471" s="34"/>
      <c r="T2471" s="34"/>
      <c r="U2471" s="34"/>
      <c r="V2471" s="29"/>
    </row>
    <row r="2472" spans="3:22">
      <c r="C2472" s="125">
        <v>43599</v>
      </c>
      <c r="D2472" s="34">
        <v>91.97</v>
      </c>
      <c r="E2472" s="115">
        <v>92.62</v>
      </c>
      <c r="F2472" s="34">
        <v>90.79</v>
      </c>
      <c r="G2472" s="34">
        <v>92.01</v>
      </c>
      <c r="H2472" s="34">
        <v>92.01</v>
      </c>
      <c r="I2472" s="29">
        <v>92582000</v>
      </c>
      <c r="P2472" s="125"/>
      <c r="Q2472" s="34"/>
      <c r="R2472" s="115"/>
      <c r="S2472" s="34"/>
      <c r="T2472" s="34"/>
      <c r="U2472" s="34"/>
      <c r="V2472" s="29"/>
    </row>
    <row r="2473" spans="3:22">
      <c r="C2473" s="125">
        <v>43598</v>
      </c>
      <c r="D2473" s="34">
        <v>91.83</v>
      </c>
      <c r="E2473" s="115">
        <v>92.33</v>
      </c>
      <c r="F2473" s="34">
        <v>90.9</v>
      </c>
      <c r="G2473" s="34">
        <v>91.13</v>
      </c>
      <c r="H2473" s="34">
        <v>91.13</v>
      </c>
      <c r="I2473" s="29">
        <v>115668000</v>
      </c>
      <c r="P2473" s="125"/>
      <c r="Q2473" s="34"/>
      <c r="R2473" s="115"/>
      <c r="S2473" s="34"/>
      <c r="T2473" s="34"/>
      <c r="U2473" s="34"/>
      <c r="V2473" s="29"/>
    </row>
    <row r="2474" spans="3:22">
      <c r="C2474" s="125">
        <v>43595</v>
      </c>
      <c r="D2474" s="34">
        <v>94.9</v>
      </c>
      <c r="E2474" s="115">
        <v>95.19</v>
      </c>
      <c r="F2474" s="34">
        <v>92.8</v>
      </c>
      <c r="G2474" s="34">
        <v>94.5</v>
      </c>
      <c r="H2474" s="34">
        <v>94.5</v>
      </c>
      <c r="I2474" s="29">
        <v>114360000</v>
      </c>
      <c r="P2474" s="125"/>
      <c r="Q2474" s="34"/>
      <c r="R2474" s="115"/>
      <c r="S2474" s="34"/>
      <c r="T2474" s="34"/>
      <c r="U2474" s="34"/>
      <c r="V2474" s="29"/>
    </row>
    <row r="2475" spans="3:22">
      <c r="C2475" s="125">
        <v>43594</v>
      </c>
      <c r="D2475" s="34">
        <v>95</v>
      </c>
      <c r="E2475" s="115">
        <v>95.47</v>
      </c>
      <c r="F2475" s="34">
        <v>93.8</v>
      </c>
      <c r="G2475" s="34">
        <v>94.99</v>
      </c>
      <c r="H2475" s="34">
        <v>94.99</v>
      </c>
      <c r="I2475" s="29">
        <v>106166000</v>
      </c>
      <c r="P2475" s="125"/>
      <c r="Q2475" s="34"/>
      <c r="R2475" s="115"/>
      <c r="S2475" s="34"/>
      <c r="T2475" s="34"/>
      <c r="U2475" s="34"/>
      <c r="V2475" s="29"/>
    </row>
    <row r="2476" spans="3:22">
      <c r="C2476" s="125">
        <v>43593</v>
      </c>
      <c r="D2476" s="34">
        <v>95.94</v>
      </c>
      <c r="E2476" s="115">
        <v>96.77</v>
      </c>
      <c r="F2476" s="34">
        <v>95.5</v>
      </c>
      <c r="G2476" s="34">
        <v>95.89</v>
      </c>
      <c r="H2476" s="34">
        <v>95.89</v>
      </c>
      <c r="I2476" s="29">
        <v>81572000</v>
      </c>
      <c r="P2476" s="125"/>
      <c r="Q2476" s="34"/>
      <c r="R2476" s="115"/>
      <c r="S2476" s="34"/>
      <c r="T2476" s="34"/>
      <c r="U2476" s="34"/>
      <c r="V2476" s="29"/>
    </row>
    <row r="2477" spans="3:22">
      <c r="C2477" s="125">
        <v>43592</v>
      </c>
      <c r="D2477" s="34">
        <v>97</v>
      </c>
      <c r="E2477" s="115">
        <v>97.46</v>
      </c>
      <c r="F2477" s="34">
        <v>95.17</v>
      </c>
      <c r="G2477" s="34">
        <v>96.05</v>
      </c>
      <c r="H2477" s="34">
        <v>96.05</v>
      </c>
      <c r="I2477" s="29">
        <v>118042000</v>
      </c>
      <c r="P2477" s="125"/>
      <c r="Q2477" s="34"/>
      <c r="R2477" s="115"/>
      <c r="S2477" s="34"/>
      <c r="T2477" s="34"/>
      <c r="U2477" s="34"/>
      <c r="V2477" s="29"/>
    </row>
    <row r="2478" spans="3:22">
      <c r="C2478" s="125">
        <v>43591</v>
      </c>
      <c r="D2478" s="34">
        <v>95.9</v>
      </c>
      <c r="E2478" s="115">
        <v>97.95</v>
      </c>
      <c r="F2478" s="34">
        <v>95.53</v>
      </c>
      <c r="G2478" s="34">
        <v>97.53</v>
      </c>
      <c r="H2478" s="34">
        <v>97.53</v>
      </c>
      <c r="I2478" s="29">
        <v>108356000</v>
      </c>
      <c r="P2478" s="125"/>
      <c r="Q2478" s="34"/>
      <c r="R2478" s="115"/>
      <c r="S2478" s="34"/>
      <c r="T2478" s="34"/>
      <c r="U2478" s="34"/>
      <c r="V2478" s="29"/>
    </row>
    <row r="2479" spans="3:22">
      <c r="C2479" s="125">
        <v>43588</v>
      </c>
      <c r="D2479" s="34">
        <v>97.45</v>
      </c>
      <c r="E2479" s="115">
        <v>98.22</v>
      </c>
      <c r="F2479" s="34">
        <v>96.8</v>
      </c>
      <c r="G2479" s="34">
        <v>98.12</v>
      </c>
      <c r="H2479" s="34">
        <v>98.12</v>
      </c>
      <c r="I2479" s="29">
        <v>127632000</v>
      </c>
      <c r="P2479" s="125"/>
      <c r="Q2479" s="34"/>
      <c r="R2479" s="115"/>
      <c r="S2479" s="34"/>
      <c r="T2479" s="34"/>
      <c r="U2479" s="34"/>
      <c r="V2479" s="29"/>
    </row>
    <row r="2480" spans="3:22">
      <c r="C2480" s="125">
        <v>43587</v>
      </c>
      <c r="D2480" s="34">
        <v>95.67</v>
      </c>
      <c r="E2480" s="115">
        <v>96.08</v>
      </c>
      <c r="F2480" s="34">
        <v>94.09</v>
      </c>
      <c r="G2480" s="34">
        <v>95.04</v>
      </c>
      <c r="H2480" s="34">
        <v>95.04</v>
      </c>
      <c r="I2480" s="29">
        <v>79258000</v>
      </c>
      <c r="P2480" s="125"/>
      <c r="Q2480" s="34"/>
      <c r="R2480" s="115"/>
      <c r="S2480" s="34"/>
      <c r="T2480" s="34"/>
      <c r="U2480" s="34"/>
      <c r="V2480" s="29"/>
    </row>
    <row r="2481" spans="3:22">
      <c r="C2481" s="125">
        <v>43586</v>
      </c>
      <c r="D2481" s="34">
        <v>96.65</v>
      </c>
      <c r="E2481" s="115">
        <v>97.18</v>
      </c>
      <c r="F2481" s="34">
        <v>95.53</v>
      </c>
      <c r="G2481" s="34">
        <v>95.58</v>
      </c>
      <c r="H2481" s="34">
        <v>95.58</v>
      </c>
      <c r="I2481" s="29">
        <v>62340000</v>
      </c>
      <c r="P2481" s="125"/>
      <c r="Q2481" s="34"/>
      <c r="R2481" s="115"/>
      <c r="S2481" s="34"/>
      <c r="T2481" s="34"/>
      <c r="U2481" s="34"/>
      <c r="V2481" s="29"/>
    </row>
    <row r="2482" spans="3:22">
      <c r="C2482" s="125">
        <v>43585</v>
      </c>
      <c r="D2482" s="34">
        <v>96.5</v>
      </c>
      <c r="E2482" s="115">
        <v>96.79</v>
      </c>
      <c r="F2482" s="34">
        <v>95.35</v>
      </c>
      <c r="G2482" s="34">
        <v>96.33</v>
      </c>
      <c r="H2482" s="34">
        <v>96.33</v>
      </c>
      <c r="I2482" s="29">
        <v>70120000</v>
      </c>
      <c r="P2482" s="125"/>
      <c r="Q2482" s="34"/>
      <c r="R2482" s="115"/>
      <c r="S2482" s="34"/>
      <c r="T2482" s="34"/>
      <c r="U2482" s="34"/>
      <c r="V2482" s="29"/>
    </row>
    <row r="2483" spans="3:22">
      <c r="C2483" s="125">
        <v>43584</v>
      </c>
      <c r="D2483" s="34">
        <v>97.45</v>
      </c>
      <c r="E2483" s="115">
        <v>97.82</v>
      </c>
      <c r="F2483" s="34">
        <v>96.7</v>
      </c>
      <c r="G2483" s="34">
        <v>96.92</v>
      </c>
      <c r="H2483" s="34">
        <v>96.92</v>
      </c>
      <c r="I2483" s="29">
        <v>80426000</v>
      </c>
      <c r="P2483" s="125"/>
      <c r="Q2483" s="34"/>
      <c r="R2483" s="115"/>
      <c r="S2483" s="34"/>
      <c r="T2483" s="34"/>
      <c r="U2483" s="34"/>
      <c r="V2483" s="29"/>
    </row>
    <row r="2484" spans="3:22">
      <c r="C2484" s="125">
        <v>43581</v>
      </c>
      <c r="D2484" s="34">
        <v>96.45</v>
      </c>
      <c r="E2484" s="115">
        <v>97.55</v>
      </c>
      <c r="F2484" s="34">
        <v>94.9</v>
      </c>
      <c r="G2484" s="34">
        <v>97.53</v>
      </c>
      <c r="H2484" s="34">
        <v>97.53</v>
      </c>
      <c r="I2484" s="29">
        <v>168652000</v>
      </c>
      <c r="P2484" s="125"/>
      <c r="Q2484" s="34"/>
      <c r="R2484" s="115"/>
      <c r="S2484" s="34"/>
      <c r="T2484" s="34"/>
      <c r="U2484" s="34"/>
      <c r="V2484" s="29"/>
    </row>
    <row r="2485" spans="3:22">
      <c r="C2485" s="125">
        <v>43580</v>
      </c>
      <c r="D2485" s="34">
        <v>95.85</v>
      </c>
      <c r="E2485" s="115">
        <v>96.12</v>
      </c>
      <c r="F2485" s="34">
        <v>95.02</v>
      </c>
      <c r="G2485" s="34">
        <v>95.11</v>
      </c>
      <c r="H2485" s="34">
        <v>95.11</v>
      </c>
      <c r="I2485" s="29">
        <v>121982000</v>
      </c>
      <c r="P2485" s="125"/>
      <c r="Q2485" s="34"/>
      <c r="R2485" s="115"/>
      <c r="S2485" s="34"/>
      <c r="T2485" s="34"/>
      <c r="U2485" s="34"/>
      <c r="V2485" s="29"/>
    </row>
    <row r="2486" spans="3:22">
      <c r="C2486" s="125">
        <v>43579</v>
      </c>
      <c r="D2486" s="34">
        <v>96.25</v>
      </c>
      <c r="E2486" s="115">
        <v>96.48</v>
      </c>
      <c r="F2486" s="34">
        <v>94.91</v>
      </c>
      <c r="G2486" s="34">
        <v>95.09</v>
      </c>
      <c r="H2486" s="34">
        <v>95.09</v>
      </c>
      <c r="I2486" s="29">
        <v>73516000</v>
      </c>
      <c r="P2486" s="125"/>
      <c r="Q2486" s="34"/>
      <c r="R2486" s="115"/>
      <c r="S2486" s="34"/>
      <c r="T2486" s="34"/>
      <c r="U2486" s="34"/>
      <c r="V2486" s="29"/>
    </row>
    <row r="2487" spans="3:22">
      <c r="C2487" s="125">
        <v>43578</v>
      </c>
      <c r="D2487" s="34">
        <v>94.56</v>
      </c>
      <c r="E2487" s="115">
        <v>96.46</v>
      </c>
      <c r="F2487" s="34">
        <v>94.48</v>
      </c>
      <c r="G2487" s="34">
        <v>96.19</v>
      </c>
      <c r="H2487" s="34">
        <v>96.19</v>
      </c>
      <c r="I2487" s="29">
        <v>92808000</v>
      </c>
      <c r="P2487" s="125"/>
      <c r="Q2487" s="34"/>
      <c r="R2487" s="115"/>
      <c r="S2487" s="34"/>
      <c r="T2487" s="34"/>
      <c r="U2487" s="34"/>
      <c r="V2487" s="29"/>
    </row>
    <row r="2488" spans="3:22">
      <c r="C2488" s="125">
        <v>43577</v>
      </c>
      <c r="D2488" s="34">
        <v>92.77</v>
      </c>
      <c r="E2488" s="115">
        <v>94.42</v>
      </c>
      <c r="F2488" s="34">
        <v>92.28</v>
      </c>
      <c r="G2488" s="34">
        <v>94.37</v>
      </c>
      <c r="H2488" s="34">
        <v>94.37</v>
      </c>
      <c r="I2488" s="29">
        <v>67476000</v>
      </c>
      <c r="P2488" s="125"/>
      <c r="Q2488" s="34"/>
      <c r="R2488" s="115"/>
      <c r="S2488" s="34"/>
      <c r="T2488" s="34"/>
      <c r="U2488" s="34"/>
      <c r="V2488" s="29"/>
    </row>
    <row r="2489" spans="3:22">
      <c r="C2489" s="125">
        <v>43573</v>
      </c>
      <c r="D2489" s="34">
        <v>93.44</v>
      </c>
      <c r="E2489" s="115">
        <v>93.54</v>
      </c>
      <c r="F2489" s="34">
        <v>92.97</v>
      </c>
      <c r="G2489" s="34">
        <v>93.08</v>
      </c>
      <c r="H2489" s="34">
        <v>93.08</v>
      </c>
      <c r="I2489" s="29">
        <v>54998000</v>
      </c>
      <c r="P2489" s="125"/>
      <c r="Q2489" s="34"/>
      <c r="R2489" s="115"/>
      <c r="S2489" s="34"/>
      <c r="T2489" s="34"/>
      <c r="U2489" s="34"/>
      <c r="V2489" s="29"/>
    </row>
    <row r="2490" spans="3:22">
      <c r="C2490" s="125">
        <v>43572</v>
      </c>
      <c r="D2490" s="34">
        <v>93.65</v>
      </c>
      <c r="E2490" s="115">
        <v>93.82</v>
      </c>
      <c r="F2490" s="34">
        <v>93.02</v>
      </c>
      <c r="G2490" s="34">
        <v>93.24</v>
      </c>
      <c r="H2490" s="34">
        <v>93.24</v>
      </c>
      <c r="I2490" s="29">
        <v>57870000</v>
      </c>
      <c r="P2490" s="125"/>
      <c r="Q2490" s="34"/>
      <c r="R2490" s="115"/>
      <c r="S2490" s="34"/>
      <c r="T2490" s="34"/>
      <c r="U2490" s="34"/>
      <c r="V2490" s="29"/>
    </row>
    <row r="2491" spans="3:22">
      <c r="C2491" s="125">
        <v>43571</v>
      </c>
      <c r="D2491" s="34">
        <v>92.57</v>
      </c>
      <c r="E2491" s="115">
        <v>93.49</v>
      </c>
      <c r="F2491" s="34">
        <v>92.4</v>
      </c>
      <c r="G2491" s="34">
        <v>93.15</v>
      </c>
      <c r="H2491" s="34">
        <v>93.15</v>
      </c>
      <c r="I2491" s="29">
        <v>60892000</v>
      </c>
      <c r="P2491" s="125"/>
      <c r="Q2491" s="34"/>
      <c r="R2491" s="115"/>
      <c r="S2491" s="34"/>
      <c r="T2491" s="34"/>
      <c r="U2491" s="34"/>
      <c r="V2491" s="29"/>
    </row>
    <row r="2492" spans="3:22">
      <c r="C2492" s="125">
        <v>43570</v>
      </c>
      <c r="D2492" s="34">
        <v>92.1</v>
      </c>
      <c r="E2492" s="115">
        <v>92.34</v>
      </c>
      <c r="F2492" s="34">
        <v>90.94</v>
      </c>
      <c r="G2492" s="34">
        <v>92.24</v>
      </c>
      <c r="H2492" s="34">
        <v>92.24</v>
      </c>
      <c r="I2492" s="29">
        <v>74488000</v>
      </c>
      <c r="P2492" s="125"/>
      <c r="Q2492" s="34"/>
      <c r="R2492" s="115"/>
      <c r="S2492" s="34"/>
      <c r="T2492" s="34"/>
      <c r="U2492" s="34"/>
      <c r="V2492" s="29"/>
    </row>
    <row r="2493" spans="3:22">
      <c r="C2493" s="125">
        <v>43567</v>
      </c>
      <c r="D2493" s="34">
        <v>92.42</v>
      </c>
      <c r="E2493" s="115">
        <v>92.57</v>
      </c>
      <c r="F2493" s="34">
        <v>92.07</v>
      </c>
      <c r="G2493" s="34">
        <v>92.15</v>
      </c>
      <c r="H2493" s="34">
        <v>92.15</v>
      </c>
      <c r="I2493" s="29">
        <v>62288000</v>
      </c>
      <c r="P2493" s="125"/>
      <c r="Q2493" s="34"/>
      <c r="R2493" s="115"/>
      <c r="S2493" s="34"/>
      <c r="T2493" s="34"/>
      <c r="U2493" s="34"/>
      <c r="V2493" s="29"/>
    </row>
    <row r="2494" spans="3:22">
      <c r="C2494" s="125">
        <v>43566</v>
      </c>
      <c r="D2494" s="34">
        <v>92.43</v>
      </c>
      <c r="E2494" s="115">
        <v>92.5</v>
      </c>
      <c r="F2494" s="34">
        <v>92.02</v>
      </c>
      <c r="G2494" s="34">
        <v>92.2</v>
      </c>
      <c r="H2494" s="34">
        <v>92.2</v>
      </c>
      <c r="I2494" s="29">
        <v>53096000</v>
      </c>
      <c r="P2494" s="125"/>
      <c r="Q2494" s="34"/>
      <c r="R2494" s="115"/>
      <c r="S2494" s="34"/>
      <c r="T2494" s="34"/>
      <c r="U2494" s="34"/>
      <c r="V2494" s="29"/>
    </row>
    <row r="2495" spans="3:22">
      <c r="C2495" s="125">
        <v>43565</v>
      </c>
      <c r="D2495" s="34">
        <v>92.05</v>
      </c>
      <c r="E2495" s="115">
        <v>92.4</v>
      </c>
      <c r="F2495" s="34">
        <v>91.44</v>
      </c>
      <c r="G2495" s="34">
        <v>92.37</v>
      </c>
      <c r="H2495" s="34">
        <v>92.37</v>
      </c>
      <c r="I2495" s="29">
        <v>59280000</v>
      </c>
      <c r="P2495" s="125"/>
      <c r="Q2495" s="34"/>
      <c r="R2495" s="115"/>
      <c r="S2495" s="34"/>
      <c r="T2495" s="34"/>
      <c r="U2495" s="34"/>
      <c r="V2495" s="29"/>
    </row>
    <row r="2496" spans="3:22">
      <c r="C2496" s="125">
        <v>43564</v>
      </c>
      <c r="D2496" s="34">
        <v>92.27</v>
      </c>
      <c r="E2496" s="115">
        <v>92.65</v>
      </c>
      <c r="F2496" s="34">
        <v>91.59</v>
      </c>
      <c r="G2496" s="34">
        <v>91.79</v>
      </c>
      <c r="H2496" s="34">
        <v>91.79</v>
      </c>
      <c r="I2496" s="29">
        <v>74288000</v>
      </c>
      <c r="P2496" s="125"/>
      <c r="Q2496" s="34"/>
      <c r="R2496" s="115"/>
      <c r="S2496" s="34"/>
      <c r="T2496" s="34"/>
      <c r="U2496" s="34"/>
      <c r="V2496" s="29"/>
    </row>
    <row r="2497" spans="3:22">
      <c r="C2497" s="125">
        <v>43563</v>
      </c>
      <c r="D2497" s="34">
        <v>91.66</v>
      </c>
      <c r="E2497" s="115">
        <v>92.51</v>
      </c>
      <c r="F2497" s="34">
        <v>91.26</v>
      </c>
      <c r="G2497" s="34">
        <v>92.49</v>
      </c>
      <c r="H2497" s="34">
        <v>92.49</v>
      </c>
      <c r="I2497" s="29">
        <v>75056000</v>
      </c>
      <c r="P2497" s="125"/>
      <c r="Q2497" s="34"/>
      <c r="R2497" s="115"/>
      <c r="S2497" s="34"/>
      <c r="T2497" s="34"/>
      <c r="U2497" s="34"/>
      <c r="V2497" s="29"/>
    </row>
    <row r="2498" spans="3:22">
      <c r="C2498" s="125">
        <v>43560</v>
      </c>
      <c r="D2498" s="34">
        <v>91.45</v>
      </c>
      <c r="E2498" s="115">
        <v>91.93</v>
      </c>
      <c r="F2498" s="34">
        <v>91.26</v>
      </c>
      <c r="G2498" s="34">
        <v>91.86</v>
      </c>
      <c r="H2498" s="34">
        <v>91.86</v>
      </c>
      <c r="I2498" s="29">
        <v>72810000</v>
      </c>
      <c r="P2498" s="125"/>
      <c r="Q2498" s="34"/>
      <c r="R2498" s="115"/>
      <c r="S2498" s="34"/>
      <c r="T2498" s="34"/>
      <c r="U2498" s="34"/>
      <c r="V2498" s="29"/>
    </row>
    <row r="2499" spans="3:22">
      <c r="C2499" s="125">
        <v>43559</v>
      </c>
      <c r="D2499" s="34">
        <v>91.03</v>
      </c>
      <c r="E2499" s="115">
        <v>91.44</v>
      </c>
      <c r="F2499" s="34">
        <v>90.21</v>
      </c>
      <c r="G2499" s="34">
        <v>90.94</v>
      </c>
      <c r="H2499" s="34">
        <v>90.94</v>
      </c>
      <c r="I2499" s="29">
        <v>72478000</v>
      </c>
      <c r="P2499" s="125"/>
      <c r="Q2499" s="34"/>
      <c r="R2499" s="115"/>
      <c r="S2499" s="34"/>
      <c r="T2499" s="34"/>
      <c r="U2499" s="34"/>
      <c r="V2499" s="29"/>
    </row>
    <row r="2500" spans="3:22">
      <c r="C2500" s="125">
        <v>43558</v>
      </c>
      <c r="D2500" s="34">
        <v>91.34</v>
      </c>
      <c r="E2500" s="115">
        <v>91.5</v>
      </c>
      <c r="F2500" s="34">
        <v>90.48</v>
      </c>
      <c r="G2500" s="34">
        <v>91.04</v>
      </c>
      <c r="H2500" s="34">
        <v>91.04</v>
      </c>
      <c r="I2500" s="29">
        <v>78522000</v>
      </c>
      <c r="P2500" s="125"/>
      <c r="Q2500" s="34"/>
      <c r="R2500" s="115"/>
      <c r="S2500" s="34"/>
      <c r="T2500" s="34"/>
      <c r="U2500" s="34"/>
      <c r="V2500" s="29"/>
    </row>
    <row r="2501" spans="3:22">
      <c r="C2501" s="125">
        <v>43557</v>
      </c>
      <c r="D2501" s="34">
        <v>90.55</v>
      </c>
      <c r="E2501" s="115">
        <v>91</v>
      </c>
      <c r="F2501" s="34">
        <v>90.26</v>
      </c>
      <c r="G2501" s="34">
        <v>90.7</v>
      </c>
      <c r="H2501" s="34">
        <v>90.7</v>
      </c>
      <c r="I2501" s="29">
        <v>68962000</v>
      </c>
      <c r="P2501" s="125"/>
      <c r="Q2501" s="34"/>
      <c r="R2501" s="115"/>
      <c r="S2501" s="34"/>
      <c r="T2501" s="34"/>
      <c r="U2501" s="34"/>
      <c r="V2501" s="29"/>
    </row>
    <row r="2502" spans="3:22">
      <c r="C2502" s="125">
        <v>43556</v>
      </c>
      <c r="D2502" s="34">
        <v>90.01</v>
      </c>
      <c r="E2502" s="115">
        <v>90.78</v>
      </c>
      <c r="F2502" s="34">
        <v>89.94</v>
      </c>
      <c r="G2502" s="34">
        <v>90.71</v>
      </c>
      <c r="H2502" s="34">
        <v>90.71</v>
      </c>
      <c r="I2502" s="29">
        <v>84776000</v>
      </c>
      <c r="P2502" s="125"/>
      <c r="Q2502" s="34"/>
      <c r="R2502" s="115"/>
      <c r="S2502" s="34"/>
      <c r="T2502" s="34"/>
      <c r="U2502" s="34"/>
      <c r="V2502" s="29"/>
    </row>
    <row r="2503" spans="3:22">
      <c r="C2503" s="125">
        <v>43553</v>
      </c>
      <c r="D2503" s="34">
        <v>89.33</v>
      </c>
      <c r="E2503" s="115">
        <v>89.64</v>
      </c>
      <c r="F2503" s="34">
        <v>88.83</v>
      </c>
      <c r="G2503" s="34">
        <v>89.04</v>
      </c>
      <c r="H2503" s="34">
        <v>89.04</v>
      </c>
      <c r="I2503" s="29">
        <v>66416000</v>
      </c>
      <c r="P2503" s="125"/>
      <c r="Q2503" s="34"/>
      <c r="R2503" s="115"/>
      <c r="S2503" s="34"/>
      <c r="T2503" s="34"/>
      <c r="U2503" s="34"/>
      <c r="V2503" s="29"/>
    </row>
    <row r="2504" spans="3:22">
      <c r="C2504" s="125">
        <v>43552</v>
      </c>
      <c r="D2504" s="34">
        <v>88.5</v>
      </c>
      <c r="E2504" s="115">
        <v>88.9</v>
      </c>
      <c r="F2504" s="34">
        <v>87.67</v>
      </c>
      <c r="G2504" s="34">
        <v>88.67</v>
      </c>
      <c r="H2504" s="34">
        <v>88.67</v>
      </c>
      <c r="I2504" s="29">
        <v>60860000</v>
      </c>
      <c r="P2504" s="125"/>
      <c r="Q2504" s="34"/>
      <c r="R2504" s="115"/>
      <c r="S2504" s="34"/>
      <c r="T2504" s="34"/>
      <c r="U2504" s="34"/>
      <c r="V2504" s="29"/>
    </row>
    <row r="2505" spans="3:22">
      <c r="C2505" s="125">
        <v>43551</v>
      </c>
      <c r="D2505" s="34">
        <v>89.21</v>
      </c>
      <c r="E2505" s="115">
        <v>89.38</v>
      </c>
      <c r="F2505" s="34">
        <v>87.28</v>
      </c>
      <c r="G2505" s="34">
        <v>88.29</v>
      </c>
      <c r="H2505" s="34">
        <v>88.29</v>
      </c>
      <c r="I2505" s="29">
        <v>86496000</v>
      </c>
      <c r="P2505" s="125"/>
      <c r="Q2505" s="34"/>
      <c r="R2505" s="115"/>
      <c r="S2505" s="34"/>
      <c r="T2505" s="34"/>
      <c r="U2505" s="34"/>
      <c r="V2505" s="29"/>
    </row>
    <row r="2506" spans="3:22">
      <c r="C2506" s="125">
        <v>43550</v>
      </c>
      <c r="D2506" s="34">
        <v>89.65</v>
      </c>
      <c r="E2506" s="115">
        <v>90.29</v>
      </c>
      <c r="F2506" s="34">
        <v>88.67</v>
      </c>
      <c r="G2506" s="34">
        <v>89.19</v>
      </c>
      <c r="H2506" s="34">
        <v>89.19</v>
      </c>
      <c r="I2506" s="29">
        <v>97318000</v>
      </c>
      <c r="P2506" s="125"/>
      <c r="Q2506" s="34"/>
      <c r="R2506" s="115"/>
      <c r="S2506" s="34"/>
      <c r="T2506" s="34"/>
      <c r="U2506" s="34"/>
      <c r="V2506" s="29"/>
    </row>
    <row r="2507" spans="3:22">
      <c r="C2507" s="125">
        <v>43549</v>
      </c>
      <c r="D2507" s="34">
        <v>87.89</v>
      </c>
      <c r="E2507" s="115">
        <v>89.13</v>
      </c>
      <c r="F2507" s="34">
        <v>87.38</v>
      </c>
      <c r="G2507" s="34">
        <v>88.71</v>
      </c>
      <c r="H2507" s="34">
        <v>88.71</v>
      </c>
      <c r="I2507" s="29">
        <v>102076000</v>
      </c>
      <c r="P2507" s="125"/>
      <c r="Q2507" s="34"/>
      <c r="R2507" s="115"/>
      <c r="S2507" s="34"/>
      <c r="T2507" s="34"/>
      <c r="U2507" s="34"/>
      <c r="V2507" s="29"/>
    </row>
    <row r="2508" spans="3:22">
      <c r="C2508" s="125">
        <v>43546</v>
      </c>
      <c r="D2508" s="34">
        <v>90.51</v>
      </c>
      <c r="E2508" s="115">
        <v>90.95</v>
      </c>
      <c r="F2508" s="34">
        <v>88.16</v>
      </c>
      <c r="G2508" s="34">
        <v>88.24</v>
      </c>
      <c r="H2508" s="34">
        <v>88.24</v>
      </c>
      <c r="I2508" s="29">
        <v>127260000</v>
      </c>
      <c r="P2508" s="125"/>
      <c r="Q2508" s="34"/>
      <c r="R2508" s="115"/>
      <c r="S2508" s="34"/>
      <c r="T2508" s="34"/>
      <c r="U2508" s="34"/>
      <c r="V2508" s="29"/>
    </row>
    <row r="2509" spans="3:22">
      <c r="C2509" s="125">
        <v>43545</v>
      </c>
      <c r="D2509" s="34">
        <v>89.81</v>
      </c>
      <c r="E2509" s="115">
        <v>91.19</v>
      </c>
      <c r="F2509" s="34">
        <v>89.36</v>
      </c>
      <c r="G2509" s="34">
        <v>90.96</v>
      </c>
      <c r="H2509" s="34">
        <v>90.96</v>
      </c>
      <c r="I2509" s="29">
        <v>115356000</v>
      </c>
      <c r="P2509" s="125"/>
      <c r="Q2509" s="34"/>
      <c r="R2509" s="115"/>
      <c r="S2509" s="34"/>
      <c r="T2509" s="34"/>
      <c r="U2509" s="34"/>
      <c r="V2509" s="29"/>
    </row>
    <row r="2510" spans="3:22">
      <c r="C2510" s="125">
        <v>43544</v>
      </c>
      <c r="D2510" s="34">
        <v>88.5</v>
      </c>
      <c r="E2510" s="115">
        <v>89.97</v>
      </c>
      <c r="F2510" s="34">
        <v>88.35</v>
      </c>
      <c r="G2510" s="34">
        <v>89.86</v>
      </c>
      <c r="H2510" s="34">
        <v>89.86</v>
      </c>
      <c r="I2510" s="29">
        <v>125312000</v>
      </c>
      <c r="P2510" s="125"/>
      <c r="Q2510" s="34"/>
      <c r="R2510" s="115"/>
      <c r="S2510" s="34"/>
      <c r="T2510" s="34"/>
      <c r="U2510" s="34"/>
      <c r="V2510" s="29"/>
    </row>
    <row r="2511" spans="3:22">
      <c r="C2511" s="125">
        <v>43543</v>
      </c>
      <c r="D2511" s="34">
        <v>87.68</v>
      </c>
      <c r="E2511" s="115">
        <v>89.21</v>
      </c>
      <c r="F2511" s="34">
        <v>87.68</v>
      </c>
      <c r="G2511" s="34">
        <v>88.09</v>
      </c>
      <c r="H2511" s="34">
        <v>88.09</v>
      </c>
      <c r="I2511" s="29">
        <v>127284000</v>
      </c>
      <c r="P2511" s="125"/>
      <c r="Q2511" s="34"/>
      <c r="R2511" s="115"/>
      <c r="S2511" s="34"/>
      <c r="T2511" s="34"/>
      <c r="U2511" s="34"/>
      <c r="V2511" s="29"/>
    </row>
    <row r="2512" spans="3:22">
      <c r="C2512" s="125">
        <v>43542</v>
      </c>
      <c r="D2512" s="34">
        <v>85.64</v>
      </c>
      <c r="E2512" s="115">
        <v>87.5</v>
      </c>
      <c r="F2512" s="34">
        <v>85.63</v>
      </c>
      <c r="G2512" s="34">
        <v>87.11</v>
      </c>
      <c r="H2512" s="34">
        <v>87.11</v>
      </c>
      <c r="I2512" s="29">
        <v>108582000</v>
      </c>
      <c r="P2512" s="125"/>
      <c r="Q2512" s="34"/>
      <c r="R2512" s="115"/>
      <c r="S2512" s="34"/>
      <c r="T2512" s="34"/>
      <c r="U2512" s="34"/>
      <c r="V2512" s="29"/>
    </row>
    <row r="2513" spans="3:22">
      <c r="C2513" s="125">
        <v>43539</v>
      </c>
      <c r="D2513" s="34">
        <v>85.15</v>
      </c>
      <c r="E2513" s="115">
        <v>85.94</v>
      </c>
      <c r="F2513" s="34">
        <v>84.66</v>
      </c>
      <c r="G2513" s="34">
        <v>85.62</v>
      </c>
      <c r="H2513" s="34">
        <v>85.62</v>
      </c>
      <c r="I2513" s="29">
        <v>151018000</v>
      </c>
      <c r="P2513" s="125"/>
      <c r="Q2513" s="34"/>
      <c r="R2513" s="115"/>
      <c r="S2513" s="34"/>
      <c r="T2513" s="34"/>
      <c r="U2513" s="34"/>
      <c r="V2513" s="29"/>
    </row>
    <row r="2514" spans="3:22">
      <c r="C2514" s="125">
        <v>43538</v>
      </c>
      <c r="D2514" s="34">
        <v>84.56</v>
      </c>
      <c r="E2514" s="115">
        <v>85.1</v>
      </c>
      <c r="F2514" s="34">
        <v>84.22</v>
      </c>
      <c r="G2514" s="34">
        <v>84.31</v>
      </c>
      <c r="H2514" s="34">
        <v>84.31</v>
      </c>
      <c r="I2514" s="29">
        <v>58932000</v>
      </c>
      <c r="P2514" s="125"/>
      <c r="Q2514" s="34"/>
      <c r="R2514" s="115"/>
      <c r="S2514" s="34"/>
      <c r="T2514" s="34"/>
      <c r="U2514" s="34"/>
      <c r="V2514" s="29"/>
    </row>
    <row r="2515" spans="3:22">
      <c r="C2515" s="125">
        <v>43537</v>
      </c>
      <c r="D2515" s="34">
        <v>84.15</v>
      </c>
      <c r="E2515" s="115">
        <v>85</v>
      </c>
      <c r="F2515" s="34">
        <v>83.97</v>
      </c>
      <c r="G2515" s="34">
        <v>84.54</v>
      </c>
      <c r="H2515" s="34">
        <v>84.54</v>
      </c>
      <c r="I2515" s="29">
        <v>71040000</v>
      </c>
      <c r="P2515" s="125"/>
      <c r="Q2515" s="34"/>
      <c r="R2515" s="115"/>
      <c r="S2515" s="34"/>
      <c r="T2515" s="34"/>
      <c r="U2515" s="34"/>
      <c r="V2515" s="29"/>
    </row>
    <row r="2516" spans="3:22">
      <c r="C2516" s="125">
        <v>43536</v>
      </c>
      <c r="D2516" s="34">
        <v>83.45</v>
      </c>
      <c r="E2516" s="115">
        <v>84.21</v>
      </c>
      <c r="F2516" s="34">
        <v>83.05</v>
      </c>
      <c r="G2516" s="34">
        <v>83.65</v>
      </c>
      <c r="H2516" s="34">
        <v>83.65</v>
      </c>
      <c r="I2516" s="29">
        <v>72290000</v>
      </c>
      <c r="P2516" s="125"/>
      <c r="Q2516" s="34"/>
      <c r="R2516" s="115"/>
      <c r="S2516" s="34"/>
      <c r="T2516" s="34"/>
      <c r="U2516" s="34"/>
      <c r="V2516" s="29"/>
    </row>
    <row r="2517" spans="3:22">
      <c r="C2517" s="125">
        <v>43535</v>
      </c>
      <c r="D2517" s="34">
        <v>81.31</v>
      </c>
      <c r="E2517" s="115">
        <v>83.61</v>
      </c>
      <c r="F2517" s="34">
        <v>81.3</v>
      </c>
      <c r="G2517" s="34">
        <v>83.53</v>
      </c>
      <c r="H2517" s="34">
        <v>83.53</v>
      </c>
      <c r="I2517" s="29">
        <v>77528000</v>
      </c>
      <c r="P2517" s="125"/>
      <c r="Q2517" s="34"/>
      <c r="R2517" s="115"/>
      <c r="S2517" s="34"/>
      <c r="T2517" s="34"/>
      <c r="U2517" s="34"/>
      <c r="V2517" s="29"/>
    </row>
    <row r="2518" spans="3:22">
      <c r="C2518" s="125">
        <v>43532</v>
      </c>
      <c r="D2518" s="34">
        <v>80.2</v>
      </c>
      <c r="E2518" s="115">
        <v>81.14</v>
      </c>
      <c r="F2518" s="34">
        <v>79.33</v>
      </c>
      <c r="G2518" s="34">
        <v>81.040000000000006</v>
      </c>
      <c r="H2518" s="34">
        <v>81.040000000000006</v>
      </c>
      <c r="I2518" s="29">
        <v>93340000</v>
      </c>
      <c r="P2518" s="125"/>
      <c r="Q2518" s="34"/>
      <c r="R2518" s="115"/>
      <c r="S2518" s="34"/>
      <c r="T2518" s="34"/>
      <c r="U2518" s="34"/>
      <c r="V2518" s="29"/>
    </row>
    <row r="2519" spans="3:22">
      <c r="C2519" s="125">
        <v>43531</v>
      </c>
      <c r="D2519" s="34">
        <v>83.37</v>
      </c>
      <c r="E2519" s="115">
        <v>83.49</v>
      </c>
      <c r="F2519" s="34">
        <v>81.03</v>
      </c>
      <c r="G2519" s="34">
        <v>81.3</v>
      </c>
      <c r="H2519" s="34">
        <v>81.3</v>
      </c>
      <c r="I2519" s="29">
        <v>99140000</v>
      </c>
      <c r="P2519" s="125"/>
      <c r="Q2519" s="34"/>
      <c r="R2519" s="115"/>
      <c r="S2519" s="34"/>
      <c r="T2519" s="34"/>
      <c r="U2519" s="34"/>
      <c r="V2519" s="29"/>
    </row>
    <row r="2520" spans="3:22">
      <c r="C2520" s="125">
        <v>43530</v>
      </c>
      <c r="D2520" s="34">
        <v>84.8</v>
      </c>
      <c r="E2520" s="115">
        <v>84.89</v>
      </c>
      <c r="F2520" s="34">
        <v>83.41</v>
      </c>
      <c r="G2520" s="34">
        <v>83.45</v>
      </c>
      <c r="H2520" s="34">
        <v>83.45</v>
      </c>
      <c r="I2520" s="29">
        <v>79920000</v>
      </c>
      <c r="P2520" s="125"/>
      <c r="Q2520" s="34"/>
      <c r="R2520" s="115"/>
      <c r="S2520" s="34"/>
      <c r="T2520" s="34"/>
      <c r="U2520" s="34"/>
      <c r="V2520" s="29"/>
    </row>
    <row r="2521" spans="3:22">
      <c r="C2521" s="125">
        <v>43529</v>
      </c>
      <c r="D2521" s="34">
        <v>85.15</v>
      </c>
      <c r="E2521" s="115">
        <v>85.39</v>
      </c>
      <c r="F2521" s="34">
        <v>84.45</v>
      </c>
      <c r="G2521" s="34">
        <v>84.62</v>
      </c>
      <c r="H2521" s="34">
        <v>84.62</v>
      </c>
      <c r="I2521" s="29">
        <v>73630000</v>
      </c>
      <c r="P2521" s="125"/>
      <c r="Q2521" s="34"/>
      <c r="R2521" s="115"/>
      <c r="S2521" s="34"/>
      <c r="T2521" s="34"/>
      <c r="U2521" s="34"/>
      <c r="V2521" s="29"/>
    </row>
    <row r="2522" spans="3:22">
      <c r="C2522" s="125">
        <v>43528</v>
      </c>
      <c r="D2522" s="34">
        <v>84.25</v>
      </c>
      <c r="E2522" s="115">
        <v>85.47</v>
      </c>
      <c r="F2522" s="34">
        <v>83.72</v>
      </c>
      <c r="G2522" s="34">
        <v>84.81</v>
      </c>
      <c r="H2522" s="34">
        <v>84.81</v>
      </c>
      <c r="I2522" s="29">
        <v>123348000</v>
      </c>
      <c r="P2522" s="125"/>
      <c r="Q2522" s="34"/>
      <c r="R2522" s="115"/>
      <c r="S2522" s="34"/>
      <c r="T2522" s="34"/>
      <c r="U2522" s="34"/>
      <c r="V2522" s="29"/>
    </row>
    <row r="2523" spans="3:22">
      <c r="C2523" s="125">
        <v>43525</v>
      </c>
      <c r="D2523" s="34">
        <v>82.76</v>
      </c>
      <c r="E2523" s="115">
        <v>83.71</v>
      </c>
      <c r="F2523" s="34">
        <v>82.55</v>
      </c>
      <c r="G2523" s="34">
        <v>83.59</v>
      </c>
      <c r="H2523" s="34">
        <v>83.59</v>
      </c>
      <c r="I2523" s="29">
        <v>99498000</v>
      </c>
      <c r="P2523" s="125"/>
      <c r="Q2523" s="34"/>
      <c r="R2523" s="115"/>
      <c r="S2523" s="34"/>
      <c r="T2523" s="34"/>
      <c r="U2523" s="34"/>
      <c r="V2523" s="29"/>
    </row>
    <row r="2524" spans="3:22">
      <c r="C2524" s="125">
        <v>43524</v>
      </c>
      <c r="D2524" s="34">
        <v>81.760000000000005</v>
      </c>
      <c r="E2524" s="115">
        <v>82.59</v>
      </c>
      <c r="F2524" s="34">
        <v>81.69</v>
      </c>
      <c r="G2524" s="34">
        <v>81.99</v>
      </c>
      <c r="H2524" s="34">
        <v>81.99</v>
      </c>
      <c r="I2524" s="29">
        <v>60518000</v>
      </c>
      <c r="P2524" s="125"/>
      <c r="Q2524" s="34"/>
      <c r="R2524" s="115"/>
      <c r="S2524" s="34"/>
      <c r="T2524" s="34"/>
      <c r="U2524" s="34"/>
      <c r="V2524" s="29"/>
    </row>
    <row r="2525" spans="3:22">
      <c r="C2525" s="125">
        <v>43523</v>
      </c>
      <c r="D2525" s="34">
        <v>81.41</v>
      </c>
      <c r="E2525" s="115">
        <v>82.09</v>
      </c>
      <c r="F2525" s="34">
        <v>80.75</v>
      </c>
      <c r="G2525" s="34">
        <v>82.05</v>
      </c>
      <c r="H2525" s="34">
        <v>82.05</v>
      </c>
      <c r="I2525" s="29">
        <v>62976000</v>
      </c>
      <c r="P2525" s="125"/>
      <c r="Q2525" s="34"/>
      <c r="R2525" s="115"/>
      <c r="S2525" s="34"/>
      <c r="T2525" s="34"/>
      <c r="U2525" s="34"/>
      <c r="V2525" s="29"/>
    </row>
    <row r="2526" spans="3:22">
      <c r="C2526" s="125">
        <v>43522</v>
      </c>
      <c r="D2526" s="34">
        <v>81.3</v>
      </c>
      <c r="E2526" s="115">
        <v>82</v>
      </c>
      <c r="F2526" s="34">
        <v>80.81</v>
      </c>
      <c r="G2526" s="34">
        <v>81.819999999999993</v>
      </c>
      <c r="H2526" s="34">
        <v>81.819999999999993</v>
      </c>
      <c r="I2526" s="29">
        <v>53316000</v>
      </c>
    </row>
    <row r="2527" spans="3:22">
      <c r="C2527" s="125">
        <v>43521</v>
      </c>
      <c r="D2527" s="34">
        <v>82.07</v>
      </c>
      <c r="E2527" s="115">
        <v>82.73</v>
      </c>
      <c r="F2527" s="34">
        <v>81.52</v>
      </c>
      <c r="G2527" s="34">
        <v>81.650000000000006</v>
      </c>
      <c r="H2527" s="34">
        <v>81.650000000000006</v>
      </c>
      <c r="I2527" s="29">
        <v>63690000</v>
      </c>
    </row>
    <row r="2528" spans="3:22">
      <c r="C2528" s="125">
        <v>43518</v>
      </c>
      <c r="D2528" s="34">
        <v>81.180000000000007</v>
      </c>
      <c r="E2528" s="115">
        <v>81.75</v>
      </c>
      <c r="F2528" s="34">
        <v>81.06</v>
      </c>
      <c r="G2528" s="34">
        <v>81.58</v>
      </c>
      <c r="H2528" s="34">
        <v>81.58</v>
      </c>
      <c r="I2528" s="29">
        <v>61924000</v>
      </c>
    </row>
    <row r="2529" spans="3:9">
      <c r="C2529" s="125">
        <v>43517</v>
      </c>
      <c r="D2529" s="34">
        <v>80.989999999999995</v>
      </c>
      <c r="E2529" s="115">
        <v>81.180000000000007</v>
      </c>
      <c r="F2529" s="34">
        <v>80.05</v>
      </c>
      <c r="G2529" s="34">
        <v>80.97</v>
      </c>
      <c r="H2529" s="34">
        <v>80.97</v>
      </c>
      <c r="I2529" s="29">
        <v>69668000</v>
      </c>
    </row>
    <row r="2530" spans="3:9">
      <c r="C2530" s="125">
        <v>43516</v>
      </c>
      <c r="D2530" s="34">
        <v>81.5</v>
      </c>
      <c r="E2530" s="115">
        <v>81.75</v>
      </c>
      <c r="F2530" s="34">
        <v>80.510000000000005</v>
      </c>
      <c r="G2530" s="34">
        <v>81.11</v>
      </c>
      <c r="H2530" s="34">
        <v>81.11</v>
      </c>
      <c r="I2530" s="29">
        <v>66752000</v>
      </c>
    </row>
    <row r="2531" spans="3:9">
      <c r="C2531" s="125">
        <v>43515</v>
      </c>
      <c r="D2531" s="34">
        <v>80.05</v>
      </c>
      <c r="E2531" s="115">
        <v>81.7</v>
      </c>
      <c r="F2531" s="34">
        <v>80.03</v>
      </c>
      <c r="G2531" s="34">
        <v>81.38</v>
      </c>
      <c r="H2531" s="34">
        <v>81.38</v>
      </c>
      <c r="I2531" s="29">
        <v>73634000</v>
      </c>
    </row>
    <row r="2532" spans="3:9">
      <c r="C2532" s="125">
        <v>43511</v>
      </c>
      <c r="D2532" s="34">
        <v>81.39</v>
      </c>
      <c r="E2532" s="115">
        <v>81.45</v>
      </c>
      <c r="F2532" s="34">
        <v>80.22</v>
      </c>
      <c r="G2532" s="34">
        <v>80.400000000000006</v>
      </c>
      <c r="H2532" s="34">
        <v>80.400000000000006</v>
      </c>
      <c r="I2532" s="29">
        <v>86878000</v>
      </c>
    </row>
    <row r="2533" spans="3:9">
      <c r="C2533" s="125">
        <v>43510</v>
      </c>
      <c r="D2533" s="34">
        <v>81.22</v>
      </c>
      <c r="E2533" s="115">
        <v>81.89</v>
      </c>
      <c r="F2533" s="34">
        <v>80.3</v>
      </c>
      <c r="G2533" s="34">
        <v>81.13</v>
      </c>
      <c r="H2533" s="34">
        <v>81.13</v>
      </c>
      <c r="I2533" s="29">
        <v>82410000</v>
      </c>
    </row>
    <row r="2534" spans="3:9">
      <c r="C2534" s="125">
        <v>43509</v>
      </c>
      <c r="D2534" s="34">
        <v>82.35</v>
      </c>
      <c r="E2534" s="115">
        <v>82.82</v>
      </c>
      <c r="F2534" s="34">
        <v>81.86</v>
      </c>
      <c r="G2534" s="34">
        <v>82</v>
      </c>
      <c r="H2534" s="34">
        <v>82</v>
      </c>
      <c r="I2534" s="29">
        <v>71206000</v>
      </c>
    </row>
    <row r="2535" spans="3:9">
      <c r="C2535" s="125">
        <v>43508</v>
      </c>
      <c r="D2535" s="34">
        <v>80.2</v>
      </c>
      <c r="E2535" s="115">
        <v>81.97</v>
      </c>
      <c r="F2535" s="34">
        <v>79.94</v>
      </c>
      <c r="G2535" s="34">
        <v>81.900000000000006</v>
      </c>
      <c r="H2535" s="34">
        <v>81.900000000000006</v>
      </c>
      <c r="I2535" s="29">
        <v>97172000</v>
      </c>
    </row>
    <row r="2536" spans="3:9">
      <c r="C2536" s="125">
        <v>43507</v>
      </c>
      <c r="D2536" s="34">
        <v>80.05</v>
      </c>
      <c r="E2536" s="115">
        <v>80.459999999999994</v>
      </c>
      <c r="F2536" s="34">
        <v>79.3</v>
      </c>
      <c r="G2536" s="34">
        <v>79.55</v>
      </c>
      <c r="H2536" s="34">
        <v>79.55</v>
      </c>
      <c r="I2536" s="29">
        <v>66346000</v>
      </c>
    </row>
    <row r="2537" spans="3:9">
      <c r="C2537" s="125">
        <v>43504</v>
      </c>
      <c r="D2537" s="34">
        <v>79.3</v>
      </c>
      <c r="E2537" s="115">
        <v>79.430000000000007</v>
      </c>
      <c r="F2537" s="34">
        <v>78.34</v>
      </c>
      <c r="G2537" s="34">
        <v>79.41</v>
      </c>
      <c r="H2537" s="34">
        <v>79.41</v>
      </c>
      <c r="I2537" s="29">
        <v>113150000</v>
      </c>
    </row>
    <row r="2538" spans="3:9">
      <c r="C2538" s="125">
        <v>43503</v>
      </c>
      <c r="D2538" s="34">
        <v>81.25</v>
      </c>
      <c r="E2538" s="115">
        <v>81.28</v>
      </c>
      <c r="F2538" s="34">
        <v>79.650000000000006</v>
      </c>
      <c r="G2538" s="34">
        <v>80.72</v>
      </c>
      <c r="H2538" s="34">
        <v>80.72</v>
      </c>
      <c r="I2538" s="29">
        <v>92532000</v>
      </c>
    </row>
    <row r="2539" spans="3:9">
      <c r="C2539" s="125">
        <v>43502</v>
      </c>
      <c r="D2539" s="34">
        <v>83.54</v>
      </c>
      <c r="E2539" s="115">
        <v>83.61</v>
      </c>
      <c r="F2539" s="34">
        <v>81.67</v>
      </c>
      <c r="G2539" s="34">
        <v>82.01</v>
      </c>
      <c r="H2539" s="34">
        <v>82.01</v>
      </c>
      <c r="I2539" s="29">
        <v>78798000</v>
      </c>
    </row>
    <row r="2540" spans="3:9">
      <c r="C2540" s="125">
        <v>43501</v>
      </c>
      <c r="D2540" s="34">
        <v>82.17</v>
      </c>
      <c r="E2540" s="115">
        <v>83.26</v>
      </c>
      <c r="F2540" s="34">
        <v>82.13</v>
      </c>
      <c r="G2540" s="34">
        <v>82.94</v>
      </c>
      <c r="H2540" s="34">
        <v>82.94</v>
      </c>
      <c r="I2540" s="29">
        <v>89062000</v>
      </c>
    </row>
    <row r="2541" spans="3:9">
      <c r="C2541" s="125">
        <v>43500</v>
      </c>
      <c r="D2541" s="34">
        <v>81.150000000000006</v>
      </c>
      <c r="E2541" s="115">
        <v>82.48</v>
      </c>
      <c r="F2541" s="34">
        <v>80.680000000000007</v>
      </c>
      <c r="G2541" s="34">
        <v>81.67</v>
      </c>
      <c r="H2541" s="34">
        <v>81.67</v>
      </c>
      <c r="I2541" s="29">
        <v>98582000</v>
      </c>
    </row>
    <row r="2542" spans="3:9">
      <c r="C2542" s="125">
        <v>43497</v>
      </c>
      <c r="D2542" s="34">
        <v>81.94</v>
      </c>
      <c r="E2542" s="115">
        <v>83.65</v>
      </c>
      <c r="F2542" s="34">
        <v>81.099999999999994</v>
      </c>
      <c r="G2542" s="34">
        <v>81.31</v>
      </c>
      <c r="H2542" s="34">
        <v>81.31</v>
      </c>
      <c r="I2542" s="29">
        <v>230124000</v>
      </c>
    </row>
    <row r="2543" spans="3:9">
      <c r="C2543" s="125">
        <v>43496</v>
      </c>
      <c r="D2543" s="34">
        <v>84.64</v>
      </c>
      <c r="E2543" s="115">
        <v>86.82</v>
      </c>
      <c r="F2543" s="34">
        <v>83.95</v>
      </c>
      <c r="G2543" s="34">
        <v>85.94</v>
      </c>
      <c r="H2543" s="34">
        <v>85.94</v>
      </c>
      <c r="I2543" s="29">
        <v>218206000</v>
      </c>
    </row>
    <row r="2544" spans="3:9">
      <c r="C2544" s="125">
        <v>43495</v>
      </c>
      <c r="D2544" s="34">
        <v>81.150000000000006</v>
      </c>
      <c r="E2544" s="115">
        <v>83.85</v>
      </c>
      <c r="F2544" s="34">
        <v>80.98</v>
      </c>
      <c r="G2544" s="34">
        <v>83.52</v>
      </c>
      <c r="H2544" s="34">
        <v>83.52</v>
      </c>
      <c r="I2544" s="29">
        <v>115676000</v>
      </c>
    </row>
    <row r="2545" spans="3:9">
      <c r="C2545" s="125">
        <v>43494</v>
      </c>
      <c r="D2545" s="34">
        <v>81.56</v>
      </c>
      <c r="E2545" s="115">
        <v>81.62</v>
      </c>
      <c r="F2545" s="34">
        <v>79.540000000000006</v>
      </c>
      <c r="G2545" s="34">
        <v>79.69</v>
      </c>
      <c r="H2545" s="34">
        <v>79.69</v>
      </c>
      <c r="I2545" s="29">
        <v>92656000</v>
      </c>
    </row>
    <row r="2546" spans="3:9">
      <c r="C2546" s="125">
        <v>43493</v>
      </c>
      <c r="D2546" s="34">
        <v>82.18</v>
      </c>
      <c r="E2546" s="115">
        <v>82.25</v>
      </c>
      <c r="F2546" s="34">
        <v>80.7</v>
      </c>
      <c r="G2546" s="34">
        <v>81.89</v>
      </c>
      <c r="H2546" s="34">
        <v>81.89</v>
      </c>
      <c r="I2546" s="29">
        <v>96754000</v>
      </c>
    </row>
    <row r="2547" spans="3:9">
      <c r="C2547" s="125">
        <v>43490</v>
      </c>
      <c r="D2547" s="34">
        <v>83.53</v>
      </c>
      <c r="E2547" s="115">
        <v>84.17</v>
      </c>
      <c r="F2547" s="34">
        <v>83.08</v>
      </c>
      <c r="G2547" s="34">
        <v>83.53</v>
      </c>
      <c r="H2547" s="34">
        <v>83.53</v>
      </c>
      <c r="I2547" s="29">
        <v>98918000</v>
      </c>
    </row>
    <row r="2548" spans="3:9">
      <c r="C2548" s="125">
        <v>43489</v>
      </c>
      <c r="D2548" s="34">
        <v>82.05</v>
      </c>
      <c r="E2548" s="115">
        <v>82.86</v>
      </c>
      <c r="F2548" s="34">
        <v>81.59</v>
      </c>
      <c r="G2548" s="34">
        <v>82.75</v>
      </c>
      <c r="H2548" s="34">
        <v>82.75</v>
      </c>
      <c r="I2548" s="29">
        <v>81798000</v>
      </c>
    </row>
    <row r="2549" spans="3:9">
      <c r="C2549" s="125">
        <v>43488</v>
      </c>
      <c r="D2549" s="34">
        <v>82.8</v>
      </c>
      <c r="E2549" s="115">
        <v>82.87</v>
      </c>
      <c r="F2549" s="34">
        <v>80.599999999999994</v>
      </c>
      <c r="G2549" s="34">
        <v>82</v>
      </c>
      <c r="H2549" s="34">
        <v>82</v>
      </c>
      <c r="I2549" s="29">
        <v>104504000</v>
      </c>
    </row>
    <row r="2550" spans="3:9">
      <c r="C2550" s="125">
        <v>43487</v>
      </c>
      <c r="D2550" s="34">
        <v>84.05</v>
      </c>
      <c r="E2550" s="115">
        <v>84.09</v>
      </c>
      <c r="F2550" s="34">
        <v>80.510000000000005</v>
      </c>
      <c r="G2550" s="34">
        <v>81.61</v>
      </c>
      <c r="H2550" s="34">
        <v>81.61</v>
      </c>
      <c r="I2550" s="29">
        <v>128336000</v>
      </c>
    </row>
    <row r="2551" spans="3:9">
      <c r="C2551" s="125">
        <v>43483</v>
      </c>
      <c r="D2551" s="34">
        <v>85.6</v>
      </c>
      <c r="E2551" s="115">
        <v>85.81</v>
      </c>
      <c r="F2551" s="34">
        <v>84.58</v>
      </c>
      <c r="G2551" s="34">
        <v>84.81</v>
      </c>
      <c r="H2551" s="34">
        <v>84.81</v>
      </c>
      <c r="I2551" s="29">
        <v>120410000</v>
      </c>
    </row>
    <row r="2552" spans="3:9">
      <c r="C2552" s="125">
        <v>43482</v>
      </c>
      <c r="D2552" s="34">
        <v>84</v>
      </c>
      <c r="E2552" s="115">
        <v>85.01</v>
      </c>
      <c r="F2552" s="34">
        <v>83.88</v>
      </c>
      <c r="G2552" s="34">
        <v>84.66</v>
      </c>
      <c r="H2552" s="34">
        <v>84.66</v>
      </c>
      <c r="I2552" s="29">
        <v>84178000</v>
      </c>
    </row>
    <row r="2553" spans="3:9">
      <c r="C2553" s="125">
        <v>43481</v>
      </c>
      <c r="D2553" s="34">
        <v>84.21</v>
      </c>
      <c r="E2553" s="115">
        <v>85.25</v>
      </c>
      <c r="F2553" s="34">
        <v>83.79</v>
      </c>
      <c r="G2553" s="34">
        <v>84.19</v>
      </c>
      <c r="H2553" s="34">
        <v>84.19</v>
      </c>
      <c r="I2553" s="29">
        <v>127338000</v>
      </c>
    </row>
    <row r="2554" spans="3:9">
      <c r="C2554" s="125">
        <v>43480</v>
      </c>
      <c r="D2554" s="34">
        <v>81.599999999999994</v>
      </c>
      <c r="E2554" s="115">
        <v>83.76</v>
      </c>
      <c r="F2554" s="34">
        <v>81.3</v>
      </c>
      <c r="G2554" s="34">
        <v>83.73</v>
      </c>
      <c r="H2554" s="34">
        <v>83.73</v>
      </c>
      <c r="I2554" s="29">
        <v>119970000</v>
      </c>
    </row>
    <row r="2555" spans="3:9">
      <c r="C2555" s="125">
        <v>43479</v>
      </c>
      <c r="D2555" s="34">
        <v>80.75</v>
      </c>
      <c r="E2555" s="115">
        <v>82.41</v>
      </c>
      <c r="F2555" s="34">
        <v>79.760000000000005</v>
      </c>
      <c r="G2555" s="34">
        <v>80.86</v>
      </c>
      <c r="H2555" s="34">
        <v>80.86</v>
      </c>
      <c r="I2555" s="29">
        <v>120118000</v>
      </c>
    </row>
    <row r="2556" spans="3:9">
      <c r="C2556" s="125">
        <v>43476</v>
      </c>
      <c r="D2556" s="34">
        <v>82.03</v>
      </c>
      <c r="E2556" s="115">
        <v>83.01</v>
      </c>
      <c r="F2556" s="34">
        <v>81.81</v>
      </c>
      <c r="G2556" s="34">
        <v>82.03</v>
      </c>
      <c r="H2556" s="34">
        <v>82.03</v>
      </c>
      <c r="I2556" s="29">
        <v>93724000</v>
      </c>
    </row>
    <row r="2557" spans="3:9">
      <c r="C2557" s="125">
        <v>43475</v>
      </c>
      <c r="D2557" s="34">
        <v>82.05</v>
      </c>
      <c r="E2557" s="115">
        <v>83.16</v>
      </c>
      <c r="F2557" s="34">
        <v>81.08</v>
      </c>
      <c r="G2557" s="34">
        <v>82.81</v>
      </c>
      <c r="H2557" s="34">
        <v>82.81</v>
      </c>
      <c r="I2557" s="29">
        <v>130154000</v>
      </c>
    </row>
    <row r="2558" spans="3:9">
      <c r="C2558" s="125">
        <v>43474</v>
      </c>
      <c r="D2558" s="34">
        <v>82.65</v>
      </c>
      <c r="E2558" s="115">
        <v>83.39</v>
      </c>
      <c r="F2558" s="34">
        <v>82.07</v>
      </c>
      <c r="G2558" s="34">
        <v>82.97</v>
      </c>
      <c r="H2558" s="34">
        <v>82.97</v>
      </c>
      <c r="I2558" s="29">
        <v>126976000</v>
      </c>
    </row>
    <row r="2559" spans="3:9">
      <c r="C2559" s="125">
        <v>43473</v>
      </c>
      <c r="D2559" s="34">
        <v>83.23</v>
      </c>
      <c r="E2559" s="115">
        <v>83.83</v>
      </c>
      <c r="F2559" s="34">
        <v>80.83</v>
      </c>
      <c r="G2559" s="34">
        <v>82.83</v>
      </c>
      <c r="H2559" s="34">
        <v>82.83</v>
      </c>
      <c r="I2559" s="29">
        <v>177628000</v>
      </c>
    </row>
    <row r="2560" spans="3:9">
      <c r="C2560" s="125">
        <v>43472</v>
      </c>
      <c r="D2560" s="34">
        <v>80.12</v>
      </c>
      <c r="E2560" s="115">
        <v>81.73</v>
      </c>
      <c r="F2560" s="34">
        <v>79.459999999999994</v>
      </c>
      <c r="G2560" s="34">
        <v>81.48</v>
      </c>
      <c r="H2560" s="34">
        <v>81.48</v>
      </c>
      <c r="I2560" s="29">
        <v>159864000</v>
      </c>
    </row>
    <row r="2561" spans="3:9">
      <c r="C2561" s="125">
        <v>43469</v>
      </c>
      <c r="D2561" s="34">
        <v>76.5</v>
      </c>
      <c r="E2561" s="115">
        <v>79.7</v>
      </c>
      <c r="F2561" s="34">
        <v>75.92</v>
      </c>
      <c r="G2561" s="34">
        <v>78.77</v>
      </c>
      <c r="H2561" s="34">
        <v>78.77</v>
      </c>
      <c r="I2561" s="29">
        <v>183652000</v>
      </c>
    </row>
    <row r="2562" spans="3:9">
      <c r="C2562" s="125">
        <v>43468</v>
      </c>
      <c r="D2562" s="34">
        <v>76</v>
      </c>
      <c r="E2562" s="115">
        <v>76.900000000000006</v>
      </c>
      <c r="F2562" s="34">
        <v>74.86</v>
      </c>
      <c r="G2562" s="34">
        <v>75.010000000000005</v>
      </c>
      <c r="H2562" s="34">
        <v>75.010000000000005</v>
      </c>
      <c r="I2562" s="29">
        <v>139512000</v>
      </c>
    </row>
    <row r="2563" spans="3:9">
      <c r="C2563" s="125">
        <v>43467</v>
      </c>
      <c r="D2563" s="34">
        <v>73.260000000000005</v>
      </c>
      <c r="E2563" s="115">
        <v>77.67</v>
      </c>
      <c r="F2563" s="34">
        <v>73.05</v>
      </c>
      <c r="G2563" s="34">
        <v>76.959999999999994</v>
      </c>
      <c r="H2563" s="34">
        <v>76.959999999999994</v>
      </c>
      <c r="I2563" s="29">
        <v>159662000</v>
      </c>
    </row>
    <row r="2564" spans="3:9">
      <c r="C2564" s="125">
        <v>43465</v>
      </c>
      <c r="D2564" s="34">
        <v>75.540000000000006</v>
      </c>
      <c r="E2564" s="115">
        <v>76.040000000000006</v>
      </c>
      <c r="F2564" s="34">
        <v>74.349999999999994</v>
      </c>
      <c r="G2564" s="34">
        <v>75.099999999999994</v>
      </c>
      <c r="H2564" s="34">
        <v>75.099999999999994</v>
      </c>
      <c r="I2564" s="29">
        <v>139090000</v>
      </c>
    </row>
    <row r="2565" spans="3:9">
      <c r="C2565" s="125">
        <v>43462</v>
      </c>
      <c r="D2565" s="34">
        <v>73.67</v>
      </c>
      <c r="E2565" s="115">
        <v>75.67</v>
      </c>
      <c r="F2565" s="34">
        <v>72.45</v>
      </c>
      <c r="G2565" s="34">
        <v>73.900000000000006</v>
      </c>
      <c r="H2565" s="34">
        <v>73.900000000000006</v>
      </c>
      <c r="I2565" s="29">
        <v>176580000</v>
      </c>
    </row>
    <row r="2566" spans="3:9">
      <c r="C2566" s="125">
        <v>43461</v>
      </c>
      <c r="D2566" s="34">
        <v>72.709999999999994</v>
      </c>
      <c r="E2566" s="115">
        <v>73.45</v>
      </c>
      <c r="F2566" s="34">
        <v>69.52</v>
      </c>
      <c r="G2566" s="34">
        <v>73.08</v>
      </c>
      <c r="H2566" s="34">
        <v>73.08</v>
      </c>
      <c r="I2566" s="29">
        <v>194440000</v>
      </c>
    </row>
    <row r="2567" spans="3:9">
      <c r="C2567" s="125">
        <v>43460</v>
      </c>
      <c r="D2567" s="34">
        <v>68.44</v>
      </c>
      <c r="E2567" s="115">
        <v>73.66</v>
      </c>
      <c r="F2567" s="34">
        <v>68.150000000000006</v>
      </c>
      <c r="G2567" s="34">
        <v>73.540000000000006</v>
      </c>
      <c r="H2567" s="34">
        <v>73.540000000000006</v>
      </c>
      <c r="I2567" s="29">
        <v>208236000</v>
      </c>
    </row>
    <row r="2568" spans="3:9">
      <c r="C2568" s="125">
        <v>43458</v>
      </c>
      <c r="D2568" s="34">
        <v>67.3</v>
      </c>
      <c r="E2568" s="115">
        <v>69.8</v>
      </c>
      <c r="F2568" s="34">
        <v>65.349999999999994</v>
      </c>
      <c r="G2568" s="34">
        <v>67.2</v>
      </c>
      <c r="H2568" s="34">
        <v>67.2</v>
      </c>
      <c r="I2568" s="29">
        <v>144400000</v>
      </c>
    </row>
    <row r="2569" spans="3:9">
      <c r="C2569" s="125">
        <v>43455</v>
      </c>
      <c r="D2569" s="34">
        <v>73.25</v>
      </c>
      <c r="E2569" s="115">
        <v>74</v>
      </c>
      <c r="F2569" s="34">
        <v>68.2</v>
      </c>
      <c r="G2569" s="34">
        <v>68.87</v>
      </c>
      <c r="H2569" s="34">
        <v>68.87</v>
      </c>
      <c r="I2569" s="29">
        <v>272806000</v>
      </c>
    </row>
    <row r="2570" spans="3:9">
      <c r="C2570" s="125">
        <v>43454</v>
      </c>
      <c r="D2570" s="34">
        <v>74.2</v>
      </c>
      <c r="E2570" s="115">
        <v>75.47</v>
      </c>
      <c r="F2570" s="34">
        <v>71.63</v>
      </c>
      <c r="G2570" s="34">
        <v>73.040000000000006</v>
      </c>
      <c r="H2570" s="34">
        <v>73.040000000000006</v>
      </c>
      <c r="I2570" s="29">
        <v>199836000</v>
      </c>
    </row>
    <row r="2571" spans="3:9">
      <c r="C2571" s="125">
        <v>43453</v>
      </c>
      <c r="D2571" s="34">
        <v>77.150000000000006</v>
      </c>
      <c r="E2571" s="115">
        <v>79.23</v>
      </c>
      <c r="F2571" s="34">
        <v>74.16</v>
      </c>
      <c r="G2571" s="34">
        <v>74.75</v>
      </c>
      <c r="H2571" s="34">
        <v>74.75</v>
      </c>
      <c r="I2571" s="29">
        <v>175844000</v>
      </c>
    </row>
    <row r="2572" spans="3:9">
      <c r="C2572" s="125">
        <v>43452</v>
      </c>
      <c r="D2572" s="34">
        <v>77</v>
      </c>
      <c r="E2572" s="115">
        <v>78.38</v>
      </c>
      <c r="F2572" s="34">
        <v>76.150000000000006</v>
      </c>
      <c r="G2572" s="34">
        <v>77.569999999999993</v>
      </c>
      <c r="H2572" s="34">
        <v>77.569999999999993</v>
      </c>
      <c r="I2572" s="29">
        <v>130460000</v>
      </c>
    </row>
    <row r="2573" spans="3:9">
      <c r="C2573" s="125">
        <v>43451</v>
      </c>
      <c r="D2573" s="34">
        <v>78.3</v>
      </c>
      <c r="E2573" s="115">
        <v>78.81</v>
      </c>
      <c r="F2573" s="34">
        <v>75.25</v>
      </c>
      <c r="G2573" s="34">
        <v>76.05</v>
      </c>
      <c r="H2573" s="34">
        <v>76.05</v>
      </c>
      <c r="I2573" s="29">
        <v>176596000</v>
      </c>
    </row>
    <row r="2574" spans="3:9">
      <c r="C2574" s="125">
        <v>43448</v>
      </c>
      <c r="D2574" s="34">
        <v>81.900000000000006</v>
      </c>
      <c r="E2574" s="115">
        <v>82.13</v>
      </c>
      <c r="F2574" s="34">
        <v>79.25</v>
      </c>
      <c r="G2574" s="34">
        <v>79.599999999999994</v>
      </c>
      <c r="H2574" s="34">
        <v>79.599999999999994</v>
      </c>
      <c r="I2574" s="29">
        <v>127344000</v>
      </c>
    </row>
    <row r="2575" spans="3:9">
      <c r="C2575" s="125">
        <v>43447</v>
      </c>
      <c r="D2575" s="34">
        <v>84</v>
      </c>
      <c r="E2575" s="115">
        <v>84.61</v>
      </c>
      <c r="F2575" s="34">
        <v>82.07</v>
      </c>
      <c r="G2575" s="34">
        <v>82.92</v>
      </c>
      <c r="H2575" s="34">
        <v>82.92</v>
      </c>
      <c r="I2575" s="29">
        <v>105426000</v>
      </c>
    </row>
    <row r="2576" spans="3:9">
      <c r="C2576" s="125">
        <v>43446</v>
      </c>
      <c r="D2576" s="34">
        <v>83.45</v>
      </c>
      <c r="E2576" s="115">
        <v>85.25</v>
      </c>
      <c r="F2576" s="34">
        <v>83.01</v>
      </c>
      <c r="G2576" s="34">
        <v>83.18</v>
      </c>
      <c r="H2576" s="34">
        <v>83.18</v>
      </c>
      <c r="I2576" s="29">
        <v>131960000</v>
      </c>
    </row>
    <row r="2577" spans="3:9">
      <c r="C2577" s="125">
        <v>43445</v>
      </c>
      <c r="D2577" s="34">
        <v>83.9</v>
      </c>
      <c r="E2577" s="115">
        <v>83.97</v>
      </c>
      <c r="F2577" s="34">
        <v>80.98</v>
      </c>
      <c r="G2577" s="34">
        <v>82.16</v>
      </c>
      <c r="H2577" s="34">
        <v>82.16</v>
      </c>
      <c r="I2577" s="29">
        <v>124894000</v>
      </c>
    </row>
    <row r="2578" spans="3:9">
      <c r="C2578" s="125">
        <v>43444</v>
      </c>
      <c r="D2578" s="34">
        <v>81.19</v>
      </c>
      <c r="E2578" s="115">
        <v>82.9</v>
      </c>
      <c r="F2578" s="34">
        <v>79.540000000000006</v>
      </c>
      <c r="G2578" s="34">
        <v>82.05</v>
      </c>
      <c r="H2578" s="34">
        <v>82.05</v>
      </c>
      <c r="I2578" s="29">
        <v>149896000</v>
      </c>
    </row>
    <row r="2579" spans="3:9">
      <c r="C2579" s="125">
        <v>43441</v>
      </c>
      <c r="D2579" s="34">
        <v>85.25</v>
      </c>
      <c r="E2579" s="115">
        <v>85.95</v>
      </c>
      <c r="F2579" s="34">
        <v>81.27</v>
      </c>
      <c r="G2579" s="34">
        <v>81.459999999999994</v>
      </c>
      <c r="H2579" s="34">
        <v>81.459999999999994</v>
      </c>
      <c r="I2579" s="29">
        <v>151522000</v>
      </c>
    </row>
    <row r="2580" spans="3:9">
      <c r="C2580" s="125">
        <v>43440</v>
      </c>
      <c r="D2580" s="34">
        <v>80.739999999999995</v>
      </c>
      <c r="E2580" s="115">
        <v>85.05</v>
      </c>
      <c r="F2580" s="34">
        <v>80.489999999999995</v>
      </c>
      <c r="G2580" s="34">
        <v>84.96</v>
      </c>
      <c r="H2580" s="34">
        <v>84.96</v>
      </c>
      <c r="I2580" s="29">
        <v>175788000</v>
      </c>
    </row>
    <row r="2581" spans="3:9">
      <c r="C2581" s="125">
        <v>43438</v>
      </c>
      <c r="D2581" s="34">
        <v>87.8</v>
      </c>
      <c r="E2581" s="115">
        <v>88.52</v>
      </c>
      <c r="F2581" s="34">
        <v>83.25</v>
      </c>
      <c r="G2581" s="34">
        <v>83.42</v>
      </c>
      <c r="H2581" s="34">
        <v>83.42</v>
      </c>
      <c r="I2581" s="29">
        <v>173890000</v>
      </c>
    </row>
    <row r="2582" spans="3:9">
      <c r="C2582" s="125">
        <v>43437</v>
      </c>
      <c r="D2582" s="34">
        <v>88.47</v>
      </c>
      <c r="E2582" s="115">
        <v>88.92</v>
      </c>
      <c r="F2582" s="34">
        <v>86.5</v>
      </c>
      <c r="G2582" s="34">
        <v>88.62</v>
      </c>
      <c r="H2582" s="34">
        <v>88.62</v>
      </c>
      <c r="I2582" s="29">
        <v>137246000</v>
      </c>
    </row>
    <row r="2583" spans="3:9">
      <c r="C2583" s="125">
        <v>43434</v>
      </c>
      <c r="D2583" s="34">
        <v>83.97</v>
      </c>
      <c r="E2583" s="115">
        <v>84.8</v>
      </c>
      <c r="F2583" s="34">
        <v>83.32</v>
      </c>
      <c r="G2583" s="34">
        <v>84.51</v>
      </c>
      <c r="H2583" s="34">
        <v>84.51</v>
      </c>
      <c r="I2583" s="29">
        <v>115236000</v>
      </c>
    </row>
    <row r="2584" spans="3:9">
      <c r="C2584" s="125">
        <v>43433</v>
      </c>
      <c r="D2584" s="34">
        <v>83.75</v>
      </c>
      <c r="E2584" s="115">
        <v>84.5</v>
      </c>
      <c r="F2584" s="34">
        <v>82.62</v>
      </c>
      <c r="G2584" s="34">
        <v>83.68</v>
      </c>
      <c r="H2584" s="34">
        <v>83.68</v>
      </c>
      <c r="I2584" s="29">
        <v>132264000</v>
      </c>
    </row>
    <row r="2585" spans="3:9">
      <c r="C2585" s="125">
        <v>43432</v>
      </c>
      <c r="D2585" s="34">
        <v>80.7</v>
      </c>
      <c r="E2585" s="115">
        <v>84.07</v>
      </c>
      <c r="F2585" s="34">
        <v>80.06</v>
      </c>
      <c r="G2585" s="34">
        <v>83.89</v>
      </c>
      <c r="H2585" s="34">
        <v>83.89</v>
      </c>
      <c r="I2585" s="29">
        <v>169174000</v>
      </c>
    </row>
    <row r="2586" spans="3:9">
      <c r="C2586" s="125">
        <v>43431</v>
      </c>
      <c r="D2586" s="34">
        <v>78.8</v>
      </c>
      <c r="E2586" s="115">
        <v>79.88</v>
      </c>
      <c r="F2586" s="34">
        <v>77.900000000000006</v>
      </c>
      <c r="G2586" s="34">
        <v>79.069999999999993</v>
      </c>
      <c r="H2586" s="34">
        <v>79.069999999999993</v>
      </c>
      <c r="I2586" s="29">
        <v>115664000</v>
      </c>
    </row>
    <row r="2587" spans="3:9">
      <c r="C2587" s="125">
        <v>43430</v>
      </c>
      <c r="D2587" s="34">
        <v>76.95</v>
      </c>
      <c r="E2587" s="115">
        <v>79.239999999999995</v>
      </c>
      <c r="F2587" s="34">
        <v>76.209999999999994</v>
      </c>
      <c r="G2587" s="34">
        <v>79.069999999999993</v>
      </c>
      <c r="H2587" s="34">
        <v>79.069999999999993</v>
      </c>
      <c r="I2587" s="29">
        <v>125154000</v>
      </c>
    </row>
    <row r="2588" spans="3:9">
      <c r="C2588" s="125">
        <v>43427</v>
      </c>
      <c r="D2588" s="34">
        <v>75.849999999999994</v>
      </c>
      <c r="E2588" s="115">
        <v>76.81</v>
      </c>
      <c r="F2588" s="34">
        <v>75.09</v>
      </c>
      <c r="G2588" s="34">
        <v>75.099999999999994</v>
      </c>
      <c r="H2588" s="34">
        <v>75.099999999999994</v>
      </c>
      <c r="I2588" s="29">
        <v>54152000</v>
      </c>
    </row>
    <row r="2589" spans="3:9">
      <c r="C2589" s="125">
        <v>43425</v>
      </c>
      <c r="D2589" s="34">
        <v>77.150000000000006</v>
      </c>
      <c r="E2589" s="115">
        <v>77.5</v>
      </c>
      <c r="F2589" s="34">
        <v>75.75</v>
      </c>
      <c r="G2589" s="34">
        <v>75.84</v>
      </c>
      <c r="H2589" s="34">
        <v>75.84</v>
      </c>
      <c r="I2589" s="29">
        <v>114336000</v>
      </c>
    </row>
    <row r="2590" spans="3:9">
      <c r="C2590" s="125">
        <v>43424</v>
      </c>
      <c r="D2590" s="34">
        <v>71.88</v>
      </c>
      <c r="E2590" s="115">
        <v>76.739999999999995</v>
      </c>
      <c r="F2590" s="34">
        <v>71</v>
      </c>
      <c r="G2590" s="34">
        <v>74.77</v>
      </c>
      <c r="H2590" s="34">
        <v>74.77</v>
      </c>
      <c r="I2590" s="29">
        <v>217576000</v>
      </c>
    </row>
    <row r="2591" spans="3:9">
      <c r="C2591" s="125">
        <v>43423</v>
      </c>
      <c r="D2591" s="34">
        <v>78.849999999999994</v>
      </c>
      <c r="E2591" s="115">
        <v>79.06</v>
      </c>
      <c r="F2591" s="34">
        <v>75.17</v>
      </c>
      <c r="G2591" s="34">
        <v>75.61</v>
      </c>
      <c r="H2591" s="34">
        <v>75.61</v>
      </c>
      <c r="I2591" s="29">
        <v>155800000</v>
      </c>
    </row>
    <row r="2592" spans="3:9">
      <c r="C2592" s="125">
        <v>43420</v>
      </c>
      <c r="D2592" s="34">
        <v>79.38</v>
      </c>
      <c r="E2592" s="115">
        <v>80.72</v>
      </c>
      <c r="F2592" s="34">
        <v>78.66</v>
      </c>
      <c r="G2592" s="34">
        <v>79.67</v>
      </c>
      <c r="H2592" s="34">
        <v>79.67</v>
      </c>
      <c r="I2592" s="29">
        <v>121322000</v>
      </c>
    </row>
    <row r="2593" spans="3:9">
      <c r="C2593" s="125">
        <v>43419</v>
      </c>
      <c r="D2593" s="34">
        <v>79.05</v>
      </c>
      <c r="E2593" s="115">
        <v>81.239999999999995</v>
      </c>
      <c r="F2593" s="34">
        <v>77.33</v>
      </c>
      <c r="G2593" s="34">
        <v>80.97</v>
      </c>
      <c r="H2593" s="34">
        <v>80.97</v>
      </c>
      <c r="I2593" s="29">
        <v>168546000</v>
      </c>
    </row>
    <row r="2594" spans="3:9">
      <c r="C2594" s="125">
        <v>43418</v>
      </c>
      <c r="D2594" s="34">
        <v>82.82</v>
      </c>
      <c r="E2594" s="115">
        <v>83.65</v>
      </c>
      <c r="F2594" s="34">
        <v>79.849999999999994</v>
      </c>
      <c r="G2594" s="34">
        <v>79.95</v>
      </c>
      <c r="H2594" s="34">
        <v>79.95</v>
      </c>
      <c r="I2594" s="29">
        <v>129738000</v>
      </c>
    </row>
    <row r="2595" spans="3:9">
      <c r="C2595" s="125">
        <v>43417</v>
      </c>
      <c r="D2595" s="34">
        <v>82.46</v>
      </c>
      <c r="E2595" s="115">
        <v>83.85</v>
      </c>
      <c r="F2595" s="34">
        <v>80.69</v>
      </c>
      <c r="G2595" s="34">
        <v>81.56</v>
      </c>
      <c r="H2595" s="34">
        <v>81.56</v>
      </c>
      <c r="I2595" s="29">
        <v>118666000</v>
      </c>
    </row>
    <row r="2596" spans="3:9">
      <c r="C2596" s="125">
        <v>43416</v>
      </c>
      <c r="D2596" s="34">
        <v>84.91</v>
      </c>
      <c r="E2596" s="115">
        <v>85.43</v>
      </c>
      <c r="F2596" s="34">
        <v>81.5</v>
      </c>
      <c r="G2596" s="34">
        <v>81.84</v>
      </c>
      <c r="H2596" s="34">
        <v>81.84</v>
      </c>
      <c r="I2596" s="29">
        <v>136124000</v>
      </c>
    </row>
    <row r="2597" spans="3:9">
      <c r="C2597" s="125">
        <v>43413</v>
      </c>
      <c r="D2597" s="34">
        <v>86.63</v>
      </c>
      <c r="E2597" s="115">
        <v>87.2</v>
      </c>
      <c r="F2597" s="34">
        <v>85.09</v>
      </c>
      <c r="G2597" s="34">
        <v>85.62</v>
      </c>
      <c r="H2597" s="34">
        <v>85.62</v>
      </c>
      <c r="I2597" s="29">
        <v>118044000</v>
      </c>
    </row>
    <row r="2598" spans="3:9">
      <c r="C2598" s="125">
        <v>43412</v>
      </c>
      <c r="D2598" s="34">
        <v>87.75</v>
      </c>
      <c r="E2598" s="115">
        <v>89.2</v>
      </c>
      <c r="F2598" s="34">
        <v>86.26</v>
      </c>
      <c r="G2598" s="34">
        <v>87.75</v>
      </c>
      <c r="H2598" s="34">
        <v>87.75</v>
      </c>
      <c r="I2598" s="29">
        <v>130698000</v>
      </c>
    </row>
    <row r="2599" spans="3:9">
      <c r="C2599" s="125">
        <v>43411</v>
      </c>
      <c r="D2599" s="34">
        <v>83.65</v>
      </c>
      <c r="E2599" s="115">
        <v>87.96</v>
      </c>
      <c r="F2599" s="34">
        <v>83.2</v>
      </c>
      <c r="G2599" s="34">
        <v>87.77</v>
      </c>
      <c r="H2599" s="34">
        <v>87.77</v>
      </c>
      <c r="I2599" s="29">
        <v>163844000</v>
      </c>
    </row>
    <row r="2600" spans="3:9">
      <c r="C2600" s="125">
        <v>43410</v>
      </c>
      <c r="D2600" s="34">
        <v>80.92</v>
      </c>
      <c r="E2600" s="115">
        <v>83.25</v>
      </c>
      <c r="F2600" s="34">
        <v>80.73</v>
      </c>
      <c r="G2600" s="34">
        <v>82.14</v>
      </c>
      <c r="H2600" s="34">
        <v>82.14</v>
      </c>
      <c r="I2600" s="29">
        <v>85148000</v>
      </c>
    </row>
    <row r="2601" spans="3:9">
      <c r="C2601" s="125">
        <v>43409</v>
      </c>
      <c r="D2601" s="34">
        <v>82.88</v>
      </c>
      <c r="E2601" s="115">
        <v>82.9</v>
      </c>
      <c r="F2601" s="34">
        <v>79.819999999999993</v>
      </c>
      <c r="G2601" s="34">
        <v>81.39</v>
      </c>
      <c r="H2601" s="34">
        <v>81.39</v>
      </c>
      <c r="I2601" s="29">
        <v>112494000</v>
      </c>
    </row>
    <row r="2602" spans="3:9">
      <c r="C2602" s="125">
        <v>43406</v>
      </c>
      <c r="D2602" s="34">
        <v>83.93</v>
      </c>
      <c r="E2602" s="115">
        <v>84.87</v>
      </c>
      <c r="F2602" s="34">
        <v>82.59</v>
      </c>
      <c r="G2602" s="34">
        <v>83.28</v>
      </c>
      <c r="H2602" s="34">
        <v>83.28</v>
      </c>
      <c r="I2602" s="29">
        <v>139110000</v>
      </c>
    </row>
    <row r="2603" spans="3:9">
      <c r="C2603" s="125">
        <v>43405</v>
      </c>
      <c r="D2603" s="34">
        <v>81.180000000000007</v>
      </c>
      <c r="E2603" s="115">
        <v>83.52</v>
      </c>
      <c r="F2603" s="34">
        <v>79.92</v>
      </c>
      <c r="G2603" s="34">
        <v>83.28</v>
      </c>
      <c r="H2603" s="34">
        <v>83.28</v>
      </c>
      <c r="I2603" s="29">
        <v>162710000</v>
      </c>
    </row>
    <row r="2604" spans="3:9">
      <c r="C2604" s="125">
        <v>43404</v>
      </c>
      <c r="D2604" s="34">
        <v>78.5</v>
      </c>
      <c r="E2604" s="115">
        <v>81.2</v>
      </c>
      <c r="F2604" s="34">
        <v>78.25</v>
      </c>
      <c r="G2604" s="34">
        <v>79.900000000000006</v>
      </c>
      <c r="H2604" s="34">
        <v>79.900000000000006</v>
      </c>
      <c r="I2604" s="29">
        <v>187804000</v>
      </c>
    </row>
    <row r="2605" spans="3:9">
      <c r="C2605" s="125">
        <v>43403</v>
      </c>
      <c r="D2605" s="34">
        <v>74.31</v>
      </c>
      <c r="E2605" s="115">
        <v>77.05</v>
      </c>
      <c r="F2605" s="34">
        <v>73.819999999999993</v>
      </c>
      <c r="G2605" s="34">
        <v>76.52</v>
      </c>
      <c r="H2605" s="34">
        <v>76.52</v>
      </c>
      <c r="I2605" s="29">
        <v>249202000</v>
      </c>
    </row>
    <row r="2606" spans="3:9">
      <c r="C2606" s="125">
        <v>43402</v>
      </c>
      <c r="D2606" s="34">
        <v>83</v>
      </c>
      <c r="E2606" s="115">
        <v>83.29</v>
      </c>
      <c r="F2606" s="34">
        <v>74.75</v>
      </c>
      <c r="G2606" s="34">
        <v>76.94</v>
      </c>
      <c r="H2606" s="34">
        <v>76.94</v>
      </c>
      <c r="I2606" s="29">
        <v>277322000</v>
      </c>
    </row>
    <row r="2607" spans="3:9">
      <c r="C2607" s="125">
        <v>43399</v>
      </c>
      <c r="D2607" s="34">
        <v>82.48</v>
      </c>
      <c r="E2607" s="115">
        <v>84.92</v>
      </c>
      <c r="F2607" s="34">
        <v>80.150000000000006</v>
      </c>
      <c r="G2607" s="34">
        <v>82.14</v>
      </c>
      <c r="H2607" s="34">
        <v>82.14</v>
      </c>
      <c r="I2607" s="29">
        <v>299276000</v>
      </c>
    </row>
    <row r="2608" spans="3:9">
      <c r="C2608" s="125">
        <v>43398</v>
      </c>
      <c r="D2608" s="34">
        <v>85.17</v>
      </c>
      <c r="E2608" s="115">
        <v>89.74</v>
      </c>
      <c r="F2608" s="34">
        <v>84.6</v>
      </c>
      <c r="G2608" s="34">
        <v>89.11</v>
      </c>
      <c r="H2608" s="34">
        <v>89.11</v>
      </c>
      <c r="I2608" s="29">
        <v>205714000</v>
      </c>
    </row>
    <row r="2609" spans="3:9">
      <c r="C2609" s="125">
        <v>43397</v>
      </c>
      <c r="D2609" s="34">
        <v>88.68</v>
      </c>
      <c r="E2609" s="115">
        <v>88.89</v>
      </c>
      <c r="F2609" s="34">
        <v>82.83</v>
      </c>
      <c r="G2609" s="34">
        <v>83.21</v>
      </c>
      <c r="H2609" s="34">
        <v>83.21</v>
      </c>
      <c r="I2609" s="29">
        <v>138568000</v>
      </c>
    </row>
    <row r="2610" spans="3:9">
      <c r="C2610" s="125">
        <v>43396</v>
      </c>
      <c r="D2610" s="34">
        <v>87.11</v>
      </c>
      <c r="E2610" s="115">
        <v>88.82</v>
      </c>
      <c r="F2610" s="34">
        <v>85.7</v>
      </c>
      <c r="G2610" s="34">
        <v>88.43</v>
      </c>
      <c r="H2610" s="34">
        <v>88.43</v>
      </c>
      <c r="I2610" s="29">
        <v>134478000</v>
      </c>
    </row>
    <row r="2611" spans="3:9">
      <c r="C2611" s="125">
        <v>43395</v>
      </c>
      <c r="D2611" s="34">
        <v>89.2</v>
      </c>
      <c r="E2611" s="115">
        <v>90.47</v>
      </c>
      <c r="F2611" s="34">
        <v>87.8</v>
      </c>
      <c r="G2611" s="34">
        <v>89.46</v>
      </c>
      <c r="H2611" s="34">
        <v>89.46</v>
      </c>
      <c r="I2611" s="29">
        <v>90000000</v>
      </c>
    </row>
    <row r="2612" spans="3:9">
      <c r="C2612" s="125">
        <v>43392</v>
      </c>
      <c r="D2612" s="34">
        <v>89.26</v>
      </c>
      <c r="E2612" s="115">
        <v>90.46</v>
      </c>
      <c r="F2612" s="34">
        <v>87.65</v>
      </c>
      <c r="G2612" s="34">
        <v>88.2</v>
      </c>
      <c r="H2612" s="34">
        <v>88.2</v>
      </c>
      <c r="I2612" s="29">
        <v>118144000</v>
      </c>
    </row>
    <row r="2613" spans="3:9">
      <c r="C2613" s="125">
        <v>43391</v>
      </c>
      <c r="D2613" s="34">
        <v>91.07</v>
      </c>
      <c r="E2613" s="115">
        <v>91.51</v>
      </c>
      <c r="F2613" s="34">
        <v>88.39</v>
      </c>
      <c r="G2613" s="34">
        <v>88.54</v>
      </c>
      <c r="H2613" s="34">
        <v>88.54</v>
      </c>
      <c r="I2613" s="29">
        <v>117480000</v>
      </c>
    </row>
    <row r="2614" spans="3:9">
      <c r="C2614" s="125">
        <v>43390</v>
      </c>
      <c r="D2614" s="34">
        <v>92.14</v>
      </c>
      <c r="E2614" s="115">
        <v>92.25</v>
      </c>
      <c r="F2614" s="34">
        <v>90.35</v>
      </c>
      <c r="G2614" s="34">
        <v>91.59</v>
      </c>
      <c r="H2614" s="34">
        <v>91.59</v>
      </c>
      <c r="I2614" s="29">
        <v>105904000</v>
      </c>
    </row>
    <row r="2615" spans="3:9">
      <c r="C2615" s="125">
        <v>43389</v>
      </c>
      <c r="D2615" s="34">
        <v>89.18</v>
      </c>
      <c r="E2615" s="115">
        <v>91.19</v>
      </c>
      <c r="F2615" s="34">
        <v>88.08</v>
      </c>
      <c r="G2615" s="34">
        <v>91</v>
      </c>
      <c r="H2615" s="34">
        <v>91</v>
      </c>
      <c r="I2615" s="29">
        <v>117198000</v>
      </c>
    </row>
    <row r="2616" spans="3:9">
      <c r="C2616" s="125">
        <v>43388</v>
      </c>
      <c r="D2616" s="34">
        <v>89.75</v>
      </c>
      <c r="E2616" s="115">
        <v>89.75</v>
      </c>
      <c r="F2616" s="34">
        <v>86.71</v>
      </c>
      <c r="G2616" s="34">
        <v>88.05</v>
      </c>
      <c r="H2616" s="34">
        <v>88.05</v>
      </c>
      <c r="I2616" s="29">
        <v>128744000</v>
      </c>
    </row>
    <row r="2617" spans="3:9">
      <c r="C2617" s="125">
        <v>43385</v>
      </c>
      <c r="D2617" s="34">
        <v>90.4</v>
      </c>
      <c r="E2617" s="115">
        <v>90.45</v>
      </c>
      <c r="F2617" s="34">
        <v>87.13</v>
      </c>
      <c r="G2617" s="34">
        <v>89.43</v>
      </c>
      <c r="H2617" s="34">
        <v>89.43</v>
      </c>
      <c r="I2617" s="29">
        <v>188892000</v>
      </c>
    </row>
    <row r="2618" spans="3:9">
      <c r="C2618" s="125">
        <v>43384</v>
      </c>
      <c r="D2618" s="34">
        <v>86.2</v>
      </c>
      <c r="E2618" s="115">
        <v>87.77</v>
      </c>
      <c r="F2618" s="34">
        <v>84.25</v>
      </c>
      <c r="G2618" s="34">
        <v>85.97</v>
      </c>
      <c r="H2618" s="34">
        <v>85.97</v>
      </c>
      <c r="I2618" s="29">
        <v>278718000</v>
      </c>
    </row>
    <row r="2619" spans="3:9">
      <c r="C2619" s="125">
        <v>43383</v>
      </c>
      <c r="D2619" s="34">
        <v>92.89</v>
      </c>
      <c r="E2619" s="115">
        <v>92.93</v>
      </c>
      <c r="F2619" s="34">
        <v>87.72</v>
      </c>
      <c r="G2619" s="34">
        <v>87.76</v>
      </c>
      <c r="H2619" s="34">
        <v>87.76</v>
      </c>
      <c r="I2619" s="29">
        <v>219778000</v>
      </c>
    </row>
    <row r="2620" spans="3:9">
      <c r="C2620" s="125">
        <v>43382</v>
      </c>
      <c r="D2620" s="34">
        <v>93</v>
      </c>
      <c r="E2620" s="115">
        <v>94.83</v>
      </c>
      <c r="F2620" s="34">
        <v>92.62</v>
      </c>
      <c r="G2620" s="34">
        <v>93.52</v>
      </c>
      <c r="H2620" s="34">
        <v>93.52</v>
      </c>
      <c r="I2620" s="29">
        <v>95458000</v>
      </c>
    </row>
    <row r="2621" spans="3:9">
      <c r="C2621" s="125">
        <v>43381</v>
      </c>
      <c r="D2621" s="34">
        <v>93.7</v>
      </c>
      <c r="E2621" s="115">
        <v>95.1</v>
      </c>
      <c r="F2621" s="34">
        <v>91.53</v>
      </c>
      <c r="G2621" s="34">
        <v>93.22</v>
      </c>
      <c r="H2621" s="34">
        <v>93.22</v>
      </c>
      <c r="I2621" s="29">
        <v>147864000</v>
      </c>
    </row>
    <row r="2622" spans="3:9">
      <c r="C2622" s="125">
        <v>43378</v>
      </c>
      <c r="D2622" s="34">
        <v>95.9</v>
      </c>
      <c r="E2622" s="115">
        <v>96.45</v>
      </c>
      <c r="F2622" s="34">
        <v>93.14</v>
      </c>
      <c r="G2622" s="34">
        <v>94.48</v>
      </c>
      <c r="H2622" s="34">
        <v>94.48</v>
      </c>
      <c r="I2622" s="29">
        <v>136446000</v>
      </c>
    </row>
    <row r="2623" spans="3:9">
      <c r="C2623" s="125">
        <v>43377</v>
      </c>
      <c r="D2623" s="34">
        <v>97.45</v>
      </c>
      <c r="E2623" s="115">
        <v>97.8</v>
      </c>
      <c r="F2623" s="34">
        <v>94.83</v>
      </c>
      <c r="G2623" s="34">
        <v>95.47</v>
      </c>
      <c r="H2623" s="34">
        <v>95.47</v>
      </c>
      <c r="I2623" s="29">
        <v>145140000</v>
      </c>
    </row>
    <row r="2624" spans="3:9">
      <c r="C2624" s="125">
        <v>43376</v>
      </c>
      <c r="D2624" s="34">
        <v>99.08</v>
      </c>
      <c r="E2624" s="115">
        <v>99.49</v>
      </c>
      <c r="F2624" s="34">
        <v>97.49</v>
      </c>
      <c r="G2624" s="34">
        <v>97.64</v>
      </c>
      <c r="H2624" s="34">
        <v>97.64</v>
      </c>
      <c r="I2624" s="29">
        <v>105062000</v>
      </c>
    </row>
    <row r="2625" spans="3:9">
      <c r="C2625" s="125">
        <v>43375</v>
      </c>
      <c r="D2625" s="34">
        <v>100</v>
      </c>
      <c r="E2625" s="115">
        <v>100.67</v>
      </c>
      <c r="F2625" s="34">
        <v>98.29</v>
      </c>
      <c r="G2625" s="34">
        <v>98.57</v>
      </c>
      <c r="H2625" s="34">
        <v>98.57</v>
      </c>
      <c r="I2625" s="29">
        <v>108014000</v>
      </c>
    </row>
    <row r="2626" spans="3:9">
      <c r="C2626" s="125">
        <v>43374</v>
      </c>
      <c r="D2626" s="34">
        <v>101.1</v>
      </c>
      <c r="E2626" s="115">
        <v>101.66</v>
      </c>
      <c r="F2626" s="34">
        <v>100.18</v>
      </c>
      <c r="G2626" s="34">
        <v>100.22</v>
      </c>
      <c r="H2626" s="34">
        <v>100.22</v>
      </c>
      <c r="I2626" s="29">
        <v>69210000</v>
      </c>
    </row>
    <row r="2627" spans="3:9">
      <c r="C2627" s="125">
        <v>43371</v>
      </c>
      <c r="D2627" s="34">
        <v>100.22</v>
      </c>
      <c r="E2627" s="115">
        <v>101.33</v>
      </c>
      <c r="F2627" s="34">
        <v>99.82</v>
      </c>
      <c r="G2627" s="34">
        <v>100.15</v>
      </c>
      <c r="H2627" s="34">
        <v>100.15</v>
      </c>
      <c r="I2627" s="29">
        <v>81702000</v>
      </c>
    </row>
    <row r="2628" spans="3:9">
      <c r="C2628" s="125">
        <v>43370</v>
      </c>
      <c r="D2628" s="34">
        <v>99.66</v>
      </c>
      <c r="E2628" s="115">
        <v>100.81</v>
      </c>
      <c r="F2628" s="34">
        <v>99.43</v>
      </c>
      <c r="G2628" s="34">
        <v>100.65</v>
      </c>
      <c r="H2628" s="34">
        <v>100.65</v>
      </c>
      <c r="I2628" s="29">
        <v>86588000</v>
      </c>
    </row>
    <row r="2629" spans="3:9">
      <c r="C2629" s="125">
        <v>43369</v>
      </c>
      <c r="D2629" s="34">
        <v>98.43</v>
      </c>
      <c r="E2629" s="115">
        <v>99.76</v>
      </c>
      <c r="F2629" s="34">
        <v>98.08</v>
      </c>
      <c r="G2629" s="34">
        <v>98.74</v>
      </c>
      <c r="H2629" s="34">
        <v>98.74</v>
      </c>
      <c r="I2629" s="29">
        <v>86270000</v>
      </c>
    </row>
    <row r="2630" spans="3:9">
      <c r="C2630" s="125">
        <v>43368</v>
      </c>
      <c r="D2630" s="34">
        <v>97.14</v>
      </c>
      <c r="E2630" s="115">
        <v>98.8</v>
      </c>
      <c r="F2630" s="34">
        <v>96.94</v>
      </c>
      <c r="G2630" s="34">
        <v>98.73</v>
      </c>
      <c r="H2630" s="34">
        <v>98.73</v>
      </c>
      <c r="I2630" s="29">
        <v>90768000</v>
      </c>
    </row>
    <row r="2631" spans="3:9">
      <c r="C2631" s="125">
        <v>43367</v>
      </c>
      <c r="D2631" s="34">
        <v>95.19</v>
      </c>
      <c r="E2631" s="115">
        <v>96.84</v>
      </c>
      <c r="F2631" s="34">
        <v>93.25</v>
      </c>
      <c r="G2631" s="34">
        <v>96.72</v>
      </c>
      <c r="H2631" s="34">
        <v>96.72</v>
      </c>
      <c r="I2631" s="29">
        <v>84274000</v>
      </c>
    </row>
    <row r="2632" spans="3:9">
      <c r="C2632" s="125">
        <v>43364</v>
      </c>
      <c r="D2632" s="34">
        <v>97.71</v>
      </c>
      <c r="E2632" s="115">
        <v>97.87</v>
      </c>
      <c r="F2632" s="34">
        <v>95.53</v>
      </c>
      <c r="G2632" s="34">
        <v>95.75</v>
      </c>
      <c r="H2632" s="34">
        <v>95.75</v>
      </c>
      <c r="I2632" s="29">
        <v>137118000</v>
      </c>
    </row>
    <row r="2633" spans="3:9">
      <c r="C2633" s="125">
        <v>43363</v>
      </c>
      <c r="D2633" s="34">
        <v>96.93</v>
      </c>
      <c r="E2633" s="115">
        <v>97.75</v>
      </c>
      <c r="F2633" s="34">
        <v>96.61</v>
      </c>
      <c r="G2633" s="34">
        <v>97.21</v>
      </c>
      <c r="H2633" s="34">
        <v>97.21</v>
      </c>
      <c r="I2633" s="29">
        <v>63098000</v>
      </c>
    </row>
    <row r="2634" spans="3:9">
      <c r="C2634" s="125">
        <v>43362</v>
      </c>
      <c r="D2634" s="34">
        <v>97.03</v>
      </c>
      <c r="E2634" s="115">
        <v>97.04</v>
      </c>
      <c r="F2634" s="34">
        <v>95.25</v>
      </c>
      <c r="G2634" s="34">
        <v>96.32</v>
      </c>
      <c r="H2634" s="34">
        <v>96.32</v>
      </c>
      <c r="I2634" s="29">
        <v>81136000</v>
      </c>
    </row>
    <row r="2635" spans="3:9">
      <c r="C2635" s="125">
        <v>43361</v>
      </c>
      <c r="D2635" s="34">
        <v>95.93</v>
      </c>
      <c r="E2635" s="115">
        <v>97.91</v>
      </c>
      <c r="F2635" s="34">
        <v>95.77</v>
      </c>
      <c r="G2635" s="34">
        <v>97.05</v>
      </c>
      <c r="H2635" s="34">
        <v>97.05</v>
      </c>
      <c r="I2635" s="29">
        <v>85374000</v>
      </c>
    </row>
    <row r="2636" spans="3:9">
      <c r="C2636" s="125">
        <v>43360</v>
      </c>
      <c r="D2636" s="34">
        <v>97.74</v>
      </c>
      <c r="E2636" s="115">
        <v>97.84</v>
      </c>
      <c r="F2636" s="34">
        <v>94.37</v>
      </c>
      <c r="G2636" s="34">
        <v>95.4</v>
      </c>
      <c r="H2636" s="34">
        <v>95.4</v>
      </c>
      <c r="I2636" s="29">
        <v>141004000</v>
      </c>
    </row>
    <row r="2637" spans="3:9">
      <c r="C2637" s="125">
        <v>43357</v>
      </c>
      <c r="D2637" s="34">
        <v>99.65</v>
      </c>
      <c r="E2637" s="115">
        <v>99.68</v>
      </c>
      <c r="F2637" s="34">
        <v>97.96</v>
      </c>
      <c r="G2637" s="34">
        <v>98.51</v>
      </c>
      <c r="H2637" s="34">
        <v>98.51</v>
      </c>
      <c r="I2637" s="29">
        <v>72840000</v>
      </c>
    </row>
    <row r="2638" spans="3:9">
      <c r="C2638" s="125">
        <v>43356</v>
      </c>
      <c r="D2638" s="34">
        <v>100</v>
      </c>
      <c r="E2638" s="115">
        <v>100.44</v>
      </c>
      <c r="F2638" s="34">
        <v>99.1</v>
      </c>
      <c r="G2638" s="34">
        <v>99.49</v>
      </c>
      <c r="H2638" s="34">
        <v>99.49</v>
      </c>
      <c r="I2638" s="29">
        <v>72430000</v>
      </c>
    </row>
    <row r="2639" spans="3:9">
      <c r="C2639" s="125">
        <v>43355</v>
      </c>
      <c r="D2639" s="34">
        <v>99.7</v>
      </c>
      <c r="E2639" s="115">
        <v>100</v>
      </c>
      <c r="F2639" s="34">
        <v>98.12</v>
      </c>
      <c r="G2639" s="34">
        <v>99.5</v>
      </c>
      <c r="H2639" s="34">
        <v>99.5</v>
      </c>
      <c r="I2639" s="29">
        <v>88280000</v>
      </c>
    </row>
    <row r="2640" spans="3:9">
      <c r="C2640" s="125">
        <v>43354</v>
      </c>
      <c r="D2640" s="34">
        <v>96.41</v>
      </c>
      <c r="E2640" s="115">
        <v>99.44</v>
      </c>
      <c r="F2640" s="34">
        <v>95.85</v>
      </c>
      <c r="G2640" s="34">
        <v>99.36</v>
      </c>
      <c r="H2640" s="34">
        <v>99.36</v>
      </c>
      <c r="I2640" s="29">
        <v>100672000</v>
      </c>
    </row>
    <row r="2641" spans="3:9">
      <c r="C2641" s="125">
        <v>43353</v>
      </c>
      <c r="D2641" s="34">
        <v>98.55</v>
      </c>
      <c r="E2641" s="115">
        <v>98.65</v>
      </c>
      <c r="F2641" s="34">
        <v>96.58</v>
      </c>
      <c r="G2641" s="34">
        <v>96.95</v>
      </c>
      <c r="H2641" s="34">
        <v>96.95</v>
      </c>
      <c r="I2641" s="29">
        <v>90896000</v>
      </c>
    </row>
    <row r="2642" spans="3:9">
      <c r="C2642" s="125">
        <v>43350</v>
      </c>
      <c r="D2642" s="34">
        <v>96.94</v>
      </c>
      <c r="E2642" s="115">
        <v>98.76</v>
      </c>
      <c r="F2642" s="34">
        <v>96.87</v>
      </c>
      <c r="G2642" s="34">
        <v>97.6</v>
      </c>
      <c r="H2642" s="34">
        <v>97.6</v>
      </c>
      <c r="I2642" s="29">
        <v>97852000</v>
      </c>
    </row>
    <row r="2643" spans="3:9">
      <c r="C2643" s="125">
        <v>43349</v>
      </c>
      <c r="D2643" s="34">
        <v>100.33</v>
      </c>
      <c r="E2643" s="115">
        <v>100.38</v>
      </c>
      <c r="F2643" s="34">
        <v>96.76</v>
      </c>
      <c r="G2643" s="34">
        <v>97.92</v>
      </c>
      <c r="H2643" s="34">
        <v>97.92</v>
      </c>
      <c r="I2643" s="29">
        <v>149774000</v>
      </c>
    </row>
    <row r="2644" spans="3:9">
      <c r="C2644" s="125">
        <v>43348</v>
      </c>
      <c r="D2644" s="34">
        <v>101.91</v>
      </c>
      <c r="E2644" s="115">
        <v>102.02</v>
      </c>
      <c r="F2644" s="34">
        <v>99.49</v>
      </c>
      <c r="G2644" s="34">
        <v>99.74</v>
      </c>
      <c r="H2644" s="34">
        <v>99.74</v>
      </c>
      <c r="I2644" s="29">
        <v>164412000</v>
      </c>
    </row>
    <row r="2645" spans="3:9">
      <c r="C2645" s="125">
        <v>43347</v>
      </c>
      <c r="D2645" s="34">
        <v>101.32</v>
      </c>
      <c r="E2645" s="115">
        <v>102.53</v>
      </c>
      <c r="F2645" s="34">
        <v>100.65</v>
      </c>
      <c r="G2645" s="34">
        <v>101.98</v>
      </c>
      <c r="H2645" s="34">
        <v>101.98</v>
      </c>
      <c r="I2645" s="29">
        <v>114422000</v>
      </c>
    </row>
    <row r="2646" spans="3:9">
      <c r="C2646" s="125">
        <v>43343</v>
      </c>
      <c r="D2646" s="34">
        <v>100.35</v>
      </c>
      <c r="E2646" s="115">
        <v>101.12</v>
      </c>
      <c r="F2646" s="34">
        <v>100.24</v>
      </c>
      <c r="G2646" s="34">
        <v>100.64</v>
      </c>
      <c r="H2646" s="34">
        <v>100.64</v>
      </c>
      <c r="I2646" s="29">
        <v>84088000</v>
      </c>
    </row>
    <row r="2647" spans="3:9">
      <c r="C2647" s="125">
        <v>43342</v>
      </c>
      <c r="D2647" s="34">
        <v>99.87</v>
      </c>
      <c r="E2647" s="115">
        <v>101.28</v>
      </c>
      <c r="F2647" s="34">
        <v>99.35</v>
      </c>
      <c r="G2647" s="34">
        <v>100.12</v>
      </c>
      <c r="H2647" s="34">
        <v>100.12</v>
      </c>
      <c r="I2647" s="29">
        <v>145546000</v>
      </c>
    </row>
    <row r="2648" spans="3:9">
      <c r="C2648" s="125">
        <v>43341</v>
      </c>
      <c r="D2648" s="34">
        <v>97.67</v>
      </c>
      <c r="E2648" s="115">
        <v>99.93</v>
      </c>
      <c r="F2648" s="34">
        <v>97.45</v>
      </c>
      <c r="G2648" s="34">
        <v>99.9</v>
      </c>
      <c r="H2648" s="34">
        <v>99.9</v>
      </c>
      <c r="I2648" s="29">
        <v>130636000</v>
      </c>
    </row>
    <row r="2649" spans="3:9">
      <c r="C2649" s="125">
        <v>43340</v>
      </c>
      <c r="D2649" s="34">
        <v>96.89</v>
      </c>
      <c r="E2649" s="115">
        <v>97.09</v>
      </c>
      <c r="F2649" s="34">
        <v>96.44</v>
      </c>
      <c r="G2649" s="34">
        <v>96.64</v>
      </c>
      <c r="H2649" s="34">
        <v>96.64</v>
      </c>
      <c r="I2649" s="29">
        <v>62014000</v>
      </c>
    </row>
    <row r="2650" spans="3:9">
      <c r="C2650" s="125">
        <v>43339</v>
      </c>
      <c r="D2650" s="34">
        <v>95.75</v>
      </c>
      <c r="E2650" s="115">
        <v>96.39</v>
      </c>
      <c r="F2650" s="34">
        <v>95.46</v>
      </c>
      <c r="G2650" s="34">
        <v>96.38</v>
      </c>
      <c r="H2650" s="34">
        <v>96.38</v>
      </c>
      <c r="I2650" s="29">
        <v>71380000</v>
      </c>
    </row>
    <row r="2651" spans="3:9">
      <c r="C2651" s="125">
        <v>43336</v>
      </c>
      <c r="D2651" s="34">
        <v>95.53</v>
      </c>
      <c r="E2651" s="115">
        <v>95.8</v>
      </c>
      <c r="F2651" s="34">
        <v>95.13</v>
      </c>
      <c r="G2651" s="34">
        <v>95.27</v>
      </c>
      <c r="H2651" s="34">
        <v>95.27</v>
      </c>
      <c r="I2651" s="29">
        <v>56018000</v>
      </c>
    </row>
    <row r="2652" spans="3:9">
      <c r="C2652" s="125">
        <v>43335</v>
      </c>
      <c r="D2652" s="34">
        <v>95.36</v>
      </c>
      <c r="E2652" s="115">
        <v>95.97</v>
      </c>
      <c r="F2652" s="34">
        <v>95.04</v>
      </c>
      <c r="G2652" s="34">
        <v>95.14</v>
      </c>
      <c r="H2652" s="34">
        <v>95.14</v>
      </c>
      <c r="I2652" s="29">
        <v>71260000</v>
      </c>
    </row>
    <row r="2653" spans="3:9">
      <c r="C2653" s="125">
        <v>43334</v>
      </c>
      <c r="D2653" s="34">
        <v>93.83</v>
      </c>
      <c r="E2653" s="115">
        <v>95.29</v>
      </c>
      <c r="F2653" s="34">
        <v>93.83</v>
      </c>
      <c r="G2653" s="34">
        <v>95.25</v>
      </c>
      <c r="H2653" s="34">
        <v>95.25</v>
      </c>
      <c r="I2653" s="29">
        <v>61610000</v>
      </c>
    </row>
    <row r="2654" spans="3:9">
      <c r="C2654" s="125">
        <v>43333</v>
      </c>
      <c r="D2654" s="34">
        <v>94</v>
      </c>
      <c r="E2654" s="115">
        <v>94.89</v>
      </c>
      <c r="F2654" s="34">
        <v>93.72</v>
      </c>
      <c r="G2654" s="34">
        <v>94.17</v>
      </c>
      <c r="H2654" s="34">
        <v>94.17</v>
      </c>
      <c r="I2654" s="29">
        <v>62112000</v>
      </c>
    </row>
    <row r="2655" spans="3:9">
      <c r="C2655" s="125">
        <v>43332</v>
      </c>
      <c r="D2655" s="34">
        <v>94.53</v>
      </c>
      <c r="E2655" s="115">
        <v>94.59</v>
      </c>
      <c r="F2655" s="34">
        <v>93.3</v>
      </c>
      <c r="G2655" s="34">
        <v>93.84</v>
      </c>
      <c r="H2655" s="34">
        <v>93.84</v>
      </c>
      <c r="I2655" s="29">
        <v>57240000</v>
      </c>
    </row>
    <row r="2656" spans="3:9">
      <c r="C2656" s="125">
        <v>43329</v>
      </c>
      <c r="D2656" s="34">
        <v>94.29</v>
      </c>
      <c r="E2656" s="115">
        <v>94.4</v>
      </c>
      <c r="F2656" s="34">
        <v>92.78</v>
      </c>
      <c r="G2656" s="34">
        <v>94.11</v>
      </c>
      <c r="H2656" s="34">
        <v>94.11</v>
      </c>
      <c r="I2656" s="29">
        <v>82086000</v>
      </c>
    </row>
    <row r="2657" spans="3:9">
      <c r="C2657" s="125">
        <v>43328</v>
      </c>
      <c r="D2657" s="34">
        <v>95.2</v>
      </c>
      <c r="E2657" s="115">
        <v>95.25</v>
      </c>
      <c r="F2657" s="34">
        <v>94.18</v>
      </c>
      <c r="G2657" s="34">
        <v>94.33</v>
      </c>
      <c r="H2657" s="34">
        <v>94.33</v>
      </c>
      <c r="I2657" s="29">
        <v>79142000</v>
      </c>
    </row>
    <row r="2658" spans="3:9">
      <c r="C2658" s="125">
        <v>43327</v>
      </c>
      <c r="D2658" s="34">
        <v>95.48</v>
      </c>
      <c r="E2658" s="115">
        <v>95.81</v>
      </c>
      <c r="F2658" s="34">
        <v>93.49</v>
      </c>
      <c r="G2658" s="34">
        <v>94.13</v>
      </c>
      <c r="H2658" s="34">
        <v>94.13</v>
      </c>
      <c r="I2658" s="29">
        <v>154014000</v>
      </c>
    </row>
    <row r="2659" spans="3:9">
      <c r="C2659" s="125">
        <v>43326</v>
      </c>
      <c r="D2659" s="34">
        <v>95.97</v>
      </c>
      <c r="E2659" s="115">
        <v>96.05</v>
      </c>
      <c r="F2659" s="34">
        <v>95</v>
      </c>
      <c r="G2659" s="34">
        <v>95.98</v>
      </c>
      <c r="H2659" s="34">
        <v>95.98</v>
      </c>
      <c r="I2659" s="29">
        <v>79722000</v>
      </c>
    </row>
    <row r="2660" spans="3:9">
      <c r="C2660" s="125">
        <v>43325</v>
      </c>
      <c r="D2660" s="34">
        <v>94.93</v>
      </c>
      <c r="E2660" s="115">
        <v>96.25</v>
      </c>
      <c r="F2660" s="34">
        <v>94.68</v>
      </c>
      <c r="G2660" s="34">
        <v>94.81</v>
      </c>
      <c r="H2660" s="34">
        <v>94.81</v>
      </c>
      <c r="I2660" s="29">
        <v>110630000</v>
      </c>
    </row>
    <row r="2661" spans="3:9">
      <c r="C2661" s="125">
        <v>43322</v>
      </c>
      <c r="D2661" s="34">
        <v>94.43</v>
      </c>
      <c r="E2661" s="115">
        <v>94.97</v>
      </c>
      <c r="F2661" s="34">
        <v>93.91</v>
      </c>
      <c r="G2661" s="34">
        <v>94.32</v>
      </c>
      <c r="H2661" s="34">
        <v>94.32</v>
      </c>
      <c r="I2661" s="29">
        <v>72798000</v>
      </c>
    </row>
    <row r="2662" spans="3:9">
      <c r="C2662" s="125">
        <v>43321</v>
      </c>
      <c r="D2662" s="34">
        <v>94.1</v>
      </c>
      <c r="E2662" s="115">
        <v>95.73</v>
      </c>
      <c r="F2662" s="34">
        <v>93.87</v>
      </c>
      <c r="G2662" s="34">
        <v>94.93</v>
      </c>
      <c r="H2662" s="34">
        <v>94.93</v>
      </c>
      <c r="I2662" s="29">
        <v>97208000</v>
      </c>
    </row>
    <row r="2663" spans="3:9">
      <c r="C2663" s="125">
        <v>43320</v>
      </c>
      <c r="D2663" s="34">
        <v>93.05</v>
      </c>
      <c r="E2663" s="115">
        <v>94.58</v>
      </c>
      <c r="F2663" s="34">
        <v>92.72</v>
      </c>
      <c r="G2663" s="34">
        <v>94.33</v>
      </c>
      <c r="H2663" s="34">
        <v>94.33</v>
      </c>
      <c r="I2663" s="29">
        <v>79260000</v>
      </c>
    </row>
    <row r="2664" spans="3:9">
      <c r="C2664" s="125">
        <v>43319</v>
      </c>
      <c r="D2664" s="34">
        <v>92.73</v>
      </c>
      <c r="E2664" s="115">
        <v>93.49</v>
      </c>
      <c r="F2664" s="34">
        <v>92.31</v>
      </c>
      <c r="G2664" s="34">
        <v>93.12</v>
      </c>
      <c r="H2664" s="34">
        <v>93.12</v>
      </c>
      <c r="I2664" s="29">
        <v>67550000</v>
      </c>
    </row>
    <row r="2665" spans="3:9">
      <c r="C2665" s="125">
        <v>43318</v>
      </c>
      <c r="D2665" s="34">
        <v>91.29</v>
      </c>
      <c r="E2665" s="115">
        <v>92.39</v>
      </c>
      <c r="F2665" s="34">
        <v>90.95</v>
      </c>
      <c r="G2665" s="34">
        <v>92.39</v>
      </c>
      <c r="H2665" s="34">
        <v>92.39</v>
      </c>
      <c r="I2665" s="29">
        <v>67836000</v>
      </c>
    </row>
    <row r="2666" spans="3:9">
      <c r="C2666" s="125">
        <v>43315</v>
      </c>
      <c r="D2666" s="34">
        <v>91.89</v>
      </c>
      <c r="E2666" s="115">
        <v>92.05</v>
      </c>
      <c r="F2666" s="34">
        <v>91.07</v>
      </c>
      <c r="G2666" s="34">
        <v>91.16</v>
      </c>
      <c r="H2666" s="34">
        <v>91.16</v>
      </c>
      <c r="I2666" s="29">
        <v>69210000</v>
      </c>
    </row>
    <row r="2667" spans="3:9">
      <c r="C2667" s="125">
        <v>43314</v>
      </c>
      <c r="D2667" s="34">
        <v>89.44</v>
      </c>
      <c r="E2667" s="115">
        <v>91.83</v>
      </c>
      <c r="F2667" s="34">
        <v>89.3</v>
      </c>
      <c r="G2667" s="34">
        <v>91.72</v>
      </c>
      <c r="H2667" s="34">
        <v>91.72</v>
      </c>
      <c r="I2667" s="29">
        <v>87094000</v>
      </c>
    </row>
    <row r="2668" spans="3:9">
      <c r="C2668" s="125">
        <v>43313</v>
      </c>
      <c r="D2668" s="34">
        <v>89.2</v>
      </c>
      <c r="E2668" s="115">
        <v>89.92</v>
      </c>
      <c r="F2668" s="34">
        <v>88.8</v>
      </c>
      <c r="G2668" s="34">
        <v>89.86</v>
      </c>
      <c r="H2668" s="34">
        <v>89.86</v>
      </c>
      <c r="I2668" s="29">
        <v>83062000</v>
      </c>
    </row>
    <row r="2669" spans="3:9">
      <c r="C2669" s="125">
        <v>43312</v>
      </c>
      <c r="D2669" s="34">
        <v>89.32</v>
      </c>
      <c r="E2669" s="115">
        <v>90.09</v>
      </c>
      <c r="F2669" s="34">
        <v>86.97</v>
      </c>
      <c r="G2669" s="34">
        <v>88.87</v>
      </c>
      <c r="H2669" s="34">
        <v>88.87</v>
      </c>
      <c r="I2669" s="29">
        <v>114774000</v>
      </c>
    </row>
    <row r="2670" spans="3:9">
      <c r="C2670" s="125">
        <v>43311</v>
      </c>
      <c r="D2670" s="34">
        <v>91.37</v>
      </c>
      <c r="E2670" s="115">
        <v>91.47</v>
      </c>
      <c r="F2670" s="34">
        <v>88.3</v>
      </c>
      <c r="G2670" s="34">
        <v>88.96</v>
      </c>
      <c r="H2670" s="34">
        <v>88.96</v>
      </c>
      <c r="I2670" s="29">
        <v>131246000</v>
      </c>
    </row>
    <row r="2671" spans="3:9">
      <c r="C2671" s="125">
        <v>43308</v>
      </c>
      <c r="D2671" s="34">
        <v>93.8</v>
      </c>
      <c r="E2671" s="115">
        <v>94</v>
      </c>
      <c r="F2671" s="34">
        <v>90.33</v>
      </c>
      <c r="G2671" s="34">
        <v>90.86</v>
      </c>
      <c r="H2671" s="34">
        <v>90.86</v>
      </c>
      <c r="I2671" s="29">
        <v>193620000</v>
      </c>
    </row>
    <row r="2672" spans="3:9">
      <c r="C2672" s="125">
        <v>43307</v>
      </c>
      <c r="D2672" s="34">
        <v>91.95</v>
      </c>
      <c r="E2672" s="115">
        <v>92.23</v>
      </c>
      <c r="F2672" s="34">
        <v>90.22</v>
      </c>
      <c r="G2672" s="34">
        <v>90.4</v>
      </c>
      <c r="H2672" s="34">
        <v>90.4</v>
      </c>
      <c r="I2672" s="29">
        <v>198488000</v>
      </c>
    </row>
    <row r="2673" spans="3:9">
      <c r="C2673" s="125">
        <v>43306</v>
      </c>
      <c r="D2673" s="34">
        <v>91.46</v>
      </c>
      <c r="E2673" s="115">
        <v>93.19</v>
      </c>
      <c r="F2673" s="34">
        <v>91.13</v>
      </c>
      <c r="G2673" s="34">
        <v>93.18</v>
      </c>
      <c r="H2673" s="34">
        <v>93.18</v>
      </c>
      <c r="I2673" s="29">
        <v>74764000</v>
      </c>
    </row>
    <row r="2674" spans="3:9">
      <c r="C2674" s="125">
        <v>43305</v>
      </c>
      <c r="D2674" s="34">
        <v>91.45</v>
      </c>
      <c r="E2674" s="115">
        <v>92</v>
      </c>
      <c r="F2674" s="34">
        <v>90.47</v>
      </c>
      <c r="G2674" s="34">
        <v>91.46</v>
      </c>
      <c r="H2674" s="34">
        <v>91.46</v>
      </c>
      <c r="I2674" s="29">
        <v>85574000</v>
      </c>
    </row>
    <row r="2675" spans="3:9">
      <c r="C2675" s="125">
        <v>43304</v>
      </c>
      <c r="D2675" s="34">
        <v>90.61</v>
      </c>
      <c r="E2675" s="115">
        <v>90.95</v>
      </c>
      <c r="F2675" s="34">
        <v>88.5</v>
      </c>
      <c r="G2675" s="34">
        <v>90.1</v>
      </c>
      <c r="H2675" s="34">
        <v>90.1</v>
      </c>
      <c r="I2675" s="29">
        <v>77770000</v>
      </c>
    </row>
    <row r="2676" spans="3:9">
      <c r="C2676" s="125">
        <v>43301</v>
      </c>
      <c r="D2676" s="34">
        <v>91.25</v>
      </c>
      <c r="E2676" s="115">
        <v>91.74</v>
      </c>
      <c r="F2676" s="34">
        <v>90.5</v>
      </c>
      <c r="G2676" s="34">
        <v>90.68</v>
      </c>
      <c r="H2676" s="34">
        <v>90.68</v>
      </c>
      <c r="I2676" s="29">
        <v>77688000</v>
      </c>
    </row>
    <row r="2677" spans="3:9">
      <c r="C2677" s="125">
        <v>43300</v>
      </c>
      <c r="D2677" s="34">
        <v>91.47</v>
      </c>
      <c r="E2677" s="115">
        <v>92.05</v>
      </c>
      <c r="F2677" s="34">
        <v>90.56</v>
      </c>
      <c r="G2677" s="34">
        <v>90.65</v>
      </c>
      <c r="H2677" s="34">
        <v>90.65</v>
      </c>
      <c r="I2677" s="29">
        <v>93538000</v>
      </c>
    </row>
    <row r="2678" spans="3:9">
      <c r="C2678" s="125">
        <v>43299</v>
      </c>
      <c r="D2678" s="34">
        <v>92.4</v>
      </c>
      <c r="E2678" s="115">
        <v>92.94</v>
      </c>
      <c r="F2678" s="34">
        <v>91.56</v>
      </c>
      <c r="G2678" s="34">
        <v>92.15</v>
      </c>
      <c r="H2678" s="34">
        <v>92.15</v>
      </c>
      <c r="I2678" s="29">
        <v>97238000</v>
      </c>
    </row>
    <row r="2679" spans="3:9">
      <c r="C2679" s="125">
        <v>43298</v>
      </c>
      <c r="D2679" s="34">
        <v>90.58</v>
      </c>
      <c r="E2679" s="115">
        <v>92.58</v>
      </c>
      <c r="F2679" s="34">
        <v>89.87</v>
      </c>
      <c r="G2679" s="34">
        <v>92.2</v>
      </c>
      <c r="H2679" s="34">
        <v>92.2</v>
      </c>
      <c r="I2679" s="29">
        <v>113658000</v>
      </c>
    </row>
    <row r="2680" spans="3:9">
      <c r="C2680" s="125">
        <v>43297</v>
      </c>
      <c r="D2680" s="34">
        <v>91.1</v>
      </c>
      <c r="E2680" s="115">
        <v>92.1</v>
      </c>
      <c r="F2680" s="34">
        <v>90.72</v>
      </c>
      <c r="G2680" s="34">
        <v>91.12</v>
      </c>
      <c r="H2680" s="34">
        <v>91.12</v>
      </c>
      <c r="I2680" s="29">
        <v>109324000</v>
      </c>
    </row>
    <row r="2681" spans="3:9">
      <c r="C2681" s="125">
        <v>43294</v>
      </c>
      <c r="D2681" s="34">
        <v>90.2</v>
      </c>
      <c r="E2681" s="115">
        <v>90.76</v>
      </c>
      <c r="F2681" s="34">
        <v>89.76</v>
      </c>
      <c r="G2681" s="34">
        <v>90.65</v>
      </c>
      <c r="H2681" s="34">
        <v>90.65</v>
      </c>
      <c r="I2681" s="29">
        <v>87664000</v>
      </c>
    </row>
    <row r="2682" spans="3:9">
      <c r="C2682" s="125">
        <v>43293</v>
      </c>
      <c r="D2682" s="34">
        <v>88.23</v>
      </c>
      <c r="E2682" s="115">
        <v>89.9</v>
      </c>
      <c r="F2682" s="34">
        <v>88.11</v>
      </c>
      <c r="G2682" s="34">
        <v>89.83</v>
      </c>
      <c r="H2682" s="34">
        <v>89.83</v>
      </c>
      <c r="I2682" s="29">
        <v>90654000</v>
      </c>
    </row>
    <row r="2683" spans="3:9">
      <c r="C2683" s="125">
        <v>43292</v>
      </c>
      <c r="D2683" s="34">
        <v>86.9</v>
      </c>
      <c r="E2683" s="115">
        <v>87.85</v>
      </c>
      <c r="F2683" s="34">
        <v>86.7</v>
      </c>
      <c r="G2683" s="34">
        <v>87.75</v>
      </c>
      <c r="H2683" s="34">
        <v>87.75</v>
      </c>
      <c r="I2683" s="29">
        <v>64196000</v>
      </c>
    </row>
    <row r="2684" spans="3:9">
      <c r="C2684" s="125">
        <v>43291</v>
      </c>
      <c r="D2684" s="34">
        <v>86.93</v>
      </c>
      <c r="E2684" s="115">
        <v>87.5</v>
      </c>
      <c r="F2684" s="34">
        <v>86.55</v>
      </c>
      <c r="G2684" s="34">
        <v>87.15</v>
      </c>
      <c r="H2684" s="34">
        <v>87.15</v>
      </c>
      <c r="I2684" s="29">
        <v>60058000</v>
      </c>
    </row>
    <row r="2685" spans="3:9">
      <c r="C2685" s="125">
        <v>43290</v>
      </c>
      <c r="D2685" s="34">
        <v>86.2</v>
      </c>
      <c r="E2685" s="115">
        <v>86.98</v>
      </c>
      <c r="F2685" s="34">
        <v>85.81</v>
      </c>
      <c r="G2685" s="34">
        <v>86.95</v>
      </c>
      <c r="H2685" s="34">
        <v>86.95</v>
      </c>
      <c r="I2685" s="29">
        <v>60240000</v>
      </c>
    </row>
    <row r="2686" spans="3:9">
      <c r="C2686" s="125">
        <v>43287</v>
      </c>
      <c r="D2686" s="34">
        <v>84.8</v>
      </c>
      <c r="E2686" s="115">
        <v>85.76</v>
      </c>
      <c r="F2686" s="34">
        <v>84.58</v>
      </c>
      <c r="G2686" s="34">
        <v>85.53</v>
      </c>
      <c r="H2686" s="34">
        <v>85.53</v>
      </c>
      <c r="I2686" s="29">
        <v>53006000</v>
      </c>
    </row>
    <row r="2687" spans="3:9">
      <c r="C2687" s="125">
        <v>43286</v>
      </c>
      <c r="D2687" s="34">
        <v>85.27</v>
      </c>
      <c r="E2687" s="115">
        <v>85.53</v>
      </c>
      <c r="F2687" s="34">
        <v>84.11</v>
      </c>
      <c r="G2687" s="34">
        <v>84.99</v>
      </c>
      <c r="H2687" s="34">
        <v>84.99</v>
      </c>
      <c r="I2687" s="29">
        <v>59662000</v>
      </c>
    </row>
    <row r="2688" spans="3:9">
      <c r="C2688" s="125">
        <v>43284</v>
      </c>
      <c r="D2688" s="34">
        <v>86.2</v>
      </c>
      <c r="E2688" s="115">
        <v>86.25</v>
      </c>
      <c r="F2688" s="34">
        <v>84.62</v>
      </c>
      <c r="G2688" s="34">
        <v>84.7</v>
      </c>
      <c r="H2688" s="34">
        <v>84.7</v>
      </c>
      <c r="I2688" s="29">
        <v>43546000</v>
      </c>
    </row>
    <row r="2689" spans="3:9">
      <c r="C2689" s="125">
        <v>43283</v>
      </c>
      <c r="D2689" s="34">
        <v>84.14</v>
      </c>
      <c r="E2689" s="115">
        <v>85.69</v>
      </c>
      <c r="F2689" s="34">
        <v>83.9</v>
      </c>
      <c r="G2689" s="34">
        <v>85.69</v>
      </c>
      <c r="H2689" s="34">
        <v>85.69</v>
      </c>
      <c r="I2689" s="29">
        <v>63714000</v>
      </c>
    </row>
    <row r="2690" spans="3:9">
      <c r="C2690" s="125">
        <v>43280</v>
      </c>
      <c r="D2690" s="34">
        <v>85.85</v>
      </c>
      <c r="E2690" s="115">
        <v>86.17</v>
      </c>
      <c r="F2690" s="34">
        <v>84.72</v>
      </c>
      <c r="G2690" s="34">
        <v>84.99</v>
      </c>
      <c r="H2690" s="34">
        <v>84.99</v>
      </c>
      <c r="I2690" s="29">
        <v>90870000</v>
      </c>
    </row>
    <row r="2691" spans="3:9">
      <c r="C2691" s="125">
        <v>43279</v>
      </c>
      <c r="D2691" s="34">
        <v>83.63</v>
      </c>
      <c r="E2691" s="115">
        <v>85.28</v>
      </c>
      <c r="F2691" s="34">
        <v>83.06</v>
      </c>
      <c r="G2691" s="34">
        <v>85.07</v>
      </c>
      <c r="H2691" s="34">
        <v>85.07</v>
      </c>
      <c r="I2691" s="29">
        <v>90594000</v>
      </c>
    </row>
    <row r="2692" spans="3:9">
      <c r="C2692" s="125">
        <v>43278</v>
      </c>
      <c r="D2692" s="34">
        <v>85.41</v>
      </c>
      <c r="E2692" s="115">
        <v>85.6</v>
      </c>
      <c r="F2692" s="34">
        <v>83</v>
      </c>
      <c r="G2692" s="34">
        <v>83.03</v>
      </c>
      <c r="H2692" s="34">
        <v>83.03</v>
      </c>
      <c r="I2692" s="29">
        <v>97444000</v>
      </c>
    </row>
    <row r="2693" spans="3:9">
      <c r="C2693" s="125">
        <v>43277</v>
      </c>
      <c r="D2693" s="34">
        <v>83.62</v>
      </c>
      <c r="E2693" s="115">
        <v>85.08</v>
      </c>
      <c r="F2693" s="34">
        <v>83.17</v>
      </c>
      <c r="G2693" s="34">
        <v>84.55</v>
      </c>
      <c r="H2693" s="34">
        <v>84.55</v>
      </c>
      <c r="I2693" s="29">
        <v>87732000</v>
      </c>
    </row>
    <row r="2694" spans="3:9">
      <c r="C2694" s="125">
        <v>43276</v>
      </c>
      <c r="D2694" s="34">
        <v>85.13</v>
      </c>
      <c r="E2694" s="115">
        <v>85.25</v>
      </c>
      <c r="F2694" s="34">
        <v>82.32</v>
      </c>
      <c r="G2694" s="34">
        <v>83.16</v>
      </c>
      <c r="H2694" s="34">
        <v>83.16</v>
      </c>
      <c r="I2694" s="29">
        <v>150224000</v>
      </c>
    </row>
    <row r="2695" spans="3:9">
      <c r="C2695" s="125">
        <v>43273</v>
      </c>
      <c r="D2695" s="34">
        <v>87.13</v>
      </c>
      <c r="E2695" s="115">
        <v>87.15</v>
      </c>
      <c r="F2695" s="34">
        <v>85.6</v>
      </c>
      <c r="G2695" s="34">
        <v>85.78</v>
      </c>
      <c r="H2695" s="34">
        <v>85.78</v>
      </c>
      <c r="I2695" s="29">
        <v>81502000</v>
      </c>
    </row>
    <row r="2696" spans="3:9">
      <c r="C2696" s="125">
        <v>43272</v>
      </c>
      <c r="D2696" s="34">
        <v>88</v>
      </c>
      <c r="E2696" s="115">
        <v>88.15</v>
      </c>
      <c r="F2696" s="34">
        <v>85.88</v>
      </c>
      <c r="G2696" s="34">
        <v>86.51</v>
      </c>
      <c r="H2696" s="34">
        <v>86.51</v>
      </c>
      <c r="I2696" s="29">
        <v>98822000</v>
      </c>
    </row>
    <row r="2697" spans="3:9">
      <c r="C2697" s="125">
        <v>43271</v>
      </c>
      <c r="D2697" s="34">
        <v>87.13</v>
      </c>
      <c r="E2697" s="115">
        <v>88.15</v>
      </c>
      <c r="F2697" s="34">
        <v>87.07</v>
      </c>
      <c r="G2697" s="34">
        <v>87.5</v>
      </c>
      <c r="H2697" s="34">
        <v>87.5</v>
      </c>
      <c r="I2697" s="29">
        <v>86652000</v>
      </c>
    </row>
    <row r="2698" spans="3:9">
      <c r="C2698" s="125">
        <v>43270</v>
      </c>
      <c r="D2698" s="34">
        <v>85.45</v>
      </c>
      <c r="E2698" s="115">
        <v>86.81</v>
      </c>
      <c r="F2698" s="34">
        <v>85.02</v>
      </c>
      <c r="G2698" s="34">
        <v>86.74</v>
      </c>
      <c r="H2698" s="34">
        <v>86.74</v>
      </c>
      <c r="I2698" s="29">
        <v>85802000</v>
      </c>
    </row>
    <row r="2699" spans="3:9">
      <c r="C2699" s="125">
        <v>43269</v>
      </c>
      <c r="D2699" s="34">
        <v>85.31</v>
      </c>
      <c r="E2699" s="115">
        <v>86.34</v>
      </c>
      <c r="F2699" s="34">
        <v>85.13</v>
      </c>
      <c r="G2699" s="34">
        <v>86.19</v>
      </c>
      <c r="H2699" s="34">
        <v>86.19</v>
      </c>
      <c r="I2699" s="29">
        <v>62154000</v>
      </c>
    </row>
    <row r="2700" spans="3:9">
      <c r="C2700" s="125">
        <v>43266</v>
      </c>
      <c r="D2700" s="34">
        <v>85.7</v>
      </c>
      <c r="E2700" s="115">
        <v>86.04</v>
      </c>
      <c r="F2700" s="34">
        <v>85.43</v>
      </c>
      <c r="G2700" s="34">
        <v>85.8</v>
      </c>
      <c r="H2700" s="34">
        <v>85.8</v>
      </c>
      <c r="I2700" s="29">
        <v>95552000</v>
      </c>
    </row>
    <row r="2701" spans="3:9">
      <c r="C2701" s="125">
        <v>43265</v>
      </c>
      <c r="D2701" s="34">
        <v>85.67</v>
      </c>
      <c r="E2701" s="115">
        <v>86.24</v>
      </c>
      <c r="F2701" s="34">
        <v>85.44</v>
      </c>
      <c r="G2701" s="34">
        <v>86.19</v>
      </c>
      <c r="H2701" s="34">
        <v>86.19</v>
      </c>
      <c r="I2701" s="29">
        <v>63488000</v>
      </c>
    </row>
    <row r="2702" spans="3:9">
      <c r="C2702" s="125">
        <v>43264</v>
      </c>
      <c r="D2702" s="34">
        <v>85.14</v>
      </c>
      <c r="E2702" s="115">
        <v>85.69</v>
      </c>
      <c r="F2702" s="34">
        <v>85.01</v>
      </c>
      <c r="G2702" s="34">
        <v>85.24</v>
      </c>
      <c r="H2702" s="34">
        <v>85.24</v>
      </c>
      <c r="I2702" s="29">
        <v>66550000</v>
      </c>
    </row>
    <row r="2703" spans="3:9">
      <c r="C2703" s="125">
        <v>43263</v>
      </c>
      <c r="D2703" s="34">
        <v>84.65</v>
      </c>
      <c r="E2703" s="115">
        <v>84.98</v>
      </c>
      <c r="F2703" s="34">
        <v>84.58</v>
      </c>
      <c r="G2703" s="34">
        <v>84.94</v>
      </c>
      <c r="H2703" s="34">
        <v>84.94</v>
      </c>
      <c r="I2703" s="29">
        <v>45184000</v>
      </c>
    </row>
    <row r="2704" spans="3:9">
      <c r="C2704" s="125">
        <v>43262</v>
      </c>
      <c r="D2704" s="34">
        <v>84.08</v>
      </c>
      <c r="E2704" s="115">
        <v>84.71</v>
      </c>
      <c r="F2704" s="34">
        <v>84.03</v>
      </c>
      <c r="G2704" s="34">
        <v>84.46</v>
      </c>
      <c r="H2704" s="34">
        <v>84.46</v>
      </c>
      <c r="I2704" s="29">
        <v>46710000</v>
      </c>
    </row>
    <row r="2705" spans="3:9">
      <c r="C2705" s="125">
        <v>43259</v>
      </c>
      <c r="D2705" s="34">
        <v>84.06</v>
      </c>
      <c r="E2705" s="115">
        <v>84.47</v>
      </c>
      <c r="F2705" s="34">
        <v>83.65</v>
      </c>
      <c r="G2705" s="34">
        <v>84.2</v>
      </c>
      <c r="H2705" s="34">
        <v>84.2</v>
      </c>
      <c r="I2705" s="29">
        <v>59102000</v>
      </c>
    </row>
    <row r="2706" spans="3:9">
      <c r="C2706" s="125">
        <v>43258</v>
      </c>
      <c r="D2706" s="34">
        <v>84.93</v>
      </c>
      <c r="E2706" s="115">
        <v>85</v>
      </c>
      <c r="F2706" s="34">
        <v>83.81</v>
      </c>
      <c r="G2706" s="34">
        <v>84.46</v>
      </c>
      <c r="H2706" s="34">
        <v>84.46</v>
      </c>
      <c r="I2706" s="29">
        <v>75314000</v>
      </c>
    </row>
    <row r="2707" spans="3:9">
      <c r="C2707" s="125">
        <v>43257</v>
      </c>
      <c r="D2707" s="34">
        <v>85.23</v>
      </c>
      <c r="E2707" s="115">
        <v>85.72</v>
      </c>
      <c r="F2707" s="34">
        <v>84.32</v>
      </c>
      <c r="G2707" s="34">
        <v>84.79</v>
      </c>
      <c r="H2707" s="34">
        <v>84.79</v>
      </c>
      <c r="I2707" s="29">
        <v>109464000</v>
      </c>
    </row>
    <row r="2708" spans="3:9">
      <c r="C2708" s="125">
        <v>43256</v>
      </c>
      <c r="D2708" s="34">
        <v>83.65</v>
      </c>
      <c r="E2708" s="115">
        <v>84.95</v>
      </c>
      <c r="F2708" s="34">
        <v>83.5</v>
      </c>
      <c r="G2708" s="34">
        <v>84.82</v>
      </c>
      <c r="H2708" s="34">
        <v>84.82</v>
      </c>
      <c r="I2708" s="29">
        <v>95644000</v>
      </c>
    </row>
    <row r="2709" spans="3:9">
      <c r="C2709" s="125">
        <v>43255</v>
      </c>
      <c r="D2709" s="34">
        <v>82.44</v>
      </c>
      <c r="E2709" s="115">
        <v>83.28</v>
      </c>
      <c r="F2709" s="34">
        <v>82.27</v>
      </c>
      <c r="G2709" s="34">
        <v>83.26</v>
      </c>
      <c r="H2709" s="34">
        <v>83.26</v>
      </c>
      <c r="I2709" s="29">
        <v>63754000</v>
      </c>
    </row>
    <row r="2710" spans="3:9">
      <c r="C2710" s="125">
        <v>43252</v>
      </c>
      <c r="D2710" s="34">
        <v>81.849999999999994</v>
      </c>
      <c r="E2710" s="115">
        <v>82.34</v>
      </c>
      <c r="F2710" s="34">
        <v>81.75</v>
      </c>
      <c r="G2710" s="34">
        <v>82.08</v>
      </c>
      <c r="H2710" s="34">
        <v>82.08</v>
      </c>
      <c r="I2710" s="29">
        <v>66268000</v>
      </c>
    </row>
    <row r="2711" spans="3:9">
      <c r="C2711" s="125">
        <v>43251</v>
      </c>
      <c r="D2711" s="34">
        <v>81.150000000000006</v>
      </c>
      <c r="E2711" s="115">
        <v>81.75</v>
      </c>
      <c r="F2711" s="34">
        <v>81.069999999999993</v>
      </c>
      <c r="G2711" s="34">
        <v>81.48</v>
      </c>
      <c r="H2711" s="34">
        <v>81.48</v>
      </c>
      <c r="I2711" s="29">
        <v>63326000</v>
      </c>
    </row>
    <row r="2712" spans="3:9">
      <c r="C2712" s="125">
        <v>43250</v>
      </c>
      <c r="D2712" s="34">
        <v>80.900000000000006</v>
      </c>
      <c r="E2712" s="115">
        <v>81.3</v>
      </c>
      <c r="F2712" s="34">
        <v>80.650000000000006</v>
      </c>
      <c r="G2712" s="34">
        <v>81.239999999999995</v>
      </c>
      <c r="H2712" s="34">
        <v>81.239999999999995</v>
      </c>
      <c r="I2712" s="29">
        <v>58148000</v>
      </c>
    </row>
    <row r="2713" spans="3:9">
      <c r="C2713" s="125">
        <v>43249</v>
      </c>
      <c r="D2713" s="34">
        <v>80.040000000000006</v>
      </c>
      <c r="E2713" s="115">
        <v>81.09</v>
      </c>
      <c r="F2713" s="34">
        <v>80.010000000000005</v>
      </c>
      <c r="G2713" s="34">
        <v>80.64</v>
      </c>
      <c r="H2713" s="34">
        <v>80.64</v>
      </c>
      <c r="I2713" s="29">
        <v>76930000</v>
      </c>
    </row>
    <row r="2714" spans="3:9">
      <c r="C2714" s="125">
        <v>43245</v>
      </c>
      <c r="D2714" s="34">
        <v>80.150000000000006</v>
      </c>
      <c r="E2714" s="115">
        <v>80.709999999999994</v>
      </c>
      <c r="F2714" s="34">
        <v>80.02</v>
      </c>
      <c r="G2714" s="34">
        <v>80.510000000000005</v>
      </c>
      <c r="H2714" s="34">
        <v>80.510000000000005</v>
      </c>
      <c r="I2714" s="29">
        <v>53968000</v>
      </c>
    </row>
    <row r="2715" spans="3:9">
      <c r="C2715" s="125">
        <v>43244</v>
      </c>
      <c r="D2715" s="34">
        <v>79.900000000000006</v>
      </c>
      <c r="E2715" s="115">
        <v>80.41</v>
      </c>
      <c r="F2715" s="34">
        <v>79.42</v>
      </c>
      <c r="G2715" s="34">
        <v>80.150000000000006</v>
      </c>
      <c r="H2715" s="34">
        <v>80.150000000000006</v>
      </c>
      <c r="I2715" s="29">
        <v>68600000</v>
      </c>
    </row>
    <row r="2716" spans="3:9">
      <c r="C2716" s="125">
        <v>43243</v>
      </c>
      <c r="D2716" s="34">
        <v>78.55</v>
      </c>
      <c r="E2716" s="115">
        <v>80.09</v>
      </c>
      <c r="F2716" s="34">
        <v>78.319999999999993</v>
      </c>
      <c r="G2716" s="34">
        <v>80.09</v>
      </c>
      <c r="H2716" s="34">
        <v>80.09</v>
      </c>
      <c r="I2716" s="29">
        <v>67238000</v>
      </c>
    </row>
    <row r="2717" spans="3:9">
      <c r="C2717" s="125">
        <v>43242</v>
      </c>
      <c r="D2717" s="34">
        <v>79.489999999999995</v>
      </c>
      <c r="E2717" s="115">
        <v>79.489999999999995</v>
      </c>
      <c r="F2717" s="34">
        <v>78.760000000000005</v>
      </c>
      <c r="G2717" s="34">
        <v>79.069999999999993</v>
      </c>
      <c r="H2717" s="34">
        <v>79.069999999999993</v>
      </c>
      <c r="I2717" s="29">
        <v>42312000</v>
      </c>
    </row>
    <row r="2718" spans="3:9">
      <c r="C2718" s="125">
        <v>43241</v>
      </c>
      <c r="D2718" s="34">
        <v>79.25</v>
      </c>
      <c r="E2718" s="115">
        <v>79.599999999999994</v>
      </c>
      <c r="F2718" s="34">
        <v>78.75</v>
      </c>
      <c r="G2718" s="34">
        <v>79.27</v>
      </c>
      <c r="H2718" s="34">
        <v>79.27</v>
      </c>
      <c r="I2718" s="29">
        <v>58504000</v>
      </c>
    </row>
    <row r="2719" spans="3:9">
      <c r="C2719" s="125">
        <v>43238</v>
      </c>
      <c r="D2719" s="34">
        <v>79.069999999999993</v>
      </c>
      <c r="E2719" s="115">
        <v>79.180000000000007</v>
      </c>
      <c r="F2719" s="34">
        <v>78.61</v>
      </c>
      <c r="G2719" s="34">
        <v>78.72</v>
      </c>
      <c r="H2719" s="34">
        <v>78.72</v>
      </c>
      <c r="I2719" s="29">
        <v>52852000</v>
      </c>
    </row>
    <row r="2720" spans="3:9">
      <c r="C2720" s="125">
        <v>43237</v>
      </c>
      <c r="D2720" s="34">
        <v>79.03</v>
      </c>
      <c r="E2720" s="115">
        <v>79.7</v>
      </c>
      <c r="F2720" s="34">
        <v>78.650000000000006</v>
      </c>
      <c r="G2720" s="34">
        <v>79.09</v>
      </c>
      <c r="H2720" s="34">
        <v>79.09</v>
      </c>
      <c r="I2720" s="29">
        <v>42952000</v>
      </c>
    </row>
    <row r="2721" spans="3:9">
      <c r="C2721" s="125">
        <v>43236</v>
      </c>
      <c r="D2721" s="34">
        <v>78.88</v>
      </c>
      <c r="E2721" s="115">
        <v>79.72</v>
      </c>
      <c r="F2721" s="34">
        <v>78.83</v>
      </c>
      <c r="G2721" s="34">
        <v>79.36</v>
      </c>
      <c r="H2721" s="34">
        <v>79.36</v>
      </c>
      <c r="I2721" s="29">
        <v>51412000</v>
      </c>
    </row>
    <row r="2722" spans="3:9">
      <c r="C2722" s="125">
        <v>43235</v>
      </c>
      <c r="D2722" s="34">
        <v>79.39</v>
      </c>
      <c r="E2722" s="115">
        <v>79.39</v>
      </c>
      <c r="F2722" s="34">
        <v>78.260000000000005</v>
      </c>
      <c r="G2722" s="34">
        <v>78.81</v>
      </c>
      <c r="H2722" s="34">
        <v>78.81</v>
      </c>
      <c r="I2722" s="29">
        <v>101550000</v>
      </c>
    </row>
    <row r="2723" spans="3:9">
      <c r="C2723" s="125">
        <v>43234</v>
      </c>
      <c r="D2723" s="34">
        <v>80.2</v>
      </c>
      <c r="E2723" s="115">
        <v>80.56</v>
      </c>
      <c r="F2723" s="34">
        <v>80</v>
      </c>
      <c r="G2723" s="34">
        <v>80.08</v>
      </c>
      <c r="H2723" s="34">
        <v>80.08</v>
      </c>
      <c r="I2723" s="29">
        <v>50190000</v>
      </c>
    </row>
    <row r="2724" spans="3:9">
      <c r="C2724" s="125">
        <v>43231</v>
      </c>
      <c r="D2724" s="34">
        <v>80.55</v>
      </c>
      <c r="E2724" s="115">
        <v>80.56</v>
      </c>
      <c r="F2724" s="34">
        <v>79.89</v>
      </c>
      <c r="G2724" s="34">
        <v>80.150000000000006</v>
      </c>
      <c r="H2724" s="34">
        <v>80.150000000000006</v>
      </c>
      <c r="I2724" s="29">
        <v>45278000</v>
      </c>
    </row>
    <row r="2725" spans="3:9">
      <c r="C2725" s="125">
        <v>43230</v>
      </c>
      <c r="D2725" s="34">
        <v>80.42</v>
      </c>
      <c r="E2725" s="115">
        <v>80.78</v>
      </c>
      <c r="F2725" s="34">
        <v>80.17</v>
      </c>
      <c r="G2725" s="34">
        <v>80.45</v>
      </c>
      <c r="H2725" s="34">
        <v>80.45</v>
      </c>
      <c r="I2725" s="29">
        <v>56350000</v>
      </c>
    </row>
    <row r="2726" spans="3:9">
      <c r="C2726" s="125">
        <v>43229</v>
      </c>
      <c r="D2726" s="34">
        <v>80</v>
      </c>
      <c r="E2726" s="115">
        <v>80.400000000000006</v>
      </c>
      <c r="F2726" s="34">
        <v>79.599999999999994</v>
      </c>
      <c r="G2726" s="34">
        <v>80.400000000000006</v>
      </c>
      <c r="H2726" s="34">
        <v>80.400000000000006</v>
      </c>
      <c r="I2726" s="29">
        <v>72746000</v>
      </c>
    </row>
    <row r="2727" spans="3:9">
      <c r="C2727" s="125">
        <v>43228</v>
      </c>
      <c r="D2727" s="34">
        <v>79.75</v>
      </c>
      <c r="E2727" s="115">
        <v>79.84</v>
      </c>
      <c r="F2727" s="34">
        <v>79.13</v>
      </c>
      <c r="G2727" s="34">
        <v>79.62</v>
      </c>
      <c r="H2727" s="34">
        <v>79.62</v>
      </c>
      <c r="I2727" s="29">
        <v>61358000</v>
      </c>
    </row>
    <row r="2728" spans="3:9">
      <c r="C2728" s="125">
        <v>43227</v>
      </c>
      <c r="D2728" s="34">
        <v>79.47</v>
      </c>
      <c r="E2728" s="115">
        <v>80.349999999999994</v>
      </c>
      <c r="F2728" s="34">
        <v>79.39</v>
      </c>
      <c r="G2728" s="34">
        <v>80.010000000000005</v>
      </c>
      <c r="H2728" s="34">
        <v>80.010000000000005</v>
      </c>
      <c r="I2728" s="29">
        <v>76038000</v>
      </c>
    </row>
    <row r="2729" spans="3:9">
      <c r="C2729" s="125">
        <v>43224</v>
      </c>
      <c r="D2729" s="34">
        <v>78.12</v>
      </c>
      <c r="E2729" s="115">
        <v>79.25</v>
      </c>
      <c r="F2729" s="34">
        <v>78.11</v>
      </c>
      <c r="G2729" s="34">
        <v>79.05</v>
      </c>
      <c r="H2729" s="34">
        <v>79.05</v>
      </c>
      <c r="I2729" s="29">
        <v>68872000</v>
      </c>
    </row>
    <row r="2730" spans="3:9">
      <c r="C2730" s="125">
        <v>43223</v>
      </c>
      <c r="D2730" s="34">
        <v>78</v>
      </c>
      <c r="E2730" s="115">
        <v>78.739999999999995</v>
      </c>
      <c r="F2730" s="34">
        <v>77.3</v>
      </c>
      <c r="G2730" s="34">
        <v>78.599999999999994</v>
      </c>
      <c r="H2730" s="34">
        <v>78.599999999999994</v>
      </c>
      <c r="I2730" s="29">
        <v>85038000</v>
      </c>
    </row>
    <row r="2731" spans="3:9">
      <c r="C2731" s="125">
        <v>43222</v>
      </c>
      <c r="D2731" s="34">
        <v>79.05</v>
      </c>
      <c r="E2731" s="115">
        <v>79.430000000000007</v>
      </c>
      <c r="F2731" s="34">
        <v>78.319999999999993</v>
      </c>
      <c r="G2731" s="34">
        <v>78.48</v>
      </c>
      <c r="H2731" s="34">
        <v>78.48</v>
      </c>
      <c r="I2731" s="29">
        <v>87206000</v>
      </c>
    </row>
    <row r="2732" spans="3:9">
      <c r="C2732" s="125">
        <v>43221</v>
      </c>
      <c r="D2732" s="34">
        <v>78.16</v>
      </c>
      <c r="E2732" s="115">
        <v>79.25</v>
      </c>
      <c r="F2732" s="34">
        <v>77.61</v>
      </c>
      <c r="G2732" s="34">
        <v>79.11</v>
      </c>
      <c r="H2732" s="34">
        <v>79.11</v>
      </c>
      <c r="I2732" s="29">
        <v>91442000</v>
      </c>
    </row>
    <row r="2733" spans="3:9">
      <c r="C2733" s="125">
        <v>43220</v>
      </c>
      <c r="D2733" s="34">
        <v>79.13</v>
      </c>
      <c r="E2733" s="115">
        <v>79.8</v>
      </c>
      <c r="F2733" s="34">
        <v>78.05</v>
      </c>
      <c r="G2733" s="34">
        <v>78.31</v>
      </c>
      <c r="H2733" s="34">
        <v>78.31</v>
      </c>
      <c r="I2733" s="29">
        <v>109282000</v>
      </c>
    </row>
    <row r="2734" spans="3:9">
      <c r="C2734" s="125">
        <v>43217</v>
      </c>
      <c r="D2734" s="34">
        <v>81.7</v>
      </c>
      <c r="E2734" s="115">
        <v>81.900000000000006</v>
      </c>
      <c r="F2734" s="34">
        <v>78.37</v>
      </c>
      <c r="G2734" s="34">
        <v>78.63</v>
      </c>
      <c r="H2734" s="34">
        <v>78.63</v>
      </c>
      <c r="I2734" s="29">
        <v>261064000</v>
      </c>
    </row>
    <row r="2735" spans="3:9">
      <c r="C2735" s="125">
        <v>43216</v>
      </c>
      <c r="D2735" s="34">
        <v>74.25</v>
      </c>
      <c r="E2735" s="115">
        <v>76.47</v>
      </c>
      <c r="F2735" s="34">
        <v>73.930000000000007</v>
      </c>
      <c r="G2735" s="34">
        <v>75.900000000000006</v>
      </c>
      <c r="H2735" s="34">
        <v>75.900000000000006</v>
      </c>
      <c r="I2735" s="29">
        <v>176022000</v>
      </c>
    </row>
    <row r="2736" spans="3:9">
      <c r="C2736" s="125">
        <v>43215</v>
      </c>
      <c r="D2736" s="34">
        <v>72.900000000000006</v>
      </c>
      <c r="E2736" s="115">
        <v>73.5</v>
      </c>
      <c r="F2736" s="34">
        <v>70.75</v>
      </c>
      <c r="G2736" s="34">
        <v>73.010000000000005</v>
      </c>
      <c r="H2736" s="34">
        <v>73.010000000000005</v>
      </c>
      <c r="I2736" s="29">
        <v>131746000</v>
      </c>
    </row>
    <row r="2737" spans="3:9">
      <c r="C2737" s="125">
        <v>43214</v>
      </c>
      <c r="D2737" s="34">
        <v>76.790000000000006</v>
      </c>
      <c r="E2737" s="115">
        <v>76.97</v>
      </c>
      <c r="F2737" s="34">
        <v>72.42</v>
      </c>
      <c r="G2737" s="34">
        <v>73</v>
      </c>
      <c r="H2737" s="34">
        <v>73</v>
      </c>
      <c r="I2737" s="29">
        <v>149894000</v>
      </c>
    </row>
    <row r="2738" spans="3:9">
      <c r="C2738" s="125">
        <v>43213</v>
      </c>
      <c r="D2738" s="34">
        <v>77.33</v>
      </c>
      <c r="E2738" s="115">
        <v>77.400000000000006</v>
      </c>
      <c r="F2738" s="34">
        <v>75.17</v>
      </c>
      <c r="G2738" s="34">
        <v>75.89</v>
      </c>
      <c r="H2738" s="34">
        <v>75.89</v>
      </c>
      <c r="I2738" s="29">
        <v>89308000</v>
      </c>
    </row>
    <row r="2739" spans="3:9">
      <c r="C2739" s="125">
        <v>43210</v>
      </c>
      <c r="D2739" s="34">
        <v>78.06</v>
      </c>
      <c r="E2739" s="115">
        <v>78.06</v>
      </c>
      <c r="F2739" s="34">
        <v>75.8</v>
      </c>
      <c r="G2739" s="34">
        <v>76.37</v>
      </c>
      <c r="H2739" s="34">
        <v>76.37</v>
      </c>
      <c r="I2739" s="29">
        <v>110832000</v>
      </c>
    </row>
    <row r="2740" spans="3:9">
      <c r="C2740" s="125">
        <v>43209</v>
      </c>
      <c r="D2740" s="34">
        <v>77.16</v>
      </c>
      <c r="E2740" s="115">
        <v>78.430000000000007</v>
      </c>
      <c r="F2740" s="34">
        <v>76.95</v>
      </c>
      <c r="G2740" s="34">
        <v>77.849999999999994</v>
      </c>
      <c r="H2740" s="34">
        <v>77.849999999999994</v>
      </c>
      <c r="I2740" s="29">
        <v>130474000</v>
      </c>
    </row>
    <row r="2741" spans="3:9">
      <c r="C2741" s="125">
        <v>43208</v>
      </c>
      <c r="D2741" s="34">
        <v>75.73</v>
      </c>
      <c r="E2741" s="115">
        <v>76.69</v>
      </c>
      <c r="F2741" s="34">
        <v>75.209999999999994</v>
      </c>
      <c r="G2741" s="34">
        <v>76.39</v>
      </c>
      <c r="H2741" s="34">
        <v>76.39</v>
      </c>
      <c r="I2741" s="29">
        <v>104550000</v>
      </c>
    </row>
    <row r="2742" spans="3:9">
      <c r="C2742" s="125">
        <v>43207</v>
      </c>
      <c r="D2742" s="34">
        <v>73.11</v>
      </c>
      <c r="E2742" s="115">
        <v>75.36</v>
      </c>
      <c r="F2742" s="34">
        <v>72.849999999999994</v>
      </c>
      <c r="G2742" s="34">
        <v>75.19</v>
      </c>
      <c r="H2742" s="34">
        <v>75.19</v>
      </c>
      <c r="I2742" s="29">
        <v>102288000</v>
      </c>
    </row>
    <row r="2743" spans="3:9">
      <c r="C2743" s="125">
        <v>43206</v>
      </c>
      <c r="D2743" s="34">
        <v>72.25</v>
      </c>
      <c r="E2743" s="115">
        <v>72.349999999999994</v>
      </c>
      <c r="F2743" s="34">
        <v>71.37</v>
      </c>
      <c r="G2743" s="34">
        <v>72.069999999999993</v>
      </c>
      <c r="H2743" s="34">
        <v>72.069999999999993</v>
      </c>
      <c r="I2743" s="29">
        <v>56172000</v>
      </c>
    </row>
    <row r="2744" spans="3:9">
      <c r="C2744" s="125">
        <v>43203</v>
      </c>
      <c r="D2744" s="34">
        <v>72.459999999999994</v>
      </c>
      <c r="E2744" s="115">
        <v>72.989999999999995</v>
      </c>
      <c r="F2744" s="34">
        <v>71.23</v>
      </c>
      <c r="G2744" s="34">
        <v>71.540000000000006</v>
      </c>
      <c r="H2744" s="34">
        <v>71.540000000000006</v>
      </c>
      <c r="I2744" s="29">
        <v>73706000</v>
      </c>
    </row>
    <row r="2745" spans="3:9">
      <c r="C2745" s="125">
        <v>43202</v>
      </c>
      <c r="D2745" s="34">
        <v>71.97</v>
      </c>
      <c r="E2745" s="115">
        <v>72.61</v>
      </c>
      <c r="F2745" s="34">
        <v>71.75</v>
      </c>
      <c r="G2745" s="34">
        <v>72.430000000000007</v>
      </c>
      <c r="H2745" s="34">
        <v>72.430000000000007</v>
      </c>
      <c r="I2745" s="29">
        <v>62700000</v>
      </c>
    </row>
    <row r="2746" spans="3:9">
      <c r="C2746" s="125">
        <v>43201</v>
      </c>
      <c r="D2746" s="34">
        <v>71.97</v>
      </c>
      <c r="E2746" s="115">
        <v>72.44</v>
      </c>
      <c r="F2746" s="34">
        <v>71.239999999999995</v>
      </c>
      <c r="G2746" s="34">
        <v>71.349999999999994</v>
      </c>
      <c r="H2746" s="34">
        <v>71.349999999999994</v>
      </c>
      <c r="I2746" s="29">
        <v>71650000</v>
      </c>
    </row>
    <row r="2747" spans="3:9">
      <c r="C2747" s="125">
        <v>43200</v>
      </c>
      <c r="D2747" s="34">
        <v>71.599999999999994</v>
      </c>
      <c r="E2747" s="115">
        <v>71.92</v>
      </c>
      <c r="F2747" s="34">
        <v>70.790000000000006</v>
      </c>
      <c r="G2747" s="34">
        <v>71.81</v>
      </c>
      <c r="H2747" s="34">
        <v>71.81</v>
      </c>
      <c r="I2747" s="29">
        <v>85082000</v>
      </c>
    </row>
    <row r="2748" spans="3:9">
      <c r="C2748" s="125">
        <v>43199</v>
      </c>
      <c r="D2748" s="34">
        <v>71.25</v>
      </c>
      <c r="E2748" s="115">
        <v>71.92</v>
      </c>
      <c r="F2748" s="34">
        <v>70.13</v>
      </c>
      <c r="G2748" s="34">
        <v>70.3</v>
      </c>
      <c r="H2748" s="34">
        <v>70.3</v>
      </c>
      <c r="I2748" s="29">
        <v>84164000</v>
      </c>
    </row>
    <row r="2749" spans="3:9">
      <c r="C2749" s="125">
        <v>43196</v>
      </c>
      <c r="D2749" s="34">
        <v>71.5</v>
      </c>
      <c r="E2749" s="115">
        <v>72.63</v>
      </c>
      <c r="F2749" s="34">
        <v>70.010000000000005</v>
      </c>
      <c r="G2749" s="34">
        <v>70.260000000000005</v>
      </c>
      <c r="H2749" s="34">
        <v>70.260000000000005</v>
      </c>
      <c r="I2749" s="29">
        <v>117646000</v>
      </c>
    </row>
    <row r="2750" spans="3:9">
      <c r="C2750" s="125">
        <v>43195</v>
      </c>
      <c r="D2750" s="34">
        <v>72.099999999999994</v>
      </c>
      <c r="E2750" s="115">
        <v>72.98</v>
      </c>
      <c r="F2750" s="34">
        <v>71.349999999999994</v>
      </c>
      <c r="G2750" s="34">
        <v>72.59</v>
      </c>
      <c r="H2750" s="34">
        <v>72.59</v>
      </c>
      <c r="I2750" s="29">
        <v>128270000</v>
      </c>
    </row>
    <row r="2751" spans="3:9">
      <c r="C2751" s="125">
        <v>43194</v>
      </c>
      <c r="D2751" s="34">
        <v>67.91</v>
      </c>
      <c r="E2751" s="115">
        <v>70.77</v>
      </c>
      <c r="F2751" s="34">
        <v>67.64</v>
      </c>
      <c r="G2751" s="34">
        <v>70.53</v>
      </c>
      <c r="H2751" s="34">
        <v>70.53</v>
      </c>
      <c r="I2751" s="29">
        <v>139646000</v>
      </c>
    </row>
    <row r="2752" spans="3:9">
      <c r="C2752" s="125">
        <v>43193</v>
      </c>
      <c r="D2752" s="34">
        <v>69.569999999999993</v>
      </c>
      <c r="E2752" s="115">
        <v>70.7</v>
      </c>
      <c r="F2752" s="34">
        <v>67.77</v>
      </c>
      <c r="G2752" s="34">
        <v>69.599999999999994</v>
      </c>
      <c r="H2752" s="34">
        <v>69.599999999999994</v>
      </c>
      <c r="I2752" s="29">
        <v>204624000</v>
      </c>
    </row>
    <row r="2753" spans="3:9">
      <c r="C2753" s="125">
        <v>43192</v>
      </c>
      <c r="D2753" s="34">
        <v>70.88</v>
      </c>
      <c r="E2753" s="115">
        <v>71.069999999999993</v>
      </c>
      <c r="F2753" s="34">
        <v>67.75</v>
      </c>
      <c r="G2753" s="34">
        <v>68.599999999999994</v>
      </c>
      <c r="H2753" s="34">
        <v>68.599999999999994</v>
      </c>
      <c r="I2753" s="29">
        <v>209272000</v>
      </c>
    </row>
    <row r="2754" spans="3:9">
      <c r="C2754" s="125">
        <v>43188</v>
      </c>
      <c r="D2754" s="34">
        <v>70.3</v>
      </c>
      <c r="E2754" s="115">
        <v>72.77</v>
      </c>
      <c r="F2754" s="34">
        <v>68.260000000000005</v>
      </c>
      <c r="G2754" s="34">
        <v>72.37</v>
      </c>
      <c r="H2754" s="34">
        <v>72.37</v>
      </c>
      <c r="I2754" s="29">
        <v>251622000</v>
      </c>
    </row>
    <row r="2755" spans="3:9">
      <c r="C2755" s="125">
        <v>43187</v>
      </c>
      <c r="D2755" s="34">
        <v>72.349999999999994</v>
      </c>
      <c r="E2755" s="115">
        <v>72.790000000000006</v>
      </c>
      <c r="F2755" s="34">
        <v>69.31</v>
      </c>
      <c r="G2755" s="34">
        <v>71.569999999999993</v>
      </c>
      <c r="H2755" s="34">
        <v>71.569999999999993</v>
      </c>
      <c r="I2755" s="29">
        <v>274106000</v>
      </c>
    </row>
    <row r="2756" spans="3:9">
      <c r="C2756" s="125">
        <v>43186</v>
      </c>
      <c r="D2756" s="34">
        <v>78.62</v>
      </c>
      <c r="E2756" s="115">
        <v>78.8</v>
      </c>
      <c r="F2756" s="34">
        <v>74.12</v>
      </c>
      <c r="G2756" s="34">
        <v>74.849999999999994</v>
      </c>
      <c r="H2756" s="34">
        <v>74.849999999999994</v>
      </c>
      <c r="I2756" s="29">
        <v>139992000</v>
      </c>
    </row>
    <row r="2757" spans="3:9">
      <c r="C2757" s="125">
        <v>43185</v>
      </c>
      <c r="D2757" s="34">
        <v>76.5</v>
      </c>
      <c r="E2757" s="115">
        <v>77.849999999999994</v>
      </c>
      <c r="F2757" s="34">
        <v>74.959999999999994</v>
      </c>
      <c r="G2757" s="34">
        <v>77.790000000000006</v>
      </c>
      <c r="H2757" s="34">
        <v>77.790000000000006</v>
      </c>
      <c r="I2757" s="29">
        <v>112494000</v>
      </c>
    </row>
    <row r="2758" spans="3:9">
      <c r="C2758" s="125">
        <v>43182</v>
      </c>
      <c r="D2758" s="34">
        <v>76.95</v>
      </c>
      <c r="E2758" s="115">
        <v>77.45</v>
      </c>
      <c r="F2758" s="34">
        <v>74.77</v>
      </c>
      <c r="G2758" s="34">
        <v>74.78</v>
      </c>
      <c r="H2758" s="34">
        <v>74.78</v>
      </c>
      <c r="I2758" s="29">
        <v>160120000</v>
      </c>
    </row>
    <row r="2759" spans="3:9">
      <c r="C2759" s="125">
        <v>43181</v>
      </c>
      <c r="D2759" s="34">
        <v>78.27</v>
      </c>
      <c r="E2759" s="115">
        <v>78.69</v>
      </c>
      <c r="F2759" s="34">
        <v>77.12</v>
      </c>
      <c r="G2759" s="34">
        <v>77.25</v>
      </c>
      <c r="H2759" s="34">
        <v>77.25</v>
      </c>
      <c r="I2759" s="29">
        <v>126412000</v>
      </c>
    </row>
    <row r="2760" spans="3:9">
      <c r="C2760" s="125">
        <v>43180</v>
      </c>
      <c r="D2760" s="34">
        <v>79.319999999999993</v>
      </c>
      <c r="E2760" s="115">
        <v>79.5</v>
      </c>
      <c r="F2760" s="34">
        <v>78.16</v>
      </c>
      <c r="G2760" s="34">
        <v>79.09</v>
      </c>
      <c r="H2760" s="34">
        <v>79.09</v>
      </c>
      <c r="I2760" s="29">
        <v>95016000</v>
      </c>
    </row>
    <row r="2761" spans="3:9">
      <c r="C2761" s="125">
        <v>43179</v>
      </c>
      <c r="D2761" s="34">
        <v>77.52</v>
      </c>
      <c r="E2761" s="115">
        <v>79.349999999999994</v>
      </c>
      <c r="F2761" s="34">
        <v>77.27</v>
      </c>
      <c r="G2761" s="34">
        <v>79.33</v>
      </c>
      <c r="H2761" s="34">
        <v>79.33</v>
      </c>
      <c r="I2761" s="29">
        <v>91632000</v>
      </c>
    </row>
    <row r="2762" spans="3:9">
      <c r="C2762" s="125">
        <v>43178</v>
      </c>
      <c r="D2762" s="34">
        <v>77.73</v>
      </c>
      <c r="E2762" s="115">
        <v>78.08</v>
      </c>
      <c r="F2762" s="34">
        <v>76.27</v>
      </c>
      <c r="G2762" s="34">
        <v>77.25</v>
      </c>
      <c r="H2762" s="34">
        <v>77.25</v>
      </c>
      <c r="I2762" s="29">
        <v>131616000</v>
      </c>
    </row>
    <row r="2763" spans="3:9">
      <c r="C2763" s="125">
        <v>43175</v>
      </c>
      <c r="D2763" s="34">
        <v>79.17</v>
      </c>
      <c r="E2763" s="115">
        <v>79.47</v>
      </c>
      <c r="F2763" s="34">
        <v>78.38</v>
      </c>
      <c r="G2763" s="34">
        <v>78.58</v>
      </c>
      <c r="H2763" s="34">
        <v>78.58</v>
      </c>
      <c r="I2763" s="29">
        <v>108500000</v>
      </c>
    </row>
    <row r="2764" spans="3:9">
      <c r="C2764" s="125">
        <v>43174</v>
      </c>
      <c r="D2764" s="34">
        <v>79.75</v>
      </c>
      <c r="E2764" s="115">
        <v>79.849999999999994</v>
      </c>
      <c r="F2764" s="34">
        <v>78.91</v>
      </c>
      <c r="G2764" s="34">
        <v>79.12</v>
      </c>
      <c r="H2764" s="34">
        <v>79.12</v>
      </c>
      <c r="I2764" s="29">
        <v>81394000</v>
      </c>
    </row>
    <row r="2765" spans="3:9">
      <c r="C2765" s="125">
        <v>43173</v>
      </c>
      <c r="D2765" s="34">
        <v>79.849999999999994</v>
      </c>
      <c r="E2765" s="115">
        <v>80.319999999999993</v>
      </c>
      <c r="F2765" s="34">
        <v>79.540000000000006</v>
      </c>
      <c r="G2765" s="34">
        <v>79.55</v>
      </c>
      <c r="H2765" s="34">
        <v>79.55</v>
      </c>
      <c r="I2765" s="29">
        <v>85188000</v>
      </c>
    </row>
    <row r="2766" spans="3:9">
      <c r="C2766" s="125">
        <v>43172</v>
      </c>
      <c r="D2766" s="34">
        <v>80.8</v>
      </c>
      <c r="E2766" s="115">
        <v>80.88</v>
      </c>
      <c r="F2766" s="34">
        <v>78.900000000000006</v>
      </c>
      <c r="G2766" s="34">
        <v>79.41</v>
      </c>
      <c r="H2766" s="34">
        <v>79.41</v>
      </c>
      <c r="I2766" s="29">
        <v>130638000</v>
      </c>
    </row>
    <row r="2767" spans="3:9">
      <c r="C2767" s="125">
        <v>43171</v>
      </c>
      <c r="D2767" s="34">
        <v>79.63</v>
      </c>
      <c r="E2767" s="115">
        <v>80.27</v>
      </c>
      <c r="F2767" s="34">
        <v>79.33</v>
      </c>
      <c r="G2767" s="34">
        <v>79.92</v>
      </c>
      <c r="H2767" s="34">
        <v>79.92</v>
      </c>
      <c r="I2767" s="29">
        <v>103484000</v>
      </c>
    </row>
    <row r="2768" spans="3:9">
      <c r="C2768" s="125">
        <v>43168</v>
      </c>
      <c r="D2768" s="34">
        <v>78.180000000000007</v>
      </c>
      <c r="E2768" s="115">
        <v>78.95</v>
      </c>
      <c r="F2768" s="34">
        <v>77.95</v>
      </c>
      <c r="G2768" s="34">
        <v>78.94</v>
      </c>
      <c r="H2768" s="34">
        <v>78.94</v>
      </c>
      <c r="I2768" s="29">
        <v>90686000</v>
      </c>
    </row>
    <row r="2769" spans="3:9">
      <c r="C2769" s="125">
        <v>43167</v>
      </c>
      <c r="D2769" s="34">
        <v>77.5</v>
      </c>
      <c r="E2769" s="115">
        <v>77.739999999999995</v>
      </c>
      <c r="F2769" s="34">
        <v>77.260000000000005</v>
      </c>
      <c r="G2769" s="34">
        <v>77.59</v>
      </c>
      <c r="H2769" s="34">
        <v>77.59</v>
      </c>
      <c r="I2769" s="29">
        <v>77252000</v>
      </c>
    </row>
    <row r="2770" spans="3:9">
      <c r="C2770" s="125">
        <v>43166</v>
      </c>
      <c r="D2770" s="34">
        <v>76.33</v>
      </c>
      <c r="E2770" s="115">
        <v>77.290000000000006</v>
      </c>
      <c r="F2770" s="34">
        <v>76.13</v>
      </c>
      <c r="G2770" s="34">
        <v>77.25</v>
      </c>
      <c r="H2770" s="34">
        <v>77.25</v>
      </c>
      <c r="I2770" s="29">
        <v>83482000</v>
      </c>
    </row>
    <row r="2771" spans="3:9">
      <c r="C2771" s="125">
        <v>43165</v>
      </c>
      <c r="D2771" s="34">
        <v>76.66</v>
      </c>
      <c r="E2771" s="115">
        <v>77.11</v>
      </c>
      <c r="F2771" s="34">
        <v>76.400000000000006</v>
      </c>
      <c r="G2771" s="34">
        <v>76.88</v>
      </c>
      <c r="H2771" s="34">
        <v>76.88</v>
      </c>
      <c r="I2771" s="29">
        <v>91234000</v>
      </c>
    </row>
    <row r="2772" spans="3:9">
      <c r="C2772" s="125">
        <v>43164</v>
      </c>
      <c r="D2772" s="34">
        <v>74.709999999999994</v>
      </c>
      <c r="E2772" s="115">
        <v>76.27</v>
      </c>
      <c r="F2772" s="34">
        <v>74.05</v>
      </c>
      <c r="G2772" s="34">
        <v>76.180000000000007</v>
      </c>
      <c r="H2772" s="34">
        <v>76.180000000000007</v>
      </c>
      <c r="I2772" s="29">
        <v>104678000</v>
      </c>
    </row>
    <row r="2773" spans="3:9">
      <c r="C2773" s="125">
        <v>43161</v>
      </c>
      <c r="D2773" s="34">
        <v>73.459999999999994</v>
      </c>
      <c r="E2773" s="115">
        <v>75.05</v>
      </c>
      <c r="F2773" s="34">
        <v>72.75</v>
      </c>
      <c r="G2773" s="34">
        <v>75.010000000000005</v>
      </c>
      <c r="H2773" s="34">
        <v>75.010000000000005</v>
      </c>
      <c r="I2773" s="29">
        <v>131752000</v>
      </c>
    </row>
    <row r="2774" spans="3:9">
      <c r="C2774" s="125">
        <v>43160</v>
      </c>
      <c r="D2774" s="34">
        <v>75.680000000000007</v>
      </c>
      <c r="E2774" s="115">
        <v>75.92</v>
      </c>
      <c r="F2774" s="34">
        <v>73.25</v>
      </c>
      <c r="G2774" s="34">
        <v>74.67</v>
      </c>
      <c r="H2774" s="34">
        <v>74.67</v>
      </c>
      <c r="I2774" s="29">
        <v>136704000</v>
      </c>
    </row>
    <row r="2775" spans="3:9">
      <c r="C2775" s="125">
        <v>43159</v>
      </c>
      <c r="D2775" s="34">
        <v>75.98</v>
      </c>
      <c r="E2775" s="115">
        <v>76.430000000000007</v>
      </c>
      <c r="F2775" s="34">
        <v>75.599999999999994</v>
      </c>
      <c r="G2775" s="34">
        <v>75.62</v>
      </c>
      <c r="H2775" s="34">
        <v>75.62</v>
      </c>
      <c r="I2775" s="29">
        <v>90300000</v>
      </c>
    </row>
    <row r="2776" spans="3:9">
      <c r="C2776" s="125">
        <v>43158</v>
      </c>
      <c r="D2776" s="34">
        <v>76.22</v>
      </c>
      <c r="E2776" s="115">
        <v>76.34</v>
      </c>
      <c r="F2776" s="34">
        <v>75.36</v>
      </c>
      <c r="G2776" s="34">
        <v>75.599999999999994</v>
      </c>
      <c r="H2776" s="34">
        <v>75.599999999999994</v>
      </c>
      <c r="I2776" s="29">
        <v>96176000</v>
      </c>
    </row>
    <row r="2777" spans="3:9">
      <c r="C2777" s="125">
        <v>43157</v>
      </c>
      <c r="D2777" s="34">
        <v>75.459999999999994</v>
      </c>
      <c r="E2777" s="115">
        <v>76.14</v>
      </c>
      <c r="F2777" s="34">
        <v>75.349999999999994</v>
      </c>
      <c r="G2777" s="34">
        <v>76.099999999999994</v>
      </c>
      <c r="H2777" s="34">
        <v>76.099999999999994</v>
      </c>
      <c r="I2777" s="29">
        <v>99100000</v>
      </c>
    </row>
    <row r="2778" spans="3:9">
      <c r="C2778" s="125">
        <v>43154</v>
      </c>
      <c r="D2778" s="34">
        <v>74.77</v>
      </c>
      <c r="E2778" s="115">
        <v>75</v>
      </c>
      <c r="F2778" s="34">
        <v>74.319999999999993</v>
      </c>
      <c r="G2778" s="34">
        <v>75</v>
      </c>
      <c r="H2778" s="34">
        <v>75</v>
      </c>
      <c r="I2778" s="29">
        <v>88362000</v>
      </c>
    </row>
    <row r="2779" spans="3:9">
      <c r="C2779" s="125">
        <v>43153</v>
      </c>
      <c r="D2779" s="34">
        <v>74.77</v>
      </c>
      <c r="E2779" s="115">
        <v>75.13</v>
      </c>
      <c r="F2779" s="34">
        <v>73.790000000000006</v>
      </c>
      <c r="G2779" s="34">
        <v>74.27</v>
      </c>
      <c r="H2779" s="34">
        <v>74.27</v>
      </c>
      <c r="I2779" s="29">
        <v>97162000</v>
      </c>
    </row>
    <row r="2780" spans="3:9">
      <c r="C2780" s="125">
        <v>43152</v>
      </c>
      <c r="D2780" s="34">
        <v>74.25</v>
      </c>
      <c r="E2780" s="115">
        <v>75.17</v>
      </c>
      <c r="F2780" s="34">
        <v>73.95</v>
      </c>
      <c r="G2780" s="34">
        <v>74.150000000000006</v>
      </c>
      <c r="H2780" s="34">
        <v>74.150000000000006</v>
      </c>
      <c r="I2780" s="29">
        <v>126088000</v>
      </c>
    </row>
    <row r="2781" spans="3:9">
      <c r="C2781" s="125">
        <v>43151</v>
      </c>
      <c r="D2781" s="34">
        <v>72.319999999999993</v>
      </c>
      <c r="E2781" s="115">
        <v>74.44</v>
      </c>
      <c r="F2781" s="34">
        <v>72.319999999999993</v>
      </c>
      <c r="G2781" s="34">
        <v>73.42</v>
      </c>
      <c r="H2781" s="34">
        <v>73.42</v>
      </c>
      <c r="I2781" s="29">
        <v>129984000</v>
      </c>
    </row>
    <row r="2782" spans="3:9">
      <c r="C2782" s="125">
        <v>43147</v>
      </c>
      <c r="D2782" s="34">
        <v>72.87</v>
      </c>
      <c r="E2782" s="115">
        <v>73.290000000000006</v>
      </c>
      <c r="F2782" s="34">
        <v>72.33</v>
      </c>
      <c r="G2782" s="34">
        <v>72.430000000000007</v>
      </c>
      <c r="H2782" s="34">
        <v>72.430000000000007</v>
      </c>
      <c r="I2782" s="29">
        <v>89452000</v>
      </c>
    </row>
    <row r="2783" spans="3:9">
      <c r="C2783" s="125">
        <v>43146</v>
      </c>
      <c r="D2783" s="34">
        <v>73.34</v>
      </c>
      <c r="E2783" s="115">
        <v>73.45</v>
      </c>
      <c r="F2783" s="34">
        <v>71.84</v>
      </c>
      <c r="G2783" s="34">
        <v>73.09</v>
      </c>
      <c r="H2783" s="34">
        <v>73.09</v>
      </c>
      <c r="I2783" s="29">
        <v>113054000</v>
      </c>
    </row>
    <row r="2784" spans="3:9">
      <c r="C2784" s="125">
        <v>43145</v>
      </c>
      <c r="D2784" s="34">
        <v>70.31</v>
      </c>
      <c r="E2784" s="115">
        <v>72.599999999999994</v>
      </c>
      <c r="F2784" s="34">
        <v>70.17</v>
      </c>
      <c r="G2784" s="34">
        <v>72.55</v>
      </c>
      <c r="H2784" s="34">
        <v>72.55</v>
      </c>
      <c r="I2784" s="29">
        <v>119184000</v>
      </c>
    </row>
    <row r="2785" spans="3:9">
      <c r="C2785" s="125">
        <v>43144</v>
      </c>
      <c r="D2785" s="34">
        <v>69.3</v>
      </c>
      <c r="E2785" s="115">
        <v>70.989999999999995</v>
      </c>
      <c r="F2785" s="34">
        <v>69.180000000000007</v>
      </c>
      <c r="G2785" s="34">
        <v>70.73</v>
      </c>
      <c r="H2785" s="34">
        <v>70.73</v>
      </c>
      <c r="I2785" s="29">
        <v>118358000</v>
      </c>
    </row>
    <row r="2786" spans="3:9">
      <c r="C2786" s="125">
        <v>43143</v>
      </c>
      <c r="D2786" s="34">
        <v>68.23</v>
      </c>
      <c r="E2786" s="115">
        <v>69.69</v>
      </c>
      <c r="F2786" s="34">
        <v>67.2</v>
      </c>
      <c r="G2786" s="34">
        <v>69.31</v>
      </c>
      <c r="H2786" s="34">
        <v>69.31</v>
      </c>
      <c r="I2786" s="29">
        <v>134778000</v>
      </c>
    </row>
    <row r="2787" spans="3:9">
      <c r="C2787" s="125">
        <v>43140</v>
      </c>
      <c r="D2787" s="34">
        <v>68.67</v>
      </c>
      <c r="E2787" s="115">
        <v>69.180000000000007</v>
      </c>
      <c r="F2787" s="34">
        <v>63.3</v>
      </c>
      <c r="G2787" s="34">
        <v>66.98</v>
      </c>
      <c r="H2787" s="34">
        <v>66.98</v>
      </c>
      <c r="I2787" s="29">
        <v>282830000</v>
      </c>
    </row>
    <row r="2788" spans="3:9">
      <c r="C2788" s="125">
        <v>43139</v>
      </c>
      <c r="D2788" s="34">
        <v>71.48</v>
      </c>
      <c r="E2788" s="115">
        <v>71.69</v>
      </c>
      <c r="F2788" s="34">
        <v>67.5</v>
      </c>
      <c r="G2788" s="34">
        <v>67.53</v>
      </c>
      <c r="H2788" s="34">
        <v>67.53</v>
      </c>
      <c r="I2788" s="29">
        <v>171572000</v>
      </c>
    </row>
    <row r="2789" spans="3:9">
      <c r="C2789" s="125">
        <v>43138</v>
      </c>
      <c r="D2789" s="34">
        <v>72.45</v>
      </c>
      <c r="E2789" s="115">
        <v>73.05</v>
      </c>
      <c r="F2789" s="34">
        <v>70.760000000000005</v>
      </c>
      <c r="G2789" s="34">
        <v>70.84</v>
      </c>
      <c r="H2789" s="34">
        <v>70.84</v>
      </c>
      <c r="I2789" s="29">
        <v>143254000</v>
      </c>
    </row>
    <row r="2790" spans="3:9">
      <c r="C2790" s="125">
        <v>43137</v>
      </c>
      <c r="D2790" s="34">
        <v>68.069999999999993</v>
      </c>
      <c r="E2790" s="115">
        <v>72.2</v>
      </c>
      <c r="F2790" s="34">
        <v>67.59</v>
      </c>
      <c r="G2790" s="34">
        <v>72.14</v>
      </c>
      <c r="H2790" s="34">
        <v>72.14</v>
      </c>
      <c r="I2790" s="29">
        <v>221336000</v>
      </c>
    </row>
    <row r="2791" spans="3:9">
      <c r="C2791" s="125">
        <v>43136</v>
      </c>
      <c r="D2791" s="34">
        <v>70.13</v>
      </c>
      <c r="E2791" s="115">
        <v>72.95</v>
      </c>
      <c r="F2791" s="34">
        <v>66.040000000000006</v>
      </c>
      <c r="G2791" s="34">
        <v>69.5</v>
      </c>
      <c r="H2791" s="34">
        <v>69.5</v>
      </c>
      <c r="I2791" s="29">
        <v>229900000</v>
      </c>
    </row>
    <row r="2792" spans="3:9">
      <c r="C2792" s="125">
        <v>43133</v>
      </c>
      <c r="D2792" s="34">
        <v>73.87</v>
      </c>
      <c r="E2792" s="115">
        <v>74.900000000000006</v>
      </c>
      <c r="F2792" s="34">
        <v>70.7</v>
      </c>
      <c r="G2792" s="34">
        <v>71.5</v>
      </c>
      <c r="H2792" s="34">
        <v>71.5</v>
      </c>
      <c r="I2792" s="29">
        <v>222514000</v>
      </c>
    </row>
    <row r="2793" spans="3:9">
      <c r="C2793" s="125">
        <v>43132</v>
      </c>
      <c r="D2793" s="34">
        <v>72.25</v>
      </c>
      <c r="E2793" s="115">
        <v>72.989999999999995</v>
      </c>
      <c r="F2793" s="34">
        <v>69.260000000000005</v>
      </c>
      <c r="G2793" s="34">
        <v>69.5</v>
      </c>
      <c r="H2793" s="34">
        <v>69.5</v>
      </c>
      <c r="I2793" s="29">
        <v>182276000</v>
      </c>
    </row>
    <row r="2794" spans="3:9">
      <c r="C2794" s="125">
        <v>43131</v>
      </c>
      <c r="D2794" s="34">
        <v>72.569999999999993</v>
      </c>
      <c r="E2794" s="115">
        <v>73.63</v>
      </c>
      <c r="F2794" s="34">
        <v>72.5</v>
      </c>
      <c r="G2794" s="34">
        <v>72.540000000000006</v>
      </c>
      <c r="H2794" s="34">
        <v>72.540000000000006</v>
      </c>
      <c r="I2794" s="29">
        <v>128494000</v>
      </c>
    </row>
    <row r="2795" spans="3:9">
      <c r="C2795" s="125">
        <v>43130</v>
      </c>
      <c r="D2795" s="34">
        <v>70.16</v>
      </c>
      <c r="E2795" s="115">
        <v>71.959999999999994</v>
      </c>
      <c r="F2795" s="34">
        <v>69.599999999999994</v>
      </c>
      <c r="G2795" s="34">
        <v>71.89</v>
      </c>
      <c r="H2795" s="34">
        <v>71.89</v>
      </c>
      <c r="I2795" s="29">
        <v>117438000</v>
      </c>
    </row>
    <row r="2796" spans="3:9">
      <c r="C2796" s="125">
        <v>43129</v>
      </c>
      <c r="D2796" s="34">
        <v>70.459999999999994</v>
      </c>
      <c r="E2796" s="115">
        <v>71.569999999999993</v>
      </c>
      <c r="F2796" s="34">
        <v>70.02</v>
      </c>
      <c r="G2796" s="34">
        <v>70.88</v>
      </c>
      <c r="H2796" s="34">
        <v>70.88</v>
      </c>
      <c r="I2796" s="29">
        <v>114038000</v>
      </c>
    </row>
    <row r="2797" spans="3:9">
      <c r="C2797" s="125">
        <v>43126</v>
      </c>
      <c r="D2797" s="34">
        <v>69.599999999999994</v>
      </c>
      <c r="E2797" s="115">
        <v>70.13</v>
      </c>
      <c r="F2797" s="34">
        <v>69.05</v>
      </c>
      <c r="G2797" s="34">
        <v>70.099999999999994</v>
      </c>
      <c r="H2797" s="34">
        <v>70.099999999999994</v>
      </c>
      <c r="I2797" s="29">
        <v>97146000</v>
      </c>
    </row>
    <row r="2798" spans="3:9">
      <c r="C2798" s="125">
        <v>43125</v>
      </c>
      <c r="D2798" s="34">
        <v>68.400000000000006</v>
      </c>
      <c r="E2798" s="115">
        <v>68.92</v>
      </c>
      <c r="F2798" s="34">
        <v>67.88</v>
      </c>
      <c r="G2798" s="34">
        <v>68.900000000000006</v>
      </c>
      <c r="H2798" s="34">
        <v>68.900000000000006</v>
      </c>
      <c r="I2798" s="29">
        <v>95060000</v>
      </c>
    </row>
    <row r="2799" spans="3:9">
      <c r="C2799" s="125">
        <v>43124</v>
      </c>
      <c r="D2799" s="34">
        <v>68.739999999999995</v>
      </c>
      <c r="E2799" s="115">
        <v>69.41</v>
      </c>
      <c r="F2799" s="34">
        <v>66.900000000000006</v>
      </c>
      <c r="G2799" s="34">
        <v>67.88</v>
      </c>
      <c r="H2799" s="34">
        <v>67.88</v>
      </c>
      <c r="I2799" s="29">
        <v>136150000</v>
      </c>
    </row>
    <row r="2800" spans="3:9">
      <c r="C2800" s="125">
        <v>43123</v>
      </c>
      <c r="D2800" s="34">
        <v>66.900000000000006</v>
      </c>
      <c r="E2800" s="115">
        <v>68.25</v>
      </c>
      <c r="F2800" s="34">
        <v>66.87</v>
      </c>
      <c r="G2800" s="34">
        <v>68.13</v>
      </c>
      <c r="H2800" s="34">
        <v>68.13</v>
      </c>
      <c r="I2800" s="29">
        <v>103386000</v>
      </c>
    </row>
    <row r="2801" spans="3:9">
      <c r="C2801" s="125">
        <v>43122</v>
      </c>
      <c r="D2801" s="34">
        <v>64.86</v>
      </c>
      <c r="E2801" s="115">
        <v>66.37</v>
      </c>
      <c r="F2801" s="34">
        <v>64.83</v>
      </c>
      <c r="G2801" s="34">
        <v>66.37</v>
      </c>
      <c r="H2801" s="34">
        <v>66.37</v>
      </c>
      <c r="I2801" s="29">
        <v>82802000</v>
      </c>
    </row>
    <row r="2802" spans="3:9">
      <c r="C2802" s="125">
        <v>43119</v>
      </c>
      <c r="D2802" s="34">
        <v>65.599999999999994</v>
      </c>
      <c r="E2802" s="115">
        <v>65.650000000000006</v>
      </c>
      <c r="F2802" s="34">
        <v>64.650000000000006</v>
      </c>
      <c r="G2802" s="34">
        <v>64.73</v>
      </c>
      <c r="H2802" s="34">
        <v>64.73</v>
      </c>
      <c r="I2802" s="29">
        <v>91570000</v>
      </c>
    </row>
    <row r="2803" spans="3:9">
      <c r="C2803" s="125">
        <v>43118</v>
      </c>
      <c r="D2803" s="34">
        <v>64.7</v>
      </c>
      <c r="E2803" s="115">
        <v>65.23</v>
      </c>
      <c r="F2803" s="34">
        <v>64.2</v>
      </c>
      <c r="G2803" s="34">
        <v>64.67</v>
      </c>
      <c r="H2803" s="34">
        <v>64.67</v>
      </c>
      <c r="I2803" s="29">
        <v>80538000</v>
      </c>
    </row>
    <row r="2804" spans="3:9">
      <c r="C2804" s="125">
        <v>43117</v>
      </c>
      <c r="D2804" s="34">
        <v>65.61</v>
      </c>
      <c r="E2804" s="115">
        <v>65.7</v>
      </c>
      <c r="F2804" s="34">
        <v>64.040000000000006</v>
      </c>
      <c r="G2804" s="34">
        <v>64.75</v>
      </c>
      <c r="H2804" s="34">
        <v>64.75</v>
      </c>
      <c r="I2804" s="29">
        <v>105076000</v>
      </c>
    </row>
    <row r="2805" spans="3:9">
      <c r="C2805" s="125">
        <v>43116</v>
      </c>
      <c r="D2805" s="34">
        <v>66.150000000000006</v>
      </c>
      <c r="E2805" s="115">
        <v>67</v>
      </c>
      <c r="F2805" s="34">
        <v>64.61</v>
      </c>
      <c r="G2805" s="34">
        <v>65.239999999999995</v>
      </c>
      <c r="H2805" s="34">
        <v>65.239999999999995</v>
      </c>
      <c r="I2805" s="29">
        <v>144414000</v>
      </c>
    </row>
    <row r="2806" spans="3:9">
      <c r="C2806" s="125">
        <v>43112</v>
      </c>
      <c r="D2806" s="34">
        <v>63.67</v>
      </c>
      <c r="E2806" s="115">
        <v>65.290000000000006</v>
      </c>
      <c r="F2806" s="34">
        <v>63.67</v>
      </c>
      <c r="G2806" s="34">
        <v>65.260000000000005</v>
      </c>
      <c r="H2806" s="34">
        <v>65.260000000000005</v>
      </c>
      <c r="I2806" s="29">
        <v>108874000</v>
      </c>
    </row>
    <row r="2807" spans="3:9">
      <c r="C2807" s="125">
        <v>43111</v>
      </c>
      <c r="D2807" s="34">
        <v>62.99</v>
      </c>
      <c r="E2807" s="115">
        <v>63.84</v>
      </c>
      <c r="F2807" s="34">
        <v>62.82</v>
      </c>
      <c r="G2807" s="34">
        <v>63.83</v>
      </c>
      <c r="H2807" s="34">
        <v>63.83</v>
      </c>
      <c r="I2807" s="29">
        <v>62500000</v>
      </c>
    </row>
    <row r="2808" spans="3:9">
      <c r="C2808" s="125">
        <v>43110</v>
      </c>
      <c r="D2808" s="34">
        <v>62.26</v>
      </c>
      <c r="E2808" s="115">
        <v>62.72</v>
      </c>
      <c r="F2808" s="34">
        <v>61.86</v>
      </c>
      <c r="G2808" s="34">
        <v>62.72</v>
      </c>
      <c r="H2808" s="34">
        <v>62.72</v>
      </c>
      <c r="I2808" s="29">
        <v>53720000</v>
      </c>
    </row>
    <row r="2809" spans="3:9">
      <c r="C2809" s="125">
        <v>43109</v>
      </c>
      <c r="D2809" s="34">
        <v>62.85</v>
      </c>
      <c r="E2809" s="115">
        <v>62.97</v>
      </c>
      <c r="F2809" s="34">
        <v>62.09</v>
      </c>
      <c r="G2809" s="34">
        <v>62.63</v>
      </c>
      <c r="H2809" s="34">
        <v>62.63</v>
      </c>
      <c r="I2809" s="29">
        <v>73226000</v>
      </c>
    </row>
    <row r="2810" spans="3:9">
      <c r="C2810" s="125">
        <v>43108</v>
      </c>
      <c r="D2810" s="34">
        <v>61.8</v>
      </c>
      <c r="E2810" s="115">
        <v>62.65</v>
      </c>
      <c r="F2810" s="34">
        <v>61.6</v>
      </c>
      <c r="G2810" s="34">
        <v>62.34</v>
      </c>
      <c r="H2810" s="34">
        <v>62.34</v>
      </c>
      <c r="I2810" s="29">
        <v>85590000</v>
      </c>
    </row>
    <row r="2811" spans="3:9">
      <c r="C2811" s="125">
        <v>43105</v>
      </c>
      <c r="D2811" s="34">
        <v>60.88</v>
      </c>
      <c r="E2811" s="115">
        <v>61.46</v>
      </c>
      <c r="F2811" s="34">
        <v>60.5</v>
      </c>
      <c r="G2811" s="34">
        <v>61.46</v>
      </c>
      <c r="H2811" s="34">
        <v>61.46</v>
      </c>
      <c r="I2811" s="29">
        <v>70894000</v>
      </c>
    </row>
    <row r="2812" spans="3:9">
      <c r="C2812" s="125">
        <v>43104</v>
      </c>
      <c r="D2812" s="34">
        <v>60.25</v>
      </c>
      <c r="E2812" s="115">
        <v>60.79</v>
      </c>
      <c r="F2812" s="34">
        <v>60.23</v>
      </c>
      <c r="G2812" s="34">
        <v>60.48</v>
      </c>
      <c r="H2812" s="34">
        <v>60.48</v>
      </c>
      <c r="I2812" s="29">
        <v>60442000</v>
      </c>
    </row>
    <row r="2813" spans="3:9">
      <c r="C2813" s="125">
        <v>43103</v>
      </c>
      <c r="D2813" s="34">
        <v>59.42</v>
      </c>
      <c r="E2813" s="115">
        <v>60.27</v>
      </c>
      <c r="F2813" s="34">
        <v>59.42</v>
      </c>
      <c r="G2813" s="34">
        <v>60.21</v>
      </c>
      <c r="H2813" s="34">
        <v>60.21</v>
      </c>
      <c r="I2813" s="29">
        <v>62176000</v>
      </c>
    </row>
    <row r="2814" spans="3:9">
      <c r="C2814" s="125">
        <v>43102</v>
      </c>
      <c r="D2814" s="34">
        <v>58.6</v>
      </c>
      <c r="E2814" s="115">
        <v>59.5</v>
      </c>
      <c r="F2814" s="34">
        <v>58.53</v>
      </c>
      <c r="G2814" s="34">
        <v>59.45</v>
      </c>
      <c r="H2814" s="34">
        <v>59.45</v>
      </c>
      <c r="I2814" s="29">
        <v>53890000</v>
      </c>
    </row>
    <row r="2815" spans="3:9">
      <c r="C2815" s="125">
        <v>43098</v>
      </c>
      <c r="D2815" s="34">
        <v>59.12</v>
      </c>
      <c r="E2815" s="115">
        <v>59.2</v>
      </c>
      <c r="F2815" s="34">
        <v>58.38</v>
      </c>
      <c r="G2815" s="34">
        <v>58.47</v>
      </c>
      <c r="H2815" s="34">
        <v>58.47</v>
      </c>
      <c r="I2815" s="29">
        <v>53768000</v>
      </c>
    </row>
    <row r="2816" spans="3:9">
      <c r="C2816" s="125">
        <v>43097</v>
      </c>
      <c r="D2816" s="34">
        <v>59.45</v>
      </c>
      <c r="E2816" s="115">
        <v>59.51</v>
      </c>
      <c r="F2816" s="34">
        <v>59.22</v>
      </c>
      <c r="G2816" s="34">
        <v>59.31</v>
      </c>
      <c r="H2816" s="34">
        <v>59.31</v>
      </c>
      <c r="I2816" s="29">
        <v>36834000</v>
      </c>
    </row>
    <row r="2817" spans="3:9">
      <c r="C2817" s="125">
        <v>43096</v>
      </c>
      <c r="D2817" s="34">
        <v>59</v>
      </c>
      <c r="E2817" s="115">
        <v>59.36</v>
      </c>
      <c r="F2817" s="34">
        <v>58.78</v>
      </c>
      <c r="G2817" s="34">
        <v>59.11</v>
      </c>
      <c r="H2817" s="34">
        <v>59.11</v>
      </c>
      <c r="I2817" s="29">
        <v>37344000</v>
      </c>
    </row>
    <row r="2818" spans="3:9">
      <c r="C2818" s="125">
        <v>43095</v>
      </c>
      <c r="D2818" s="34">
        <v>58.42</v>
      </c>
      <c r="E2818" s="115">
        <v>58.92</v>
      </c>
      <c r="F2818" s="34">
        <v>58.03</v>
      </c>
      <c r="G2818" s="34">
        <v>58.84</v>
      </c>
      <c r="H2818" s="34">
        <v>58.84</v>
      </c>
      <c r="I2818" s="29">
        <v>40104000</v>
      </c>
    </row>
    <row r="2819" spans="3:9">
      <c r="C2819" s="125">
        <v>43091</v>
      </c>
      <c r="D2819" s="34">
        <v>58.6</v>
      </c>
      <c r="E2819" s="115">
        <v>58.73</v>
      </c>
      <c r="F2819" s="34">
        <v>58.39</v>
      </c>
      <c r="G2819" s="34">
        <v>58.42</v>
      </c>
      <c r="H2819" s="34">
        <v>58.42</v>
      </c>
      <c r="I2819" s="29">
        <v>31702000</v>
      </c>
    </row>
    <row r="2820" spans="3:9">
      <c r="C2820" s="125">
        <v>43090</v>
      </c>
      <c r="D2820" s="34">
        <v>58.79</v>
      </c>
      <c r="E2820" s="115">
        <v>58.96</v>
      </c>
      <c r="F2820" s="34">
        <v>58.38</v>
      </c>
      <c r="G2820" s="34">
        <v>58.74</v>
      </c>
      <c r="H2820" s="34">
        <v>58.74</v>
      </c>
      <c r="I2820" s="29">
        <v>42462000</v>
      </c>
    </row>
    <row r="2821" spans="3:9">
      <c r="C2821" s="125">
        <v>43089</v>
      </c>
      <c r="D2821" s="34">
        <v>59.53</v>
      </c>
      <c r="E2821" s="115">
        <v>59.55</v>
      </c>
      <c r="F2821" s="34">
        <v>58.8</v>
      </c>
      <c r="G2821" s="34">
        <v>58.88</v>
      </c>
      <c r="H2821" s="34">
        <v>58.88</v>
      </c>
      <c r="I2821" s="29">
        <v>47424000</v>
      </c>
    </row>
    <row r="2822" spans="3:9">
      <c r="C2822" s="125">
        <v>43088</v>
      </c>
      <c r="D2822" s="34">
        <v>59.46</v>
      </c>
      <c r="E2822" s="115">
        <v>59.65</v>
      </c>
      <c r="F2822" s="34">
        <v>58.96</v>
      </c>
      <c r="G2822" s="34">
        <v>59.37</v>
      </c>
      <c r="H2822" s="34">
        <v>59.37</v>
      </c>
      <c r="I2822" s="29">
        <v>51756000</v>
      </c>
    </row>
    <row r="2823" spans="3:9">
      <c r="C2823" s="125">
        <v>43087</v>
      </c>
      <c r="D2823" s="34">
        <v>59.37</v>
      </c>
      <c r="E2823" s="115">
        <v>59.74</v>
      </c>
      <c r="F2823" s="34">
        <v>59.05</v>
      </c>
      <c r="G2823" s="34">
        <v>59.53</v>
      </c>
      <c r="H2823" s="34">
        <v>59.53</v>
      </c>
      <c r="I2823" s="29">
        <v>58952000</v>
      </c>
    </row>
    <row r="2824" spans="3:9">
      <c r="C2824" s="125">
        <v>43084</v>
      </c>
      <c r="D2824" s="34">
        <v>58.95</v>
      </c>
      <c r="E2824" s="115">
        <v>59.14</v>
      </c>
      <c r="F2824" s="34">
        <v>58.47</v>
      </c>
      <c r="G2824" s="34">
        <v>58.96</v>
      </c>
      <c r="H2824" s="34">
        <v>58.96</v>
      </c>
      <c r="I2824" s="29">
        <v>95572000</v>
      </c>
    </row>
    <row r="2825" spans="3:9">
      <c r="C2825" s="125">
        <v>43083</v>
      </c>
      <c r="D2825" s="34">
        <v>58.19</v>
      </c>
      <c r="E2825" s="115">
        <v>58.9</v>
      </c>
      <c r="F2825" s="34">
        <v>58.12</v>
      </c>
      <c r="G2825" s="34">
        <v>58.71</v>
      </c>
      <c r="H2825" s="34">
        <v>58.71</v>
      </c>
      <c r="I2825" s="29">
        <v>64286000</v>
      </c>
    </row>
    <row r="2826" spans="3:9">
      <c r="C2826" s="125">
        <v>43082</v>
      </c>
      <c r="D2826" s="34">
        <v>58.5</v>
      </c>
      <c r="E2826" s="115">
        <v>58.54</v>
      </c>
      <c r="F2826" s="34">
        <v>58.01</v>
      </c>
      <c r="G2826" s="34">
        <v>58.21</v>
      </c>
      <c r="H2826" s="34">
        <v>58.21</v>
      </c>
      <c r="I2826" s="29">
        <v>52336000</v>
      </c>
    </row>
    <row r="2827" spans="3:9">
      <c r="C2827" s="125">
        <v>43081</v>
      </c>
      <c r="D2827" s="34">
        <v>58.33</v>
      </c>
      <c r="E2827" s="115">
        <v>58.68</v>
      </c>
      <c r="F2827" s="34">
        <v>58.08</v>
      </c>
      <c r="G2827" s="34">
        <v>58.25</v>
      </c>
      <c r="H2827" s="34">
        <v>58.25</v>
      </c>
      <c r="I2827" s="29">
        <v>44718000</v>
      </c>
    </row>
    <row r="2828" spans="3:9">
      <c r="C2828" s="125">
        <v>43080</v>
      </c>
      <c r="D2828" s="34">
        <v>58.23</v>
      </c>
      <c r="E2828" s="115">
        <v>58.49</v>
      </c>
      <c r="F2828" s="34">
        <v>57.85</v>
      </c>
      <c r="G2828" s="34">
        <v>58.45</v>
      </c>
      <c r="H2828" s="34">
        <v>58.45</v>
      </c>
      <c r="I2828" s="29">
        <v>47270000</v>
      </c>
    </row>
    <row r="2829" spans="3:9">
      <c r="C2829" s="125">
        <v>43077</v>
      </c>
      <c r="D2829" s="34">
        <v>58.52</v>
      </c>
      <c r="E2829" s="115">
        <v>58.64</v>
      </c>
      <c r="F2829" s="34">
        <v>57.85</v>
      </c>
      <c r="G2829" s="34">
        <v>58.1</v>
      </c>
      <c r="H2829" s="34">
        <v>58.1</v>
      </c>
      <c r="I2829" s="29">
        <v>61002000</v>
      </c>
    </row>
    <row r="2830" spans="3:9">
      <c r="C2830" s="125">
        <v>43076</v>
      </c>
      <c r="D2830" s="34">
        <v>57.83</v>
      </c>
      <c r="E2830" s="115">
        <v>58.16</v>
      </c>
      <c r="F2830" s="34">
        <v>57.55</v>
      </c>
      <c r="G2830" s="34">
        <v>57.99</v>
      </c>
      <c r="H2830" s="34">
        <v>57.99</v>
      </c>
      <c r="I2830" s="29">
        <v>50232000</v>
      </c>
    </row>
    <row r="2831" spans="3:9">
      <c r="C2831" s="125">
        <v>43075</v>
      </c>
      <c r="D2831" s="34">
        <v>56.9</v>
      </c>
      <c r="E2831" s="115">
        <v>57.79</v>
      </c>
      <c r="F2831" s="34">
        <v>56.8</v>
      </c>
      <c r="G2831" s="34">
        <v>57.62</v>
      </c>
      <c r="H2831" s="34">
        <v>57.62</v>
      </c>
      <c r="I2831" s="29">
        <v>57066000</v>
      </c>
    </row>
    <row r="2832" spans="3:9">
      <c r="C2832" s="125">
        <v>43074</v>
      </c>
      <c r="D2832" s="34">
        <v>56.41</v>
      </c>
      <c r="E2832" s="115">
        <v>57.96</v>
      </c>
      <c r="F2832" s="34">
        <v>56.24</v>
      </c>
      <c r="G2832" s="34">
        <v>57.08</v>
      </c>
      <c r="H2832" s="34">
        <v>57.08</v>
      </c>
      <c r="I2832" s="29">
        <v>81596000</v>
      </c>
    </row>
    <row r="2833" spans="3:9">
      <c r="C2833" s="125">
        <v>43073</v>
      </c>
      <c r="D2833" s="34">
        <v>58.69</v>
      </c>
      <c r="E2833" s="115">
        <v>58.76</v>
      </c>
      <c r="F2833" s="34">
        <v>56.4</v>
      </c>
      <c r="G2833" s="34">
        <v>56.7</v>
      </c>
      <c r="H2833" s="34">
        <v>56.7</v>
      </c>
      <c r="I2833" s="29">
        <v>118638000</v>
      </c>
    </row>
    <row r="2834" spans="3:9">
      <c r="C2834" s="125">
        <v>43070</v>
      </c>
      <c r="D2834" s="34">
        <v>58.6</v>
      </c>
      <c r="E2834" s="115">
        <v>58.98</v>
      </c>
      <c r="F2834" s="34">
        <v>57.6</v>
      </c>
      <c r="G2834" s="34">
        <v>58.12</v>
      </c>
      <c r="H2834" s="34">
        <v>58.12</v>
      </c>
      <c r="I2834" s="29">
        <v>82142000</v>
      </c>
    </row>
    <row r="2835" spans="3:9">
      <c r="C2835" s="125">
        <v>43069</v>
      </c>
      <c r="D2835" s="34">
        <v>58.35</v>
      </c>
      <c r="E2835" s="115">
        <v>58.93</v>
      </c>
      <c r="F2835" s="34">
        <v>58</v>
      </c>
      <c r="G2835" s="34">
        <v>58.84</v>
      </c>
      <c r="H2835" s="34">
        <v>58.84</v>
      </c>
      <c r="I2835" s="29">
        <v>90184000</v>
      </c>
    </row>
    <row r="2836" spans="3:9">
      <c r="C2836" s="125">
        <v>43068</v>
      </c>
      <c r="D2836" s="34">
        <v>59.74</v>
      </c>
      <c r="E2836" s="115">
        <v>59.74</v>
      </c>
      <c r="F2836" s="34">
        <v>57.26</v>
      </c>
      <c r="G2836" s="34">
        <v>58.06</v>
      </c>
      <c r="H2836" s="34">
        <v>58.06</v>
      </c>
      <c r="I2836" s="29">
        <v>185150000</v>
      </c>
    </row>
    <row r="2837" spans="3:9">
      <c r="C2837" s="125">
        <v>43067</v>
      </c>
      <c r="D2837" s="34">
        <v>60.24</v>
      </c>
      <c r="E2837" s="115">
        <v>60.27</v>
      </c>
      <c r="F2837" s="34">
        <v>59.43</v>
      </c>
      <c r="G2837" s="34">
        <v>59.68</v>
      </c>
      <c r="H2837" s="34">
        <v>59.68</v>
      </c>
      <c r="I2837" s="29">
        <v>91188000</v>
      </c>
    </row>
    <row r="2838" spans="3:9">
      <c r="C2838" s="125">
        <v>43066</v>
      </c>
      <c r="D2838" s="34">
        <v>60.13</v>
      </c>
      <c r="E2838" s="115">
        <v>60.67</v>
      </c>
      <c r="F2838" s="34">
        <v>59.56</v>
      </c>
      <c r="G2838" s="34">
        <v>59.79</v>
      </c>
      <c r="H2838" s="34">
        <v>59.79</v>
      </c>
      <c r="I2838" s="29">
        <v>134880000</v>
      </c>
    </row>
    <row r="2839" spans="3:9">
      <c r="C2839" s="125">
        <v>43063</v>
      </c>
      <c r="D2839" s="34">
        <v>58.03</v>
      </c>
      <c r="E2839" s="115">
        <v>59.34</v>
      </c>
      <c r="F2839" s="34">
        <v>58.03</v>
      </c>
      <c r="G2839" s="34">
        <v>59.3</v>
      </c>
      <c r="H2839" s="34">
        <v>59.3</v>
      </c>
      <c r="I2839" s="29">
        <v>70560000</v>
      </c>
    </row>
    <row r="2840" spans="3:9">
      <c r="C2840" s="125">
        <v>43061</v>
      </c>
      <c r="D2840" s="34">
        <v>57.05</v>
      </c>
      <c r="E2840" s="115">
        <v>58.01</v>
      </c>
      <c r="F2840" s="34">
        <v>57.05</v>
      </c>
      <c r="G2840" s="34">
        <v>57.81</v>
      </c>
      <c r="H2840" s="34">
        <v>57.81</v>
      </c>
      <c r="I2840" s="29">
        <v>71106000</v>
      </c>
    </row>
    <row r="2841" spans="3:9">
      <c r="C2841" s="125">
        <v>43060</v>
      </c>
      <c r="D2841" s="34">
        <v>56.64</v>
      </c>
      <c r="E2841" s="115">
        <v>57</v>
      </c>
      <c r="F2841" s="34">
        <v>56.41</v>
      </c>
      <c r="G2841" s="34">
        <v>56.97</v>
      </c>
      <c r="H2841" s="34">
        <v>56.97</v>
      </c>
      <c r="I2841" s="29">
        <v>49588000</v>
      </c>
    </row>
    <row r="2842" spans="3:9">
      <c r="C2842" s="125">
        <v>43059</v>
      </c>
      <c r="D2842" s="34">
        <v>56.49</v>
      </c>
      <c r="E2842" s="115">
        <v>56.67</v>
      </c>
      <c r="F2842" s="34">
        <v>56.13</v>
      </c>
      <c r="G2842" s="34">
        <v>56.32</v>
      </c>
      <c r="H2842" s="34">
        <v>56.32</v>
      </c>
      <c r="I2842" s="29">
        <v>43278000</v>
      </c>
    </row>
    <row r="2843" spans="3:9">
      <c r="C2843" s="125">
        <v>43056</v>
      </c>
      <c r="D2843" s="34">
        <v>56.91</v>
      </c>
      <c r="E2843" s="115">
        <v>56.94</v>
      </c>
      <c r="F2843" s="34">
        <v>56.29</v>
      </c>
      <c r="G2843" s="34">
        <v>56.49</v>
      </c>
      <c r="H2843" s="34">
        <v>56.49</v>
      </c>
      <c r="I2843" s="29">
        <v>48268000</v>
      </c>
    </row>
    <row r="2844" spans="3:9">
      <c r="C2844" s="125">
        <v>43055</v>
      </c>
      <c r="D2844" s="34">
        <v>56.51</v>
      </c>
      <c r="E2844" s="115">
        <v>56.91</v>
      </c>
      <c r="F2844" s="34">
        <v>56.5</v>
      </c>
      <c r="G2844" s="34">
        <v>56.86</v>
      </c>
      <c r="H2844" s="34">
        <v>56.86</v>
      </c>
      <c r="I2844" s="29">
        <v>44266000</v>
      </c>
    </row>
    <row r="2845" spans="3:9">
      <c r="C2845" s="125">
        <v>43054</v>
      </c>
      <c r="D2845" s="34">
        <v>56.35</v>
      </c>
      <c r="E2845" s="115">
        <v>56.59</v>
      </c>
      <c r="F2845" s="34">
        <v>56.08</v>
      </c>
      <c r="G2845" s="34">
        <v>56.33</v>
      </c>
      <c r="H2845" s="34">
        <v>56.33</v>
      </c>
      <c r="I2845" s="29">
        <v>78574000</v>
      </c>
    </row>
    <row r="2846" spans="3:9">
      <c r="C2846" s="125">
        <v>43053</v>
      </c>
      <c r="D2846" s="34">
        <v>56.51</v>
      </c>
      <c r="E2846" s="115">
        <v>56.9</v>
      </c>
      <c r="F2846" s="34">
        <v>56.19</v>
      </c>
      <c r="G2846" s="34">
        <v>56.84</v>
      </c>
      <c r="H2846" s="34">
        <v>56.84</v>
      </c>
      <c r="I2846" s="29">
        <v>62768000</v>
      </c>
    </row>
    <row r="2847" spans="3:9">
      <c r="C2847" s="125">
        <v>43052</v>
      </c>
      <c r="D2847" s="34">
        <v>56.15</v>
      </c>
      <c r="E2847" s="115">
        <v>56.99</v>
      </c>
      <c r="F2847" s="34">
        <v>56.12</v>
      </c>
      <c r="G2847" s="34">
        <v>56.46</v>
      </c>
      <c r="H2847" s="34">
        <v>56.46</v>
      </c>
      <c r="I2847" s="29">
        <v>58368000</v>
      </c>
    </row>
    <row r="2848" spans="3:9">
      <c r="C2848" s="125">
        <v>43049</v>
      </c>
      <c r="D2848" s="34">
        <v>56.31</v>
      </c>
      <c r="E2848" s="115">
        <v>56.59</v>
      </c>
      <c r="F2848" s="34">
        <v>56.2</v>
      </c>
      <c r="G2848" s="34">
        <v>56.27</v>
      </c>
      <c r="H2848" s="34">
        <v>56.27</v>
      </c>
      <c r="I2848" s="29">
        <v>43598000</v>
      </c>
    </row>
    <row r="2849" spans="3:9">
      <c r="C2849" s="125">
        <v>43048</v>
      </c>
      <c r="D2849" s="34">
        <v>56.3</v>
      </c>
      <c r="E2849" s="115">
        <v>56.48</v>
      </c>
      <c r="F2849" s="34">
        <v>55.79</v>
      </c>
      <c r="G2849" s="34">
        <v>56.46</v>
      </c>
      <c r="H2849" s="34">
        <v>56.46</v>
      </c>
      <c r="I2849" s="29">
        <v>74654000</v>
      </c>
    </row>
    <row r="2850" spans="3:9">
      <c r="C2850" s="125">
        <v>43047</v>
      </c>
      <c r="D2850" s="34">
        <v>56.14</v>
      </c>
      <c r="E2850" s="115">
        <v>56.78</v>
      </c>
      <c r="F2850" s="34">
        <v>55.96</v>
      </c>
      <c r="G2850" s="34">
        <v>56.64</v>
      </c>
      <c r="H2850" s="34">
        <v>56.64</v>
      </c>
      <c r="I2850" s="29">
        <v>51630000</v>
      </c>
    </row>
    <row r="2851" spans="3:9">
      <c r="C2851" s="125">
        <v>43046</v>
      </c>
      <c r="D2851" s="34">
        <v>56.24</v>
      </c>
      <c r="E2851" s="115">
        <v>56.53</v>
      </c>
      <c r="F2851" s="34">
        <v>55.88</v>
      </c>
      <c r="G2851" s="34">
        <v>56.16</v>
      </c>
      <c r="H2851" s="34">
        <v>56.16</v>
      </c>
      <c r="I2851" s="29">
        <v>53780000</v>
      </c>
    </row>
    <row r="2852" spans="3:9">
      <c r="C2852" s="125">
        <v>43045</v>
      </c>
      <c r="D2852" s="34">
        <v>55.46</v>
      </c>
      <c r="E2852" s="115">
        <v>56.27</v>
      </c>
      <c r="F2852" s="34">
        <v>55.44</v>
      </c>
      <c r="G2852" s="34">
        <v>56.03</v>
      </c>
      <c r="H2852" s="34">
        <v>56.03</v>
      </c>
      <c r="I2852" s="29">
        <v>67622000</v>
      </c>
    </row>
    <row r="2853" spans="3:9">
      <c r="C2853" s="125">
        <v>43042</v>
      </c>
      <c r="D2853" s="34">
        <v>54.56</v>
      </c>
      <c r="E2853" s="115">
        <v>55.63</v>
      </c>
      <c r="F2853" s="34">
        <v>54.43</v>
      </c>
      <c r="G2853" s="34">
        <v>55.58</v>
      </c>
      <c r="H2853" s="34">
        <v>55.58</v>
      </c>
      <c r="I2853" s="29">
        <v>75030000</v>
      </c>
    </row>
    <row r="2854" spans="3:9">
      <c r="C2854" s="125">
        <v>43041</v>
      </c>
      <c r="D2854" s="34">
        <v>54.89</v>
      </c>
      <c r="E2854" s="115">
        <v>55.1</v>
      </c>
      <c r="F2854" s="34">
        <v>54.34</v>
      </c>
      <c r="G2854" s="34">
        <v>54.71</v>
      </c>
      <c r="H2854" s="34">
        <v>54.71</v>
      </c>
      <c r="I2854" s="29">
        <v>73698000</v>
      </c>
    </row>
    <row r="2855" spans="3:9">
      <c r="C2855" s="125">
        <v>43040</v>
      </c>
      <c r="D2855" s="34">
        <v>55.27</v>
      </c>
      <c r="E2855" s="115">
        <v>55.45</v>
      </c>
      <c r="F2855" s="34">
        <v>54.84</v>
      </c>
      <c r="G2855" s="34">
        <v>55.18</v>
      </c>
      <c r="H2855" s="34">
        <v>55.18</v>
      </c>
      <c r="I2855" s="29">
        <v>75110000</v>
      </c>
    </row>
    <row r="2856" spans="3:9">
      <c r="C2856" s="125">
        <v>43039</v>
      </c>
      <c r="D2856" s="34">
        <v>55.45</v>
      </c>
      <c r="E2856" s="115">
        <v>55.53</v>
      </c>
      <c r="F2856" s="34">
        <v>55.06</v>
      </c>
      <c r="G2856" s="34">
        <v>55.26</v>
      </c>
      <c r="H2856" s="34">
        <v>55.26</v>
      </c>
      <c r="I2856" s="29">
        <v>69540000</v>
      </c>
    </row>
    <row r="2857" spans="3:9">
      <c r="C2857" s="125">
        <v>43038</v>
      </c>
      <c r="D2857" s="34">
        <v>54.75</v>
      </c>
      <c r="E2857" s="115">
        <v>56.14</v>
      </c>
      <c r="F2857" s="34">
        <v>54.68</v>
      </c>
      <c r="G2857" s="34">
        <v>55.54</v>
      </c>
      <c r="H2857" s="34">
        <v>55.54</v>
      </c>
      <c r="I2857" s="29">
        <v>132262000</v>
      </c>
    </row>
    <row r="2858" spans="3:9">
      <c r="C2858" s="125">
        <v>43035</v>
      </c>
      <c r="D2858" s="34">
        <v>52.91</v>
      </c>
      <c r="E2858" s="115">
        <v>55.28</v>
      </c>
      <c r="F2858" s="34">
        <v>52.53</v>
      </c>
      <c r="G2858" s="34">
        <v>55.05</v>
      </c>
      <c r="H2858" s="34">
        <v>55.05</v>
      </c>
      <c r="I2858" s="29">
        <v>331300000</v>
      </c>
    </row>
    <row r="2859" spans="3:9">
      <c r="C2859" s="125">
        <v>43034</v>
      </c>
      <c r="D2859" s="34">
        <v>49.02</v>
      </c>
      <c r="E2859" s="115">
        <v>49.15</v>
      </c>
      <c r="F2859" s="34">
        <v>48.43</v>
      </c>
      <c r="G2859" s="34">
        <v>48.62</v>
      </c>
      <c r="H2859" s="34">
        <v>48.62</v>
      </c>
      <c r="I2859" s="29">
        <v>112374000</v>
      </c>
    </row>
    <row r="2860" spans="3:9">
      <c r="C2860" s="125">
        <v>43033</v>
      </c>
      <c r="D2860" s="34">
        <v>48.9</v>
      </c>
      <c r="E2860" s="115">
        <v>49.22</v>
      </c>
      <c r="F2860" s="34">
        <v>48.31</v>
      </c>
      <c r="G2860" s="34">
        <v>48.65</v>
      </c>
      <c r="H2860" s="34">
        <v>48.65</v>
      </c>
      <c r="I2860" s="29">
        <v>60662000</v>
      </c>
    </row>
    <row r="2861" spans="3:9">
      <c r="C2861" s="125">
        <v>43032</v>
      </c>
      <c r="D2861" s="34">
        <v>48.45</v>
      </c>
      <c r="E2861" s="115">
        <v>48.99</v>
      </c>
      <c r="F2861" s="34">
        <v>48.25</v>
      </c>
      <c r="G2861" s="34">
        <v>48.79</v>
      </c>
      <c r="H2861" s="34">
        <v>48.79</v>
      </c>
      <c r="I2861" s="29">
        <v>54478000</v>
      </c>
    </row>
    <row r="2862" spans="3:9">
      <c r="C2862" s="125">
        <v>43031</v>
      </c>
      <c r="D2862" s="34">
        <v>49.34</v>
      </c>
      <c r="E2862" s="115">
        <v>49.34</v>
      </c>
      <c r="F2862" s="34">
        <v>48.13</v>
      </c>
      <c r="G2862" s="34">
        <v>48.31</v>
      </c>
      <c r="H2862" s="34">
        <v>48.31</v>
      </c>
      <c r="I2862" s="29">
        <v>69882000</v>
      </c>
    </row>
    <row r="2863" spans="3:9">
      <c r="C2863" s="125">
        <v>43028</v>
      </c>
      <c r="D2863" s="34">
        <v>49.68</v>
      </c>
      <c r="E2863" s="115">
        <v>49.73</v>
      </c>
      <c r="F2863" s="34">
        <v>49.1</v>
      </c>
      <c r="G2863" s="34">
        <v>49.15</v>
      </c>
      <c r="H2863" s="34">
        <v>49.15</v>
      </c>
      <c r="I2863" s="29">
        <v>47302000</v>
      </c>
    </row>
    <row r="2864" spans="3:9">
      <c r="C2864" s="125">
        <v>43027</v>
      </c>
      <c r="D2864" s="34">
        <v>49.5</v>
      </c>
      <c r="E2864" s="115">
        <v>49.55</v>
      </c>
      <c r="F2864" s="34">
        <v>49.01</v>
      </c>
      <c r="G2864" s="34">
        <v>49.33</v>
      </c>
      <c r="H2864" s="34">
        <v>49.33</v>
      </c>
      <c r="I2864" s="29">
        <v>62164000</v>
      </c>
    </row>
    <row r="2865" spans="3:9">
      <c r="C2865" s="125">
        <v>43026</v>
      </c>
      <c r="D2865" s="34">
        <v>50.46</v>
      </c>
      <c r="E2865" s="115">
        <v>51.12</v>
      </c>
      <c r="F2865" s="34">
        <v>49.83</v>
      </c>
      <c r="G2865" s="34">
        <v>49.85</v>
      </c>
      <c r="H2865" s="34">
        <v>49.85</v>
      </c>
      <c r="I2865" s="29">
        <v>49994000</v>
      </c>
    </row>
    <row r="2866" spans="3:9">
      <c r="C2866" s="125">
        <v>43025</v>
      </c>
      <c r="D2866" s="34">
        <v>50.28</v>
      </c>
      <c r="E2866" s="115">
        <v>50.57</v>
      </c>
      <c r="F2866" s="34">
        <v>50.22</v>
      </c>
      <c r="G2866" s="34">
        <v>50.46</v>
      </c>
      <c r="H2866" s="34">
        <v>50.46</v>
      </c>
      <c r="I2866" s="29">
        <v>46394000</v>
      </c>
    </row>
    <row r="2867" spans="3:9">
      <c r="C2867" s="125">
        <v>43024</v>
      </c>
      <c r="D2867" s="34">
        <v>50.42</v>
      </c>
      <c r="E2867" s="115">
        <v>50.48</v>
      </c>
      <c r="F2867" s="34">
        <v>50.05</v>
      </c>
      <c r="G2867" s="34">
        <v>50.32</v>
      </c>
      <c r="H2867" s="34">
        <v>50.32</v>
      </c>
      <c r="I2867" s="29">
        <v>40178000</v>
      </c>
    </row>
    <row r="2868" spans="3:9">
      <c r="C2868" s="125">
        <v>43021</v>
      </c>
      <c r="D2868" s="34">
        <v>50.35</v>
      </c>
      <c r="E2868" s="115">
        <v>50.39</v>
      </c>
      <c r="F2868" s="34">
        <v>50.05</v>
      </c>
      <c r="G2868" s="34">
        <v>50.15</v>
      </c>
      <c r="H2868" s="34">
        <v>50.15</v>
      </c>
      <c r="I2868" s="29">
        <v>48630000</v>
      </c>
    </row>
    <row r="2869" spans="3:9">
      <c r="C2869" s="125">
        <v>43020</v>
      </c>
      <c r="D2869" s="34">
        <v>49.84</v>
      </c>
      <c r="E2869" s="115">
        <v>50.42</v>
      </c>
      <c r="F2869" s="34">
        <v>49.62</v>
      </c>
      <c r="G2869" s="34">
        <v>50.05</v>
      </c>
      <c r="H2869" s="34">
        <v>50.05</v>
      </c>
      <c r="I2869" s="29">
        <v>81346000</v>
      </c>
    </row>
    <row r="2870" spans="3:9">
      <c r="C2870" s="125">
        <v>43019</v>
      </c>
      <c r="D2870" s="34">
        <v>49.56</v>
      </c>
      <c r="E2870" s="115">
        <v>49.78</v>
      </c>
      <c r="F2870" s="34">
        <v>49.33</v>
      </c>
      <c r="G2870" s="34">
        <v>49.75</v>
      </c>
      <c r="H2870" s="34">
        <v>49.75</v>
      </c>
      <c r="I2870" s="29">
        <v>46742000</v>
      </c>
    </row>
    <row r="2871" spans="3:9">
      <c r="C2871" s="125">
        <v>43018</v>
      </c>
      <c r="D2871" s="34">
        <v>49.83</v>
      </c>
      <c r="E2871" s="115">
        <v>49.9</v>
      </c>
      <c r="F2871" s="34">
        <v>49.01</v>
      </c>
      <c r="G2871" s="34">
        <v>49.36</v>
      </c>
      <c r="H2871" s="34">
        <v>49.36</v>
      </c>
      <c r="I2871" s="29">
        <v>61698000</v>
      </c>
    </row>
    <row r="2872" spans="3:9">
      <c r="C2872" s="125">
        <v>43017</v>
      </c>
      <c r="D2872" s="34">
        <v>49.66</v>
      </c>
      <c r="E2872" s="115">
        <v>49.92</v>
      </c>
      <c r="F2872" s="34">
        <v>49.38</v>
      </c>
      <c r="G2872" s="34">
        <v>49.55</v>
      </c>
      <c r="H2872" s="34">
        <v>49.55</v>
      </c>
      <c r="I2872" s="29">
        <v>58772000</v>
      </c>
    </row>
    <row r="2873" spans="3:9">
      <c r="C2873" s="125">
        <v>43014</v>
      </c>
      <c r="D2873" s="34">
        <v>48.78</v>
      </c>
      <c r="E2873" s="115">
        <v>49.79</v>
      </c>
      <c r="F2873" s="34">
        <v>48.78</v>
      </c>
      <c r="G2873" s="34">
        <v>49.48</v>
      </c>
      <c r="H2873" s="34">
        <v>49.48</v>
      </c>
      <c r="I2873" s="29">
        <v>75642000</v>
      </c>
    </row>
    <row r="2874" spans="3:9">
      <c r="C2874" s="125">
        <v>43013</v>
      </c>
      <c r="D2874" s="34">
        <v>48.5</v>
      </c>
      <c r="E2874" s="115">
        <v>49.08</v>
      </c>
      <c r="F2874" s="34">
        <v>48.48</v>
      </c>
      <c r="G2874" s="34">
        <v>49.04</v>
      </c>
      <c r="H2874" s="34">
        <v>49.04</v>
      </c>
      <c r="I2874" s="29">
        <v>64584000</v>
      </c>
    </row>
    <row r="2875" spans="3:9">
      <c r="C2875" s="125">
        <v>43012</v>
      </c>
      <c r="D2875" s="34">
        <v>47.71</v>
      </c>
      <c r="E2875" s="115">
        <v>48.39</v>
      </c>
      <c r="F2875" s="34">
        <v>47.7</v>
      </c>
      <c r="G2875" s="34">
        <v>48.27</v>
      </c>
      <c r="H2875" s="34">
        <v>48.27</v>
      </c>
      <c r="I2875" s="29">
        <v>50548000</v>
      </c>
    </row>
    <row r="2876" spans="3:9">
      <c r="C2876" s="125">
        <v>43011</v>
      </c>
      <c r="D2876" s="34">
        <v>47.9</v>
      </c>
      <c r="E2876" s="115">
        <v>48.18</v>
      </c>
      <c r="F2876" s="34">
        <v>47.52</v>
      </c>
      <c r="G2876" s="34">
        <v>47.85</v>
      </c>
      <c r="H2876" s="34">
        <v>47.85</v>
      </c>
      <c r="I2876" s="29">
        <v>53332000</v>
      </c>
    </row>
    <row r="2877" spans="3:9">
      <c r="C2877" s="125">
        <v>43010</v>
      </c>
      <c r="D2877" s="34">
        <v>48.2</v>
      </c>
      <c r="E2877" s="115">
        <v>48.37</v>
      </c>
      <c r="F2877" s="34">
        <v>47.61</v>
      </c>
      <c r="G2877" s="34">
        <v>47.96</v>
      </c>
      <c r="H2877" s="34">
        <v>47.96</v>
      </c>
      <c r="I2877" s="29">
        <v>48858000</v>
      </c>
    </row>
    <row r="2878" spans="3:9">
      <c r="C2878" s="125">
        <v>43007</v>
      </c>
      <c r="D2878" s="34">
        <v>48.01</v>
      </c>
      <c r="E2878" s="115">
        <v>48.24</v>
      </c>
      <c r="F2878" s="34">
        <v>47.92</v>
      </c>
      <c r="G2878" s="34">
        <v>48.07</v>
      </c>
      <c r="H2878" s="34">
        <v>48.07</v>
      </c>
      <c r="I2878" s="29">
        <v>50876000</v>
      </c>
    </row>
    <row r="2879" spans="3:9">
      <c r="C2879" s="125">
        <v>43006</v>
      </c>
      <c r="D2879" s="34">
        <v>47.59</v>
      </c>
      <c r="E2879" s="115">
        <v>47.99</v>
      </c>
      <c r="F2879" s="34">
        <v>47.51</v>
      </c>
      <c r="G2879" s="34">
        <v>47.82</v>
      </c>
      <c r="H2879" s="34">
        <v>47.82</v>
      </c>
      <c r="I2879" s="29">
        <v>50452000</v>
      </c>
    </row>
    <row r="2880" spans="3:9">
      <c r="C2880" s="125">
        <v>43005</v>
      </c>
      <c r="D2880" s="34">
        <v>47.4</v>
      </c>
      <c r="E2880" s="115">
        <v>47.76</v>
      </c>
      <c r="F2880" s="34">
        <v>47.17</v>
      </c>
      <c r="G2880" s="34">
        <v>47.54</v>
      </c>
      <c r="H2880" s="34">
        <v>47.54</v>
      </c>
      <c r="I2880" s="29">
        <v>62978000</v>
      </c>
    </row>
    <row r="2881" spans="3:9">
      <c r="C2881" s="125">
        <v>43004</v>
      </c>
      <c r="D2881" s="34">
        <v>47.27</v>
      </c>
      <c r="E2881" s="115">
        <v>47.43</v>
      </c>
      <c r="F2881" s="34">
        <v>46.59</v>
      </c>
      <c r="G2881" s="34">
        <v>46.93</v>
      </c>
      <c r="H2881" s="34">
        <v>46.93</v>
      </c>
      <c r="I2881" s="29">
        <v>71296000</v>
      </c>
    </row>
    <row r="2882" spans="3:9">
      <c r="C2882" s="125">
        <v>43003</v>
      </c>
      <c r="D2882" s="34">
        <v>47.47</v>
      </c>
      <c r="E2882" s="115">
        <v>47.47</v>
      </c>
      <c r="F2882" s="34">
        <v>46.64</v>
      </c>
      <c r="G2882" s="34">
        <v>46.99</v>
      </c>
      <c r="H2882" s="34">
        <v>46.99</v>
      </c>
      <c r="I2882" s="29">
        <v>102480000</v>
      </c>
    </row>
    <row r="2883" spans="3:9">
      <c r="C2883" s="125">
        <v>43000</v>
      </c>
      <c r="D2883" s="34">
        <v>48.05</v>
      </c>
      <c r="E2883" s="115">
        <v>48.28</v>
      </c>
      <c r="F2883" s="34">
        <v>47.72</v>
      </c>
      <c r="G2883" s="34">
        <v>47.76</v>
      </c>
      <c r="H2883" s="34">
        <v>47.76</v>
      </c>
      <c r="I2883" s="29">
        <v>52836000</v>
      </c>
    </row>
    <row r="2884" spans="3:9">
      <c r="C2884" s="125">
        <v>42999</v>
      </c>
      <c r="D2884" s="34">
        <v>48.57</v>
      </c>
      <c r="E2884" s="115">
        <v>48.58</v>
      </c>
      <c r="F2884" s="34">
        <v>48.1</v>
      </c>
      <c r="G2884" s="34">
        <v>48.23</v>
      </c>
      <c r="H2884" s="34">
        <v>48.23</v>
      </c>
      <c r="I2884" s="29">
        <v>46752000</v>
      </c>
    </row>
    <row r="2885" spans="3:9">
      <c r="C2885" s="125">
        <v>42998</v>
      </c>
      <c r="D2885" s="34">
        <v>48.59</v>
      </c>
      <c r="E2885" s="115">
        <v>48.74</v>
      </c>
      <c r="F2885" s="34">
        <v>48.11</v>
      </c>
      <c r="G2885" s="34">
        <v>48.66</v>
      </c>
      <c r="H2885" s="34">
        <v>48.66</v>
      </c>
      <c r="I2885" s="29">
        <v>57776000</v>
      </c>
    </row>
    <row r="2886" spans="3:9">
      <c r="C2886" s="125">
        <v>42997</v>
      </c>
      <c r="D2886" s="34">
        <v>48.86</v>
      </c>
      <c r="E2886" s="115">
        <v>48.91</v>
      </c>
      <c r="F2886" s="34">
        <v>48.37</v>
      </c>
      <c r="G2886" s="34">
        <v>48.49</v>
      </c>
      <c r="H2886" s="34">
        <v>48.49</v>
      </c>
      <c r="I2886" s="29">
        <v>53422000</v>
      </c>
    </row>
    <row r="2887" spans="3:9">
      <c r="C2887" s="125">
        <v>42996</v>
      </c>
      <c r="D2887" s="34">
        <v>49.52</v>
      </c>
      <c r="E2887" s="115">
        <v>49.64</v>
      </c>
      <c r="F2887" s="34">
        <v>48.41</v>
      </c>
      <c r="G2887" s="34">
        <v>48.71</v>
      </c>
      <c r="H2887" s="34">
        <v>48.71</v>
      </c>
      <c r="I2887" s="29">
        <v>68226000</v>
      </c>
    </row>
    <row r="2888" spans="3:9">
      <c r="C2888" s="125">
        <v>42993</v>
      </c>
      <c r="D2888" s="34">
        <v>49.65</v>
      </c>
      <c r="E2888" s="115">
        <v>49.81</v>
      </c>
      <c r="F2888" s="34">
        <v>49.2</v>
      </c>
      <c r="G2888" s="34">
        <v>49.34</v>
      </c>
      <c r="H2888" s="34">
        <v>49.34</v>
      </c>
      <c r="I2888" s="29">
        <v>75204000</v>
      </c>
    </row>
    <row r="2889" spans="3:9">
      <c r="C2889" s="125">
        <v>42992</v>
      </c>
      <c r="D2889" s="34">
        <v>49.84</v>
      </c>
      <c r="E2889" s="115">
        <v>49.93</v>
      </c>
      <c r="F2889" s="34">
        <v>49.39</v>
      </c>
      <c r="G2889" s="34">
        <v>49.61</v>
      </c>
      <c r="H2889" s="34">
        <v>49.61</v>
      </c>
      <c r="I2889" s="29">
        <v>78266000</v>
      </c>
    </row>
    <row r="2890" spans="3:9">
      <c r="C2890" s="125">
        <v>42991</v>
      </c>
      <c r="D2890" s="34">
        <v>49.2</v>
      </c>
      <c r="E2890" s="115">
        <v>50</v>
      </c>
      <c r="F2890" s="34">
        <v>48.97</v>
      </c>
      <c r="G2890" s="34">
        <v>49.98</v>
      </c>
      <c r="H2890" s="34">
        <v>49.98</v>
      </c>
      <c r="I2890" s="29">
        <v>67494000</v>
      </c>
    </row>
    <row r="2891" spans="3:9">
      <c r="C2891" s="125">
        <v>42990</v>
      </c>
      <c r="D2891" s="34">
        <v>49.16</v>
      </c>
      <c r="E2891" s="115">
        <v>49.23</v>
      </c>
      <c r="F2891" s="34">
        <v>48.78</v>
      </c>
      <c r="G2891" s="34">
        <v>49.13</v>
      </c>
      <c r="H2891" s="34">
        <v>49.13</v>
      </c>
      <c r="I2891" s="29">
        <v>49622000</v>
      </c>
    </row>
    <row r="2892" spans="3:9">
      <c r="C2892" s="125">
        <v>42989</v>
      </c>
      <c r="D2892" s="34">
        <v>48.72</v>
      </c>
      <c r="E2892" s="115">
        <v>49.1</v>
      </c>
      <c r="F2892" s="34">
        <v>48.71</v>
      </c>
      <c r="G2892" s="34">
        <v>48.9</v>
      </c>
      <c r="H2892" s="34">
        <v>48.9</v>
      </c>
      <c r="I2892" s="29">
        <v>43734000</v>
      </c>
    </row>
    <row r="2893" spans="3:9">
      <c r="C2893" s="125">
        <v>42986</v>
      </c>
      <c r="D2893" s="34">
        <v>48.96</v>
      </c>
      <c r="E2893" s="115">
        <v>48.99</v>
      </c>
      <c r="F2893" s="34">
        <v>48.17</v>
      </c>
      <c r="G2893" s="34">
        <v>48.29</v>
      </c>
      <c r="H2893" s="34">
        <v>48.29</v>
      </c>
      <c r="I2893" s="29">
        <v>52106000</v>
      </c>
    </row>
    <row r="2894" spans="3:9">
      <c r="C2894" s="125">
        <v>42985</v>
      </c>
      <c r="D2894" s="34">
        <v>48.7</v>
      </c>
      <c r="E2894" s="115">
        <v>49.03</v>
      </c>
      <c r="F2894" s="34">
        <v>48.63</v>
      </c>
      <c r="G2894" s="34">
        <v>48.97</v>
      </c>
      <c r="H2894" s="34">
        <v>48.97</v>
      </c>
      <c r="I2894" s="29">
        <v>51336000</v>
      </c>
    </row>
    <row r="2895" spans="3:9">
      <c r="C2895" s="125">
        <v>42984</v>
      </c>
      <c r="D2895" s="34">
        <v>48.42</v>
      </c>
      <c r="E2895" s="115">
        <v>48.59</v>
      </c>
      <c r="F2895" s="34">
        <v>48.03</v>
      </c>
      <c r="G2895" s="34">
        <v>48.39</v>
      </c>
      <c r="H2895" s="34">
        <v>48.39</v>
      </c>
      <c r="I2895" s="29">
        <v>42598000</v>
      </c>
    </row>
    <row r="2896" spans="3:9">
      <c r="C2896" s="125">
        <v>42983</v>
      </c>
      <c r="D2896" s="34">
        <v>48.77</v>
      </c>
      <c r="E2896" s="115">
        <v>48.84</v>
      </c>
      <c r="F2896" s="34">
        <v>48.02</v>
      </c>
      <c r="G2896" s="34">
        <v>48.26</v>
      </c>
      <c r="H2896" s="34">
        <v>48.26</v>
      </c>
      <c r="I2896" s="29">
        <v>57664000</v>
      </c>
    </row>
    <row r="2897" spans="3:9">
      <c r="C2897" s="125">
        <v>42979</v>
      </c>
      <c r="D2897" s="34">
        <v>49.21</v>
      </c>
      <c r="E2897" s="115">
        <v>49.22</v>
      </c>
      <c r="F2897" s="34">
        <v>48.84</v>
      </c>
      <c r="G2897" s="34">
        <v>48.91</v>
      </c>
      <c r="H2897" s="34">
        <v>48.91</v>
      </c>
      <c r="I2897" s="29">
        <v>50718000</v>
      </c>
    </row>
    <row r="2898" spans="3:9">
      <c r="C2898" s="125">
        <v>42978</v>
      </c>
      <c r="D2898" s="34">
        <v>48.74</v>
      </c>
      <c r="E2898" s="115">
        <v>49.05</v>
      </c>
      <c r="F2898" s="34">
        <v>48.64</v>
      </c>
      <c r="G2898" s="34">
        <v>49.03</v>
      </c>
      <c r="H2898" s="34">
        <v>49.03</v>
      </c>
      <c r="I2898" s="29">
        <v>66630000</v>
      </c>
    </row>
    <row r="2899" spans="3:9">
      <c r="C2899" s="125">
        <v>42977</v>
      </c>
      <c r="D2899" s="34">
        <v>47.92</v>
      </c>
      <c r="E2899" s="115">
        <v>48.47</v>
      </c>
      <c r="F2899" s="34">
        <v>47.85</v>
      </c>
      <c r="G2899" s="34">
        <v>48.38</v>
      </c>
      <c r="H2899" s="34">
        <v>48.38</v>
      </c>
      <c r="I2899" s="29">
        <v>58092000</v>
      </c>
    </row>
    <row r="2900" spans="3:9">
      <c r="C2900" s="125">
        <v>42976</v>
      </c>
      <c r="D2900" s="34">
        <v>47</v>
      </c>
      <c r="E2900" s="115">
        <v>47.8</v>
      </c>
      <c r="F2900" s="34">
        <v>46.82</v>
      </c>
      <c r="G2900" s="34">
        <v>47.7</v>
      </c>
      <c r="H2900" s="34">
        <v>47.7</v>
      </c>
      <c r="I2900" s="29">
        <v>57486000</v>
      </c>
    </row>
    <row r="2901" spans="3:9">
      <c r="C2901" s="125">
        <v>42975</v>
      </c>
      <c r="D2901" s="34">
        <v>47.33</v>
      </c>
      <c r="E2901" s="115">
        <v>47.65</v>
      </c>
      <c r="F2901" s="34">
        <v>47.11</v>
      </c>
      <c r="G2901" s="34">
        <v>47.3</v>
      </c>
      <c r="H2901" s="34">
        <v>47.3</v>
      </c>
      <c r="I2901" s="29">
        <v>51934000</v>
      </c>
    </row>
    <row r="2902" spans="3:9">
      <c r="C2902" s="125">
        <v>42972</v>
      </c>
      <c r="D2902" s="34">
        <v>47.8</v>
      </c>
      <c r="E2902" s="115">
        <v>47.88</v>
      </c>
      <c r="F2902" s="34">
        <v>47.21</v>
      </c>
      <c r="G2902" s="34">
        <v>47.26</v>
      </c>
      <c r="H2902" s="34">
        <v>47.26</v>
      </c>
      <c r="I2902" s="29">
        <v>66496000</v>
      </c>
    </row>
    <row r="2903" spans="3:9">
      <c r="C2903" s="125">
        <v>42971</v>
      </c>
      <c r="D2903" s="34">
        <v>47.87</v>
      </c>
      <c r="E2903" s="115">
        <v>47.95</v>
      </c>
      <c r="F2903" s="34">
        <v>47.06</v>
      </c>
      <c r="G2903" s="34">
        <v>47.62</v>
      </c>
      <c r="H2903" s="34">
        <v>47.62</v>
      </c>
      <c r="I2903" s="29">
        <v>103914000</v>
      </c>
    </row>
    <row r="2904" spans="3:9">
      <c r="C2904" s="125">
        <v>42970</v>
      </c>
      <c r="D2904" s="34">
        <v>47.97</v>
      </c>
      <c r="E2904" s="115">
        <v>48.1</v>
      </c>
      <c r="F2904" s="34">
        <v>47.71</v>
      </c>
      <c r="G2904" s="34">
        <v>47.9</v>
      </c>
      <c r="H2904" s="34">
        <v>47.9</v>
      </c>
      <c r="I2904" s="29">
        <v>53366000</v>
      </c>
    </row>
    <row r="2905" spans="3:9">
      <c r="C2905" s="125">
        <v>42969</v>
      </c>
      <c r="D2905" s="34">
        <v>47.78</v>
      </c>
      <c r="E2905" s="115">
        <v>48.4</v>
      </c>
      <c r="F2905" s="34">
        <v>47.78</v>
      </c>
      <c r="G2905" s="34">
        <v>48.35</v>
      </c>
      <c r="H2905" s="34">
        <v>48.35</v>
      </c>
      <c r="I2905" s="29">
        <v>55000000</v>
      </c>
    </row>
    <row r="2906" spans="3:9">
      <c r="C2906" s="125">
        <v>42968</v>
      </c>
      <c r="D2906" s="34">
        <v>47.88</v>
      </c>
      <c r="E2906" s="115">
        <v>48.06</v>
      </c>
      <c r="F2906" s="34">
        <v>47.27</v>
      </c>
      <c r="G2906" s="34">
        <v>47.66</v>
      </c>
      <c r="H2906" s="34">
        <v>47.66</v>
      </c>
      <c r="I2906" s="29">
        <v>63290000</v>
      </c>
    </row>
    <row r="2907" spans="3:9">
      <c r="C2907" s="125">
        <v>42965</v>
      </c>
      <c r="D2907" s="34">
        <v>48.07</v>
      </c>
      <c r="E2907" s="115">
        <v>48.27</v>
      </c>
      <c r="F2907" s="34">
        <v>47.73</v>
      </c>
      <c r="G2907" s="34">
        <v>47.92</v>
      </c>
      <c r="H2907" s="34">
        <v>47.92</v>
      </c>
      <c r="I2907" s="29">
        <v>65696000</v>
      </c>
    </row>
    <row r="2908" spans="3:9">
      <c r="C2908" s="125">
        <v>42964</v>
      </c>
      <c r="D2908" s="34">
        <v>48.89</v>
      </c>
      <c r="E2908" s="115">
        <v>48.89</v>
      </c>
      <c r="F2908" s="34">
        <v>48.02</v>
      </c>
      <c r="G2908" s="34">
        <v>48.03</v>
      </c>
      <c r="H2908" s="34">
        <v>48.03</v>
      </c>
      <c r="I2908" s="29">
        <v>70248000</v>
      </c>
    </row>
    <row r="2909" spans="3:9">
      <c r="C2909" s="125">
        <v>42963</v>
      </c>
      <c r="D2909" s="34">
        <v>49.08</v>
      </c>
      <c r="E2909" s="115">
        <v>49.32</v>
      </c>
      <c r="F2909" s="34">
        <v>48.66</v>
      </c>
      <c r="G2909" s="34">
        <v>48.91</v>
      </c>
      <c r="H2909" s="34">
        <v>48.91</v>
      </c>
      <c r="I2909" s="29">
        <v>62642000</v>
      </c>
    </row>
    <row r="2910" spans="3:9">
      <c r="C2910" s="125">
        <v>42962</v>
      </c>
      <c r="D2910" s="34">
        <v>49.44</v>
      </c>
      <c r="E2910" s="115">
        <v>49.59</v>
      </c>
      <c r="F2910" s="34">
        <v>49.1</v>
      </c>
      <c r="G2910" s="34">
        <v>49.14</v>
      </c>
      <c r="H2910" s="34">
        <v>49.14</v>
      </c>
      <c r="I2910" s="29">
        <v>50986000</v>
      </c>
    </row>
    <row r="2911" spans="3:9">
      <c r="C2911" s="125">
        <v>42961</v>
      </c>
      <c r="D2911" s="34">
        <v>48.92</v>
      </c>
      <c r="E2911" s="115">
        <v>49.28</v>
      </c>
      <c r="F2911" s="34">
        <v>48.81</v>
      </c>
      <c r="G2911" s="34">
        <v>49.17</v>
      </c>
      <c r="H2911" s="34">
        <v>49.17</v>
      </c>
      <c r="I2911" s="29">
        <v>63458000</v>
      </c>
    </row>
    <row r="2912" spans="3:9">
      <c r="C2912" s="125">
        <v>42958</v>
      </c>
      <c r="D2912" s="34">
        <v>48</v>
      </c>
      <c r="E2912" s="115">
        <v>48.52</v>
      </c>
      <c r="F2912" s="34">
        <v>47.57</v>
      </c>
      <c r="G2912" s="34">
        <v>48.4</v>
      </c>
      <c r="H2912" s="34">
        <v>48.4</v>
      </c>
      <c r="I2912" s="29">
        <v>69360000</v>
      </c>
    </row>
    <row r="2913" spans="3:9">
      <c r="C2913" s="125">
        <v>42957</v>
      </c>
      <c r="D2913" s="34">
        <v>48.81</v>
      </c>
      <c r="E2913" s="115">
        <v>48.99</v>
      </c>
      <c r="F2913" s="34">
        <v>47.73</v>
      </c>
      <c r="G2913" s="34">
        <v>47.85</v>
      </c>
      <c r="H2913" s="34">
        <v>47.85</v>
      </c>
      <c r="I2913" s="29">
        <v>113682000</v>
      </c>
    </row>
    <row r="2914" spans="3:9">
      <c r="C2914" s="125">
        <v>42956</v>
      </c>
      <c r="D2914" s="34">
        <v>49.13</v>
      </c>
      <c r="E2914" s="115">
        <v>49.4</v>
      </c>
      <c r="F2914" s="34">
        <v>48.76</v>
      </c>
      <c r="G2914" s="34">
        <v>49.1</v>
      </c>
      <c r="H2914" s="34">
        <v>49.1</v>
      </c>
      <c r="I2914" s="29">
        <v>71394000</v>
      </c>
    </row>
    <row r="2915" spans="3:9">
      <c r="C2915" s="125">
        <v>42955</v>
      </c>
      <c r="D2915" s="34">
        <v>49.72</v>
      </c>
      <c r="E2915" s="115">
        <v>49.81</v>
      </c>
      <c r="F2915" s="34">
        <v>49.29</v>
      </c>
      <c r="G2915" s="34">
        <v>49.49</v>
      </c>
      <c r="H2915" s="34">
        <v>49.49</v>
      </c>
      <c r="I2915" s="29">
        <v>58056000</v>
      </c>
    </row>
    <row r="2916" spans="3:9">
      <c r="C2916" s="125">
        <v>42954</v>
      </c>
      <c r="D2916" s="34">
        <v>49.53</v>
      </c>
      <c r="E2916" s="115">
        <v>49.75</v>
      </c>
      <c r="F2916" s="34">
        <v>49.36</v>
      </c>
      <c r="G2916" s="34">
        <v>49.61</v>
      </c>
      <c r="H2916" s="34">
        <v>49.61</v>
      </c>
      <c r="I2916" s="29">
        <v>53532000</v>
      </c>
    </row>
    <row r="2917" spans="3:9">
      <c r="C2917" s="125">
        <v>42951</v>
      </c>
      <c r="D2917" s="34">
        <v>49.48</v>
      </c>
      <c r="E2917" s="115">
        <v>49.58</v>
      </c>
      <c r="F2917" s="34">
        <v>49.1</v>
      </c>
      <c r="G2917" s="34">
        <v>49.38</v>
      </c>
      <c r="H2917" s="34">
        <v>49.38</v>
      </c>
      <c r="I2917" s="29">
        <v>54606000</v>
      </c>
    </row>
    <row r="2918" spans="3:9">
      <c r="C2918" s="125">
        <v>42950</v>
      </c>
      <c r="D2918" s="34">
        <v>49.97</v>
      </c>
      <c r="E2918" s="115">
        <v>49.97</v>
      </c>
      <c r="F2918" s="34">
        <v>49.23</v>
      </c>
      <c r="G2918" s="34">
        <v>49.35</v>
      </c>
      <c r="H2918" s="34">
        <v>49.35</v>
      </c>
      <c r="I2918" s="29">
        <v>65116000</v>
      </c>
    </row>
    <row r="2919" spans="3:9">
      <c r="C2919" s="125">
        <v>42949</v>
      </c>
      <c r="D2919" s="34">
        <v>50.09</v>
      </c>
      <c r="E2919" s="115">
        <v>50.16</v>
      </c>
      <c r="F2919" s="34">
        <v>49.09</v>
      </c>
      <c r="G2919" s="34">
        <v>49.79</v>
      </c>
      <c r="H2919" s="34">
        <v>49.79</v>
      </c>
      <c r="I2919" s="29">
        <v>81400000</v>
      </c>
    </row>
    <row r="2920" spans="3:9">
      <c r="C2920" s="125">
        <v>42948</v>
      </c>
      <c r="D2920" s="34">
        <v>49.81</v>
      </c>
      <c r="E2920" s="115">
        <v>50.32</v>
      </c>
      <c r="F2920" s="34">
        <v>49.58</v>
      </c>
      <c r="G2920" s="34">
        <v>49.81</v>
      </c>
      <c r="H2920" s="34">
        <v>49.81</v>
      </c>
      <c r="I2920" s="29">
        <v>91452000</v>
      </c>
    </row>
    <row r="2921" spans="3:9">
      <c r="C2921" s="125">
        <v>42947</v>
      </c>
      <c r="D2921" s="34">
        <v>50.95</v>
      </c>
      <c r="E2921" s="115">
        <v>50.95</v>
      </c>
      <c r="F2921" s="34">
        <v>49.35</v>
      </c>
      <c r="G2921" s="34">
        <v>49.39</v>
      </c>
      <c r="H2921" s="34">
        <v>49.39</v>
      </c>
      <c r="I2921" s="29">
        <v>147042000</v>
      </c>
    </row>
    <row r="2922" spans="3:9">
      <c r="C2922" s="125">
        <v>42944</v>
      </c>
      <c r="D2922" s="34">
        <v>50.61</v>
      </c>
      <c r="E2922" s="115">
        <v>51.64</v>
      </c>
      <c r="F2922" s="34">
        <v>50.05</v>
      </c>
      <c r="G2922" s="34">
        <v>51</v>
      </c>
      <c r="H2922" s="34">
        <v>51</v>
      </c>
      <c r="I2922" s="29">
        <v>154188000</v>
      </c>
    </row>
    <row r="2923" spans="3:9">
      <c r="C2923" s="125">
        <v>42943</v>
      </c>
      <c r="D2923" s="34">
        <v>53.48</v>
      </c>
      <c r="E2923" s="115">
        <v>54.17</v>
      </c>
      <c r="F2923" s="34">
        <v>52.01</v>
      </c>
      <c r="G2923" s="34">
        <v>52.3</v>
      </c>
      <c r="H2923" s="34">
        <v>52.3</v>
      </c>
      <c r="I2923" s="29">
        <v>219834000</v>
      </c>
    </row>
    <row r="2924" spans="3:9">
      <c r="C2924" s="125">
        <v>42942</v>
      </c>
      <c r="D2924" s="34">
        <v>52.16</v>
      </c>
      <c r="E2924" s="115">
        <v>52.66</v>
      </c>
      <c r="F2924" s="34">
        <v>52.16</v>
      </c>
      <c r="G2924" s="34">
        <v>52.64</v>
      </c>
      <c r="H2924" s="34">
        <v>52.64</v>
      </c>
      <c r="I2924" s="29">
        <v>58426000</v>
      </c>
    </row>
    <row r="2925" spans="3:9">
      <c r="C2925" s="125">
        <v>42941</v>
      </c>
      <c r="D2925" s="34">
        <v>51.9</v>
      </c>
      <c r="E2925" s="115">
        <v>52.17</v>
      </c>
      <c r="F2925" s="34">
        <v>51.62</v>
      </c>
      <c r="G2925" s="34">
        <v>51.99</v>
      </c>
      <c r="H2925" s="34">
        <v>51.99</v>
      </c>
      <c r="I2925" s="29">
        <v>48952000</v>
      </c>
    </row>
    <row r="2926" spans="3:9">
      <c r="C2926" s="125">
        <v>42940</v>
      </c>
      <c r="D2926" s="34">
        <v>51.42</v>
      </c>
      <c r="E2926" s="115">
        <v>52.15</v>
      </c>
      <c r="F2926" s="34">
        <v>51.37</v>
      </c>
      <c r="G2926" s="34">
        <v>51.95</v>
      </c>
      <c r="H2926" s="34">
        <v>51.95</v>
      </c>
      <c r="I2926" s="29">
        <v>65760000</v>
      </c>
    </row>
    <row r="2927" spans="3:9">
      <c r="C2927" s="125">
        <v>42937</v>
      </c>
      <c r="D2927" s="34">
        <v>51.06</v>
      </c>
      <c r="E2927" s="115">
        <v>51.31</v>
      </c>
      <c r="F2927" s="34">
        <v>50.55</v>
      </c>
      <c r="G2927" s="34">
        <v>51.28</v>
      </c>
      <c r="H2927" s="34">
        <v>51.28</v>
      </c>
      <c r="I2927" s="29">
        <v>54692000</v>
      </c>
    </row>
    <row r="2928" spans="3:9">
      <c r="C2928" s="125">
        <v>42936</v>
      </c>
      <c r="D2928" s="34">
        <v>51.58</v>
      </c>
      <c r="E2928" s="115">
        <v>51.75</v>
      </c>
      <c r="F2928" s="34">
        <v>51.13</v>
      </c>
      <c r="G2928" s="34">
        <v>51.44</v>
      </c>
      <c r="H2928" s="34">
        <v>51.44</v>
      </c>
      <c r="I2928" s="29">
        <v>61950000</v>
      </c>
    </row>
    <row r="2929" spans="3:9">
      <c r="C2929" s="125">
        <v>42935</v>
      </c>
      <c r="D2929" s="34">
        <v>51.25</v>
      </c>
      <c r="E2929" s="115">
        <v>51.58</v>
      </c>
      <c r="F2929" s="34">
        <v>51.13</v>
      </c>
      <c r="G2929" s="34">
        <v>51.34</v>
      </c>
      <c r="H2929" s="34">
        <v>51.34</v>
      </c>
      <c r="I2929" s="29">
        <v>59280000</v>
      </c>
    </row>
    <row r="2930" spans="3:9">
      <c r="C2930" s="125">
        <v>42934</v>
      </c>
      <c r="D2930" s="34">
        <v>50.3</v>
      </c>
      <c r="E2930" s="115">
        <v>51.3</v>
      </c>
      <c r="F2930" s="34">
        <v>50.2</v>
      </c>
      <c r="G2930" s="34">
        <v>51.22</v>
      </c>
      <c r="H2930" s="34">
        <v>51.22</v>
      </c>
      <c r="I2930" s="29">
        <v>80152000</v>
      </c>
    </row>
    <row r="2931" spans="3:9">
      <c r="C2931" s="125">
        <v>42933</v>
      </c>
      <c r="D2931" s="34">
        <v>50.23</v>
      </c>
      <c r="E2931" s="115">
        <v>50.74</v>
      </c>
      <c r="F2931" s="34">
        <v>50.19</v>
      </c>
      <c r="G2931" s="34">
        <v>50.5</v>
      </c>
      <c r="H2931" s="34">
        <v>50.5</v>
      </c>
      <c r="I2931" s="29">
        <v>74252000</v>
      </c>
    </row>
    <row r="2932" spans="3:9">
      <c r="C2932" s="125">
        <v>42930</v>
      </c>
      <c r="D2932" s="34">
        <v>50.12</v>
      </c>
      <c r="E2932" s="115">
        <v>50.22</v>
      </c>
      <c r="F2932" s="34">
        <v>49.84</v>
      </c>
      <c r="G2932" s="34">
        <v>50.09</v>
      </c>
      <c r="H2932" s="34">
        <v>50.09</v>
      </c>
      <c r="I2932" s="29">
        <v>42050000</v>
      </c>
    </row>
    <row r="2933" spans="3:9">
      <c r="C2933" s="125">
        <v>42929</v>
      </c>
      <c r="D2933" s="34">
        <v>50.23</v>
      </c>
      <c r="E2933" s="115">
        <v>50.34</v>
      </c>
      <c r="F2933" s="34">
        <v>49.79</v>
      </c>
      <c r="G2933" s="34">
        <v>50.03</v>
      </c>
      <c r="H2933" s="34">
        <v>50.03</v>
      </c>
      <c r="I2933" s="29">
        <v>57616000</v>
      </c>
    </row>
    <row r="2934" spans="3:9">
      <c r="C2934" s="125">
        <v>42928</v>
      </c>
      <c r="D2934" s="34">
        <v>50.03</v>
      </c>
      <c r="E2934" s="115">
        <v>50.43</v>
      </c>
      <c r="F2934" s="34">
        <v>49.9</v>
      </c>
      <c r="G2934" s="34">
        <v>50.33</v>
      </c>
      <c r="H2934" s="34">
        <v>50.33</v>
      </c>
      <c r="I2934" s="29">
        <v>72172000</v>
      </c>
    </row>
    <row r="2935" spans="3:9">
      <c r="C2935" s="125">
        <v>42927</v>
      </c>
      <c r="D2935" s="34">
        <v>49.65</v>
      </c>
      <c r="E2935" s="115">
        <v>49.8</v>
      </c>
      <c r="F2935" s="34">
        <v>49.19</v>
      </c>
      <c r="G2935" s="34">
        <v>49.71</v>
      </c>
      <c r="H2935" s="34">
        <v>49.71</v>
      </c>
      <c r="I2935" s="29">
        <v>59654000</v>
      </c>
    </row>
    <row r="2936" spans="3:9">
      <c r="C2936" s="125">
        <v>42926</v>
      </c>
      <c r="D2936" s="34">
        <v>49.25</v>
      </c>
      <c r="E2936" s="115">
        <v>49.97</v>
      </c>
      <c r="F2936" s="34">
        <v>49.17</v>
      </c>
      <c r="G2936" s="34">
        <v>49.82</v>
      </c>
      <c r="H2936" s="34">
        <v>49.82</v>
      </c>
      <c r="I2936" s="29">
        <v>70926000</v>
      </c>
    </row>
    <row r="2937" spans="3:9">
      <c r="C2937" s="125">
        <v>42923</v>
      </c>
      <c r="D2937" s="34">
        <v>48.48</v>
      </c>
      <c r="E2937" s="115">
        <v>49.01</v>
      </c>
      <c r="F2937" s="34">
        <v>48.46</v>
      </c>
      <c r="G2937" s="34">
        <v>48.94</v>
      </c>
      <c r="H2937" s="34">
        <v>48.94</v>
      </c>
      <c r="I2937" s="29">
        <v>52868000</v>
      </c>
    </row>
    <row r="2938" spans="3:9">
      <c r="C2938" s="125">
        <v>42922</v>
      </c>
      <c r="D2938" s="34">
        <v>48.23</v>
      </c>
      <c r="E2938" s="115">
        <v>48.72</v>
      </c>
      <c r="F2938" s="34">
        <v>47.95</v>
      </c>
      <c r="G2938" s="34">
        <v>48.26</v>
      </c>
      <c r="H2938" s="34">
        <v>48.26</v>
      </c>
      <c r="I2938" s="29">
        <v>65192000</v>
      </c>
    </row>
    <row r="2939" spans="3:9">
      <c r="C2939" s="125">
        <v>42921</v>
      </c>
      <c r="D2939" s="34">
        <v>48.08</v>
      </c>
      <c r="E2939" s="115">
        <v>48.75</v>
      </c>
      <c r="F2939" s="34">
        <v>47.76</v>
      </c>
      <c r="G2939" s="34">
        <v>48.57</v>
      </c>
      <c r="H2939" s="34">
        <v>48.57</v>
      </c>
      <c r="I2939" s="29">
        <v>73060000</v>
      </c>
    </row>
    <row r="2940" spans="3:9">
      <c r="C2940" s="125">
        <v>42919</v>
      </c>
      <c r="D2940" s="34">
        <v>48.64</v>
      </c>
      <c r="E2940" s="115">
        <v>48.72</v>
      </c>
      <c r="F2940" s="34">
        <v>47.55</v>
      </c>
      <c r="G2940" s="34">
        <v>47.68</v>
      </c>
      <c r="H2940" s="34">
        <v>47.68</v>
      </c>
      <c r="I2940" s="29">
        <v>58182000</v>
      </c>
    </row>
    <row r="2941" spans="3:9">
      <c r="C2941" s="125">
        <v>42916</v>
      </c>
      <c r="D2941" s="34">
        <v>49.01</v>
      </c>
      <c r="E2941" s="115">
        <v>49.17</v>
      </c>
      <c r="F2941" s="34">
        <v>48.38</v>
      </c>
      <c r="G2941" s="34">
        <v>48.4</v>
      </c>
      <c r="H2941" s="34">
        <v>48.4</v>
      </c>
      <c r="I2941" s="29">
        <v>67806000</v>
      </c>
    </row>
    <row r="2942" spans="3:9">
      <c r="C2942" s="125">
        <v>42915</v>
      </c>
      <c r="D2942" s="34">
        <v>48.95</v>
      </c>
      <c r="E2942" s="115">
        <v>49.38</v>
      </c>
      <c r="F2942" s="34">
        <v>48.26</v>
      </c>
      <c r="G2942" s="34">
        <v>48.8</v>
      </c>
      <c r="H2942" s="34">
        <v>48.8</v>
      </c>
      <c r="I2942" s="29">
        <v>86060000</v>
      </c>
    </row>
    <row r="2943" spans="3:9">
      <c r="C2943" s="125">
        <v>42914</v>
      </c>
      <c r="D2943" s="34">
        <v>48.93</v>
      </c>
      <c r="E2943" s="115">
        <v>49.53</v>
      </c>
      <c r="F2943" s="34">
        <v>48.46</v>
      </c>
      <c r="G2943" s="34">
        <v>49.52</v>
      </c>
      <c r="H2943" s="34">
        <v>49.52</v>
      </c>
      <c r="I2943" s="29">
        <v>74752000</v>
      </c>
    </row>
    <row r="2944" spans="3:9">
      <c r="C2944" s="125">
        <v>42913</v>
      </c>
      <c r="D2944" s="34">
        <v>49.53</v>
      </c>
      <c r="E2944" s="115">
        <v>49.94</v>
      </c>
      <c r="F2944" s="34">
        <v>48.8</v>
      </c>
      <c r="G2944" s="34">
        <v>48.84</v>
      </c>
      <c r="H2944" s="34">
        <v>48.84</v>
      </c>
      <c r="I2944" s="29">
        <v>75648000</v>
      </c>
    </row>
    <row r="2945" spans="3:9">
      <c r="C2945" s="125">
        <v>42912</v>
      </c>
      <c r="D2945" s="34">
        <v>50.42</v>
      </c>
      <c r="E2945" s="115">
        <v>50.49</v>
      </c>
      <c r="F2945" s="34">
        <v>49.6</v>
      </c>
      <c r="G2945" s="34">
        <v>49.7</v>
      </c>
      <c r="H2945" s="34">
        <v>49.7</v>
      </c>
      <c r="I2945" s="29">
        <v>67724000</v>
      </c>
    </row>
    <row r="2946" spans="3:9">
      <c r="C2946" s="125">
        <v>42909</v>
      </c>
      <c r="D2946" s="34">
        <v>50.13</v>
      </c>
      <c r="E2946" s="115">
        <v>50.23</v>
      </c>
      <c r="F2946" s="34">
        <v>49.9</v>
      </c>
      <c r="G2946" s="34">
        <v>50.19</v>
      </c>
      <c r="H2946" s="34">
        <v>50.19</v>
      </c>
      <c r="I2946" s="29">
        <v>57582000</v>
      </c>
    </row>
    <row r="2947" spans="3:9">
      <c r="C2947" s="125">
        <v>42908</v>
      </c>
      <c r="D2947" s="34">
        <v>50.11</v>
      </c>
      <c r="E2947" s="115">
        <v>50.35</v>
      </c>
      <c r="F2947" s="34">
        <v>49.86</v>
      </c>
      <c r="G2947" s="34">
        <v>50.06</v>
      </c>
      <c r="H2947" s="34">
        <v>50.06</v>
      </c>
      <c r="I2947" s="29">
        <v>45068000</v>
      </c>
    </row>
    <row r="2948" spans="3:9">
      <c r="C2948" s="125">
        <v>42907</v>
      </c>
      <c r="D2948" s="34">
        <v>49.94</v>
      </c>
      <c r="E2948" s="115">
        <v>50.14</v>
      </c>
      <c r="F2948" s="34">
        <v>49.63</v>
      </c>
      <c r="G2948" s="34">
        <v>50.11</v>
      </c>
      <c r="H2948" s="34">
        <v>50.11</v>
      </c>
      <c r="I2948" s="29">
        <v>58450000</v>
      </c>
    </row>
    <row r="2949" spans="3:9">
      <c r="C2949" s="125">
        <v>42906</v>
      </c>
      <c r="D2949" s="34">
        <v>49.9</v>
      </c>
      <c r="E2949" s="115">
        <v>50.24</v>
      </c>
      <c r="F2949" s="34">
        <v>49.6</v>
      </c>
      <c r="G2949" s="34">
        <v>49.63</v>
      </c>
      <c r="H2949" s="34">
        <v>49.63</v>
      </c>
      <c r="I2949" s="29">
        <v>81536000</v>
      </c>
    </row>
    <row r="2950" spans="3:9">
      <c r="C2950" s="125">
        <v>42905</v>
      </c>
      <c r="D2950" s="34">
        <v>50.85</v>
      </c>
      <c r="E2950" s="115">
        <v>50.85</v>
      </c>
      <c r="F2950" s="34">
        <v>49.49</v>
      </c>
      <c r="G2950" s="34">
        <v>49.76</v>
      </c>
      <c r="H2950" s="34">
        <v>49.76</v>
      </c>
      <c r="I2950" s="29">
        <v>100868000</v>
      </c>
    </row>
    <row r="2951" spans="3:9">
      <c r="C2951" s="125">
        <v>42902</v>
      </c>
      <c r="D2951" s="34">
        <v>49.8</v>
      </c>
      <c r="E2951" s="115">
        <v>49.99</v>
      </c>
      <c r="F2951" s="34">
        <v>49.1</v>
      </c>
      <c r="G2951" s="34">
        <v>49.39</v>
      </c>
      <c r="H2951" s="34">
        <v>49.39</v>
      </c>
      <c r="I2951" s="29">
        <v>229454000</v>
      </c>
    </row>
    <row r="2952" spans="3:9">
      <c r="C2952" s="125">
        <v>42901</v>
      </c>
      <c r="D2952" s="34">
        <v>47.94</v>
      </c>
      <c r="E2952" s="115">
        <v>48.29</v>
      </c>
      <c r="F2952" s="34">
        <v>47.54</v>
      </c>
      <c r="G2952" s="34">
        <v>48.21</v>
      </c>
      <c r="H2952" s="34">
        <v>48.21</v>
      </c>
      <c r="I2952" s="29">
        <v>107478000</v>
      </c>
    </row>
    <row r="2953" spans="3:9">
      <c r="C2953" s="125">
        <v>42900</v>
      </c>
      <c r="D2953" s="34">
        <v>49.43</v>
      </c>
      <c r="E2953" s="115">
        <v>49.52</v>
      </c>
      <c r="F2953" s="34">
        <v>48.34</v>
      </c>
      <c r="G2953" s="34">
        <v>48.82</v>
      </c>
      <c r="H2953" s="34">
        <v>48.82</v>
      </c>
      <c r="I2953" s="29">
        <v>79498000</v>
      </c>
    </row>
    <row r="2954" spans="3:9">
      <c r="C2954" s="125">
        <v>42899</v>
      </c>
      <c r="D2954" s="34">
        <v>48.9</v>
      </c>
      <c r="E2954" s="115">
        <v>49.22</v>
      </c>
      <c r="F2954" s="34">
        <v>48.31</v>
      </c>
      <c r="G2954" s="34">
        <v>49.04</v>
      </c>
      <c r="H2954" s="34">
        <v>49.04</v>
      </c>
      <c r="I2954" s="29">
        <v>91600000</v>
      </c>
    </row>
    <row r="2955" spans="3:9">
      <c r="C2955" s="125">
        <v>42898</v>
      </c>
      <c r="D2955" s="34">
        <v>48.35</v>
      </c>
      <c r="E2955" s="115">
        <v>48.8</v>
      </c>
      <c r="F2955" s="34">
        <v>47.25</v>
      </c>
      <c r="G2955" s="34">
        <v>48.25</v>
      </c>
      <c r="H2955" s="34">
        <v>48.25</v>
      </c>
      <c r="I2955" s="29">
        <v>188944000</v>
      </c>
    </row>
    <row r="2956" spans="3:9">
      <c r="C2956" s="125">
        <v>42895</v>
      </c>
      <c r="D2956" s="34">
        <v>50.63</v>
      </c>
      <c r="E2956" s="115">
        <v>50.65</v>
      </c>
      <c r="F2956" s="34">
        <v>46.35</v>
      </c>
      <c r="G2956" s="34">
        <v>48.92</v>
      </c>
      <c r="H2956" s="34">
        <v>48.92</v>
      </c>
      <c r="I2956" s="29">
        <v>152954000</v>
      </c>
    </row>
    <row r="2957" spans="3:9">
      <c r="C2957" s="125">
        <v>42894</v>
      </c>
      <c r="D2957" s="34">
        <v>50.6</v>
      </c>
      <c r="E2957" s="115">
        <v>50.68</v>
      </c>
      <c r="F2957" s="34">
        <v>50.31</v>
      </c>
      <c r="G2957" s="34">
        <v>50.51</v>
      </c>
      <c r="H2957" s="34">
        <v>50.51</v>
      </c>
      <c r="I2957" s="29">
        <v>55358000</v>
      </c>
    </row>
    <row r="2958" spans="3:9">
      <c r="C2958" s="125">
        <v>42893</v>
      </c>
      <c r="D2958" s="34">
        <v>50.3</v>
      </c>
      <c r="E2958" s="115">
        <v>50.51</v>
      </c>
      <c r="F2958" s="34">
        <v>50.1</v>
      </c>
      <c r="G2958" s="34">
        <v>50.5</v>
      </c>
      <c r="H2958" s="34">
        <v>50.5</v>
      </c>
      <c r="I2958" s="29">
        <v>56460000</v>
      </c>
    </row>
    <row r="2959" spans="3:9">
      <c r="C2959" s="125">
        <v>42892</v>
      </c>
      <c r="D2959" s="34">
        <v>50.6</v>
      </c>
      <c r="E2959" s="115">
        <v>50.83</v>
      </c>
      <c r="F2959" s="34">
        <v>50.06</v>
      </c>
      <c r="G2959" s="34">
        <v>50.15</v>
      </c>
      <c r="H2959" s="34">
        <v>50.15</v>
      </c>
      <c r="I2959" s="29">
        <v>66928000</v>
      </c>
    </row>
    <row r="2960" spans="3:9">
      <c r="C2960" s="125">
        <v>42891</v>
      </c>
      <c r="D2960" s="34">
        <v>50.36</v>
      </c>
      <c r="E2960" s="115">
        <v>50.66</v>
      </c>
      <c r="F2960" s="34">
        <v>50.18</v>
      </c>
      <c r="G2960" s="34">
        <v>50.57</v>
      </c>
      <c r="H2960" s="34">
        <v>50.57</v>
      </c>
      <c r="I2960" s="29">
        <v>54398000</v>
      </c>
    </row>
    <row r="2961" spans="3:9">
      <c r="C2961" s="125">
        <v>42888</v>
      </c>
      <c r="D2961" s="34">
        <v>49.95</v>
      </c>
      <c r="E2961" s="115">
        <v>50.42</v>
      </c>
      <c r="F2961" s="34">
        <v>49.78</v>
      </c>
      <c r="G2961" s="34">
        <v>50.34</v>
      </c>
      <c r="H2961" s="34">
        <v>50.34</v>
      </c>
      <c r="I2961" s="29">
        <v>75046000</v>
      </c>
    </row>
    <row r="2962" spans="3:9">
      <c r="C2962" s="125">
        <v>42887</v>
      </c>
      <c r="D2962" s="34">
        <v>49.93</v>
      </c>
      <c r="E2962" s="115">
        <v>49.95</v>
      </c>
      <c r="F2962" s="34">
        <v>49.57</v>
      </c>
      <c r="G2962" s="34">
        <v>49.8</v>
      </c>
      <c r="H2962" s="34">
        <v>49.8</v>
      </c>
      <c r="I2962" s="29">
        <v>49096000</v>
      </c>
    </row>
    <row r="2963" spans="3:9">
      <c r="C2963" s="125">
        <v>42886</v>
      </c>
      <c r="D2963" s="34">
        <v>50</v>
      </c>
      <c r="E2963" s="115">
        <v>50.01</v>
      </c>
      <c r="F2963" s="34">
        <v>49.11</v>
      </c>
      <c r="G2963" s="34">
        <v>49.73</v>
      </c>
      <c r="H2963" s="34">
        <v>49.73</v>
      </c>
      <c r="I2963" s="29">
        <v>78262000</v>
      </c>
    </row>
    <row r="2964" spans="3:9">
      <c r="C2964" s="125">
        <v>42885</v>
      </c>
      <c r="D2964" s="34">
        <v>49.83</v>
      </c>
      <c r="E2964" s="115">
        <v>50.06</v>
      </c>
      <c r="F2964" s="34">
        <v>49.78</v>
      </c>
      <c r="G2964" s="34">
        <v>49.83</v>
      </c>
      <c r="H2964" s="34">
        <v>49.83</v>
      </c>
      <c r="I2964" s="29">
        <v>65262000</v>
      </c>
    </row>
    <row r="2965" spans="3:9">
      <c r="C2965" s="125">
        <v>42881</v>
      </c>
      <c r="D2965" s="34">
        <v>49.75</v>
      </c>
      <c r="E2965" s="115">
        <v>49.93</v>
      </c>
      <c r="F2965" s="34">
        <v>49.46</v>
      </c>
      <c r="G2965" s="34">
        <v>49.79</v>
      </c>
      <c r="H2965" s="34">
        <v>49.79</v>
      </c>
      <c r="I2965" s="29">
        <v>69384000</v>
      </c>
    </row>
    <row r="2966" spans="3:9">
      <c r="C2966" s="125">
        <v>42880</v>
      </c>
      <c r="D2966" s="34">
        <v>49.24</v>
      </c>
      <c r="E2966" s="115">
        <v>49.95</v>
      </c>
      <c r="F2966" s="34">
        <v>49.11</v>
      </c>
      <c r="G2966" s="34">
        <v>49.67</v>
      </c>
      <c r="H2966" s="34">
        <v>49.67</v>
      </c>
      <c r="I2966" s="29">
        <v>96440000</v>
      </c>
    </row>
    <row r="2967" spans="3:9">
      <c r="C2967" s="125">
        <v>42879</v>
      </c>
      <c r="D2967" s="34">
        <v>48.8</v>
      </c>
      <c r="E2967" s="115">
        <v>49.05</v>
      </c>
      <c r="F2967" s="34">
        <v>48.51</v>
      </c>
      <c r="G2967" s="34">
        <v>49.02</v>
      </c>
      <c r="H2967" s="34">
        <v>49.02</v>
      </c>
      <c r="I2967" s="29">
        <v>48920000</v>
      </c>
    </row>
    <row r="2968" spans="3:9">
      <c r="C2968" s="125">
        <v>42878</v>
      </c>
      <c r="D2968" s="34">
        <v>48.75</v>
      </c>
      <c r="E2968" s="115">
        <v>48.76</v>
      </c>
      <c r="F2968" s="34">
        <v>48.34</v>
      </c>
      <c r="G2968" s="34">
        <v>48.58</v>
      </c>
      <c r="H2968" s="34">
        <v>48.58</v>
      </c>
      <c r="I2968" s="29">
        <v>48312000</v>
      </c>
    </row>
    <row r="2969" spans="3:9">
      <c r="C2969" s="125">
        <v>42877</v>
      </c>
      <c r="D2969" s="34">
        <v>48.2</v>
      </c>
      <c r="E2969" s="115">
        <v>48.57</v>
      </c>
      <c r="F2969" s="34">
        <v>48.15</v>
      </c>
      <c r="G2969" s="34">
        <v>48.53</v>
      </c>
      <c r="H2969" s="34">
        <v>48.53</v>
      </c>
      <c r="I2969" s="29">
        <v>52844000</v>
      </c>
    </row>
    <row r="2970" spans="3:9">
      <c r="C2970" s="125">
        <v>42874</v>
      </c>
      <c r="D2970" s="34">
        <v>48.14</v>
      </c>
      <c r="E2970" s="115">
        <v>48.45</v>
      </c>
      <c r="F2970" s="34">
        <v>47.99</v>
      </c>
      <c r="G2970" s="34">
        <v>47.99</v>
      </c>
      <c r="H2970" s="34">
        <v>47.99</v>
      </c>
      <c r="I2970" s="29">
        <v>79442000</v>
      </c>
    </row>
    <row r="2971" spans="3:9">
      <c r="C2971" s="125">
        <v>42873</v>
      </c>
      <c r="D2971" s="34">
        <v>47.24</v>
      </c>
      <c r="E2971" s="115">
        <v>48.14</v>
      </c>
      <c r="F2971" s="34">
        <v>47.24</v>
      </c>
      <c r="G2971" s="34">
        <v>47.92</v>
      </c>
      <c r="H2971" s="34">
        <v>47.92</v>
      </c>
      <c r="I2971" s="29">
        <v>78786000</v>
      </c>
    </row>
    <row r="2972" spans="3:9">
      <c r="C2972" s="125">
        <v>42872</v>
      </c>
      <c r="D2972" s="34">
        <v>47.74</v>
      </c>
      <c r="E2972" s="115">
        <v>48.02</v>
      </c>
      <c r="F2972" s="34">
        <v>47.21</v>
      </c>
      <c r="G2972" s="34">
        <v>47.24</v>
      </c>
      <c r="H2972" s="34">
        <v>47.24</v>
      </c>
      <c r="I2972" s="29">
        <v>102912000</v>
      </c>
    </row>
    <row r="2973" spans="3:9">
      <c r="C2973" s="125">
        <v>42871</v>
      </c>
      <c r="D2973" s="34">
        <v>48.05</v>
      </c>
      <c r="E2973" s="115">
        <v>48.5</v>
      </c>
      <c r="F2973" s="34">
        <v>48.05</v>
      </c>
      <c r="G2973" s="34">
        <v>48.3</v>
      </c>
      <c r="H2973" s="34">
        <v>48.3</v>
      </c>
      <c r="I2973" s="29">
        <v>62522000</v>
      </c>
    </row>
    <row r="2974" spans="3:9">
      <c r="C2974" s="125">
        <v>42870</v>
      </c>
      <c r="D2974" s="34">
        <v>47.94</v>
      </c>
      <c r="E2974" s="115">
        <v>48.16</v>
      </c>
      <c r="F2974" s="34">
        <v>47.8</v>
      </c>
      <c r="G2974" s="34">
        <v>47.9</v>
      </c>
      <c r="H2974" s="34">
        <v>47.9</v>
      </c>
      <c r="I2974" s="29">
        <v>85412000</v>
      </c>
    </row>
    <row r="2975" spans="3:9">
      <c r="C2975" s="125">
        <v>42867</v>
      </c>
      <c r="D2975" s="34">
        <v>47.72</v>
      </c>
      <c r="E2975" s="115">
        <v>48.14</v>
      </c>
      <c r="F2975" s="34">
        <v>47.58</v>
      </c>
      <c r="G2975" s="34">
        <v>48.07</v>
      </c>
      <c r="H2975" s="34">
        <v>48.07</v>
      </c>
      <c r="I2975" s="29">
        <v>72518000</v>
      </c>
    </row>
    <row r="2976" spans="3:9">
      <c r="C2976" s="125">
        <v>42866</v>
      </c>
      <c r="D2976" s="34">
        <v>47.26</v>
      </c>
      <c r="E2976" s="115">
        <v>47.51</v>
      </c>
      <c r="F2976" s="34">
        <v>47.04</v>
      </c>
      <c r="G2976" s="34">
        <v>47.38</v>
      </c>
      <c r="H2976" s="34">
        <v>47.38</v>
      </c>
      <c r="I2976" s="29">
        <v>43882000</v>
      </c>
    </row>
    <row r="2977" spans="3:9">
      <c r="C2977" s="125">
        <v>42865</v>
      </c>
      <c r="D2977" s="34">
        <v>47.67</v>
      </c>
      <c r="E2977" s="115">
        <v>47.69</v>
      </c>
      <c r="F2977" s="34">
        <v>47.25</v>
      </c>
      <c r="G2977" s="34">
        <v>47.45</v>
      </c>
      <c r="H2977" s="34">
        <v>47.45</v>
      </c>
      <c r="I2977" s="29">
        <v>41930000</v>
      </c>
    </row>
    <row r="2978" spans="3:9">
      <c r="C2978" s="125">
        <v>42864</v>
      </c>
      <c r="D2978" s="34">
        <v>47.64</v>
      </c>
      <c r="E2978" s="115">
        <v>47.89</v>
      </c>
      <c r="F2978" s="34">
        <v>47.51</v>
      </c>
      <c r="G2978" s="34">
        <v>47.64</v>
      </c>
      <c r="H2978" s="34">
        <v>47.64</v>
      </c>
      <c r="I2978" s="29">
        <v>65242000</v>
      </c>
    </row>
    <row r="2979" spans="3:9">
      <c r="C2979" s="125">
        <v>42863</v>
      </c>
      <c r="D2979" s="34">
        <v>47.05</v>
      </c>
      <c r="E2979" s="115">
        <v>47.45</v>
      </c>
      <c r="F2979" s="34">
        <v>46.96</v>
      </c>
      <c r="G2979" s="34">
        <v>47.45</v>
      </c>
      <c r="H2979" s="34">
        <v>47.45</v>
      </c>
      <c r="I2979" s="29">
        <v>68314000</v>
      </c>
    </row>
    <row r="2980" spans="3:9">
      <c r="C2980" s="125">
        <v>42860</v>
      </c>
      <c r="D2980" s="34">
        <v>47.03</v>
      </c>
      <c r="E2980" s="115">
        <v>47.04</v>
      </c>
      <c r="F2980" s="34">
        <v>46.51</v>
      </c>
      <c r="G2980" s="34">
        <v>46.71</v>
      </c>
      <c r="H2980" s="34">
        <v>46.71</v>
      </c>
      <c r="I2980" s="29">
        <v>57328000</v>
      </c>
    </row>
    <row r="2981" spans="3:9">
      <c r="C2981" s="125">
        <v>42859</v>
      </c>
      <c r="D2981" s="34">
        <v>47.24</v>
      </c>
      <c r="E2981" s="115">
        <v>47.25</v>
      </c>
      <c r="F2981" s="34">
        <v>46.71</v>
      </c>
      <c r="G2981" s="34">
        <v>46.88</v>
      </c>
      <c r="H2981" s="34">
        <v>46.88</v>
      </c>
      <c r="I2981" s="29">
        <v>48368000</v>
      </c>
    </row>
    <row r="2982" spans="3:9">
      <c r="C2982" s="125">
        <v>42858</v>
      </c>
      <c r="D2982" s="34">
        <v>47.3</v>
      </c>
      <c r="E2982" s="115">
        <v>47.3</v>
      </c>
      <c r="F2982" s="34">
        <v>46.79</v>
      </c>
      <c r="G2982" s="34">
        <v>47.05</v>
      </c>
      <c r="H2982" s="34">
        <v>47.05</v>
      </c>
      <c r="I2982" s="29">
        <v>71654000</v>
      </c>
    </row>
    <row r="2983" spans="3:9">
      <c r="C2983" s="125">
        <v>42857</v>
      </c>
      <c r="D2983" s="34">
        <v>47.33</v>
      </c>
      <c r="E2983" s="115">
        <v>47.51</v>
      </c>
      <c r="F2983" s="34">
        <v>47.07</v>
      </c>
      <c r="G2983" s="34">
        <v>47.35</v>
      </c>
      <c r="H2983" s="34">
        <v>47.35</v>
      </c>
      <c r="I2983" s="29">
        <v>76976000</v>
      </c>
    </row>
    <row r="2984" spans="3:9">
      <c r="C2984" s="125">
        <v>42856</v>
      </c>
      <c r="D2984" s="34">
        <v>46.39</v>
      </c>
      <c r="E2984" s="115">
        <v>47.72</v>
      </c>
      <c r="F2984" s="34">
        <v>46.39</v>
      </c>
      <c r="G2984" s="34">
        <v>47.41</v>
      </c>
      <c r="H2984" s="34">
        <v>47.41</v>
      </c>
      <c r="I2984" s="29">
        <v>109330000</v>
      </c>
    </row>
    <row r="2985" spans="3:9">
      <c r="C2985" s="125">
        <v>42853</v>
      </c>
      <c r="D2985" s="34">
        <v>47.44</v>
      </c>
      <c r="E2985" s="115">
        <v>47.48</v>
      </c>
      <c r="F2985" s="34">
        <v>46.22</v>
      </c>
      <c r="G2985" s="34">
        <v>46.25</v>
      </c>
      <c r="H2985" s="34">
        <v>46.25</v>
      </c>
      <c r="I2985" s="29">
        <v>147294000</v>
      </c>
    </row>
    <row r="2986" spans="3:9">
      <c r="C2986" s="125">
        <v>42852</v>
      </c>
      <c r="D2986" s="34">
        <v>45.72</v>
      </c>
      <c r="E2986" s="115">
        <v>46.09</v>
      </c>
      <c r="F2986" s="34">
        <v>45.61</v>
      </c>
      <c r="G2986" s="34">
        <v>45.92</v>
      </c>
      <c r="H2986" s="34">
        <v>45.92</v>
      </c>
      <c r="I2986" s="29">
        <v>106110000</v>
      </c>
    </row>
    <row r="2987" spans="3:9">
      <c r="C2987" s="125">
        <v>42851</v>
      </c>
      <c r="D2987" s="34">
        <v>45.51</v>
      </c>
      <c r="E2987" s="115">
        <v>45.79</v>
      </c>
      <c r="F2987" s="34">
        <v>45.38</v>
      </c>
      <c r="G2987" s="34">
        <v>45.46</v>
      </c>
      <c r="H2987" s="34">
        <v>45.46</v>
      </c>
      <c r="I2987" s="29">
        <v>52178000</v>
      </c>
    </row>
    <row r="2988" spans="3:9">
      <c r="C2988" s="125">
        <v>42850</v>
      </c>
      <c r="D2988" s="34">
        <v>45.35</v>
      </c>
      <c r="E2988" s="115">
        <v>45.47</v>
      </c>
      <c r="F2988" s="34">
        <v>45.15</v>
      </c>
      <c r="G2988" s="34">
        <v>45.38</v>
      </c>
      <c r="H2988" s="34">
        <v>45.38</v>
      </c>
      <c r="I2988" s="29">
        <v>67612000</v>
      </c>
    </row>
    <row r="2989" spans="3:9">
      <c r="C2989" s="125">
        <v>42849</v>
      </c>
      <c r="D2989" s="34">
        <v>45.43</v>
      </c>
      <c r="E2989" s="115">
        <v>45.5</v>
      </c>
      <c r="F2989" s="34">
        <v>45.19</v>
      </c>
      <c r="G2989" s="34">
        <v>45.37</v>
      </c>
      <c r="H2989" s="34">
        <v>45.37</v>
      </c>
      <c r="I2989" s="29">
        <v>62458000</v>
      </c>
    </row>
    <row r="2990" spans="3:9">
      <c r="C2990" s="125">
        <v>42846</v>
      </c>
      <c r="D2990" s="34">
        <v>45.13</v>
      </c>
      <c r="E2990" s="115">
        <v>45.18</v>
      </c>
      <c r="F2990" s="34">
        <v>44.84</v>
      </c>
      <c r="G2990" s="34">
        <v>44.93</v>
      </c>
      <c r="H2990" s="34">
        <v>44.93</v>
      </c>
      <c r="I2990" s="29">
        <v>48410000</v>
      </c>
    </row>
    <row r="2991" spans="3:9">
      <c r="C2991" s="125">
        <v>42845</v>
      </c>
      <c r="D2991" s="34">
        <v>44.99</v>
      </c>
      <c r="E2991" s="115">
        <v>45.27</v>
      </c>
      <c r="F2991" s="34">
        <v>44.81</v>
      </c>
      <c r="G2991" s="34">
        <v>45.1</v>
      </c>
      <c r="H2991" s="34">
        <v>45.1</v>
      </c>
      <c r="I2991" s="29">
        <v>56288000</v>
      </c>
    </row>
    <row r="2992" spans="3:9">
      <c r="C2992" s="125">
        <v>42844</v>
      </c>
      <c r="D2992" s="34">
        <v>45.39</v>
      </c>
      <c r="E2992" s="115">
        <v>45.53</v>
      </c>
      <c r="F2992" s="34">
        <v>44.87</v>
      </c>
      <c r="G2992" s="34">
        <v>44.96</v>
      </c>
      <c r="H2992" s="34">
        <v>44.96</v>
      </c>
      <c r="I2992" s="29">
        <v>57404000</v>
      </c>
    </row>
    <row r="2993" spans="3:9">
      <c r="C2993" s="125">
        <v>42843</v>
      </c>
      <c r="D2993" s="34">
        <v>45.05</v>
      </c>
      <c r="E2993" s="115">
        <v>45.48</v>
      </c>
      <c r="F2993" s="34">
        <v>45.04</v>
      </c>
      <c r="G2993" s="34">
        <v>45.19</v>
      </c>
      <c r="H2993" s="34">
        <v>45.19</v>
      </c>
      <c r="I2993" s="29">
        <v>59984000</v>
      </c>
    </row>
    <row r="2994" spans="3:9">
      <c r="C2994" s="125">
        <v>42842</v>
      </c>
      <c r="D2994" s="34">
        <v>44.38</v>
      </c>
      <c r="E2994" s="115">
        <v>45.12</v>
      </c>
      <c r="F2994" s="34">
        <v>44.38</v>
      </c>
      <c r="G2994" s="34">
        <v>45.1</v>
      </c>
      <c r="H2994" s="34">
        <v>45.1</v>
      </c>
      <c r="I2994" s="29">
        <v>57094000</v>
      </c>
    </row>
    <row r="2995" spans="3:9">
      <c r="C2995" s="125">
        <v>42838</v>
      </c>
      <c r="D2995" s="34">
        <v>44.57</v>
      </c>
      <c r="E2995" s="115">
        <v>44.75</v>
      </c>
      <c r="F2995" s="34">
        <v>44.22</v>
      </c>
      <c r="G2995" s="34">
        <v>44.23</v>
      </c>
      <c r="H2995" s="34">
        <v>44.23</v>
      </c>
      <c r="I2995" s="29">
        <v>63492000</v>
      </c>
    </row>
    <row r="2996" spans="3:9">
      <c r="C2996" s="125">
        <v>42837</v>
      </c>
      <c r="D2996" s="34">
        <v>45.15</v>
      </c>
      <c r="E2996" s="115">
        <v>45.2</v>
      </c>
      <c r="F2996" s="34">
        <v>44.76</v>
      </c>
      <c r="G2996" s="34">
        <v>44.81</v>
      </c>
      <c r="H2996" s="34">
        <v>44.81</v>
      </c>
      <c r="I2996" s="29">
        <v>49122000</v>
      </c>
    </row>
    <row r="2997" spans="3:9">
      <c r="C2997" s="125">
        <v>42836</v>
      </c>
      <c r="D2997" s="34">
        <v>45.35</v>
      </c>
      <c r="E2997" s="115">
        <v>45.56</v>
      </c>
      <c r="F2997" s="34">
        <v>44.88</v>
      </c>
      <c r="G2997" s="34">
        <v>45.12</v>
      </c>
      <c r="H2997" s="34">
        <v>45.12</v>
      </c>
      <c r="I2997" s="29">
        <v>60254000</v>
      </c>
    </row>
    <row r="2998" spans="3:9">
      <c r="C2998" s="125">
        <v>42835</v>
      </c>
      <c r="D2998" s="34">
        <v>44.98</v>
      </c>
      <c r="E2998" s="115">
        <v>45.43</v>
      </c>
      <c r="F2998" s="34">
        <v>44.95</v>
      </c>
      <c r="G2998" s="34">
        <v>45.35</v>
      </c>
      <c r="H2998" s="34">
        <v>45.35</v>
      </c>
      <c r="I2998" s="29">
        <v>63686000</v>
      </c>
    </row>
    <row r="2999" spans="3:9">
      <c r="C2999" s="125">
        <v>42832</v>
      </c>
      <c r="D2999" s="34">
        <v>44.98</v>
      </c>
      <c r="E2999" s="115">
        <v>45</v>
      </c>
      <c r="F2999" s="34">
        <v>44.47</v>
      </c>
      <c r="G2999" s="34">
        <v>44.74</v>
      </c>
      <c r="H2999" s="34">
        <v>44.74</v>
      </c>
      <c r="I2999" s="29">
        <v>74218000</v>
      </c>
    </row>
    <row r="3000" spans="3:9">
      <c r="C3000" s="125">
        <v>42831</v>
      </c>
      <c r="D3000" s="34">
        <v>45.69</v>
      </c>
      <c r="E3000" s="115">
        <v>45.86</v>
      </c>
      <c r="F3000" s="34">
        <v>44.72</v>
      </c>
      <c r="G3000" s="34">
        <v>44.91</v>
      </c>
      <c r="H3000" s="34">
        <v>44.91</v>
      </c>
      <c r="I3000" s="29">
        <v>126882000</v>
      </c>
    </row>
    <row r="3001" spans="3:9">
      <c r="C3001" s="125">
        <v>42830</v>
      </c>
      <c r="D3001" s="34">
        <v>45.54</v>
      </c>
      <c r="E3001" s="115">
        <v>46.19</v>
      </c>
      <c r="F3001" s="34">
        <v>45.28</v>
      </c>
      <c r="G3001" s="34">
        <v>45.46</v>
      </c>
      <c r="H3001" s="34">
        <v>45.46</v>
      </c>
      <c r="I3001" s="29">
        <v>150168000</v>
      </c>
    </row>
    <row r="3002" spans="3:9">
      <c r="C3002" s="125">
        <v>42829</v>
      </c>
      <c r="D3002" s="34">
        <v>44.58</v>
      </c>
      <c r="E3002" s="115">
        <v>45.43</v>
      </c>
      <c r="F3002" s="34">
        <v>44.51</v>
      </c>
      <c r="G3002" s="34">
        <v>45.34</v>
      </c>
      <c r="H3002" s="34">
        <v>45.34</v>
      </c>
      <c r="I3002" s="29">
        <v>99694000</v>
      </c>
    </row>
    <row r="3003" spans="3:9">
      <c r="C3003" s="125">
        <v>42828</v>
      </c>
      <c r="D3003" s="34">
        <v>44.4</v>
      </c>
      <c r="E3003" s="115">
        <v>44.67</v>
      </c>
      <c r="F3003" s="34">
        <v>44.27</v>
      </c>
      <c r="G3003" s="34">
        <v>44.58</v>
      </c>
      <c r="H3003" s="34">
        <v>44.58</v>
      </c>
      <c r="I3003" s="29">
        <v>68446000</v>
      </c>
    </row>
    <row r="3004" spans="3:9">
      <c r="C3004" s="125">
        <v>42825</v>
      </c>
      <c r="D3004" s="34">
        <v>43.85</v>
      </c>
      <c r="E3004" s="115">
        <v>44.52</v>
      </c>
      <c r="F3004" s="34">
        <v>43.83</v>
      </c>
      <c r="G3004" s="34">
        <v>44.33</v>
      </c>
      <c r="H3004" s="34">
        <v>44.33</v>
      </c>
      <c r="I3004" s="29">
        <v>79152000</v>
      </c>
    </row>
    <row r="3005" spans="3:9">
      <c r="C3005" s="125">
        <v>42824</v>
      </c>
      <c r="D3005" s="34">
        <v>43.75</v>
      </c>
      <c r="E3005" s="115">
        <v>43.85</v>
      </c>
      <c r="F3005" s="34">
        <v>43.58</v>
      </c>
      <c r="G3005" s="34">
        <v>43.82</v>
      </c>
      <c r="H3005" s="34">
        <v>43.82</v>
      </c>
      <c r="I3005" s="29">
        <v>55254000</v>
      </c>
    </row>
    <row r="3006" spans="3:9">
      <c r="C3006" s="125">
        <v>42823</v>
      </c>
      <c r="D3006" s="34">
        <v>42.95</v>
      </c>
      <c r="E3006" s="115">
        <v>43.82</v>
      </c>
      <c r="F3006" s="34">
        <v>42.95</v>
      </c>
      <c r="G3006" s="34">
        <v>43.72</v>
      </c>
      <c r="H3006" s="34">
        <v>43.72</v>
      </c>
      <c r="I3006" s="29">
        <v>89716000</v>
      </c>
    </row>
    <row r="3007" spans="3:9">
      <c r="C3007" s="125">
        <v>42822</v>
      </c>
      <c r="D3007" s="34">
        <v>42.59</v>
      </c>
      <c r="E3007" s="115">
        <v>42.92</v>
      </c>
      <c r="F3007" s="34">
        <v>42.51</v>
      </c>
      <c r="G3007" s="34">
        <v>42.8</v>
      </c>
      <c r="H3007" s="34">
        <v>42.8</v>
      </c>
      <c r="I3007" s="29">
        <v>60832000</v>
      </c>
    </row>
    <row r="3008" spans="3:9">
      <c r="C3008" s="125">
        <v>42821</v>
      </c>
      <c r="D3008" s="34">
        <v>41.9</v>
      </c>
      <c r="E3008" s="115">
        <v>42.51</v>
      </c>
      <c r="F3008" s="34">
        <v>41.67</v>
      </c>
      <c r="G3008" s="34">
        <v>42.34</v>
      </c>
      <c r="H3008" s="34">
        <v>42.34</v>
      </c>
      <c r="I3008" s="29">
        <v>55116000</v>
      </c>
    </row>
    <row r="3009" spans="3:9">
      <c r="C3009" s="125">
        <v>42818</v>
      </c>
      <c r="D3009" s="34">
        <v>42.58</v>
      </c>
      <c r="E3009" s="115">
        <v>42.59</v>
      </c>
      <c r="F3009" s="34">
        <v>42.18</v>
      </c>
      <c r="G3009" s="34">
        <v>42.28</v>
      </c>
      <c r="H3009" s="34">
        <v>42.28</v>
      </c>
      <c r="I3009" s="29">
        <v>42766000</v>
      </c>
    </row>
    <row r="3010" spans="3:9">
      <c r="C3010" s="125">
        <v>42817</v>
      </c>
      <c r="D3010" s="34">
        <v>42.41</v>
      </c>
      <c r="E3010" s="115">
        <v>42.54</v>
      </c>
      <c r="F3010" s="34">
        <v>42.24</v>
      </c>
      <c r="G3010" s="34">
        <v>42.37</v>
      </c>
      <c r="H3010" s="34">
        <v>42.37</v>
      </c>
      <c r="I3010" s="29">
        <v>39060000</v>
      </c>
    </row>
    <row r="3011" spans="3:9">
      <c r="C3011" s="125">
        <v>42816</v>
      </c>
      <c r="D3011" s="34">
        <v>42.02</v>
      </c>
      <c r="E3011" s="115">
        <v>42.47</v>
      </c>
      <c r="F3011" s="34">
        <v>41.95</v>
      </c>
      <c r="G3011" s="34">
        <v>42.4</v>
      </c>
      <c r="H3011" s="34">
        <v>42.4</v>
      </c>
      <c r="I3011" s="29">
        <v>53174000</v>
      </c>
    </row>
    <row r="3012" spans="3:9">
      <c r="C3012" s="125">
        <v>42815</v>
      </c>
      <c r="D3012" s="34">
        <v>42.94</v>
      </c>
      <c r="E3012" s="115">
        <v>43.14</v>
      </c>
      <c r="F3012" s="34">
        <v>42.07</v>
      </c>
      <c r="G3012" s="34">
        <v>42.16</v>
      </c>
      <c r="H3012" s="34">
        <v>42.16</v>
      </c>
      <c r="I3012" s="29">
        <v>87658000</v>
      </c>
    </row>
    <row r="3013" spans="3:9">
      <c r="C3013" s="125">
        <v>42814</v>
      </c>
      <c r="D3013" s="34">
        <v>42.58</v>
      </c>
      <c r="E3013" s="115">
        <v>42.89</v>
      </c>
      <c r="F3013" s="34">
        <v>42.55</v>
      </c>
      <c r="G3013" s="34">
        <v>42.85</v>
      </c>
      <c r="H3013" s="34">
        <v>42.85</v>
      </c>
      <c r="I3013" s="29">
        <v>45654000</v>
      </c>
    </row>
    <row r="3014" spans="3:9">
      <c r="C3014" s="125">
        <v>42811</v>
      </c>
      <c r="D3014" s="34">
        <v>42.67</v>
      </c>
      <c r="E3014" s="115">
        <v>42.69</v>
      </c>
      <c r="F3014" s="34">
        <v>42.53</v>
      </c>
      <c r="G3014" s="34">
        <v>42.62</v>
      </c>
      <c r="H3014" s="34">
        <v>42.62</v>
      </c>
      <c r="I3014" s="29">
        <v>67688000</v>
      </c>
    </row>
    <row r="3015" spans="3:9">
      <c r="C3015" s="125">
        <v>42810</v>
      </c>
      <c r="D3015" s="34">
        <v>42.76</v>
      </c>
      <c r="E3015" s="115">
        <v>42.78</v>
      </c>
      <c r="F3015" s="34">
        <v>42.53</v>
      </c>
      <c r="G3015" s="34">
        <v>42.67</v>
      </c>
      <c r="H3015" s="34">
        <v>42.67</v>
      </c>
      <c r="I3015" s="29">
        <v>36846000</v>
      </c>
    </row>
    <row r="3016" spans="3:9">
      <c r="C3016" s="125">
        <v>42809</v>
      </c>
      <c r="D3016" s="34">
        <v>42.72</v>
      </c>
      <c r="E3016" s="115">
        <v>42.72</v>
      </c>
      <c r="F3016" s="34">
        <v>42.36</v>
      </c>
      <c r="G3016" s="34">
        <v>42.65</v>
      </c>
      <c r="H3016" s="34">
        <v>42.65</v>
      </c>
      <c r="I3016" s="29">
        <v>51244000</v>
      </c>
    </row>
    <row r="3017" spans="3:9">
      <c r="C3017" s="125">
        <v>42808</v>
      </c>
      <c r="D3017" s="34">
        <v>42.68</v>
      </c>
      <c r="E3017" s="115">
        <v>42.69</v>
      </c>
      <c r="F3017" s="34">
        <v>42.38</v>
      </c>
      <c r="G3017" s="34">
        <v>42.63</v>
      </c>
      <c r="H3017" s="34">
        <v>42.63</v>
      </c>
      <c r="I3017" s="29">
        <v>42612000</v>
      </c>
    </row>
    <row r="3018" spans="3:9">
      <c r="C3018" s="125">
        <v>42807</v>
      </c>
      <c r="D3018" s="34">
        <v>42.59</v>
      </c>
      <c r="E3018" s="115">
        <v>42.78</v>
      </c>
      <c r="F3018" s="34">
        <v>42.59</v>
      </c>
      <c r="G3018" s="34">
        <v>42.73</v>
      </c>
      <c r="H3018" s="34">
        <v>42.73</v>
      </c>
      <c r="I3018" s="29">
        <v>38194000</v>
      </c>
    </row>
    <row r="3019" spans="3:9">
      <c r="C3019" s="125">
        <v>42804</v>
      </c>
      <c r="D3019" s="34">
        <v>42.85</v>
      </c>
      <c r="E3019" s="115">
        <v>42.87</v>
      </c>
      <c r="F3019" s="34">
        <v>42.59</v>
      </c>
      <c r="G3019" s="34">
        <v>42.62</v>
      </c>
      <c r="H3019" s="34">
        <v>42.62</v>
      </c>
      <c r="I3019" s="29">
        <v>48728000</v>
      </c>
    </row>
    <row r="3020" spans="3:9">
      <c r="C3020" s="125">
        <v>42803</v>
      </c>
      <c r="D3020" s="34">
        <v>42.55</v>
      </c>
      <c r="E3020" s="115">
        <v>42.82</v>
      </c>
      <c r="F3020" s="34">
        <v>42.52</v>
      </c>
      <c r="G3020" s="34">
        <v>42.65</v>
      </c>
      <c r="H3020" s="34">
        <v>42.65</v>
      </c>
      <c r="I3020" s="29">
        <v>40964000</v>
      </c>
    </row>
    <row r="3021" spans="3:9">
      <c r="C3021" s="125">
        <v>42802</v>
      </c>
      <c r="D3021" s="34">
        <v>42.4</v>
      </c>
      <c r="E3021" s="115">
        <v>42.65</v>
      </c>
      <c r="F3021" s="34">
        <v>42.34</v>
      </c>
      <c r="G3021" s="34">
        <v>42.53</v>
      </c>
      <c r="H3021" s="34">
        <v>42.53</v>
      </c>
      <c r="I3021" s="29">
        <v>45730000</v>
      </c>
    </row>
    <row r="3022" spans="3:9">
      <c r="C3022" s="125">
        <v>42801</v>
      </c>
      <c r="D3022" s="34">
        <v>42.27</v>
      </c>
      <c r="E3022" s="115">
        <v>42.42</v>
      </c>
      <c r="F3022" s="34">
        <v>42.19</v>
      </c>
      <c r="G3022" s="34">
        <v>42.3</v>
      </c>
      <c r="H3022" s="34">
        <v>42.3</v>
      </c>
      <c r="I3022" s="29">
        <v>44952000</v>
      </c>
    </row>
    <row r="3023" spans="3:9">
      <c r="C3023" s="125">
        <v>42800</v>
      </c>
      <c r="D3023" s="34">
        <v>42.26</v>
      </c>
      <c r="E3023" s="115">
        <v>42.42</v>
      </c>
      <c r="F3023" s="34">
        <v>42.06</v>
      </c>
      <c r="G3023" s="34">
        <v>42.33</v>
      </c>
      <c r="H3023" s="34">
        <v>42.33</v>
      </c>
      <c r="I3023" s="29">
        <v>52208000</v>
      </c>
    </row>
    <row r="3024" spans="3:9">
      <c r="C3024" s="125">
        <v>42797</v>
      </c>
      <c r="D3024" s="34">
        <v>42.36</v>
      </c>
      <c r="E3024" s="115">
        <v>42.6</v>
      </c>
      <c r="F3024" s="34">
        <v>42.31</v>
      </c>
      <c r="G3024" s="34">
        <v>42.49</v>
      </c>
      <c r="H3024" s="34">
        <v>42.49</v>
      </c>
      <c r="I3024" s="29">
        <v>38822000</v>
      </c>
    </row>
    <row r="3025" spans="3:9">
      <c r="C3025" s="125">
        <v>42796</v>
      </c>
      <c r="D3025" s="34">
        <v>42.65</v>
      </c>
      <c r="E3025" s="115">
        <v>42.74</v>
      </c>
      <c r="F3025" s="34">
        <v>42.36</v>
      </c>
      <c r="G3025" s="34">
        <v>42.45</v>
      </c>
      <c r="H3025" s="34">
        <v>42.45</v>
      </c>
      <c r="I3025" s="29">
        <v>42642000</v>
      </c>
    </row>
    <row r="3026" spans="3:9">
      <c r="C3026" s="125">
        <v>42795</v>
      </c>
      <c r="D3026" s="34">
        <v>42.65</v>
      </c>
      <c r="E3026" s="115">
        <v>42.74</v>
      </c>
      <c r="F3026" s="34">
        <v>42.45</v>
      </c>
      <c r="G3026" s="34">
        <v>42.65</v>
      </c>
      <c r="H3026" s="34">
        <v>42.65</v>
      </c>
      <c r="I3026" s="29">
        <v>55202000</v>
      </c>
    </row>
    <row r="3027" spans="3:9">
      <c r="C3027" s="125">
        <v>42794</v>
      </c>
      <c r="D3027" s="34">
        <v>42.57</v>
      </c>
      <c r="E3027" s="115">
        <v>42.7</v>
      </c>
      <c r="F3027" s="34">
        <v>42.1</v>
      </c>
      <c r="G3027" s="34">
        <v>42.25</v>
      </c>
      <c r="H3027" s="34">
        <v>42.25</v>
      </c>
      <c r="I3027" s="29">
        <v>55874000</v>
      </c>
    </row>
    <row r="3028" spans="3:9">
      <c r="C3028" s="125">
        <v>42793</v>
      </c>
      <c r="D3028" s="34">
        <v>42.12</v>
      </c>
      <c r="E3028" s="115">
        <v>42.63</v>
      </c>
      <c r="F3028" s="34">
        <v>41.98</v>
      </c>
      <c r="G3028" s="34">
        <v>42.43</v>
      </c>
      <c r="H3028" s="34">
        <v>42.43</v>
      </c>
      <c r="I3028" s="29">
        <v>54272000</v>
      </c>
    </row>
    <row r="3029" spans="3:9">
      <c r="C3029" s="125">
        <v>42790</v>
      </c>
      <c r="D3029" s="34">
        <v>42.23</v>
      </c>
      <c r="E3029" s="115">
        <v>42.29</v>
      </c>
      <c r="F3029" s="34">
        <v>41.89</v>
      </c>
      <c r="G3029" s="34">
        <v>42.26</v>
      </c>
      <c r="H3029" s="34">
        <v>42.26</v>
      </c>
      <c r="I3029" s="29">
        <v>73760000</v>
      </c>
    </row>
    <row r="3030" spans="3:9">
      <c r="C3030" s="125">
        <v>42789</v>
      </c>
      <c r="D3030" s="34">
        <v>42.88</v>
      </c>
      <c r="E3030" s="115">
        <v>43.04</v>
      </c>
      <c r="F3030" s="34">
        <v>42.4</v>
      </c>
      <c r="G3030" s="34">
        <v>42.61</v>
      </c>
      <c r="H3030" s="34">
        <v>42.61</v>
      </c>
      <c r="I3030" s="29">
        <v>69240000</v>
      </c>
    </row>
    <row r="3031" spans="3:9">
      <c r="C3031" s="125">
        <v>42788</v>
      </c>
      <c r="D3031" s="34">
        <v>42.85</v>
      </c>
      <c r="E3031" s="115">
        <v>42.92</v>
      </c>
      <c r="F3031" s="34">
        <v>42.61</v>
      </c>
      <c r="G3031" s="34">
        <v>42.78</v>
      </c>
      <c r="H3031" s="34">
        <v>42.78</v>
      </c>
      <c r="I3031" s="29">
        <v>52340000</v>
      </c>
    </row>
    <row r="3032" spans="3:9">
      <c r="C3032" s="125">
        <v>42787</v>
      </c>
      <c r="D3032" s="34">
        <v>42.44</v>
      </c>
      <c r="E3032" s="115">
        <v>42.9</v>
      </c>
      <c r="F3032" s="34">
        <v>42.36</v>
      </c>
      <c r="G3032" s="34">
        <v>42.82</v>
      </c>
      <c r="H3032" s="34">
        <v>42.82</v>
      </c>
      <c r="I3032" s="29">
        <v>70154000</v>
      </c>
    </row>
    <row r="3033" spans="3:9">
      <c r="C3033" s="125">
        <v>42783</v>
      </c>
      <c r="D3033" s="34">
        <v>42.1</v>
      </c>
      <c r="E3033" s="115">
        <v>42.36</v>
      </c>
      <c r="F3033" s="34">
        <v>42.04</v>
      </c>
      <c r="G3033" s="34">
        <v>42.25</v>
      </c>
      <c r="H3033" s="34">
        <v>42.25</v>
      </c>
      <c r="I3033" s="29">
        <v>62246000</v>
      </c>
    </row>
    <row r="3034" spans="3:9">
      <c r="C3034" s="125">
        <v>42782</v>
      </c>
      <c r="D3034" s="34">
        <v>42.09</v>
      </c>
      <c r="E3034" s="115">
        <v>42.25</v>
      </c>
      <c r="F3034" s="34">
        <v>41.97</v>
      </c>
      <c r="G3034" s="34">
        <v>42.21</v>
      </c>
      <c r="H3034" s="34">
        <v>42.21</v>
      </c>
      <c r="I3034" s="29">
        <v>54294000</v>
      </c>
    </row>
    <row r="3035" spans="3:9">
      <c r="C3035" s="125">
        <v>42781</v>
      </c>
      <c r="D3035" s="34">
        <v>41.7</v>
      </c>
      <c r="E3035" s="115">
        <v>42.14</v>
      </c>
      <c r="F3035" s="34">
        <v>41.64</v>
      </c>
      <c r="G3035" s="34">
        <v>42.13</v>
      </c>
      <c r="H3035" s="34">
        <v>42.13</v>
      </c>
      <c r="I3035" s="29">
        <v>59378000</v>
      </c>
    </row>
    <row r="3036" spans="3:9">
      <c r="C3036" s="125">
        <v>42780</v>
      </c>
      <c r="D3036" s="34">
        <v>41.85</v>
      </c>
      <c r="E3036" s="115">
        <v>41.92</v>
      </c>
      <c r="F3036" s="34">
        <v>41.57</v>
      </c>
      <c r="G3036" s="34">
        <v>41.82</v>
      </c>
      <c r="H3036" s="34">
        <v>41.82</v>
      </c>
      <c r="I3036" s="29">
        <v>55848000</v>
      </c>
    </row>
    <row r="3037" spans="3:9">
      <c r="C3037" s="125">
        <v>42779</v>
      </c>
      <c r="D3037" s="34">
        <v>41.58</v>
      </c>
      <c r="E3037" s="115">
        <v>42.15</v>
      </c>
      <c r="F3037" s="34">
        <v>41.43</v>
      </c>
      <c r="G3037" s="34">
        <v>41.83</v>
      </c>
      <c r="H3037" s="34">
        <v>41.83</v>
      </c>
      <c r="I3037" s="29">
        <v>83452000</v>
      </c>
    </row>
    <row r="3038" spans="3:9">
      <c r="C3038" s="125">
        <v>42776</v>
      </c>
      <c r="D3038" s="34">
        <v>41.19</v>
      </c>
      <c r="E3038" s="115">
        <v>41.4</v>
      </c>
      <c r="F3038" s="34">
        <v>41.14</v>
      </c>
      <c r="G3038" s="34">
        <v>41.37</v>
      </c>
      <c r="H3038" s="34">
        <v>41.37</v>
      </c>
      <c r="I3038" s="29">
        <v>48592000</v>
      </c>
    </row>
    <row r="3039" spans="3:9">
      <c r="C3039" s="125">
        <v>42775</v>
      </c>
      <c r="D3039" s="34">
        <v>41.08</v>
      </c>
      <c r="E3039" s="115">
        <v>41.25</v>
      </c>
      <c r="F3039" s="34">
        <v>40.99</v>
      </c>
      <c r="G3039" s="34">
        <v>41.07</v>
      </c>
      <c r="H3039" s="34">
        <v>41.07</v>
      </c>
      <c r="I3039" s="29">
        <v>49698000</v>
      </c>
    </row>
    <row r="3040" spans="3:9">
      <c r="C3040" s="125">
        <v>42774</v>
      </c>
      <c r="D3040" s="34">
        <v>40.630000000000003</v>
      </c>
      <c r="E3040" s="115">
        <v>41.07</v>
      </c>
      <c r="F3040" s="34">
        <v>40.630000000000003</v>
      </c>
      <c r="G3040" s="34">
        <v>40.99</v>
      </c>
      <c r="H3040" s="34">
        <v>40.99</v>
      </c>
      <c r="I3040" s="29">
        <v>57160000</v>
      </c>
    </row>
    <row r="3041" spans="3:9">
      <c r="C3041" s="125">
        <v>42773</v>
      </c>
      <c r="D3041" s="34">
        <v>40.47</v>
      </c>
      <c r="E3041" s="115">
        <v>40.81</v>
      </c>
      <c r="F3041" s="34">
        <v>40.380000000000003</v>
      </c>
      <c r="G3041" s="34">
        <v>40.630000000000003</v>
      </c>
      <c r="H3041" s="34">
        <v>40.630000000000003</v>
      </c>
      <c r="I3041" s="29">
        <v>69322000</v>
      </c>
    </row>
    <row r="3042" spans="3:9">
      <c r="C3042" s="125">
        <v>42772</v>
      </c>
      <c r="D3042" s="34">
        <v>40.49</v>
      </c>
      <c r="E3042" s="115">
        <v>40.54</v>
      </c>
      <c r="F3042" s="34">
        <v>40.15</v>
      </c>
      <c r="G3042" s="34">
        <v>40.380000000000003</v>
      </c>
      <c r="H3042" s="34">
        <v>40.380000000000003</v>
      </c>
      <c r="I3042" s="29">
        <v>77946000</v>
      </c>
    </row>
    <row r="3043" spans="3:9">
      <c r="C3043" s="125">
        <v>42769</v>
      </c>
      <c r="D3043" s="34">
        <v>40.340000000000003</v>
      </c>
      <c r="E3043" s="115">
        <v>40.92</v>
      </c>
      <c r="F3043" s="34">
        <v>40.200000000000003</v>
      </c>
      <c r="G3043" s="34">
        <v>40.51</v>
      </c>
      <c r="H3043" s="34">
        <v>40.51</v>
      </c>
      <c r="I3043" s="29">
        <v>217376000</v>
      </c>
    </row>
    <row r="3044" spans="3:9">
      <c r="C3044" s="125">
        <v>42768</v>
      </c>
      <c r="D3044" s="34">
        <v>41.83</v>
      </c>
      <c r="E3044" s="115">
        <v>42.12</v>
      </c>
      <c r="F3044" s="34">
        <v>41.41</v>
      </c>
      <c r="G3044" s="34">
        <v>42</v>
      </c>
      <c r="H3044" s="34">
        <v>42</v>
      </c>
      <c r="I3044" s="29">
        <v>147010000</v>
      </c>
    </row>
    <row r="3045" spans="3:9">
      <c r="C3045" s="125">
        <v>42767</v>
      </c>
      <c r="D3045" s="34">
        <v>41.46</v>
      </c>
      <c r="E3045" s="115">
        <v>41.69</v>
      </c>
      <c r="F3045" s="34">
        <v>41.25</v>
      </c>
      <c r="G3045" s="34">
        <v>41.62</v>
      </c>
      <c r="H3045" s="34">
        <v>41.62</v>
      </c>
      <c r="I3045" s="29">
        <v>77004000</v>
      </c>
    </row>
    <row r="3046" spans="3:9">
      <c r="C3046" s="125">
        <v>42766</v>
      </c>
      <c r="D3046" s="34">
        <v>41.19</v>
      </c>
      <c r="E3046" s="115">
        <v>41.35</v>
      </c>
      <c r="F3046" s="34">
        <v>40.98</v>
      </c>
      <c r="G3046" s="34">
        <v>41.17</v>
      </c>
      <c r="H3046" s="34">
        <v>41.17</v>
      </c>
      <c r="I3046" s="29">
        <v>62744000</v>
      </c>
    </row>
    <row r="3047" spans="3:9">
      <c r="C3047" s="125">
        <v>42765</v>
      </c>
      <c r="D3047" s="34">
        <v>41.65</v>
      </c>
      <c r="E3047" s="115">
        <v>41.67</v>
      </c>
      <c r="F3047" s="34">
        <v>40.82</v>
      </c>
      <c r="G3047" s="34">
        <v>41.52</v>
      </c>
      <c r="H3047" s="34">
        <v>41.52</v>
      </c>
      <c r="I3047" s="29">
        <v>74946000</v>
      </c>
    </row>
    <row r="3048" spans="3:9">
      <c r="C3048" s="125">
        <v>42762</v>
      </c>
      <c r="D3048" s="34">
        <v>41.95</v>
      </c>
      <c r="E3048" s="115">
        <v>41.99</v>
      </c>
      <c r="F3048" s="34">
        <v>41.47</v>
      </c>
      <c r="G3048" s="34">
        <v>41.79</v>
      </c>
      <c r="H3048" s="34">
        <v>41.79</v>
      </c>
      <c r="I3048" s="29">
        <v>59974000</v>
      </c>
    </row>
    <row r="3049" spans="3:9">
      <c r="C3049" s="125">
        <v>42761</v>
      </c>
      <c r="D3049" s="34">
        <v>41.78</v>
      </c>
      <c r="E3049" s="115">
        <v>42.19</v>
      </c>
      <c r="F3049" s="34">
        <v>41.65</v>
      </c>
      <c r="G3049" s="34">
        <v>41.96</v>
      </c>
      <c r="H3049" s="34">
        <v>41.96</v>
      </c>
      <c r="I3049" s="29">
        <v>71726000</v>
      </c>
    </row>
    <row r="3050" spans="3:9">
      <c r="C3050" s="125">
        <v>42760</v>
      </c>
      <c r="D3050" s="34">
        <v>41.29</v>
      </c>
      <c r="E3050" s="115">
        <v>41.87</v>
      </c>
      <c r="F3050" s="34">
        <v>41.26</v>
      </c>
      <c r="G3050" s="34">
        <v>41.83</v>
      </c>
      <c r="H3050" s="34">
        <v>41.83</v>
      </c>
      <c r="I3050" s="29">
        <v>78452000</v>
      </c>
    </row>
    <row r="3051" spans="3:9">
      <c r="C3051" s="125">
        <v>42759</v>
      </c>
      <c r="D3051" s="34">
        <v>41.1</v>
      </c>
      <c r="E3051" s="115">
        <v>41.2</v>
      </c>
      <c r="F3051" s="34">
        <v>40.72</v>
      </c>
      <c r="G3051" s="34">
        <v>41.12</v>
      </c>
      <c r="H3051" s="34">
        <v>41.12</v>
      </c>
      <c r="I3051" s="29">
        <v>59434000</v>
      </c>
    </row>
    <row r="3052" spans="3:9">
      <c r="C3052" s="125">
        <v>42758</v>
      </c>
      <c r="D3052" s="34">
        <v>40.340000000000003</v>
      </c>
      <c r="E3052" s="115">
        <v>40.92</v>
      </c>
      <c r="F3052" s="34">
        <v>40.25</v>
      </c>
      <c r="G3052" s="34">
        <v>40.89</v>
      </c>
      <c r="H3052" s="34">
        <v>40.89</v>
      </c>
      <c r="I3052" s="29">
        <v>55950000</v>
      </c>
    </row>
    <row r="3053" spans="3:9">
      <c r="C3053" s="125">
        <v>42755</v>
      </c>
      <c r="D3053" s="34">
        <v>40.76</v>
      </c>
      <c r="E3053" s="115">
        <v>40.799999999999997</v>
      </c>
      <c r="F3053" s="34">
        <v>40.31</v>
      </c>
      <c r="G3053" s="34">
        <v>40.42</v>
      </c>
      <c r="H3053" s="34">
        <v>40.42</v>
      </c>
      <c r="I3053" s="29">
        <v>67524000</v>
      </c>
    </row>
    <row r="3054" spans="3:9">
      <c r="C3054" s="125">
        <v>42754</v>
      </c>
      <c r="D3054" s="34">
        <v>40.5</v>
      </c>
      <c r="E3054" s="115">
        <v>40.68</v>
      </c>
      <c r="F3054" s="34">
        <v>40.369999999999997</v>
      </c>
      <c r="G3054" s="34">
        <v>40.450000000000003</v>
      </c>
      <c r="H3054" s="34">
        <v>40.450000000000003</v>
      </c>
      <c r="I3054" s="29">
        <v>50816000</v>
      </c>
    </row>
    <row r="3055" spans="3:9">
      <c r="C3055" s="125">
        <v>42753</v>
      </c>
      <c r="D3055" s="34">
        <v>40.47</v>
      </c>
      <c r="E3055" s="115">
        <v>40.590000000000003</v>
      </c>
      <c r="F3055" s="34">
        <v>40.21</v>
      </c>
      <c r="G3055" s="34">
        <v>40.369999999999997</v>
      </c>
      <c r="H3055" s="34">
        <v>40.369999999999997</v>
      </c>
      <c r="I3055" s="29">
        <v>47084000</v>
      </c>
    </row>
    <row r="3056" spans="3:9">
      <c r="C3056" s="125">
        <v>42752</v>
      </c>
      <c r="D3056" s="34">
        <v>40.78</v>
      </c>
      <c r="E3056" s="115">
        <v>40.799999999999997</v>
      </c>
      <c r="F3056" s="34">
        <v>40.17</v>
      </c>
      <c r="G3056" s="34">
        <v>40.49</v>
      </c>
      <c r="H3056" s="34">
        <v>40.49</v>
      </c>
      <c r="I3056" s="29">
        <v>73410000</v>
      </c>
    </row>
    <row r="3057" spans="3:9">
      <c r="C3057" s="125">
        <v>42748</v>
      </c>
      <c r="D3057" s="34">
        <v>40.72</v>
      </c>
      <c r="E3057" s="115">
        <v>41.08</v>
      </c>
      <c r="F3057" s="34">
        <v>40.57</v>
      </c>
      <c r="G3057" s="34">
        <v>40.86</v>
      </c>
      <c r="H3057" s="34">
        <v>40.86</v>
      </c>
      <c r="I3057" s="29">
        <v>75838000</v>
      </c>
    </row>
    <row r="3058" spans="3:9">
      <c r="C3058" s="125">
        <v>42747</v>
      </c>
      <c r="D3058" s="34">
        <v>40.020000000000003</v>
      </c>
      <c r="E3058" s="115">
        <v>40.71</v>
      </c>
      <c r="F3058" s="34">
        <v>39.97</v>
      </c>
      <c r="G3058" s="34">
        <v>40.68</v>
      </c>
      <c r="H3058" s="34">
        <v>40.68</v>
      </c>
      <c r="I3058" s="29">
        <v>97478000</v>
      </c>
    </row>
    <row r="3059" spans="3:9">
      <c r="C3059" s="125">
        <v>42746</v>
      </c>
      <c r="D3059" s="34">
        <v>39.68</v>
      </c>
      <c r="E3059" s="115">
        <v>39.97</v>
      </c>
      <c r="F3059" s="34">
        <v>39.479999999999997</v>
      </c>
      <c r="G3059" s="34">
        <v>39.950000000000003</v>
      </c>
      <c r="H3059" s="34">
        <v>39.950000000000003</v>
      </c>
      <c r="I3059" s="29">
        <v>59856000</v>
      </c>
    </row>
    <row r="3060" spans="3:9">
      <c r="C3060" s="125">
        <v>42745</v>
      </c>
      <c r="D3060" s="34">
        <v>39.83</v>
      </c>
      <c r="E3060" s="115">
        <v>39.9</v>
      </c>
      <c r="F3060" s="34">
        <v>39.479999999999997</v>
      </c>
      <c r="G3060" s="34">
        <v>39.79</v>
      </c>
      <c r="H3060" s="34">
        <v>39.79</v>
      </c>
      <c r="I3060" s="29">
        <v>51168000</v>
      </c>
    </row>
    <row r="3061" spans="3:9">
      <c r="C3061" s="125">
        <v>42744</v>
      </c>
      <c r="D3061" s="34">
        <v>39.9</v>
      </c>
      <c r="E3061" s="115">
        <v>40.090000000000003</v>
      </c>
      <c r="F3061" s="34">
        <v>39.590000000000003</v>
      </c>
      <c r="G3061" s="34">
        <v>39.85</v>
      </c>
      <c r="H3061" s="34">
        <v>39.85</v>
      </c>
      <c r="I3061" s="29">
        <v>68922000</v>
      </c>
    </row>
    <row r="3062" spans="3:9">
      <c r="C3062" s="125">
        <v>42741</v>
      </c>
      <c r="D3062" s="34">
        <v>39.119999999999997</v>
      </c>
      <c r="E3062" s="115">
        <v>39.97</v>
      </c>
      <c r="F3062" s="34">
        <v>38.92</v>
      </c>
      <c r="G3062" s="34">
        <v>39.799999999999997</v>
      </c>
      <c r="H3062" s="34">
        <v>39.799999999999997</v>
      </c>
      <c r="I3062" s="29">
        <v>119724000</v>
      </c>
    </row>
    <row r="3063" spans="3:9">
      <c r="C3063" s="125">
        <v>42740</v>
      </c>
      <c r="D3063" s="34">
        <v>38.08</v>
      </c>
      <c r="E3063" s="115">
        <v>39.119999999999997</v>
      </c>
      <c r="F3063" s="34">
        <v>38.01</v>
      </c>
      <c r="G3063" s="34">
        <v>39.020000000000003</v>
      </c>
      <c r="H3063" s="34">
        <v>39.020000000000003</v>
      </c>
      <c r="I3063" s="29">
        <v>116602000</v>
      </c>
    </row>
    <row r="3064" spans="3:9">
      <c r="C3064" s="125">
        <v>42739</v>
      </c>
      <c r="D3064" s="34">
        <v>37.92</v>
      </c>
      <c r="E3064" s="115">
        <v>37.979999999999997</v>
      </c>
      <c r="F3064" s="34">
        <v>37.71</v>
      </c>
      <c r="G3064" s="34">
        <v>37.86</v>
      </c>
      <c r="H3064" s="34">
        <v>37.86</v>
      </c>
      <c r="I3064" s="29">
        <v>50210000</v>
      </c>
    </row>
    <row r="3065" spans="3:9">
      <c r="C3065" s="125">
        <v>42738</v>
      </c>
      <c r="D3065" s="34">
        <v>37.9</v>
      </c>
      <c r="E3065" s="115">
        <v>37.94</v>
      </c>
      <c r="F3065" s="34">
        <v>37.380000000000003</v>
      </c>
      <c r="G3065" s="34">
        <v>37.68</v>
      </c>
      <c r="H3065" s="34">
        <v>37.68</v>
      </c>
      <c r="I3065" s="29">
        <v>70422000</v>
      </c>
    </row>
    <row r="3066" spans="3:9">
      <c r="C3066" s="125">
        <v>42734</v>
      </c>
      <c r="D3066" s="34">
        <v>38.32</v>
      </c>
      <c r="E3066" s="115">
        <v>38.369999999999997</v>
      </c>
      <c r="F3066" s="34">
        <v>37.409999999999997</v>
      </c>
      <c r="G3066" s="34">
        <v>37.49</v>
      </c>
      <c r="H3066" s="34">
        <v>37.49</v>
      </c>
      <c r="I3066" s="29">
        <v>82788000</v>
      </c>
    </row>
    <row r="3067" spans="3:9">
      <c r="C3067" s="125">
        <v>42733</v>
      </c>
      <c r="D3067" s="34">
        <v>38.619999999999997</v>
      </c>
      <c r="E3067" s="115">
        <v>38.67</v>
      </c>
      <c r="F3067" s="34">
        <v>38.04</v>
      </c>
      <c r="G3067" s="34">
        <v>38.26</v>
      </c>
      <c r="H3067" s="34">
        <v>38.26</v>
      </c>
      <c r="I3067" s="29">
        <v>63166000</v>
      </c>
    </row>
    <row r="3068" spans="3:9">
      <c r="C3068" s="125">
        <v>42732</v>
      </c>
      <c r="D3068" s="34">
        <v>38.81</v>
      </c>
      <c r="E3068" s="115">
        <v>39</v>
      </c>
      <c r="F3068" s="34">
        <v>38.53</v>
      </c>
      <c r="G3068" s="34">
        <v>38.61</v>
      </c>
      <c r="H3068" s="34">
        <v>38.61</v>
      </c>
      <c r="I3068" s="29">
        <v>66020000</v>
      </c>
    </row>
    <row r="3069" spans="3:9">
      <c r="C3069" s="125">
        <v>42731</v>
      </c>
      <c r="D3069" s="34">
        <v>38.17</v>
      </c>
      <c r="E3069" s="115">
        <v>38.729999999999997</v>
      </c>
      <c r="F3069" s="34">
        <v>38.06</v>
      </c>
      <c r="G3069" s="34">
        <v>38.57</v>
      </c>
      <c r="H3069" s="34">
        <v>38.57</v>
      </c>
      <c r="I3069" s="29">
        <v>52774000</v>
      </c>
    </row>
    <row r="3070" spans="3:9">
      <c r="C3070" s="125">
        <v>42727</v>
      </c>
      <c r="D3070" s="34">
        <v>38.229999999999997</v>
      </c>
      <c r="E3070" s="115">
        <v>38.33</v>
      </c>
      <c r="F3070" s="34">
        <v>37.9</v>
      </c>
      <c r="G3070" s="34">
        <v>38.03</v>
      </c>
      <c r="H3070" s="34">
        <v>38.03</v>
      </c>
      <c r="I3070" s="29">
        <v>39632000</v>
      </c>
    </row>
    <row r="3071" spans="3:9">
      <c r="C3071" s="125">
        <v>42726</v>
      </c>
      <c r="D3071" s="34">
        <v>38.409999999999997</v>
      </c>
      <c r="E3071" s="115">
        <v>38.56</v>
      </c>
      <c r="F3071" s="34">
        <v>38.15</v>
      </c>
      <c r="G3071" s="34">
        <v>38.32</v>
      </c>
      <c r="H3071" s="34">
        <v>38.32</v>
      </c>
      <c r="I3071" s="29">
        <v>50872000</v>
      </c>
    </row>
    <row r="3072" spans="3:9">
      <c r="C3072" s="125">
        <v>42725</v>
      </c>
      <c r="D3072" s="34">
        <v>38.5</v>
      </c>
      <c r="E3072" s="115">
        <v>38.56</v>
      </c>
      <c r="F3072" s="34">
        <v>38.28</v>
      </c>
      <c r="G3072" s="34">
        <v>38.53</v>
      </c>
      <c r="H3072" s="34">
        <v>38.53</v>
      </c>
      <c r="I3072" s="29">
        <v>40892000</v>
      </c>
    </row>
    <row r="3073" spans="3:9">
      <c r="C3073" s="125">
        <v>42724</v>
      </c>
      <c r="D3073" s="34">
        <v>38.43</v>
      </c>
      <c r="E3073" s="115">
        <v>38.72</v>
      </c>
      <c r="F3073" s="34">
        <v>38.39</v>
      </c>
      <c r="G3073" s="34">
        <v>38.56</v>
      </c>
      <c r="H3073" s="34">
        <v>38.56</v>
      </c>
      <c r="I3073" s="29">
        <v>54072000</v>
      </c>
    </row>
    <row r="3074" spans="3:9">
      <c r="C3074" s="125">
        <v>42723</v>
      </c>
      <c r="D3074" s="34">
        <v>37.94</v>
      </c>
      <c r="E3074" s="115">
        <v>38.53</v>
      </c>
      <c r="F3074" s="34">
        <v>37.81</v>
      </c>
      <c r="G3074" s="34">
        <v>38.299999999999997</v>
      </c>
      <c r="H3074" s="34">
        <v>38.299999999999997</v>
      </c>
      <c r="I3074" s="29">
        <v>62264000</v>
      </c>
    </row>
    <row r="3075" spans="3:9">
      <c r="C3075" s="125">
        <v>42720</v>
      </c>
      <c r="D3075" s="34">
        <v>38.25</v>
      </c>
      <c r="E3075" s="115">
        <v>38.26</v>
      </c>
      <c r="F3075" s="34">
        <v>37.700000000000003</v>
      </c>
      <c r="G3075" s="34">
        <v>37.89</v>
      </c>
      <c r="H3075" s="34">
        <v>37.89</v>
      </c>
      <c r="I3075" s="29">
        <v>96964000</v>
      </c>
    </row>
    <row r="3076" spans="3:9">
      <c r="C3076" s="125">
        <v>42719</v>
      </c>
      <c r="D3076" s="34">
        <v>38.31</v>
      </c>
      <c r="E3076" s="115">
        <v>38.46</v>
      </c>
      <c r="F3076" s="34">
        <v>38.020000000000003</v>
      </c>
      <c r="G3076" s="34">
        <v>38.049999999999997</v>
      </c>
      <c r="H3076" s="34">
        <v>38.049999999999997</v>
      </c>
      <c r="I3076" s="29">
        <v>76038000</v>
      </c>
    </row>
    <row r="3077" spans="3:9">
      <c r="C3077" s="125">
        <v>42718</v>
      </c>
      <c r="D3077" s="34">
        <v>38.909999999999997</v>
      </c>
      <c r="E3077" s="115">
        <v>39.04</v>
      </c>
      <c r="F3077" s="34">
        <v>38.14</v>
      </c>
      <c r="G3077" s="34">
        <v>38.44</v>
      </c>
      <c r="H3077" s="34">
        <v>38.44</v>
      </c>
      <c r="I3077" s="29">
        <v>109096000</v>
      </c>
    </row>
    <row r="3078" spans="3:9">
      <c r="C3078" s="125">
        <v>42717</v>
      </c>
      <c r="D3078" s="34">
        <v>38.25</v>
      </c>
      <c r="E3078" s="115">
        <v>39.119999999999997</v>
      </c>
      <c r="F3078" s="34">
        <v>38.1</v>
      </c>
      <c r="G3078" s="34">
        <v>38.72</v>
      </c>
      <c r="H3078" s="34">
        <v>38.72</v>
      </c>
      <c r="I3078" s="29">
        <v>105706000</v>
      </c>
    </row>
    <row r="3079" spans="3:9">
      <c r="C3079" s="125">
        <v>42716</v>
      </c>
      <c r="D3079" s="34">
        <v>38.32</v>
      </c>
      <c r="E3079" s="115">
        <v>38.340000000000003</v>
      </c>
      <c r="F3079" s="34">
        <v>37.86</v>
      </c>
      <c r="G3079" s="34">
        <v>38.01</v>
      </c>
      <c r="H3079" s="34">
        <v>38.01</v>
      </c>
      <c r="I3079" s="29">
        <v>59278000</v>
      </c>
    </row>
    <row r="3080" spans="3:9">
      <c r="C3080" s="125">
        <v>42713</v>
      </c>
      <c r="D3080" s="34">
        <v>38.5</v>
      </c>
      <c r="E3080" s="115">
        <v>38.51</v>
      </c>
      <c r="F3080" s="34">
        <v>38.270000000000003</v>
      </c>
      <c r="G3080" s="34">
        <v>38.43</v>
      </c>
      <c r="H3080" s="34">
        <v>38.43</v>
      </c>
      <c r="I3080" s="29">
        <v>49418000</v>
      </c>
    </row>
    <row r="3081" spans="3:9">
      <c r="C3081" s="125">
        <v>42712</v>
      </c>
      <c r="D3081" s="34">
        <v>38.590000000000003</v>
      </c>
      <c r="E3081" s="115">
        <v>38.69</v>
      </c>
      <c r="F3081" s="34">
        <v>38.26</v>
      </c>
      <c r="G3081" s="34">
        <v>38.369999999999997</v>
      </c>
      <c r="H3081" s="34">
        <v>38.369999999999997</v>
      </c>
      <c r="I3081" s="29">
        <v>63792000</v>
      </c>
    </row>
    <row r="3082" spans="3:9">
      <c r="C3082" s="125">
        <v>42711</v>
      </c>
      <c r="D3082" s="34">
        <v>38.229999999999997</v>
      </c>
      <c r="E3082" s="115">
        <v>38.520000000000003</v>
      </c>
      <c r="F3082" s="34">
        <v>37.79</v>
      </c>
      <c r="G3082" s="34">
        <v>38.520000000000003</v>
      </c>
      <c r="H3082" s="34">
        <v>38.520000000000003</v>
      </c>
      <c r="I3082" s="29">
        <v>73698000</v>
      </c>
    </row>
    <row r="3083" spans="3:9">
      <c r="C3083" s="125">
        <v>42710</v>
      </c>
      <c r="D3083" s="34">
        <v>38.200000000000003</v>
      </c>
      <c r="E3083" s="115">
        <v>38.409999999999997</v>
      </c>
      <c r="F3083" s="34">
        <v>37.86</v>
      </c>
      <c r="G3083" s="34">
        <v>38.24</v>
      </c>
      <c r="H3083" s="34">
        <v>38.24</v>
      </c>
      <c r="I3083" s="29">
        <v>75894000</v>
      </c>
    </row>
    <row r="3084" spans="3:9">
      <c r="C3084" s="125">
        <v>42709</v>
      </c>
      <c r="D3084" s="34">
        <v>37.25</v>
      </c>
      <c r="E3084" s="115">
        <v>38.07</v>
      </c>
      <c r="F3084" s="34">
        <v>37.1</v>
      </c>
      <c r="G3084" s="34">
        <v>37.97</v>
      </c>
      <c r="H3084" s="34">
        <v>37.97</v>
      </c>
      <c r="I3084" s="29">
        <v>86294000</v>
      </c>
    </row>
    <row r="3085" spans="3:9">
      <c r="C3085" s="125">
        <v>42706</v>
      </c>
      <c r="D3085" s="34">
        <v>37.17</v>
      </c>
      <c r="E3085" s="115">
        <v>37.42</v>
      </c>
      <c r="F3085" s="34">
        <v>36.83</v>
      </c>
      <c r="G3085" s="34">
        <v>37.020000000000003</v>
      </c>
      <c r="H3085" s="34">
        <v>37.020000000000003</v>
      </c>
      <c r="I3085" s="29">
        <v>71226000</v>
      </c>
    </row>
    <row r="3086" spans="3:9">
      <c r="C3086" s="125">
        <v>42705</v>
      </c>
      <c r="D3086" s="34">
        <v>37.619999999999997</v>
      </c>
      <c r="E3086" s="115">
        <v>37.67</v>
      </c>
      <c r="F3086" s="34">
        <v>36.9</v>
      </c>
      <c r="G3086" s="34">
        <v>37.18</v>
      </c>
      <c r="H3086" s="34">
        <v>37.18</v>
      </c>
      <c r="I3086" s="29">
        <v>93320000</v>
      </c>
    </row>
    <row r="3087" spans="3:9">
      <c r="C3087" s="125">
        <v>42704</v>
      </c>
      <c r="D3087" s="34">
        <v>38.1</v>
      </c>
      <c r="E3087" s="115">
        <v>38.4</v>
      </c>
      <c r="F3087" s="34">
        <v>37.51</v>
      </c>
      <c r="G3087" s="34">
        <v>37.53</v>
      </c>
      <c r="H3087" s="34">
        <v>37.53</v>
      </c>
      <c r="I3087" s="29">
        <v>92518000</v>
      </c>
    </row>
    <row r="3088" spans="3:9">
      <c r="C3088" s="125">
        <v>42703</v>
      </c>
      <c r="D3088" s="34">
        <v>38.4</v>
      </c>
      <c r="E3088" s="115">
        <v>38.49</v>
      </c>
      <c r="F3088" s="34">
        <v>38.07</v>
      </c>
      <c r="G3088" s="34">
        <v>38.130000000000003</v>
      </c>
      <c r="H3088" s="34">
        <v>38.130000000000003</v>
      </c>
      <c r="I3088" s="29">
        <v>65446000</v>
      </c>
    </row>
    <row r="3089" spans="3:9">
      <c r="C3089" s="125">
        <v>42702</v>
      </c>
      <c r="D3089" s="34">
        <v>38.85</v>
      </c>
      <c r="E3089" s="115">
        <v>38.85</v>
      </c>
      <c r="F3089" s="34">
        <v>38.21</v>
      </c>
      <c r="G3089" s="34">
        <v>38.340000000000003</v>
      </c>
      <c r="H3089" s="34">
        <v>38.340000000000003</v>
      </c>
      <c r="I3089" s="29">
        <v>88776000</v>
      </c>
    </row>
    <row r="3090" spans="3:9">
      <c r="C3090" s="125">
        <v>42699</v>
      </c>
      <c r="D3090" s="34">
        <v>39.33</v>
      </c>
      <c r="E3090" s="115">
        <v>39.340000000000003</v>
      </c>
      <c r="F3090" s="34">
        <v>38.9</v>
      </c>
      <c r="G3090" s="34">
        <v>39.020000000000003</v>
      </c>
      <c r="H3090" s="34">
        <v>39.020000000000003</v>
      </c>
      <c r="I3090" s="29">
        <v>36742000</v>
      </c>
    </row>
    <row r="3091" spans="3:9">
      <c r="C3091" s="125">
        <v>42697</v>
      </c>
      <c r="D3091" s="34">
        <v>39.090000000000003</v>
      </c>
      <c r="E3091" s="115">
        <v>39.090000000000003</v>
      </c>
      <c r="F3091" s="34">
        <v>38.659999999999997</v>
      </c>
      <c r="G3091" s="34">
        <v>39.01</v>
      </c>
      <c r="H3091" s="34">
        <v>39.01</v>
      </c>
      <c r="I3091" s="29">
        <v>70806000</v>
      </c>
    </row>
    <row r="3092" spans="3:9">
      <c r="C3092" s="125">
        <v>42696</v>
      </c>
      <c r="D3092" s="34">
        <v>39.409999999999997</v>
      </c>
      <c r="E3092" s="115">
        <v>39.619999999999997</v>
      </c>
      <c r="F3092" s="34">
        <v>39.049999999999997</v>
      </c>
      <c r="G3092" s="34">
        <v>39.270000000000003</v>
      </c>
      <c r="H3092" s="34">
        <v>39.270000000000003</v>
      </c>
      <c r="I3092" s="29">
        <v>106226000</v>
      </c>
    </row>
    <row r="3093" spans="3:9">
      <c r="C3093" s="125">
        <v>42695</v>
      </c>
      <c r="D3093" s="34">
        <v>38.299999999999997</v>
      </c>
      <c r="E3093" s="115">
        <v>39.020000000000003</v>
      </c>
      <c r="F3093" s="34">
        <v>38.26</v>
      </c>
      <c r="G3093" s="34">
        <v>39</v>
      </c>
      <c r="H3093" s="34">
        <v>39</v>
      </c>
      <c r="I3093" s="29">
        <v>92292000</v>
      </c>
    </row>
    <row r="3094" spans="3:9">
      <c r="C3094" s="125">
        <v>42692</v>
      </c>
      <c r="D3094" s="34">
        <v>38.049999999999997</v>
      </c>
      <c r="E3094" s="115">
        <v>38.39</v>
      </c>
      <c r="F3094" s="34">
        <v>37.880000000000003</v>
      </c>
      <c r="G3094" s="34">
        <v>38.01</v>
      </c>
      <c r="H3094" s="34">
        <v>38.01</v>
      </c>
      <c r="I3094" s="29">
        <v>87468000</v>
      </c>
    </row>
    <row r="3095" spans="3:9">
      <c r="C3095" s="125">
        <v>42691</v>
      </c>
      <c r="D3095" s="34">
        <v>37.47</v>
      </c>
      <c r="E3095" s="115">
        <v>37.880000000000003</v>
      </c>
      <c r="F3095" s="34">
        <v>37.4</v>
      </c>
      <c r="G3095" s="34">
        <v>37.82</v>
      </c>
      <c r="H3095" s="34">
        <v>37.82</v>
      </c>
      <c r="I3095" s="29">
        <v>73802000</v>
      </c>
    </row>
    <row r="3096" spans="3:9">
      <c r="C3096" s="125">
        <v>42690</v>
      </c>
      <c r="D3096" s="34">
        <v>36.99</v>
      </c>
      <c r="E3096" s="115">
        <v>37.49</v>
      </c>
      <c r="F3096" s="34">
        <v>36.78</v>
      </c>
      <c r="G3096" s="34">
        <v>37.32</v>
      </c>
      <c r="H3096" s="34">
        <v>37.32</v>
      </c>
      <c r="I3096" s="29">
        <v>72976000</v>
      </c>
    </row>
    <row r="3097" spans="3:9">
      <c r="C3097" s="125">
        <v>42689</v>
      </c>
      <c r="D3097" s="34">
        <v>36.5</v>
      </c>
      <c r="E3097" s="115">
        <v>37.340000000000003</v>
      </c>
      <c r="F3097" s="34">
        <v>36.299999999999997</v>
      </c>
      <c r="G3097" s="34">
        <v>37.159999999999997</v>
      </c>
      <c r="H3097" s="34">
        <v>37.159999999999997</v>
      </c>
      <c r="I3097" s="29">
        <v>135116000</v>
      </c>
    </row>
    <row r="3098" spans="3:9">
      <c r="C3098" s="125">
        <v>42688</v>
      </c>
      <c r="D3098" s="34">
        <v>37.28</v>
      </c>
      <c r="E3098" s="115">
        <v>37.299999999999997</v>
      </c>
      <c r="F3098" s="34">
        <v>35.51</v>
      </c>
      <c r="G3098" s="34">
        <v>35.950000000000003</v>
      </c>
      <c r="H3098" s="34">
        <v>35.950000000000003</v>
      </c>
      <c r="I3098" s="29">
        <v>146426000</v>
      </c>
    </row>
    <row r="3099" spans="3:9">
      <c r="C3099" s="125">
        <v>42685</v>
      </c>
      <c r="D3099" s="34">
        <v>36.79</v>
      </c>
      <c r="E3099" s="115">
        <v>37.159999999999997</v>
      </c>
      <c r="F3099" s="34">
        <v>36.44</v>
      </c>
      <c r="G3099" s="34">
        <v>36.950000000000003</v>
      </c>
      <c r="H3099" s="34">
        <v>36.950000000000003</v>
      </c>
      <c r="I3099" s="29">
        <v>132456000</v>
      </c>
    </row>
    <row r="3100" spans="3:9">
      <c r="C3100" s="125">
        <v>42684</v>
      </c>
      <c r="D3100" s="34">
        <v>38.94</v>
      </c>
      <c r="E3100" s="115">
        <v>38.94</v>
      </c>
      <c r="F3100" s="34">
        <v>35.880000000000003</v>
      </c>
      <c r="G3100" s="34">
        <v>37.119999999999997</v>
      </c>
      <c r="H3100" s="34">
        <v>37.119999999999997</v>
      </c>
      <c r="I3100" s="29">
        <v>254940000</v>
      </c>
    </row>
    <row r="3101" spans="3:9">
      <c r="C3101" s="125">
        <v>42683</v>
      </c>
      <c r="D3101" s="34">
        <v>38.200000000000003</v>
      </c>
      <c r="E3101" s="115">
        <v>38.880000000000003</v>
      </c>
      <c r="F3101" s="34">
        <v>38</v>
      </c>
      <c r="G3101" s="34">
        <v>38.590000000000003</v>
      </c>
      <c r="H3101" s="34">
        <v>38.590000000000003</v>
      </c>
      <c r="I3101" s="29">
        <v>171258000</v>
      </c>
    </row>
    <row r="3102" spans="3:9">
      <c r="C3102" s="125">
        <v>42682</v>
      </c>
      <c r="D3102" s="34">
        <v>39.25</v>
      </c>
      <c r="E3102" s="115">
        <v>39.590000000000003</v>
      </c>
      <c r="F3102" s="34">
        <v>38.96</v>
      </c>
      <c r="G3102" s="34">
        <v>39.39</v>
      </c>
      <c r="H3102" s="34">
        <v>39.39</v>
      </c>
      <c r="I3102" s="29">
        <v>68252000</v>
      </c>
    </row>
    <row r="3103" spans="3:9">
      <c r="C3103" s="125">
        <v>42681</v>
      </c>
      <c r="D3103" s="34">
        <v>38.58</v>
      </c>
      <c r="E3103" s="115">
        <v>39.39</v>
      </c>
      <c r="F3103" s="34">
        <v>38.549999999999997</v>
      </c>
      <c r="G3103" s="34">
        <v>39.25</v>
      </c>
      <c r="H3103" s="34">
        <v>39.25</v>
      </c>
      <c r="I3103" s="29">
        <v>119688000</v>
      </c>
    </row>
    <row r="3104" spans="3:9">
      <c r="C3104" s="125">
        <v>42678</v>
      </c>
      <c r="D3104" s="34">
        <v>38.14</v>
      </c>
      <c r="E3104" s="115">
        <v>38.299999999999997</v>
      </c>
      <c r="F3104" s="34">
        <v>37.659999999999997</v>
      </c>
      <c r="G3104" s="34">
        <v>37.75</v>
      </c>
      <c r="H3104" s="34">
        <v>37.75</v>
      </c>
      <c r="I3104" s="29">
        <v>102442000</v>
      </c>
    </row>
    <row r="3105" spans="3:9">
      <c r="C3105" s="125">
        <v>42677</v>
      </c>
      <c r="D3105" s="34">
        <v>38.25</v>
      </c>
      <c r="E3105" s="115">
        <v>38.85</v>
      </c>
      <c r="F3105" s="34">
        <v>38.200000000000003</v>
      </c>
      <c r="G3105" s="34">
        <v>38.35</v>
      </c>
      <c r="H3105" s="34">
        <v>38.35</v>
      </c>
      <c r="I3105" s="29">
        <v>77450000</v>
      </c>
    </row>
    <row r="3106" spans="3:9">
      <c r="C3106" s="125">
        <v>42676</v>
      </c>
      <c r="D3106" s="34">
        <v>39.200000000000003</v>
      </c>
      <c r="E3106" s="115">
        <v>39.24</v>
      </c>
      <c r="F3106" s="34">
        <v>38.18</v>
      </c>
      <c r="G3106" s="34">
        <v>38.28</v>
      </c>
      <c r="H3106" s="34">
        <v>38.28</v>
      </c>
      <c r="I3106" s="29">
        <v>100530000</v>
      </c>
    </row>
    <row r="3107" spans="3:9">
      <c r="C3107" s="125">
        <v>42675</v>
      </c>
      <c r="D3107" s="34">
        <v>39.950000000000003</v>
      </c>
      <c r="E3107" s="115">
        <v>40.04</v>
      </c>
      <c r="F3107" s="34">
        <v>38.840000000000003</v>
      </c>
      <c r="G3107" s="34">
        <v>39.270000000000003</v>
      </c>
      <c r="H3107" s="34">
        <v>39.270000000000003</v>
      </c>
      <c r="I3107" s="29">
        <v>106108000</v>
      </c>
    </row>
    <row r="3108" spans="3:9">
      <c r="C3108" s="125">
        <v>42674</v>
      </c>
      <c r="D3108" s="34">
        <v>39.049999999999997</v>
      </c>
      <c r="E3108" s="115">
        <v>39.69</v>
      </c>
      <c r="F3108" s="34">
        <v>39.01</v>
      </c>
      <c r="G3108" s="34">
        <v>39.49</v>
      </c>
      <c r="H3108" s="34">
        <v>39.49</v>
      </c>
      <c r="I3108" s="29">
        <v>108266000</v>
      </c>
    </row>
    <row r="3109" spans="3:9">
      <c r="C3109" s="125">
        <v>42671</v>
      </c>
      <c r="D3109" s="34">
        <v>39.1</v>
      </c>
      <c r="E3109" s="115">
        <v>39.47</v>
      </c>
      <c r="F3109" s="34">
        <v>38.729999999999997</v>
      </c>
      <c r="G3109" s="34">
        <v>38.82</v>
      </c>
      <c r="H3109" s="34">
        <v>38.82</v>
      </c>
      <c r="I3109" s="29">
        <v>216822000</v>
      </c>
    </row>
    <row r="3110" spans="3:9">
      <c r="C3110" s="125">
        <v>42670</v>
      </c>
      <c r="D3110" s="34">
        <v>41.56</v>
      </c>
      <c r="E3110" s="115">
        <v>41.59</v>
      </c>
      <c r="F3110" s="34">
        <v>40.770000000000003</v>
      </c>
      <c r="G3110" s="34">
        <v>40.92</v>
      </c>
      <c r="H3110" s="34">
        <v>40.92</v>
      </c>
      <c r="I3110" s="29">
        <v>148128000</v>
      </c>
    </row>
    <row r="3111" spans="3:9">
      <c r="C3111" s="125">
        <v>42669</v>
      </c>
      <c r="D3111" s="34">
        <v>41.64</v>
      </c>
      <c r="E3111" s="115">
        <v>41.67</v>
      </c>
      <c r="F3111" s="34">
        <v>41</v>
      </c>
      <c r="G3111" s="34">
        <v>41.13</v>
      </c>
      <c r="H3111" s="34">
        <v>41.13</v>
      </c>
      <c r="I3111" s="29">
        <v>79962000</v>
      </c>
    </row>
    <row r="3112" spans="3:9">
      <c r="C3112" s="125">
        <v>42668</v>
      </c>
      <c r="D3112" s="34">
        <v>41.97</v>
      </c>
      <c r="E3112" s="115">
        <v>42.15</v>
      </c>
      <c r="F3112" s="34">
        <v>41.66</v>
      </c>
      <c r="G3112" s="34">
        <v>41.76</v>
      </c>
      <c r="H3112" s="34">
        <v>41.76</v>
      </c>
      <c r="I3112" s="29">
        <v>64968000</v>
      </c>
    </row>
    <row r="3113" spans="3:9">
      <c r="C3113" s="125">
        <v>42667</v>
      </c>
      <c r="D3113" s="34">
        <v>41.25</v>
      </c>
      <c r="E3113" s="115">
        <v>41.92</v>
      </c>
      <c r="F3113" s="34">
        <v>41.11</v>
      </c>
      <c r="G3113" s="34">
        <v>41.9</v>
      </c>
      <c r="H3113" s="34">
        <v>41.9</v>
      </c>
      <c r="I3113" s="29">
        <v>81218000</v>
      </c>
    </row>
    <row r="3114" spans="3:9">
      <c r="C3114" s="125">
        <v>42664</v>
      </c>
      <c r="D3114" s="34">
        <v>40.47</v>
      </c>
      <c r="E3114" s="115">
        <v>40.97</v>
      </c>
      <c r="F3114" s="34">
        <v>40.450000000000003</v>
      </c>
      <c r="G3114" s="34">
        <v>40.950000000000003</v>
      </c>
      <c r="H3114" s="34">
        <v>40.950000000000003</v>
      </c>
      <c r="I3114" s="29">
        <v>55860000</v>
      </c>
    </row>
    <row r="3115" spans="3:9">
      <c r="C3115" s="125">
        <v>42663</v>
      </c>
      <c r="D3115" s="34">
        <v>40.700000000000003</v>
      </c>
      <c r="E3115" s="115">
        <v>40.79</v>
      </c>
      <c r="F3115" s="34">
        <v>40.15</v>
      </c>
      <c r="G3115" s="34">
        <v>40.520000000000003</v>
      </c>
      <c r="H3115" s="34">
        <v>40.520000000000003</v>
      </c>
      <c r="I3115" s="29">
        <v>63040000</v>
      </c>
    </row>
    <row r="3116" spans="3:9">
      <c r="C3116" s="125">
        <v>42662</v>
      </c>
      <c r="D3116" s="34">
        <v>41.02</v>
      </c>
      <c r="E3116" s="115">
        <v>41.03</v>
      </c>
      <c r="F3116" s="34">
        <v>40.76</v>
      </c>
      <c r="G3116" s="34">
        <v>40.880000000000003</v>
      </c>
      <c r="H3116" s="34">
        <v>40.880000000000003</v>
      </c>
      <c r="I3116" s="29">
        <v>41814000</v>
      </c>
    </row>
    <row r="3117" spans="3:9">
      <c r="C3117" s="125">
        <v>42661</v>
      </c>
      <c r="D3117" s="34">
        <v>41.11</v>
      </c>
      <c r="E3117" s="115">
        <v>41.16</v>
      </c>
      <c r="F3117" s="34">
        <v>40.75</v>
      </c>
      <c r="G3117" s="34">
        <v>40.880000000000003</v>
      </c>
      <c r="H3117" s="34">
        <v>40.880000000000003</v>
      </c>
      <c r="I3117" s="29">
        <v>50250000</v>
      </c>
    </row>
    <row r="3118" spans="3:9">
      <c r="C3118" s="125">
        <v>42660</v>
      </c>
      <c r="D3118" s="34">
        <v>41.08</v>
      </c>
      <c r="E3118" s="115">
        <v>41.1</v>
      </c>
      <c r="F3118" s="34">
        <v>40.58</v>
      </c>
      <c r="G3118" s="34">
        <v>40.65</v>
      </c>
      <c r="H3118" s="34">
        <v>40.65</v>
      </c>
      <c r="I3118" s="29">
        <v>67230000</v>
      </c>
    </row>
    <row r="3119" spans="3:9">
      <c r="C3119" s="125">
        <v>42657</v>
      </c>
      <c r="D3119" s="34">
        <v>41.75</v>
      </c>
      <c r="E3119" s="115">
        <v>41.79</v>
      </c>
      <c r="F3119" s="34">
        <v>41.15</v>
      </c>
      <c r="G3119" s="34">
        <v>41.15</v>
      </c>
      <c r="H3119" s="34">
        <v>41.15</v>
      </c>
      <c r="I3119" s="29">
        <v>59996000</v>
      </c>
    </row>
    <row r="3120" spans="3:9">
      <c r="C3120" s="125">
        <v>42656</v>
      </c>
      <c r="D3120" s="34">
        <v>41.45</v>
      </c>
      <c r="E3120" s="115">
        <v>41.59</v>
      </c>
      <c r="F3120" s="34">
        <v>41.06</v>
      </c>
      <c r="G3120" s="34">
        <v>41.46</v>
      </c>
      <c r="H3120" s="34">
        <v>41.46</v>
      </c>
      <c r="I3120" s="29">
        <v>61828000</v>
      </c>
    </row>
    <row r="3121" spans="3:9">
      <c r="C3121" s="125">
        <v>42655</v>
      </c>
      <c r="D3121" s="34">
        <v>41.7</v>
      </c>
      <c r="E3121" s="115">
        <v>41.88</v>
      </c>
      <c r="F3121" s="34">
        <v>41.51</v>
      </c>
      <c r="G3121" s="34">
        <v>41.7</v>
      </c>
      <c r="H3121" s="34">
        <v>41.7</v>
      </c>
      <c r="I3121" s="29">
        <v>47608000</v>
      </c>
    </row>
    <row r="3122" spans="3:9">
      <c r="C3122" s="125">
        <v>42654</v>
      </c>
      <c r="D3122" s="34">
        <v>42.05</v>
      </c>
      <c r="E3122" s="115">
        <v>42.06</v>
      </c>
      <c r="F3122" s="34">
        <v>41.42</v>
      </c>
      <c r="G3122" s="34">
        <v>41.55</v>
      </c>
      <c r="H3122" s="34">
        <v>41.55</v>
      </c>
      <c r="I3122" s="29">
        <v>71764000</v>
      </c>
    </row>
    <row r="3123" spans="3:9">
      <c r="C3123" s="125">
        <v>42653</v>
      </c>
      <c r="D3123" s="34">
        <v>42.16</v>
      </c>
      <c r="E3123" s="115">
        <v>42.26</v>
      </c>
      <c r="F3123" s="34">
        <v>42.01</v>
      </c>
      <c r="G3123" s="34">
        <v>42.09</v>
      </c>
      <c r="H3123" s="34">
        <v>42.09</v>
      </c>
      <c r="I3123" s="29">
        <v>36542000</v>
      </c>
    </row>
    <row r="3124" spans="3:9">
      <c r="C3124" s="125">
        <v>42650</v>
      </c>
      <c r="D3124" s="34">
        <v>42.29</v>
      </c>
      <c r="E3124" s="115">
        <v>42.3</v>
      </c>
      <c r="F3124" s="34">
        <v>41.87</v>
      </c>
      <c r="G3124" s="34">
        <v>41.97</v>
      </c>
      <c r="H3124" s="34">
        <v>41.97</v>
      </c>
      <c r="I3124" s="29">
        <v>48524000</v>
      </c>
    </row>
    <row r="3125" spans="3:9">
      <c r="C3125" s="125">
        <v>42649</v>
      </c>
      <c r="D3125" s="34">
        <v>42.19</v>
      </c>
      <c r="E3125" s="115">
        <v>42.36</v>
      </c>
      <c r="F3125" s="34">
        <v>42.03</v>
      </c>
      <c r="G3125" s="34">
        <v>42.08</v>
      </c>
      <c r="H3125" s="34">
        <v>42.08</v>
      </c>
      <c r="I3125" s="29">
        <v>53680000</v>
      </c>
    </row>
    <row r="3126" spans="3:9">
      <c r="C3126" s="125">
        <v>42648</v>
      </c>
      <c r="D3126" s="34">
        <v>41.9</v>
      </c>
      <c r="E3126" s="115">
        <v>42.28</v>
      </c>
      <c r="F3126" s="34">
        <v>41.81</v>
      </c>
      <c r="G3126" s="34">
        <v>42.22</v>
      </c>
      <c r="H3126" s="34">
        <v>42.22</v>
      </c>
      <c r="I3126" s="29">
        <v>69382000</v>
      </c>
    </row>
    <row r="3127" spans="3:9">
      <c r="C3127" s="125">
        <v>42647</v>
      </c>
      <c r="D3127" s="34">
        <v>42.05</v>
      </c>
      <c r="E3127" s="115">
        <v>42.12</v>
      </c>
      <c r="F3127" s="34">
        <v>41.51</v>
      </c>
      <c r="G3127" s="34">
        <v>41.7</v>
      </c>
      <c r="H3127" s="34">
        <v>41.7</v>
      </c>
      <c r="I3127" s="29">
        <v>59006000</v>
      </c>
    </row>
    <row r="3128" spans="3:9">
      <c r="C3128" s="125">
        <v>42646</v>
      </c>
      <c r="D3128" s="34">
        <v>41.8</v>
      </c>
      <c r="E3128" s="115">
        <v>41.99</v>
      </c>
      <c r="F3128" s="34">
        <v>41.56</v>
      </c>
      <c r="G3128" s="34">
        <v>41.84</v>
      </c>
      <c r="H3128" s="34">
        <v>41.84</v>
      </c>
      <c r="I3128" s="29">
        <v>55388000</v>
      </c>
    </row>
    <row r="3129" spans="3:9">
      <c r="C3129" s="125">
        <v>42643</v>
      </c>
      <c r="D3129" s="34">
        <v>41.63</v>
      </c>
      <c r="E3129" s="115">
        <v>42</v>
      </c>
      <c r="F3129" s="34">
        <v>41.62</v>
      </c>
      <c r="G3129" s="34">
        <v>41.87</v>
      </c>
      <c r="H3129" s="34">
        <v>41.87</v>
      </c>
      <c r="I3129" s="29">
        <v>88612000</v>
      </c>
    </row>
    <row r="3130" spans="3:9">
      <c r="C3130" s="125">
        <v>42642</v>
      </c>
      <c r="D3130" s="34">
        <v>41.41</v>
      </c>
      <c r="E3130" s="115">
        <v>41.88</v>
      </c>
      <c r="F3130" s="34">
        <v>41.23</v>
      </c>
      <c r="G3130" s="34">
        <v>41.45</v>
      </c>
      <c r="H3130" s="34">
        <v>41.45</v>
      </c>
      <c r="I3130" s="29">
        <v>98444000</v>
      </c>
    </row>
    <row r="3131" spans="3:9">
      <c r="C3131" s="125">
        <v>42641</v>
      </c>
      <c r="D3131" s="34">
        <v>40.9</v>
      </c>
      <c r="E3131" s="115">
        <v>41.51</v>
      </c>
      <c r="F3131" s="34">
        <v>40.85</v>
      </c>
      <c r="G3131" s="34">
        <v>41.44</v>
      </c>
      <c r="H3131" s="34">
        <v>41.44</v>
      </c>
      <c r="I3131" s="29">
        <v>88442000</v>
      </c>
    </row>
    <row r="3132" spans="3:9">
      <c r="C3132" s="125">
        <v>42640</v>
      </c>
      <c r="D3132" s="34">
        <v>40.090000000000003</v>
      </c>
      <c r="E3132" s="115">
        <v>40.83</v>
      </c>
      <c r="F3132" s="34">
        <v>40.06</v>
      </c>
      <c r="G3132" s="34">
        <v>40.81</v>
      </c>
      <c r="H3132" s="34">
        <v>40.81</v>
      </c>
      <c r="I3132" s="29">
        <v>76392000</v>
      </c>
    </row>
    <row r="3133" spans="3:9">
      <c r="C3133" s="125">
        <v>42639</v>
      </c>
      <c r="D3133" s="34">
        <v>40.090000000000003</v>
      </c>
      <c r="E3133" s="115">
        <v>40.299999999999997</v>
      </c>
      <c r="F3133" s="34">
        <v>39.86</v>
      </c>
      <c r="G3133" s="34">
        <v>39.96</v>
      </c>
      <c r="H3133" s="34">
        <v>39.96</v>
      </c>
      <c r="I3133" s="29">
        <v>53028000</v>
      </c>
    </row>
    <row r="3134" spans="3:9">
      <c r="C3134" s="125">
        <v>42636</v>
      </c>
      <c r="D3134" s="34">
        <v>40.159999999999997</v>
      </c>
      <c r="E3134" s="115">
        <v>40.39</v>
      </c>
      <c r="F3134" s="34">
        <v>40.11</v>
      </c>
      <c r="G3134" s="34">
        <v>40.29</v>
      </c>
      <c r="H3134" s="34">
        <v>40.29</v>
      </c>
      <c r="I3134" s="29">
        <v>47070000</v>
      </c>
    </row>
    <row r="3135" spans="3:9">
      <c r="C3135" s="125">
        <v>42635</v>
      </c>
      <c r="D3135" s="34">
        <v>39.71</v>
      </c>
      <c r="E3135" s="115">
        <v>40.29</v>
      </c>
      <c r="F3135" s="34">
        <v>39.71</v>
      </c>
      <c r="G3135" s="34">
        <v>40.24</v>
      </c>
      <c r="H3135" s="34">
        <v>40.24</v>
      </c>
      <c r="I3135" s="29">
        <v>81578000</v>
      </c>
    </row>
    <row r="3136" spans="3:9">
      <c r="C3136" s="125">
        <v>42634</v>
      </c>
      <c r="D3136" s="34">
        <v>39.159999999999997</v>
      </c>
      <c r="E3136" s="115">
        <v>39.53</v>
      </c>
      <c r="F3136" s="34">
        <v>38.950000000000003</v>
      </c>
      <c r="G3136" s="34">
        <v>39.49</v>
      </c>
      <c r="H3136" s="34">
        <v>39.49</v>
      </c>
      <c r="I3136" s="29">
        <v>54372000</v>
      </c>
    </row>
    <row r="3137" spans="3:9">
      <c r="C3137" s="125">
        <v>42633</v>
      </c>
      <c r="D3137" s="34">
        <v>38.799999999999997</v>
      </c>
      <c r="E3137" s="115">
        <v>39.07</v>
      </c>
      <c r="F3137" s="34">
        <v>38.799999999999997</v>
      </c>
      <c r="G3137" s="34">
        <v>39.01</v>
      </c>
      <c r="H3137" s="34">
        <v>39.01</v>
      </c>
      <c r="I3137" s="29">
        <v>38744000</v>
      </c>
    </row>
    <row r="3138" spans="3:9">
      <c r="C3138" s="125">
        <v>42632</v>
      </c>
      <c r="D3138" s="34">
        <v>39</v>
      </c>
      <c r="E3138" s="115">
        <v>39.1</v>
      </c>
      <c r="F3138" s="34">
        <v>38.549999999999997</v>
      </c>
      <c r="G3138" s="34">
        <v>38.76</v>
      </c>
      <c r="H3138" s="34">
        <v>38.76</v>
      </c>
      <c r="I3138" s="29">
        <v>45944000</v>
      </c>
    </row>
    <row r="3139" spans="3:9">
      <c r="C3139" s="125">
        <v>42629</v>
      </c>
      <c r="D3139" s="34">
        <v>38.659999999999997</v>
      </c>
      <c r="E3139" s="115">
        <v>39.020000000000003</v>
      </c>
      <c r="F3139" s="34">
        <v>38.58</v>
      </c>
      <c r="G3139" s="34">
        <v>38.93</v>
      </c>
      <c r="H3139" s="34">
        <v>38.93</v>
      </c>
      <c r="I3139" s="29">
        <v>109984000</v>
      </c>
    </row>
    <row r="3140" spans="3:9">
      <c r="C3140" s="125">
        <v>42628</v>
      </c>
      <c r="D3140" s="34">
        <v>38.1</v>
      </c>
      <c r="E3140" s="115">
        <v>38.54</v>
      </c>
      <c r="F3140" s="34">
        <v>37.880000000000003</v>
      </c>
      <c r="G3140" s="34">
        <v>38.479999999999997</v>
      </c>
      <c r="H3140" s="34">
        <v>38.479999999999997</v>
      </c>
      <c r="I3140" s="29">
        <v>60680000</v>
      </c>
    </row>
    <row r="3141" spans="3:9">
      <c r="C3141" s="125">
        <v>42627</v>
      </c>
      <c r="D3141" s="34">
        <v>38.11</v>
      </c>
      <c r="E3141" s="115">
        <v>38.380000000000003</v>
      </c>
      <c r="F3141" s="34">
        <v>37.94</v>
      </c>
      <c r="G3141" s="34">
        <v>38.049999999999997</v>
      </c>
      <c r="H3141" s="34">
        <v>38.049999999999997</v>
      </c>
      <c r="I3141" s="29">
        <v>50460000</v>
      </c>
    </row>
    <row r="3142" spans="3:9">
      <c r="C3142" s="125">
        <v>42626</v>
      </c>
      <c r="D3142" s="34">
        <v>38.44</v>
      </c>
      <c r="E3142" s="115">
        <v>38.49</v>
      </c>
      <c r="F3142" s="34">
        <v>37.950000000000003</v>
      </c>
      <c r="G3142" s="34">
        <v>38.049999999999997</v>
      </c>
      <c r="H3142" s="34">
        <v>38.049999999999997</v>
      </c>
      <c r="I3142" s="29">
        <v>62344000</v>
      </c>
    </row>
    <row r="3143" spans="3:9">
      <c r="C3143" s="125">
        <v>42625</v>
      </c>
      <c r="D3143" s="34">
        <v>37.869999999999997</v>
      </c>
      <c r="E3143" s="115">
        <v>38.630000000000003</v>
      </c>
      <c r="F3143" s="34">
        <v>37.799999999999997</v>
      </c>
      <c r="G3143" s="34">
        <v>38.57</v>
      </c>
      <c r="H3143" s="34">
        <v>38.57</v>
      </c>
      <c r="I3143" s="29">
        <v>62494000</v>
      </c>
    </row>
    <row r="3144" spans="3:9">
      <c r="C3144" s="125">
        <v>42622</v>
      </c>
      <c r="D3144" s="34">
        <v>38.97</v>
      </c>
      <c r="E3144" s="115">
        <v>39.049999999999997</v>
      </c>
      <c r="F3144" s="34">
        <v>38.01</v>
      </c>
      <c r="G3144" s="34">
        <v>38.01</v>
      </c>
      <c r="H3144" s="34">
        <v>38.01</v>
      </c>
      <c r="I3144" s="29">
        <v>85146000</v>
      </c>
    </row>
    <row r="3145" spans="3:9">
      <c r="C3145" s="125">
        <v>42621</v>
      </c>
      <c r="D3145" s="34">
        <v>39.19</v>
      </c>
      <c r="E3145" s="115">
        <v>39.33</v>
      </c>
      <c r="F3145" s="34">
        <v>39.07</v>
      </c>
      <c r="G3145" s="34">
        <v>39.200000000000003</v>
      </c>
      <c r="H3145" s="34">
        <v>39.200000000000003</v>
      </c>
      <c r="I3145" s="29">
        <v>40610000</v>
      </c>
    </row>
    <row r="3146" spans="3:9">
      <c r="C3146" s="125">
        <v>42620</v>
      </c>
      <c r="D3146" s="34">
        <v>39.479999999999997</v>
      </c>
      <c r="E3146" s="115">
        <v>39.54</v>
      </c>
      <c r="F3146" s="34">
        <v>39.22</v>
      </c>
      <c r="G3146" s="34">
        <v>39.22</v>
      </c>
      <c r="H3146" s="34">
        <v>39.22</v>
      </c>
      <c r="I3146" s="29">
        <v>48492000</v>
      </c>
    </row>
    <row r="3147" spans="3:9">
      <c r="C3147" s="125">
        <v>42619</v>
      </c>
      <c r="D3147" s="34">
        <v>38.700000000000003</v>
      </c>
      <c r="E3147" s="115">
        <v>39.47</v>
      </c>
      <c r="F3147" s="34">
        <v>38.51</v>
      </c>
      <c r="G3147" s="34">
        <v>39.44</v>
      </c>
      <c r="H3147" s="34">
        <v>39.44</v>
      </c>
      <c r="I3147" s="29">
        <v>74396000</v>
      </c>
    </row>
    <row r="3148" spans="3:9">
      <c r="C3148" s="125">
        <v>42615</v>
      </c>
      <c r="D3148" s="34">
        <v>38.71</v>
      </c>
      <c r="E3148" s="115">
        <v>38.799999999999997</v>
      </c>
      <c r="F3148" s="34">
        <v>38.58</v>
      </c>
      <c r="G3148" s="34">
        <v>38.619999999999997</v>
      </c>
      <c r="H3148" s="34">
        <v>38.619999999999997</v>
      </c>
      <c r="I3148" s="29">
        <v>43636000</v>
      </c>
    </row>
    <row r="3149" spans="3:9">
      <c r="C3149" s="125">
        <v>42614</v>
      </c>
      <c r="D3149" s="34">
        <v>38.54</v>
      </c>
      <c r="E3149" s="115">
        <v>38.6</v>
      </c>
      <c r="F3149" s="34">
        <v>38.340000000000003</v>
      </c>
      <c r="G3149" s="34">
        <v>38.53</v>
      </c>
      <c r="H3149" s="34">
        <v>38.53</v>
      </c>
      <c r="I3149" s="29">
        <v>35846000</v>
      </c>
    </row>
    <row r="3150" spans="3:9">
      <c r="C3150" s="125">
        <v>42613</v>
      </c>
      <c r="D3150" s="34">
        <v>38.33</v>
      </c>
      <c r="E3150" s="115">
        <v>38.479999999999997</v>
      </c>
      <c r="F3150" s="34">
        <v>38.200000000000003</v>
      </c>
      <c r="G3150" s="34">
        <v>38.46</v>
      </c>
      <c r="H3150" s="34">
        <v>38.46</v>
      </c>
      <c r="I3150" s="29">
        <v>32676000</v>
      </c>
    </row>
    <row r="3151" spans="3:9">
      <c r="C3151" s="125">
        <v>42612</v>
      </c>
      <c r="D3151" s="34">
        <v>38.549999999999997</v>
      </c>
      <c r="E3151" s="115">
        <v>38.590000000000003</v>
      </c>
      <c r="F3151" s="34">
        <v>38.28</v>
      </c>
      <c r="G3151" s="34">
        <v>38.380000000000003</v>
      </c>
      <c r="H3151" s="34">
        <v>38.380000000000003</v>
      </c>
      <c r="I3151" s="29">
        <v>34184000</v>
      </c>
    </row>
    <row r="3152" spans="3:9">
      <c r="C3152" s="125">
        <v>42611</v>
      </c>
      <c r="D3152" s="34">
        <v>38.44</v>
      </c>
      <c r="E3152" s="115">
        <v>38.75</v>
      </c>
      <c r="F3152" s="34">
        <v>38.43</v>
      </c>
      <c r="G3152" s="34">
        <v>38.56</v>
      </c>
      <c r="H3152" s="34">
        <v>38.56</v>
      </c>
      <c r="I3152" s="29">
        <v>43972000</v>
      </c>
    </row>
    <row r="3153" spans="3:9">
      <c r="C3153" s="125">
        <v>42608</v>
      </c>
      <c r="D3153" s="34">
        <v>38</v>
      </c>
      <c r="E3153" s="115">
        <v>38.5</v>
      </c>
      <c r="F3153" s="34">
        <v>37.99</v>
      </c>
      <c r="G3153" s="34">
        <v>38.450000000000003</v>
      </c>
      <c r="H3153" s="34">
        <v>38.450000000000003</v>
      </c>
      <c r="I3153" s="29">
        <v>55536000</v>
      </c>
    </row>
    <row r="3154" spans="3:9">
      <c r="C3154" s="125">
        <v>42607</v>
      </c>
      <c r="D3154" s="34">
        <v>37.799999999999997</v>
      </c>
      <c r="E3154" s="115">
        <v>38.03</v>
      </c>
      <c r="F3154" s="34">
        <v>37.74</v>
      </c>
      <c r="G3154" s="34">
        <v>37.96</v>
      </c>
      <c r="H3154" s="34">
        <v>37.96</v>
      </c>
      <c r="I3154" s="29">
        <v>32460000</v>
      </c>
    </row>
    <row r="3155" spans="3:9">
      <c r="C3155" s="125">
        <v>42606</v>
      </c>
      <c r="D3155" s="34">
        <v>38.15</v>
      </c>
      <c r="E3155" s="115">
        <v>38.17</v>
      </c>
      <c r="F3155" s="34">
        <v>37.770000000000003</v>
      </c>
      <c r="G3155" s="34">
        <v>37.86</v>
      </c>
      <c r="H3155" s="34">
        <v>37.86</v>
      </c>
      <c r="I3155" s="29">
        <v>34882000</v>
      </c>
    </row>
    <row r="3156" spans="3:9">
      <c r="C3156" s="125">
        <v>42605</v>
      </c>
      <c r="D3156" s="34">
        <v>38.17</v>
      </c>
      <c r="E3156" s="115">
        <v>38.24</v>
      </c>
      <c r="F3156" s="34">
        <v>38.049999999999997</v>
      </c>
      <c r="G3156" s="34">
        <v>38.119999999999997</v>
      </c>
      <c r="H3156" s="34">
        <v>38.119999999999997</v>
      </c>
      <c r="I3156" s="29">
        <v>30482000</v>
      </c>
    </row>
    <row r="3157" spans="3:9">
      <c r="C3157" s="125">
        <v>42604</v>
      </c>
      <c r="D3157" s="34">
        <v>37.880000000000003</v>
      </c>
      <c r="E3157" s="115">
        <v>37.99</v>
      </c>
      <c r="F3157" s="34">
        <v>37.6</v>
      </c>
      <c r="G3157" s="34">
        <v>37.97</v>
      </c>
      <c r="H3157" s="34">
        <v>37.97</v>
      </c>
      <c r="I3157" s="29">
        <v>33586000</v>
      </c>
    </row>
    <row r="3158" spans="3:9">
      <c r="C3158" s="125">
        <v>42601</v>
      </c>
      <c r="D3158" s="34">
        <v>38.1</v>
      </c>
      <c r="E3158" s="115">
        <v>38.119999999999997</v>
      </c>
      <c r="F3158" s="34">
        <v>37.840000000000003</v>
      </c>
      <c r="G3158" s="34">
        <v>37.869999999999997</v>
      </c>
      <c r="H3158" s="34">
        <v>37.869999999999997</v>
      </c>
      <c r="I3158" s="29">
        <v>46864000</v>
      </c>
    </row>
    <row r="3159" spans="3:9">
      <c r="C3159" s="125">
        <v>42600</v>
      </c>
      <c r="D3159" s="34">
        <v>38.200000000000003</v>
      </c>
      <c r="E3159" s="115">
        <v>38.26</v>
      </c>
      <c r="F3159" s="34">
        <v>38.03</v>
      </c>
      <c r="G3159" s="34">
        <v>38.22</v>
      </c>
      <c r="H3159" s="34">
        <v>38.22</v>
      </c>
      <c r="I3159" s="29">
        <v>29176000</v>
      </c>
    </row>
    <row r="3160" spans="3:9">
      <c r="C3160" s="125">
        <v>42599</v>
      </c>
      <c r="D3160" s="34">
        <v>38.22</v>
      </c>
      <c r="E3160" s="115">
        <v>38.26</v>
      </c>
      <c r="F3160" s="34">
        <v>37.96</v>
      </c>
      <c r="G3160" s="34">
        <v>38.229999999999997</v>
      </c>
      <c r="H3160" s="34">
        <v>38.229999999999997</v>
      </c>
      <c r="I3160" s="29">
        <v>37822000</v>
      </c>
    </row>
    <row r="3161" spans="3:9">
      <c r="C3161" s="125">
        <v>42598</v>
      </c>
      <c r="D3161" s="34">
        <v>38.43</v>
      </c>
      <c r="E3161" s="115">
        <v>38.44</v>
      </c>
      <c r="F3161" s="34">
        <v>38.19</v>
      </c>
      <c r="G3161" s="34">
        <v>38.200000000000003</v>
      </c>
      <c r="H3161" s="34">
        <v>38.200000000000003</v>
      </c>
      <c r="I3161" s="29">
        <v>32092000</v>
      </c>
    </row>
    <row r="3162" spans="3:9">
      <c r="C3162" s="125">
        <v>42597</v>
      </c>
      <c r="D3162" s="34">
        <v>38.6</v>
      </c>
      <c r="E3162" s="115">
        <v>38.6</v>
      </c>
      <c r="F3162" s="34">
        <v>38.39</v>
      </c>
      <c r="G3162" s="34">
        <v>38.42</v>
      </c>
      <c r="H3162" s="34">
        <v>38.42</v>
      </c>
      <c r="I3162" s="29">
        <v>42370000</v>
      </c>
    </row>
    <row r="3163" spans="3:9">
      <c r="C3163" s="125">
        <v>42594</v>
      </c>
      <c r="D3163" s="34">
        <v>38.42</v>
      </c>
      <c r="E3163" s="115">
        <v>38.659999999999997</v>
      </c>
      <c r="F3163" s="34">
        <v>38.42</v>
      </c>
      <c r="G3163" s="34">
        <v>38.630000000000003</v>
      </c>
      <c r="H3163" s="34">
        <v>38.630000000000003</v>
      </c>
      <c r="I3163" s="29">
        <v>31266000</v>
      </c>
    </row>
    <row r="3164" spans="3:9">
      <c r="C3164" s="125">
        <v>42593</v>
      </c>
      <c r="D3164" s="34">
        <v>38.5</v>
      </c>
      <c r="E3164" s="115">
        <v>38.69</v>
      </c>
      <c r="F3164" s="34">
        <v>38.46</v>
      </c>
      <c r="G3164" s="34">
        <v>38.56</v>
      </c>
      <c r="H3164" s="34">
        <v>38.56</v>
      </c>
      <c r="I3164" s="29">
        <v>40394000</v>
      </c>
    </row>
    <row r="3165" spans="3:9">
      <c r="C3165" s="125">
        <v>42592</v>
      </c>
      <c r="D3165" s="34">
        <v>38.49</v>
      </c>
      <c r="E3165" s="115">
        <v>38.6</v>
      </c>
      <c r="F3165" s="34">
        <v>38.31</v>
      </c>
      <c r="G3165" s="34">
        <v>38.43</v>
      </c>
      <c r="H3165" s="34">
        <v>38.43</v>
      </c>
      <c r="I3165" s="29">
        <v>32086000</v>
      </c>
    </row>
    <row r="3166" spans="3:9">
      <c r="C3166" s="125">
        <v>42591</v>
      </c>
      <c r="D3166" s="34">
        <v>38.369999999999997</v>
      </c>
      <c r="E3166" s="115">
        <v>38.630000000000003</v>
      </c>
      <c r="F3166" s="34">
        <v>38.35</v>
      </c>
      <c r="G3166" s="34">
        <v>38.42</v>
      </c>
      <c r="H3166" s="34">
        <v>38.42</v>
      </c>
      <c r="I3166" s="29">
        <v>37522000</v>
      </c>
    </row>
    <row r="3167" spans="3:9">
      <c r="C3167" s="125">
        <v>42590</v>
      </c>
      <c r="D3167" s="34">
        <v>38.340000000000003</v>
      </c>
      <c r="E3167" s="115">
        <v>38.35</v>
      </c>
      <c r="F3167" s="34">
        <v>38.049999999999997</v>
      </c>
      <c r="G3167" s="34">
        <v>38.33</v>
      </c>
      <c r="H3167" s="34">
        <v>38.33</v>
      </c>
      <c r="I3167" s="29">
        <v>39726000</v>
      </c>
    </row>
    <row r="3168" spans="3:9">
      <c r="C3168" s="125">
        <v>42587</v>
      </c>
      <c r="D3168" s="34">
        <v>38.24</v>
      </c>
      <c r="E3168" s="115">
        <v>38.42</v>
      </c>
      <c r="F3168" s="34">
        <v>38.15</v>
      </c>
      <c r="G3168" s="34">
        <v>38.299999999999997</v>
      </c>
      <c r="H3168" s="34">
        <v>38.299999999999997</v>
      </c>
      <c r="I3168" s="29">
        <v>54088000</v>
      </c>
    </row>
    <row r="3169" spans="3:9">
      <c r="C3169" s="125">
        <v>42586</v>
      </c>
      <c r="D3169" s="34">
        <v>37.69</v>
      </c>
      <c r="E3169" s="115">
        <v>38.25</v>
      </c>
      <c r="F3169" s="34">
        <v>37.520000000000003</v>
      </c>
      <c r="G3169" s="34">
        <v>38.04</v>
      </c>
      <c r="H3169" s="34">
        <v>38.04</v>
      </c>
      <c r="I3169" s="29">
        <v>63564000</v>
      </c>
    </row>
    <row r="3170" spans="3:9">
      <c r="C3170" s="125">
        <v>42585</v>
      </c>
      <c r="D3170" s="34">
        <v>37.85</v>
      </c>
      <c r="E3170" s="115">
        <v>37.94</v>
      </c>
      <c r="F3170" s="34">
        <v>37.61</v>
      </c>
      <c r="G3170" s="34">
        <v>37.729999999999997</v>
      </c>
      <c r="H3170" s="34">
        <v>37.729999999999997</v>
      </c>
      <c r="I3170" s="29">
        <v>71630000</v>
      </c>
    </row>
    <row r="3171" spans="3:9">
      <c r="C3171" s="125">
        <v>42584</v>
      </c>
      <c r="D3171" s="34">
        <v>38.19</v>
      </c>
      <c r="E3171" s="115">
        <v>38.25</v>
      </c>
      <c r="F3171" s="34">
        <v>37.85</v>
      </c>
      <c r="G3171" s="34">
        <v>38.03</v>
      </c>
      <c r="H3171" s="34">
        <v>38.03</v>
      </c>
      <c r="I3171" s="29">
        <v>72066000</v>
      </c>
    </row>
    <row r="3172" spans="3:9">
      <c r="C3172" s="125">
        <v>42583</v>
      </c>
      <c r="D3172" s="34">
        <v>37.99</v>
      </c>
      <c r="E3172" s="115">
        <v>38.53</v>
      </c>
      <c r="F3172" s="34">
        <v>37.85</v>
      </c>
      <c r="G3172" s="34">
        <v>38.39</v>
      </c>
      <c r="H3172" s="34">
        <v>38.39</v>
      </c>
      <c r="I3172" s="29">
        <v>71564000</v>
      </c>
    </row>
    <row r="3173" spans="3:9">
      <c r="C3173" s="125">
        <v>42580</v>
      </c>
      <c r="D3173" s="34">
        <v>38.25</v>
      </c>
      <c r="E3173" s="115">
        <v>38.299999999999997</v>
      </c>
      <c r="F3173" s="34">
        <v>37.75</v>
      </c>
      <c r="G3173" s="34">
        <v>37.94</v>
      </c>
      <c r="H3173" s="34">
        <v>37.94</v>
      </c>
      <c r="I3173" s="29">
        <v>135542000</v>
      </c>
    </row>
    <row r="3174" spans="3:9">
      <c r="C3174" s="125">
        <v>42579</v>
      </c>
      <c r="D3174" s="34">
        <v>37.299999999999997</v>
      </c>
      <c r="E3174" s="115">
        <v>37.67</v>
      </c>
      <c r="F3174" s="34">
        <v>36.99</v>
      </c>
      <c r="G3174" s="34">
        <v>37.630000000000003</v>
      </c>
      <c r="H3174" s="34">
        <v>37.630000000000003</v>
      </c>
      <c r="I3174" s="29">
        <v>152352000</v>
      </c>
    </row>
    <row r="3175" spans="3:9">
      <c r="C3175" s="125">
        <v>42578</v>
      </c>
      <c r="D3175" s="34">
        <v>36.9</v>
      </c>
      <c r="E3175" s="115">
        <v>37.049999999999997</v>
      </c>
      <c r="F3175" s="34">
        <v>36.69</v>
      </c>
      <c r="G3175" s="34">
        <v>36.83</v>
      </c>
      <c r="H3175" s="34">
        <v>36.83</v>
      </c>
      <c r="I3175" s="29">
        <v>58262000</v>
      </c>
    </row>
    <row r="3176" spans="3:9">
      <c r="C3176" s="125">
        <v>42577</v>
      </c>
      <c r="D3176" s="34">
        <v>37.14</v>
      </c>
      <c r="E3176" s="115">
        <v>37.159999999999997</v>
      </c>
      <c r="F3176" s="34">
        <v>36.64</v>
      </c>
      <c r="G3176" s="34">
        <v>36.78</v>
      </c>
      <c r="H3176" s="34">
        <v>36.78</v>
      </c>
      <c r="I3176" s="29">
        <v>50594000</v>
      </c>
    </row>
    <row r="3177" spans="3:9">
      <c r="C3177" s="125">
        <v>42576</v>
      </c>
      <c r="D3177" s="34">
        <v>37.33</v>
      </c>
      <c r="E3177" s="115">
        <v>37.42</v>
      </c>
      <c r="F3177" s="34">
        <v>36.770000000000003</v>
      </c>
      <c r="G3177" s="34">
        <v>36.979999999999997</v>
      </c>
      <c r="H3177" s="34">
        <v>36.979999999999997</v>
      </c>
      <c r="I3177" s="29">
        <v>53586000</v>
      </c>
    </row>
    <row r="3178" spans="3:9">
      <c r="C3178" s="125">
        <v>42573</v>
      </c>
      <c r="D3178" s="34">
        <v>37.39</v>
      </c>
      <c r="E3178" s="115">
        <v>37.56</v>
      </c>
      <c r="F3178" s="34">
        <v>37.18</v>
      </c>
      <c r="G3178" s="34">
        <v>37.24</v>
      </c>
      <c r="H3178" s="34">
        <v>37.24</v>
      </c>
      <c r="I3178" s="29">
        <v>45554000</v>
      </c>
    </row>
    <row r="3179" spans="3:9">
      <c r="C3179" s="125">
        <v>42572</v>
      </c>
      <c r="D3179" s="34">
        <v>37.380000000000003</v>
      </c>
      <c r="E3179" s="115">
        <v>37.47</v>
      </c>
      <c r="F3179" s="34">
        <v>37.14</v>
      </c>
      <c r="G3179" s="34">
        <v>37.22</v>
      </c>
      <c r="H3179" s="34">
        <v>37.22</v>
      </c>
      <c r="I3179" s="29">
        <v>46342000</v>
      </c>
    </row>
    <row r="3180" spans="3:9">
      <c r="C3180" s="125">
        <v>42571</v>
      </c>
      <c r="D3180" s="34">
        <v>37.200000000000003</v>
      </c>
      <c r="E3180" s="115">
        <v>37.31</v>
      </c>
      <c r="F3180" s="34">
        <v>37.03</v>
      </c>
      <c r="G3180" s="34">
        <v>37.29</v>
      </c>
      <c r="H3180" s="34">
        <v>37.29</v>
      </c>
      <c r="I3180" s="29">
        <v>44280000</v>
      </c>
    </row>
    <row r="3181" spans="3:9">
      <c r="C3181" s="125">
        <v>42570</v>
      </c>
      <c r="D3181" s="34">
        <v>36.630000000000003</v>
      </c>
      <c r="E3181" s="115">
        <v>37.17</v>
      </c>
      <c r="F3181" s="34">
        <v>36.619999999999997</v>
      </c>
      <c r="G3181" s="34">
        <v>37</v>
      </c>
      <c r="H3181" s="34">
        <v>37</v>
      </c>
      <c r="I3181" s="29">
        <v>44336000</v>
      </c>
    </row>
    <row r="3182" spans="3:9">
      <c r="C3182" s="125">
        <v>42569</v>
      </c>
      <c r="D3182" s="34">
        <v>36.770000000000003</v>
      </c>
      <c r="E3182" s="115">
        <v>37.08</v>
      </c>
      <c r="F3182" s="34">
        <v>36.44</v>
      </c>
      <c r="G3182" s="34">
        <v>36.799999999999997</v>
      </c>
      <c r="H3182" s="34">
        <v>36.799999999999997</v>
      </c>
      <c r="I3182" s="29">
        <v>59098000</v>
      </c>
    </row>
    <row r="3183" spans="3:9">
      <c r="C3183" s="125">
        <v>42566</v>
      </c>
      <c r="D3183" s="34">
        <v>37.33</v>
      </c>
      <c r="E3183" s="115">
        <v>37.33</v>
      </c>
      <c r="F3183" s="34">
        <v>36.700000000000003</v>
      </c>
      <c r="G3183" s="34">
        <v>36.770000000000003</v>
      </c>
      <c r="H3183" s="34">
        <v>36.770000000000003</v>
      </c>
      <c r="I3183" s="29">
        <v>62428000</v>
      </c>
    </row>
    <row r="3184" spans="3:9">
      <c r="C3184" s="125">
        <v>42565</v>
      </c>
      <c r="D3184" s="34">
        <v>37.44</v>
      </c>
      <c r="E3184" s="115">
        <v>37.450000000000003</v>
      </c>
      <c r="F3184" s="34">
        <v>36.950000000000003</v>
      </c>
      <c r="G3184" s="34">
        <v>37.06</v>
      </c>
      <c r="H3184" s="34">
        <v>37.06</v>
      </c>
      <c r="I3184" s="29">
        <v>47810000</v>
      </c>
    </row>
    <row r="3185" spans="3:9">
      <c r="C3185" s="125">
        <v>42564</v>
      </c>
      <c r="D3185" s="34">
        <v>37.340000000000003</v>
      </c>
      <c r="E3185" s="115">
        <v>37.840000000000003</v>
      </c>
      <c r="F3185" s="34">
        <v>37.06</v>
      </c>
      <c r="G3185" s="34">
        <v>37.130000000000003</v>
      </c>
      <c r="H3185" s="34">
        <v>37.130000000000003</v>
      </c>
      <c r="I3185" s="29">
        <v>82846000</v>
      </c>
    </row>
    <row r="3186" spans="3:9">
      <c r="C3186" s="125">
        <v>42563</v>
      </c>
      <c r="D3186" s="34">
        <v>37.840000000000003</v>
      </c>
      <c r="E3186" s="115">
        <v>37.869999999999997</v>
      </c>
      <c r="F3186" s="34">
        <v>37.020000000000003</v>
      </c>
      <c r="G3186" s="34">
        <v>37.409999999999997</v>
      </c>
      <c r="H3186" s="34">
        <v>37.409999999999997</v>
      </c>
      <c r="I3186" s="29">
        <v>112474000</v>
      </c>
    </row>
    <row r="3187" spans="3:9">
      <c r="C3187" s="125">
        <v>42562</v>
      </c>
      <c r="D3187" s="34">
        <v>37.5</v>
      </c>
      <c r="E3187" s="115">
        <v>37.79</v>
      </c>
      <c r="F3187" s="34">
        <v>37.35</v>
      </c>
      <c r="G3187" s="34">
        <v>37.69</v>
      </c>
      <c r="H3187" s="34">
        <v>37.69</v>
      </c>
      <c r="I3187" s="29">
        <v>63906000</v>
      </c>
    </row>
    <row r="3188" spans="3:9">
      <c r="C3188" s="125">
        <v>42559</v>
      </c>
      <c r="D3188" s="34">
        <v>37.01</v>
      </c>
      <c r="E3188" s="115">
        <v>37.31</v>
      </c>
      <c r="F3188" s="34">
        <v>36.9</v>
      </c>
      <c r="G3188" s="34">
        <v>37.29</v>
      </c>
      <c r="H3188" s="34">
        <v>37.29</v>
      </c>
      <c r="I3188" s="29">
        <v>68584000</v>
      </c>
    </row>
    <row r="3189" spans="3:9">
      <c r="C3189" s="125">
        <v>42558</v>
      </c>
      <c r="D3189" s="34">
        <v>36.97</v>
      </c>
      <c r="E3189" s="115">
        <v>36.979999999999997</v>
      </c>
      <c r="F3189" s="34">
        <v>36.58</v>
      </c>
      <c r="G3189" s="34">
        <v>36.83</v>
      </c>
      <c r="H3189" s="34">
        <v>36.83</v>
      </c>
      <c r="I3189" s="29">
        <v>58916000</v>
      </c>
    </row>
    <row r="3190" spans="3:9">
      <c r="C3190" s="125">
        <v>42557</v>
      </c>
      <c r="D3190" s="34">
        <v>36.29</v>
      </c>
      <c r="E3190" s="115">
        <v>36.89</v>
      </c>
      <c r="F3190" s="34">
        <v>36.130000000000003</v>
      </c>
      <c r="G3190" s="34">
        <v>36.880000000000003</v>
      </c>
      <c r="H3190" s="34">
        <v>36.880000000000003</v>
      </c>
      <c r="I3190" s="29">
        <v>78764000</v>
      </c>
    </row>
    <row r="3191" spans="3:9">
      <c r="C3191" s="125">
        <v>42556</v>
      </c>
      <c r="D3191" s="34">
        <v>36.14</v>
      </c>
      <c r="E3191" s="115">
        <v>36.479999999999997</v>
      </c>
      <c r="F3191" s="34">
        <v>35.979999999999997</v>
      </c>
      <c r="G3191" s="34">
        <v>36.4</v>
      </c>
      <c r="H3191" s="34">
        <v>36.4</v>
      </c>
      <c r="I3191" s="29">
        <v>48628000</v>
      </c>
    </row>
    <row r="3192" spans="3:9">
      <c r="C3192" s="125">
        <v>42552</v>
      </c>
      <c r="D3192" s="34">
        <v>35.869999999999997</v>
      </c>
      <c r="E3192" s="115">
        <v>36.4</v>
      </c>
      <c r="F3192" s="34">
        <v>35.83</v>
      </c>
      <c r="G3192" s="34">
        <v>36.28</v>
      </c>
      <c r="H3192" s="34">
        <v>36.28</v>
      </c>
      <c r="I3192" s="29">
        <v>58408000</v>
      </c>
    </row>
    <row r="3193" spans="3:9">
      <c r="C3193" s="125">
        <v>42551</v>
      </c>
      <c r="D3193" s="34">
        <v>35.86</v>
      </c>
      <c r="E3193" s="115">
        <v>35.97</v>
      </c>
      <c r="F3193" s="34">
        <v>35.630000000000003</v>
      </c>
      <c r="G3193" s="34">
        <v>35.78</v>
      </c>
      <c r="H3193" s="34">
        <v>35.78</v>
      </c>
      <c r="I3193" s="29">
        <v>57102000</v>
      </c>
    </row>
    <row r="3194" spans="3:9">
      <c r="C3194" s="125">
        <v>42550</v>
      </c>
      <c r="D3194" s="34">
        <v>35.79</v>
      </c>
      <c r="E3194" s="115">
        <v>35.97</v>
      </c>
      <c r="F3194" s="34">
        <v>35.68</v>
      </c>
      <c r="G3194" s="34">
        <v>35.78</v>
      </c>
      <c r="H3194" s="34">
        <v>35.78</v>
      </c>
      <c r="I3194" s="29">
        <v>61402000</v>
      </c>
    </row>
    <row r="3195" spans="3:9">
      <c r="C3195" s="125">
        <v>42549</v>
      </c>
      <c r="D3195" s="34">
        <v>35</v>
      </c>
      <c r="E3195" s="115">
        <v>35.4</v>
      </c>
      <c r="F3195" s="34">
        <v>34.909999999999997</v>
      </c>
      <c r="G3195" s="34">
        <v>35.4</v>
      </c>
      <c r="H3195" s="34">
        <v>35.4</v>
      </c>
      <c r="I3195" s="29">
        <v>80740000</v>
      </c>
    </row>
    <row r="3196" spans="3:9">
      <c r="C3196" s="125">
        <v>42548</v>
      </c>
      <c r="D3196" s="34">
        <v>34.6</v>
      </c>
      <c r="E3196" s="115">
        <v>34.840000000000003</v>
      </c>
      <c r="F3196" s="34">
        <v>34.11</v>
      </c>
      <c r="G3196" s="34">
        <v>34.57</v>
      </c>
      <c r="H3196" s="34">
        <v>34.57</v>
      </c>
      <c r="I3196" s="29">
        <v>111360000</v>
      </c>
    </row>
    <row r="3197" spans="3:9">
      <c r="C3197" s="125">
        <v>42545</v>
      </c>
      <c r="D3197" s="34">
        <v>34.65</v>
      </c>
      <c r="E3197" s="115">
        <v>35.630000000000003</v>
      </c>
      <c r="F3197" s="34">
        <v>34.61</v>
      </c>
      <c r="G3197" s="34">
        <v>34.950000000000003</v>
      </c>
      <c r="H3197" s="34">
        <v>34.950000000000003</v>
      </c>
      <c r="I3197" s="29">
        <v>152650000</v>
      </c>
    </row>
    <row r="3198" spans="3:9">
      <c r="C3198" s="125">
        <v>42544</v>
      </c>
      <c r="D3198" s="34">
        <v>35.78</v>
      </c>
      <c r="E3198" s="115">
        <v>36.11</v>
      </c>
      <c r="F3198" s="34">
        <v>35.630000000000003</v>
      </c>
      <c r="G3198" s="34">
        <v>36.1</v>
      </c>
      <c r="H3198" s="34">
        <v>36.1</v>
      </c>
      <c r="I3198" s="29">
        <v>56500000</v>
      </c>
    </row>
    <row r="3199" spans="3:9">
      <c r="C3199" s="125">
        <v>42543</v>
      </c>
      <c r="D3199" s="34">
        <v>35.83</v>
      </c>
      <c r="E3199" s="115">
        <v>35.85</v>
      </c>
      <c r="F3199" s="34">
        <v>35.380000000000003</v>
      </c>
      <c r="G3199" s="34">
        <v>35.53</v>
      </c>
      <c r="H3199" s="34">
        <v>35.53</v>
      </c>
      <c r="I3199" s="29">
        <v>45210000</v>
      </c>
    </row>
    <row r="3200" spans="3:9">
      <c r="C3200" s="125">
        <v>42542</v>
      </c>
      <c r="D3200" s="34">
        <v>35.79</v>
      </c>
      <c r="E3200" s="115">
        <v>35.92</v>
      </c>
      <c r="F3200" s="34">
        <v>35.64</v>
      </c>
      <c r="G3200" s="34">
        <v>35.79</v>
      </c>
      <c r="H3200" s="34">
        <v>35.79</v>
      </c>
      <c r="I3200" s="29">
        <v>42750000</v>
      </c>
    </row>
    <row r="3201" spans="3:9">
      <c r="C3201" s="125">
        <v>42541</v>
      </c>
      <c r="D3201" s="34">
        <v>35.67</v>
      </c>
      <c r="E3201" s="115">
        <v>36.07</v>
      </c>
      <c r="F3201" s="34">
        <v>35.54</v>
      </c>
      <c r="G3201" s="34">
        <v>35.700000000000003</v>
      </c>
      <c r="H3201" s="34">
        <v>35.700000000000003</v>
      </c>
      <c r="I3201" s="29">
        <v>73544000</v>
      </c>
    </row>
    <row r="3202" spans="3:9">
      <c r="C3202" s="125">
        <v>42538</v>
      </c>
      <c r="D3202" s="34">
        <v>35.909999999999997</v>
      </c>
      <c r="E3202" s="115">
        <v>35.909999999999997</v>
      </c>
      <c r="F3202" s="34">
        <v>34.96</v>
      </c>
      <c r="G3202" s="34">
        <v>35.32</v>
      </c>
      <c r="H3202" s="34">
        <v>35.32</v>
      </c>
      <c r="I3202" s="29">
        <v>117956000</v>
      </c>
    </row>
    <row r="3203" spans="3:9">
      <c r="C3203" s="125">
        <v>42537</v>
      </c>
      <c r="D3203" s="34">
        <v>35.6</v>
      </c>
      <c r="E3203" s="115">
        <v>35.9</v>
      </c>
      <c r="F3203" s="34">
        <v>35.26</v>
      </c>
      <c r="G3203" s="34">
        <v>35.880000000000003</v>
      </c>
      <c r="H3203" s="34">
        <v>35.880000000000003</v>
      </c>
      <c r="I3203" s="29">
        <v>61960000</v>
      </c>
    </row>
    <row r="3204" spans="3:9">
      <c r="C3204" s="125">
        <v>42536</v>
      </c>
      <c r="D3204" s="34">
        <v>36.1</v>
      </c>
      <c r="E3204" s="115">
        <v>36.130000000000003</v>
      </c>
      <c r="F3204" s="34">
        <v>35.67</v>
      </c>
      <c r="G3204" s="34">
        <v>35.71</v>
      </c>
      <c r="H3204" s="34">
        <v>35.71</v>
      </c>
      <c r="I3204" s="29">
        <v>54188000</v>
      </c>
    </row>
    <row r="3205" spans="3:9">
      <c r="C3205" s="125">
        <v>42535</v>
      </c>
      <c r="D3205" s="34">
        <v>35.619999999999997</v>
      </c>
      <c r="E3205" s="115">
        <v>36.04</v>
      </c>
      <c r="F3205" s="34">
        <v>35.61</v>
      </c>
      <c r="G3205" s="34">
        <v>35.97</v>
      </c>
      <c r="H3205" s="34">
        <v>35.97</v>
      </c>
      <c r="I3205" s="29">
        <v>50138000</v>
      </c>
    </row>
    <row r="3206" spans="3:9">
      <c r="C3206" s="125">
        <v>42534</v>
      </c>
      <c r="D3206" s="34">
        <v>35.700000000000003</v>
      </c>
      <c r="E3206" s="115">
        <v>36.1</v>
      </c>
      <c r="F3206" s="34">
        <v>35.56</v>
      </c>
      <c r="G3206" s="34">
        <v>35.76</v>
      </c>
      <c r="H3206" s="34">
        <v>35.76</v>
      </c>
      <c r="I3206" s="29">
        <v>67044000</v>
      </c>
    </row>
    <row r="3207" spans="3:9">
      <c r="C3207" s="125">
        <v>42531</v>
      </c>
      <c r="D3207" s="34">
        <v>36.119999999999997</v>
      </c>
      <c r="E3207" s="115">
        <v>36.25</v>
      </c>
      <c r="F3207" s="34">
        <v>35.71</v>
      </c>
      <c r="G3207" s="34">
        <v>35.9</v>
      </c>
      <c r="H3207" s="34">
        <v>35.9</v>
      </c>
      <c r="I3207" s="29">
        <v>68514000</v>
      </c>
    </row>
    <row r="3208" spans="3:9">
      <c r="C3208" s="125">
        <v>42530</v>
      </c>
      <c r="D3208" s="34">
        <v>36.15</v>
      </c>
      <c r="E3208" s="115">
        <v>36.450000000000003</v>
      </c>
      <c r="F3208" s="34">
        <v>36.119999999999997</v>
      </c>
      <c r="G3208" s="34">
        <v>36.380000000000003</v>
      </c>
      <c r="H3208" s="34">
        <v>36.380000000000003</v>
      </c>
      <c r="I3208" s="29">
        <v>43406000</v>
      </c>
    </row>
    <row r="3209" spans="3:9">
      <c r="C3209" s="125">
        <v>42529</v>
      </c>
      <c r="D3209" s="34">
        <v>36.32</v>
      </c>
      <c r="E3209" s="115">
        <v>36.47</v>
      </c>
      <c r="F3209" s="34">
        <v>36.08</v>
      </c>
      <c r="G3209" s="34">
        <v>36.33</v>
      </c>
      <c r="H3209" s="34">
        <v>36.33</v>
      </c>
      <c r="I3209" s="29">
        <v>44468000</v>
      </c>
    </row>
    <row r="3210" spans="3:9">
      <c r="C3210" s="125">
        <v>42528</v>
      </c>
      <c r="D3210" s="34">
        <v>36.49</v>
      </c>
      <c r="E3210" s="115">
        <v>36.5</v>
      </c>
      <c r="F3210" s="34">
        <v>36.03</v>
      </c>
      <c r="G3210" s="34">
        <v>36.19</v>
      </c>
      <c r="H3210" s="34">
        <v>36.19</v>
      </c>
      <c r="I3210" s="29">
        <v>54650000</v>
      </c>
    </row>
    <row r="3211" spans="3:9">
      <c r="C3211" s="125">
        <v>42527</v>
      </c>
      <c r="D3211" s="34">
        <v>36.33</v>
      </c>
      <c r="E3211" s="115">
        <v>36.58</v>
      </c>
      <c r="F3211" s="34">
        <v>36.22</v>
      </c>
      <c r="G3211" s="34">
        <v>36.340000000000003</v>
      </c>
      <c r="H3211" s="34">
        <v>36.340000000000003</v>
      </c>
      <c r="I3211" s="29">
        <v>54096000</v>
      </c>
    </row>
    <row r="3212" spans="3:9">
      <c r="C3212" s="125">
        <v>42524</v>
      </c>
      <c r="D3212" s="34">
        <v>36.340000000000003</v>
      </c>
      <c r="E3212" s="115">
        <v>36.35</v>
      </c>
      <c r="F3212" s="34">
        <v>35.92</v>
      </c>
      <c r="G3212" s="34">
        <v>36.28</v>
      </c>
      <c r="H3212" s="34">
        <v>36.28</v>
      </c>
      <c r="I3212" s="29">
        <v>67346000</v>
      </c>
    </row>
    <row r="3213" spans="3:9">
      <c r="C3213" s="125">
        <v>42523</v>
      </c>
      <c r="D3213" s="34">
        <v>36.049999999999997</v>
      </c>
      <c r="E3213" s="115">
        <v>36.409999999999997</v>
      </c>
      <c r="F3213" s="34">
        <v>35.78</v>
      </c>
      <c r="G3213" s="34">
        <v>36.409999999999997</v>
      </c>
      <c r="H3213" s="34">
        <v>36.409999999999997</v>
      </c>
      <c r="I3213" s="29">
        <v>60532000</v>
      </c>
    </row>
    <row r="3214" spans="3:9">
      <c r="C3214" s="125">
        <v>42522</v>
      </c>
      <c r="D3214" s="34">
        <v>36.04</v>
      </c>
      <c r="E3214" s="115">
        <v>36.32</v>
      </c>
      <c r="F3214" s="34">
        <v>35.909999999999997</v>
      </c>
      <c r="G3214" s="34">
        <v>35.97</v>
      </c>
      <c r="H3214" s="34">
        <v>35.97</v>
      </c>
      <c r="I3214" s="29">
        <v>65262000</v>
      </c>
    </row>
    <row r="3215" spans="3:9">
      <c r="C3215" s="125">
        <v>42521</v>
      </c>
      <c r="D3215" s="34">
        <v>35.619999999999997</v>
      </c>
      <c r="E3215" s="115">
        <v>36.21</v>
      </c>
      <c r="F3215" s="34">
        <v>35.57</v>
      </c>
      <c r="G3215" s="34">
        <v>36.14</v>
      </c>
      <c r="H3215" s="34">
        <v>36.14</v>
      </c>
      <c r="I3215" s="29">
        <v>72366000</v>
      </c>
    </row>
    <row r="3216" spans="3:9">
      <c r="C3216" s="125">
        <v>42517</v>
      </c>
      <c r="D3216" s="34">
        <v>35.75</v>
      </c>
      <c r="E3216" s="115">
        <v>35.83</v>
      </c>
      <c r="F3216" s="34">
        <v>35.56</v>
      </c>
      <c r="G3216" s="34">
        <v>35.61</v>
      </c>
      <c r="H3216" s="34">
        <v>35.61</v>
      </c>
      <c r="I3216" s="29">
        <v>44984000</v>
      </c>
    </row>
    <row r="3217" spans="3:9">
      <c r="C3217" s="125">
        <v>42516</v>
      </c>
      <c r="D3217" s="34">
        <v>35.42</v>
      </c>
      <c r="E3217" s="115">
        <v>35.75</v>
      </c>
      <c r="F3217" s="34">
        <v>35.36</v>
      </c>
      <c r="G3217" s="34">
        <v>35.75</v>
      </c>
      <c r="H3217" s="34">
        <v>35.75</v>
      </c>
      <c r="I3217" s="29">
        <v>48934000</v>
      </c>
    </row>
    <row r="3218" spans="3:9">
      <c r="C3218" s="125">
        <v>42515</v>
      </c>
      <c r="D3218" s="34">
        <v>35.4</v>
      </c>
      <c r="E3218" s="115">
        <v>35.54</v>
      </c>
      <c r="F3218" s="34">
        <v>35.28</v>
      </c>
      <c r="G3218" s="34">
        <v>35.42</v>
      </c>
      <c r="H3218" s="34">
        <v>35.42</v>
      </c>
      <c r="I3218" s="29">
        <v>65354000</v>
      </c>
    </row>
    <row r="3219" spans="3:9">
      <c r="C3219" s="125">
        <v>42514</v>
      </c>
      <c r="D3219" s="34">
        <v>34.9</v>
      </c>
      <c r="E3219" s="115">
        <v>35.380000000000003</v>
      </c>
      <c r="F3219" s="34">
        <v>34.9</v>
      </c>
      <c r="G3219" s="34">
        <v>35.21</v>
      </c>
      <c r="H3219" s="34">
        <v>35.21</v>
      </c>
      <c r="I3219" s="29">
        <v>60676000</v>
      </c>
    </row>
    <row r="3220" spans="3:9">
      <c r="C3220" s="125">
        <v>42513</v>
      </c>
      <c r="D3220" s="34">
        <v>35.21</v>
      </c>
      <c r="E3220" s="115">
        <v>35.299999999999997</v>
      </c>
      <c r="F3220" s="34">
        <v>34.82</v>
      </c>
      <c r="G3220" s="34">
        <v>34.840000000000003</v>
      </c>
      <c r="H3220" s="34">
        <v>34.840000000000003</v>
      </c>
      <c r="I3220" s="29">
        <v>51902000</v>
      </c>
    </row>
    <row r="3221" spans="3:9">
      <c r="C3221" s="125">
        <v>42510</v>
      </c>
      <c r="D3221" s="34">
        <v>35.049999999999997</v>
      </c>
      <c r="E3221" s="115">
        <v>35.36</v>
      </c>
      <c r="F3221" s="34">
        <v>35</v>
      </c>
      <c r="G3221" s="34">
        <v>35.14</v>
      </c>
      <c r="H3221" s="34">
        <v>35.14</v>
      </c>
      <c r="I3221" s="29">
        <v>58324000</v>
      </c>
    </row>
    <row r="3222" spans="3:9">
      <c r="C3222" s="125">
        <v>42509</v>
      </c>
      <c r="D3222" s="34">
        <v>34.590000000000003</v>
      </c>
      <c r="E3222" s="115">
        <v>34.97</v>
      </c>
      <c r="F3222" s="34">
        <v>34.479999999999997</v>
      </c>
      <c r="G3222" s="34">
        <v>34.93</v>
      </c>
      <c r="H3222" s="34">
        <v>34.93</v>
      </c>
      <c r="I3222" s="29">
        <v>60512000</v>
      </c>
    </row>
    <row r="3223" spans="3:9">
      <c r="C3223" s="125">
        <v>42508</v>
      </c>
      <c r="D3223" s="34">
        <v>34.479999999999997</v>
      </c>
      <c r="E3223" s="115">
        <v>35.130000000000003</v>
      </c>
      <c r="F3223" s="34">
        <v>34.44</v>
      </c>
      <c r="G3223" s="34">
        <v>34.869999999999997</v>
      </c>
      <c r="H3223" s="34">
        <v>34.869999999999997</v>
      </c>
      <c r="I3223" s="29">
        <v>85664000</v>
      </c>
    </row>
    <row r="3224" spans="3:9">
      <c r="C3224" s="125">
        <v>42507</v>
      </c>
      <c r="D3224" s="34">
        <v>35.49</v>
      </c>
      <c r="E3224" s="115">
        <v>35.72</v>
      </c>
      <c r="F3224" s="34">
        <v>34.700000000000003</v>
      </c>
      <c r="G3224" s="34">
        <v>34.76</v>
      </c>
      <c r="H3224" s="34">
        <v>34.76</v>
      </c>
      <c r="I3224" s="29">
        <v>102428000</v>
      </c>
    </row>
    <row r="3225" spans="3:9">
      <c r="C3225" s="125">
        <v>42506</v>
      </c>
      <c r="D3225" s="34">
        <v>35.51</v>
      </c>
      <c r="E3225" s="115">
        <v>35.659999999999997</v>
      </c>
      <c r="F3225" s="34">
        <v>35.01</v>
      </c>
      <c r="G3225" s="34">
        <v>35.53</v>
      </c>
      <c r="H3225" s="34">
        <v>35.53</v>
      </c>
      <c r="I3225" s="29">
        <v>108658000</v>
      </c>
    </row>
    <row r="3226" spans="3:9">
      <c r="C3226" s="125">
        <v>42503</v>
      </c>
      <c r="D3226" s="34">
        <v>35.729999999999997</v>
      </c>
      <c r="E3226" s="115">
        <v>35.96</v>
      </c>
      <c r="F3226" s="34">
        <v>35.33</v>
      </c>
      <c r="G3226" s="34">
        <v>35.5</v>
      </c>
      <c r="H3226" s="34">
        <v>35.5</v>
      </c>
      <c r="I3226" s="29">
        <v>95268000</v>
      </c>
    </row>
    <row r="3227" spans="3:9">
      <c r="C3227" s="125">
        <v>42502</v>
      </c>
      <c r="D3227" s="34">
        <v>35.869999999999997</v>
      </c>
      <c r="E3227" s="115">
        <v>36.119999999999997</v>
      </c>
      <c r="F3227" s="34">
        <v>35.58</v>
      </c>
      <c r="G3227" s="34">
        <v>35.9</v>
      </c>
      <c r="H3227" s="34">
        <v>35.9</v>
      </c>
      <c r="I3227" s="29">
        <v>100964000</v>
      </c>
    </row>
    <row r="3228" spans="3:9">
      <c r="C3228" s="125">
        <v>42501</v>
      </c>
      <c r="D3228" s="34">
        <v>35.29</v>
      </c>
      <c r="E3228" s="115">
        <v>35.950000000000003</v>
      </c>
      <c r="F3228" s="34">
        <v>35.08</v>
      </c>
      <c r="G3228" s="34">
        <v>35.659999999999997</v>
      </c>
      <c r="H3228" s="34">
        <v>35.659999999999997</v>
      </c>
      <c r="I3228" s="29">
        <v>146764000</v>
      </c>
    </row>
    <row r="3229" spans="3:9">
      <c r="C3229" s="125">
        <v>42500</v>
      </c>
      <c r="D3229" s="34">
        <v>34.700000000000003</v>
      </c>
      <c r="E3229" s="115">
        <v>35.229999999999997</v>
      </c>
      <c r="F3229" s="34">
        <v>34.67</v>
      </c>
      <c r="G3229" s="34">
        <v>35.15</v>
      </c>
      <c r="H3229" s="34">
        <v>35.15</v>
      </c>
      <c r="I3229" s="29">
        <v>122112000</v>
      </c>
    </row>
    <row r="3230" spans="3:9">
      <c r="C3230" s="125">
        <v>42499</v>
      </c>
      <c r="D3230" s="34">
        <v>33.700000000000003</v>
      </c>
      <c r="E3230" s="115">
        <v>34.35</v>
      </c>
      <c r="F3230" s="34">
        <v>33.57</v>
      </c>
      <c r="G3230" s="34">
        <v>33.99</v>
      </c>
      <c r="H3230" s="34">
        <v>33.99</v>
      </c>
      <c r="I3230" s="29">
        <v>79644000</v>
      </c>
    </row>
    <row r="3231" spans="3:9">
      <c r="C3231" s="125">
        <v>42496</v>
      </c>
      <c r="D3231" s="34">
        <v>32.799999999999997</v>
      </c>
      <c r="E3231" s="115">
        <v>33.85</v>
      </c>
      <c r="F3231" s="34">
        <v>32.799999999999997</v>
      </c>
      <c r="G3231" s="34">
        <v>33.700000000000003</v>
      </c>
      <c r="H3231" s="34">
        <v>33.700000000000003</v>
      </c>
      <c r="I3231" s="29">
        <v>87306000</v>
      </c>
    </row>
    <row r="3232" spans="3:9">
      <c r="C3232" s="125">
        <v>42495</v>
      </c>
      <c r="D3232" s="34">
        <v>33.67</v>
      </c>
      <c r="E3232" s="115">
        <v>33.82</v>
      </c>
      <c r="F3232" s="34">
        <v>32.799999999999997</v>
      </c>
      <c r="G3232" s="34">
        <v>32.950000000000003</v>
      </c>
      <c r="H3232" s="34">
        <v>32.950000000000003</v>
      </c>
      <c r="I3232" s="29">
        <v>97682000</v>
      </c>
    </row>
    <row r="3233" spans="3:9">
      <c r="C3233" s="125">
        <v>42494</v>
      </c>
      <c r="D3233" s="34">
        <v>33.130000000000003</v>
      </c>
      <c r="E3233" s="115">
        <v>33.700000000000003</v>
      </c>
      <c r="F3233" s="34">
        <v>33.11</v>
      </c>
      <c r="G3233" s="34">
        <v>33.54</v>
      </c>
      <c r="H3233" s="34">
        <v>33.54</v>
      </c>
      <c r="I3233" s="29">
        <v>92710000</v>
      </c>
    </row>
    <row r="3234" spans="3:9">
      <c r="C3234" s="125">
        <v>42493</v>
      </c>
      <c r="D3234" s="34">
        <v>33.869999999999997</v>
      </c>
      <c r="E3234" s="115">
        <v>34.01</v>
      </c>
      <c r="F3234" s="34">
        <v>33.520000000000003</v>
      </c>
      <c r="G3234" s="34">
        <v>33.57</v>
      </c>
      <c r="H3234" s="34">
        <v>33.57</v>
      </c>
      <c r="I3234" s="29">
        <v>98468000</v>
      </c>
    </row>
    <row r="3235" spans="3:9">
      <c r="C3235" s="125">
        <v>42492</v>
      </c>
      <c r="D3235" s="34">
        <v>33.200000000000003</v>
      </c>
      <c r="E3235" s="115">
        <v>34.28</v>
      </c>
      <c r="F3235" s="34">
        <v>33.1</v>
      </c>
      <c r="G3235" s="34">
        <v>34.19</v>
      </c>
      <c r="H3235" s="34">
        <v>34.19</v>
      </c>
      <c r="I3235" s="29">
        <v>131570000</v>
      </c>
    </row>
    <row r="3236" spans="3:9">
      <c r="C3236" s="125">
        <v>42489</v>
      </c>
      <c r="D3236" s="34">
        <v>33.299999999999997</v>
      </c>
      <c r="E3236" s="115">
        <v>33.5</v>
      </c>
      <c r="F3236" s="34">
        <v>32.700000000000003</v>
      </c>
      <c r="G3236" s="34">
        <v>32.979999999999997</v>
      </c>
      <c r="H3236" s="34">
        <v>32.979999999999997</v>
      </c>
      <c r="I3236" s="29">
        <v>206214000</v>
      </c>
    </row>
    <row r="3237" spans="3:9">
      <c r="C3237" s="125">
        <v>42488</v>
      </c>
      <c r="D3237" s="34">
        <v>30.78</v>
      </c>
      <c r="E3237" s="115">
        <v>31.34</v>
      </c>
      <c r="F3237" s="34">
        <v>29.96</v>
      </c>
      <c r="G3237" s="34">
        <v>30.1</v>
      </c>
      <c r="H3237" s="34">
        <v>30.1</v>
      </c>
      <c r="I3237" s="29">
        <v>157452000</v>
      </c>
    </row>
    <row r="3238" spans="3:9">
      <c r="C3238" s="125">
        <v>42487</v>
      </c>
      <c r="D3238" s="34">
        <v>30.59</v>
      </c>
      <c r="E3238" s="115">
        <v>30.8</v>
      </c>
      <c r="F3238" s="34">
        <v>30.06</v>
      </c>
      <c r="G3238" s="34">
        <v>30.33</v>
      </c>
      <c r="H3238" s="34">
        <v>30.33</v>
      </c>
      <c r="I3238" s="29">
        <v>81376000</v>
      </c>
    </row>
    <row r="3239" spans="3:9">
      <c r="C3239" s="125">
        <v>42486</v>
      </c>
      <c r="D3239" s="34">
        <v>31.31</v>
      </c>
      <c r="E3239" s="115">
        <v>31.34</v>
      </c>
      <c r="F3239" s="34">
        <v>30.74</v>
      </c>
      <c r="G3239" s="34">
        <v>30.84</v>
      </c>
      <c r="H3239" s="34">
        <v>30.84</v>
      </c>
      <c r="I3239" s="29">
        <v>50428000</v>
      </c>
    </row>
    <row r="3240" spans="3:9">
      <c r="C3240" s="125">
        <v>42485</v>
      </c>
      <c r="D3240" s="34">
        <v>30.83</v>
      </c>
      <c r="E3240" s="115">
        <v>31.35</v>
      </c>
      <c r="F3240" s="34">
        <v>30.81</v>
      </c>
      <c r="G3240" s="34">
        <v>31.31</v>
      </c>
      <c r="H3240" s="34">
        <v>31.31</v>
      </c>
      <c r="I3240" s="29">
        <v>53658000</v>
      </c>
    </row>
    <row r="3241" spans="3:9">
      <c r="C3241" s="125">
        <v>42482</v>
      </c>
      <c r="D3241" s="34">
        <v>31.22</v>
      </c>
      <c r="E3241" s="115">
        <v>31.41</v>
      </c>
      <c r="F3241" s="34">
        <v>30.58</v>
      </c>
      <c r="G3241" s="34">
        <v>31.02</v>
      </c>
      <c r="H3241" s="34">
        <v>31.02</v>
      </c>
      <c r="I3241" s="29">
        <v>101678000</v>
      </c>
    </row>
    <row r="3242" spans="3:9">
      <c r="C3242" s="125">
        <v>42481</v>
      </c>
      <c r="D3242" s="34">
        <v>31.55</v>
      </c>
      <c r="E3242" s="115">
        <v>31.89</v>
      </c>
      <c r="F3242" s="34">
        <v>31.42</v>
      </c>
      <c r="G3242" s="34">
        <v>31.55</v>
      </c>
      <c r="H3242" s="34">
        <v>31.55</v>
      </c>
      <c r="I3242" s="29">
        <v>51926000</v>
      </c>
    </row>
    <row r="3243" spans="3:9">
      <c r="C3243" s="125">
        <v>42480</v>
      </c>
      <c r="D3243" s="34">
        <v>31.5</v>
      </c>
      <c r="E3243" s="115">
        <v>31.83</v>
      </c>
      <c r="F3243" s="34">
        <v>31.15</v>
      </c>
      <c r="G3243" s="34">
        <v>31.65</v>
      </c>
      <c r="H3243" s="34">
        <v>31.65</v>
      </c>
      <c r="I3243" s="29">
        <v>52188000</v>
      </c>
    </row>
    <row r="3244" spans="3:9">
      <c r="C3244" s="125">
        <v>42479</v>
      </c>
      <c r="D3244" s="34">
        <v>31.86</v>
      </c>
      <c r="E3244" s="115">
        <v>31.9</v>
      </c>
      <c r="F3244" s="34">
        <v>31.04</v>
      </c>
      <c r="G3244" s="34">
        <v>31.4</v>
      </c>
      <c r="H3244" s="34">
        <v>31.4</v>
      </c>
      <c r="I3244" s="29">
        <v>81118000</v>
      </c>
    </row>
    <row r="3245" spans="3:9">
      <c r="C3245" s="125">
        <v>42478</v>
      </c>
      <c r="D3245" s="34">
        <v>31.27</v>
      </c>
      <c r="E3245" s="115">
        <v>31.88</v>
      </c>
      <c r="F3245" s="34">
        <v>31.25</v>
      </c>
      <c r="G3245" s="34">
        <v>31.77</v>
      </c>
      <c r="H3245" s="34">
        <v>31.77</v>
      </c>
      <c r="I3245" s="29">
        <v>87218000</v>
      </c>
    </row>
    <row r="3246" spans="3:9">
      <c r="C3246" s="125">
        <v>42475</v>
      </c>
      <c r="D3246" s="34">
        <v>31.1</v>
      </c>
      <c r="E3246" s="115">
        <v>31.34</v>
      </c>
      <c r="F3246" s="34">
        <v>30.91</v>
      </c>
      <c r="G3246" s="34">
        <v>31.29</v>
      </c>
      <c r="H3246" s="34">
        <v>31.29</v>
      </c>
      <c r="I3246" s="29">
        <v>57754000</v>
      </c>
    </row>
    <row r="3247" spans="3:9">
      <c r="C3247" s="125">
        <v>42474</v>
      </c>
      <c r="D3247" s="34">
        <v>30.75</v>
      </c>
      <c r="E3247" s="115">
        <v>31.22</v>
      </c>
      <c r="F3247" s="34">
        <v>30.75</v>
      </c>
      <c r="G3247" s="34">
        <v>31.04</v>
      </c>
      <c r="H3247" s="34">
        <v>31.04</v>
      </c>
      <c r="I3247" s="29">
        <v>70242000</v>
      </c>
    </row>
    <row r="3248" spans="3:9">
      <c r="C3248" s="125">
        <v>42473</v>
      </c>
      <c r="D3248" s="34">
        <v>30.38</v>
      </c>
      <c r="E3248" s="115">
        <v>30.84</v>
      </c>
      <c r="F3248" s="34">
        <v>30.26</v>
      </c>
      <c r="G3248" s="34">
        <v>30.74</v>
      </c>
      <c r="H3248" s="34">
        <v>30.74</v>
      </c>
      <c r="I3248" s="29">
        <v>84566000</v>
      </c>
    </row>
    <row r="3249" spans="3:9">
      <c r="C3249" s="125">
        <v>42472</v>
      </c>
      <c r="D3249" s="34">
        <v>29.92</v>
      </c>
      <c r="E3249" s="115">
        <v>30.2</v>
      </c>
      <c r="F3249" s="34">
        <v>29.62</v>
      </c>
      <c r="G3249" s="34">
        <v>30.16</v>
      </c>
      <c r="H3249" s="34">
        <v>30.16</v>
      </c>
      <c r="I3249" s="29">
        <v>52822000</v>
      </c>
    </row>
    <row r="3250" spans="3:9">
      <c r="C3250" s="125">
        <v>42471</v>
      </c>
      <c r="D3250" s="34">
        <v>29.81</v>
      </c>
      <c r="E3250" s="115">
        <v>30.2</v>
      </c>
      <c r="F3250" s="34">
        <v>29.75</v>
      </c>
      <c r="G3250" s="34">
        <v>29.8</v>
      </c>
      <c r="H3250" s="34">
        <v>29.8</v>
      </c>
      <c r="I3250" s="29">
        <v>54086000</v>
      </c>
    </row>
    <row r="3251" spans="3:9">
      <c r="C3251" s="125">
        <v>42468</v>
      </c>
      <c r="D3251" s="34">
        <v>29.72</v>
      </c>
      <c r="E3251" s="115">
        <v>29.89</v>
      </c>
      <c r="F3251" s="34">
        <v>29.45</v>
      </c>
      <c r="G3251" s="34">
        <v>29.73</v>
      </c>
      <c r="H3251" s="34">
        <v>29.73</v>
      </c>
      <c r="I3251" s="29">
        <v>51838000</v>
      </c>
    </row>
    <row r="3252" spans="3:9">
      <c r="C3252" s="125">
        <v>42467</v>
      </c>
      <c r="D3252" s="34">
        <v>29.94</v>
      </c>
      <c r="E3252" s="115">
        <v>29.98</v>
      </c>
      <c r="F3252" s="34">
        <v>29.45</v>
      </c>
      <c r="G3252" s="34">
        <v>29.57</v>
      </c>
      <c r="H3252" s="34">
        <v>29.57</v>
      </c>
      <c r="I3252" s="29">
        <v>63780000</v>
      </c>
    </row>
    <row r="3253" spans="3:9">
      <c r="C3253" s="125">
        <v>42466</v>
      </c>
      <c r="D3253" s="34">
        <v>29.38</v>
      </c>
      <c r="E3253" s="115">
        <v>30.12</v>
      </c>
      <c r="F3253" s="34">
        <v>29.38</v>
      </c>
      <c r="G3253" s="34">
        <v>30.1</v>
      </c>
      <c r="H3253" s="34">
        <v>30.1</v>
      </c>
      <c r="I3253" s="29">
        <v>56998000</v>
      </c>
    </row>
    <row r="3254" spans="3:9">
      <c r="C3254" s="125">
        <v>42465</v>
      </c>
      <c r="D3254" s="34">
        <v>29.54</v>
      </c>
      <c r="E3254" s="115">
        <v>29.67</v>
      </c>
      <c r="F3254" s="34">
        <v>29.26</v>
      </c>
      <c r="G3254" s="34">
        <v>29.31</v>
      </c>
      <c r="H3254" s="34">
        <v>29.31</v>
      </c>
      <c r="I3254" s="29">
        <v>46178000</v>
      </c>
    </row>
    <row r="3255" spans="3:9">
      <c r="C3255" s="125">
        <v>42464</v>
      </c>
      <c r="D3255" s="34">
        <v>29.95</v>
      </c>
      <c r="E3255" s="115">
        <v>29.98</v>
      </c>
      <c r="F3255" s="34">
        <v>29.53</v>
      </c>
      <c r="G3255" s="34">
        <v>29.66</v>
      </c>
      <c r="H3255" s="34">
        <v>29.66</v>
      </c>
      <c r="I3255" s="29">
        <v>49416000</v>
      </c>
    </row>
    <row r="3256" spans="3:9">
      <c r="C3256" s="125">
        <v>42461</v>
      </c>
      <c r="D3256" s="34">
        <v>29.52</v>
      </c>
      <c r="E3256" s="115">
        <v>29.95</v>
      </c>
      <c r="F3256" s="34">
        <v>29.42</v>
      </c>
      <c r="G3256" s="34">
        <v>29.92</v>
      </c>
      <c r="H3256" s="34">
        <v>29.92</v>
      </c>
      <c r="I3256" s="29">
        <v>58348000</v>
      </c>
    </row>
    <row r="3257" spans="3:9">
      <c r="C3257" s="125">
        <v>42460</v>
      </c>
      <c r="D3257" s="34">
        <v>29.96</v>
      </c>
      <c r="E3257" s="115">
        <v>30.04</v>
      </c>
      <c r="F3257" s="34">
        <v>29.61</v>
      </c>
      <c r="G3257" s="34">
        <v>29.68</v>
      </c>
      <c r="H3257" s="34">
        <v>29.68</v>
      </c>
      <c r="I3257" s="29">
        <v>53636000</v>
      </c>
    </row>
    <row r="3258" spans="3:9">
      <c r="C3258" s="125">
        <v>42459</v>
      </c>
      <c r="D3258" s="34">
        <v>29.84</v>
      </c>
      <c r="E3258" s="115">
        <v>30.16</v>
      </c>
      <c r="F3258" s="34">
        <v>29.75</v>
      </c>
      <c r="G3258" s="34">
        <v>29.93</v>
      </c>
      <c r="H3258" s="34">
        <v>29.93</v>
      </c>
      <c r="I3258" s="29">
        <v>77810000</v>
      </c>
    </row>
    <row r="3259" spans="3:9">
      <c r="C3259" s="125">
        <v>42458</v>
      </c>
      <c r="D3259" s="34">
        <v>29.01</v>
      </c>
      <c r="E3259" s="115">
        <v>29.79</v>
      </c>
      <c r="F3259" s="34">
        <v>28.83</v>
      </c>
      <c r="G3259" s="34">
        <v>29.69</v>
      </c>
      <c r="H3259" s="34">
        <v>29.69</v>
      </c>
      <c r="I3259" s="29">
        <v>87852000</v>
      </c>
    </row>
    <row r="3260" spans="3:9">
      <c r="C3260" s="125">
        <v>42457</v>
      </c>
      <c r="D3260" s="34">
        <v>29.22</v>
      </c>
      <c r="E3260" s="115">
        <v>29.24</v>
      </c>
      <c r="F3260" s="34">
        <v>28.78</v>
      </c>
      <c r="G3260" s="34">
        <v>28.99</v>
      </c>
      <c r="H3260" s="34">
        <v>28.99</v>
      </c>
      <c r="I3260" s="29">
        <v>62430000</v>
      </c>
    </row>
    <row r="3261" spans="3:9">
      <c r="C3261" s="125">
        <v>42453</v>
      </c>
      <c r="D3261" s="34">
        <v>28.36</v>
      </c>
      <c r="E3261" s="115">
        <v>29.18</v>
      </c>
      <c r="F3261" s="34">
        <v>28.35</v>
      </c>
      <c r="G3261" s="34">
        <v>29.15</v>
      </c>
      <c r="H3261" s="34">
        <v>29.15</v>
      </c>
      <c r="I3261" s="29">
        <v>103710000</v>
      </c>
    </row>
    <row r="3262" spans="3:9">
      <c r="C3262" s="125">
        <v>42452</v>
      </c>
      <c r="D3262" s="34">
        <v>28.05</v>
      </c>
      <c r="E3262" s="115">
        <v>28.62</v>
      </c>
      <c r="F3262" s="34">
        <v>27.91</v>
      </c>
      <c r="G3262" s="34">
        <v>28.48</v>
      </c>
      <c r="H3262" s="34">
        <v>28.48</v>
      </c>
      <c r="I3262" s="29">
        <v>79674000</v>
      </c>
    </row>
    <row r="3263" spans="3:9">
      <c r="C3263" s="125">
        <v>42451</v>
      </c>
      <c r="D3263" s="34">
        <v>27.26</v>
      </c>
      <c r="E3263" s="115">
        <v>28.14</v>
      </c>
      <c r="F3263" s="34">
        <v>27.25</v>
      </c>
      <c r="G3263" s="34">
        <v>28.02</v>
      </c>
      <c r="H3263" s="34">
        <v>28.02</v>
      </c>
      <c r="I3263" s="29">
        <v>80012000</v>
      </c>
    </row>
    <row r="3264" spans="3:9">
      <c r="C3264" s="125">
        <v>42450</v>
      </c>
      <c r="D3264" s="34">
        <v>27.45</v>
      </c>
      <c r="E3264" s="115">
        <v>27.76</v>
      </c>
      <c r="F3264" s="34">
        <v>26.93</v>
      </c>
      <c r="G3264" s="34">
        <v>27.7</v>
      </c>
      <c r="H3264" s="34">
        <v>27.7</v>
      </c>
      <c r="I3264" s="29">
        <v>103114000</v>
      </c>
    </row>
    <row r="3265" spans="3:9">
      <c r="C3265" s="125">
        <v>42447</v>
      </c>
      <c r="D3265" s="34">
        <v>28.05</v>
      </c>
      <c r="E3265" s="115">
        <v>28.12</v>
      </c>
      <c r="F3265" s="34">
        <v>27.3</v>
      </c>
      <c r="G3265" s="34">
        <v>27.6</v>
      </c>
      <c r="H3265" s="34">
        <v>27.6</v>
      </c>
      <c r="I3265" s="29">
        <v>145938000</v>
      </c>
    </row>
    <row r="3266" spans="3:9">
      <c r="C3266" s="125">
        <v>42446</v>
      </c>
      <c r="D3266" s="34">
        <v>28.48</v>
      </c>
      <c r="E3266" s="115">
        <v>28.57</v>
      </c>
      <c r="F3266" s="34">
        <v>27.75</v>
      </c>
      <c r="G3266" s="34">
        <v>27.97</v>
      </c>
      <c r="H3266" s="34">
        <v>27.97</v>
      </c>
      <c r="I3266" s="29">
        <v>118562000</v>
      </c>
    </row>
    <row r="3267" spans="3:9">
      <c r="C3267" s="125">
        <v>42445</v>
      </c>
      <c r="D3267" s="34">
        <v>28.83</v>
      </c>
      <c r="E3267" s="115">
        <v>29.07</v>
      </c>
      <c r="F3267" s="34">
        <v>28.56</v>
      </c>
      <c r="G3267" s="34">
        <v>28.71</v>
      </c>
      <c r="H3267" s="34">
        <v>28.71</v>
      </c>
      <c r="I3267" s="29">
        <v>70754000</v>
      </c>
    </row>
    <row r="3268" spans="3:9">
      <c r="C3268" s="125">
        <v>42444</v>
      </c>
      <c r="D3268" s="34">
        <v>28.55</v>
      </c>
      <c r="E3268" s="115">
        <v>29.08</v>
      </c>
      <c r="F3268" s="34">
        <v>28.35</v>
      </c>
      <c r="G3268" s="34">
        <v>28.85</v>
      </c>
      <c r="H3268" s="34">
        <v>28.85</v>
      </c>
      <c r="I3268" s="29">
        <v>77536000</v>
      </c>
    </row>
    <row r="3269" spans="3:9">
      <c r="C3269" s="125">
        <v>42443</v>
      </c>
      <c r="D3269" s="34">
        <v>28.35</v>
      </c>
      <c r="E3269" s="115">
        <v>28.84</v>
      </c>
      <c r="F3269" s="34">
        <v>28.15</v>
      </c>
      <c r="G3269" s="34">
        <v>28.67</v>
      </c>
      <c r="H3269" s="34">
        <v>28.67</v>
      </c>
      <c r="I3269" s="29">
        <v>69084000</v>
      </c>
    </row>
    <row r="3270" spans="3:9">
      <c r="C3270" s="125">
        <v>42440</v>
      </c>
      <c r="D3270" s="34">
        <v>28.35</v>
      </c>
      <c r="E3270" s="115">
        <v>28.5</v>
      </c>
      <c r="F3270" s="34">
        <v>28.14</v>
      </c>
      <c r="G3270" s="34">
        <v>28.48</v>
      </c>
      <c r="H3270" s="34">
        <v>28.48</v>
      </c>
      <c r="I3270" s="29">
        <v>75426000</v>
      </c>
    </row>
    <row r="3271" spans="3:9">
      <c r="C3271" s="125">
        <v>42439</v>
      </c>
      <c r="D3271" s="34">
        <v>28.34</v>
      </c>
      <c r="E3271" s="115">
        <v>28.35</v>
      </c>
      <c r="F3271" s="34">
        <v>27.4</v>
      </c>
      <c r="G3271" s="34">
        <v>27.95</v>
      </c>
      <c r="H3271" s="34">
        <v>27.95</v>
      </c>
      <c r="I3271" s="29">
        <v>78398000</v>
      </c>
    </row>
    <row r="3272" spans="3:9">
      <c r="C3272" s="125">
        <v>42438</v>
      </c>
      <c r="D3272" s="34">
        <v>27.98</v>
      </c>
      <c r="E3272" s="115">
        <v>28.02</v>
      </c>
      <c r="F3272" s="34">
        <v>27.51</v>
      </c>
      <c r="G3272" s="34">
        <v>27.97</v>
      </c>
      <c r="H3272" s="34">
        <v>27.97</v>
      </c>
      <c r="I3272" s="29">
        <v>87546000</v>
      </c>
    </row>
    <row r="3273" spans="3:9">
      <c r="C3273" s="125">
        <v>42437</v>
      </c>
      <c r="D3273" s="34">
        <v>27.89</v>
      </c>
      <c r="E3273" s="115">
        <v>28.57</v>
      </c>
      <c r="F3273" s="34">
        <v>27.74</v>
      </c>
      <c r="G3273" s="34">
        <v>28.01</v>
      </c>
      <c r="H3273" s="34">
        <v>28.01</v>
      </c>
      <c r="I3273" s="29">
        <v>94600000</v>
      </c>
    </row>
    <row r="3274" spans="3:9">
      <c r="C3274" s="125">
        <v>42436</v>
      </c>
      <c r="D3274" s="34">
        <v>28.68</v>
      </c>
      <c r="E3274" s="115">
        <v>28.68</v>
      </c>
      <c r="F3274" s="34">
        <v>27.78</v>
      </c>
      <c r="G3274" s="34">
        <v>28.14</v>
      </c>
      <c r="H3274" s="34">
        <v>28.14</v>
      </c>
      <c r="I3274" s="29">
        <v>98538000</v>
      </c>
    </row>
    <row r="3275" spans="3:9">
      <c r="C3275" s="125">
        <v>42433</v>
      </c>
      <c r="D3275" s="34">
        <v>29.05</v>
      </c>
      <c r="E3275" s="115">
        <v>29.07</v>
      </c>
      <c r="F3275" s="34">
        <v>28.55</v>
      </c>
      <c r="G3275" s="34">
        <v>28.76</v>
      </c>
      <c r="H3275" s="34">
        <v>28.76</v>
      </c>
      <c r="I3275" s="29">
        <v>68330000</v>
      </c>
    </row>
    <row r="3276" spans="3:9">
      <c r="C3276" s="125">
        <v>42432</v>
      </c>
      <c r="D3276" s="34">
        <v>28.9</v>
      </c>
      <c r="E3276" s="115">
        <v>28.99</v>
      </c>
      <c r="F3276" s="34">
        <v>28.66</v>
      </c>
      <c r="G3276" s="34">
        <v>28.87</v>
      </c>
      <c r="H3276" s="34">
        <v>28.87</v>
      </c>
      <c r="I3276" s="29">
        <v>54826000</v>
      </c>
    </row>
    <row r="3277" spans="3:9">
      <c r="C3277" s="125">
        <v>42431</v>
      </c>
      <c r="D3277" s="34">
        <v>29.09</v>
      </c>
      <c r="E3277" s="115">
        <v>29.25</v>
      </c>
      <c r="F3277" s="34">
        <v>28.68</v>
      </c>
      <c r="G3277" s="34">
        <v>29.01</v>
      </c>
      <c r="H3277" s="34">
        <v>29.01</v>
      </c>
      <c r="I3277" s="29">
        <v>91644000</v>
      </c>
    </row>
    <row r="3278" spans="3:9">
      <c r="C3278" s="125">
        <v>42430</v>
      </c>
      <c r="D3278" s="34">
        <v>27.81</v>
      </c>
      <c r="E3278" s="115">
        <v>28.96</v>
      </c>
      <c r="F3278" s="34">
        <v>27.8</v>
      </c>
      <c r="G3278" s="34">
        <v>28.95</v>
      </c>
      <c r="H3278" s="34">
        <v>28.95</v>
      </c>
      <c r="I3278" s="29">
        <v>100770000</v>
      </c>
    </row>
    <row r="3279" spans="3:9">
      <c r="C3279" s="125">
        <v>42429</v>
      </c>
      <c r="D3279" s="34">
        <v>27.7</v>
      </c>
      <c r="E3279" s="115">
        <v>28.24</v>
      </c>
      <c r="F3279" s="34">
        <v>27.63</v>
      </c>
      <c r="G3279" s="34">
        <v>27.63</v>
      </c>
      <c r="H3279" s="34">
        <v>27.63</v>
      </c>
      <c r="I3279" s="29">
        <v>82908000</v>
      </c>
    </row>
    <row r="3280" spans="3:9">
      <c r="C3280" s="125">
        <v>42426</v>
      </c>
      <c r="D3280" s="34">
        <v>28.01</v>
      </c>
      <c r="E3280" s="115">
        <v>28.13</v>
      </c>
      <c r="F3280" s="34">
        <v>27.66</v>
      </c>
      <c r="G3280" s="34">
        <v>27.76</v>
      </c>
      <c r="H3280" s="34">
        <v>27.76</v>
      </c>
      <c r="I3280" s="29">
        <v>97540000</v>
      </c>
    </row>
    <row r="3281" spans="3:9">
      <c r="C3281" s="125">
        <v>42425</v>
      </c>
      <c r="D3281" s="34">
        <v>27.78</v>
      </c>
      <c r="E3281" s="115">
        <v>27.97</v>
      </c>
      <c r="F3281" s="34">
        <v>27.26</v>
      </c>
      <c r="G3281" s="34">
        <v>27.76</v>
      </c>
      <c r="H3281" s="34">
        <v>27.76</v>
      </c>
      <c r="I3281" s="29">
        <v>90510000</v>
      </c>
    </row>
    <row r="3282" spans="3:9">
      <c r="C3282" s="125">
        <v>42424</v>
      </c>
      <c r="D3282" s="34">
        <v>27.29</v>
      </c>
      <c r="E3282" s="115">
        <v>27.71</v>
      </c>
      <c r="F3282" s="34">
        <v>26.66</v>
      </c>
      <c r="G3282" s="34">
        <v>27.7</v>
      </c>
      <c r="H3282" s="34">
        <v>27.7</v>
      </c>
      <c r="I3282" s="29">
        <v>124634000</v>
      </c>
    </row>
    <row r="3283" spans="3:9">
      <c r="C3283" s="125">
        <v>42423</v>
      </c>
      <c r="D3283" s="34">
        <v>27.78</v>
      </c>
      <c r="E3283" s="115">
        <v>27.85</v>
      </c>
      <c r="F3283" s="34">
        <v>27.27</v>
      </c>
      <c r="G3283" s="34">
        <v>27.65</v>
      </c>
      <c r="H3283" s="34">
        <v>27.65</v>
      </c>
      <c r="I3283" s="29">
        <v>81016000</v>
      </c>
    </row>
    <row r="3284" spans="3:9">
      <c r="C3284" s="125">
        <v>42422</v>
      </c>
      <c r="D3284" s="34">
        <v>27.11</v>
      </c>
      <c r="E3284" s="115">
        <v>28.03</v>
      </c>
      <c r="F3284" s="34">
        <v>27.05</v>
      </c>
      <c r="G3284" s="34">
        <v>27.98</v>
      </c>
      <c r="H3284" s="34">
        <v>27.98</v>
      </c>
      <c r="I3284" s="29">
        <v>111332000</v>
      </c>
    </row>
    <row r="3285" spans="3:9">
      <c r="C3285" s="125">
        <v>42419</v>
      </c>
      <c r="D3285" s="34">
        <v>26.04</v>
      </c>
      <c r="E3285" s="115">
        <v>26.8</v>
      </c>
      <c r="F3285" s="34">
        <v>25.77</v>
      </c>
      <c r="G3285" s="34">
        <v>26.75</v>
      </c>
      <c r="H3285" s="34">
        <v>26.75</v>
      </c>
      <c r="I3285" s="29">
        <v>99494000</v>
      </c>
    </row>
    <row r="3286" spans="3:9">
      <c r="C3286" s="125">
        <v>42418</v>
      </c>
      <c r="D3286" s="34">
        <v>27.06</v>
      </c>
      <c r="E3286" s="115">
        <v>27.06</v>
      </c>
      <c r="F3286" s="34">
        <v>26.19</v>
      </c>
      <c r="G3286" s="34">
        <v>26.25</v>
      </c>
      <c r="H3286" s="34">
        <v>26.25</v>
      </c>
      <c r="I3286" s="29">
        <v>94700000</v>
      </c>
    </row>
    <row r="3287" spans="3:9">
      <c r="C3287" s="125">
        <v>42417</v>
      </c>
      <c r="D3287" s="34">
        <v>26.44</v>
      </c>
      <c r="E3287" s="115">
        <v>26.87</v>
      </c>
      <c r="F3287" s="34">
        <v>25.97</v>
      </c>
      <c r="G3287" s="34">
        <v>26.7</v>
      </c>
      <c r="H3287" s="34">
        <v>26.7</v>
      </c>
      <c r="I3287" s="29">
        <v>96480000</v>
      </c>
    </row>
    <row r="3288" spans="3:9">
      <c r="C3288" s="125">
        <v>42416</v>
      </c>
      <c r="D3288" s="34">
        <v>25.97</v>
      </c>
      <c r="E3288" s="115">
        <v>26.22</v>
      </c>
      <c r="F3288" s="34">
        <v>25.58</v>
      </c>
      <c r="G3288" s="34">
        <v>26.06</v>
      </c>
      <c r="H3288" s="34">
        <v>26.06</v>
      </c>
      <c r="I3288" s="29">
        <v>102370000</v>
      </c>
    </row>
    <row r="3289" spans="3:9">
      <c r="C3289" s="125">
        <v>42412</v>
      </c>
      <c r="D3289" s="34">
        <v>25.53</v>
      </c>
      <c r="E3289" s="115">
        <v>25.84</v>
      </c>
      <c r="F3289" s="34">
        <v>25.07</v>
      </c>
      <c r="G3289" s="34">
        <v>25.35</v>
      </c>
      <c r="H3289" s="34">
        <v>25.35</v>
      </c>
      <c r="I3289" s="29">
        <v>107696000</v>
      </c>
    </row>
    <row r="3290" spans="3:9">
      <c r="C3290" s="125">
        <v>42411</v>
      </c>
      <c r="D3290" s="34">
        <v>24.56</v>
      </c>
      <c r="E3290" s="115">
        <v>25.47</v>
      </c>
      <c r="F3290" s="34">
        <v>24.2</v>
      </c>
      <c r="G3290" s="34">
        <v>25.19</v>
      </c>
      <c r="H3290" s="34">
        <v>25.19</v>
      </c>
      <c r="I3290" s="29">
        <v>147948000</v>
      </c>
    </row>
    <row r="3291" spans="3:9">
      <c r="C3291" s="125">
        <v>42410</v>
      </c>
      <c r="D3291" s="34">
        <v>24.59</v>
      </c>
      <c r="E3291" s="115">
        <v>25.23</v>
      </c>
      <c r="F3291" s="34">
        <v>24.3</v>
      </c>
      <c r="G3291" s="34">
        <v>24.52</v>
      </c>
      <c r="H3291" s="34">
        <v>24.52</v>
      </c>
      <c r="I3291" s="29">
        <v>135724000</v>
      </c>
    </row>
    <row r="3292" spans="3:9">
      <c r="C3292" s="125">
        <v>42409</v>
      </c>
      <c r="D3292" s="34">
        <v>23.9</v>
      </c>
      <c r="E3292" s="115">
        <v>24.92</v>
      </c>
      <c r="F3292" s="34">
        <v>23.7</v>
      </c>
      <c r="G3292" s="34">
        <v>24.1</v>
      </c>
      <c r="H3292" s="34">
        <v>24.1</v>
      </c>
      <c r="I3292" s="29">
        <v>141558000</v>
      </c>
    </row>
    <row r="3293" spans="3:9">
      <c r="C3293" s="125">
        <v>42408</v>
      </c>
      <c r="D3293" s="34">
        <v>24.32</v>
      </c>
      <c r="E3293" s="115">
        <v>24.67</v>
      </c>
      <c r="F3293" s="34">
        <v>23.76</v>
      </c>
      <c r="G3293" s="34">
        <v>24.41</v>
      </c>
      <c r="H3293" s="34">
        <v>24.41</v>
      </c>
      <c r="I3293" s="29">
        <v>196510000</v>
      </c>
    </row>
    <row r="3294" spans="3:9">
      <c r="C3294" s="125">
        <v>42405</v>
      </c>
      <c r="D3294" s="34">
        <v>26.46</v>
      </c>
      <c r="E3294" s="115">
        <v>26.47</v>
      </c>
      <c r="F3294" s="34">
        <v>24.96</v>
      </c>
      <c r="G3294" s="34">
        <v>25.11</v>
      </c>
      <c r="H3294" s="34">
        <v>25.11</v>
      </c>
      <c r="I3294" s="29">
        <v>194178000</v>
      </c>
    </row>
    <row r="3295" spans="3:9">
      <c r="C3295" s="125">
        <v>42404</v>
      </c>
      <c r="D3295" s="34">
        <v>26.25</v>
      </c>
      <c r="E3295" s="115">
        <v>26.95</v>
      </c>
      <c r="F3295" s="34">
        <v>25.96</v>
      </c>
      <c r="G3295" s="34">
        <v>26.81</v>
      </c>
      <c r="H3295" s="34">
        <v>26.81</v>
      </c>
      <c r="I3295" s="29">
        <v>123982000</v>
      </c>
    </row>
    <row r="3296" spans="3:9">
      <c r="C3296" s="125">
        <v>42403</v>
      </c>
      <c r="D3296" s="34">
        <v>27.67</v>
      </c>
      <c r="E3296" s="115">
        <v>27.8</v>
      </c>
      <c r="F3296" s="34">
        <v>26.09</v>
      </c>
      <c r="G3296" s="34">
        <v>26.55</v>
      </c>
      <c r="H3296" s="34">
        <v>26.55</v>
      </c>
      <c r="I3296" s="29">
        <v>200974000</v>
      </c>
    </row>
    <row r="3297" spans="3:9">
      <c r="C3297" s="125">
        <v>42402</v>
      </c>
      <c r="D3297" s="34">
        <v>28.5</v>
      </c>
      <c r="E3297" s="115">
        <v>28.58</v>
      </c>
      <c r="F3297" s="34">
        <v>27.5</v>
      </c>
      <c r="G3297" s="34">
        <v>27.6</v>
      </c>
      <c r="H3297" s="34">
        <v>27.6</v>
      </c>
      <c r="I3297" s="29">
        <v>126240000</v>
      </c>
    </row>
    <row r="3298" spans="3:9">
      <c r="C3298" s="125">
        <v>42401</v>
      </c>
      <c r="D3298" s="34">
        <v>28.91</v>
      </c>
      <c r="E3298" s="115">
        <v>29.09</v>
      </c>
      <c r="F3298" s="34">
        <v>28.52</v>
      </c>
      <c r="G3298" s="34">
        <v>28.74</v>
      </c>
      <c r="H3298" s="34">
        <v>28.74</v>
      </c>
      <c r="I3298" s="29">
        <v>127102000</v>
      </c>
    </row>
    <row r="3299" spans="3:9">
      <c r="C3299" s="125">
        <v>42398</v>
      </c>
      <c r="D3299" s="34">
        <v>28.6</v>
      </c>
      <c r="E3299" s="115">
        <v>29.65</v>
      </c>
      <c r="F3299" s="34">
        <v>28.5</v>
      </c>
      <c r="G3299" s="34">
        <v>29.35</v>
      </c>
      <c r="H3299" s="34">
        <v>29.35</v>
      </c>
      <c r="I3299" s="29">
        <v>293552000</v>
      </c>
    </row>
    <row r="3300" spans="3:9">
      <c r="C3300" s="125">
        <v>42397</v>
      </c>
      <c r="D3300" s="34">
        <v>30.42</v>
      </c>
      <c r="E3300" s="115">
        <v>31.9</v>
      </c>
      <c r="F3300" s="34">
        <v>29.88</v>
      </c>
      <c r="G3300" s="34">
        <v>31.77</v>
      </c>
      <c r="H3300" s="34">
        <v>31.77</v>
      </c>
      <c r="I3300" s="29">
        <v>280304000</v>
      </c>
    </row>
    <row r="3301" spans="3:9">
      <c r="C3301" s="125">
        <v>42396</v>
      </c>
      <c r="D3301" s="34">
        <v>30.1</v>
      </c>
      <c r="E3301" s="115">
        <v>30.17</v>
      </c>
      <c r="F3301" s="34">
        <v>28.94</v>
      </c>
      <c r="G3301" s="34">
        <v>29.17</v>
      </c>
      <c r="H3301" s="34">
        <v>29.17</v>
      </c>
      <c r="I3301" s="29">
        <v>103058000</v>
      </c>
    </row>
    <row r="3302" spans="3:9">
      <c r="C3302" s="125">
        <v>42395</v>
      </c>
      <c r="D3302" s="34">
        <v>30.17</v>
      </c>
      <c r="E3302" s="115">
        <v>30.23</v>
      </c>
      <c r="F3302" s="34">
        <v>29.52</v>
      </c>
      <c r="G3302" s="34">
        <v>30.06</v>
      </c>
      <c r="H3302" s="34">
        <v>30.06</v>
      </c>
      <c r="I3302" s="29">
        <v>75314000</v>
      </c>
    </row>
    <row r="3303" spans="3:9">
      <c r="C3303" s="125">
        <v>42394</v>
      </c>
      <c r="D3303" s="34">
        <v>29.9</v>
      </c>
      <c r="E3303" s="115">
        <v>30.42</v>
      </c>
      <c r="F3303" s="34">
        <v>29.73</v>
      </c>
      <c r="G3303" s="34">
        <v>29.83</v>
      </c>
      <c r="H3303" s="34">
        <v>29.83</v>
      </c>
      <c r="I3303" s="29">
        <v>87922000</v>
      </c>
    </row>
    <row r="3304" spans="3:9">
      <c r="C3304" s="125">
        <v>42391</v>
      </c>
      <c r="D3304" s="34">
        <v>29.44</v>
      </c>
      <c r="E3304" s="115">
        <v>30</v>
      </c>
      <c r="F3304" s="34">
        <v>29.21</v>
      </c>
      <c r="G3304" s="34">
        <v>29.82</v>
      </c>
      <c r="H3304" s="34">
        <v>29.82</v>
      </c>
      <c r="I3304" s="29">
        <v>102402000</v>
      </c>
    </row>
    <row r="3305" spans="3:9">
      <c r="C3305" s="125">
        <v>42390</v>
      </c>
      <c r="D3305" s="34">
        <v>28.68</v>
      </c>
      <c r="E3305" s="115">
        <v>29.44</v>
      </c>
      <c r="F3305" s="34">
        <v>28.41</v>
      </c>
      <c r="G3305" s="34">
        <v>28.75</v>
      </c>
      <c r="H3305" s="34">
        <v>28.75</v>
      </c>
      <c r="I3305" s="29">
        <v>99044000</v>
      </c>
    </row>
    <row r="3306" spans="3:9">
      <c r="C3306" s="125">
        <v>42389</v>
      </c>
      <c r="D3306" s="34">
        <v>28.22</v>
      </c>
      <c r="E3306" s="115">
        <v>28.92</v>
      </c>
      <c r="F3306" s="34">
        <v>27.36</v>
      </c>
      <c r="G3306" s="34">
        <v>28.59</v>
      </c>
      <c r="H3306" s="34">
        <v>28.59</v>
      </c>
      <c r="I3306" s="29">
        <v>159328000</v>
      </c>
    </row>
    <row r="3307" spans="3:9">
      <c r="C3307" s="125">
        <v>42388</v>
      </c>
      <c r="D3307" s="34">
        <v>28.85</v>
      </c>
      <c r="E3307" s="115">
        <v>29.2</v>
      </c>
      <c r="F3307" s="34">
        <v>28.32</v>
      </c>
      <c r="G3307" s="34">
        <v>28.72</v>
      </c>
      <c r="H3307" s="34">
        <v>28.72</v>
      </c>
      <c r="I3307" s="29">
        <v>96144000</v>
      </c>
    </row>
    <row r="3308" spans="3:9">
      <c r="C3308" s="125">
        <v>42384</v>
      </c>
      <c r="D3308" s="34">
        <v>28.61</v>
      </c>
      <c r="E3308" s="115">
        <v>29.23</v>
      </c>
      <c r="F3308" s="34">
        <v>28.26</v>
      </c>
      <c r="G3308" s="34">
        <v>28.51</v>
      </c>
      <c r="H3308" s="34">
        <v>28.51</v>
      </c>
      <c r="I3308" s="29">
        <v>155690000</v>
      </c>
    </row>
    <row r="3309" spans="3:9">
      <c r="C3309" s="125">
        <v>42383</v>
      </c>
      <c r="D3309" s="34">
        <v>29.01</v>
      </c>
      <c r="E3309" s="115">
        <v>30.11</v>
      </c>
      <c r="F3309" s="34">
        <v>28.49</v>
      </c>
      <c r="G3309" s="34">
        <v>29.65</v>
      </c>
      <c r="H3309" s="34">
        <v>29.65</v>
      </c>
      <c r="I3309" s="29">
        <v>144760000</v>
      </c>
    </row>
    <row r="3310" spans="3:9">
      <c r="C3310" s="125">
        <v>42382</v>
      </c>
      <c r="D3310" s="34">
        <v>31.04</v>
      </c>
      <c r="E3310" s="115">
        <v>31.04</v>
      </c>
      <c r="F3310" s="34">
        <v>28.96</v>
      </c>
      <c r="G3310" s="34">
        <v>29.09</v>
      </c>
      <c r="H3310" s="34">
        <v>29.09</v>
      </c>
      <c r="I3310" s="29">
        <v>153104000</v>
      </c>
    </row>
    <row r="3311" spans="3:9">
      <c r="C3311" s="125">
        <v>42381</v>
      </c>
      <c r="D3311" s="34">
        <v>31.26</v>
      </c>
      <c r="E3311" s="115">
        <v>31.3</v>
      </c>
      <c r="F3311" s="34">
        <v>30.61</v>
      </c>
      <c r="G3311" s="34">
        <v>30.89</v>
      </c>
      <c r="H3311" s="34">
        <v>30.89</v>
      </c>
      <c r="I3311" s="29">
        <v>94482000</v>
      </c>
    </row>
    <row r="3312" spans="3:9">
      <c r="C3312" s="125">
        <v>42380</v>
      </c>
      <c r="D3312" s="34">
        <v>30.62</v>
      </c>
      <c r="E3312" s="115">
        <v>30.99</v>
      </c>
      <c r="F3312" s="34">
        <v>29.93</v>
      </c>
      <c r="G3312" s="34">
        <v>30.89</v>
      </c>
      <c r="H3312" s="34">
        <v>30.89</v>
      </c>
      <c r="I3312" s="29">
        <v>97832000</v>
      </c>
    </row>
    <row r="3313" spans="3:9">
      <c r="C3313" s="125">
        <v>42377</v>
      </c>
      <c r="D3313" s="34">
        <v>30.98</v>
      </c>
      <c r="E3313" s="115">
        <v>31.21</v>
      </c>
      <c r="F3313" s="34">
        <v>30.3</v>
      </c>
      <c r="G3313" s="34">
        <v>30.35</v>
      </c>
      <c r="H3313" s="34">
        <v>30.35</v>
      </c>
      <c r="I3313" s="29">
        <v>110258000</v>
      </c>
    </row>
    <row r="3314" spans="3:9">
      <c r="C3314" s="125">
        <v>42376</v>
      </c>
      <c r="D3314" s="34">
        <v>31.09</v>
      </c>
      <c r="E3314" s="115">
        <v>31.5</v>
      </c>
      <c r="F3314" s="34">
        <v>30.26</v>
      </c>
      <c r="G3314" s="34">
        <v>30.4</v>
      </c>
      <c r="H3314" s="34">
        <v>30.4</v>
      </c>
      <c r="I3314" s="29">
        <v>141498000</v>
      </c>
    </row>
    <row r="3315" spans="3:9">
      <c r="C3315" s="125">
        <v>42375</v>
      </c>
      <c r="D3315" s="34">
        <v>31.1</v>
      </c>
      <c r="E3315" s="115">
        <v>31.99</v>
      </c>
      <c r="F3315" s="34">
        <v>31.02</v>
      </c>
      <c r="G3315" s="34">
        <v>31.63</v>
      </c>
      <c r="H3315" s="34">
        <v>31.63</v>
      </c>
      <c r="I3315" s="29">
        <v>106584000</v>
      </c>
    </row>
    <row r="3316" spans="3:9">
      <c r="C3316" s="125">
        <v>42374</v>
      </c>
      <c r="D3316" s="34">
        <v>32.340000000000003</v>
      </c>
      <c r="E3316" s="115">
        <v>32.35</v>
      </c>
      <c r="F3316" s="34">
        <v>31.38</v>
      </c>
      <c r="G3316" s="34">
        <v>31.69</v>
      </c>
      <c r="H3316" s="34">
        <v>31.69</v>
      </c>
      <c r="I3316" s="29">
        <v>116452000</v>
      </c>
    </row>
    <row r="3317" spans="3:9">
      <c r="C3317" s="125">
        <v>42373</v>
      </c>
      <c r="D3317" s="34">
        <v>32.81</v>
      </c>
      <c r="E3317" s="115">
        <v>32.89</v>
      </c>
      <c r="F3317" s="34">
        <v>31.38</v>
      </c>
      <c r="G3317" s="34">
        <v>31.85</v>
      </c>
      <c r="H3317" s="34">
        <v>31.85</v>
      </c>
      <c r="I3317" s="29">
        <v>186290000</v>
      </c>
    </row>
    <row r="3318" spans="3:9">
      <c r="C3318" s="125">
        <v>42369</v>
      </c>
      <c r="D3318" s="34">
        <v>34.299999999999997</v>
      </c>
      <c r="E3318" s="115">
        <v>34.39</v>
      </c>
      <c r="F3318" s="34">
        <v>33.79</v>
      </c>
      <c r="G3318" s="34">
        <v>33.79</v>
      </c>
      <c r="H3318" s="34">
        <v>33.79</v>
      </c>
      <c r="I3318" s="29">
        <v>74992000</v>
      </c>
    </row>
    <row r="3319" spans="3:9">
      <c r="C3319" s="125">
        <v>42368</v>
      </c>
      <c r="D3319" s="34">
        <v>34.590000000000003</v>
      </c>
      <c r="E3319" s="115">
        <v>34.770000000000003</v>
      </c>
      <c r="F3319" s="34">
        <v>34.32</v>
      </c>
      <c r="G3319" s="34">
        <v>34.450000000000003</v>
      </c>
      <c r="H3319" s="34">
        <v>34.450000000000003</v>
      </c>
      <c r="I3319" s="29">
        <v>70380000</v>
      </c>
    </row>
    <row r="3320" spans="3:9">
      <c r="C3320" s="125">
        <v>42367</v>
      </c>
      <c r="D3320" s="34">
        <v>33.9</v>
      </c>
      <c r="E3320" s="115">
        <v>34.82</v>
      </c>
      <c r="F3320" s="34">
        <v>33.89</v>
      </c>
      <c r="G3320" s="34">
        <v>34.700000000000003</v>
      </c>
      <c r="H3320" s="34">
        <v>34.700000000000003</v>
      </c>
      <c r="I3320" s="29">
        <v>114700000</v>
      </c>
    </row>
    <row r="3321" spans="3:9">
      <c r="C3321" s="125">
        <v>42366</v>
      </c>
      <c r="D3321" s="34">
        <v>33.28</v>
      </c>
      <c r="E3321" s="115">
        <v>33.78</v>
      </c>
      <c r="F3321" s="34">
        <v>33.28</v>
      </c>
      <c r="G3321" s="34">
        <v>33.76</v>
      </c>
      <c r="H3321" s="34">
        <v>33.76</v>
      </c>
      <c r="I3321" s="29">
        <v>75672000</v>
      </c>
    </row>
    <row r="3322" spans="3:9">
      <c r="C3322" s="125">
        <v>42362</v>
      </c>
      <c r="D3322" s="34">
        <v>33.17</v>
      </c>
      <c r="E3322" s="115">
        <v>33.229999999999997</v>
      </c>
      <c r="F3322" s="34">
        <v>33.03</v>
      </c>
      <c r="G3322" s="34">
        <v>33.14</v>
      </c>
      <c r="H3322" s="34">
        <v>33.14</v>
      </c>
      <c r="I3322" s="29">
        <v>21824000</v>
      </c>
    </row>
    <row r="3323" spans="3:9">
      <c r="C3323" s="125">
        <v>42361</v>
      </c>
      <c r="D3323" s="34">
        <v>33.33</v>
      </c>
      <c r="E3323" s="115">
        <v>33.33</v>
      </c>
      <c r="F3323" s="34">
        <v>32.83</v>
      </c>
      <c r="G3323" s="34">
        <v>33.19</v>
      </c>
      <c r="H3323" s="34">
        <v>33.19</v>
      </c>
      <c r="I3323" s="29">
        <v>54458000</v>
      </c>
    </row>
    <row r="3324" spans="3:9">
      <c r="C3324" s="125">
        <v>42360</v>
      </c>
      <c r="D3324" s="34">
        <v>33.340000000000003</v>
      </c>
      <c r="E3324" s="115">
        <v>33.42</v>
      </c>
      <c r="F3324" s="34">
        <v>32.96</v>
      </c>
      <c r="G3324" s="34">
        <v>33.159999999999997</v>
      </c>
      <c r="H3324" s="34">
        <v>33.159999999999997</v>
      </c>
      <c r="I3324" s="29">
        <v>53356000</v>
      </c>
    </row>
    <row r="3325" spans="3:9">
      <c r="C3325" s="125">
        <v>42359</v>
      </c>
      <c r="D3325" s="34">
        <v>33.42</v>
      </c>
      <c r="E3325" s="115">
        <v>33.49</v>
      </c>
      <c r="F3325" s="34">
        <v>32.950000000000003</v>
      </c>
      <c r="G3325" s="34">
        <v>33.229999999999997</v>
      </c>
      <c r="H3325" s="34">
        <v>33.229999999999997</v>
      </c>
      <c r="I3325" s="29">
        <v>65018000</v>
      </c>
    </row>
    <row r="3326" spans="3:9">
      <c r="C3326" s="125">
        <v>42356</v>
      </c>
      <c r="D3326" s="34">
        <v>33.43</v>
      </c>
      <c r="E3326" s="115">
        <v>33.840000000000003</v>
      </c>
      <c r="F3326" s="34">
        <v>33.21</v>
      </c>
      <c r="G3326" s="34">
        <v>33.21</v>
      </c>
      <c r="H3326" s="34">
        <v>33.21</v>
      </c>
      <c r="I3326" s="29">
        <v>136826000</v>
      </c>
    </row>
    <row r="3327" spans="3:9">
      <c r="C3327" s="125">
        <v>42355</v>
      </c>
      <c r="D3327" s="34">
        <v>34</v>
      </c>
      <c r="E3327" s="115">
        <v>34.130000000000003</v>
      </c>
      <c r="F3327" s="34">
        <v>33.53</v>
      </c>
      <c r="G3327" s="34">
        <v>33.53</v>
      </c>
      <c r="H3327" s="34">
        <v>33.53</v>
      </c>
      <c r="I3327" s="29">
        <v>73632000</v>
      </c>
    </row>
    <row r="3328" spans="3:9">
      <c r="C3328" s="125">
        <v>42354</v>
      </c>
      <c r="D3328" s="34">
        <v>33.18</v>
      </c>
      <c r="E3328" s="115">
        <v>33.869999999999997</v>
      </c>
      <c r="F3328" s="34">
        <v>32.97</v>
      </c>
      <c r="G3328" s="34">
        <v>33.79</v>
      </c>
      <c r="H3328" s="34">
        <v>33.79</v>
      </c>
      <c r="I3328" s="29">
        <v>79290000</v>
      </c>
    </row>
    <row r="3329" spans="3:9">
      <c r="C3329" s="125">
        <v>42353</v>
      </c>
      <c r="D3329" s="34">
        <v>33.25</v>
      </c>
      <c r="E3329" s="115">
        <v>33.58</v>
      </c>
      <c r="F3329" s="34">
        <v>32.869999999999997</v>
      </c>
      <c r="G3329" s="34">
        <v>32.93</v>
      </c>
      <c r="H3329" s="34">
        <v>32.93</v>
      </c>
      <c r="I3329" s="29">
        <v>95068000</v>
      </c>
    </row>
    <row r="3330" spans="3:9">
      <c r="C3330" s="125">
        <v>42352</v>
      </c>
      <c r="D3330" s="34">
        <v>32.090000000000003</v>
      </c>
      <c r="E3330" s="115">
        <v>32.93</v>
      </c>
      <c r="F3330" s="34">
        <v>31.76</v>
      </c>
      <c r="G3330" s="34">
        <v>32.9</v>
      </c>
      <c r="H3330" s="34">
        <v>32.9</v>
      </c>
      <c r="I3330" s="29">
        <v>86594000</v>
      </c>
    </row>
  </sheetData>
  <autoFilter ref="C7:I3330" xr:uid="{92638573-1AF5-4FCB-A5F4-6BC2ED91B528}">
    <sortState xmlns:xlrd2="http://schemas.microsoft.com/office/spreadsheetml/2017/richdata2" ref="C8:I3330">
      <sortCondition descending="1" ref="C7:C3330"/>
    </sortState>
  </autoFilter>
  <hyperlinks>
    <hyperlink ref="K9" r:id="rId1" xr:uid="{F088FDDA-13FD-D841-A0BA-DF4DE0F1D507}"/>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F18E4-2009-48F7-9231-E5EE9E83DD01}">
  <sheetPr>
    <tabColor rgb="FFAFDEFF"/>
  </sheetPr>
  <dimension ref="B1:T2747"/>
  <sheetViews>
    <sheetView showGridLines="0" workbookViewId="0">
      <selection activeCell="F12" sqref="F12"/>
    </sheetView>
  </sheetViews>
  <sheetFormatPr baseColWidth="10" defaultColWidth="8.83203125" defaultRowHeight="12"/>
  <cols>
    <col min="1" max="2" width="3.1640625" style="1" customWidth="1"/>
    <col min="3" max="5" width="8.83203125" style="1"/>
    <col min="6" max="6" width="12.1640625" style="1" customWidth="1"/>
    <col min="7" max="7" width="8.83203125" style="1" customWidth="1"/>
    <col min="8" max="16384" width="8.83203125" style="1"/>
  </cols>
  <sheetData>
    <row r="1" spans="2:20" s="518" customFormat="1"/>
    <row r="2" spans="2:20" s="518" customFormat="1" ht="18">
      <c r="B2" s="541"/>
    </row>
    <row r="3" spans="2:20" s="518" customFormat="1" ht="13">
      <c r="B3" s="459"/>
      <c r="C3" s="461" t="s">
        <v>320</v>
      </c>
    </row>
    <row r="4" spans="2:20" s="518" customFormat="1">
      <c r="B4" s="459"/>
      <c r="C4" s="460" t="s">
        <v>326</v>
      </c>
    </row>
    <row r="5" spans="2:20" s="518" customFormat="1" ht="7.75" customHeight="1">
      <c r="B5" s="542"/>
    </row>
    <row r="6" spans="2:20">
      <c r="B6" s="4"/>
    </row>
    <row r="7" spans="2:20" ht="13" thickBot="1">
      <c r="B7" s="566"/>
      <c r="C7" s="543" t="s">
        <v>92</v>
      </c>
      <c r="D7" s="520" t="s">
        <v>134</v>
      </c>
    </row>
    <row r="8" spans="2:20" ht="13" thickBot="1">
      <c r="B8" s="4"/>
      <c r="C8" s="106">
        <v>42006</v>
      </c>
      <c r="D8" s="48">
        <v>2.12</v>
      </c>
      <c r="F8" s="521" t="s">
        <v>350</v>
      </c>
      <c r="G8" s="571">
        <f>AVERAGE(D8:D2745)</f>
        <v>2.6371913805697593</v>
      </c>
    </row>
    <row r="9" spans="2:20">
      <c r="B9" s="4"/>
      <c r="C9" s="106">
        <v>42009</v>
      </c>
      <c r="D9" s="48">
        <v>2.04</v>
      </c>
    </row>
    <row r="10" spans="2:20">
      <c r="B10" s="4"/>
      <c r="C10" s="106">
        <v>42010</v>
      </c>
      <c r="D10" s="48">
        <v>1.97</v>
      </c>
      <c r="S10" s="106"/>
      <c r="T10" s="48"/>
    </row>
    <row r="11" spans="2:20">
      <c r="B11" s="4"/>
      <c r="C11" s="106">
        <v>42011</v>
      </c>
      <c r="D11" s="48">
        <v>1.96</v>
      </c>
      <c r="F11" s="42" t="s">
        <v>322</v>
      </c>
      <c r="S11" s="106"/>
      <c r="T11" s="48"/>
    </row>
    <row r="12" spans="2:20">
      <c r="B12" s="4"/>
      <c r="C12" s="106">
        <v>42012</v>
      </c>
      <c r="D12" s="48">
        <v>2.0299999999999998</v>
      </c>
      <c r="F12" s="130" t="s">
        <v>321</v>
      </c>
      <c r="S12" s="106"/>
      <c r="T12" s="48"/>
    </row>
    <row r="13" spans="2:20">
      <c r="B13" s="4"/>
      <c r="C13" s="106">
        <v>42013</v>
      </c>
      <c r="D13" s="48">
        <v>1.98</v>
      </c>
      <c r="S13" s="106"/>
      <c r="T13" s="48"/>
    </row>
    <row r="14" spans="2:20">
      <c r="B14" s="4"/>
      <c r="C14" s="106">
        <v>42016</v>
      </c>
      <c r="D14" s="48">
        <v>1.92</v>
      </c>
      <c r="S14" s="106"/>
      <c r="T14" s="48"/>
    </row>
    <row r="15" spans="2:20">
      <c r="C15" s="106">
        <v>42017</v>
      </c>
      <c r="D15" s="48">
        <v>1.91</v>
      </c>
      <c r="S15" s="106"/>
      <c r="T15" s="48"/>
    </row>
    <row r="16" spans="2:20">
      <c r="C16" s="106">
        <v>42018</v>
      </c>
      <c r="D16" s="48">
        <v>1.86</v>
      </c>
      <c r="S16" s="106"/>
      <c r="T16" s="48"/>
    </row>
    <row r="17" spans="3:20">
      <c r="C17" s="106">
        <v>42019</v>
      </c>
      <c r="D17" s="48">
        <v>1.77</v>
      </c>
      <c r="S17" s="106"/>
      <c r="T17" s="48"/>
    </row>
    <row r="18" spans="3:20">
      <c r="C18" s="106">
        <v>42020</v>
      </c>
      <c r="D18" s="48">
        <v>1.83</v>
      </c>
      <c r="S18" s="106"/>
      <c r="T18" s="48"/>
    </row>
    <row r="19" spans="3:20">
      <c r="C19" s="106">
        <v>42024</v>
      </c>
      <c r="D19" s="48">
        <v>1.82</v>
      </c>
      <c r="S19" s="106"/>
      <c r="T19" s="48"/>
    </row>
    <row r="20" spans="3:20">
      <c r="C20" s="106">
        <v>42025</v>
      </c>
      <c r="D20" s="48">
        <v>1.87</v>
      </c>
      <c r="S20" s="106"/>
      <c r="T20" s="48"/>
    </row>
    <row r="21" spans="3:20">
      <c r="C21" s="106">
        <v>42026</v>
      </c>
      <c r="D21" s="48">
        <v>1.9</v>
      </c>
      <c r="S21" s="106"/>
      <c r="T21" s="48"/>
    </row>
    <row r="22" spans="3:20">
      <c r="C22" s="106">
        <v>42027</v>
      </c>
      <c r="D22" s="48">
        <v>1.81</v>
      </c>
      <c r="S22" s="106"/>
      <c r="T22" s="48"/>
    </row>
    <row r="23" spans="3:20">
      <c r="C23" s="106">
        <v>42030</v>
      </c>
      <c r="D23" s="48">
        <v>1.83</v>
      </c>
      <c r="S23" s="106"/>
      <c r="T23" s="48"/>
    </row>
    <row r="24" spans="3:20">
      <c r="C24" s="106">
        <v>42031</v>
      </c>
      <c r="D24" s="48">
        <v>1.83</v>
      </c>
      <c r="S24" s="106"/>
      <c r="T24" s="48"/>
    </row>
    <row r="25" spans="3:20">
      <c r="C25" s="106">
        <v>42032</v>
      </c>
      <c r="D25" s="48">
        <v>1.73</v>
      </c>
      <c r="S25" s="106"/>
      <c r="T25" s="48"/>
    </row>
    <row r="26" spans="3:20">
      <c r="C26" s="106">
        <v>42033</v>
      </c>
      <c r="D26" s="48">
        <v>1.77</v>
      </c>
      <c r="S26" s="106"/>
      <c r="T26" s="48"/>
    </row>
    <row r="27" spans="3:20">
      <c r="C27" s="106">
        <v>42034</v>
      </c>
      <c r="D27" s="48">
        <v>1.68</v>
      </c>
      <c r="S27" s="106"/>
      <c r="T27" s="48"/>
    </row>
    <row r="28" spans="3:20">
      <c r="C28" s="106">
        <v>42037</v>
      </c>
      <c r="D28" s="48">
        <v>1.68</v>
      </c>
      <c r="S28" s="106"/>
      <c r="T28" s="48"/>
    </row>
    <row r="29" spans="3:20">
      <c r="C29" s="106">
        <v>42038</v>
      </c>
      <c r="D29" s="48">
        <v>1.79</v>
      </c>
      <c r="S29" s="106"/>
      <c r="T29" s="48"/>
    </row>
    <row r="30" spans="3:20">
      <c r="C30" s="106">
        <v>42039</v>
      </c>
      <c r="D30" s="48">
        <v>1.81</v>
      </c>
      <c r="S30" s="106"/>
      <c r="T30" s="48"/>
    </row>
    <row r="31" spans="3:20">
      <c r="C31" s="106">
        <v>42040</v>
      </c>
      <c r="D31" s="48">
        <v>1.83</v>
      </c>
      <c r="S31" s="106"/>
      <c r="T31" s="48"/>
    </row>
    <row r="32" spans="3:20">
      <c r="C32" s="106">
        <v>42041</v>
      </c>
      <c r="D32" s="48">
        <v>1.95</v>
      </c>
      <c r="S32" s="106"/>
      <c r="T32" s="48"/>
    </row>
    <row r="33" spans="3:20">
      <c r="C33" s="106">
        <v>42044</v>
      </c>
      <c r="D33" s="48">
        <v>1.96</v>
      </c>
      <c r="S33" s="106"/>
      <c r="T33" s="48"/>
    </row>
    <row r="34" spans="3:20">
      <c r="C34" s="106">
        <v>42045</v>
      </c>
      <c r="D34" s="48">
        <v>2.0099999999999998</v>
      </c>
      <c r="S34" s="106"/>
      <c r="T34" s="48"/>
    </row>
    <row r="35" spans="3:20">
      <c r="C35" s="106">
        <v>42046</v>
      </c>
      <c r="D35" s="48">
        <v>2</v>
      </c>
      <c r="S35" s="106"/>
      <c r="T35" s="48"/>
    </row>
    <row r="36" spans="3:20">
      <c r="C36" s="106">
        <v>42047</v>
      </c>
      <c r="D36" s="48">
        <v>1.99</v>
      </c>
      <c r="S36" s="106"/>
      <c r="T36" s="48"/>
    </row>
    <row r="37" spans="3:20">
      <c r="C37" s="106">
        <v>42048</v>
      </c>
      <c r="D37" s="48">
        <v>2.02</v>
      </c>
      <c r="S37" s="106"/>
      <c r="T37" s="48"/>
    </row>
    <row r="38" spans="3:20">
      <c r="C38" s="106">
        <v>42052</v>
      </c>
      <c r="D38" s="48">
        <v>2.14</v>
      </c>
      <c r="S38" s="106"/>
      <c r="T38" s="48"/>
    </row>
    <row r="39" spans="3:20">
      <c r="C39" s="106">
        <v>42053</v>
      </c>
      <c r="D39" s="48">
        <v>2.0699999999999998</v>
      </c>
      <c r="S39" s="106"/>
      <c r="T39" s="48"/>
    </row>
    <row r="40" spans="3:20">
      <c r="C40" s="106">
        <v>42054</v>
      </c>
      <c r="D40" s="48">
        <v>2.11</v>
      </c>
      <c r="S40" s="106"/>
      <c r="T40" s="48"/>
    </row>
    <row r="41" spans="3:20">
      <c r="C41" s="106">
        <v>42055</v>
      </c>
      <c r="D41" s="48">
        <v>2.13</v>
      </c>
      <c r="S41" s="106"/>
      <c r="T41" s="48"/>
    </row>
    <row r="42" spans="3:20">
      <c r="C42" s="106">
        <v>42058</v>
      </c>
      <c r="D42" s="48">
        <v>2.06</v>
      </c>
      <c r="S42" s="106"/>
      <c r="T42" s="48"/>
    </row>
    <row r="43" spans="3:20">
      <c r="C43" s="106">
        <v>42059</v>
      </c>
      <c r="D43" s="48">
        <v>1.99</v>
      </c>
      <c r="S43" s="106"/>
      <c r="T43" s="48"/>
    </row>
    <row r="44" spans="3:20">
      <c r="C44" s="106">
        <v>42060</v>
      </c>
      <c r="D44" s="48">
        <v>1.96</v>
      </c>
      <c r="S44" s="106"/>
      <c r="T44" s="48"/>
    </row>
    <row r="45" spans="3:20">
      <c r="C45" s="106">
        <v>42061</v>
      </c>
      <c r="D45" s="48">
        <v>2.0299999999999998</v>
      </c>
      <c r="S45" s="106"/>
      <c r="T45" s="48"/>
    </row>
    <row r="46" spans="3:20">
      <c r="C46" s="106">
        <v>42062</v>
      </c>
      <c r="D46" s="48">
        <v>2</v>
      </c>
      <c r="S46" s="106"/>
      <c r="T46" s="48"/>
    </row>
    <row r="47" spans="3:20">
      <c r="C47" s="106">
        <v>42065</v>
      </c>
      <c r="D47" s="48">
        <v>2.08</v>
      </c>
      <c r="S47" s="106"/>
      <c r="T47" s="48"/>
    </row>
    <row r="48" spans="3:20">
      <c r="C48" s="106">
        <v>42066</v>
      </c>
      <c r="D48" s="48">
        <v>2.12</v>
      </c>
      <c r="S48" s="106"/>
      <c r="T48" s="48"/>
    </row>
    <row r="49" spans="3:20">
      <c r="C49" s="106">
        <v>42067</v>
      </c>
      <c r="D49" s="48">
        <v>2.12</v>
      </c>
      <c r="S49" s="106"/>
      <c r="T49" s="48"/>
    </row>
    <row r="50" spans="3:20">
      <c r="C50" s="106">
        <v>42068</v>
      </c>
      <c r="D50" s="48">
        <v>2.11</v>
      </c>
      <c r="S50" s="106"/>
      <c r="T50" s="48"/>
    </row>
    <row r="51" spans="3:20">
      <c r="C51" s="106">
        <v>42069</v>
      </c>
      <c r="D51" s="48">
        <v>2.2400000000000002</v>
      </c>
      <c r="S51" s="106"/>
      <c r="T51" s="48"/>
    </row>
    <row r="52" spans="3:20">
      <c r="C52" s="106">
        <v>42072</v>
      </c>
      <c r="D52" s="48">
        <v>2.2000000000000002</v>
      </c>
      <c r="S52" s="106"/>
      <c r="T52" s="48"/>
    </row>
    <row r="53" spans="3:20">
      <c r="C53" s="106">
        <v>42073</v>
      </c>
      <c r="D53" s="48">
        <v>2.14</v>
      </c>
      <c r="S53" s="106"/>
      <c r="T53" s="48"/>
    </row>
    <row r="54" spans="3:20">
      <c r="C54" s="106">
        <v>42074</v>
      </c>
      <c r="D54" s="48">
        <v>2.11</v>
      </c>
      <c r="S54" s="106"/>
      <c r="T54" s="48"/>
    </row>
    <row r="55" spans="3:20">
      <c r="C55" s="106">
        <v>42075</v>
      </c>
      <c r="D55" s="48">
        <v>2.1</v>
      </c>
      <c r="S55" s="106"/>
      <c r="T55" s="48"/>
    </row>
    <row r="56" spans="3:20">
      <c r="C56" s="106">
        <v>42076</v>
      </c>
      <c r="D56" s="48">
        <v>2.13</v>
      </c>
      <c r="S56" s="106"/>
      <c r="T56" s="48"/>
    </row>
    <row r="57" spans="3:20">
      <c r="C57" s="106">
        <v>42079</v>
      </c>
      <c r="D57" s="48">
        <v>2.1</v>
      </c>
      <c r="S57" s="106"/>
      <c r="T57" s="48"/>
    </row>
    <row r="58" spans="3:20">
      <c r="C58" s="106">
        <v>42080</v>
      </c>
      <c r="D58" s="48">
        <v>2.06</v>
      </c>
      <c r="S58" s="106"/>
      <c r="T58" s="48"/>
    </row>
    <row r="59" spans="3:20">
      <c r="C59" s="106">
        <v>42081</v>
      </c>
      <c r="D59" s="48">
        <v>1.93</v>
      </c>
      <c r="S59" s="106"/>
      <c r="T59" s="48"/>
    </row>
    <row r="60" spans="3:20">
      <c r="C60" s="106">
        <v>42082</v>
      </c>
      <c r="D60" s="48">
        <v>1.98</v>
      </c>
      <c r="S60" s="106"/>
      <c r="T60" s="48"/>
    </row>
    <row r="61" spans="3:20">
      <c r="C61" s="106">
        <v>42083</v>
      </c>
      <c r="D61" s="48">
        <v>1.93</v>
      </c>
      <c r="S61" s="106"/>
      <c r="T61" s="48"/>
    </row>
    <row r="62" spans="3:20">
      <c r="C62" s="106">
        <v>42086</v>
      </c>
      <c r="D62" s="48">
        <v>1.92</v>
      </c>
      <c r="S62" s="106"/>
      <c r="T62" s="48"/>
    </row>
    <row r="63" spans="3:20">
      <c r="C63" s="106">
        <v>42087</v>
      </c>
      <c r="D63" s="48">
        <v>1.88</v>
      </c>
      <c r="S63" s="106"/>
      <c r="T63" s="48"/>
    </row>
    <row r="64" spans="3:20">
      <c r="C64" s="106">
        <v>42088</v>
      </c>
      <c r="D64" s="48">
        <v>1.93</v>
      </c>
      <c r="S64" s="106"/>
      <c r="T64" s="48"/>
    </row>
    <row r="65" spans="3:20">
      <c r="C65" s="106">
        <v>42089</v>
      </c>
      <c r="D65" s="48">
        <v>2.0099999999999998</v>
      </c>
      <c r="S65" s="106"/>
      <c r="T65" s="48"/>
    </row>
    <row r="66" spans="3:20">
      <c r="C66" s="106">
        <v>42090</v>
      </c>
      <c r="D66" s="48">
        <v>1.95</v>
      </c>
      <c r="S66" s="106"/>
      <c r="T66" s="48"/>
    </row>
    <row r="67" spans="3:20">
      <c r="C67" s="106">
        <v>42093</v>
      </c>
      <c r="D67" s="48">
        <v>1.96</v>
      </c>
      <c r="S67" s="106"/>
      <c r="T67" s="48"/>
    </row>
    <row r="68" spans="3:20">
      <c r="C68" s="106">
        <v>42094</v>
      </c>
      <c r="D68" s="48">
        <v>1.94</v>
      </c>
      <c r="S68" s="106"/>
      <c r="T68" s="48"/>
    </row>
    <row r="69" spans="3:20">
      <c r="C69" s="106">
        <v>42095</v>
      </c>
      <c r="D69" s="48">
        <v>1.87</v>
      </c>
      <c r="S69" s="106"/>
      <c r="T69" s="48"/>
    </row>
    <row r="70" spans="3:20">
      <c r="C70" s="106">
        <v>42096</v>
      </c>
      <c r="D70" s="48">
        <v>1.92</v>
      </c>
      <c r="S70" s="106"/>
      <c r="T70" s="48"/>
    </row>
    <row r="71" spans="3:20">
      <c r="C71" s="106">
        <v>42097</v>
      </c>
      <c r="D71" s="48">
        <v>1.85</v>
      </c>
      <c r="S71" s="106"/>
      <c r="T71" s="48"/>
    </row>
    <row r="72" spans="3:20">
      <c r="C72" s="106">
        <v>42100</v>
      </c>
      <c r="D72" s="48">
        <v>1.92</v>
      </c>
      <c r="S72" s="106"/>
      <c r="T72" s="48"/>
    </row>
    <row r="73" spans="3:20">
      <c r="C73" s="106">
        <v>42101</v>
      </c>
      <c r="D73" s="48">
        <v>1.89</v>
      </c>
      <c r="S73" s="106"/>
      <c r="T73" s="48"/>
    </row>
    <row r="74" spans="3:20">
      <c r="C74" s="106">
        <v>42102</v>
      </c>
      <c r="D74" s="48">
        <v>1.92</v>
      </c>
      <c r="S74" s="106"/>
      <c r="T74" s="48"/>
    </row>
    <row r="75" spans="3:20">
      <c r="C75" s="106">
        <v>42103</v>
      </c>
      <c r="D75" s="48">
        <v>1.97</v>
      </c>
      <c r="S75" s="106"/>
      <c r="T75" s="48"/>
    </row>
    <row r="76" spans="3:20">
      <c r="C76" s="106">
        <v>42104</v>
      </c>
      <c r="D76" s="48">
        <v>1.96</v>
      </c>
      <c r="S76" s="106"/>
      <c r="T76" s="48"/>
    </row>
    <row r="77" spans="3:20">
      <c r="C77" s="106">
        <v>42107</v>
      </c>
      <c r="D77" s="48">
        <v>1.94</v>
      </c>
      <c r="S77" s="106"/>
      <c r="T77" s="48"/>
    </row>
    <row r="78" spans="3:20">
      <c r="C78" s="106">
        <v>42108</v>
      </c>
      <c r="D78" s="48">
        <v>1.9</v>
      </c>
      <c r="S78" s="106"/>
      <c r="T78" s="48"/>
    </row>
    <row r="79" spans="3:20">
      <c r="C79" s="106">
        <v>42109</v>
      </c>
      <c r="D79" s="48">
        <v>1.91</v>
      </c>
      <c r="S79" s="106"/>
      <c r="T79" s="48"/>
    </row>
    <row r="80" spans="3:20">
      <c r="C80" s="106">
        <v>42110</v>
      </c>
      <c r="D80" s="48">
        <v>1.9</v>
      </c>
      <c r="S80" s="106"/>
      <c r="T80" s="48"/>
    </row>
    <row r="81" spans="3:20">
      <c r="C81" s="106">
        <v>42111</v>
      </c>
      <c r="D81" s="48">
        <v>1.87</v>
      </c>
      <c r="S81" s="106"/>
      <c r="T81" s="48"/>
    </row>
    <row r="82" spans="3:20">
      <c r="C82" s="106">
        <v>42114</v>
      </c>
      <c r="D82" s="48">
        <v>1.9</v>
      </c>
      <c r="S82" s="106"/>
      <c r="T82" s="48"/>
    </row>
    <row r="83" spans="3:20">
      <c r="C83" s="106">
        <v>42115</v>
      </c>
      <c r="D83" s="48">
        <v>1.92</v>
      </c>
      <c r="S83" s="106"/>
      <c r="T83" s="48"/>
    </row>
    <row r="84" spans="3:20">
      <c r="C84" s="106">
        <v>42116</v>
      </c>
      <c r="D84" s="48">
        <v>1.99</v>
      </c>
      <c r="S84" s="106"/>
      <c r="T84" s="48"/>
    </row>
    <row r="85" spans="3:20">
      <c r="C85" s="106">
        <v>42117</v>
      </c>
      <c r="D85" s="48">
        <v>1.96</v>
      </c>
      <c r="S85" s="106"/>
      <c r="T85" s="48"/>
    </row>
    <row r="86" spans="3:20">
      <c r="C86" s="106">
        <v>42118</v>
      </c>
      <c r="D86" s="48">
        <v>1.93</v>
      </c>
      <c r="S86" s="106"/>
      <c r="T86" s="48"/>
    </row>
    <row r="87" spans="3:20">
      <c r="C87" s="106">
        <v>42121</v>
      </c>
      <c r="D87" s="48">
        <v>1.94</v>
      </c>
      <c r="S87" s="106"/>
      <c r="T87" s="48"/>
    </row>
    <row r="88" spans="3:20">
      <c r="C88" s="106">
        <v>42122</v>
      </c>
      <c r="D88" s="48">
        <v>2</v>
      </c>
      <c r="S88" s="106"/>
      <c r="T88" s="48"/>
    </row>
    <row r="89" spans="3:20">
      <c r="C89" s="106">
        <v>42123</v>
      </c>
      <c r="D89" s="48">
        <v>2.06</v>
      </c>
      <c r="S89" s="106"/>
      <c r="T89" s="48"/>
    </row>
    <row r="90" spans="3:20">
      <c r="C90" s="106">
        <v>42124</v>
      </c>
      <c r="D90" s="48">
        <v>2.0499999999999998</v>
      </c>
      <c r="S90" s="106"/>
      <c r="T90" s="48"/>
    </row>
    <row r="91" spans="3:20">
      <c r="C91" s="106">
        <v>42125</v>
      </c>
      <c r="D91" s="48">
        <v>2.12</v>
      </c>
      <c r="S91" s="106"/>
      <c r="T91" s="48"/>
    </row>
    <row r="92" spans="3:20">
      <c r="C92" s="106">
        <v>42128</v>
      </c>
      <c r="D92" s="48">
        <v>2.16</v>
      </c>
      <c r="S92" s="106"/>
      <c r="T92" s="48"/>
    </row>
    <row r="93" spans="3:20">
      <c r="C93" s="106">
        <v>42129</v>
      </c>
      <c r="D93" s="48">
        <v>2.19</v>
      </c>
      <c r="S93" s="106"/>
      <c r="T93" s="48"/>
    </row>
    <row r="94" spans="3:20">
      <c r="C94" s="106">
        <v>42130</v>
      </c>
      <c r="D94" s="48">
        <v>2.25</v>
      </c>
      <c r="S94" s="106"/>
      <c r="T94" s="48"/>
    </row>
    <row r="95" spans="3:20">
      <c r="C95" s="106">
        <v>42131</v>
      </c>
      <c r="D95" s="48">
        <v>2.1800000000000002</v>
      </c>
      <c r="S95" s="106"/>
      <c r="T95" s="48"/>
    </row>
    <row r="96" spans="3:20">
      <c r="C96" s="106">
        <v>42132</v>
      </c>
      <c r="D96" s="48">
        <v>2.16</v>
      </c>
      <c r="S96" s="106"/>
      <c r="T96" s="48"/>
    </row>
    <row r="97" spans="3:20">
      <c r="C97" s="106">
        <v>42135</v>
      </c>
      <c r="D97" s="48">
        <v>2.2799999999999998</v>
      </c>
      <c r="S97" s="106"/>
      <c r="T97" s="48"/>
    </row>
    <row r="98" spans="3:20">
      <c r="C98" s="106">
        <v>42136</v>
      </c>
      <c r="D98" s="48">
        <v>2.2799999999999998</v>
      </c>
      <c r="S98" s="106"/>
      <c r="T98" s="48"/>
    </row>
    <row r="99" spans="3:20">
      <c r="C99" s="106">
        <v>42137</v>
      </c>
      <c r="D99" s="48">
        <v>2.27</v>
      </c>
      <c r="S99" s="106"/>
      <c r="T99" s="48"/>
    </row>
    <row r="100" spans="3:20">
      <c r="C100" s="106">
        <v>42138</v>
      </c>
      <c r="D100" s="48">
        <v>2.23</v>
      </c>
      <c r="S100" s="106"/>
      <c r="T100" s="48"/>
    </row>
    <row r="101" spans="3:20">
      <c r="C101" s="106">
        <v>42139</v>
      </c>
      <c r="D101" s="48">
        <v>2.14</v>
      </c>
      <c r="S101" s="106"/>
      <c r="T101" s="48"/>
    </row>
    <row r="102" spans="3:20">
      <c r="C102" s="106">
        <v>42142</v>
      </c>
      <c r="D102" s="48">
        <v>2.23</v>
      </c>
      <c r="S102" s="106"/>
      <c r="T102" s="48"/>
    </row>
    <row r="103" spans="3:20">
      <c r="C103" s="106">
        <v>42143</v>
      </c>
      <c r="D103" s="48">
        <v>2.27</v>
      </c>
      <c r="S103" s="106"/>
      <c r="T103" s="48"/>
    </row>
    <row r="104" spans="3:20">
      <c r="C104" s="106">
        <v>42144</v>
      </c>
      <c r="D104" s="48">
        <v>2.2599999999999998</v>
      </c>
      <c r="S104" s="106"/>
      <c r="T104" s="48"/>
    </row>
    <row r="105" spans="3:20">
      <c r="C105" s="106">
        <v>42145</v>
      </c>
      <c r="D105" s="48">
        <v>2.19</v>
      </c>
      <c r="S105" s="106"/>
      <c r="T105" s="48"/>
    </row>
    <row r="106" spans="3:20">
      <c r="C106" s="106">
        <v>42146</v>
      </c>
      <c r="D106" s="48">
        <v>2.21</v>
      </c>
      <c r="S106" s="106"/>
      <c r="T106" s="48"/>
    </row>
    <row r="107" spans="3:20">
      <c r="C107" s="106">
        <v>42150</v>
      </c>
      <c r="D107" s="48">
        <v>2.14</v>
      </c>
      <c r="S107" s="106"/>
      <c r="T107" s="48"/>
    </row>
    <row r="108" spans="3:20">
      <c r="C108" s="106">
        <v>42151</v>
      </c>
      <c r="D108" s="48">
        <v>2.14</v>
      </c>
      <c r="S108" s="106"/>
      <c r="T108" s="48"/>
    </row>
    <row r="109" spans="3:20">
      <c r="C109" s="106">
        <v>42152</v>
      </c>
      <c r="D109" s="48">
        <v>2.13</v>
      </c>
      <c r="S109" s="106"/>
      <c r="T109" s="48"/>
    </row>
    <row r="110" spans="3:20">
      <c r="C110" s="106">
        <v>42153</v>
      </c>
      <c r="D110" s="48">
        <v>2.12</v>
      </c>
      <c r="S110" s="106"/>
      <c r="T110" s="48"/>
    </row>
    <row r="111" spans="3:20">
      <c r="C111" s="106">
        <v>42156</v>
      </c>
      <c r="D111" s="48">
        <v>2.19</v>
      </c>
      <c r="S111" s="106"/>
      <c r="T111" s="48"/>
    </row>
    <row r="112" spans="3:20">
      <c r="C112" s="106">
        <v>42157</v>
      </c>
      <c r="D112" s="48">
        <v>2.27</v>
      </c>
      <c r="S112" s="106"/>
      <c r="T112" s="48"/>
    </row>
    <row r="113" spans="3:20">
      <c r="C113" s="106">
        <v>42158</v>
      </c>
      <c r="D113" s="48">
        <v>2.38</v>
      </c>
      <c r="S113" s="106"/>
      <c r="T113" s="48"/>
    </row>
    <row r="114" spans="3:20">
      <c r="C114" s="106">
        <v>42159</v>
      </c>
      <c r="D114" s="48">
        <v>2.31</v>
      </c>
      <c r="S114" s="106"/>
      <c r="T114" s="48"/>
    </row>
    <row r="115" spans="3:20">
      <c r="C115" s="106">
        <v>42160</v>
      </c>
      <c r="D115" s="48">
        <v>2.41</v>
      </c>
      <c r="S115" s="106"/>
      <c r="T115" s="48"/>
    </row>
    <row r="116" spans="3:20">
      <c r="C116" s="106">
        <v>42163</v>
      </c>
      <c r="D116" s="48">
        <v>2.39</v>
      </c>
      <c r="S116" s="106"/>
      <c r="T116" s="48"/>
    </row>
    <row r="117" spans="3:20">
      <c r="C117" s="106">
        <v>42164</v>
      </c>
      <c r="D117" s="48">
        <v>2.42</v>
      </c>
      <c r="S117" s="106"/>
      <c r="T117" s="48"/>
    </row>
    <row r="118" spans="3:20">
      <c r="C118" s="106">
        <v>42165</v>
      </c>
      <c r="D118" s="48">
        <v>2.5</v>
      </c>
      <c r="S118" s="106"/>
      <c r="T118" s="48"/>
    </row>
    <row r="119" spans="3:20">
      <c r="C119" s="106">
        <v>42166</v>
      </c>
      <c r="D119" s="48">
        <v>2.39</v>
      </c>
      <c r="S119" s="106"/>
      <c r="T119" s="48"/>
    </row>
    <row r="120" spans="3:20">
      <c r="C120" s="106">
        <v>42167</v>
      </c>
      <c r="D120" s="48">
        <v>2.39</v>
      </c>
      <c r="S120" s="106"/>
      <c r="T120" s="48"/>
    </row>
    <row r="121" spans="3:20">
      <c r="C121" s="106">
        <v>42170</v>
      </c>
      <c r="D121" s="48">
        <v>2.36</v>
      </c>
      <c r="S121" s="106"/>
      <c r="T121" s="48"/>
    </row>
    <row r="122" spans="3:20">
      <c r="C122" s="106">
        <v>42171</v>
      </c>
      <c r="D122" s="48">
        <v>2.3199999999999998</v>
      </c>
      <c r="S122" s="106"/>
      <c r="T122" s="48"/>
    </row>
    <row r="123" spans="3:20">
      <c r="C123" s="106">
        <v>42172</v>
      </c>
      <c r="D123" s="48">
        <v>2.3199999999999998</v>
      </c>
      <c r="S123" s="106"/>
      <c r="T123" s="48"/>
    </row>
    <row r="124" spans="3:20">
      <c r="C124" s="106">
        <v>42173</v>
      </c>
      <c r="D124" s="48">
        <v>2.35</v>
      </c>
      <c r="S124" s="106"/>
      <c r="T124" s="48"/>
    </row>
    <row r="125" spans="3:20">
      <c r="C125" s="106">
        <v>42174</v>
      </c>
      <c r="D125" s="48">
        <v>2.2599999999999998</v>
      </c>
      <c r="S125" s="106"/>
      <c r="T125" s="48"/>
    </row>
    <row r="126" spans="3:20">
      <c r="C126" s="106">
        <v>42177</v>
      </c>
      <c r="D126" s="48">
        <v>2.37</v>
      </c>
      <c r="S126" s="106"/>
      <c r="T126" s="48"/>
    </row>
    <row r="127" spans="3:20">
      <c r="C127" s="106">
        <v>42178</v>
      </c>
      <c r="D127" s="48">
        <v>2.42</v>
      </c>
      <c r="S127" s="106"/>
      <c r="T127" s="48"/>
    </row>
    <row r="128" spans="3:20">
      <c r="C128" s="106">
        <v>42179</v>
      </c>
      <c r="D128" s="48">
        <v>2.38</v>
      </c>
      <c r="S128" s="106"/>
      <c r="T128" s="48"/>
    </row>
    <row r="129" spans="3:20">
      <c r="C129" s="106">
        <v>42180</v>
      </c>
      <c r="D129" s="48">
        <v>2.4</v>
      </c>
      <c r="S129" s="106"/>
      <c r="T129" s="48"/>
    </row>
    <row r="130" spans="3:20">
      <c r="C130" s="106">
        <v>42181</v>
      </c>
      <c r="D130" s="48">
        <v>2.4900000000000002</v>
      </c>
      <c r="S130" s="106"/>
      <c r="T130" s="48"/>
    </row>
    <row r="131" spans="3:20">
      <c r="C131" s="106">
        <v>42184</v>
      </c>
      <c r="D131" s="48">
        <v>2.33</v>
      </c>
      <c r="S131" s="106"/>
      <c r="T131" s="48"/>
    </row>
    <row r="132" spans="3:20">
      <c r="C132" s="106">
        <v>42185</v>
      </c>
      <c r="D132" s="48">
        <v>2.35</v>
      </c>
      <c r="S132" s="106"/>
      <c r="T132" s="48"/>
    </row>
    <row r="133" spans="3:20">
      <c r="C133" s="106">
        <v>42186</v>
      </c>
      <c r="D133" s="48">
        <v>2.4300000000000002</v>
      </c>
      <c r="S133" s="106"/>
      <c r="T133" s="48"/>
    </row>
    <row r="134" spans="3:20">
      <c r="C134" s="106">
        <v>42187</v>
      </c>
      <c r="D134" s="48">
        <v>2.4</v>
      </c>
      <c r="S134" s="106"/>
      <c r="T134" s="48"/>
    </row>
    <row r="135" spans="3:20">
      <c r="C135" s="106">
        <v>42191</v>
      </c>
      <c r="D135" s="48">
        <v>2.2999999999999998</v>
      </c>
      <c r="S135" s="106"/>
      <c r="T135" s="48"/>
    </row>
    <row r="136" spans="3:20">
      <c r="C136" s="106">
        <v>42192</v>
      </c>
      <c r="D136" s="48">
        <v>2.27</v>
      </c>
      <c r="S136" s="106"/>
      <c r="T136" s="48"/>
    </row>
    <row r="137" spans="3:20">
      <c r="C137" s="106">
        <v>42193</v>
      </c>
      <c r="D137" s="48">
        <v>2.2200000000000002</v>
      </c>
      <c r="S137" s="106"/>
      <c r="T137" s="48"/>
    </row>
    <row r="138" spans="3:20">
      <c r="C138" s="106">
        <v>42194</v>
      </c>
      <c r="D138" s="48">
        <v>2.3199999999999998</v>
      </c>
      <c r="S138" s="106"/>
      <c r="T138" s="48"/>
    </row>
    <row r="139" spans="3:20">
      <c r="C139" s="106">
        <v>42195</v>
      </c>
      <c r="D139" s="48">
        <v>2.42</v>
      </c>
      <c r="S139" s="106"/>
      <c r="T139" s="48"/>
    </row>
    <row r="140" spans="3:20">
      <c r="C140" s="106">
        <v>42198</v>
      </c>
      <c r="D140" s="48">
        <v>2.44</v>
      </c>
      <c r="S140" s="106"/>
      <c r="T140" s="48"/>
    </row>
    <row r="141" spans="3:20">
      <c r="C141" s="106">
        <v>42199</v>
      </c>
      <c r="D141" s="48">
        <v>2.41</v>
      </c>
      <c r="S141" s="106"/>
      <c r="T141" s="48"/>
    </row>
    <row r="142" spans="3:20">
      <c r="C142" s="106">
        <v>42200</v>
      </c>
      <c r="D142" s="48">
        <v>2.36</v>
      </c>
      <c r="S142" s="106"/>
      <c r="T142" s="48"/>
    </row>
    <row r="143" spans="3:20">
      <c r="C143" s="106">
        <v>42201</v>
      </c>
      <c r="D143" s="48">
        <v>2.36</v>
      </c>
      <c r="S143" s="106"/>
      <c r="T143" s="48"/>
    </row>
    <row r="144" spans="3:20">
      <c r="C144" s="106">
        <v>42202</v>
      </c>
      <c r="D144" s="48">
        <v>2.34</v>
      </c>
      <c r="S144" s="106"/>
      <c r="T144" s="48"/>
    </row>
    <row r="145" spans="3:20">
      <c r="C145" s="106">
        <v>42205</v>
      </c>
      <c r="D145" s="48">
        <v>2.38</v>
      </c>
      <c r="S145" s="106"/>
      <c r="T145" s="48"/>
    </row>
    <row r="146" spans="3:20">
      <c r="C146" s="106">
        <v>42206</v>
      </c>
      <c r="D146" s="48">
        <v>2.35</v>
      </c>
      <c r="S146" s="106"/>
      <c r="T146" s="48"/>
    </row>
    <row r="147" spans="3:20">
      <c r="C147" s="106">
        <v>42207</v>
      </c>
      <c r="D147" s="48">
        <v>2.33</v>
      </c>
      <c r="S147" s="106"/>
      <c r="T147" s="48"/>
    </row>
    <row r="148" spans="3:20">
      <c r="C148" s="106">
        <v>42208</v>
      </c>
      <c r="D148" s="48">
        <v>2.2799999999999998</v>
      </c>
      <c r="S148" s="106"/>
      <c r="T148" s="48"/>
    </row>
    <row r="149" spans="3:20">
      <c r="C149" s="106">
        <v>42209</v>
      </c>
      <c r="D149" s="48">
        <v>2.27</v>
      </c>
      <c r="S149" s="106"/>
      <c r="T149" s="48"/>
    </row>
    <row r="150" spans="3:20">
      <c r="C150" s="106">
        <v>42212</v>
      </c>
      <c r="D150" s="48">
        <v>2.23</v>
      </c>
      <c r="S150" s="106"/>
      <c r="T150" s="48"/>
    </row>
    <row r="151" spans="3:20">
      <c r="C151" s="106">
        <v>42213</v>
      </c>
      <c r="D151" s="48">
        <v>2.2599999999999998</v>
      </c>
      <c r="S151" s="106"/>
      <c r="T151" s="48"/>
    </row>
    <row r="152" spans="3:20">
      <c r="C152" s="106">
        <v>42214</v>
      </c>
      <c r="D152" s="48">
        <v>2.29</v>
      </c>
      <c r="S152" s="106"/>
      <c r="T152" s="48"/>
    </row>
    <row r="153" spans="3:20">
      <c r="C153" s="106">
        <v>42215</v>
      </c>
      <c r="D153" s="48">
        <v>2.2799999999999998</v>
      </c>
      <c r="S153" s="106"/>
      <c r="T153" s="48"/>
    </row>
    <row r="154" spans="3:20">
      <c r="C154" s="106">
        <v>42216</v>
      </c>
      <c r="D154" s="48">
        <v>2.2000000000000002</v>
      </c>
      <c r="S154" s="106"/>
      <c r="T154" s="48"/>
    </row>
    <row r="155" spans="3:20">
      <c r="C155" s="106">
        <v>42219</v>
      </c>
      <c r="D155" s="48">
        <v>2.16</v>
      </c>
      <c r="S155" s="106"/>
      <c r="T155" s="48"/>
    </row>
    <row r="156" spans="3:20">
      <c r="C156" s="106">
        <v>42220</v>
      </c>
      <c r="D156" s="48">
        <v>2.23</v>
      </c>
      <c r="S156" s="106"/>
      <c r="T156" s="48"/>
    </row>
    <row r="157" spans="3:20">
      <c r="C157" s="106">
        <v>42221</v>
      </c>
      <c r="D157" s="48">
        <v>2.2799999999999998</v>
      </c>
      <c r="S157" s="106"/>
      <c r="T157" s="48"/>
    </row>
    <row r="158" spans="3:20">
      <c r="C158" s="106">
        <v>42222</v>
      </c>
      <c r="D158" s="48">
        <v>2.23</v>
      </c>
      <c r="S158" s="106"/>
      <c r="T158" s="48"/>
    </row>
    <row r="159" spans="3:20">
      <c r="C159" s="106">
        <v>42223</v>
      </c>
      <c r="D159" s="48">
        <v>2.1800000000000002</v>
      </c>
      <c r="S159" s="106"/>
      <c r="T159" s="48"/>
    </row>
    <row r="160" spans="3:20">
      <c r="C160" s="106">
        <v>42226</v>
      </c>
      <c r="D160" s="48">
        <v>2.2400000000000002</v>
      </c>
      <c r="S160" s="106"/>
      <c r="T160" s="48"/>
    </row>
    <row r="161" spans="3:20">
      <c r="C161" s="106">
        <v>42227</v>
      </c>
      <c r="D161" s="48">
        <v>2.15</v>
      </c>
      <c r="S161" s="106"/>
      <c r="T161" s="48"/>
    </row>
    <row r="162" spans="3:20">
      <c r="C162" s="106">
        <v>42228</v>
      </c>
      <c r="D162" s="48">
        <v>2.14</v>
      </c>
      <c r="S162" s="106"/>
      <c r="T162" s="48"/>
    </row>
    <row r="163" spans="3:20">
      <c r="C163" s="106">
        <v>42229</v>
      </c>
      <c r="D163" s="48">
        <v>2.19</v>
      </c>
      <c r="S163" s="106"/>
      <c r="T163" s="48"/>
    </row>
    <row r="164" spans="3:20">
      <c r="C164" s="106">
        <v>42230</v>
      </c>
      <c r="D164" s="48">
        <v>2.2000000000000002</v>
      </c>
      <c r="S164" s="106"/>
      <c r="T164" s="48"/>
    </row>
    <row r="165" spans="3:20">
      <c r="C165" s="106">
        <v>42233</v>
      </c>
      <c r="D165" s="48">
        <v>2.16</v>
      </c>
      <c r="S165" s="106"/>
      <c r="T165" s="48"/>
    </row>
    <row r="166" spans="3:20">
      <c r="C166" s="106">
        <v>42234</v>
      </c>
      <c r="D166" s="48">
        <v>2.2000000000000002</v>
      </c>
      <c r="S166" s="106"/>
      <c r="T166" s="48"/>
    </row>
    <row r="167" spans="3:20">
      <c r="C167" s="106">
        <v>42235</v>
      </c>
      <c r="D167" s="48">
        <v>2.12</v>
      </c>
      <c r="S167" s="106"/>
      <c r="T167" s="48"/>
    </row>
    <row r="168" spans="3:20">
      <c r="C168" s="106">
        <v>42236</v>
      </c>
      <c r="D168" s="48">
        <v>2.09</v>
      </c>
      <c r="S168" s="106"/>
      <c r="T168" s="48"/>
    </row>
    <row r="169" spans="3:20">
      <c r="C169" s="106">
        <v>42237</v>
      </c>
      <c r="D169" s="48">
        <v>2.0499999999999998</v>
      </c>
      <c r="S169" s="106"/>
      <c r="T169" s="48"/>
    </row>
    <row r="170" spans="3:20">
      <c r="C170" s="106">
        <v>42240</v>
      </c>
      <c r="D170" s="48">
        <v>2.0099999999999998</v>
      </c>
      <c r="S170" s="106"/>
      <c r="T170" s="48"/>
    </row>
    <row r="171" spans="3:20">
      <c r="C171" s="106">
        <v>42241</v>
      </c>
      <c r="D171" s="48">
        <v>2.12</v>
      </c>
      <c r="S171" s="106"/>
      <c r="T171" s="48"/>
    </row>
    <row r="172" spans="3:20">
      <c r="C172" s="106">
        <v>42242</v>
      </c>
      <c r="D172" s="48">
        <v>2.1800000000000002</v>
      </c>
      <c r="S172" s="106"/>
      <c r="T172" s="48"/>
    </row>
    <row r="173" spans="3:20">
      <c r="C173" s="106">
        <v>42243</v>
      </c>
      <c r="D173" s="48">
        <v>2.1800000000000002</v>
      </c>
      <c r="S173" s="106"/>
      <c r="T173" s="48"/>
    </row>
    <row r="174" spans="3:20">
      <c r="C174" s="106">
        <v>42244</v>
      </c>
      <c r="D174" s="48">
        <v>2.19</v>
      </c>
      <c r="S174" s="106"/>
      <c r="T174" s="48"/>
    </row>
    <row r="175" spans="3:20">
      <c r="C175" s="106">
        <v>42247</v>
      </c>
      <c r="D175" s="48">
        <v>2.21</v>
      </c>
      <c r="S175" s="106"/>
      <c r="T175" s="48"/>
    </row>
    <row r="176" spans="3:20">
      <c r="C176" s="106">
        <v>42248</v>
      </c>
      <c r="D176" s="48">
        <v>2.17</v>
      </c>
      <c r="S176" s="106"/>
      <c r="T176" s="48"/>
    </row>
    <row r="177" spans="3:20">
      <c r="C177" s="106">
        <v>42249</v>
      </c>
      <c r="D177" s="48">
        <v>2.2000000000000002</v>
      </c>
      <c r="S177" s="106"/>
      <c r="T177" s="48"/>
    </row>
    <row r="178" spans="3:20">
      <c r="C178" s="106">
        <v>42250</v>
      </c>
      <c r="D178" s="48">
        <v>2.1800000000000002</v>
      </c>
      <c r="S178" s="106"/>
      <c r="T178" s="48"/>
    </row>
    <row r="179" spans="3:20">
      <c r="C179" s="106">
        <v>42251</v>
      </c>
      <c r="D179" s="48">
        <v>2.13</v>
      </c>
      <c r="S179" s="106"/>
      <c r="T179" s="48"/>
    </row>
    <row r="180" spans="3:20">
      <c r="C180" s="106">
        <v>42255</v>
      </c>
      <c r="D180" s="48">
        <v>2.2000000000000002</v>
      </c>
      <c r="S180" s="106"/>
      <c r="T180" s="48"/>
    </row>
    <row r="181" spans="3:20">
      <c r="C181" s="106">
        <v>42256</v>
      </c>
      <c r="D181" s="48">
        <v>2.21</v>
      </c>
      <c r="S181" s="106"/>
      <c r="T181" s="48"/>
    </row>
    <row r="182" spans="3:20">
      <c r="C182" s="106">
        <v>42257</v>
      </c>
      <c r="D182" s="48">
        <v>2.23</v>
      </c>
      <c r="S182" s="106"/>
      <c r="T182" s="48"/>
    </row>
    <row r="183" spans="3:20">
      <c r="C183" s="106">
        <v>42258</v>
      </c>
      <c r="D183" s="48">
        <v>2.2000000000000002</v>
      </c>
      <c r="S183" s="106"/>
      <c r="T183" s="48"/>
    </row>
    <row r="184" spans="3:20">
      <c r="C184" s="106">
        <v>42261</v>
      </c>
      <c r="D184" s="48">
        <v>2.1800000000000002</v>
      </c>
      <c r="S184" s="106"/>
      <c r="T184" s="48"/>
    </row>
    <row r="185" spans="3:20">
      <c r="C185" s="106">
        <v>42262</v>
      </c>
      <c r="D185" s="48">
        <v>2.2799999999999998</v>
      </c>
      <c r="S185" s="106"/>
      <c r="T185" s="48"/>
    </row>
    <row r="186" spans="3:20">
      <c r="C186" s="106">
        <v>42263</v>
      </c>
      <c r="D186" s="48">
        <v>2.2999999999999998</v>
      </c>
      <c r="S186" s="106"/>
      <c r="T186" s="48"/>
    </row>
    <row r="187" spans="3:20">
      <c r="C187" s="106">
        <v>42264</v>
      </c>
      <c r="D187" s="48">
        <v>2.21</v>
      </c>
      <c r="S187" s="106"/>
      <c r="T187" s="48"/>
    </row>
    <row r="188" spans="3:20">
      <c r="C188" s="106">
        <v>42265</v>
      </c>
      <c r="D188" s="48">
        <v>2.13</v>
      </c>
      <c r="S188" s="106"/>
      <c r="T188" s="48"/>
    </row>
    <row r="189" spans="3:20">
      <c r="C189" s="106">
        <v>42268</v>
      </c>
      <c r="D189" s="48">
        <v>2.2000000000000002</v>
      </c>
      <c r="S189" s="106"/>
      <c r="T189" s="48"/>
    </row>
    <row r="190" spans="3:20">
      <c r="C190" s="106">
        <v>42269</v>
      </c>
      <c r="D190" s="48">
        <v>2.14</v>
      </c>
      <c r="S190" s="106"/>
      <c r="T190" s="48"/>
    </row>
    <row r="191" spans="3:20">
      <c r="C191" s="106">
        <v>42270</v>
      </c>
      <c r="D191" s="48">
        <v>2.16</v>
      </c>
      <c r="S191" s="106"/>
      <c r="T191" s="48"/>
    </row>
    <row r="192" spans="3:20">
      <c r="C192" s="106">
        <v>42271</v>
      </c>
      <c r="D192" s="48">
        <v>2.13</v>
      </c>
      <c r="S192" s="106"/>
      <c r="T192" s="48"/>
    </row>
    <row r="193" spans="3:20">
      <c r="C193" s="106">
        <v>42272</v>
      </c>
      <c r="D193" s="48">
        <v>2.17</v>
      </c>
      <c r="S193" s="106"/>
      <c r="T193" s="48"/>
    </row>
    <row r="194" spans="3:20">
      <c r="C194" s="106">
        <v>42275</v>
      </c>
      <c r="D194" s="48">
        <v>2.1</v>
      </c>
      <c r="S194" s="106"/>
      <c r="T194" s="48"/>
    </row>
    <row r="195" spans="3:20">
      <c r="C195" s="106">
        <v>42276</v>
      </c>
      <c r="D195" s="48">
        <v>2.0499999999999998</v>
      </c>
      <c r="S195" s="106"/>
      <c r="T195" s="48"/>
    </row>
    <row r="196" spans="3:20">
      <c r="C196" s="106">
        <v>42277</v>
      </c>
      <c r="D196" s="48">
        <v>2.06</v>
      </c>
      <c r="S196" s="106"/>
      <c r="T196" s="48"/>
    </row>
    <row r="197" spans="3:20">
      <c r="C197" s="106">
        <v>42278</v>
      </c>
      <c r="D197" s="48">
        <v>2.0499999999999998</v>
      </c>
      <c r="S197" s="106"/>
      <c r="T197" s="48"/>
    </row>
    <row r="198" spans="3:20">
      <c r="C198" s="106">
        <v>42279</v>
      </c>
      <c r="D198" s="48">
        <v>1.99</v>
      </c>
      <c r="S198" s="106"/>
      <c r="T198" s="48"/>
    </row>
    <row r="199" spans="3:20">
      <c r="C199" s="106">
        <v>42282</v>
      </c>
      <c r="D199" s="48">
        <v>2.0699999999999998</v>
      </c>
      <c r="S199" s="106"/>
      <c r="T199" s="48"/>
    </row>
    <row r="200" spans="3:20">
      <c r="C200" s="106">
        <v>42283</v>
      </c>
      <c r="D200" s="48">
        <v>2.0499999999999998</v>
      </c>
      <c r="S200" s="106"/>
      <c r="T200" s="48"/>
    </row>
    <row r="201" spans="3:20">
      <c r="C201" s="106">
        <v>42284</v>
      </c>
      <c r="D201" s="48">
        <v>2.08</v>
      </c>
      <c r="S201" s="106"/>
      <c r="T201" s="48"/>
    </row>
    <row r="202" spans="3:20">
      <c r="C202" s="106">
        <v>42285</v>
      </c>
      <c r="D202" s="48">
        <v>2.12</v>
      </c>
      <c r="S202" s="106"/>
      <c r="T202" s="48"/>
    </row>
    <row r="203" spans="3:20">
      <c r="C203" s="106">
        <v>42286</v>
      </c>
      <c r="D203" s="48">
        <v>2.12</v>
      </c>
      <c r="S203" s="106"/>
      <c r="T203" s="48"/>
    </row>
    <row r="204" spans="3:20">
      <c r="C204" s="106">
        <v>42290</v>
      </c>
      <c r="D204" s="48">
        <v>2.06</v>
      </c>
      <c r="S204" s="106"/>
      <c r="T204" s="48"/>
    </row>
    <row r="205" spans="3:20">
      <c r="C205" s="106">
        <v>42291</v>
      </c>
      <c r="D205" s="48">
        <v>1.99</v>
      </c>
      <c r="S205" s="106"/>
      <c r="T205" s="48"/>
    </row>
    <row r="206" spans="3:20">
      <c r="C206" s="106">
        <v>42292</v>
      </c>
      <c r="D206" s="48">
        <v>2.04</v>
      </c>
      <c r="S206" s="106"/>
      <c r="T206" s="48"/>
    </row>
    <row r="207" spans="3:20">
      <c r="C207" s="106">
        <v>42293</v>
      </c>
      <c r="D207" s="48">
        <v>2.04</v>
      </c>
      <c r="S207" s="106"/>
      <c r="T207" s="48"/>
    </row>
    <row r="208" spans="3:20">
      <c r="C208" s="106">
        <v>42296</v>
      </c>
      <c r="D208" s="48">
        <v>2.04</v>
      </c>
      <c r="S208" s="106"/>
      <c r="T208" s="48"/>
    </row>
    <row r="209" spans="3:20">
      <c r="C209" s="106">
        <v>42297</v>
      </c>
      <c r="D209" s="48">
        <v>2.08</v>
      </c>
      <c r="S209" s="106"/>
      <c r="T209" s="48"/>
    </row>
    <row r="210" spans="3:20">
      <c r="C210" s="106">
        <v>42298</v>
      </c>
      <c r="D210" s="48">
        <v>2.04</v>
      </c>
      <c r="S210" s="106"/>
      <c r="T210" s="48"/>
    </row>
    <row r="211" spans="3:20">
      <c r="C211" s="106">
        <v>42299</v>
      </c>
      <c r="D211" s="48">
        <v>2.04</v>
      </c>
      <c r="S211" s="106"/>
      <c r="T211" s="48"/>
    </row>
    <row r="212" spans="3:20">
      <c r="C212" s="106">
        <v>42300</v>
      </c>
      <c r="D212" s="48">
        <v>2.09</v>
      </c>
      <c r="S212" s="106"/>
      <c r="T212" s="48"/>
    </row>
    <row r="213" spans="3:20">
      <c r="C213" s="106">
        <v>42303</v>
      </c>
      <c r="D213" s="48">
        <v>2.0699999999999998</v>
      </c>
      <c r="S213" s="106"/>
      <c r="T213" s="48"/>
    </row>
    <row r="214" spans="3:20">
      <c r="C214" s="106">
        <v>42304</v>
      </c>
      <c r="D214" s="48">
        <v>2.0499999999999998</v>
      </c>
      <c r="S214" s="106"/>
      <c r="T214" s="48"/>
    </row>
    <row r="215" spans="3:20">
      <c r="C215" s="106">
        <v>42305</v>
      </c>
      <c r="D215" s="48">
        <v>2.1</v>
      </c>
      <c r="S215" s="106"/>
      <c r="T215" s="48"/>
    </row>
    <row r="216" spans="3:20">
      <c r="C216" s="106">
        <v>42306</v>
      </c>
      <c r="D216" s="48">
        <v>2.19</v>
      </c>
      <c r="S216" s="106"/>
      <c r="T216" s="48"/>
    </row>
    <row r="217" spans="3:20">
      <c r="C217" s="106">
        <v>42307</v>
      </c>
      <c r="D217" s="48">
        <v>2.16</v>
      </c>
      <c r="S217" s="106"/>
      <c r="T217" s="48"/>
    </row>
    <row r="218" spans="3:20">
      <c r="C218" s="106">
        <v>42310</v>
      </c>
      <c r="D218" s="48">
        <v>2.2000000000000002</v>
      </c>
      <c r="S218" s="106"/>
      <c r="T218" s="48"/>
    </row>
    <row r="219" spans="3:20">
      <c r="C219" s="106">
        <v>42311</v>
      </c>
      <c r="D219" s="48">
        <v>2.23</v>
      </c>
      <c r="S219" s="106"/>
      <c r="T219" s="48"/>
    </row>
    <row r="220" spans="3:20">
      <c r="C220" s="106">
        <v>42312</v>
      </c>
      <c r="D220" s="48">
        <v>2.25</v>
      </c>
      <c r="S220" s="106"/>
      <c r="T220" s="48"/>
    </row>
    <row r="221" spans="3:20">
      <c r="C221" s="106">
        <v>42313</v>
      </c>
      <c r="D221" s="48">
        <v>2.2599999999999998</v>
      </c>
      <c r="S221" s="106"/>
      <c r="T221" s="48"/>
    </row>
    <row r="222" spans="3:20">
      <c r="C222" s="106">
        <v>42314</v>
      </c>
      <c r="D222" s="48">
        <v>2.34</v>
      </c>
      <c r="S222" s="106"/>
      <c r="T222" s="48"/>
    </row>
    <row r="223" spans="3:20">
      <c r="C223" s="106">
        <v>42317</v>
      </c>
      <c r="D223" s="48">
        <v>2.36</v>
      </c>
      <c r="S223" s="106"/>
      <c r="T223" s="48"/>
    </row>
    <row r="224" spans="3:20">
      <c r="C224" s="106">
        <v>42318</v>
      </c>
      <c r="D224" s="48">
        <v>2.3199999999999998</v>
      </c>
      <c r="S224" s="106"/>
      <c r="T224" s="48"/>
    </row>
    <row r="225" spans="3:20">
      <c r="C225" s="106">
        <v>42320</v>
      </c>
      <c r="D225" s="48">
        <v>2.3199999999999998</v>
      </c>
      <c r="S225" s="106"/>
      <c r="T225" s="48"/>
    </row>
    <row r="226" spans="3:20">
      <c r="C226" s="106">
        <v>42321</v>
      </c>
      <c r="D226" s="48">
        <v>2.2799999999999998</v>
      </c>
      <c r="S226" s="106"/>
      <c r="T226" s="48"/>
    </row>
    <row r="227" spans="3:20">
      <c r="C227" s="106">
        <v>42324</v>
      </c>
      <c r="D227" s="48">
        <v>2.27</v>
      </c>
      <c r="S227" s="106"/>
      <c r="T227" s="48"/>
    </row>
    <row r="228" spans="3:20">
      <c r="C228" s="106">
        <v>42325</v>
      </c>
      <c r="D228" s="48">
        <v>2.25</v>
      </c>
      <c r="S228" s="106"/>
      <c r="T228" s="48"/>
    </row>
    <row r="229" spans="3:20">
      <c r="C229" s="106">
        <v>42326</v>
      </c>
      <c r="D229" s="48">
        <v>2.27</v>
      </c>
      <c r="S229" s="106"/>
      <c r="T229" s="48"/>
    </row>
    <row r="230" spans="3:20">
      <c r="C230" s="106">
        <v>42327</v>
      </c>
      <c r="D230" s="48">
        <v>2.2400000000000002</v>
      </c>
      <c r="S230" s="106"/>
      <c r="T230" s="48"/>
    </row>
    <row r="231" spans="3:20">
      <c r="C231" s="106">
        <v>42328</v>
      </c>
      <c r="D231" s="48">
        <v>2.2599999999999998</v>
      </c>
      <c r="S231" s="106"/>
      <c r="T231" s="48"/>
    </row>
    <row r="232" spans="3:20">
      <c r="C232" s="106">
        <v>42331</v>
      </c>
      <c r="D232" s="48">
        <v>2.25</v>
      </c>
      <c r="S232" s="106"/>
      <c r="T232" s="48"/>
    </row>
    <row r="233" spans="3:20">
      <c r="C233" s="106">
        <v>42332</v>
      </c>
      <c r="D233" s="48">
        <v>2.2400000000000002</v>
      </c>
      <c r="S233" s="106"/>
      <c r="T233" s="48"/>
    </row>
    <row r="234" spans="3:20">
      <c r="C234" s="106">
        <v>42333</v>
      </c>
      <c r="D234" s="48">
        <v>2.23</v>
      </c>
      <c r="S234" s="106"/>
      <c r="T234" s="48"/>
    </row>
    <row r="235" spans="3:20">
      <c r="C235" s="106">
        <v>42335</v>
      </c>
      <c r="D235" s="48">
        <v>2.2200000000000002</v>
      </c>
      <c r="S235" s="106"/>
      <c r="T235" s="48"/>
    </row>
    <row r="236" spans="3:20">
      <c r="C236" s="106">
        <v>42338</v>
      </c>
      <c r="D236" s="48">
        <v>2.21</v>
      </c>
      <c r="S236" s="106"/>
      <c r="T236" s="48"/>
    </row>
    <row r="237" spans="3:20">
      <c r="C237" s="106">
        <v>42339</v>
      </c>
      <c r="D237" s="48">
        <v>2.15</v>
      </c>
      <c r="S237" s="106"/>
      <c r="T237" s="48"/>
    </row>
    <row r="238" spans="3:20">
      <c r="C238" s="106">
        <v>42340</v>
      </c>
      <c r="D238" s="48">
        <v>2.1800000000000002</v>
      </c>
      <c r="S238" s="106"/>
      <c r="T238" s="48"/>
    </row>
    <row r="239" spans="3:20">
      <c r="C239" s="106">
        <v>42341</v>
      </c>
      <c r="D239" s="48">
        <v>2.33</v>
      </c>
      <c r="S239" s="106"/>
      <c r="T239" s="48"/>
    </row>
    <row r="240" spans="3:20">
      <c r="C240" s="106">
        <v>42342</v>
      </c>
      <c r="D240" s="48">
        <v>2.2799999999999998</v>
      </c>
      <c r="S240" s="106"/>
      <c r="T240" s="48"/>
    </row>
    <row r="241" spans="3:20">
      <c r="C241" s="106">
        <v>42345</v>
      </c>
      <c r="D241" s="48">
        <v>2.23</v>
      </c>
      <c r="S241" s="106"/>
      <c r="T241" s="48"/>
    </row>
    <row r="242" spans="3:20">
      <c r="C242" s="106">
        <v>42346</v>
      </c>
      <c r="D242" s="48">
        <v>2.2400000000000002</v>
      </c>
      <c r="S242" s="106"/>
      <c r="T242" s="48"/>
    </row>
    <row r="243" spans="3:20">
      <c r="C243" s="106">
        <v>42347</v>
      </c>
      <c r="D243" s="48">
        <v>2.2200000000000002</v>
      </c>
      <c r="S243" s="106"/>
      <c r="T243" s="48"/>
    </row>
    <row r="244" spans="3:20">
      <c r="C244" s="106">
        <v>42348</v>
      </c>
      <c r="D244" s="48">
        <v>2.2400000000000002</v>
      </c>
      <c r="S244" s="106"/>
      <c r="T244" s="48"/>
    </row>
    <row r="245" spans="3:20">
      <c r="C245" s="106">
        <v>42349</v>
      </c>
      <c r="D245" s="48">
        <v>2.13</v>
      </c>
      <c r="S245" s="106"/>
      <c r="T245" s="48"/>
    </row>
    <row r="246" spans="3:20">
      <c r="C246" s="106">
        <v>42352</v>
      </c>
      <c r="D246" s="48">
        <v>2.23</v>
      </c>
      <c r="S246" s="106"/>
      <c r="T246" s="48"/>
    </row>
    <row r="247" spans="3:20">
      <c r="C247" s="106">
        <v>42353</v>
      </c>
      <c r="D247" s="48">
        <v>2.2799999999999998</v>
      </c>
      <c r="S247" s="106"/>
      <c r="T247" s="48"/>
    </row>
    <row r="248" spans="3:20">
      <c r="C248" s="106">
        <v>42354</v>
      </c>
      <c r="D248" s="48">
        <v>2.2999999999999998</v>
      </c>
      <c r="S248" s="106"/>
      <c r="T248" s="48"/>
    </row>
    <row r="249" spans="3:20">
      <c r="C249" s="106">
        <v>42355</v>
      </c>
      <c r="D249" s="48">
        <v>2.2400000000000002</v>
      </c>
      <c r="S249" s="106"/>
      <c r="T249" s="48"/>
    </row>
    <row r="250" spans="3:20">
      <c r="C250" s="106">
        <v>42356</v>
      </c>
      <c r="D250" s="48">
        <v>2.19</v>
      </c>
      <c r="S250" s="106"/>
      <c r="T250" s="48"/>
    </row>
    <row r="251" spans="3:20">
      <c r="C251" s="106">
        <v>42359</v>
      </c>
      <c r="D251" s="48">
        <v>2.2000000000000002</v>
      </c>
      <c r="S251" s="106"/>
      <c r="T251" s="48"/>
    </row>
    <row r="252" spans="3:20">
      <c r="C252" s="106">
        <v>42360</v>
      </c>
      <c r="D252" s="48">
        <v>2.2400000000000002</v>
      </c>
      <c r="S252" s="106"/>
      <c r="T252" s="48"/>
    </row>
    <row r="253" spans="3:20">
      <c r="C253" s="106">
        <v>42361</v>
      </c>
      <c r="D253" s="48">
        <v>2.27</v>
      </c>
      <c r="S253" s="106"/>
      <c r="T253" s="48"/>
    </row>
    <row r="254" spans="3:20">
      <c r="C254" s="106">
        <v>42362</v>
      </c>
      <c r="D254" s="48">
        <v>2.25</v>
      </c>
      <c r="S254" s="106"/>
      <c r="T254" s="48"/>
    </row>
    <row r="255" spans="3:20">
      <c r="C255" s="106">
        <v>42366</v>
      </c>
      <c r="D255" s="48">
        <v>2.2400000000000002</v>
      </c>
      <c r="S255" s="106"/>
      <c r="T255" s="48"/>
    </row>
    <row r="256" spans="3:20">
      <c r="C256" s="106">
        <v>42367</v>
      </c>
      <c r="D256" s="48">
        <v>2.3199999999999998</v>
      </c>
      <c r="S256" s="106"/>
      <c r="T256" s="48"/>
    </row>
    <row r="257" spans="3:20">
      <c r="C257" s="106">
        <v>42368</v>
      </c>
      <c r="D257" s="48">
        <v>2.31</v>
      </c>
      <c r="S257" s="106"/>
      <c r="T257" s="48"/>
    </row>
    <row r="258" spans="3:20">
      <c r="C258" s="106">
        <v>42369</v>
      </c>
      <c r="D258" s="48">
        <v>2.27</v>
      </c>
      <c r="S258" s="106"/>
      <c r="T258" s="48"/>
    </row>
    <row r="259" spans="3:20">
      <c r="C259" s="106">
        <v>42373</v>
      </c>
      <c r="D259" s="48">
        <v>2.2400000000000002</v>
      </c>
      <c r="S259" s="106"/>
      <c r="T259" s="48"/>
    </row>
    <row r="260" spans="3:20">
      <c r="C260" s="106">
        <v>42374</v>
      </c>
      <c r="D260" s="48">
        <v>2.25</v>
      </c>
      <c r="S260" s="106"/>
      <c r="T260" s="48"/>
    </row>
    <row r="261" spans="3:20">
      <c r="C261" s="106">
        <v>42375</v>
      </c>
      <c r="D261" s="48">
        <v>2.1800000000000002</v>
      </c>
      <c r="S261" s="106"/>
      <c r="T261" s="48"/>
    </row>
    <row r="262" spans="3:20">
      <c r="C262" s="106">
        <v>42376</v>
      </c>
      <c r="D262" s="48">
        <v>2.16</v>
      </c>
      <c r="S262" s="106"/>
      <c r="T262" s="48"/>
    </row>
    <row r="263" spans="3:20">
      <c r="C263" s="106">
        <v>42377</v>
      </c>
      <c r="D263" s="48">
        <v>2.13</v>
      </c>
      <c r="S263" s="106"/>
      <c r="T263" s="48"/>
    </row>
    <row r="264" spans="3:20">
      <c r="C264" s="106">
        <v>42380</v>
      </c>
      <c r="D264" s="48">
        <v>2.17</v>
      </c>
      <c r="S264" s="106"/>
      <c r="T264" s="48"/>
    </row>
    <row r="265" spans="3:20">
      <c r="C265" s="106">
        <v>42381</v>
      </c>
      <c r="D265" s="48">
        <v>2.12</v>
      </c>
      <c r="S265" s="106"/>
      <c r="T265" s="48"/>
    </row>
    <row r="266" spans="3:20">
      <c r="C266" s="106">
        <v>42382</v>
      </c>
      <c r="D266" s="48">
        <v>2.08</v>
      </c>
      <c r="S266" s="106"/>
      <c r="T266" s="48"/>
    </row>
    <row r="267" spans="3:20">
      <c r="C267" s="106">
        <v>42383</v>
      </c>
      <c r="D267" s="48">
        <v>2.1</v>
      </c>
      <c r="S267" s="106"/>
      <c r="T267" s="48"/>
    </row>
    <row r="268" spans="3:20">
      <c r="C268" s="106">
        <v>42384</v>
      </c>
      <c r="D268" s="48">
        <v>2.0299999999999998</v>
      </c>
      <c r="S268" s="106"/>
      <c r="T268" s="48"/>
    </row>
    <row r="269" spans="3:20">
      <c r="C269" s="106">
        <v>42388</v>
      </c>
      <c r="D269" s="48">
        <v>2.06</v>
      </c>
      <c r="S269" s="106"/>
      <c r="T269" s="48"/>
    </row>
    <row r="270" spans="3:20">
      <c r="C270" s="106">
        <v>42389</v>
      </c>
      <c r="D270" s="48">
        <v>2.0099999999999998</v>
      </c>
      <c r="S270" s="106"/>
      <c r="T270" s="48"/>
    </row>
    <row r="271" spans="3:20">
      <c r="C271" s="106">
        <v>42390</v>
      </c>
      <c r="D271" s="48">
        <v>2.02</v>
      </c>
      <c r="S271" s="106"/>
      <c r="T271" s="48"/>
    </row>
    <row r="272" spans="3:20">
      <c r="C272" s="106">
        <v>42391</v>
      </c>
      <c r="D272" s="48">
        <v>2.0699999999999998</v>
      </c>
      <c r="S272" s="106"/>
      <c r="T272" s="48"/>
    </row>
    <row r="273" spans="3:20">
      <c r="C273" s="106">
        <v>42394</v>
      </c>
      <c r="D273" s="48">
        <v>2.0299999999999998</v>
      </c>
      <c r="S273" s="106"/>
      <c r="T273" s="48"/>
    </row>
    <row r="274" spans="3:20">
      <c r="C274" s="106">
        <v>42395</v>
      </c>
      <c r="D274" s="48">
        <v>2.0099999999999998</v>
      </c>
      <c r="S274" s="106"/>
      <c r="T274" s="48"/>
    </row>
    <row r="275" spans="3:20">
      <c r="C275" s="106">
        <v>42396</v>
      </c>
      <c r="D275" s="48">
        <v>2.02</v>
      </c>
      <c r="S275" s="106"/>
      <c r="T275" s="48"/>
    </row>
    <row r="276" spans="3:20">
      <c r="C276" s="106">
        <v>42397</v>
      </c>
      <c r="D276" s="48">
        <v>2</v>
      </c>
      <c r="S276" s="106"/>
      <c r="T276" s="48"/>
    </row>
    <row r="277" spans="3:20">
      <c r="C277" s="106">
        <v>42398</v>
      </c>
      <c r="D277" s="48">
        <v>1.94</v>
      </c>
      <c r="S277" s="106"/>
      <c r="T277" s="48"/>
    </row>
    <row r="278" spans="3:20">
      <c r="C278" s="106">
        <v>42401</v>
      </c>
      <c r="D278" s="48">
        <v>1.97</v>
      </c>
      <c r="S278" s="106"/>
      <c r="T278" s="48"/>
    </row>
    <row r="279" spans="3:20">
      <c r="C279" s="106">
        <v>42402</v>
      </c>
      <c r="D279" s="48">
        <v>1.87</v>
      </c>
      <c r="S279" s="106"/>
      <c r="T279" s="48"/>
    </row>
    <row r="280" spans="3:20">
      <c r="C280" s="106">
        <v>42403</v>
      </c>
      <c r="D280" s="48">
        <v>1.88</v>
      </c>
      <c r="S280" s="106"/>
      <c r="T280" s="48"/>
    </row>
    <row r="281" spans="3:20">
      <c r="C281" s="106">
        <v>42404</v>
      </c>
      <c r="D281" s="48">
        <v>1.87</v>
      </c>
      <c r="S281" s="106"/>
      <c r="T281" s="48"/>
    </row>
    <row r="282" spans="3:20">
      <c r="C282" s="106">
        <v>42405</v>
      </c>
      <c r="D282" s="48">
        <v>1.86</v>
      </c>
      <c r="S282" s="106"/>
      <c r="T282" s="48"/>
    </row>
    <row r="283" spans="3:20">
      <c r="C283" s="106">
        <v>42408</v>
      </c>
      <c r="D283" s="48">
        <v>1.75</v>
      </c>
      <c r="S283" s="106"/>
      <c r="T283" s="48"/>
    </row>
    <row r="284" spans="3:20">
      <c r="C284" s="106">
        <v>42409</v>
      </c>
      <c r="D284" s="48">
        <v>1.74</v>
      </c>
      <c r="S284" s="106"/>
      <c r="T284" s="48"/>
    </row>
    <row r="285" spans="3:20">
      <c r="C285" s="106">
        <v>42410</v>
      </c>
      <c r="D285" s="48">
        <v>1.71</v>
      </c>
      <c r="S285" s="106"/>
      <c r="T285" s="48"/>
    </row>
    <row r="286" spans="3:20">
      <c r="C286" s="106">
        <v>42411</v>
      </c>
      <c r="D286" s="48">
        <v>1.63</v>
      </c>
      <c r="S286" s="106"/>
      <c r="T286" s="48"/>
    </row>
    <row r="287" spans="3:20">
      <c r="C287" s="106">
        <v>42412</v>
      </c>
      <c r="D287" s="48">
        <v>1.74</v>
      </c>
      <c r="S287" s="106"/>
      <c r="T287" s="48"/>
    </row>
    <row r="288" spans="3:20">
      <c r="C288" s="106">
        <v>42416</v>
      </c>
      <c r="D288" s="48">
        <v>1.78</v>
      </c>
      <c r="S288" s="106"/>
      <c r="T288" s="48"/>
    </row>
    <row r="289" spans="3:20">
      <c r="C289" s="106">
        <v>42417</v>
      </c>
      <c r="D289" s="48">
        <v>1.81</v>
      </c>
      <c r="S289" s="106"/>
      <c r="T289" s="48"/>
    </row>
    <row r="290" spans="3:20">
      <c r="C290" s="106">
        <v>42418</v>
      </c>
      <c r="D290" s="48">
        <v>1.75</v>
      </c>
      <c r="S290" s="106"/>
      <c r="T290" s="48"/>
    </row>
    <row r="291" spans="3:20">
      <c r="C291" s="106">
        <v>42419</v>
      </c>
      <c r="D291" s="48">
        <v>1.76</v>
      </c>
      <c r="S291" s="106"/>
      <c r="T291" s="48"/>
    </row>
    <row r="292" spans="3:20">
      <c r="C292" s="106">
        <v>42422</v>
      </c>
      <c r="D292" s="48">
        <v>1.77</v>
      </c>
      <c r="S292" s="106"/>
      <c r="T292" s="48"/>
    </row>
    <row r="293" spans="3:20">
      <c r="C293" s="106">
        <v>42423</v>
      </c>
      <c r="D293" s="48">
        <v>1.74</v>
      </c>
      <c r="S293" s="106"/>
      <c r="T293" s="48"/>
    </row>
    <row r="294" spans="3:20">
      <c r="C294" s="106">
        <v>42424</v>
      </c>
      <c r="D294" s="48">
        <v>1.75</v>
      </c>
      <c r="S294" s="106"/>
      <c r="T294" s="48"/>
    </row>
    <row r="295" spans="3:20">
      <c r="C295" s="106">
        <v>42425</v>
      </c>
      <c r="D295" s="48">
        <v>1.71</v>
      </c>
      <c r="S295" s="106"/>
      <c r="T295" s="48"/>
    </row>
    <row r="296" spans="3:20">
      <c r="C296" s="106">
        <v>42426</v>
      </c>
      <c r="D296" s="48">
        <v>1.76</v>
      </c>
      <c r="S296" s="106"/>
      <c r="T296" s="48"/>
    </row>
    <row r="297" spans="3:20">
      <c r="C297" s="106">
        <v>42429</v>
      </c>
      <c r="D297" s="48">
        <v>1.74</v>
      </c>
      <c r="S297" s="106"/>
      <c r="T297" s="48"/>
    </row>
    <row r="298" spans="3:20">
      <c r="C298" s="106">
        <v>42430</v>
      </c>
      <c r="D298" s="48">
        <v>1.83</v>
      </c>
      <c r="S298" s="106"/>
      <c r="T298" s="48"/>
    </row>
    <row r="299" spans="3:20">
      <c r="C299" s="106">
        <v>42431</v>
      </c>
      <c r="D299" s="48">
        <v>1.84</v>
      </c>
      <c r="S299" s="106"/>
      <c r="T299" s="48"/>
    </row>
    <row r="300" spans="3:20">
      <c r="C300" s="106">
        <v>42432</v>
      </c>
      <c r="D300" s="48">
        <v>1.83</v>
      </c>
      <c r="S300" s="106"/>
      <c r="T300" s="48"/>
    </row>
    <row r="301" spans="3:20">
      <c r="C301" s="106">
        <v>42433</v>
      </c>
      <c r="D301" s="48">
        <v>1.88</v>
      </c>
      <c r="S301" s="106"/>
      <c r="T301" s="48"/>
    </row>
    <row r="302" spans="3:20">
      <c r="C302" s="106">
        <v>42436</v>
      </c>
      <c r="D302" s="48">
        <v>1.91</v>
      </c>
      <c r="S302" s="106"/>
      <c r="T302" s="48"/>
    </row>
    <row r="303" spans="3:20">
      <c r="C303" s="106">
        <v>42437</v>
      </c>
      <c r="D303" s="48">
        <v>1.83</v>
      </c>
      <c r="S303" s="106"/>
      <c r="T303" s="48"/>
    </row>
    <row r="304" spans="3:20">
      <c r="C304" s="106">
        <v>42438</v>
      </c>
      <c r="D304" s="48">
        <v>1.9</v>
      </c>
      <c r="S304" s="106"/>
      <c r="T304" s="48"/>
    </row>
    <row r="305" spans="3:20">
      <c r="C305" s="106">
        <v>42439</v>
      </c>
      <c r="D305" s="48">
        <v>1.93</v>
      </c>
      <c r="S305" s="106"/>
      <c r="T305" s="48"/>
    </row>
    <row r="306" spans="3:20">
      <c r="C306" s="106">
        <v>42440</v>
      </c>
      <c r="D306" s="48">
        <v>1.98</v>
      </c>
      <c r="S306" s="106"/>
      <c r="T306" s="48"/>
    </row>
    <row r="307" spans="3:20">
      <c r="C307" s="106">
        <v>42443</v>
      </c>
      <c r="D307" s="48">
        <v>1.97</v>
      </c>
      <c r="S307" s="106"/>
      <c r="T307" s="48"/>
    </row>
    <row r="308" spans="3:20">
      <c r="C308" s="106">
        <v>42444</v>
      </c>
      <c r="D308" s="48">
        <v>1.97</v>
      </c>
      <c r="S308" s="106"/>
      <c r="T308" s="48"/>
    </row>
    <row r="309" spans="3:20">
      <c r="C309" s="106">
        <v>42445</v>
      </c>
      <c r="D309" s="48">
        <v>1.94</v>
      </c>
      <c r="S309" s="106"/>
      <c r="T309" s="48"/>
    </row>
    <row r="310" spans="3:20">
      <c r="C310" s="106">
        <v>42446</v>
      </c>
      <c r="D310" s="48">
        <v>1.91</v>
      </c>
      <c r="S310" s="106"/>
      <c r="T310" s="48"/>
    </row>
    <row r="311" spans="3:20">
      <c r="C311" s="106">
        <v>42447</v>
      </c>
      <c r="D311" s="48">
        <v>1.88</v>
      </c>
      <c r="S311" s="106"/>
      <c r="T311" s="48"/>
    </row>
    <row r="312" spans="3:20">
      <c r="C312" s="106">
        <v>42450</v>
      </c>
      <c r="D312" s="48">
        <v>1.92</v>
      </c>
      <c r="S312" s="106"/>
      <c r="T312" s="48"/>
    </row>
    <row r="313" spans="3:20">
      <c r="C313" s="106">
        <v>42451</v>
      </c>
      <c r="D313" s="48">
        <v>1.94</v>
      </c>
      <c r="S313" s="106"/>
      <c r="T313" s="48"/>
    </row>
    <row r="314" spans="3:20">
      <c r="C314" s="106">
        <v>42452</v>
      </c>
      <c r="D314" s="48">
        <v>1.88</v>
      </c>
      <c r="S314" s="106"/>
      <c r="T314" s="48"/>
    </row>
    <row r="315" spans="3:20">
      <c r="C315" s="106">
        <v>42453</v>
      </c>
      <c r="D315" s="48">
        <v>1.91</v>
      </c>
      <c r="S315" s="106"/>
      <c r="T315" s="48"/>
    </row>
    <row r="316" spans="3:20">
      <c r="C316" s="106">
        <v>42457</v>
      </c>
      <c r="D316" s="48">
        <v>1.89</v>
      </c>
      <c r="S316" s="106"/>
      <c r="T316" s="48"/>
    </row>
    <row r="317" spans="3:20">
      <c r="C317" s="106">
        <v>42458</v>
      </c>
      <c r="D317" s="48">
        <v>1.81</v>
      </c>
      <c r="S317" s="106"/>
      <c r="T317" s="48"/>
    </row>
    <row r="318" spans="3:20">
      <c r="C318" s="106">
        <v>42459</v>
      </c>
      <c r="D318" s="48">
        <v>1.83</v>
      </c>
      <c r="S318" s="106"/>
      <c r="T318" s="48"/>
    </row>
    <row r="319" spans="3:20">
      <c r="C319" s="106">
        <v>42460</v>
      </c>
      <c r="D319" s="48">
        <v>1.78</v>
      </c>
      <c r="S319" s="106"/>
      <c r="T319" s="48"/>
    </row>
    <row r="320" spans="3:20">
      <c r="C320" s="106">
        <v>42461</v>
      </c>
      <c r="D320" s="48">
        <v>1.79</v>
      </c>
      <c r="S320" s="106"/>
      <c r="T320" s="48"/>
    </row>
    <row r="321" spans="3:20">
      <c r="C321" s="106">
        <v>42464</v>
      </c>
      <c r="D321" s="48">
        <v>1.78</v>
      </c>
      <c r="S321" s="106"/>
      <c r="T321" s="48"/>
    </row>
    <row r="322" spans="3:20">
      <c r="C322" s="106">
        <v>42465</v>
      </c>
      <c r="D322" s="48">
        <v>1.73</v>
      </c>
      <c r="S322" s="106"/>
      <c r="T322" s="48"/>
    </row>
    <row r="323" spans="3:20">
      <c r="C323" s="106">
        <v>42466</v>
      </c>
      <c r="D323" s="48">
        <v>1.76</v>
      </c>
      <c r="S323" s="106"/>
      <c r="T323" s="48"/>
    </row>
    <row r="324" spans="3:20">
      <c r="C324" s="106">
        <v>42467</v>
      </c>
      <c r="D324" s="48">
        <v>1.7</v>
      </c>
      <c r="S324" s="106"/>
      <c r="T324" s="48"/>
    </row>
    <row r="325" spans="3:20">
      <c r="C325" s="106">
        <v>42468</v>
      </c>
      <c r="D325" s="48">
        <v>1.72</v>
      </c>
      <c r="S325" s="106"/>
      <c r="T325" s="48"/>
    </row>
    <row r="326" spans="3:20">
      <c r="C326" s="106">
        <v>42471</v>
      </c>
      <c r="D326" s="48">
        <v>1.73</v>
      </c>
      <c r="S326" s="106"/>
      <c r="T326" s="48"/>
    </row>
    <row r="327" spans="3:20">
      <c r="C327" s="106">
        <v>42472</v>
      </c>
      <c r="D327" s="48">
        <v>1.79</v>
      </c>
      <c r="S327" s="106"/>
      <c r="T327" s="48"/>
    </row>
    <row r="328" spans="3:20">
      <c r="C328" s="106">
        <v>42473</v>
      </c>
      <c r="D328" s="48">
        <v>1.77</v>
      </c>
      <c r="S328" s="106"/>
      <c r="T328" s="48"/>
    </row>
    <row r="329" spans="3:20">
      <c r="C329" s="106">
        <v>42474</v>
      </c>
      <c r="D329" s="48">
        <v>1.8</v>
      </c>
      <c r="S329" s="106"/>
      <c r="T329" s="48"/>
    </row>
    <row r="330" spans="3:20">
      <c r="C330" s="106">
        <v>42475</v>
      </c>
      <c r="D330" s="48">
        <v>1.76</v>
      </c>
      <c r="S330" s="106"/>
      <c r="T330" s="48"/>
    </row>
    <row r="331" spans="3:20">
      <c r="C331" s="106">
        <v>42478</v>
      </c>
      <c r="D331" s="48">
        <v>1.78</v>
      </c>
      <c r="S331" s="106"/>
      <c r="T331" s="48"/>
    </row>
    <row r="332" spans="3:20">
      <c r="C332" s="106">
        <v>42479</v>
      </c>
      <c r="D332" s="48">
        <v>1.79</v>
      </c>
      <c r="S332" s="106"/>
      <c r="T332" s="48"/>
    </row>
    <row r="333" spans="3:20">
      <c r="C333" s="106">
        <v>42480</v>
      </c>
      <c r="D333" s="48">
        <v>1.85</v>
      </c>
      <c r="S333" s="106"/>
      <c r="T333" s="48"/>
    </row>
    <row r="334" spans="3:20">
      <c r="C334" s="106">
        <v>42481</v>
      </c>
      <c r="D334" s="48">
        <v>1.88</v>
      </c>
      <c r="S334" s="106"/>
      <c r="T334" s="48"/>
    </row>
    <row r="335" spans="3:20">
      <c r="C335" s="106">
        <v>42482</v>
      </c>
      <c r="D335" s="48">
        <v>1.89</v>
      </c>
      <c r="S335" s="106"/>
      <c r="T335" s="48"/>
    </row>
    <row r="336" spans="3:20">
      <c r="C336" s="106">
        <v>42485</v>
      </c>
      <c r="D336" s="48">
        <v>1.91</v>
      </c>
      <c r="S336" s="106"/>
      <c r="T336" s="48"/>
    </row>
    <row r="337" spans="3:20">
      <c r="C337" s="106">
        <v>42486</v>
      </c>
      <c r="D337" s="48">
        <v>1.94</v>
      </c>
      <c r="S337" s="106"/>
      <c r="T337" s="48"/>
    </row>
    <row r="338" spans="3:20">
      <c r="C338" s="106">
        <v>42487</v>
      </c>
      <c r="D338" s="48">
        <v>1.87</v>
      </c>
      <c r="S338" s="106"/>
      <c r="T338" s="48"/>
    </row>
    <row r="339" spans="3:20">
      <c r="C339" s="106">
        <v>42488</v>
      </c>
      <c r="D339" s="48">
        <v>1.84</v>
      </c>
      <c r="S339" s="106"/>
      <c r="T339" s="48"/>
    </row>
    <row r="340" spans="3:20">
      <c r="C340" s="106">
        <v>42489</v>
      </c>
      <c r="D340" s="48">
        <v>1.83</v>
      </c>
      <c r="S340" s="106"/>
      <c r="T340" s="48"/>
    </row>
    <row r="341" spans="3:20">
      <c r="C341" s="106">
        <v>42492</v>
      </c>
      <c r="D341" s="48">
        <v>1.88</v>
      </c>
      <c r="S341" s="106"/>
      <c r="T341" s="48"/>
    </row>
    <row r="342" spans="3:20">
      <c r="C342" s="106">
        <v>42493</v>
      </c>
      <c r="D342" s="48">
        <v>1.81</v>
      </c>
      <c r="S342" s="106"/>
      <c r="T342" s="48"/>
    </row>
    <row r="343" spans="3:20">
      <c r="C343" s="106">
        <v>42494</v>
      </c>
      <c r="D343" s="48">
        <v>1.79</v>
      </c>
      <c r="S343" s="106"/>
      <c r="T343" s="48"/>
    </row>
    <row r="344" spans="3:20">
      <c r="C344" s="106">
        <v>42495</v>
      </c>
      <c r="D344" s="48">
        <v>1.76</v>
      </c>
      <c r="S344" s="106"/>
      <c r="T344" s="48"/>
    </row>
    <row r="345" spans="3:20">
      <c r="C345" s="106">
        <v>42496</v>
      </c>
      <c r="D345" s="48">
        <v>1.79</v>
      </c>
      <c r="S345" s="106"/>
      <c r="T345" s="48"/>
    </row>
    <row r="346" spans="3:20">
      <c r="C346" s="106">
        <v>42499</v>
      </c>
      <c r="D346" s="48">
        <v>1.77</v>
      </c>
      <c r="S346" s="106"/>
      <c r="T346" s="48"/>
    </row>
    <row r="347" spans="3:20">
      <c r="C347" s="106">
        <v>42500</v>
      </c>
      <c r="D347" s="48">
        <v>1.77</v>
      </c>
      <c r="S347" s="106"/>
      <c r="T347" s="48"/>
    </row>
    <row r="348" spans="3:20">
      <c r="C348" s="106">
        <v>42501</v>
      </c>
      <c r="D348" s="48">
        <v>1.73</v>
      </c>
      <c r="S348" s="106"/>
      <c r="T348" s="48"/>
    </row>
    <row r="349" spans="3:20">
      <c r="C349" s="106">
        <v>42502</v>
      </c>
      <c r="D349" s="48">
        <v>1.75</v>
      </c>
      <c r="S349" s="106"/>
      <c r="T349" s="48"/>
    </row>
    <row r="350" spans="3:20">
      <c r="C350" s="106">
        <v>42503</v>
      </c>
      <c r="D350" s="48">
        <v>1.71</v>
      </c>
      <c r="S350" s="106"/>
      <c r="T350" s="48"/>
    </row>
    <row r="351" spans="3:20">
      <c r="C351" s="106">
        <v>42506</v>
      </c>
      <c r="D351" s="48">
        <v>1.75</v>
      </c>
      <c r="S351" s="106"/>
      <c r="T351" s="48"/>
    </row>
    <row r="352" spans="3:20">
      <c r="C352" s="106">
        <v>42507</v>
      </c>
      <c r="D352" s="48">
        <v>1.76</v>
      </c>
      <c r="S352" s="106"/>
      <c r="T352" s="48"/>
    </row>
    <row r="353" spans="3:20">
      <c r="C353" s="106">
        <v>42508</v>
      </c>
      <c r="D353" s="48">
        <v>1.87</v>
      </c>
      <c r="S353" s="106"/>
      <c r="T353" s="48"/>
    </row>
    <row r="354" spans="3:20">
      <c r="C354" s="106">
        <v>42509</v>
      </c>
      <c r="D354" s="48">
        <v>1.85</v>
      </c>
      <c r="S354" s="106"/>
      <c r="T354" s="48"/>
    </row>
    <row r="355" spans="3:20">
      <c r="C355" s="106">
        <v>42510</v>
      </c>
      <c r="D355" s="48">
        <v>1.85</v>
      </c>
      <c r="S355" s="106"/>
      <c r="T355" s="48"/>
    </row>
    <row r="356" spans="3:20">
      <c r="C356" s="106">
        <v>42513</v>
      </c>
      <c r="D356" s="48">
        <v>1.84</v>
      </c>
      <c r="S356" s="106"/>
      <c r="T356" s="48"/>
    </row>
    <row r="357" spans="3:20">
      <c r="C357" s="106">
        <v>42514</v>
      </c>
      <c r="D357" s="48">
        <v>1.86</v>
      </c>
      <c r="S357" s="106"/>
      <c r="T357" s="48"/>
    </row>
    <row r="358" spans="3:20">
      <c r="C358" s="106">
        <v>42515</v>
      </c>
      <c r="D358" s="48">
        <v>1.87</v>
      </c>
      <c r="S358" s="106"/>
      <c r="T358" s="48"/>
    </row>
    <row r="359" spans="3:20">
      <c r="C359" s="106">
        <v>42516</v>
      </c>
      <c r="D359" s="48">
        <v>1.83</v>
      </c>
      <c r="S359" s="106"/>
      <c r="T359" s="48"/>
    </row>
    <row r="360" spans="3:20">
      <c r="C360" s="106">
        <v>42517</v>
      </c>
      <c r="D360" s="48">
        <v>1.85</v>
      </c>
      <c r="S360" s="106"/>
      <c r="T360" s="48"/>
    </row>
    <row r="361" spans="3:20">
      <c r="C361" s="106">
        <v>42521</v>
      </c>
      <c r="D361" s="48">
        <v>1.84</v>
      </c>
      <c r="S361" s="106"/>
      <c r="T361" s="48"/>
    </row>
    <row r="362" spans="3:20">
      <c r="C362" s="106">
        <v>42522</v>
      </c>
      <c r="D362" s="48">
        <v>1.85</v>
      </c>
      <c r="S362" s="106"/>
      <c r="T362" s="48"/>
    </row>
    <row r="363" spans="3:20">
      <c r="C363" s="106">
        <v>42523</v>
      </c>
      <c r="D363" s="48">
        <v>1.81</v>
      </c>
      <c r="S363" s="106"/>
      <c r="T363" s="48"/>
    </row>
    <row r="364" spans="3:20">
      <c r="C364" s="106">
        <v>42524</v>
      </c>
      <c r="D364" s="48">
        <v>1.71</v>
      </c>
      <c r="S364" s="106"/>
      <c r="T364" s="48"/>
    </row>
    <row r="365" spans="3:20">
      <c r="C365" s="106">
        <v>42527</v>
      </c>
      <c r="D365" s="48">
        <v>1.73</v>
      </c>
      <c r="S365" s="106"/>
      <c r="T365" s="48"/>
    </row>
    <row r="366" spans="3:20">
      <c r="C366" s="106">
        <v>42528</v>
      </c>
      <c r="D366" s="48">
        <v>1.72</v>
      </c>
      <c r="S366" s="106"/>
      <c r="T366" s="48"/>
    </row>
    <row r="367" spans="3:20">
      <c r="C367" s="106">
        <v>42529</v>
      </c>
      <c r="D367" s="48">
        <v>1.71</v>
      </c>
      <c r="S367" s="106"/>
      <c r="T367" s="48"/>
    </row>
    <row r="368" spans="3:20">
      <c r="C368" s="106">
        <v>42530</v>
      </c>
      <c r="D368" s="48">
        <v>1.68</v>
      </c>
      <c r="S368" s="106"/>
      <c r="T368" s="48"/>
    </row>
    <row r="369" spans="3:20">
      <c r="C369" s="106">
        <v>42531</v>
      </c>
      <c r="D369" s="48">
        <v>1.64</v>
      </c>
      <c r="S369" s="106"/>
      <c r="T369" s="48"/>
    </row>
    <row r="370" spans="3:20">
      <c r="C370" s="106">
        <v>42534</v>
      </c>
      <c r="D370" s="48">
        <v>1.62</v>
      </c>
      <c r="S370" s="106"/>
      <c r="T370" s="48"/>
    </row>
    <row r="371" spans="3:20">
      <c r="C371" s="106">
        <v>42535</v>
      </c>
      <c r="D371" s="48">
        <v>1.62</v>
      </c>
      <c r="S371" s="106"/>
      <c r="T371" s="48"/>
    </row>
    <row r="372" spans="3:20">
      <c r="C372" s="106">
        <v>42536</v>
      </c>
      <c r="D372" s="48">
        <v>1.6</v>
      </c>
      <c r="S372" s="106"/>
      <c r="T372" s="48"/>
    </row>
    <row r="373" spans="3:20">
      <c r="C373" s="106">
        <v>42537</v>
      </c>
      <c r="D373" s="48">
        <v>1.57</v>
      </c>
      <c r="S373" s="106"/>
      <c r="T373" s="48"/>
    </row>
    <row r="374" spans="3:20">
      <c r="C374" s="106">
        <v>42538</v>
      </c>
      <c r="D374" s="48">
        <v>1.62</v>
      </c>
      <c r="S374" s="106"/>
      <c r="T374" s="48"/>
    </row>
    <row r="375" spans="3:20">
      <c r="C375" s="106">
        <v>42541</v>
      </c>
      <c r="D375" s="48">
        <v>1.67</v>
      </c>
      <c r="S375" s="106"/>
      <c r="T375" s="48"/>
    </row>
    <row r="376" spans="3:20">
      <c r="C376" s="106">
        <v>42542</v>
      </c>
      <c r="D376" s="48">
        <v>1.71</v>
      </c>
      <c r="S376" s="106"/>
      <c r="T376" s="48"/>
    </row>
    <row r="377" spans="3:20">
      <c r="C377" s="106">
        <v>42543</v>
      </c>
      <c r="D377" s="48">
        <v>1.69</v>
      </c>
      <c r="S377" s="106"/>
      <c r="T377" s="48"/>
    </row>
    <row r="378" spans="3:20">
      <c r="C378" s="106">
        <v>42544</v>
      </c>
      <c r="D378" s="48">
        <v>1.74</v>
      </c>
      <c r="S378" s="106"/>
      <c r="T378" s="48"/>
    </row>
    <row r="379" spans="3:20">
      <c r="C379" s="106">
        <v>42545</v>
      </c>
      <c r="D379" s="48">
        <v>1.57</v>
      </c>
      <c r="S379" s="106"/>
      <c r="T379" s="48"/>
    </row>
    <row r="380" spans="3:20">
      <c r="C380" s="106">
        <v>42548</v>
      </c>
      <c r="D380" s="48">
        <v>1.46</v>
      </c>
      <c r="S380" s="106"/>
      <c r="T380" s="48"/>
    </row>
    <row r="381" spans="3:20">
      <c r="C381" s="106">
        <v>42549</v>
      </c>
      <c r="D381" s="48">
        <v>1.46</v>
      </c>
      <c r="S381" s="106"/>
      <c r="T381" s="48"/>
    </row>
    <row r="382" spans="3:20">
      <c r="C382" s="106">
        <v>42550</v>
      </c>
      <c r="D382" s="48">
        <v>1.5</v>
      </c>
      <c r="S382" s="106"/>
      <c r="T382" s="48"/>
    </row>
    <row r="383" spans="3:20">
      <c r="C383" s="106">
        <v>42551</v>
      </c>
      <c r="D383" s="48">
        <v>1.49</v>
      </c>
      <c r="S383" s="106"/>
      <c r="T383" s="48"/>
    </row>
    <row r="384" spans="3:20">
      <c r="C384" s="106">
        <v>42552</v>
      </c>
      <c r="D384" s="48">
        <v>1.46</v>
      </c>
      <c r="S384" s="106"/>
      <c r="T384" s="48"/>
    </row>
    <row r="385" spans="3:20">
      <c r="C385" s="106">
        <v>42556</v>
      </c>
      <c r="D385" s="48">
        <v>1.37</v>
      </c>
      <c r="S385" s="106"/>
      <c r="T385" s="48"/>
    </row>
    <row r="386" spans="3:20">
      <c r="C386" s="106">
        <v>42557</v>
      </c>
      <c r="D386" s="48">
        <v>1.38</v>
      </c>
      <c r="S386" s="106"/>
      <c r="T386" s="48"/>
    </row>
    <row r="387" spans="3:20">
      <c r="C387" s="106">
        <v>42558</v>
      </c>
      <c r="D387" s="48">
        <v>1.4</v>
      </c>
      <c r="S387" s="106"/>
      <c r="T387" s="48"/>
    </row>
    <row r="388" spans="3:20">
      <c r="C388" s="106">
        <v>42559</v>
      </c>
      <c r="D388" s="48">
        <v>1.37</v>
      </c>
      <c r="S388" s="106"/>
      <c r="T388" s="48"/>
    </row>
    <row r="389" spans="3:20">
      <c r="C389" s="106">
        <v>42562</v>
      </c>
      <c r="D389" s="48">
        <v>1.43</v>
      </c>
      <c r="S389" s="106"/>
      <c r="T389" s="48"/>
    </row>
    <row r="390" spans="3:20">
      <c r="C390" s="106">
        <v>42563</v>
      </c>
      <c r="D390" s="48">
        <v>1.53</v>
      </c>
      <c r="S390" s="106"/>
      <c r="T390" s="48"/>
    </row>
    <row r="391" spans="3:20">
      <c r="C391" s="106">
        <v>42564</v>
      </c>
      <c r="D391" s="48">
        <v>1.48</v>
      </c>
      <c r="S391" s="106"/>
      <c r="T391" s="48"/>
    </row>
    <row r="392" spans="3:20">
      <c r="C392" s="106">
        <v>42565</v>
      </c>
      <c r="D392" s="48">
        <v>1.53</v>
      </c>
      <c r="S392" s="106"/>
      <c r="T392" s="48"/>
    </row>
    <row r="393" spans="3:20">
      <c r="C393" s="106">
        <v>42566</v>
      </c>
      <c r="D393" s="48">
        <v>1.6</v>
      </c>
      <c r="S393" s="106"/>
      <c r="T393" s="48"/>
    </row>
    <row r="394" spans="3:20">
      <c r="C394" s="106">
        <v>42569</v>
      </c>
      <c r="D394" s="48">
        <v>1.59</v>
      </c>
      <c r="S394" s="106"/>
      <c r="T394" s="48"/>
    </row>
    <row r="395" spans="3:20">
      <c r="C395" s="106">
        <v>42570</v>
      </c>
      <c r="D395" s="48">
        <v>1.56</v>
      </c>
      <c r="S395" s="106"/>
      <c r="T395" s="48"/>
    </row>
    <row r="396" spans="3:20">
      <c r="C396" s="106">
        <v>42571</v>
      </c>
      <c r="D396" s="48">
        <v>1.59</v>
      </c>
      <c r="S396" s="106"/>
      <c r="T396" s="48"/>
    </row>
    <row r="397" spans="3:20">
      <c r="C397" s="106">
        <v>42572</v>
      </c>
      <c r="D397" s="48">
        <v>1.57</v>
      </c>
      <c r="S397" s="106"/>
      <c r="T397" s="48"/>
    </row>
    <row r="398" spans="3:20">
      <c r="C398" s="106">
        <v>42573</v>
      </c>
      <c r="D398" s="48">
        <v>1.57</v>
      </c>
      <c r="S398" s="106"/>
      <c r="T398" s="48"/>
    </row>
    <row r="399" spans="3:20">
      <c r="C399" s="106">
        <v>42576</v>
      </c>
      <c r="D399" s="48">
        <v>1.58</v>
      </c>
      <c r="S399" s="106"/>
      <c r="T399" s="48"/>
    </row>
    <row r="400" spans="3:20">
      <c r="C400" s="106">
        <v>42577</v>
      </c>
      <c r="D400" s="48">
        <v>1.57</v>
      </c>
      <c r="S400" s="106"/>
      <c r="T400" s="48"/>
    </row>
    <row r="401" spans="3:20">
      <c r="C401" s="106">
        <v>42578</v>
      </c>
      <c r="D401" s="48">
        <v>1.52</v>
      </c>
      <c r="S401" s="106"/>
      <c r="T401" s="48"/>
    </row>
    <row r="402" spans="3:20">
      <c r="C402" s="106">
        <v>42579</v>
      </c>
      <c r="D402" s="48">
        <v>1.52</v>
      </c>
      <c r="S402" s="106"/>
      <c r="T402" s="48"/>
    </row>
    <row r="403" spans="3:20">
      <c r="C403" s="106">
        <v>42580</v>
      </c>
      <c r="D403" s="48">
        <v>1.46</v>
      </c>
      <c r="S403" s="106"/>
      <c r="T403" s="48"/>
    </row>
    <row r="404" spans="3:20">
      <c r="C404" s="106">
        <v>42583</v>
      </c>
      <c r="D404" s="48">
        <v>1.51</v>
      </c>
      <c r="S404" s="106"/>
      <c r="T404" s="48"/>
    </row>
    <row r="405" spans="3:20">
      <c r="C405" s="106">
        <v>42584</v>
      </c>
      <c r="D405" s="48">
        <v>1.55</v>
      </c>
      <c r="S405" s="106"/>
      <c r="T405" s="48"/>
    </row>
    <row r="406" spans="3:20">
      <c r="C406" s="106">
        <v>42585</v>
      </c>
      <c r="D406" s="48">
        <v>1.55</v>
      </c>
      <c r="S406" s="106"/>
      <c r="T406" s="48"/>
    </row>
    <row r="407" spans="3:20">
      <c r="C407" s="106">
        <v>42586</v>
      </c>
      <c r="D407" s="48">
        <v>1.51</v>
      </c>
      <c r="S407" s="106"/>
      <c r="T407" s="48"/>
    </row>
    <row r="408" spans="3:20">
      <c r="C408" s="106">
        <v>42587</v>
      </c>
      <c r="D408" s="48">
        <v>1.59</v>
      </c>
      <c r="S408" s="106"/>
      <c r="T408" s="48"/>
    </row>
    <row r="409" spans="3:20">
      <c r="C409" s="106">
        <v>42590</v>
      </c>
      <c r="D409" s="48">
        <v>1.59</v>
      </c>
      <c r="S409" s="106"/>
      <c r="T409" s="48"/>
    </row>
    <row r="410" spans="3:20">
      <c r="C410" s="106">
        <v>42591</v>
      </c>
      <c r="D410" s="48">
        <v>1.55</v>
      </c>
      <c r="S410" s="106"/>
      <c r="T410" s="48"/>
    </row>
    <row r="411" spans="3:20">
      <c r="C411" s="106">
        <v>42592</v>
      </c>
      <c r="D411" s="48">
        <v>1.5</v>
      </c>
      <c r="S411" s="106"/>
      <c r="T411" s="48"/>
    </row>
    <row r="412" spans="3:20">
      <c r="C412" s="106">
        <v>42593</v>
      </c>
      <c r="D412" s="48">
        <v>1.57</v>
      </c>
      <c r="S412" s="106"/>
      <c r="T412" s="48"/>
    </row>
    <row r="413" spans="3:20">
      <c r="C413" s="106">
        <v>42594</v>
      </c>
      <c r="D413" s="48">
        <v>1.51</v>
      </c>
      <c r="S413" s="106"/>
      <c r="T413" s="48"/>
    </row>
    <row r="414" spans="3:20">
      <c r="C414" s="106">
        <v>42597</v>
      </c>
      <c r="D414" s="48">
        <v>1.55</v>
      </c>
      <c r="S414" s="106"/>
      <c r="T414" s="48"/>
    </row>
    <row r="415" spans="3:20">
      <c r="C415" s="106">
        <v>42598</v>
      </c>
      <c r="D415" s="48">
        <v>1.57</v>
      </c>
      <c r="S415" s="106"/>
      <c r="T415" s="48"/>
    </row>
    <row r="416" spans="3:20">
      <c r="C416" s="106">
        <v>42599</v>
      </c>
      <c r="D416" s="48">
        <v>1.56</v>
      </c>
      <c r="S416" s="106"/>
      <c r="T416" s="48"/>
    </row>
    <row r="417" spans="3:20">
      <c r="C417" s="106">
        <v>42600</v>
      </c>
      <c r="D417" s="48">
        <v>1.53</v>
      </c>
      <c r="S417" s="106"/>
      <c r="T417" s="48"/>
    </row>
    <row r="418" spans="3:20">
      <c r="C418" s="106">
        <v>42601</v>
      </c>
      <c r="D418" s="48">
        <v>1.58</v>
      </c>
      <c r="S418" s="106"/>
      <c r="T418" s="48"/>
    </row>
    <row r="419" spans="3:20">
      <c r="C419" s="106">
        <v>42604</v>
      </c>
      <c r="D419" s="48">
        <v>1.55</v>
      </c>
      <c r="S419" s="106"/>
      <c r="T419" s="48"/>
    </row>
    <row r="420" spans="3:20">
      <c r="C420" s="106">
        <v>42605</v>
      </c>
      <c r="D420" s="48">
        <v>1.55</v>
      </c>
      <c r="S420" s="106"/>
      <c r="T420" s="48"/>
    </row>
    <row r="421" spans="3:20">
      <c r="C421" s="106">
        <v>42606</v>
      </c>
      <c r="D421" s="48">
        <v>1.56</v>
      </c>
      <c r="S421" s="106"/>
      <c r="T421" s="48"/>
    </row>
    <row r="422" spans="3:20">
      <c r="C422" s="106">
        <v>42607</v>
      </c>
      <c r="D422" s="48">
        <v>1.58</v>
      </c>
      <c r="S422" s="106"/>
      <c r="T422" s="48"/>
    </row>
    <row r="423" spans="3:20">
      <c r="C423" s="106">
        <v>42608</v>
      </c>
      <c r="D423" s="48">
        <v>1.62</v>
      </c>
      <c r="S423" s="106"/>
      <c r="T423" s="48"/>
    </row>
    <row r="424" spans="3:20">
      <c r="C424" s="106">
        <v>42611</v>
      </c>
      <c r="D424" s="48">
        <v>1.57</v>
      </c>
      <c r="S424" s="106"/>
      <c r="T424" s="48"/>
    </row>
    <row r="425" spans="3:20">
      <c r="C425" s="106">
        <v>42612</v>
      </c>
      <c r="D425" s="48">
        <v>1.57</v>
      </c>
      <c r="S425" s="106"/>
      <c r="T425" s="48"/>
    </row>
    <row r="426" spans="3:20">
      <c r="C426" s="106">
        <v>42613</v>
      </c>
      <c r="D426" s="48">
        <v>1.58</v>
      </c>
      <c r="S426" s="106"/>
      <c r="T426" s="48"/>
    </row>
    <row r="427" spans="3:20">
      <c r="C427" s="106">
        <v>42614</v>
      </c>
      <c r="D427" s="48">
        <v>1.57</v>
      </c>
      <c r="S427" s="106"/>
      <c r="T427" s="48"/>
    </row>
    <row r="428" spans="3:20">
      <c r="C428" s="106">
        <v>42615</v>
      </c>
      <c r="D428" s="48">
        <v>1.6</v>
      </c>
      <c r="S428" s="106"/>
      <c r="T428" s="48"/>
    </row>
    <row r="429" spans="3:20">
      <c r="C429" s="106">
        <v>42619</v>
      </c>
      <c r="D429" s="48">
        <v>1.55</v>
      </c>
      <c r="S429" s="106"/>
      <c r="T429" s="48"/>
    </row>
    <row r="430" spans="3:20">
      <c r="C430" s="106">
        <v>42620</v>
      </c>
      <c r="D430" s="48">
        <v>1.54</v>
      </c>
      <c r="S430" s="106"/>
      <c r="T430" s="48"/>
    </row>
    <row r="431" spans="3:20">
      <c r="C431" s="106">
        <v>42621</v>
      </c>
      <c r="D431" s="48">
        <v>1.61</v>
      </c>
      <c r="S431" s="106"/>
      <c r="T431" s="48"/>
    </row>
    <row r="432" spans="3:20">
      <c r="C432" s="106">
        <v>42622</v>
      </c>
      <c r="D432" s="48">
        <v>1.67</v>
      </c>
      <c r="S432" s="106"/>
      <c r="T432" s="48"/>
    </row>
    <row r="433" spans="3:20">
      <c r="C433" s="106">
        <v>42625</v>
      </c>
      <c r="D433" s="48">
        <v>1.68</v>
      </c>
      <c r="S433" s="106"/>
      <c r="T433" s="48"/>
    </row>
    <row r="434" spans="3:20">
      <c r="C434" s="106">
        <v>42626</v>
      </c>
      <c r="D434" s="48">
        <v>1.73</v>
      </c>
      <c r="S434" s="106"/>
      <c r="T434" s="48"/>
    </row>
    <row r="435" spans="3:20">
      <c r="C435" s="106">
        <v>42627</v>
      </c>
      <c r="D435" s="48">
        <v>1.7</v>
      </c>
      <c r="S435" s="106"/>
      <c r="T435" s="48"/>
    </row>
    <row r="436" spans="3:20">
      <c r="C436" s="106">
        <v>42628</v>
      </c>
      <c r="D436" s="48">
        <v>1.71</v>
      </c>
      <c r="S436" s="106"/>
      <c r="T436" s="48"/>
    </row>
    <row r="437" spans="3:20">
      <c r="C437" s="106">
        <v>42629</v>
      </c>
      <c r="D437" s="48">
        <v>1.7</v>
      </c>
      <c r="S437" s="106"/>
      <c r="T437" s="48"/>
    </row>
    <row r="438" spans="3:20">
      <c r="C438" s="106">
        <v>42632</v>
      </c>
      <c r="D438" s="48">
        <v>1.7</v>
      </c>
      <c r="S438" s="106"/>
      <c r="T438" s="48"/>
    </row>
    <row r="439" spans="3:20">
      <c r="C439" s="106">
        <v>42633</v>
      </c>
      <c r="D439" s="48">
        <v>1.69</v>
      </c>
      <c r="S439" s="106"/>
      <c r="T439" s="48"/>
    </row>
    <row r="440" spans="3:20">
      <c r="C440" s="106">
        <v>42634</v>
      </c>
      <c r="D440" s="48">
        <v>1.66</v>
      </c>
      <c r="S440" s="106"/>
      <c r="T440" s="48"/>
    </row>
    <row r="441" spans="3:20">
      <c r="C441" s="106">
        <v>42635</v>
      </c>
      <c r="D441" s="48">
        <v>1.63</v>
      </c>
      <c r="S441" s="106"/>
      <c r="T441" s="48"/>
    </row>
    <row r="442" spans="3:20">
      <c r="C442" s="106">
        <v>42636</v>
      </c>
      <c r="D442" s="48">
        <v>1.62</v>
      </c>
      <c r="S442" s="106"/>
      <c r="T442" s="48"/>
    </row>
    <row r="443" spans="3:20">
      <c r="C443" s="106">
        <v>42639</v>
      </c>
      <c r="D443" s="48">
        <v>1.59</v>
      </c>
      <c r="S443" s="106"/>
      <c r="T443" s="48"/>
    </row>
    <row r="444" spans="3:20">
      <c r="C444" s="106">
        <v>42640</v>
      </c>
      <c r="D444" s="48">
        <v>1.56</v>
      </c>
      <c r="S444" s="106"/>
      <c r="T444" s="48"/>
    </row>
    <row r="445" spans="3:20">
      <c r="C445" s="106">
        <v>42641</v>
      </c>
      <c r="D445" s="48">
        <v>1.57</v>
      </c>
      <c r="S445" s="106"/>
      <c r="T445" s="48"/>
    </row>
    <row r="446" spans="3:20">
      <c r="C446" s="106">
        <v>42642</v>
      </c>
      <c r="D446" s="48">
        <v>1.56</v>
      </c>
      <c r="S446" s="106"/>
      <c r="T446" s="48"/>
    </row>
    <row r="447" spans="3:20">
      <c r="C447" s="106">
        <v>42643</v>
      </c>
      <c r="D447" s="48">
        <v>1.6</v>
      </c>
      <c r="S447" s="106"/>
      <c r="T447" s="48"/>
    </row>
    <row r="448" spans="3:20">
      <c r="C448" s="106">
        <v>42646</v>
      </c>
      <c r="D448" s="48">
        <v>1.63</v>
      </c>
      <c r="S448" s="106"/>
      <c r="T448" s="48"/>
    </row>
    <row r="449" spans="3:20">
      <c r="C449" s="106">
        <v>42647</v>
      </c>
      <c r="D449" s="48">
        <v>1.69</v>
      </c>
      <c r="S449" s="106"/>
      <c r="T449" s="48"/>
    </row>
    <row r="450" spans="3:20">
      <c r="C450" s="106">
        <v>42648</v>
      </c>
      <c r="D450" s="48">
        <v>1.72</v>
      </c>
      <c r="S450" s="106"/>
      <c r="T450" s="48"/>
    </row>
    <row r="451" spans="3:20">
      <c r="C451" s="106">
        <v>42649</v>
      </c>
      <c r="D451" s="48">
        <v>1.75</v>
      </c>
      <c r="S451" s="106"/>
      <c r="T451" s="48"/>
    </row>
    <row r="452" spans="3:20">
      <c r="C452" s="106">
        <v>42650</v>
      </c>
      <c r="D452" s="48">
        <v>1.73</v>
      </c>
      <c r="S452" s="106"/>
      <c r="T452" s="48"/>
    </row>
    <row r="453" spans="3:20">
      <c r="C453" s="106">
        <v>42654</v>
      </c>
      <c r="D453" s="48">
        <v>1.77</v>
      </c>
      <c r="S453" s="106"/>
      <c r="T453" s="48"/>
    </row>
    <row r="454" spans="3:20">
      <c r="C454" s="106">
        <v>42655</v>
      </c>
      <c r="D454" s="48">
        <v>1.79</v>
      </c>
      <c r="S454" s="106"/>
      <c r="T454" s="48"/>
    </row>
    <row r="455" spans="3:20">
      <c r="C455" s="106">
        <v>42656</v>
      </c>
      <c r="D455" s="48">
        <v>1.75</v>
      </c>
      <c r="S455" s="106"/>
      <c r="T455" s="48"/>
    </row>
    <row r="456" spans="3:20">
      <c r="C456" s="106">
        <v>42657</v>
      </c>
      <c r="D456" s="48">
        <v>1.8</v>
      </c>
      <c r="S456" s="106"/>
      <c r="T456" s="48"/>
    </row>
    <row r="457" spans="3:20">
      <c r="C457" s="106">
        <v>42660</v>
      </c>
      <c r="D457" s="48">
        <v>1.77</v>
      </c>
      <c r="S457" s="106"/>
      <c r="T457" s="48"/>
    </row>
    <row r="458" spans="3:20">
      <c r="C458" s="106">
        <v>42661</v>
      </c>
      <c r="D458" s="48">
        <v>1.75</v>
      </c>
      <c r="S458" s="106"/>
      <c r="T458" s="48"/>
    </row>
    <row r="459" spans="3:20">
      <c r="C459" s="106">
        <v>42662</v>
      </c>
      <c r="D459" s="48">
        <v>1.76</v>
      </c>
      <c r="S459" s="106"/>
      <c r="T459" s="48"/>
    </row>
    <row r="460" spans="3:20">
      <c r="C460" s="106">
        <v>42663</v>
      </c>
      <c r="D460" s="48">
        <v>1.76</v>
      </c>
      <c r="S460" s="106"/>
      <c r="T460" s="48"/>
    </row>
    <row r="461" spans="3:20">
      <c r="C461" s="106">
        <v>42664</v>
      </c>
      <c r="D461" s="48">
        <v>1.74</v>
      </c>
      <c r="S461" s="106"/>
      <c r="T461" s="48"/>
    </row>
    <row r="462" spans="3:20">
      <c r="C462" s="106">
        <v>42667</v>
      </c>
      <c r="D462" s="48">
        <v>1.77</v>
      </c>
      <c r="S462" s="106"/>
      <c r="T462" s="48"/>
    </row>
    <row r="463" spans="3:20">
      <c r="C463" s="106">
        <v>42668</v>
      </c>
      <c r="D463" s="48">
        <v>1.77</v>
      </c>
      <c r="S463" s="106"/>
      <c r="T463" s="48"/>
    </row>
    <row r="464" spans="3:20">
      <c r="C464" s="106">
        <v>42669</v>
      </c>
      <c r="D464" s="48">
        <v>1.79</v>
      </c>
      <c r="S464" s="106"/>
      <c r="T464" s="48"/>
    </row>
    <row r="465" spans="3:20">
      <c r="C465" s="106">
        <v>42670</v>
      </c>
      <c r="D465" s="48">
        <v>1.85</v>
      </c>
      <c r="S465" s="106"/>
      <c r="T465" s="48"/>
    </row>
    <row r="466" spans="3:20">
      <c r="C466" s="106">
        <v>42671</v>
      </c>
      <c r="D466" s="48">
        <v>1.86</v>
      </c>
      <c r="S466" s="106"/>
      <c r="T466" s="48"/>
    </row>
    <row r="467" spans="3:20">
      <c r="C467" s="106">
        <v>42674</v>
      </c>
      <c r="D467" s="48">
        <v>1.84</v>
      </c>
      <c r="S467" s="106"/>
      <c r="T467" s="48"/>
    </row>
    <row r="468" spans="3:20">
      <c r="C468" s="106">
        <v>42675</v>
      </c>
      <c r="D468" s="48">
        <v>1.83</v>
      </c>
      <c r="S468" s="106"/>
      <c r="T468" s="48"/>
    </row>
    <row r="469" spans="3:20">
      <c r="C469" s="106">
        <v>42676</v>
      </c>
      <c r="D469" s="48">
        <v>1.81</v>
      </c>
      <c r="S469" s="106"/>
      <c r="T469" s="48"/>
    </row>
    <row r="470" spans="3:20">
      <c r="C470" s="106">
        <v>42677</v>
      </c>
      <c r="D470" s="48">
        <v>1.82</v>
      </c>
      <c r="S470" s="106"/>
      <c r="T470" s="48"/>
    </row>
    <row r="471" spans="3:20">
      <c r="C471" s="106">
        <v>42678</v>
      </c>
      <c r="D471" s="48">
        <v>1.79</v>
      </c>
      <c r="S471" s="106"/>
      <c r="T471" s="48"/>
    </row>
    <row r="472" spans="3:20">
      <c r="C472" s="106">
        <v>42681</v>
      </c>
      <c r="D472" s="48">
        <v>1.83</v>
      </c>
      <c r="S472" s="106"/>
      <c r="T472" s="48"/>
    </row>
    <row r="473" spans="3:20">
      <c r="C473" s="106">
        <v>42682</v>
      </c>
      <c r="D473" s="48">
        <v>1.88</v>
      </c>
      <c r="S473" s="106"/>
      <c r="T473" s="48"/>
    </row>
    <row r="474" spans="3:20">
      <c r="C474" s="106">
        <v>42683</v>
      </c>
      <c r="D474" s="48">
        <v>2.0699999999999998</v>
      </c>
      <c r="S474" s="106"/>
      <c r="T474" s="48"/>
    </row>
    <row r="475" spans="3:20">
      <c r="C475" s="106">
        <v>42684</v>
      </c>
      <c r="D475" s="48">
        <v>2.15</v>
      </c>
      <c r="S475" s="106"/>
      <c r="T475" s="48"/>
    </row>
    <row r="476" spans="3:20">
      <c r="C476" s="106">
        <v>42688</v>
      </c>
      <c r="D476" s="48">
        <v>2.23</v>
      </c>
      <c r="S476" s="106"/>
      <c r="T476" s="48"/>
    </row>
    <row r="477" spans="3:20">
      <c r="C477" s="106">
        <v>42689</v>
      </c>
      <c r="D477" s="48">
        <v>2.23</v>
      </c>
      <c r="S477" s="106"/>
      <c r="T477" s="48"/>
    </row>
    <row r="478" spans="3:20">
      <c r="C478" s="106">
        <v>42690</v>
      </c>
      <c r="D478" s="48">
        <v>2.2200000000000002</v>
      </c>
      <c r="S478" s="106"/>
      <c r="T478" s="48"/>
    </row>
    <row r="479" spans="3:20">
      <c r="C479" s="106">
        <v>42691</v>
      </c>
      <c r="D479" s="48">
        <v>2.29</v>
      </c>
      <c r="S479" s="106"/>
      <c r="T479" s="48"/>
    </row>
    <row r="480" spans="3:20">
      <c r="C480" s="106">
        <v>42692</v>
      </c>
      <c r="D480" s="48">
        <v>2.34</v>
      </c>
      <c r="S480" s="106"/>
      <c r="T480" s="48"/>
    </row>
    <row r="481" spans="3:20">
      <c r="C481" s="106">
        <v>42695</v>
      </c>
      <c r="D481" s="48">
        <v>2.33</v>
      </c>
      <c r="S481" s="106"/>
      <c r="T481" s="48"/>
    </row>
    <row r="482" spans="3:20">
      <c r="C482" s="106">
        <v>42696</v>
      </c>
      <c r="D482" s="48">
        <v>2.31</v>
      </c>
      <c r="S482" s="106"/>
      <c r="T482" s="48"/>
    </row>
    <row r="483" spans="3:20">
      <c r="C483" s="106">
        <v>42697</v>
      </c>
      <c r="D483" s="48">
        <v>2.36</v>
      </c>
      <c r="S483" s="106"/>
      <c r="T483" s="48"/>
    </row>
    <row r="484" spans="3:20">
      <c r="C484" s="106">
        <v>42699</v>
      </c>
      <c r="D484" s="48">
        <v>2.36</v>
      </c>
      <c r="S484" s="106"/>
      <c r="T484" s="48"/>
    </row>
    <row r="485" spans="3:20">
      <c r="C485" s="106">
        <v>42702</v>
      </c>
      <c r="D485" s="48">
        <v>2.3199999999999998</v>
      </c>
      <c r="S485" s="106"/>
      <c r="T485" s="48"/>
    </row>
    <row r="486" spans="3:20">
      <c r="C486" s="106">
        <v>42703</v>
      </c>
      <c r="D486" s="48">
        <v>2.2999999999999998</v>
      </c>
      <c r="S486" s="106"/>
      <c r="T486" s="48"/>
    </row>
    <row r="487" spans="3:20">
      <c r="C487" s="106">
        <v>42704</v>
      </c>
      <c r="D487" s="48">
        <v>2.37</v>
      </c>
      <c r="S487" s="106"/>
      <c r="T487" s="48"/>
    </row>
    <row r="488" spans="3:20">
      <c r="C488" s="106">
        <v>42705</v>
      </c>
      <c r="D488" s="48">
        <v>2.4500000000000002</v>
      </c>
      <c r="S488" s="106"/>
      <c r="T488" s="48"/>
    </row>
    <row r="489" spans="3:20">
      <c r="C489" s="106">
        <v>42706</v>
      </c>
      <c r="D489" s="48">
        <v>2.4</v>
      </c>
      <c r="S489" s="106"/>
      <c r="T489" s="48"/>
    </row>
    <row r="490" spans="3:20">
      <c r="C490" s="106">
        <v>42709</v>
      </c>
      <c r="D490" s="48">
        <v>2.39</v>
      </c>
      <c r="S490" s="106"/>
      <c r="T490" s="48"/>
    </row>
    <row r="491" spans="3:20">
      <c r="C491" s="106">
        <v>42710</v>
      </c>
      <c r="D491" s="48">
        <v>2.39</v>
      </c>
      <c r="S491" s="106"/>
      <c r="T491" s="48"/>
    </row>
    <row r="492" spans="3:20">
      <c r="C492" s="106">
        <v>42711</v>
      </c>
      <c r="D492" s="48">
        <v>2.34</v>
      </c>
      <c r="S492" s="106"/>
      <c r="T492" s="48"/>
    </row>
    <row r="493" spans="3:20">
      <c r="C493" s="106">
        <v>42712</v>
      </c>
      <c r="D493" s="48">
        <v>2.4</v>
      </c>
      <c r="S493" s="106"/>
      <c r="T493" s="48"/>
    </row>
    <row r="494" spans="3:20">
      <c r="C494" s="106">
        <v>42713</v>
      </c>
      <c r="D494" s="48">
        <v>2.4700000000000002</v>
      </c>
      <c r="S494" s="106"/>
      <c r="T494" s="48"/>
    </row>
    <row r="495" spans="3:20">
      <c r="C495" s="106">
        <v>42716</v>
      </c>
      <c r="D495" s="48">
        <v>2.4900000000000002</v>
      </c>
      <c r="S495" s="106"/>
      <c r="T495" s="48"/>
    </row>
    <row r="496" spans="3:20">
      <c r="C496" s="106">
        <v>42717</v>
      </c>
      <c r="D496" s="48">
        <v>2.48</v>
      </c>
      <c r="S496" s="106"/>
      <c r="T496" s="48"/>
    </row>
    <row r="497" spans="3:20">
      <c r="C497" s="106">
        <v>42718</v>
      </c>
      <c r="D497" s="48">
        <v>2.54</v>
      </c>
      <c r="S497" s="106"/>
      <c r="T497" s="48"/>
    </row>
    <row r="498" spans="3:20">
      <c r="C498" s="106">
        <v>42719</v>
      </c>
      <c r="D498" s="48">
        <v>2.6</v>
      </c>
      <c r="S498" s="106"/>
      <c r="T498" s="48"/>
    </row>
    <row r="499" spans="3:20">
      <c r="C499" s="106">
        <v>42720</v>
      </c>
      <c r="D499" s="48">
        <v>2.6</v>
      </c>
      <c r="S499" s="106"/>
      <c r="T499" s="48"/>
    </row>
    <row r="500" spans="3:20">
      <c r="C500" s="106">
        <v>42723</v>
      </c>
      <c r="D500" s="48">
        <v>2.54</v>
      </c>
      <c r="S500" s="106"/>
      <c r="T500" s="48"/>
    </row>
    <row r="501" spans="3:20">
      <c r="C501" s="106">
        <v>42724</v>
      </c>
      <c r="D501" s="48">
        <v>2.57</v>
      </c>
      <c r="S501" s="106"/>
      <c r="T501" s="48"/>
    </row>
    <row r="502" spans="3:20">
      <c r="C502" s="106">
        <v>42725</v>
      </c>
      <c r="D502" s="48">
        <v>2.5499999999999998</v>
      </c>
      <c r="S502" s="106"/>
      <c r="T502" s="48"/>
    </row>
    <row r="503" spans="3:20">
      <c r="C503" s="106">
        <v>42726</v>
      </c>
      <c r="D503" s="48">
        <v>2.5499999999999998</v>
      </c>
      <c r="S503" s="106"/>
      <c r="T503" s="48"/>
    </row>
    <row r="504" spans="3:20">
      <c r="C504" s="106">
        <v>42727</v>
      </c>
      <c r="D504" s="48">
        <v>2.5499999999999998</v>
      </c>
      <c r="S504" s="106"/>
      <c r="T504" s="48"/>
    </row>
    <row r="505" spans="3:20">
      <c r="C505" s="106">
        <v>42731</v>
      </c>
      <c r="D505" s="48">
        <v>2.57</v>
      </c>
      <c r="S505" s="106"/>
      <c r="T505" s="48"/>
    </row>
    <row r="506" spans="3:20">
      <c r="C506" s="106">
        <v>42732</v>
      </c>
      <c r="D506" s="48">
        <v>2.5099999999999998</v>
      </c>
      <c r="S506" s="106"/>
      <c r="T506" s="48"/>
    </row>
    <row r="507" spans="3:20">
      <c r="C507" s="106">
        <v>42733</v>
      </c>
      <c r="D507" s="48">
        <v>2.4900000000000002</v>
      </c>
      <c r="S507" s="106"/>
      <c r="T507" s="48"/>
    </row>
    <row r="508" spans="3:20">
      <c r="C508" s="106">
        <v>42734</v>
      </c>
      <c r="D508" s="48">
        <v>2.4500000000000002</v>
      </c>
      <c r="S508" s="106"/>
      <c r="T508" s="48"/>
    </row>
    <row r="509" spans="3:20">
      <c r="C509" s="106">
        <v>42738</v>
      </c>
      <c r="D509" s="48">
        <v>2.4500000000000002</v>
      </c>
      <c r="S509" s="106"/>
      <c r="T509" s="48"/>
    </row>
    <row r="510" spans="3:20">
      <c r="C510" s="106">
        <v>42739</v>
      </c>
      <c r="D510" s="48">
        <v>2.46</v>
      </c>
      <c r="S510" s="106"/>
      <c r="T510" s="48"/>
    </row>
    <row r="511" spans="3:20">
      <c r="C511" s="106">
        <v>42740</v>
      </c>
      <c r="D511" s="48">
        <v>2.37</v>
      </c>
      <c r="S511" s="106"/>
      <c r="T511" s="48"/>
    </row>
    <row r="512" spans="3:20">
      <c r="C512" s="106">
        <v>42741</v>
      </c>
      <c r="D512" s="48">
        <v>2.42</v>
      </c>
      <c r="S512" s="106"/>
      <c r="T512" s="48"/>
    </row>
    <row r="513" spans="3:20">
      <c r="C513" s="106">
        <v>42744</v>
      </c>
      <c r="D513" s="48">
        <v>2.38</v>
      </c>
      <c r="S513" s="106"/>
      <c r="T513" s="48"/>
    </row>
    <row r="514" spans="3:20">
      <c r="C514" s="106">
        <v>42745</v>
      </c>
      <c r="D514" s="48">
        <v>2.38</v>
      </c>
      <c r="S514" s="106"/>
      <c r="T514" s="48"/>
    </row>
    <row r="515" spans="3:20">
      <c r="C515" s="106">
        <v>42746</v>
      </c>
      <c r="D515" s="48">
        <v>2.38</v>
      </c>
      <c r="S515" s="106"/>
      <c r="T515" s="48"/>
    </row>
    <row r="516" spans="3:20">
      <c r="C516" s="106">
        <v>42747</v>
      </c>
      <c r="D516" s="48">
        <v>2.36</v>
      </c>
      <c r="S516" s="106"/>
      <c r="T516" s="48"/>
    </row>
    <row r="517" spans="3:20">
      <c r="C517" s="106">
        <v>42748</v>
      </c>
      <c r="D517" s="48">
        <v>2.4</v>
      </c>
      <c r="S517" s="106"/>
      <c r="T517" s="48"/>
    </row>
    <row r="518" spans="3:20">
      <c r="C518" s="106">
        <v>42752</v>
      </c>
      <c r="D518" s="48">
        <v>2.33</v>
      </c>
      <c r="S518" s="106"/>
      <c r="T518" s="48"/>
    </row>
    <row r="519" spans="3:20">
      <c r="C519" s="106">
        <v>42753</v>
      </c>
      <c r="D519" s="48">
        <v>2.42</v>
      </c>
      <c r="S519" s="106"/>
      <c r="T519" s="48"/>
    </row>
    <row r="520" spans="3:20">
      <c r="C520" s="106">
        <v>42754</v>
      </c>
      <c r="D520" s="48">
        <v>2.4700000000000002</v>
      </c>
      <c r="S520" s="106"/>
      <c r="T520" s="48"/>
    </row>
    <row r="521" spans="3:20">
      <c r="C521" s="106">
        <v>42755</v>
      </c>
      <c r="D521" s="48">
        <v>2.48</v>
      </c>
      <c r="S521" s="106"/>
      <c r="T521" s="48"/>
    </row>
    <row r="522" spans="3:20">
      <c r="C522" s="106">
        <v>42758</v>
      </c>
      <c r="D522" s="48">
        <v>2.41</v>
      </c>
      <c r="S522" s="106"/>
      <c r="T522" s="48"/>
    </row>
    <row r="523" spans="3:20">
      <c r="C523" s="106">
        <v>42759</v>
      </c>
      <c r="D523" s="48">
        <v>2.4700000000000002</v>
      </c>
      <c r="S523" s="106"/>
      <c r="T523" s="48"/>
    </row>
    <row r="524" spans="3:20">
      <c r="C524" s="106">
        <v>42760</v>
      </c>
      <c r="D524" s="48">
        <v>2.5299999999999998</v>
      </c>
      <c r="S524" s="106"/>
      <c r="T524" s="48"/>
    </row>
    <row r="525" spans="3:20">
      <c r="C525" s="106">
        <v>42761</v>
      </c>
      <c r="D525" s="48">
        <v>2.5099999999999998</v>
      </c>
      <c r="S525" s="106"/>
      <c r="T525" s="48"/>
    </row>
    <row r="526" spans="3:20">
      <c r="C526" s="106">
        <v>42762</v>
      </c>
      <c r="D526" s="48">
        <v>2.4900000000000002</v>
      </c>
      <c r="S526" s="106"/>
      <c r="T526" s="48"/>
    </row>
    <row r="527" spans="3:20">
      <c r="C527" s="106">
        <v>42765</v>
      </c>
      <c r="D527" s="48">
        <v>2.4900000000000002</v>
      </c>
      <c r="S527" s="106"/>
      <c r="T527" s="48"/>
    </row>
    <row r="528" spans="3:20">
      <c r="C528" s="106">
        <v>42766</v>
      </c>
      <c r="D528" s="48">
        <v>2.4500000000000002</v>
      </c>
      <c r="S528" s="106"/>
      <c r="T528" s="48"/>
    </row>
    <row r="529" spans="3:20">
      <c r="C529" s="106">
        <v>42767</v>
      </c>
      <c r="D529" s="48">
        <v>2.48</v>
      </c>
      <c r="S529" s="106"/>
      <c r="T529" s="48"/>
    </row>
    <row r="530" spans="3:20">
      <c r="C530" s="106">
        <v>42768</v>
      </c>
      <c r="D530" s="48">
        <v>2.48</v>
      </c>
      <c r="S530" s="106"/>
      <c r="T530" s="48"/>
    </row>
    <row r="531" spans="3:20">
      <c r="C531" s="106">
        <v>42769</v>
      </c>
      <c r="D531" s="48">
        <v>2.4900000000000002</v>
      </c>
      <c r="S531" s="106"/>
      <c r="T531" s="48"/>
    </row>
    <row r="532" spans="3:20">
      <c r="C532" s="106">
        <v>42772</v>
      </c>
      <c r="D532" s="48">
        <v>2.42</v>
      </c>
      <c r="S532" s="106"/>
      <c r="T532" s="48"/>
    </row>
    <row r="533" spans="3:20">
      <c r="C533" s="106">
        <v>42773</v>
      </c>
      <c r="D533" s="48">
        <v>2.4</v>
      </c>
      <c r="S533" s="106"/>
      <c r="T533" s="48"/>
    </row>
    <row r="534" spans="3:20">
      <c r="C534" s="106">
        <v>42774</v>
      </c>
      <c r="D534" s="48">
        <v>2.34</v>
      </c>
      <c r="S534" s="106"/>
      <c r="T534" s="48"/>
    </row>
    <row r="535" spans="3:20">
      <c r="C535" s="106">
        <v>42775</v>
      </c>
      <c r="D535" s="48">
        <v>2.4</v>
      </c>
      <c r="S535" s="106"/>
      <c r="T535" s="48"/>
    </row>
    <row r="536" spans="3:20">
      <c r="C536" s="106">
        <v>42776</v>
      </c>
      <c r="D536" s="48">
        <v>2.41</v>
      </c>
      <c r="S536" s="106"/>
      <c r="T536" s="48"/>
    </row>
    <row r="537" spans="3:20">
      <c r="C537" s="106">
        <v>42779</v>
      </c>
      <c r="D537" s="48">
        <v>2.4300000000000002</v>
      </c>
      <c r="S537" s="106"/>
      <c r="T537" s="48"/>
    </row>
    <row r="538" spans="3:20">
      <c r="C538" s="106">
        <v>42780</v>
      </c>
      <c r="D538" s="48">
        <v>2.4700000000000002</v>
      </c>
      <c r="S538" s="106"/>
      <c r="T538" s="48"/>
    </row>
    <row r="539" spans="3:20">
      <c r="C539" s="106">
        <v>42781</v>
      </c>
      <c r="D539" s="48">
        <v>2.5099999999999998</v>
      </c>
      <c r="S539" s="106"/>
      <c r="T539" s="48"/>
    </row>
    <row r="540" spans="3:20">
      <c r="C540" s="106">
        <v>42782</v>
      </c>
      <c r="D540" s="48">
        <v>2.4500000000000002</v>
      </c>
      <c r="S540" s="106"/>
      <c r="T540" s="48"/>
    </row>
    <row r="541" spans="3:20">
      <c r="C541" s="106">
        <v>42783</v>
      </c>
      <c r="D541" s="48">
        <v>2.42</v>
      </c>
      <c r="S541" s="106"/>
      <c r="T541" s="48"/>
    </row>
    <row r="542" spans="3:20">
      <c r="C542" s="106">
        <v>42787</v>
      </c>
      <c r="D542" s="48">
        <v>2.4300000000000002</v>
      </c>
      <c r="S542" s="106"/>
      <c r="T542" s="48"/>
    </row>
    <row r="543" spans="3:20">
      <c r="C543" s="106">
        <v>42788</v>
      </c>
      <c r="D543" s="48">
        <v>2.42</v>
      </c>
      <c r="S543" s="106"/>
      <c r="T543" s="48"/>
    </row>
    <row r="544" spans="3:20">
      <c r="C544" s="106">
        <v>42789</v>
      </c>
      <c r="D544" s="48">
        <v>2.38</v>
      </c>
      <c r="S544" s="106"/>
      <c r="T544" s="48"/>
    </row>
    <row r="545" spans="3:20">
      <c r="C545" s="106">
        <v>42790</v>
      </c>
      <c r="D545" s="48">
        <v>2.31</v>
      </c>
      <c r="S545" s="106"/>
      <c r="T545" s="48"/>
    </row>
    <row r="546" spans="3:20">
      <c r="C546" s="106">
        <v>42793</v>
      </c>
      <c r="D546" s="48">
        <v>2.36</v>
      </c>
      <c r="S546" s="106"/>
      <c r="T546" s="48"/>
    </row>
    <row r="547" spans="3:20">
      <c r="C547" s="106">
        <v>42794</v>
      </c>
      <c r="D547" s="48">
        <v>2.36</v>
      </c>
      <c r="S547" s="106"/>
      <c r="T547" s="48"/>
    </row>
    <row r="548" spans="3:20">
      <c r="C548" s="106">
        <v>42795</v>
      </c>
      <c r="D548" s="48">
        <v>2.46</v>
      </c>
      <c r="S548" s="106"/>
      <c r="T548" s="48"/>
    </row>
    <row r="549" spans="3:20">
      <c r="C549" s="106">
        <v>42796</v>
      </c>
      <c r="D549" s="48">
        <v>2.4900000000000002</v>
      </c>
      <c r="S549" s="106"/>
      <c r="T549" s="48"/>
    </row>
    <row r="550" spans="3:20">
      <c r="C550" s="106">
        <v>42797</v>
      </c>
      <c r="D550" s="48">
        <v>2.4900000000000002</v>
      </c>
      <c r="S550" s="106"/>
      <c r="T550" s="48"/>
    </row>
    <row r="551" spans="3:20">
      <c r="C551" s="106">
        <v>42800</v>
      </c>
      <c r="D551" s="48">
        <v>2.4900000000000002</v>
      </c>
      <c r="S551" s="106"/>
      <c r="T551" s="48"/>
    </row>
    <row r="552" spans="3:20">
      <c r="C552" s="106">
        <v>42801</v>
      </c>
      <c r="D552" s="48">
        <v>2.52</v>
      </c>
      <c r="S552" s="106"/>
      <c r="T552" s="48"/>
    </row>
    <row r="553" spans="3:20">
      <c r="C553" s="106">
        <v>42802</v>
      </c>
      <c r="D553" s="48">
        <v>2.57</v>
      </c>
      <c r="S553" s="106"/>
      <c r="T553" s="48"/>
    </row>
    <row r="554" spans="3:20">
      <c r="C554" s="106">
        <v>42803</v>
      </c>
      <c r="D554" s="48">
        <v>2.6</v>
      </c>
      <c r="S554" s="106"/>
      <c r="T554" s="48"/>
    </row>
    <row r="555" spans="3:20">
      <c r="C555" s="106">
        <v>42804</v>
      </c>
      <c r="D555" s="48">
        <v>2.58</v>
      </c>
      <c r="S555" s="106"/>
      <c r="T555" s="48"/>
    </row>
    <row r="556" spans="3:20">
      <c r="C556" s="106">
        <v>42807</v>
      </c>
      <c r="D556" s="48">
        <v>2.62</v>
      </c>
      <c r="S556" s="106"/>
      <c r="T556" s="48"/>
    </row>
    <row r="557" spans="3:20">
      <c r="C557" s="106">
        <v>42808</v>
      </c>
      <c r="D557" s="48">
        <v>2.6</v>
      </c>
      <c r="S557" s="106"/>
      <c r="T557" s="48"/>
    </row>
    <row r="558" spans="3:20">
      <c r="C558" s="106">
        <v>42809</v>
      </c>
      <c r="D558" s="48">
        <v>2.5099999999999998</v>
      </c>
      <c r="S558" s="106"/>
      <c r="T558" s="48"/>
    </row>
    <row r="559" spans="3:20">
      <c r="C559" s="106">
        <v>42810</v>
      </c>
      <c r="D559" s="48">
        <v>2.5299999999999998</v>
      </c>
      <c r="S559" s="106"/>
      <c r="T559" s="48"/>
    </row>
    <row r="560" spans="3:20">
      <c r="C560" s="106">
        <v>42811</v>
      </c>
      <c r="D560" s="48">
        <v>2.5</v>
      </c>
      <c r="S560" s="106"/>
      <c r="T560" s="48"/>
    </row>
    <row r="561" spans="3:20">
      <c r="C561" s="106">
        <v>42814</v>
      </c>
      <c r="D561" s="48">
        <v>2.4700000000000002</v>
      </c>
      <c r="S561" s="106"/>
      <c r="T561" s="48"/>
    </row>
    <row r="562" spans="3:20">
      <c r="C562" s="106">
        <v>42815</v>
      </c>
      <c r="D562" s="48">
        <v>2.4300000000000002</v>
      </c>
      <c r="S562" s="106"/>
      <c r="T562" s="48"/>
    </row>
    <row r="563" spans="3:20">
      <c r="C563" s="106">
        <v>42816</v>
      </c>
      <c r="D563" s="48">
        <v>2.4</v>
      </c>
      <c r="S563" s="106"/>
      <c r="T563" s="48"/>
    </row>
    <row r="564" spans="3:20">
      <c r="C564" s="106">
        <v>42817</v>
      </c>
      <c r="D564" s="48">
        <v>2.41</v>
      </c>
      <c r="S564" s="106"/>
      <c r="T564" s="48"/>
    </row>
    <row r="565" spans="3:20">
      <c r="C565" s="106">
        <v>42818</v>
      </c>
      <c r="D565" s="48">
        <v>2.4</v>
      </c>
      <c r="S565" s="106"/>
      <c r="T565" s="48"/>
    </row>
    <row r="566" spans="3:20">
      <c r="C566" s="106">
        <v>42821</v>
      </c>
      <c r="D566" s="48">
        <v>2.38</v>
      </c>
      <c r="S566" s="106"/>
      <c r="T566" s="48"/>
    </row>
    <row r="567" spans="3:20">
      <c r="C567" s="106">
        <v>42822</v>
      </c>
      <c r="D567" s="48">
        <v>2.42</v>
      </c>
      <c r="S567" s="106"/>
      <c r="T567" s="48"/>
    </row>
    <row r="568" spans="3:20">
      <c r="C568" s="106">
        <v>42823</v>
      </c>
      <c r="D568" s="48">
        <v>2.39</v>
      </c>
      <c r="S568" s="106"/>
      <c r="T568" s="48"/>
    </row>
    <row r="569" spans="3:20">
      <c r="C569" s="106">
        <v>42824</v>
      </c>
      <c r="D569" s="48">
        <v>2.42</v>
      </c>
      <c r="S569" s="106"/>
      <c r="T569" s="48"/>
    </row>
    <row r="570" spans="3:20">
      <c r="C570" s="106">
        <v>42825</v>
      </c>
      <c r="D570" s="48">
        <v>2.4</v>
      </c>
      <c r="S570" s="106"/>
      <c r="T570" s="48"/>
    </row>
    <row r="571" spans="3:20">
      <c r="C571" s="106">
        <v>42828</v>
      </c>
      <c r="D571" s="48">
        <v>2.35</v>
      </c>
      <c r="S571" s="106"/>
      <c r="T571" s="48"/>
    </row>
    <row r="572" spans="3:20">
      <c r="C572" s="106">
        <v>42829</v>
      </c>
      <c r="D572" s="48">
        <v>2.36</v>
      </c>
      <c r="S572" s="106"/>
      <c r="T572" s="48"/>
    </row>
    <row r="573" spans="3:20">
      <c r="C573" s="106">
        <v>42830</v>
      </c>
      <c r="D573" s="48">
        <v>2.34</v>
      </c>
      <c r="S573" s="106"/>
      <c r="T573" s="48"/>
    </row>
    <row r="574" spans="3:20">
      <c r="C574" s="106">
        <v>42831</v>
      </c>
      <c r="D574" s="48">
        <v>2.34</v>
      </c>
      <c r="S574" s="106"/>
      <c r="T574" s="48"/>
    </row>
    <row r="575" spans="3:20">
      <c r="C575" s="106">
        <v>42832</v>
      </c>
      <c r="D575" s="48">
        <v>2.38</v>
      </c>
      <c r="S575" s="106"/>
      <c r="T575" s="48"/>
    </row>
    <row r="576" spans="3:20">
      <c r="C576" s="106">
        <v>42835</v>
      </c>
      <c r="D576" s="48">
        <v>2.37</v>
      </c>
      <c r="S576" s="106"/>
      <c r="T576" s="48"/>
    </row>
    <row r="577" spans="3:20">
      <c r="C577" s="106">
        <v>42836</v>
      </c>
      <c r="D577" s="48">
        <v>2.3199999999999998</v>
      </c>
      <c r="S577" s="106"/>
      <c r="T577" s="48"/>
    </row>
    <row r="578" spans="3:20">
      <c r="C578" s="106">
        <v>42837</v>
      </c>
      <c r="D578" s="48">
        <v>2.2799999999999998</v>
      </c>
      <c r="S578" s="106"/>
      <c r="T578" s="48"/>
    </row>
    <row r="579" spans="3:20">
      <c r="C579" s="106">
        <v>42838</v>
      </c>
      <c r="D579" s="48">
        <v>2.2400000000000002</v>
      </c>
      <c r="S579" s="106"/>
      <c r="T579" s="48"/>
    </row>
    <row r="580" spans="3:20">
      <c r="C580" s="106">
        <v>42842</v>
      </c>
      <c r="D580" s="48">
        <v>2.2599999999999998</v>
      </c>
      <c r="S580" s="106"/>
      <c r="T580" s="48"/>
    </row>
    <row r="581" spans="3:20">
      <c r="C581" s="106">
        <v>42843</v>
      </c>
      <c r="D581" s="48">
        <v>2.1800000000000002</v>
      </c>
      <c r="S581" s="106"/>
      <c r="T581" s="48"/>
    </row>
    <row r="582" spans="3:20">
      <c r="C582" s="106">
        <v>42844</v>
      </c>
      <c r="D582" s="48">
        <v>2.21</v>
      </c>
      <c r="S582" s="106"/>
      <c r="T582" s="48"/>
    </row>
    <row r="583" spans="3:20">
      <c r="C583" s="106">
        <v>42845</v>
      </c>
      <c r="D583" s="48">
        <v>2.2400000000000002</v>
      </c>
      <c r="S583" s="106"/>
      <c r="T583" s="48"/>
    </row>
    <row r="584" spans="3:20">
      <c r="C584" s="106">
        <v>42846</v>
      </c>
      <c r="D584" s="48">
        <v>2.2400000000000002</v>
      </c>
      <c r="S584" s="106"/>
      <c r="T584" s="48"/>
    </row>
    <row r="585" spans="3:20">
      <c r="C585" s="106">
        <v>42849</v>
      </c>
      <c r="D585" s="48">
        <v>2.2799999999999998</v>
      </c>
      <c r="S585" s="106"/>
      <c r="T585" s="48"/>
    </row>
    <row r="586" spans="3:20">
      <c r="C586" s="106">
        <v>42850</v>
      </c>
      <c r="D586" s="48">
        <v>2.35</v>
      </c>
      <c r="S586" s="106"/>
      <c r="T586" s="48"/>
    </row>
    <row r="587" spans="3:20">
      <c r="C587" s="106">
        <v>42851</v>
      </c>
      <c r="D587" s="48">
        <v>2.3199999999999998</v>
      </c>
      <c r="S587" s="106"/>
      <c r="T587" s="48"/>
    </row>
    <row r="588" spans="3:20">
      <c r="C588" s="106">
        <v>42852</v>
      </c>
      <c r="D588" s="48">
        <v>2.2999999999999998</v>
      </c>
      <c r="S588" s="106"/>
      <c r="T588" s="48"/>
    </row>
    <row r="589" spans="3:20">
      <c r="C589" s="106">
        <v>42853</v>
      </c>
      <c r="D589" s="48">
        <v>2.29</v>
      </c>
      <c r="S589" s="106"/>
      <c r="T589" s="48"/>
    </row>
    <row r="590" spans="3:20">
      <c r="C590" s="106">
        <v>42856</v>
      </c>
      <c r="D590" s="48">
        <v>2.33</v>
      </c>
      <c r="S590" s="106"/>
      <c r="T590" s="48"/>
    </row>
    <row r="591" spans="3:20">
      <c r="C591" s="106">
        <v>42857</v>
      </c>
      <c r="D591" s="48">
        <v>2.29</v>
      </c>
      <c r="S591" s="106"/>
      <c r="T591" s="48"/>
    </row>
    <row r="592" spans="3:20">
      <c r="C592" s="106">
        <v>42858</v>
      </c>
      <c r="D592" s="48">
        <v>2.33</v>
      </c>
      <c r="S592" s="106"/>
      <c r="T592" s="48"/>
    </row>
    <row r="593" spans="3:20">
      <c r="C593" s="106">
        <v>42859</v>
      </c>
      <c r="D593" s="48">
        <v>2.36</v>
      </c>
      <c r="S593" s="106"/>
      <c r="T593" s="48"/>
    </row>
    <row r="594" spans="3:20">
      <c r="C594" s="106">
        <v>42860</v>
      </c>
      <c r="D594" s="48">
        <v>2.36</v>
      </c>
      <c r="S594" s="106"/>
      <c r="T594" s="48"/>
    </row>
    <row r="595" spans="3:20">
      <c r="C595" s="106">
        <v>42863</v>
      </c>
      <c r="D595" s="48">
        <v>2.39</v>
      </c>
      <c r="S595" s="106"/>
      <c r="T595" s="48"/>
    </row>
    <row r="596" spans="3:20">
      <c r="C596" s="106">
        <v>42864</v>
      </c>
      <c r="D596" s="48">
        <v>2.42</v>
      </c>
      <c r="S596" s="106"/>
      <c r="T596" s="48"/>
    </row>
    <row r="597" spans="3:20">
      <c r="C597" s="106">
        <v>42865</v>
      </c>
      <c r="D597" s="48">
        <v>2.41</v>
      </c>
      <c r="S597" s="106"/>
      <c r="T597" s="48"/>
    </row>
    <row r="598" spans="3:20">
      <c r="C598" s="106">
        <v>42866</v>
      </c>
      <c r="D598" s="48">
        <v>2.39</v>
      </c>
      <c r="S598" s="106"/>
      <c r="T598" s="48"/>
    </row>
    <row r="599" spans="3:20">
      <c r="C599" s="106">
        <v>42867</v>
      </c>
      <c r="D599" s="48">
        <v>2.33</v>
      </c>
      <c r="S599" s="106"/>
      <c r="T599" s="48"/>
    </row>
    <row r="600" spans="3:20">
      <c r="C600" s="106">
        <v>42870</v>
      </c>
      <c r="D600" s="48">
        <v>2.34</v>
      </c>
      <c r="S600" s="106"/>
      <c r="T600" s="48"/>
    </row>
    <row r="601" spans="3:20">
      <c r="C601" s="106">
        <v>42871</v>
      </c>
      <c r="D601" s="48">
        <v>2.33</v>
      </c>
      <c r="S601" s="106"/>
      <c r="T601" s="48"/>
    </row>
    <row r="602" spans="3:20">
      <c r="C602" s="106">
        <v>42872</v>
      </c>
      <c r="D602" s="48">
        <v>2.2200000000000002</v>
      </c>
      <c r="S602" s="106"/>
      <c r="T602" s="48"/>
    </row>
    <row r="603" spans="3:20">
      <c r="C603" s="106">
        <v>42873</v>
      </c>
      <c r="D603" s="48">
        <v>2.23</v>
      </c>
      <c r="S603" s="106"/>
      <c r="T603" s="48"/>
    </row>
    <row r="604" spans="3:20">
      <c r="C604" s="106">
        <v>42874</v>
      </c>
      <c r="D604" s="48">
        <v>2.23</v>
      </c>
      <c r="S604" s="106"/>
      <c r="T604" s="48"/>
    </row>
    <row r="605" spans="3:20">
      <c r="C605" s="106">
        <v>42877</v>
      </c>
      <c r="D605" s="48">
        <v>2.25</v>
      </c>
      <c r="S605" s="106"/>
      <c r="T605" s="48"/>
    </row>
    <row r="606" spans="3:20">
      <c r="C606" s="106">
        <v>42878</v>
      </c>
      <c r="D606" s="48">
        <v>2.29</v>
      </c>
      <c r="S606" s="106"/>
      <c r="T606" s="48"/>
    </row>
    <row r="607" spans="3:20">
      <c r="C607" s="106">
        <v>42879</v>
      </c>
      <c r="D607" s="48">
        <v>2.2599999999999998</v>
      </c>
      <c r="S607" s="106"/>
      <c r="T607" s="48"/>
    </row>
    <row r="608" spans="3:20">
      <c r="C608" s="106">
        <v>42880</v>
      </c>
      <c r="D608" s="48">
        <v>2.25</v>
      </c>
      <c r="S608" s="106"/>
      <c r="T608" s="48"/>
    </row>
    <row r="609" spans="3:20">
      <c r="C609" s="106">
        <v>42881</v>
      </c>
      <c r="D609" s="48">
        <v>2.25</v>
      </c>
      <c r="S609" s="106"/>
      <c r="T609" s="48"/>
    </row>
    <row r="610" spans="3:20">
      <c r="C610" s="106">
        <v>42885</v>
      </c>
      <c r="D610" s="48">
        <v>2.21</v>
      </c>
      <c r="S610" s="106"/>
      <c r="T610" s="48"/>
    </row>
    <row r="611" spans="3:20">
      <c r="C611" s="106">
        <v>42886</v>
      </c>
      <c r="D611" s="48">
        <v>2.21</v>
      </c>
      <c r="S611" s="106"/>
      <c r="T611" s="48"/>
    </row>
    <row r="612" spans="3:20">
      <c r="C612" s="106">
        <v>42887</v>
      </c>
      <c r="D612" s="48">
        <v>2.21</v>
      </c>
      <c r="S612" s="106"/>
      <c r="T612" s="48"/>
    </row>
    <row r="613" spans="3:20">
      <c r="C613" s="106">
        <v>42888</v>
      </c>
      <c r="D613" s="48">
        <v>2.15</v>
      </c>
      <c r="S613" s="106"/>
      <c r="T613" s="48"/>
    </row>
    <row r="614" spans="3:20">
      <c r="C614" s="106">
        <v>42891</v>
      </c>
      <c r="D614" s="48">
        <v>2.1800000000000002</v>
      </c>
      <c r="S614" s="106"/>
      <c r="T614" s="48"/>
    </row>
    <row r="615" spans="3:20">
      <c r="C615" s="106">
        <v>42892</v>
      </c>
      <c r="D615" s="48">
        <v>2.14</v>
      </c>
      <c r="S615" s="106"/>
      <c r="T615" s="48"/>
    </row>
    <row r="616" spans="3:20">
      <c r="C616" s="106">
        <v>42893</v>
      </c>
      <c r="D616" s="48">
        <v>2.1800000000000002</v>
      </c>
      <c r="S616" s="106"/>
      <c r="T616" s="48"/>
    </row>
    <row r="617" spans="3:20">
      <c r="C617" s="106">
        <v>42894</v>
      </c>
      <c r="D617" s="48">
        <v>2.19</v>
      </c>
      <c r="S617" s="106"/>
      <c r="T617" s="48"/>
    </row>
    <row r="618" spans="3:20">
      <c r="C618" s="106">
        <v>42895</v>
      </c>
      <c r="D618" s="48">
        <v>2.21</v>
      </c>
      <c r="S618" s="106"/>
      <c r="T618" s="48"/>
    </row>
    <row r="619" spans="3:20">
      <c r="C619" s="106">
        <v>42898</v>
      </c>
      <c r="D619" s="48">
        <v>2.21</v>
      </c>
      <c r="S619" s="106"/>
      <c r="T619" s="48"/>
    </row>
    <row r="620" spans="3:20">
      <c r="C620" s="106">
        <v>42899</v>
      </c>
      <c r="D620" s="48">
        <v>2.21</v>
      </c>
      <c r="S620" s="106"/>
      <c r="T620" s="48"/>
    </row>
    <row r="621" spans="3:20">
      <c r="C621" s="106">
        <v>42900</v>
      </c>
      <c r="D621" s="48">
        <v>2.15</v>
      </c>
      <c r="S621" s="106"/>
      <c r="T621" s="48"/>
    </row>
    <row r="622" spans="3:20">
      <c r="C622" s="106">
        <v>42901</v>
      </c>
      <c r="D622" s="48">
        <v>2.16</v>
      </c>
      <c r="S622" s="106"/>
      <c r="T622" s="48"/>
    </row>
    <row r="623" spans="3:20">
      <c r="C623" s="106">
        <v>42902</v>
      </c>
      <c r="D623" s="48">
        <v>2.16</v>
      </c>
      <c r="S623" s="106"/>
      <c r="T623" s="48"/>
    </row>
    <row r="624" spans="3:20">
      <c r="C624" s="106">
        <v>42905</v>
      </c>
      <c r="D624" s="48">
        <v>2.19</v>
      </c>
      <c r="S624" s="106"/>
      <c r="T624" s="48"/>
    </row>
    <row r="625" spans="3:20">
      <c r="C625" s="106">
        <v>42906</v>
      </c>
      <c r="D625" s="48">
        <v>2.16</v>
      </c>
      <c r="S625" s="106"/>
      <c r="T625" s="48"/>
    </row>
    <row r="626" spans="3:20">
      <c r="C626" s="106">
        <v>42907</v>
      </c>
      <c r="D626" s="48">
        <v>2.16</v>
      </c>
      <c r="S626" s="106"/>
      <c r="T626" s="48"/>
    </row>
    <row r="627" spans="3:20">
      <c r="C627" s="106">
        <v>42908</v>
      </c>
      <c r="D627" s="48">
        <v>2.15</v>
      </c>
      <c r="S627" s="106"/>
      <c r="T627" s="48"/>
    </row>
    <row r="628" spans="3:20">
      <c r="C628" s="106">
        <v>42909</v>
      </c>
      <c r="D628" s="48">
        <v>2.15</v>
      </c>
      <c r="S628" s="106"/>
      <c r="T628" s="48"/>
    </row>
    <row r="629" spans="3:20">
      <c r="C629" s="106">
        <v>42912</v>
      </c>
      <c r="D629" s="48">
        <v>2.14</v>
      </c>
      <c r="S629" s="106"/>
      <c r="T629" s="48"/>
    </row>
    <row r="630" spans="3:20">
      <c r="C630" s="106">
        <v>42913</v>
      </c>
      <c r="D630" s="48">
        <v>2.21</v>
      </c>
      <c r="S630" s="106"/>
      <c r="T630" s="48"/>
    </row>
    <row r="631" spans="3:20">
      <c r="C631" s="106">
        <v>42914</v>
      </c>
      <c r="D631" s="48">
        <v>2.2200000000000002</v>
      </c>
      <c r="S631" s="106"/>
      <c r="T631" s="48"/>
    </row>
    <row r="632" spans="3:20">
      <c r="C632" s="106">
        <v>42915</v>
      </c>
      <c r="D632" s="48">
        <v>2.27</v>
      </c>
      <c r="S632" s="106"/>
      <c r="T632" s="48"/>
    </row>
    <row r="633" spans="3:20">
      <c r="C633" s="106">
        <v>42916</v>
      </c>
      <c r="D633" s="48">
        <v>2.31</v>
      </c>
      <c r="S633" s="106"/>
      <c r="T633" s="48"/>
    </row>
    <row r="634" spans="3:20">
      <c r="C634" s="106">
        <v>42919</v>
      </c>
      <c r="D634" s="48">
        <v>2.35</v>
      </c>
      <c r="S634" s="106"/>
      <c r="T634" s="48"/>
    </row>
    <row r="635" spans="3:20">
      <c r="C635" s="106">
        <v>42921</v>
      </c>
      <c r="D635" s="48">
        <v>2.33</v>
      </c>
      <c r="S635" s="106"/>
      <c r="T635" s="48"/>
    </row>
    <row r="636" spans="3:20">
      <c r="C636" s="106">
        <v>42922</v>
      </c>
      <c r="D636" s="48">
        <v>2.37</v>
      </c>
      <c r="S636" s="106"/>
      <c r="T636" s="48"/>
    </row>
    <row r="637" spans="3:20">
      <c r="C637" s="106">
        <v>42923</v>
      </c>
      <c r="D637" s="48">
        <v>2.39</v>
      </c>
      <c r="S637" s="106"/>
      <c r="T637" s="48"/>
    </row>
    <row r="638" spans="3:20">
      <c r="C638" s="106">
        <v>42926</v>
      </c>
      <c r="D638" s="48">
        <v>2.38</v>
      </c>
      <c r="S638" s="106"/>
      <c r="T638" s="48"/>
    </row>
    <row r="639" spans="3:20">
      <c r="C639" s="106">
        <v>42927</v>
      </c>
      <c r="D639" s="48">
        <v>2.37</v>
      </c>
      <c r="S639" s="106"/>
      <c r="T639" s="48"/>
    </row>
    <row r="640" spans="3:20">
      <c r="C640" s="106">
        <v>42928</v>
      </c>
      <c r="D640" s="48">
        <v>2.33</v>
      </c>
      <c r="S640" s="106"/>
      <c r="T640" s="48"/>
    </row>
    <row r="641" spans="3:20">
      <c r="C641" s="106">
        <v>42929</v>
      </c>
      <c r="D641" s="48">
        <v>2.35</v>
      </c>
      <c r="S641" s="106"/>
      <c r="T641" s="48"/>
    </row>
    <row r="642" spans="3:20">
      <c r="C642" s="106">
        <v>42930</v>
      </c>
      <c r="D642" s="48">
        <v>2.33</v>
      </c>
      <c r="S642" s="106"/>
      <c r="T642" s="48"/>
    </row>
    <row r="643" spans="3:20">
      <c r="C643" s="106">
        <v>42933</v>
      </c>
      <c r="D643" s="48">
        <v>2.31</v>
      </c>
      <c r="S643" s="106"/>
      <c r="T643" s="48"/>
    </row>
    <row r="644" spans="3:20">
      <c r="C644" s="106">
        <v>42934</v>
      </c>
      <c r="D644" s="48">
        <v>2.27</v>
      </c>
      <c r="S644" s="106"/>
      <c r="T644" s="48"/>
    </row>
    <row r="645" spans="3:20">
      <c r="C645" s="106">
        <v>42935</v>
      </c>
      <c r="D645" s="48">
        <v>2.27</v>
      </c>
      <c r="S645" s="106"/>
      <c r="T645" s="48"/>
    </row>
    <row r="646" spans="3:20">
      <c r="C646" s="106">
        <v>42936</v>
      </c>
      <c r="D646" s="48">
        <v>2.27</v>
      </c>
      <c r="S646" s="106"/>
      <c r="T646" s="48"/>
    </row>
    <row r="647" spans="3:20">
      <c r="C647" s="106">
        <v>42937</v>
      </c>
      <c r="D647" s="48">
        <v>2.2400000000000002</v>
      </c>
      <c r="S647" s="106"/>
      <c r="T647" s="48"/>
    </row>
    <row r="648" spans="3:20">
      <c r="C648" s="106">
        <v>42940</v>
      </c>
      <c r="D648" s="48">
        <v>2.2599999999999998</v>
      </c>
      <c r="S648" s="106"/>
      <c r="T648" s="48"/>
    </row>
    <row r="649" spans="3:20">
      <c r="C649" s="106">
        <v>42941</v>
      </c>
      <c r="D649" s="48">
        <v>2.33</v>
      </c>
      <c r="S649" s="106"/>
      <c r="T649" s="48"/>
    </row>
    <row r="650" spans="3:20">
      <c r="C650" s="106">
        <v>42942</v>
      </c>
      <c r="D650" s="48">
        <v>2.29</v>
      </c>
      <c r="S650" s="106"/>
      <c r="T650" s="48"/>
    </row>
    <row r="651" spans="3:20">
      <c r="C651" s="106">
        <v>42943</v>
      </c>
      <c r="D651" s="48">
        <v>2.3199999999999998</v>
      </c>
      <c r="S651" s="106"/>
      <c r="T651" s="48"/>
    </row>
    <row r="652" spans="3:20">
      <c r="C652" s="106">
        <v>42944</v>
      </c>
      <c r="D652" s="48">
        <v>2.2999999999999998</v>
      </c>
      <c r="S652" s="106"/>
      <c r="T652" s="48"/>
    </row>
    <row r="653" spans="3:20">
      <c r="C653" s="106">
        <v>42947</v>
      </c>
      <c r="D653" s="48">
        <v>2.2999999999999998</v>
      </c>
      <c r="S653" s="106"/>
      <c r="T653" s="48"/>
    </row>
    <row r="654" spans="3:20">
      <c r="C654" s="106">
        <v>42948</v>
      </c>
      <c r="D654" s="48">
        <v>2.2599999999999998</v>
      </c>
      <c r="S654" s="106"/>
      <c r="T654" s="48"/>
    </row>
    <row r="655" spans="3:20">
      <c r="C655" s="106">
        <v>42949</v>
      </c>
      <c r="D655" s="48">
        <v>2.27</v>
      </c>
      <c r="S655" s="106"/>
      <c r="T655" s="48"/>
    </row>
    <row r="656" spans="3:20">
      <c r="C656" s="106">
        <v>42950</v>
      </c>
      <c r="D656" s="48">
        <v>2.2400000000000002</v>
      </c>
      <c r="S656" s="106"/>
      <c r="T656" s="48"/>
    </row>
    <row r="657" spans="3:20">
      <c r="C657" s="106">
        <v>42951</v>
      </c>
      <c r="D657" s="48">
        <v>2.27</v>
      </c>
      <c r="S657" s="106"/>
      <c r="T657" s="48"/>
    </row>
    <row r="658" spans="3:20">
      <c r="C658" s="106">
        <v>42954</v>
      </c>
      <c r="D658" s="48">
        <v>2.2599999999999998</v>
      </c>
      <c r="S658" s="106"/>
      <c r="T658" s="48"/>
    </row>
    <row r="659" spans="3:20">
      <c r="C659" s="106">
        <v>42955</v>
      </c>
      <c r="D659" s="48">
        <v>2.29</v>
      </c>
      <c r="S659" s="106"/>
      <c r="T659" s="48"/>
    </row>
    <row r="660" spans="3:20">
      <c r="C660" s="106">
        <v>42956</v>
      </c>
      <c r="D660" s="48">
        <v>2.2400000000000002</v>
      </c>
      <c r="S660" s="106"/>
      <c r="T660" s="48"/>
    </row>
    <row r="661" spans="3:20">
      <c r="C661" s="106">
        <v>42957</v>
      </c>
      <c r="D661" s="48">
        <v>2.2000000000000002</v>
      </c>
      <c r="S661" s="106"/>
      <c r="T661" s="48"/>
    </row>
    <row r="662" spans="3:20">
      <c r="C662" s="106">
        <v>42958</v>
      </c>
      <c r="D662" s="48">
        <v>2.19</v>
      </c>
      <c r="S662" s="106"/>
      <c r="T662" s="48"/>
    </row>
    <row r="663" spans="3:20">
      <c r="C663" s="106">
        <v>42961</v>
      </c>
      <c r="D663" s="48">
        <v>2.2200000000000002</v>
      </c>
      <c r="S663" s="106"/>
      <c r="T663" s="48"/>
    </row>
    <row r="664" spans="3:20">
      <c r="C664" s="106">
        <v>42962</v>
      </c>
      <c r="D664" s="48">
        <v>2.27</v>
      </c>
      <c r="S664" s="106"/>
      <c r="T664" s="48"/>
    </row>
    <row r="665" spans="3:20">
      <c r="C665" s="106">
        <v>42963</v>
      </c>
      <c r="D665" s="48">
        <v>2.23</v>
      </c>
      <c r="S665" s="106"/>
      <c r="T665" s="48"/>
    </row>
    <row r="666" spans="3:20">
      <c r="C666" s="106">
        <v>42964</v>
      </c>
      <c r="D666" s="48">
        <v>2.19</v>
      </c>
      <c r="S666" s="106"/>
      <c r="T666" s="48"/>
    </row>
    <row r="667" spans="3:20">
      <c r="C667" s="106">
        <v>42965</v>
      </c>
      <c r="D667" s="48">
        <v>2.19</v>
      </c>
      <c r="S667" s="106"/>
      <c r="T667" s="48"/>
    </row>
    <row r="668" spans="3:20">
      <c r="C668" s="106">
        <v>42968</v>
      </c>
      <c r="D668" s="48">
        <v>2.1800000000000002</v>
      </c>
      <c r="S668" s="106"/>
      <c r="T668" s="48"/>
    </row>
    <row r="669" spans="3:20">
      <c r="C669" s="106">
        <v>42969</v>
      </c>
      <c r="D669" s="48">
        <v>2.2200000000000002</v>
      </c>
      <c r="S669" s="106"/>
      <c r="T669" s="48"/>
    </row>
    <row r="670" spans="3:20">
      <c r="C670" s="106">
        <v>42970</v>
      </c>
      <c r="D670" s="48">
        <v>2.17</v>
      </c>
      <c r="S670" s="106"/>
      <c r="T670" s="48"/>
    </row>
    <row r="671" spans="3:20">
      <c r="C671" s="106">
        <v>42971</v>
      </c>
      <c r="D671" s="48">
        <v>2.19</v>
      </c>
      <c r="S671" s="106"/>
      <c r="T671" s="48"/>
    </row>
    <row r="672" spans="3:20">
      <c r="C672" s="106">
        <v>42972</v>
      </c>
      <c r="D672" s="48">
        <v>2.17</v>
      </c>
      <c r="S672" s="106"/>
      <c r="T672" s="48"/>
    </row>
    <row r="673" spans="3:20">
      <c r="C673" s="106">
        <v>42975</v>
      </c>
      <c r="D673" s="48">
        <v>2.16</v>
      </c>
      <c r="S673" s="106"/>
      <c r="T673" s="48"/>
    </row>
    <row r="674" spans="3:20">
      <c r="C674" s="106">
        <v>42976</v>
      </c>
      <c r="D674" s="48">
        <v>2.13</v>
      </c>
      <c r="S674" s="106"/>
      <c r="T674" s="48"/>
    </row>
    <row r="675" spans="3:20">
      <c r="C675" s="106">
        <v>42977</v>
      </c>
      <c r="D675" s="48">
        <v>2.15</v>
      </c>
      <c r="S675" s="106"/>
      <c r="T675" s="48"/>
    </row>
    <row r="676" spans="3:20">
      <c r="C676" s="106">
        <v>42978</v>
      </c>
      <c r="D676" s="48">
        <v>2.12</v>
      </c>
      <c r="S676" s="106"/>
      <c r="T676" s="48"/>
    </row>
    <row r="677" spans="3:20">
      <c r="C677" s="106">
        <v>42979</v>
      </c>
      <c r="D677" s="48">
        <v>2.16</v>
      </c>
      <c r="S677" s="106"/>
      <c r="T677" s="48"/>
    </row>
    <row r="678" spans="3:20">
      <c r="C678" s="106">
        <v>42983</v>
      </c>
      <c r="D678" s="48">
        <v>2.0699999999999998</v>
      </c>
      <c r="S678" s="106"/>
      <c r="T678" s="48"/>
    </row>
    <row r="679" spans="3:20">
      <c r="C679" s="106">
        <v>42984</v>
      </c>
      <c r="D679" s="48">
        <v>2.1</v>
      </c>
      <c r="S679" s="106"/>
      <c r="T679" s="48"/>
    </row>
    <row r="680" spans="3:20">
      <c r="C680" s="106">
        <v>42985</v>
      </c>
      <c r="D680" s="48">
        <v>2.0499999999999998</v>
      </c>
      <c r="S680" s="106"/>
      <c r="T680" s="48"/>
    </row>
    <row r="681" spans="3:20">
      <c r="C681" s="106">
        <v>42986</v>
      </c>
      <c r="D681" s="48">
        <v>2.06</v>
      </c>
      <c r="S681" s="106"/>
      <c r="T681" s="48"/>
    </row>
    <row r="682" spans="3:20">
      <c r="C682" s="106">
        <v>42989</v>
      </c>
      <c r="D682" s="48">
        <v>2.14</v>
      </c>
      <c r="S682" s="106"/>
      <c r="T682" s="48"/>
    </row>
    <row r="683" spans="3:20">
      <c r="C683" s="106">
        <v>42990</v>
      </c>
      <c r="D683" s="48">
        <v>2.17</v>
      </c>
      <c r="S683" s="106"/>
      <c r="T683" s="48"/>
    </row>
    <row r="684" spans="3:20">
      <c r="C684" s="106">
        <v>42991</v>
      </c>
      <c r="D684" s="48">
        <v>2.2000000000000002</v>
      </c>
      <c r="S684" s="106"/>
      <c r="T684" s="48"/>
    </row>
    <row r="685" spans="3:20">
      <c r="C685" s="106">
        <v>42992</v>
      </c>
      <c r="D685" s="48">
        <v>2.2000000000000002</v>
      </c>
      <c r="S685" s="106"/>
      <c r="T685" s="48"/>
    </row>
    <row r="686" spans="3:20">
      <c r="C686" s="106">
        <v>42993</v>
      </c>
      <c r="D686" s="48">
        <v>2.2000000000000002</v>
      </c>
      <c r="S686" s="106"/>
      <c r="T686" s="48"/>
    </row>
    <row r="687" spans="3:20">
      <c r="C687" s="106">
        <v>42996</v>
      </c>
      <c r="D687" s="48">
        <v>2.23</v>
      </c>
      <c r="S687" s="106"/>
      <c r="T687" s="48"/>
    </row>
    <row r="688" spans="3:20">
      <c r="C688" s="106">
        <v>42997</v>
      </c>
      <c r="D688" s="48">
        <v>2.2400000000000002</v>
      </c>
      <c r="S688" s="106"/>
      <c r="T688" s="48"/>
    </row>
    <row r="689" spans="3:20">
      <c r="C689" s="106">
        <v>42998</v>
      </c>
      <c r="D689" s="48">
        <v>2.2799999999999998</v>
      </c>
      <c r="S689" s="106"/>
      <c r="T689" s="48"/>
    </row>
    <row r="690" spans="3:20">
      <c r="C690" s="106">
        <v>42999</v>
      </c>
      <c r="D690" s="48">
        <v>2.27</v>
      </c>
      <c r="S690" s="106"/>
      <c r="T690" s="48"/>
    </row>
    <row r="691" spans="3:20">
      <c r="C691" s="106">
        <v>43000</v>
      </c>
      <c r="D691" s="48">
        <v>2.2599999999999998</v>
      </c>
      <c r="S691" s="106"/>
      <c r="T691" s="48"/>
    </row>
    <row r="692" spans="3:20">
      <c r="C692" s="106">
        <v>43003</v>
      </c>
      <c r="D692" s="48">
        <v>2.2200000000000002</v>
      </c>
      <c r="S692" s="106"/>
      <c r="T692" s="48"/>
    </row>
    <row r="693" spans="3:20">
      <c r="C693" s="106">
        <v>43004</v>
      </c>
      <c r="D693" s="48">
        <v>2.2400000000000002</v>
      </c>
      <c r="S693" s="106"/>
      <c r="T693" s="48"/>
    </row>
    <row r="694" spans="3:20">
      <c r="C694" s="106">
        <v>43005</v>
      </c>
      <c r="D694" s="48">
        <v>2.31</v>
      </c>
      <c r="S694" s="106"/>
      <c r="T694" s="48"/>
    </row>
    <row r="695" spans="3:20">
      <c r="C695" s="106">
        <v>43006</v>
      </c>
      <c r="D695" s="48">
        <v>2.31</v>
      </c>
      <c r="S695" s="106"/>
      <c r="T695" s="48"/>
    </row>
    <row r="696" spans="3:20">
      <c r="C696" s="106">
        <v>43007</v>
      </c>
      <c r="D696" s="48">
        <v>2.33</v>
      </c>
      <c r="S696" s="106"/>
      <c r="T696" s="48"/>
    </row>
    <row r="697" spans="3:20">
      <c r="C697" s="106">
        <v>43010</v>
      </c>
      <c r="D697" s="48">
        <v>2.34</v>
      </c>
      <c r="S697" s="106"/>
      <c r="T697" s="48"/>
    </row>
    <row r="698" spans="3:20">
      <c r="C698" s="106">
        <v>43011</v>
      </c>
      <c r="D698" s="48">
        <v>2.33</v>
      </c>
      <c r="S698" s="106"/>
      <c r="T698" s="48"/>
    </row>
    <row r="699" spans="3:20">
      <c r="C699" s="106">
        <v>43012</v>
      </c>
      <c r="D699" s="48">
        <v>2.33</v>
      </c>
      <c r="S699" s="106"/>
      <c r="T699" s="48"/>
    </row>
    <row r="700" spans="3:20">
      <c r="C700" s="106">
        <v>43013</v>
      </c>
      <c r="D700" s="48">
        <v>2.35</v>
      </c>
      <c r="S700" s="106"/>
      <c r="T700" s="48"/>
    </row>
    <row r="701" spans="3:20">
      <c r="C701" s="106">
        <v>43014</v>
      </c>
      <c r="D701" s="48">
        <v>2.37</v>
      </c>
      <c r="S701" s="106"/>
      <c r="T701" s="48"/>
    </row>
    <row r="702" spans="3:20">
      <c r="C702" s="106">
        <v>43018</v>
      </c>
      <c r="D702" s="48">
        <v>2.35</v>
      </c>
      <c r="S702" s="106"/>
      <c r="T702" s="48"/>
    </row>
    <row r="703" spans="3:20">
      <c r="C703" s="106">
        <v>43019</v>
      </c>
      <c r="D703" s="48">
        <v>2.35</v>
      </c>
      <c r="S703" s="106"/>
      <c r="T703" s="48"/>
    </row>
    <row r="704" spans="3:20">
      <c r="C704" s="106">
        <v>43020</v>
      </c>
      <c r="D704" s="48">
        <v>2.33</v>
      </c>
      <c r="S704" s="106"/>
      <c r="T704" s="48"/>
    </row>
    <row r="705" spans="3:20">
      <c r="C705" s="106">
        <v>43021</v>
      </c>
      <c r="D705" s="48">
        <v>2.2799999999999998</v>
      </c>
      <c r="S705" s="106"/>
      <c r="T705" s="48"/>
    </row>
    <row r="706" spans="3:20">
      <c r="C706" s="106">
        <v>43024</v>
      </c>
      <c r="D706" s="48">
        <v>2.2999999999999998</v>
      </c>
      <c r="S706" s="106"/>
      <c r="T706" s="48"/>
    </row>
    <row r="707" spans="3:20">
      <c r="C707" s="106">
        <v>43025</v>
      </c>
      <c r="D707" s="48">
        <v>2.2999999999999998</v>
      </c>
      <c r="S707" s="106"/>
      <c r="T707" s="48"/>
    </row>
    <row r="708" spans="3:20">
      <c r="C708" s="106">
        <v>43026</v>
      </c>
      <c r="D708" s="48">
        <v>2.34</v>
      </c>
      <c r="S708" s="106"/>
      <c r="T708" s="48"/>
    </row>
    <row r="709" spans="3:20">
      <c r="C709" s="106">
        <v>43027</v>
      </c>
      <c r="D709" s="48">
        <v>2.33</v>
      </c>
      <c r="S709" s="106"/>
      <c r="T709" s="48"/>
    </row>
    <row r="710" spans="3:20">
      <c r="C710" s="106">
        <v>43028</v>
      </c>
      <c r="D710" s="48">
        <v>2.39</v>
      </c>
      <c r="S710" s="106"/>
      <c r="T710" s="48"/>
    </row>
    <row r="711" spans="3:20">
      <c r="C711" s="106">
        <v>43031</v>
      </c>
      <c r="D711" s="48">
        <v>2.38</v>
      </c>
      <c r="S711" s="106"/>
      <c r="T711" s="48"/>
    </row>
    <row r="712" spans="3:20">
      <c r="C712" s="106">
        <v>43032</v>
      </c>
      <c r="D712" s="48">
        <v>2.42</v>
      </c>
      <c r="S712" s="106"/>
      <c r="T712" s="48"/>
    </row>
    <row r="713" spans="3:20">
      <c r="C713" s="106">
        <v>43033</v>
      </c>
      <c r="D713" s="48">
        <v>2.44</v>
      </c>
      <c r="S713" s="106"/>
      <c r="T713" s="48"/>
    </row>
    <row r="714" spans="3:20">
      <c r="C714" s="106">
        <v>43034</v>
      </c>
      <c r="D714" s="48">
        <v>2.46</v>
      </c>
      <c r="S714" s="106"/>
      <c r="T714" s="48"/>
    </row>
    <row r="715" spans="3:20">
      <c r="C715" s="106">
        <v>43035</v>
      </c>
      <c r="D715" s="48">
        <v>2.42</v>
      </c>
      <c r="S715" s="106"/>
      <c r="T715" s="48"/>
    </row>
    <row r="716" spans="3:20">
      <c r="C716" s="106">
        <v>43038</v>
      </c>
      <c r="D716" s="48">
        <v>2.37</v>
      </c>
      <c r="S716" s="106"/>
      <c r="T716" s="48"/>
    </row>
    <row r="717" spans="3:20">
      <c r="C717" s="106">
        <v>43039</v>
      </c>
      <c r="D717" s="48">
        <v>2.38</v>
      </c>
      <c r="S717" s="106"/>
      <c r="T717" s="48"/>
    </row>
    <row r="718" spans="3:20">
      <c r="C718" s="106">
        <v>43040</v>
      </c>
      <c r="D718" s="48">
        <v>2.37</v>
      </c>
      <c r="S718" s="106"/>
      <c r="T718" s="48"/>
    </row>
    <row r="719" spans="3:20">
      <c r="C719" s="106">
        <v>43041</v>
      </c>
      <c r="D719" s="48">
        <v>2.35</v>
      </c>
      <c r="S719" s="106"/>
      <c r="T719" s="48"/>
    </row>
    <row r="720" spans="3:20">
      <c r="C720" s="106">
        <v>43042</v>
      </c>
      <c r="D720" s="48">
        <v>2.34</v>
      </c>
      <c r="S720" s="106"/>
      <c r="T720" s="48"/>
    </row>
    <row r="721" spans="3:20">
      <c r="C721" s="106">
        <v>43045</v>
      </c>
      <c r="D721" s="48">
        <v>2.3199999999999998</v>
      </c>
      <c r="S721" s="106"/>
      <c r="T721" s="48"/>
    </row>
    <row r="722" spans="3:20">
      <c r="C722" s="106">
        <v>43046</v>
      </c>
      <c r="D722" s="48">
        <v>2.3199999999999998</v>
      </c>
      <c r="S722" s="106"/>
      <c r="T722" s="48"/>
    </row>
    <row r="723" spans="3:20">
      <c r="C723" s="106">
        <v>43047</v>
      </c>
      <c r="D723" s="48">
        <v>2.3199999999999998</v>
      </c>
      <c r="S723" s="106"/>
      <c r="T723" s="48"/>
    </row>
    <row r="724" spans="3:20">
      <c r="C724" s="106">
        <v>43048</v>
      </c>
      <c r="D724" s="48">
        <v>2.33</v>
      </c>
      <c r="S724" s="106"/>
      <c r="T724" s="48"/>
    </row>
    <row r="725" spans="3:20">
      <c r="C725" s="106">
        <v>43049</v>
      </c>
      <c r="D725" s="48">
        <v>2.4</v>
      </c>
      <c r="S725" s="106"/>
      <c r="T725" s="48"/>
    </row>
    <row r="726" spans="3:20">
      <c r="C726" s="106">
        <v>43052</v>
      </c>
      <c r="D726" s="48">
        <v>2.4</v>
      </c>
      <c r="S726" s="106"/>
      <c r="T726" s="48"/>
    </row>
    <row r="727" spans="3:20">
      <c r="C727" s="106">
        <v>43053</v>
      </c>
      <c r="D727" s="48">
        <v>2.38</v>
      </c>
      <c r="S727" s="106"/>
      <c r="T727" s="48"/>
    </row>
    <row r="728" spans="3:20">
      <c r="C728" s="106">
        <v>43054</v>
      </c>
      <c r="D728" s="48">
        <v>2.33</v>
      </c>
      <c r="S728" s="106"/>
      <c r="T728" s="48"/>
    </row>
    <row r="729" spans="3:20">
      <c r="C729" s="106">
        <v>43055</v>
      </c>
      <c r="D729" s="48">
        <v>2.37</v>
      </c>
      <c r="S729" s="106"/>
      <c r="T729" s="48"/>
    </row>
    <row r="730" spans="3:20">
      <c r="C730" s="106">
        <v>43056</v>
      </c>
      <c r="D730" s="48">
        <v>2.35</v>
      </c>
      <c r="S730" s="106"/>
      <c r="T730" s="48"/>
    </row>
    <row r="731" spans="3:20">
      <c r="C731" s="106">
        <v>43059</v>
      </c>
      <c r="D731" s="48">
        <v>2.37</v>
      </c>
      <c r="S731" s="106"/>
      <c r="T731" s="48"/>
    </row>
    <row r="732" spans="3:20">
      <c r="C732" s="106">
        <v>43060</v>
      </c>
      <c r="D732" s="48">
        <v>2.36</v>
      </c>
      <c r="S732" s="106"/>
      <c r="T732" s="48"/>
    </row>
    <row r="733" spans="3:20">
      <c r="C733" s="106">
        <v>43061</v>
      </c>
      <c r="D733" s="48">
        <v>2.3199999999999998</v>
      </c>
      <c r="S733" s="106"/>
      <c r="T733" s="48"/>
    </row>
    <row r="734" spans="3:20">
      <c r="C734" s="106">
        <v>43063</v>
      </c>
      <c r="D734" s="48">
        <v>2.34</v>
      </c>
      <c r="S734" s="106"/>
      <c r="T734" s="48"/>
    </row>
    <row r="735" spans="3:20">
      <c r="C735" s="106">
        <v>43066</v>
      </c>
      <c r="D735" s="48">
        <v>2.3199999999999998</v>
      </c>
      <c r="S735" s="106"/>
      <c r="T735" s="48"/>
    </row>
    <row r="736" spans="3:20">
      <c r="C736" s="106">
        <v>43067</v>
      </c>
      <c r="D736" s="48">
        <v>2.34</v>
      </c>
      <c r="S736" s="106"/>
      <c r="T736" s="48"/>
    </row>
    <row r="737" spans="3:20">
      <c r="C737" s="106">
        <v>43068</v>
      </c>
      <c r="D737" s="48">
        <v>2.37</v>
      </c>
      <c r="S737" s="106"/>
      <c r="T737" s="48"/>
    </row>
    <row r="738" spans="3:20">
      <c r="C738" s="106">
        <v>43069</v>
      </c>
      <c r="D738" s="48">
        <v>2.42</v>
      </c>
      <c r="S738" s="106"/>
      <c r="T738" s="48"/>
    </row>
    <row r="739" spans="3:20">
      <c r="C739" s="106">
        <v>43070</v>
      </c>
      <c r="D739" s="48">
        <v>2.37</v>
      </c>
      <c r="S739" s="106"/>
      <c r="T739" s="48"/>
    </row>
    <row r="740" spans="3:20">
      <c r="C740" s="106">
        <v>43073</v>
      </c>
      <c r="D740" s="48">
        <v>2.37</v>
      </c>
      <c r="S740" s="106"/>
      <c r="T740" s="48"/>
    </row>
    <row r="741" spans="3:20">
      <c r="C741" s="106">
        <v>43074</v>
      </c>
      <c r="D741" s="48">
        <v>2.36</v>
      </c>
      <c r="S741" s="106"/>
      <c r="T741" s="48"/>
    </row>
    <row r="742" spans="3:20">
      <c r="C742" s="106">
        <v>43075</v>
      </c>
      <c r="D742" s="48">
        <v>2.33</v>
      </c>
      <c r="S742" s="106"/>
      <c r="T742" s="48"/>
    </row>
    <row r="743" spans="3:20">
      <c r="C743" s="106">
        <v>43076</v>
      </c>
      <c r="D743" s="48">
        <v>2.37</v>
      </c>
      <c r="S743" s="106"/>
      <c r="T743" s="48"/>
    </row>
    <row r="744" spans="3:20">
      <c r="C744" s="106">
        <v>43077</v>
      </c>
      <c r="D744" s="48">
        <v>2.38</v>
      </c>
      <c r="S744" s="106"/>
      <c r="T744" s="48"/>
    </row>
    <row r="745" spans="3:20">
      <c r="C745" s="106">
        <v>43080</v>
      </c>
      <c r="D745" s="48">
        <v>2.39</v>
      </c>
      <c r="S745" s="106"/>
      <c r="T745" s="48"/>
    </row>
    <row r="746" spans="3:20">
      <c r="C746" s="106">
        <v>43081</v>
      </c>
      <c r="D746" s="48">
        <v>2.4</v>
      </c>
      <c r="S746" s="106"/>
      <c r="T746" s="48"/>
    </row>
    <row r="747" spans="3:20">
      <c r="C747" s="106">
        <v>43082</v>
      </c>
      <c r="D747" s="48">
        <v>2.36</v>
      </c>
      <c r="S747" s="106"/>
      <c r="T747" s="48"/>
    </row>
    <row r="748" spans="3:20">
      <c r="C748" s="106">
        <v>43083</v>
      </c>
      <c r="D748" s="48">
        <v>2.35</v>
      </c>
      <c r="S748" s="106"/>
      <c r="T748" s="48"/>
    </row>
    <row r="749" spans="3:20">
      <c r="C749" s="106">
        <v>43084</v>
      </c>
      <c r="D749" s="48">
        <v>2.35</v>
      </c>
      <c r="S749" s="106"/>
      <c r="T749" s="48"/>
    </row>
    <row r="750" spans="3:20">
      <c r="C750" s="106">
        <v>43087</v>
      </c>
      <c r="D750" s="48">
        <v>2.39</v>
      </c>
      <c r="S750" s="106"/>
      <c r="T750" s="48"/>
    </row>
    <row r="751" spans="3:20">
      <c r="C751" s="106">
        <v>43088</v>
      </c>
      <c r="D751" s="48">
        <v>2.46</v>
      </c>
      <c r="S751" s="106"/>
      <c r="T751" s="48"/>
    </row>
    <row r="752" spans="3:20">
      <c r="C752" s="106">
        <v>43089</v>
      </c>
      <c r="D752" s="48">
        <v>2.4900000000000002</v>
      </c>
      <c r="S752" s="106"/>
      <c r="T752" s="48"/>
    </row>
    <row r="753" spans="3:20">
      <c r="C753" s="106">
        <v>43090</v>
      </c>
      <c r="D753" s="48">
        <v>2.48</v>
      </c>
      <c r="S753" s="106"/>
      <c r="T753" s="48"/>
    </row>
    <row r="754" spans="3:20">
      <c r="C754" s="106">
        <v>43091</v>
      </c>
      <c r="D754" s="48">
        <v>2.48</v>
      </c>
      <c r="S754" s="106"/>
      <c r="T754" s="48"/>
    </row>
    <row r="755" spans="3:20">
      <c r="C755" s="106">
        <v>43095</v>
      </c>
      <c r="D755" s="48">
        <v>2.4700000000000002</v>
      </c>
      <c r="S755" s="106"/>
      <c r="T755" s="48"/>
    </row>
    <row r="756" spans="3:20">
      <c r="C756" s="106">
        <v>43096</v>
      </c>
      <c r="D756" s="48">
        <v>2.42</v>
      </c>
      <c r="S756" s="106"/>
      <c r="T756" s="48"/>
    </row>
    <row r="757" spans="3:20">
      <c r="C757" s="106">
        <v>43097</v>
      </c>
      <c r="D757" s="48">
        <v>2.4300000000000002</v>
      </c>
      <c r="S757" s="106"/>
      <c r="T757" s="48"/>
    </row>
    <row r="758" spans="3:20">
      <c r="C758" s="106">
        <v>43098</v>
      </c>
      <c r="D758" s="48">
        <v>2.4</v>
      </c>
      <c r="S758" s="106"/>
      <c r="T758" s="48"/>
    </row>
    <row r="759" spans="3:20">
      <c r="C759" s="106">
        <v>43102</v>
      </c>
      <c r="D759" s="48">
        <v>2.46</v>
      </c>
      <c r="S759" s="106"/>
      <c r="T759" s="48"/>
    </row>
    <row r="760" spans="3:20">
      <c r="C760" s="106">
        <v>43103</v>
      </c>
      <c r="D760" s="48">
        <v>2.44</v>
      </c>
      <c r="S760" s="106"/>
      <c r="T760" s="48"/>
    </row>
    <row r="761" spans="3:20">
      <c r="C761" s="106">
        <v>43104</v>
      </c>
      <c r="D761" s="48">
        <v>2.46</v>
      </c>
      <c r="S761" s="106"/>
      <c r="T761" s="48"/>
    </row>
    <row r="762" spans="3:20">
      <c r="C762" s="106">
        <v>43105</v>
      </c>
      <c r="D762" s="48">
        <v>2.4700000000000002</v>
      </c>
      <c r="S762" s="106"/>
      <c r="T762" s="48"/>
    </row>
    <row r="763" spans="3:20">
      <c r="C763" s="106">
        <v>43108</v>
      </c>
      <c r="D763" s="48">
        <v>2.4900000000000002</v>
      </c>
      <c r="S763" s="106"/>
      <c r="T763" s="48"/>
    </row>
    <row r="764" spans="3:20">
      <c r="C764" s="106">
        <v>43109</v>
      </c>
      <c r="D764" s="48">
        <v>2.5499999999999998</v>
      </c>
      <c r="S764" s="106"/>
      <c r="T764" s="48"/>
    </row>
    <row r="765" spans="3:20">
      <c r="C765" s="106">
        <v>43110</v>
      </c>
      <c r="D765" s="48">
        <v>2.5499999999999998</v>
      </c>
      <c r="S765" s="106"/>
      <c r="T765" s="48"/>
    </row>
    <row r="766" spans="3:20">
      <c r="C766" s="106">
        <v>43111</v>
      </c>
      <c r="D766" s="48">
        <v>2.54</v>
      </c>
      <c r="S766" s="106"/>
      <c r="T766" s="48"/>
    </row>
    <row r="767" spans="3:20">
      <c r="C767" s="106">
        <v>43112</v>
      </c>
      <c r="D767" s="48">
        <v>2.5499999999999998</v>
      </c>
      <c r="S767" s="106"/>
      <c r="T767" s="48"/>
    </row>
    <row r="768" spans="3:20">
      <c r="C768" s="106">
        <v>43116</v>
      </c>
      <c r="D768" s="48">
        <v>2.54</v>
      </c>
      <c r="S768" s="106"/>
      <c r="T768" s="48"/>
    </row>
    <row r="769" spans="3:20">
      <c r="C769" s="106">
        <v>43117</v>
      </c>
      <c r="D769" s="48">
        <v>2.57</v>
      </c>
      <c r="S769" s="106"/>
      <c r="T769" s="48"/>
    </row>
    <row r="770" spans="3:20">
      <c r="C770" s="106">
        <v>43118</v>
      </c>
      <c r="D770" s="48">
        <v>2.62</v>
      </c>
      <c r="S770" s="106"/>
      <c r="T770" s="48"/>
    </row>
    <row r="771" spans="3:20">
      <c r="C771" s="106">
        <v>43119</v>
      </c>
      <c r="D771" s="48">
        <v>2.64</v>
      </c>
      <c r="S771" s="106"/>
      <c r="T771" s="48"/>
    </row>
    <row r="772" spans="3:20">
      <c r="C772" s="106">
        <v>43122</v>
      </c>
      <c r="D772" s="48">
        <v>2.66</v>
      </c>
      <c r="S772" s="106"/>
      <c r="T772" s="48"/>
    </row>
    <row r="773" spans="3:20">
      <c r="C773" s="106">
        <v>43123</v>
      </c>
      <c r="D773" s="48">
        <v>2.63</v>
      </c>
      <c r="S773" s="106"/>
      <c r="T773" s="48"/>
    </row>
    <row r="774" spans="3:20">
      <c r="C774" s="106">
        <v>43124</v>
      </c>
      <c r="D774" s="48">
        <v>2.65</v>
      </c>
      <c r="S774" s="106"/>
      <c r="T774" s="48"/>
    </row>
    <row r="775" spans="3:20">
      <c r="C775" s="106">
        <v>43125</v>
      </c>
      <c r="D775" s="48">
        <v>2.63</v>
      </c>
      <c r="S775" s="106"/>
      <c r="T775" s="48"/>
    </row>
    <row r="776" spans="3:20">
      <c r="C776" s="106">
        <v>43126</v>
      </c>
      <c r="D776" s="48">
        <v>2.66</v>
      </c>
      <c r="S776" s="106"/>
      <c r="T776" s="48"/>
    </row>
    <row r="777" spans="3:20">
      <c r="C777" s="106">
        <v>43129</v>
      </c>
      <c r="D777" s="48">
        <v>2.7</v>
      </c>
      <c r="S777" s="106"/>
      <c r="T777" s="48"/>
    </row>
    <row r="778" spans="3:20">
      <c r="C778" s="106">
        <v>43130</v>
      </c>
      <c r="D778" s="48">
        <v>2.73</v>
      </c>
      <c r="S778" s="106"/>
      <c r="T778" s="48"/>
    </row>
    <row r="779" spans="3:20">
      <c r="C779" s="106">
        <v>43131</v>
      </c>
      <c r="D779" s="48">
        <v>2.72</v>
      </c>
      <c r="S779" s="106"/>
      <c r="T779" s="48"/>
    </row>
    <row r="780" spans="3:20">
      <c r="C780" s="106">
        <v>43132</v>
      </c>
      <c r="D780" s="48">
        <v>2.78</v>
      </c>
      <c r="S780" s="106"/>
      <c r="T780" s="48"/>
    </row>
    <row r="781" spans="3:20">
      <c r="C781" s="106">
        <v>43133</v>
      </c>
      <c r="D781" s="48">
        <v>2.84</v>
      </c>
      <c r="S781" s="106"/>
      <c r="T781" s="48"/>
    </row>
    <row r="782" spans="3:20">
      <c r="C782" s="106">
        <v>43136</v>
      </c>
      <c r="D782" s="48">
        <v>2.77</v>
      </c>
      <c r="S782" s="106"/>
      <c r="T782" s="48"/>
    </row>
    <row r="783" spans="3:20">
      <c r="C783" s="106">
        <v>43137</v>
      </c>
      <c r="D783" s="48">
        <v>2.79</v>
      </c>
      <c r="S783" s="106"/>
      <c r="T783" s="48"/>
    </row>
    <row r="784" spans="3:20">
      <c r="C784" s="106">
        <v>43138</v>
      </c>
      <c r="D784" s="48">
        <v>2.84</v>
      </c>
      <c r="S784" s="106"/>
      <c r="T784" s="48"/>
    </row>
    <row r="785" spans="3:20">
      <c r="C785" s="106">
        <v>43139</v>
      </c>
      <c r="D785" s="48">
        <v>2.85</v>
      </c>
      <c r="S785" s="106"/>
      <c r="T785" s="48"/>
    </row>
    <row r="786" spans="3:20">
      <c r="C786" s="106">
        <v>43140</v>
      </c>
      <c r="D786" s="48">
        <v>2.83</v>
      </c>
      <c r="S786" s="106"/>
      <c r="T786" s="48"/>
    </row>
    <row r="787" spans="3:20">
      <c r="C787" s="106">
        <v>43143</v>
      </c>
      <c r="D787" s="48">
        <v>2.86</v>
      </c>
      <c r="S787" s="106"/>
      <c r="T787" s="48"/>
    </row>
    <row r="788" spans="3:20">
      <c r="C788" s="106">
        <v>43144</v>
      </c>
      <c r="D788" s="48">
        <v>2.83</v>
      </c>
      <c r="S788" s="106"/>
      <c r="T788" s="48"/>
    </row>
    <row r="789" spans="3:20">
      <c r="C789" s="106">
        <v>43145</v>
      </c>
      <c r="D789" s="48">
        <v>2.91</v>
      </c>
      <c r="S789" s="106"/>
      <c r="T789" s="48"/>
    </row>
    <row r="790" spans="3:20">
      <c r="C790" s="106">
        <v>43146</v>
      </c>
      <c r="D790" s="48">
        <v>2.9</v>
      </c>
      <c r="S790" s="106"/>
      <c r="T790" s="48"/>
    </row>
    <row r="791" spans="3:20">
      <c r="C791" s="106">
        <v>43147</v>
      </c>
      <c r="D791" s="48">
        <v>2.87</v>
      </c>
      <c r="S791" s="106"/>
      <c r="T791" s="48"/>
    </row>
    <row r="792" spans="3:20">
      <c r="C792" s="106">
        <v>43151</v>
      </c>
      <c r="D792" s="48">
        <v>2.88</v>
      </c>
      <c r="S792" s="106"/>
      <c r="T792" s="48"/>
    </row>
    <row r="793" spans="3:20">
      <c r="C793" s="106">
        <v>43152</v>
      </c>
      <c r="D793" s="48">
        <v>2.94</v>
      </c>
      <c r="S793" s="106"/>
      <c r="T793" s="48"/>
    </row>
    <row r="794" spans="3:20">
      <c r="C794" s="106">
        <v>43153</v>
      </c>
      <c r="D794" s="48">
        <v>2.92</v>
      </c>
      <c r="S794" s="106"/>
      <c r="T794" s="48"/>
    </row>
    <row r="795" spans="3:20">
      <c r="C795" s="106">
        <v>43154</v>
      </c>
      <c r="D795" s="48">
        <v>2.88</v>
      </c>
      <c r="S795" s="106"/>
      <c r="T795" s="48"/>
    </row>
    <row r="796" spans="3:20">
      <c r="C796" s="106">
        <v>43157</v>
      </c>
      <c r="D796" s="48">
        <v>2.86</v>
      </c>
      <c r="S796" s="106"/>
      <c r="T796" s="48"/>
    </row>
    <row r="797" spans="3:20">
      <c r="C797" s="106">
        <v>43158</v>
      </c>
      <c r="D797" s="48">
        <v>2.9</v>
      </c>
      <c r="S797" s="106"/>
      <c r="T797" s="48"/>
    </row>
    <row r="798" spans="3:20">
      <c r="C798" s="106">
        <v>43159</v>
      </c>
      <c r="D798" s="48">
        <v>2.87</v>
      </c>
      <c r="S798" s="106"/>
      <c r="T798" s="48"/>
    </row>
    <row r="799" spans="3:20">
      <c r="C799" s="106">
        <v>43160</v>
      </c>
      <c r="D799" s="48">
        <v>2.81</v>
      </c>
      <c r="S799" s="106"/>
      <c r="T799" s="48"/>
    </row>
    <row r="800" spans="3:20">
      <c r="C800" s="106">
        <v>43161</v>
      </c>
      <c r="D800" s="48">
        <v>2.86</v>
      </c>
      <c r="S800" s="106"/>
      <c r="T800" s="48"/>
    </row>
    <row r="801" spans="3:20">
      <c r="C801" s="106">
        <v>43164</v>
      </c>
      <c r="D801" s="48">
        <v>2.88</v>
      </c>
      <c r="S801" s="106"/>
      <c r="T801" s="48"/>
    </row>
    <row r="802" spans="3:20">
      <c r="C802" s="106">
        <v>43165</v>
      </c>
      <c r="D802" s="48">
        <v>2.88</v>
      </c>
      <c r="S802" s="106"/>
      <c r="T802" s="48"/>
    </row>
    <row r="803" spans="3:20">
      <c r="C803" s="106">
        <v>43166</v>
      </c>
      <c r="D803" s="48">
        <v>2.89</v>
      </c>
      <c r="S803" s="106"/>
      <c r="T803" s="48"/>
    </row>
    <row r="804" spans="3:20">
      <c r="C804" s="106">
        <v>43167</v>
      </c>
      <c r="D804" s="48">
        <v>2.86</v>
      </c>
      <c r="S804" s="106"/>
      <c r="T804" s="48"/>
    </row>
    <row r="805" spans="3:20">
      <c r="C805" s="106">
        <v>43168</v>
      </c>
      <c r="D805" s="48">
        <v>2.9</v>
      </c>
      <c r="S805" s="106"/>
      <c r="T805" s="48"/>
    </row>
    <row r="806" spans="3:20">
      <c r="C806" s="106">
        <v>43171</v>
      </c>
      <c r="D806" s="48">
        <v>2.87</v>
      </c>
      <c r="S806" s="106"/>
      <c r="T806" s="48"/>
    </row>
    <row r="807" spans="3:20">
      <c r="C807" s="106">
        <v>43172</v>
      </c>
      <c r="D807" s="48">
        <v>2.84</v>
      </c>
      <c r="S807" s="106"/>
      <c r="T807" s="48"/>
    </row>
    <row r="808" spans="3:20">
      <c r="C808" s="106">
        <v>43173</v>
      </c>
      <c r="D808" s="48">
        <v>2.81</v>
      </c>
      <c r="S808" s="106"/>
      <c r="T808" s="48"/>
    </row>
    <row r="809" spans="3:20">
      <c r="C809" s="106">
        <v>43174</v>
      </c>
      <c r="D809" s="48">
        <v>2.82</v>
      </c>
      <c r="S809" s="106"/>
      <c r="T809" s="48"/>
    </row>
    <row r="810" spans="3:20">
      <c r="C810" s="106">
        <v>43175</v>
      </c>
      <c r="D810" s="48">
        <v>2.85</v>
      </c>
      <c r="S810" s="106"/>
      <c r="T810" s="48"/>
    </row>
    <row r="811" spans="3:20">
      <c r="C811" s="106">
        <v>43178</v>
      </c>
      <c r="D811" s="48">
        <v>2.85</v>
      </c>
      <c r="S811" s="106"/>
      <c r="T811" s="48"/>
    </row>
    <row r="812" spans="3:20">
      <c r="C812" s="106">
        <v>43179</v>
      </c>
      <c r="D812" s="48">
        <v>2.89</v>
      </c>
      <c r="S812" s="106"/>
      <c r="T812" s="48"/>
    </row>
    <row r="813" spans="3:20">
      <c r="C813" s="106">
        <v>43180</v>
      </c>
      <c r="D813" s="48">
        <v>2.89</v>
      </c>
      <c r="S813" s="106"/>
      <c r="T813" s="48"/>
    </row>
    <row r="814" spans="3:20">
      <c r="C814" s="106">
        <v>43181</v>
      </c>
      <c r="D814" s="48">
        <v>2.83</v>
      </c>
      <c r="S814" s="106"/>
      <c r="T814" s="48"/>
    </row>
    <row r="815" spans="3:20">
      <c r="C815" s="106">
        <v>43182</v>
      </c>
      <c r="D815" s="48">
        <v>2.82</v>
      </c>
      <c r="S815" s="106"/>
      <c r="T815" s="48"/>
    </row>
    <row r="816" spans="3:20">
      <c r="C816" s="106">
        <v>43185</v>
      </c>
      <c r="D816" s="48">
        <v>2.85</v>
      </c>
      <c r="S816" s="106"/>
      <c r="T816" s="48"/>
    </row>
    <row r="817" spans="3:20">
      <c r="C817" s="106">
        <v>43186</v>
      </c>
      <c r="D817" s="48">
        <v>2.78</v>
      </c>
      <c r="S817" s="106"/>
      <c r="T817" s="48"/>
    </row>
    <row r="818" spans="3:20">
      <c r="C818" s="106">
        <v>43187</v>
      </c>
      <c r="D818" s="48">
        <v>2.77</v>
      </c>
      <c r="S818" s="106"/>
      <c r="T818" s="48"/>
    </row>
    <row r="819" spans="3:20">
      <c r="C819" s="106">
        <v>43188</v>
      </c>
      <c r="D819" s="48">
        <v>2.74</v>
      </c>
      <c r="S819" s="106"/>
      <c r="T819" s="48"/>
    </row>
    <row r="820" spans="3:20">
      <c r="C820" s="106">
        <v>43192</v>
      </c>
      <c r="D820" s="48">
        <v>2.73</v>
      </c>
      <c r="S820" s="106"/>
      <c r="T820" s="48"/>
    </row>
    <row r="821" spans="3:20">
      <c r="C821" s="106">
        <v>43193</v>
      </c>
      <c r="D821" s="48">
        <v>2.79</v>
      </c>
      <c r="S821" s="106"/>
      <c r="T821" s="48"/>
    </row>
    <row r="822" spans="3:20">
      <c r="C822" s="106">
        <v>43194</v>
      </c>
      <c r="D822" s="48">
        <v>2.79</v>
      </c>
      <c r="S822" s="106"/>
      <c r="T822" s="48"/>
    </row>
    <row r="823" spans="3:20">
      <c r="C823" s="106">
        <v>43195</v>
      </c>
      <c r="D823" s="48">
        <v>2.83</v>
      </c>
      <c r="S823" s="106"/>
      <c r="T823" s="48"/>
    </row>
    <row r="824" spans="3:20">
      <c r="C824" s="106">
        <v>43196</v>
      </c>
      <c r="D824" s="48">
        <v>2.77</v>
      </c>
      <c r="S824" s="106"/>
      <c r="T824" s="48"/>
    </row>
    <row r="825" spans="3:20">
      <c r="C825" s="106">
        <v>43199</v>
      </c>
      <c r="D825" s="48">
        <v>2.78</v>
      </c>
      <c r="S825" s="106"/>
      <c r="T825" s="48"/>
    </row>
    <row r="826" spans="3:20">
      <c r="C826" s="106">
        <v>43200</v>
      </c>
      <c r="D826" s="48">
        <v>2.8</v>
      </c>
      <c r="S826" s="106"/>
      <c r="T826" s="48"/>
    </row>
    <row r="827" spans="3:20">
      <c r="C827" s="106">
        <v>43201</v>
      </c>
      <c r="D827" s="48">
        <v>2.79</v>
      </c>
      <c r="S827" s="106"/>
      <c r="T827" s="48"/>
    </row>
    <row r="828" spans="3:20">
      <c r="C828" s="106">
        <v>43202</v>
      </c>
      <c r="D828" s="48">
        <v>2.83</v>
      </c>
      <c r="S828" s="106"/>
      <c r="T828" s="48"/>
    </row>
    <row r="829" spans="3:20">
      <c r="C829" s="106">
        <v>43203</v>
      </c>
      <c r="D829" s="48">
        <v>2.82</v>
      </c>
      <c r="S829" s="106"/>
      <c r="T829" s="48"/>
    </row>
    <row r="830" spans="3:20">
      <c r="C830" s="106">
        <v>43206</v>
      </c>
      <c r="D830" s="48">
        <v>2.83</v>
      </c>
      <c r="S830" s="106"/>
      <c r="T830" s="48"/>
    </row>
    <row r="831" spans="3:20">
      <c r="C831" s="106">
        <v>43207</v>
      </c>
      <c r="D831" s="48">
        <v>2.82</v>
      </c>
      <c r="S831" s="106"/>
      <c r="T831" s="48"/>
    </row>
    <row r="832" spans="3:20">
      <c r="C832" s="106">
        <v>43208</v>
      </c>
      <c r="D832" s="48">
        <v>2.87</v>
      </c>
      <c r="S832" s="106"/>
      <c r="T832" s="48"/>
    </row>
    <row r="833" spans="3:20">
      <c r="C833" s="106">
        <v>43209</v>
      </c>
      <c r="D833" s="48">
        <v>2.92</v>
      </c>
      <c r="S833" s="106"/>
      <c r="T833" s="48"/>
    </row>
    <row r="834" spans="3:20">
      <c r="C834" s="106">
        <v>43210</v>
      </c>
      <c r="D834" s="48">
        <v>2.96</v>
      </c>
      <c r="S834" s="106"/>
      <c r="T834" s="48"/>
    </row>
    <row r="835" spans="3:20">
      <c r="C835" s="106">
        <v>43213</v>
      </c>
      <c r="D835" s="48">
        <v>2.98</v>
      </c>
      <c r="S835" s="106"/>
      <c r="T835" s="48"/>
    </row>
    <row r="836" spans="3:20">
      <c r="C836" s="106">
        <v>43214</v>
      </c>
      <c r="D836" s="48">
        <v>3</v>
      </c>
      <c r="S836" s="106"/>
      <c r="T836" s="48"/>
    </row>
    <row r="837" spans="3:20">
      <c r="C837" s="106">
        <v>43215</v>
      </c>
      <c r="D837" s="48">
        <v>3.03</v>
      </c>
      <c r="S837" s="106"/>
      <c r="T837" s="48"/>
    </row>
    <row r="838" spans="3:20">
      <c r="C838" s="106">
        <v>43216</v>
      </c>
      <c r="D838" s="48">
        <v>3</v>
      </c>
      <c r="S838" s="106"/>
      <c r="T838" s="48"/>
    </row>
    <row r="839" spans="3:20">
      <c r="C839" s="106">
        <v>43217</v>
      </c>
      <c r="D839" s="48">
        <v>2.96</v>
      </c>
      <c r="S839" s="106"/>
      <c r="T839" s="48"/>
    </row>
    <row r="840" spans="3:20">
      <c r="C840" s="106">
        <v>43220</v>
      </c>
      <c r="D840" s="48">
        <v>2.95</v>
      </c>
      <c r="S840" s="106"/>
      <c r="T840" s="48"/>
    </row>
    <row r="841" spans="3:20">
      <c r="C841" s="106">
        <v>43221</v>
      </c>
      <c r="D841" s="48">
        <v>2.97</v>
      </c>
      <c r="S841" s="106"/>
      <c r="T841" s="48"/>
    </row>
    <row r="842" spans="3:20">
      <c r="C842" s="106">
        <v>43222</v>
      </c>
      <c r="D842" s="48">
        <v>2.97</v>
      </c>
      <c r="S842" s="106"/>
      <c r="T842" s="48"/>
    </row>
    <row r="843" spans="3:20">
      <c r="C843" s="106">
        <v>43223</v>
      </c>
      <c r="D843" s="48">
        <v>2.94</v>
      </c>
      <c r="S843" s="106"/>
      <c r="T843" s="48"/>
    </row>
    <row r="844" spans="3:20">
      <c r="C844" s="106">
        <v>43224</v>
      </c>
      <c r="D844" s="48">
        <v>2.95</v>
      </c>
      <c r="S844" s="106"/>
      <c r="T844" s="48"/>
    </row>
    <row r="845" spans="3:20">
      <c r="C845" s="106">
        <v>43227</v>
      </c>
      <c r="D845" s="48">
        <v>2.95</v>
      </c>
      <c r="S845" s="106"/>
      <c r="T845" s="48"/>
    </row>
    <row r="846" spans="3:20">
      <c r="C846" s="106">
        <v>43228</v>
      </c>
      <c r="D846" s="48">
        <v>2.97</v>
      </c>
      <c r="S846" s="106"/>
      <c r="T846" s="48"/>
    </row>
    <row r="847" spans="3:20">
      <c r="C847" s="106">
        <v>43229</v>
      </c>
      <c r="D847" s="48">
        <v>3</v>
      </c>
      <c r="S847" s="106"/>
      <c r="T847" s="48"/>
    </row>
    <row r="848" spans="3:20">
      <c r="C848" s="106">
        <v>43230</v>
      </c>
      <c r="D848" s="48">
        <v>2.97</v>
      </c>
      <c r="S848" s="106"/>
      <c r="T848" s="48"/>
    </row>
    <row r="849" spans="3:20">
      <c r="C849" s="106">
        <v>43231</v>
      </c>
      <c r="D849" s="48">
        <v>2.97</v>
      </c>
      <c r="S849" s="106"/>
      <c r="T849" s="48"/>
    </row>
    <row r="850" spans="3:20">
      <c r="C850" s="106">
        <v>43234</v>
      </c>
      <c r="D850" s="48">
        <v>3</v>
      </c>
      <c r="S850" s="106"/>
      <c r="T850" s="48"/>
    </row>
    <row r="851" spans="3:20">
      <c r="C851" s="106">
        <v>43235</v>
      </c>
      <c r="D851" s="48">
        <v>3.08</v>
      </c>
      <c r="S851" s="106"/>
      <c r="T851" s="48"/>
    </row>
    <row r="852" spans="3:20">
      <c r="C852" s="106">
        <v>43236</v>
      </c>
      <c r="D852" s="48">
        <v>3.09</v>
      </c>
      <c r="S852" s="106"/>
      <c r="T852" s="48"/>
    </row>
    <row r="853" spans="3:20">
      <c r="C853" s="106">
        <v>43237</v>
      </c>
      <c r="D853" s="48">
        <v>3.11</v>
      </c>
      <c r="S853" s="106"/>
      <c r="T853" s="48"/>
    </row>
    <row r="854" spans="3:20">
      <c r="C854" s="106">
        <v>43238</v>
      </c>
      <c r="D854" s="48">
        <v>3.06</v>
      </c>
      <c r="S854" s="106"/>
      <c r="T854" s="48"/>
    </row>
    <row r="855" spans="3:20">
      <c r="C855" s="106">
        <v>43241</v>
      </c>
      <c r="D855" s="48">
        <v>3.06</v>
      </c>
      <c r="S855" s="106"/>
      <c r="T855" s="48"/>
    </row>
    <row r="856" spans="3:20">
      <c r="C856" s="106">
        <v>43242</v>
      </c>
      <c r="D856" s="48">
        <v>3.06</v>
      </c>
      <c r="S856" s="106"/>
      <c r="T856" s="48"/>
    </row>
    <row r="857" spans="3:20">
      <c r="C857" s="106">
        <v>43243</v>
      </c>
      <c r="D857" s="48">
        <v>3.01</v>
      </c>
      <c r="S857" s="106"/>
      <c r="T857" s="48"/>
    </row>
    <row r="858" spans="3:20">
      <c r="C858" s="106">
        <v>43244</v>
      </c>
      <c r="D858" s="48">
        <v>2.98</v>
      </c>
      <c r="S858" s="106"/>
      <c r="T858" s="48"/>
    </row>
    <row r="859" spans="3:20">
      <c r="C859" s="106">
        <v>43245</v>
      </c>
      <c r="D859" s="48">
        <v>2.93</v>
      </c>
      <c r="S859" s="106"/>
      <c r="T859" s="48"/>
    </row>
    <row r="860" spans="3:20">
      <c r="C860" s="106">
        <v>43249</v>
      </c>
      <c r="D860" s="48">
        <v>2.77</v>
      </c>
      <c r="S860" s="106"/>
      <c r="T860" s="48"/>
    </row>
    <row r="861" spans="3:20">
      <c r="C861" s="106">
        <v>43250</v>
      </c>
      <c r="D861" s="48">
        <v>2.84</v>
      </c>
      <c r="S861" s="106"/>
      <c r="T861" s="48"/>
    </row>
    <row r="862" spans="3:20">
      <c r="C862" s="106">
        <v>43251</v>
      </c>
      <c r="D862" s="48">
        <v>2.83</v>
      </c>
      <c r="S862" s="106"/>
      <c r="T862" s="48"/>
    </row>
    <row r="863" spans="3:20">
      <c r="C863" s="106">
        <v>43252</v>
      </c>
      <c r="D863" s="48">
        <v>2.89</v>
      </c>
      <c r="S863" s="106"/>
      <c r="T863" s="48"/>
    </row>
    <row r="864" spans="3:20">
      <c r="C864" s="106">
        <v>43255</v>
      </c>
      <c r="D864" s="48">
        <v>2.94</v>
      </c>
      <c r="S864" s="106"/>
      <c r="T864" s="48"/>
    </row>
    <row r="865" spans="3:20">
      <c r="C865" s="106">
        <v>43256</v>
      </c>
      <c r="D865" s="48">
        <v>2.92</v>
      </c>
      <c r="S865" s="106"/>
      <c r="T865" s="48"/>
    </row>
    <row r="866" spans="3:20">
      <c r="C866" s="106">
        <v>43257</v>
      </c>
      <c r="D866" s="48">
        <v>2.97</v>
      </c>
      <c r="S866" s="106"/>
      <c r="T866" s="48"/>
    </row>
    <row r="867" spans="3:20">
      <c r="C867" s="106">
        <v>43258</v>
      </c>
      <c r="D867" s="48">
        <v>2.93</v>
      </c>
      <c r="S867" s="106"/>
      <c r="T867" s="48"/>
    </row>
    <row r="868" spans="3:20">
      <c r="C868" s="106">
        <v>43259</v>
      </c>
      <c r="D868" s="48">
        <v>2.93</v>
      </c>
      <c r="S868" s="106"/>
      <c r="T868" s="48"/>
    </row>
    <row r="869" spans="3:20">
      <c r="C869" s="106">
        <v>43262</v>
      </c>
      <c r="D869" s="48">
        <v>2.96</v>
      </c>
      <c r="S869" s="106"/>
      <c r="T869" s="48"/>
    </row>
    <row r="870" spans="3:20">
      <c r="C870" s="106">
        <v>43263</v>
      </c>
      <c r="D870" s="48">
        <v>2.96</v>
      </c>
      <c r="S870" s="106"/>
      <c r="T870" s="48"/>
    </row>
    <row r="871" spans="3:20">
      <c r="C871" s="106">
        <v>43264</v>
      </c>
      <c r="D871" s="48">
        <v>2.98</v>
      </c>
      <c r="S871" s="106"/>
      <c r="T871" s="48"/>
    </row>
    <row r="872" spans="3:20">
      <c r="C872" s="106">
        <v>43265</v>
      </c>
      <c r="D872" s="48">
        <v>2.94</v>
      </c>
      <c r="S872" s="106"/>
      <c r="T872" s="48"/>
    </row>
    <row r="873" spans="3:20">
      <c r="C873" s="106">
        <v>43266</v>
      </c>
      <c r="D873" s="48">
        <v>2.93</v>
      </c>
      <c r="S873" s="106"/>
      <c r="T873" s="48"/>
    </row>
    <row r="874" spans="3:20">
      <c r="C874" s="106">
        <v>43269</v>
      </c>
      <c r="D874" s="48">
        <v>2.92</v>
      </c>
      <c r="S874" s="106"/>
      <c r="T874" s="48"/>
    </row>
    <row r="875" spans="3:20">
      <c r="C875" s="106">
        <v>43270</v>
      </c>
      <c r="D875" s="48">
        <v>2.89</v>
      </c>
      <c r="S875" s="106"/>
      <c r="T875" s="48"/>
    </row>
    <row r="876" spans="3:20">
      <c r="C876" s="106">
        <v>43271</v>
      </c>
      <c r="D876" s="48">
        <v>2.93</v>
      </c>
      <c r="S876" s="106"/>
      <c r="T876" s="48"/>
    </row>
    <row r="877" spans="3:20">
      <c r="C877" s="106">
        <v>43272</v>
      </c>
      <c r="D877" s="48">
        <v>2.9</v>
      </c>
      <c r="S877" s="106"/>
      <c r="T877" s="48"/>
    </row>
    <row r="878" spans="3:20">
      <c r="C878" s="106">
        <v>43273</v>
      </c>
      <c r="D878" s="48">
        <v>2.9</v>
      </c>
      <c r="S878" s="106"/>
      <c r="T878" s="48"/>
    </row>
    <row r="879" spans="3:20">
      <c r="C879" s="106">
        <v>43276</v>
      </c>
      <c r="D879" s="48">
        <v>2.87</v>
      </c>
      <c r="S879" s="106"/>
      <c r="T879" s="48"/>
    </row>
    <row r="880" spans="3:20">
      <c r="C880" s="106">
        <v>43277</v>
      </c>
      <c r="D880" s="48">
        <v>2.88</v>
      </c>
      <c r="S880" s="106"/>
      <c r="T880" s="48"/>
    </row>
    <row r="881" spans="3:20">
      <c r="C881" s="106">
        <v>43278</v>
      </c>
      <c r="D881" s="48">
        <v>2.83</v>
      </c>
      <c r="S881" s="106"/>
      <c r="T881" s="48"/>
    </row>
    <row r="882" spans="3:20">
      <c r="C882" s="106">
        <v>43279</v>
      </c>
      <c r="D882" s="48">
        <v>2.84</v>
      </c>
      <c r="S882" s="106"/>
      <c r="T882" s="48"/>
    </row>
    <row r="883" spans="3:20">
      <c r="C883" s="106">
        <v>43280</v>
      </c>
      <c r="D883" s="48">
        <v>2.85</v>
      </c>
      <c r="S883" s="106"/>
      <c r="T883" s="48"/>
    </row>
    <row r="884" spans="3:20">
      <c r="C884" s="106">
        <v>43283</v>
      </c>
      <c r="D884" s="48">
        <v>2.87</v>
      </c>
      <c r="S884" s="106"/>
      <c r="T884" s="48"/>
    </row>
    <row r="885" spans="3:20">
      <c r="C885" s="106">
        <v>43284</v>
      </c>
      <c r="D885" s="48">
        <v>2.83</v>
      </c>
      <c r="S885" s="106"/>
      <c r="T885" s="48"/>
    </row>
    <row r="886" spans="3:20">
      <c r="C886" s="106">
        <v>43286</v>
      </c>
      <c r="D886" s="48">
        <v>2.84</v>
      </c>
      <c r="S886" s="106"/>
      <c r="T886" s="48"/>
    </row>
    <row r="887" spans="3:20">
      <c r="C887" s="106">
        <v>43287</v>
      </c>
      <c r="D887" s="48">
        <v>2.82</v>
      </c>
      <c r="S887" s="106"/>
      <c r="T887" s="48"/>
    </row>
    <row r="888" spans="3:20">
      <c r="C888" s="106">
        <v>43290</v>
      </c>
      <c r="D888" s="48">
        <v>2.86</v>
      </c>
      <c r="S888" s="106"/>
      <c r="T888" s="48"/>
    </row>
    <row r="889" spans="3:20">
      <c r="C889" s="106">
        <v>43291</v>
      </c>
      <c r="D889" s="48">
        <v>2.87</v>
      </c>
      <c r="S889" s="106"/>
      <c r="T889" s="48"/>
    </row>
    <row r="890" spans="3:20">
      <c r="C890" s="106">
        <v>43292</v>
      </c>
      <c r="D890" s="48">
        <v>2.85</v>
      </c>
      <c r="S890" s="106"/>
      <c r="T890" s="48"/>
    </row>
    <row r="891" spans="3:20">
      <c r="C891" s="106">
        <v>43293</v>
      </c>
      <c r="D891" s="48">
        <v>2.85</v>
      </c>
      <c r="S891" s="106"/>
      <c r="T891" s="48"/>
    </row>
    <row r="892" spans="3:20">
      <c r="C892" s="106">
        <v>43294</v>
      </c>
      <c r="D892" s="48">
        <v>2.83</v>
      </c>
      <c r="S892" s="106"/>
      <c r="T892" s="48"/>
    </row>
    <row r="893" spans="3:20">
      <c r="C893" s="106">
        <v>43297</v>
      </c>
      <c r="D893" s="48">
        <v>2.85</v>
      </c>
      <c r="S893" s="106"/>
      <c r="T893" s="48"/>
    </row>
    <row r="894" spans="3:20">
      <c r="C894" s="106">
        <v>43298</v>
      </c>
      <c r="D894" s="48">
        <v>2.86</v>
      </c>
      <c r="S894" s="106"/>
      <c r="T894" s="48"/>
    </row>
    <row r="895" spans="3:20">
      <c r="C895" s="106">
        <v>43299</v>
      </c>
      <c r="D895" s="48">
        <v>2.88</v>
      </c>
      <c r="S895" s="106"/>
      <c r="T895" s="48"/>
    </row>
    <row r="896" spans="3:20">
      <c r="C896" s="106">
        <v>43300</v>
      </c>
      <c r="D896" s="48">
        <v>2.84</v>
      </c>
      <c r="S896" s="106"/>
      <c r="T896" s="48"/>
    </row>
    <row r="897" spans="3:20">
      <c r="C897" s="106">
        <v>43301</v>
      </c>
      <c r="D897" s="48">
        <v>2.89</v>
      </c>
      <c r="S897" s="106"/>
      <c r="T897" s="48"/>
    </row>
    <row r="898" spans="3:20">
      <c r="C898" s="106">
        <v>43304</v>
      </c>
      <c r="D898" s="48">
        <v>2.96</v>
      </c>
      <c r="S898" s="106"/>
      <c r="T898" s="48"/>
    </row>
    <row r="899" spans="3:20">
      <c r="C899" s="106">
        <v>43305</v>
      </c>
      <c r="D899" s="48">
        <v>2.95</v>
      </c>
      <c r="S899" s="106"/>
      <c r="T899" s="48"/>
    </row>
    <row r="900" spans="3:20">
      <c r="C900" s="106">
        <v>43306</v>
      </c>
      <c r="D900" s="48">
        <v>2.94</v>
      </c>
      <c r="S900" s="106"/>
      <c r="T900" s="48"/>
    </row>
    <row r="901" spans="3:20">
      <c r="C901" s="106">
        <v>43307</v>
      </c>
      <c r="D901" s="48">
        <v>2.98</v>
      </c>
      <c r="S901" s="106"/>
      <c r="T901" s="48"/>
    </row>
    <row r="902" spans="3:20">
      <c r="C902" s="106">
        <v>43308</v>
      </c>
      <c r="D902" s="48">
        <v>2.96</v>
      </c>
      <c r="S902" s="106"/>
      <c r="T902" s="48"/>
    </row>
    <row r="903" spans="3:20">
      <c r="C903" s="106">
        <v>43311</v>
      </c>
      <c r="D903" s="48">
        <v>2.98</v>
      </c>
      <c r="S903" s="106"/>
      <c r="T903" s="48"/>
    </row>
    <row r="904" spans="3:20">
      <c r="C904" s="106">
        <v>43312</v>
      </c>
      <c r="D904" s="48">
        <v>2.96</v>
      </c>
      <c r="S904" s="106"/>
      <c r="T904" s="48"/>
    </row>
    <row r="905" spans="3:20">
      <c r="C905" s="106">
        <v>43313</v>
      </c>
      <c r="D905" s="48">
        <v>3</v>
      </c>
      <c r="S905" s="106"/>
      <c r="T905" s="48"/>
    </row>
    <row r="906" spans="3:20">
      <c r="C906" s="106">
        <v>43314</v>
      </c>
      <c r="D906" s="48">
        <v>2.98</v>
      </c>
      <c r="S906" s="106"/>
      <c r="T906" s="48"/>
    </row>
    <row r="907" spans="3:20">
      <c r="C907" s="106">
        <v>43315</v>
      </c>
      <c r="D907" s="48">
        <v>2.95</v>
      </c>
      <c r="S907" s="106"/>
      <c r="T907" s="48"/>
    </row>
    <row r="908" spans="3:20">
      <c r="C908" s="106">
        <v>43318</v>
      </c>
      <c r="D908" s="48">
        <v>2.94</v>
      </c>
      <c r="S908" s="106"/>
      <c r="T908" s="48"/>
    </row>
    <row r="909" spans="3:20">
      <c r="C909" s="106">
        <v>43319</v>
      </c>
      <c r="D909" s="48">
        <v>2.98</v>
      </c>
      <c r="S909" s="106"/>
      <c r="T909" s="48"/>
    </row>
    <row r="910" spans="3:20">
      <c r="C910" s="106">
        <v>43320</v>
      </c>
      <c r="D910" s="48">
        <v>2.96</v>
      </c>
      <c r="S910" s="106"/>
      <c r="T910" s="48"/>
    </row>
    <row r="911" spans="3:20">
      <c r="C911" s="106">
        <v>43321</v>
      </c>
      <c r="D911" s="48">
        <v>2.93</v>
      </c>
      <c r="S911" s="106"/>
      <c r="T911" s="48"/>
    </row>
    <row r="912" spans="3:20">
      <c r="C912" s="106">
        <v>43322</v>
      </c>
      <c r="D912" s="48">
        <v>2.87</v>
      </c>
      <c r="S912" s="106"/>
      <c r="T912" s="48"/>
    </row>
    <row r="913" spans="3:20">
      <c r="C913" s="106">
        <v>43325</v>
      </c>
      <c r="D913" s="48">
        <v>2.88</v>
      </c>
      <c r="S913" s="106"/>
      <c r="T913" s="48"/>
    </row>
    <row r="914" spans="3:20">
      <c r="C914" s="106">
        <v>43326</v>
      </c>
      <c r="D914" s="48">
        <v>2.89</v>
      </c>
      <c r="S914" s="106"/>
      <c r="T914" s="48"/>
    </row>
    <row r="915" spans="3:20">
      <c r="C915" s="106">
        <v>43327</v>
      </c>
      <c r="D915" s="48">
        <v>2.86</v>
      </c>
      <c r="S915" s="106"/>
      <c r="T915" s="48"/>
    </row>
    <row r="916" spans="3:20">
      <c r="C916" s="106">
        <v>43328</v>
      </c>
      <c r="D916" s="48">
        <v>2.87</v>
      </c>
      <c r="S916" s="106"/>
      <c r="T916" s="48"/>
    </row>
    <row r="917" spans="3:20">
      <c r="C917" s="106">
        <v>43329</v>
      </c>
      <c r="D917" s="48">
        <v>2.87</v>
      </c>
      <c r="S917" s="106"/>
      <c r="T917" s="48"/>
    </row>
    <row r="918" spans="3:20">
      <c r="C918" s="106">
        <v>43332</v>
      </c>
      <c r="D918" s="48">
        <v>2.82</v>
      </c>
      <c r="S918" s="106"/>
      <c r="T918" s="48"/>
    </row>
    <row r="919" spans="3:20">
      <c r="C919" s="106">
        <v>43333</v>
      </c>
      <c r="D919" s="48">
        <v>2.85</v>
      </c>
      <c r="S919" s="106"/>
      <c r="T919" s="48"/>
    </row>
    <row r="920" spans="3:20">
      <c r="C920" s="106">
        <v>43334</v>
      </c>
      <c r="D920" s="48">
        <v>2.82</v>
      </c>
      <c r="S920" s="106"/>
      <c r="T920" s="48"/>
    </row>
    <row r="921" spans="3:20">
      <c r="C921" s="106">
        <v>43335</v>
      </c>
      <c r="D921" s="48">
        <v>2.82</v>
      </c>
      <c r="S921" s="106"/>
      <c r="T921" s="48"/>
    </row>
    <row r="922" spans="3:20">
      <c r="C922" s="106">
        <v>43336</v>
      </c>
      <c r="D922" s="48">
        <v>2.82</v>
      </c>
      <c r="S922" s="106"/>
      <c r="T922" s="48"/>
    </row>
    <row r="923" spans="3:20">
      <c r="C923" s="106">
        <v>43339</v>
      </c>
      <c r="D923" s="48">
        <v>2.85</v>
      </c>
      <c r="S923" s="106"/>
      <c r="T923" s="48"/>
    </row>
    <row r="924" spans="3:20">
      <c r="C924" s="106">
        <v>43340</v>
      </c>
      <c r="D924" s="48">
        <v>2.88</v>
      </c>
      <c r="S924" s="106"/>
      <c r="T924" s="48"/>
    </row>
    <row r="925" spans="3:20">
      <c r="C925" s="106">
        <v>43341</v>
      </c>
      <c r="D925" s="48">
        <v>2.89</v>
      </c>
      <c r="S925" s="106"/>
      <c r="T925" s="48"/>
    </row>
    <row r="926" spans="3:20">
      <c r="C926" s="106">
        <v>43342</v>
      </c>
      <c r="D926" s="48">
        <v>2.86</v>
      </c>
      <c r="S926" s="106"/>
      <c r="T926" s="48"/>
    </row>
    <row r="927" spans="3:20">
      <c r="C927" s="106">
        <v>43343</v>
      </c>
      <c r="D927" s="48">
        <v>2.86</v>
      </c>
      <c r="S927" s="106"/>
      <c r="T927" s="48"/>
    </row>
    <row r="928" spans="3:20">
      <c r="C928" s="106">
        <v>43347</v>
      </c>
      <c r="D928" s="48">
        <v>2.9</v>
      </c>
      <c r="S928" s="106"/>
      <c r="T928" s="48"/>
    </row>
    <row r="929" spans="3:20">
      <c r="C929" s="106">
        <v>43348</v>
      </c>
      <c r="D929" s="48">
        <v>2.9</v>
      </c>
      <c r="S929" s="106"/>
      <c r="T929" s="48"/>
    </row>
    <row r="930" spans="3:20">
      <c r="C930" s="106">
        <v>43349</v>
      </c>
      <c r="D930" s="48">
        <v>2.88</v>
      </c>
      <c r="S930" s="106"/>
      <c r="T930" s="48"/>
    </row>
    <row r="931" spans="3:20">
      <c r="C931" s="106">
        <v>43350</v>
      </c>
      <c r="D931" s="48">
        <v>2.94</v>
      </c>
      <c r="S931" s="106"/>
      <c r="T931" s="48"/>
    </row>
    <row r="932" spans="3:20">
      <c r="C932" s="106">
        <v>43353</v>
      </c>
      <c r="D932" s="48">
        <v>2.94</v>
      </c>
      <c r="S932" s="106"/>
      <c r="T932" s="48"/>
    </row>
    <row r="933" spans="3:20">
      <c r="C933" s="106">
        <v>43354</v>
      </c>
      <c r="D933" s="48">
        <v>2.98</v>
      </c>
      <c r="S933" s="106"/>
      <c r="T933" s="48"/>
    </row>
    <row r="934" spans="3:20">
      <c r="C934" s="106">
        <v>43355</v>
      </c>
      <c r="D934" s="48">
        <v>2.97</v>
      </c>
      <c r="S934" s="106"/>
      <c r="T934" s="48"/>
    </row>
    <row r="935" spans="3:20">
      <c r="C935" s="106">
        <v>43356</v>
      </c>
      <c r="D935" s="48">
        <v>2.97</v>
      </c>
      <c r="S935" s="106"/>
      <c r="T935" s="48"/>
    </row>
    <row r="936" spans="3:20">
      <c r="C936" s="106">
        <v>43357</v>
      </c>
      <c r="D936" s="48">
        <v>2.99</v>
      </c>
      <c r="S936" s="106"/>
      <c r="T936" s="48"/>
    </row>
    <row r="937" spans="3:20">
      <c r="C937" s="106">
        <v>43360</v>
      </c>
      <c r="D937" s="48">
        <v>2.99</v>
      </c>
      <c r="S937" s="106"/>
      <c r="T937" s="48"/>
    </row>
    <row r="938" spans="3:20">
      <c r="C938" s="106">
        <v>43361</v>
      </c>
      <c r="D938" s="48">
        <v>3.05</v>
      </c>
      <c r="S938" s="106"/>
      <c r="T938" s="48"/>
    </row>
    <row r="939" spans="3:20">
      <c r="C939" s="106">
        <v>43362</v>
      </c>
      <c r="D939" s="48">
        <v>3.08</v>
      </c>
      <c r="S939" s="106"/>
      <c r="T939" s="48"/>
    </row>
    <row r="940" spans="3:20">
      <c r="C940" s="106">
        <v>43363</v>
      </c>
      <c r="D940" s="48">
        <v>3.07</v>
      </c>
      <c r="S940" s="106"/>
      <c r="T940" s="48"/>
    </row>
    <row r="941" spans="3:20">
      <c r="C941" s="106">
        <v>43364</v>
      </c>
      <c r="D941" s="48">
        <v>3.07</v>
      </c>
      <c r="S941" s="106"/>
      <c r="T941" s="48"/>
    </row>
    <row r="942" spans="3:20">
      <c r="C942" s="106">
        <v>43367</v>
      </c>
      <c r="D942" s="48">
        <v>3.08</v>
      </c>
      <c r="S942" s="106"/>
      <c r="T942" s="48"/>
    </row>
    <row r="943" spans="3:20">
      <c r="C943" s="106">
        <v>43368</v>
      </c>
      <c r="D943" s="48">
        <v>3.1</v>
      </c>
      <c r="S943" s="106"/>
      <c r="T943" s="48"/>
    </row>
    <row r="944" spans="3:20">
      <c r="C944" s="106">
        <v>43369</v>
      </c>
      <c r="D944" s="48">
        <v>3.06</v>
      </c>
      <c r="S944" s="106"/>
      <c r="T944" s="48"/>
    </row>
    <row r="945" spans="3:20">
      <c r="C945" s="106">
        <v>43370</v>
      </c>
      <c r="D945" s="48">
        <v>3.06</v>
      </c>
      <c r="S945" s="106"/>
      <c r="T945" s="48"/>
    </row>
    <row r="946" spans="3:20">
      <c r="C946" s="106">
        <v>43371</v>
      </c>
      <c r="D946" s="48">
        <v>3.05</v>
      </c>
      <c r="S946" s="106"/>
      <c r="T946" s="48"/>
    </row>
    <row r="947" spans="3:20">
      <c r="C947" s="106">
        <v>43374</v>
      </c>
      <c r="D947" s="48">
        <v>3.09</v>
      </c>
      <c r="S947" s="106"/>
      <c r="T947" s="48"/>
    </row>
    <row r="948" spans="3:20">
      <c r="C948" s="106">
        <v>43375</v>
      </c>
      <c r="D948" s="48">
        <v>3.05</v>
      </c>
      <c r="S948" s="106"/>
      <c r="T948" s="48"/>
    </row>
    <row r="949" spans="3:20">
      <c r="C949" s="106">
        <v>43376</v>
      </c>
      <c r="D949" s="48">
        <v>3.15</v>
      </c>
      <c r="S949" s="106"/>
      <c r="T949" s="48"/>
    </row>
    <row r="950" spans="3:20">
      <c r="C950" s="106">
        <v>43377</v>
      </c>
      <c r="D950" s="48">
        <v>3.19</v>
      </c>
      <c r="S950" s="106"/>
      <c r="T950" s="48"/>
    </row>
    <row r="951" spans="3:20">
      <c r="C951" s="106">
        <v>43378</v>
      </c>
      <c r="D951" s="48">
        <v>3.23</v>
      </c>
      <c r="S951" s="106"/>
      <c r="T951" s="48"/>
    </row>
    <row r="952" spans="3:20">
      <c r="C952" s="106">
        <v>43382</v>
      </c>
      <c r="D952" s="48">
        <v>3.21</v>
      </c>
      <c r="S952" s="106"/>
      <c r="T952" s="48"/>
    </row>
    <row r="953" spans="3:20">
      <c r="C953" s="106">
        <v>43383</v>
      </c>
      <c r="D953" s="48">
        <v>3.22</v>
      </c>
      <c r="S953" s="106"/>
      <c r="T953" s="48"/>
    </row>
    <row r="954" spans="3:20">
      <c r="C954" s="106">
        <v>43384</v>
      </c>
      <c r="D954" s="48">
        <v>3.14</v>
      </c>
      <c r="S954" s="106"/>
      <c r="T954" s="48"/>
    </row>
    <row r="955" spans="3:20">
      <c r="C955" s="106">
        <v>43385</v>
      </c>
      <c r="D955" s="48">
        <v>3.15</v>
      </c>
      <c r="S955" s="106"/>
      <c r="T955" s="48"/>
    </row>
    <row r="956" spans="3:20">
      <c r="C956" s="106">
        <v>43388</v>
      </c>
      <c r="D956" s="48">
        <v>3.16</v>
      </c>
      <c r="S956" s="106"/>
      <c r="T956" s="48"/>
    </row>
    <row r="957" spans="3:20">
      <c r="C957" s="106">
        <v>43389</v>
      </c>
      <c r="D957" s="48">
        <v>3.16</v>
      </c>
      <c r="S957" s="106"/>
      <c r="T957" s="48"/>
    </row>
    <row r="958" spans="3:20">
      <c r="C958" s="106">
        <v>43390</v>
      </c>
      <c r="D958" s="48">
        <v>3.19</v>
      </c>
      <c r="S958" s="106"/>
      <c r="T958" s="48"/>
    </row>
    <row r="959" spans="3:20">
      <c r="C959" s="106">
        <v>43391</v>
      </c>
      <c r="D959" s="48">
        <v>3.17</v>
      </c>
      <c r="S959" s="106"/>
      <c r="T959" s="48"/>
    </row>
    <row r="960" spans="3:20">
      <c r="C960" s="106">
        <v>43392</v>
      </c>
      <c r="D960" s="48">
        <v>3.2</v>
      </c>
      <c r="S960" s="106"/>
      <c r="T960" s="48"/>
    </row>
    <row r="961" spans="3:20">
      <c r="C961" s="106">
        <v>43395</v>
      </c>
      <c r="D961" s="48">
        <v>3.2</v>
      </c>
      <c r="S961" s="106"/>
      <c r="T961" s="48"/>
    </row>
    <row r="962" spans="3:20">
      <c r="C962" s="106">
        <v>43396</v>
      </c>
      <c r="D962" s="48">
        <v>3.17</v>
      </c>
      <c r="S962" s="106"/>
      <c r="T962" s="48"/>
    </row>
    <row r="963" spans="3:20">
      <c r="C963" s="106">
        <v>43397</v>
      </c>
      <c r="D963" s="48">
        <v>3.1</v>
      </c>
      <c r="S963" s="106"/>
      <c r="T963" s="48"/>
    </row>
    <row r="964" spans="3:20">
      <c r="C964" s="106">
        <v>43398</v>
      </c>
      <c r="D964" s="48">
        <v>3.14</v>
      </c>
      <c r="S964" s="106"/>
      <c r="T964" s="48"/>
    </row>
    <row r="965" spans="3:20">
      <c r="C965" s="106">
        <v>43399</v>
      </c>
      <c r="D965" s="48">
        <v>3.08</v>
      </c>
      <c r="S965" s="106"/>
      <c r="T965" s="48"/>
    </row>
    <row r="966" spans="3:20">
      <c r="C966" s="106">
        <v>43402</v>
      </c>
      <c r="D966" s="48">
        <v>3.08</v>
      </c>
      <c r="S966" s="106"/>
      <c r="T966" s="48"/>
    </row>
    <row r="967" spans="3:20">
      <c r="C967" s="106">
        <v>43403</v>
      </c>
      <c r="D967" s="48">
        <v>3.12</v>
      </c>
      <c r="S967" s="106"/>
      <c r="T967" s="48"/>
    </row>
    <row r="968" spans="3:20">
      <c r="C968" s="106">
        <v>43404</v>
      </c>
      <c r="D968" s="48">
        <v>3.15</v>
      </c>
      <c r="S968" s="106"/>
      <c r="T968" s="48"/>
    </row>
    <row r="969" spans="3:20">
      <c r="C969" s="106">
        <v>43405</v>
      </c>
      <c r="D969" s="48">
        <v>3.14</v>
      </c>
      <c r="S969" s="106"/>
      <c r="T969" s="48"/>
    </row>
    <row r="970" spans="3:20">
      <c r="C970" s="106">
        <v>43406</v>
      </c>
      <c r="D970" s="48">
        <v>3.22</v>
      </c>
      <c r="S970" s="106"/>
      <c r="T970" s="48"/>
    </row>
    <row r="971" spans="3:20">
      <c r="C971" s="106">
        <v>43409</v>
      </c>
      <c r="D971" s="48">
        <v>3.2</v>
      </c>
      <c r="S971" s="106"/>
      <c r="T971" s="48"/>
    </row>
    <row r="972" spans="3:20">
      <c r="C972" s="106">
        <v>43410</v>
      </c>
      <c r="D972" s="48">
        <v>3.22</v>
      </c>
      <c r="S972" s="106"/>
      <c r="T972" s="48"/>
    </row>
    <row r="973" spans="3:20">
      <c r="C973" s="106">
        <v>43411</v>
      </c>
      <c r="D973" s="48">
        <v>3.22</v>
      </c>
      <c r="S973" s="106"/>
      <c r="T973" s="48"/>
    </row>
    <row r="974" spans="3:20">
      <c r="C974" s="106">
        <v>43412</v>
      </c>
      <c r="D974" s="48">
        <v>3.24</v>
      </c>
      <c r="S974" s="106"/>
      <c r="T974" s="48"/>
    </row>
    <row r="975" spans="3:20">
      <c r="C975" s="106">
        <v>43413</v>
      </c>
      <c r="D975" s="48">
        <v>3.19</v>
      </c>
      <c r="S975" s="106"/>
      <c r="T975" s="48"/>
    </row>
    <row r="976" spans="3:20">
      <c r="C976" s="106">
        <v>43417</v>
      </c>
      <c r="D976" s="48">
        <v>3.14</v>
      </c>
      <c r="S976" s="106"/>
      <c r="T976" s="48"/>
    </row>
    <row r="977" spans="3:20">
      <c r="C977" s="106">
        <v>43418</v>
      </c>
      <c r="D977" s="48">
        <v>3.12</v>
      </c>
      <c r="S977" s="106"/>
      <c r="T977" s="48"/>
    </row>
    <row r="978" spans="3:20">
      <c r="C978" s="106">
        <v>43419</v>
      </c>
      <c r="D978" s="48">
        <v>3.11</v>
      </c>
      <c r="S978" s="106"/>
      <c r="T978" s="48"/>
    </row>
    <row r="979" spans="3:20">
      <c r="C979" s="106">
        <v>43420</v>
      </c>
      <c r="D979" s="48">
        <v>3.08</v>
      </c>
      <c r="S979" s="106"/>
      <c r="T979" s="48"/>
    </row>
    <row r="980" spans="3:20">
      <c r="C980" s="106">
        <v>43423</v>
      </c>
      <c r="D980" s="48">
        <v>3.06</v>
      </c>
      <c r="S980" s="106"/>
      <c r="T980" s="48"/>
    </row>
    <row r="981" spans="3:20">
      <c r="C981" s="106">
        <v>43424</v>
      </c>
      <c r="D981" s="48">
        <v>3.06</v>
      </c>
      <c r="S981" s="106"/>
      <c r="T981" s="48"/>
    </row>
    <row r="982" spans="3:20">
      <c r="C982" s="106">
        <v>43425</v>
      </c>
      <c r="D982" s="48">
        <v>3.06</v>
      </c>
      <c r="S982" s="106"/>
      <c r="T982" s="48"/>
    </row>
    <row r="983" spans="3:20">
      <c r="C983" s="106">
        <v>43427</v>
      </c>
      <c r="D983" s="48">
        <v>3.05</v>
      </c>
      <c r="S983" s="106"/>
      <c r="T983" s="48"/>
    </row>
    <row r="984" spans="3:20">
      <c r="C984" s="106">
        <v>43430</v>
      </c>
      <c r="D984" s="48">
        <v>3.07</v>
      </c>
      <c r="S984" s="106"/>
      <c r="T984" s="48"/>
    </row>
    <row r="985" spans="3:20">
      <c r="C985" s="106">
        <v>43431</v>
      </c>
      <c r="D985" s="48">
        <v>3.06</v>
      </c>
      <c r="S985" s="106"/>
      <c r="T985" s="48"/>
    </row>
    <row r="986" spans="3:20">
      <c r="C986" s="106">
        <v>43432</v>
      </c>
      <c r="D986" s="48">
        <v>3.06</v>
      </c>
      <c r="S986" s="106"/>
      <c r="T986" s="48"/>
    </row>
    <row r="987" spans="3:20">
      <c r="C987" s="106">
        <v>43433</v>
      </c>
      <c r="D987" s="48">
        <v>3.03</v>
      </c>
      <c r="S987" s="106"/>
      <c r="T987" s="48"/>
    </row>
    <row r="988" spans="3:20">
      <c r="C988" s="106">
        <v>43434</v>
      </c>
      <c r="D988" s="48">
        <v>3.01</v>
      </c>
      <c r="S988" s="106"/>
      <c r="T988" s="48"/>
    </row>
    <row r="989" spans="3:20">
      <c r="C989" s="106">
        <v>43437</v>
      </c>
      <c r="D989" s="48">
        <v>2.98</v>
      </c>
      <c r="S989" s="106"/>
      <c r="T989" s="48"/>
    </row>
    <row r="990" spans="3:20">
      <c r="C990" s="106">
        <v>43438</v>
      </c>
      <c r="D990" s="48">
        <v>2.91</v>
      </c>
      <c r="S990" s="106"/>
      <c r="T990" s="48"/>
    </row>
    <row r="991" spans="3:20">
      <c r="C991" s="106">
        <v>43440</v>
      </c>
      <c r="D991" s="48">
        <v>2.87</v>
      </c>
      <c r="S991" s="106"/>
      <c r="T991" s="48"/>
    </row>
    <row r="992" spans="3:20">
      <c r="C992" s="106">
        <v>43441</v>
      </c>
      <c r="D992" s="48">
        <v>2.85</v>
      </c>
      <c r="S992" s="106"/>
      <c r="T992" s="48"/>
    </row>
    <row r="993" spans="3:20">
      <c r="C993" s="106">
        <v>43444</v>
      </c>
      <c r="D993" s="48">
        <v>2.85</v>
      </c>
      <c r="S993" s="106"/>
      <c r="T993" s="48"/>
    </row>
    <row r="994" spans="3:20">
      <c r="C994" s="106">
        <v>43445</v>
      </c>
      <c r="D994" s="48">
        <v>2.89</v>
      </c>
      <c r="S994" s="106"/>
      <c r="T994" s="48"/>
    </row>
    <row r="995" spans="3:20">
      <c r="C995" s="106">
        <v>43446</v>
      </c>
      <c r="D995" s="48">
        <v>2.91</v>
      </c>
      <c r="S995" s="106"/>
      <c r="T995" s="48"/>
    </row>
    <row r="996" spans="3:20">
      <c r="C996" s="106">
        <v>43447</v>
      </c>
      <c r="D996" s="48">
        <v>2.91</v>
      </c>
      <c r="S996" s="106"/>
      <c r="T996" s="48"/>
    </row>
    <row r="997" spans="3:20">
      <c r="C997" s="106">
        <v>43448</v>
      </c>
      <c r="D997" s="48">
        <v>2.89</v>
      </c>
      <c r="S997" s="106"/>
      <c r="T997" s="48"/>
    </row>
    <row r="998" spans="3:20">
      <c r="C998" s="106">
        <v>43451</v>
      </c>
      <c r="D998" s="48">
        <v>2.86</v>
      </c>
      <c r="S998" s="106"/>
      <c r="T998" s="48"/>
    </row>
    <row r="999" spans="3:20">
      <c r="C999" s="106">
        <v>43452</v>
      </c>
      <c r="D999" s="48">
        <v>2.82</v>
      </c>
      <c r="S999" s="106"/>
      <c r="T999" s="48"/>
    </row>
    <row r="1000" spans="3:20">
      <c r="C1000" s="106">
        <v>43453</v>
      </c>
      <c r="D1000" s="48">
        <v>2.77</v>
      </c>
      <c r="S1000" s="106"/>
      <c r="T1000" s="48"/>
    </row>
    <row r="1001" spans="3:20">
      <c r="C1001" s="106">
        <v>43454</v>
      </c>
      <c r="D1001" s="48">
        <v>2.79</v>
      </c>
      <c r="S1001" s="106"/>
      <c r="T1001" s="48"/>
    </row>
    <row r="1002" spans="3:20">
      <c r="C1002" s="106">
        <v>43455</v>
      </c>
      <c r="D1002" s="48">
        <v>2.79</v>
      </c>
      <c r="S1002" s="106"/>
      <c r="T1002" s="48"/>
    </row>
    <row r="1003" spans="3:20">
      <c r="C1003" s="106">
        <v>43458</v>
      </c>
      <c r="D1003" s="48">
        <v>2.74</v>
      </c>
      <c r="S1003" s="106"/>
      <c r="T1003" s="48"/>
    </row>
    <row r="1004" spans="3:20">
      <c r="C1004" s="106">
        <v>43460</v>
      </c>
      <c r="D1004" s="48">
        <v>2.81</v>
      </c>
      <c r="S1004" s="106"/>
      <c r="T1004" s="48"/>
    </row>
    <row r="1005" spans="3:20">
      <c r="C1005" s="106">
        <v>43461</v>
      </c>
      <c r="D1005" s="48">
        <v>2.77</v>
      </c>
      <c r="S1005" s="106"/>
      <c r="T1005" s="48"/>
    </row>
    <row r="1006" spans="3:20">
      <c r="C1006" s="106">
        <v>43462</v>
      </c>
      <c r="D1006" s="48">
        <v>2.72</v>
      </c>
      <c r="S1006" s="106"/>
      <c r="T1006" s="48"/>
    </row>
    <row r="1007" spans="3:20">
      <c r="C1007" s="106">
        <v>43465</v>
      </c>
      <c r="D1007" s="48">
        <v>2.69</v>
      </c>
      <c r="S1007" s="106"/>
      <c r="T1007" s="48"/>
    </row>
    <row r="1008" spans="3:20">
      <c r="C1008" s="106">
        <v>43467</v>
      </c>
      <c r="D1008" s="48">
        <v>2.66</v>
      </c>
      <c r="S1008" s="106"/>
      <c r="T1008" s="48"/>
    </row>
    <row r="1009" spans="3:20">
      <c r="C1009" s="106">
        <v>43468</v>
      </c>
      <c r="D1009" s="48">
        <v>2.56</v>
      </c>
      <c r="S1009" s="106"/>
      <c r="T1009" s="48"/>
    </row>
    <row r="1010" spans="3:20">
      <c r="C1010" s="106">
        <v>43469</v>
      </c>
      <c r="D1010" s="48">
        <v>2.67</v>
      </c>
      <c r="S1010" s="106"/>
      <c r="T1010" s="48"/>
    </row>
    <row r="1011" spans="3:20">
      <c r="C1011" s="106">
        <v>43472</v>
      </c>
      <c r="D1011" s="48">
        <v>2.7</v>
      </c>
      <c r="S1011" s="106"/>
      <c r="T1011" s="48"/>
    </row>
    <row r="1012" spans="3:20">
      <c r="C1012" s="106">
        <v>43473</v>
      </c>
      <c r="D1012" s="48">
        <v>2.73</v>
      </c>
      <c r="S1012" s="106"/>
      <c r="T1012" s="48"/>
    </row>
    <row r="1013" spans="3:20">
      <c r="C1013" s="106">
        <v>43474</v>
      </c>
      <c r="D1013" s="48">
        <v>2.74</v>
      </c>
      <c r="S1013" s="106"/>
      <c r="T1013" s="48"/>
    </row>
    <row r="1014" spans="3:20">
      <c r="C1014" s="106">
        <v>43475</v>
      </c>
      <c r="D1014" s="48">
        <v>2.74</v>
      </c>
      <c r="S1014" s="106"/>
      <c r="T1014" s="48"/>
    </row>
    <row r="1015" spans="3:20">
      <c r="C1015" s="106">
        <v>43476</v>
      </c>
      <c r="D1015" s="48">
        <v>2.71</v>
      </c>
      <c r="S1015" s="106"/>
      <c r="T1015" s="48"/>
    </row>
    <row r="1016" spans="3:20">
      <c r="C1016" s="106">
        <v>43479</v>
      </c>
      <c r="D1016" s="48">
        <v>2.71</v>
      </c>
      <c r="S1016" s="106"/>
      <c r="T1016" s="48"/>
    </row>
    <row r="1017" spans="3:20">
      <c r="C1017" s="106">
        <v>43480</v>
      </c>
      <c r="D1017" s="48">
        <v>2.72</v>
      </c>
      <c r="S1017" s="106"/>
      <c r="T1017" s="48"/>
    </row>
    <row r="1018" spans="3:20">
      <c r="C1018" s="106">
        <v>43481</v>
      </c>
      <c r="D1018" s="48">
        <v>2.73</v>
      </c>
      <c r="S1018" s="106"/>
      <c r="T1018" s="48"/>
    </row>
    <row r="1019" spans="3:20">
      <c r="C1019" s="106">
        <v>43482</v>
      </c>
      <c r="D1019" s="48">
        <v>2.75</v>
      </c>
      <c r="S1019" s="106"/>
      <c r="T1019" s="48"/>
    </row>
    <row r="1020" spans="3:20">
      <c r="C1020" s="106">
        <v>43483</v>
      </c>
      <c r="D1020" s="48">
        <v>2.79</v>
      </c>
      <c r="S1020" s="106"/>
      <c r="T1020" s="48"/>
    </row>
    <row r="1021" spans="3:20">
      <c r="C1021" s="106">
        <v>43487</v>
      </c>
      <c r="D1021" s="48">
        <v>2.74</v>
      </c>
      <c r="S1021" s="106"/>
      <c r="T1021" s="48"/>
    </row>
    <row r="1022" spans="3:20">
      <c r="C1022" s="106">
        <v>43488</v>
      </c>
      <c r="D1022" s="48">
        <v>2.76</v>
      </c>
      <c r="S1022" s="106"/>
      <c r="T1022" s="48"/>
    </row>
    <row r="1023" spans="3:20">
      <c r="C1023" s="106">
        <v>43489</v>
      </c>
      <c r="D1023" s="48">
        <v>2.72</v>
      </c>
      <c r="S1023" s="106"/>
      <c r="T1023" s="48"/>
    </row>
    <row r="1024" spans="3:20">
      <c r="C1024" s="106">
        <v>43490</v>
      </c>
      <c r="D1024" s="48">
        <v>2.76</v>
      </c>
      <c r="S1024" s="106"/>
      <c r="T1024" s="48"/>
    </row>
    <row r="1025" spans="3:20">
      <c r="C1025" s="106">
        <v>43493</v>
      </c>
      <c r="D1025" s="48">
        <v>2.75</v>
      </c>
      <c r="S1025" s="106"/>
      <c r="T1025" s="48"/>
    </row>
    <row r="1026" spans="3:20">
      <c r="C1026" s="106">
        <v>43494</v>
      </c>
      <c r="D1026" s="48">
        <v>2.72</v>
      </c>
      <c r="S1026" s="106"/>
      <c r="T1026" s="48"/>
    </row>
    <row r="1027" spans="3:20">
      <c r="C1027" s="106">
        <v>43495</v>
      </c>
      <c r="D1027" s="48">
        <v>2.7</v>
      </c>
      <c r="S1027" s="106"/>
      <c r="T1027" s="48"/>
    </row>
    <row r="1028" spans="3:20">
      <c r="C1028" s="106">
        <v>43496</v>
      </c>
      <c r="D1028" s="48">
        <v>2.63</v>
      </c>
      <c r="S1028" s="106"/>
      <c r="T1028" s="48"/>
    </row>
    <row r="1029" spans="3:20">
      <c r="C1029" s="106">
        <v>43497</v>
      </c>
      <c r="D1029" s="48">
        <v>2.7</v>
      </c>
      <c r="S1029" s="106"/>
      <c r="T1029" s="48"/>
    </row>
    <row r="1030" spans="3:20">
      <c r="C1030" s="106">
        <v>43500</v>
      </c>
      <c r="D1030" s="48">
        <v>2.73</v>
      </c>
      <c r="S1030" s="106"/>
      <c r="T1030" s="48"/>
    </row>
    <row r="1031" spans="3:20">
      <c r="C1031" s="106">
        <v>43501</v>
      </c>
      <c r="D1031" s="48">
        <v>2.71</v>
      </c>
      <c r="S1031" s="106"/>
      <c r="T1031" s="48"/>
    </row>
    <row r="1032" spans="3:20">
      <c r="C1032" s="106">
        <v>43502</v>
      </c>
      <c r="D1032" s="48">
        <v>2.7</v>
      </c>
      <c r="S1032" s="106"/>
      <c r="T1032" s="48"/>
    </row>
    <row r="1033" spans="3:20">
      <c r="C1033" s="106">
        <v>43503</v>
      </c>
      <c r="D1033" s="48">
        <v>2.65</v>
      </c>
      <c r="S1033" s="106"/>
      <c r="T1033" s="48"/>
    </row>
    <row r="1034" spans="3:20">
      <c r="C1034" s="106">
        <v>43504</v>
      </c>
      <c r="D1034" s="48">
        <v>2.63</v>
      </c>
      <c r="S1034" s="106"/>
      <c r="T1034" s="48"/>
    </row>
    <row r="1035" spans="3:20">
      <c r="C1035" s="106">
        <v>43507</v>
      </c>
      <c r="D1035" s="48">
        <v>2.65</v>
      </c>
      <c r="S1035" s="106"/>
      <c r="T1035" s="48"/>
    </row>
    <row r="1036" spans="3:20">
      <c r="C1036" s="106">
        <v>43508</v>
      </c>
      <c r="D1036" s="48">
        <v>2.68</v>
      </c>
      <c r="S1036" s="106"/>
      <c r="T1036" s="48"/>
    </row>
    <row r="1037" spans="3:20">
      <c r="C1037" s="106">
        <v>43509</v>
      </c>
      <c r="D1037" s="48">
        <v>2.71</v>
      </c>
      <c r="S1037" s="106"/>
      <c r="T1037" s="48"/>
    </row>
    <row r="1038" spans="3:20">
      <c r="C1038" s="106">
        <v>43510</v>
      </c>
      <c r="D1038" s="48">
        <v>2.66</v>
      </c>
      <c r="S1038" s="106"/>
      <c r="T1038" s="48"/>
    </row>
    <row r="1039" spans="3:20">
      <c r="C1039" s="106">
        <v>43511</v>
      </c>
      <c r="D1039" s="48">
        <v>2.66</v>
      </c>
      <c r="S1039" s="106"/>
      <c r="T1039" s="48"/>
    </row>
    <row r="1040" spans="3:20">
      <c r="C1040" s="106">
        <v>43515</v>
      </c>
      <c r="D1040" s="48">
        <v>2.65</v>
      </c>
      <c r="S1040" s="106"/>
      <c r="T1040" s="48"/>
    </row>
    <row r="1041" spans="3:20">
      <c r="C1041" s="106">
        <v>43516</v>
      </c>
      <c r="D1041" s="48">
        <v>2.65</v>
      </c>
      <c r="S1041" s="106"/>
      <c r="T1041" s="48"/>
    </row>
    <row r="1042" spans="3:20">
      <c r="C1042" s="106">
        <v>43517</v>
      </c>
      <c r="D1042" s="48">
        <v>2.69</v>
      </c>
      <c r="S1042" s="106"/>
      <c r="T1042" s="48"/>
    </row>
    <row r="1043" spans="3:20">
      <c r="C1043" s="106">
        <v>43518</v>
      </c>
      <c r="D1043" s="48">
        <v>2.65</v>
      </c>
      <c r="S1043" s="106"/>
      <c r="T1043" s="48"/>
    </row>
    <row r="1044" spans="3:20">
      <c r="C1044" s="106">
        <v>43521</v>
      </c>
      <c r="D1044" s="48">
        <v>2.67</v>
      </c>
      <c r="S1044" s="106"/>
      <c r="T1044" s="48"/>
    </row>
    <row r="1045" spans="3:20">
      <c r="C1045" s="106">
        <v>43522</v>
      </c>
      <c r="D1045" s="48">
        <v>2.64</v>
      </c>
      <c r="S1045" s="106"/>
      <c r="T1045" s="48"/>
    </row>
    <row r="1046" spans="3:20">
      <c r="C1046" s="106">
        <v>43523</v>
      </c>
      <c r="D1046" s="48">
        <v>2.69</v>
      </c>
      <c r="S1046" s="106"/>
      <c r="T1046" s="48"/>
    </row>
    <row r="1047" spans="3:20">
      <c r="C1047" s="106">
        <v>43524</v>
      </c>
      <c r="D1047" s="48">
        <v>2.73</v>
      </c>
      <c r="S1047" s="106"/>
      <c r="T1047" s="48"/>
    </row>
    <row r="1048" spans="3:20">
      <c r="C1048" s="106">
        <v>43525</v>
      </c>
      <c r="D1048" s="48">
        <v>2.76</v>
      </c>
      <c r="S1048" s="106"/>
      <c r="T1048" s="48"/>
    </row>
    <row r="1049" spans="3:20">
      <c r="C1049" s="106">
        <v>43528</v>
      </c>
      <c r="D1049" s="48">
        <v>2.72</v>
      </c>
      <c r="S1049" s="106"/>
      <c r="T1049" s="48"/>
    </row>
    <row r="1050" spans="3:20">
      <c r="C1050" s="106">
        <v>43529</v>
      </c>
      <c r="D1050" s="48">
        <v>2.72</v>
      </c>
      <c r="S1050" s="106"/>
      <c r="T1050" s="48"/>
    </row>
    <row r="1051" spans="3:20">
      <c r="C1051" s="106">
        <v>43530</v>
      </c>
      <c r="D1051" s="48">
        <v>2.69</v>
      </c>
      <c r="S1051" s="106"/>
      <c r="T1051" s="48"/>
    </row>
    <row r="1052" spans="3:20">
      <c r="C1052" s="106">
        <v>43531</v>
      </c>
      <c r="D1052" s="48">
        <v>2.64</v>
      </c>
      <c r="S1052" s="106"/>
      <c r="T1052" s="48"/>
    </row>
    <row r="1053" spans="3:20">
      <c r="C1053" s="106">
        <v>43532</v>
      </c>
      <c r="D1053" s="48">
        <v>2.62</v>
      </c>
      <c r="S1053" s="106"/>
      <c r="T1053" s="48"/>
    </row>
    <row r="1054" spans="3:20">
      <c r="C1054" s="106">
        <v>43535</v>
      </c>
      <c r="D1054" s="48">
        <v>2.64</v>
      </c>
      <c r="S1054" s="106"/>
      <c r="T1054" s="48"/>
    </row>
    <row r="1055" spans="3:20">
      <c r="C1055" s="106">
        <v>43536</v>
      </c>
      <c r="D1055" s="48">
        <v>2.61</v>
      </c>
      <c r="S1055" s="106"/>
      <c r="T1055" s="48"/>
    </row>
    <row r="1056" spans="3:20">
      <c r="C1056" s="106">
        <v>43537</v>
      </c>
      <c r="D1056" s="48">
        <v>2.61</v>
      </c>
      <c r="S1056" s="106"/>
      <c r="T1056" s="48"/>
    </row>
    <row r="1057" spans="3:20">
      <c r="C1057" s="106">
        <v>43538</v>
      </c>
      <c r="D1057" s="48">
        <v>2.63</v>
      </c>
      <c r="S1057" s="106"/>
      <c r="T1057" s="48"/>
    </row>
    <row r="1058" spans="3:20">
      <c r="C1058" s="106">
        <v>43539</v>
      </c>
      <c r="D1058" s="48">
        <v>2.59</v>
      </c>
      <c r="S1058" s="106"/>
      <c r="T1058" s="48"/>
    </row>
    <row r="1059" spans="3:20">
      <c r="C1059" s="106">
        <v>43542</v>
      </c>
      <c r="D1059" s="48">
        <v>2.6</v>
      </c>
      <c r="S1059" s="106"/>
      <c r="T1059" s="48"/>
    </row>
    <row r="1060" spans="3:20">
      <c r="C1060" s="106">
        <v>43543</v>
      </c>
      <c r="D1060" s="48">
        <v>2.61</v>
      </c>
      <c r="S1060" s="106"/>
      <c r="T1060" s="48"/>
    </row>
    <row r="1061" spans="3:20">
      <c r="C1061" s="106">
        <v>43544</v>
      </c>
      <c r="D1061" s="48">
        <v>2.54</v>
      </c>
      <c r="S1061" s="106"/>
      <c r="T1061" s="48"/>
    </row>
    <row r="1062" spans="3:20">
      <c r="C1062" s="106">
        <v>43545</v>
      </c>
      <c r="D1062" s="48">
        <v>2.54</v>
      </c>
      <c r="S1062" s="106"/>
      <c r="T1062" s="48"/>
    </row>
    <row r="1063" spans="3:20">
      <c r="C1063" s="106">
        <v>43546</v>
      </c>
      <c r="D1063" s="48">
        <v>2.44</v>
      </c>
      <c r="S1063" s="106"/>
      <c r="T1063" s="48"/>
    </row>
    <row r="1064" spans="3:20">
      <c r="C1064" s="106">
        <v>43549</v>
      </c>
      <c r="D1064" s="48">
        <v>2.4300000000000002</v>
      </c>
      <c r="S1064" s="106"/>
      <c r="T1064" s="48"/>
    </row>
    <row r="1065" spans="3:20">
      <c r="C1065" s="106">
        <v>43550</v>
      </c>
      <c r="D1065" s="48">
        <v>2.41</v>
      </c>
      <c r="S1065" s="106"/>
      <c r="T1065" s="48"/>
    </row>
    <row r="1066" spans="3:20">
      <c r="C1066" s="106">
        <v>43551</v>
      </c>
      <c r="D1066" s="48">
        <v>2.39</v>
      </c>
      <c r="S1066" s="106"/>
      <c r="T1066" s="48"/>
    </row>
    <row r="1067" spans="3:20">
      <c r="C1067" s="106">
        <v>43552</v>
      </c>
      <c r="D1067" s="48">
        <v>2.39</v>
      </c>
      <c r="S1067" s="106"/>
      <c r="T1067" s="48"/>
    </row>
    <row r="1068" spans="3:20">
      <c r="C1068" s="106">
        <v>43553</v>
      </c>
      <c r="D1068" s="48">
        <v>2.41</v>
      </c>
      <c r="S1068" s="106"/>
      <c r="T1068" s="48"/>
    </row>
    <row r="1069" spans="3:20">
      <c r="C1069" s="106">
        <v>43556</v>
      </c>
      <c r="D1069" s="48">
        <v>2.4900000000000002</v>
      </c>
      <c r="S1069" s="106"/>
      <c r="T1069" s="48"/>
    </row>
    <row r="1070" spans="3:20">
      <c r="C1070" s="106">
        <v>43557</v>
      </c>
      <c r="D1070" s="48">
        <v>2.48</v>
      </c>
      <c r="S1070" s="106"/>
      <c r="T1070" s="48"/>
    </row>
    <row r="1071" spans="3:20">
      <c r="C1071" s="106">
        <v>43558</v>
      </c>
      <c r="D1071" s="48">
        <v>2.52</v>
      </c>
      <c r="S1071" s="106"/>
      <c r="T1071" s="48"/>
    </row>
    <row r="1072" spans="3:20">
      <c r="C1072" s="106">
        <v>43559</v>
      </c>
      <c r="D1072" s="48">
        <v>2.5099999999999998</v>
      </c>
      <c r="S1072" s="106"/>
      <c r="T1072" s="48"/>
    </row>
    <row r="1073" spans="3:20">
      <c r="C1073" s="106">
        <v>43560</v>
      </c>
      <c r="D1073" s="48">
        <v>2.5</v>
      </c>
      <c r="S1073" s="106"/>
      <c r="T1073" s="48"/>
    </row>
    <row r="1074" spans="3:20">
      <c r="C1074" s="106">
        <v>43563</v>
      </c>
      <c r="D1074" s="48">
        <v>2.52</v>
      </c>
      <c r="S1074" s="106"/>
      <c r="T1074" s="48"/>
    </row>
    <row r="1075" spans="3:20">
      <c r="C1075" s="106">
        <v>43564</v>
      </c>
      <c r="D1075" s="48">
        <v>2.5099999999999998</v>
      </c>
      <c r="S1075" s="106"/>
      <c r="T1075" s="48"/>
    </row>
    <row r="1076" spans="3:20">
      <c r="C1076" s="106">
        <v>43565</v>
      </c>
      <c r="D1076" s="48">
        <v>2.48</v>
      </c>
      <c r="S1076" s="106"/>
      <c r="T1076" s="48"/>
    </row>
    <row r="1077" spans="3:20">
      <c r="C1077" s="106">
        <v>43566</v>
      </c>
      <c r="D1077" s="48">
        <v>2.5099999999999998</v>
      </c>
      <c r="S1077" s="106"/>
      <c r="T1077" s="48"/>
    </row>
    <row r="1078" spans="3:20">
      <c r="C1078" s="106">
        <v>43567</v>
      </c>
      <c r="D1078" s="48">
        <v>2.56</v>
      </c>
      <c r="S1078" s="106"/>
      <c r="T1078" s="48"/>
    </row>
    <row r="1079" spans="3:20">
      <c r="C1079" s="106">
        <v>43570</v>
      </c>
      <c r="D1079" s="48">
        <v>2.5499999999999998</v>
      </c>
      <c r="S1079" s="106"/>
      <c r="T1079" s="48"/>
    </row>
    <row r="1080" spans="3:20">
      <c r="C1080" s="106">
        <v>43571</v>
      </c>
      <c r="D1080" s="48">
        <v>2.6</v>
      </c>
      <c r="S1080" s="106"/>
      <c r="T1080" s="48"/>
    </row>
    <row r="1081" spans="3:20">
      <c r="C1081" s="106">
        <v>43572</v>
      </c>
      <c r="D1081" s="48">
        <v>2.59</v>
      </c>
      <c r="S1081" s="106"/>
      <c r="T1081" s="48"/>
    </row>
    <row r="1082" spans="3:20">
      <c r="C1082" s="106">
        <v>43573</v>
      </c>
      <c r="D1082" s="48">
        <v>2.57</v>
      </c>
      <c r="S1082" s="106"/>
      <c r="T1082" s="48"/>
    </row>
    <row r="1083" spans="3:20">
      <c r="C1083" s="106">
        <v>43577</v>
      </c>
      <c r="D1083" s="48">
        <v>2.59</v>
      </c>
      <c r="S1083" s="106"/>
      <c r="T1083" s="48"/>
    </row>
    <row r="1084" spans="3:20">
      <c r="C1084" s="106">
        <v>43578</v>
      </c>
      <c r="D1084" s="48">
        <v>2.57</v>
      </c>
      <c r="S1084" s="106"/>
      <c r="T1084" s="48"/>
    </row>
    <row r="1085" spans="3:20">
      <c r="C1085" s="106">
        <v>43579</v>
      </c>
      <c r="D1085" s="48">
        <v>2.5299999999999998</v>
      </c>
      <c r="S1085" s="106"/>
      <c r="T1085" s="48"/>
    </row>
    <row r="1086" spans="3:20">
      <c r="C1086" s="106">
        <v>43580</v>
      </c>
      <c r="D1086" s="48">
        <v>2.54</v>
      </c>
      <c r="S1086" s="106"/>
      <c r="T1086" s="48"/>
    </row>
    <row r="1087" spans="3:20">
      <c r="C1087" s="106">
        <v>43581</v>
      </c>
      <c r="D1087" s="48">
        <v>2.5099999999999998</v>
      </c>
      <c r="S1087" s="106"/>
      <c r="T1087" s="48"/>
    </row>
    <row r="1088" spans="3:20">
      <c r="C1088" s="106">
        <v>43584</v>
      </c>
      <c r="D1088" s="48">
        <v>2.54</v>
      </c>
      <c r="S1088" s="106"/>
      <c r="T1088" s="48"/>
    </row>
    <row r="1089" spans="3:20">
      <c r="C1089" s="106">
        <v>43585</v>
      </c>
      <c r="D1089" s="48">
        <v>2.5099999999999998</v>
      </c>
      <c r="S1089" s="106"/>
      <c r="T1089" s="48"/>
    </row>
    <row r="1090" spans="3:20">
      <c r="C1090" s="106">
        <v>43586</v>
      </c>
      <c r="D1090" s="48">
        <v>2.52</v>
      </c>
      <c r="S1090" s="106"/>
      <c r="T1090" s="48"/>
    </row>
    <row r="1091" spans="3:20">
      <c r="C1091" s="106">
        <v>43587</v>
      </c>
      <c r="D1091" s="48">
        <v>2.5499999999999998</v>
      </c>
      <c r="S1091" s="106"/>
      <c r="T1091" s="48"/>
    </row>
    <row r="1092" spans="3:20">
      <c r="C1092" s="106">
        <v>43588</v>
      </c>
      <c r="D1092" s="48">
        <v>2.54</v>
      </c>
      <c r="S1092" s="106"/>
      <c r="T1092" s="48"/>
    </row>
    <row r="1093" spans="3:20">
      <c r="C1093" s="106">
        <v>43591</v>
      </c>
      <c r="D1093" s="48">
        <v>2.5099999999999998</v>
      </c>
      <c r="S1093" s="106"/>
      <c r="T1093" s="48"/>
    </row>
    <row r="1094" spans="3:20">
      <c r="C1094" s="106">
        <v>43592</v>
      </c>
      <c r="D1094" s="48">
        <v>2.4500000000000002</v>
      </c>
      <c r="S1094" s="106"/>
      <c r="T1094" s="48"/>
    </row>
    <row r="1095" spans="3:20">
      <c r="C1095" s="106">
        <v>43593</v>
      </c>
      <c r="D1095" s="48">
        <v>2.4900000000000002</v>
      </c>
      <c r="S1095" s="106"/>
      <c r="T1095" s="48"/>
    </row>
    <row r="1096" spans="3:20">
      <c r="C1096" s="106">
        <v>43594</v>
      </c>
      <c r="D1096" s="48">
        <v>2.4500000000000002</v>
      </c>
      <c r="S1096" s="106"/>
      <c r="T1096" s="48"/>
    </row>
    <row r="1097" spans="3:20">
      <c r="C1097" s="106">
        <v>43595</v>
      </c>
      <c r="D1097" s="48">
        <v>2.4700000000000002</v>
      </c>
      <c r="S1097" s="106"/>
      <c r="T1097" s="48"/>
    </row>
    <row r="1098" spans="3:20">
      <c r="C1098" s="106">
        <v>43598</v>
      </c>
      <c r="D1098" s="48">
        <v>2.4</v>
      </c>
      <c r="S1098" s="106"/>
      <c r="T1098" s="48"/>
    </row>
    <row r="1099" spans="3:20">
      <c r="C1099" s="106">
        <v>43599</v>
      </c>
      <c r="D1099" s="48">
        <v>2.42</v>
      </c>
      <c r="S1099" s="106"/>
      <c r="T1099" s="48"/>
    </row>
    <row r="1100" spans="3:20">
      <c r="C1100" s="106">
        <v>43600</v>
      </c>
      <c r="D1100" s="48">
        <v>2.37</v>
      </c>
      <c r="S1100" s="106"/>
      <c r="T1100" s="48"/>
    </row>
    <row r="1101" spans="3:20">
      <c r="C1101" s="106">
        <v>43601</v>
      </c>
      <c r="D1101" s="48">
        <v>2.4</v>
      </c>
      <c r="S1101" s="106"/>
      <c r="T1101" s="48"/>
    </row>
    <row r="1102" spans="3:20">
      <c r="C1102" s="106">
        <v>43602</v>
      </c>
      <c r="D1102" s="48">
        <v>2.39</v>
      </c>
      <c r="S1102" s="106"/>
      <c r="T1102" s="48"/>
    </row>
    <row r="1103" spans="3:20">
      <c r="C1103" s="106">
        <v>43605</v>
      </c>
      <c r="D1103" s="48">
        <v>2.41</v>
      </c>
      <c r="S1103" s="106"/>
      <c r="T1103" s="48"/>
    </row>
    <row r="1104" spans="3:20">
      <c r="C1104" s="106">
        <v>43606</v>
      </c>
      <c r="D1104" s="48">
        <v>2.4300000000000002</v>
      </c>
      <c r="S1104" s="106"/>
      <c r="T1104" s="48"/>
    </row>
    <row r="1105" spans="3:20">
      <c r="C1105" s="106">
        <v>43607</v>
      </c>
      <c r="D1105" s="48">
        <v>2.39</v>
      </c>
      <c r="S1105" s="106"/>
      <c r="T1105" s="48"/>
    </row>
    <row r="1106" spans="3:20">
      <c r="C1106" s="106">
        <v>43608</v>
      </c>
      <c r="D1106" s="48">
        <v>2.31</v>
      </c>
      <c r="S1106" s="106"/>
      <c r="T1106" s="48"/>
    </row>
    <row r="1107" spans="3:20">
      <c r="C1107" s="106">
        <v>43609</v>
      </c>
      <c r="D1107" s="48">
        <v>2.3199999999999998</v>
      </c>
      <c r="S1107" s="106"/>
      <c r="T1107" s="48"/>
    </row>
    <row r="1108" spans="3:20">
      <c r="C1108" s="106">
        <v>43613</v>
      </c>
      <c r="D1108" s="48">
        <v>2.2599999999999998</v>
      </c>
      <c r="S1108" s="106"/>
      <c r="T1108" s="48"/>
    </row>
    <row r="1109" spans="3:20">
      <c r="C1109" s="106">
        <v>43614</v>
      </c>
      <c r="D1109" s="48">
        <v>2.25</v>
      </c>
      <c r="S1109" s="106"/>
      <c r="T1109" s="48"/>
    </row>
    <row r="1110" spans="3:20">
      <c r="C1110" s="106">
        <v>43615</v>
      </c>
      <c r="D1110" s="48">
        <v>2.2200000000000002</v>
      </c>
      <c r="S1110" s="106"/>
      <c r="T1110" s="48"/>
    </row>
    <row r="1111" spans="3:20">
      <c r="C1111" s="106">
        <v>43616</v>
      </c>
      <c r="D1111" s="48">
        <v>2.14</v>
      </c>
      <c r="S1111" s="106"/>
      <c r="T1111" s="48"/>
    </row>
    <row r="1112" spans="3:20">
      <c r="C1112" s="106">
        <v>43619</v>
      </c>
      <c r="D1112" s="48">
        <v>2.0699999999999998</v>
      </c>
      <c r="S1112" s="106"/>
      <c r="T1112" s="48"/>
    </row>
    <row r="1113" spans="3:20">
      <c r="C1113" s="106">
        <v>43620</v>
      </c>
      <c r="D1113" s="48">
        <v>2.12</v>
      </c>
      <c r="S1113" s="106"/>
      <c r="T1113" s="48"/>
    </row>
    <row r="1114" spans="3:20">
      <c r="C1114" s="106">
        <v>43621</v>
      </c>
      <c r="D1114" s="48">
        <v>2.12</v>
      </c>
      <c r="S1114" s="106"/>
      <c r="T1114" s="48"/>
    </row>
    <row r="1115" spans="3:20">
      <c r="C1115" s="106">
        <v>43622</v>
      </c>
      <c r="D1115" s="48">
        <v>2.12</v>
      </c>
      <c r="S1115" s="106"/>
      <c r="T1115" s="48"/>
    </row>
    <row r="1116" spans="3:20">
      <c r="C1116" s="106">
        <v>43623</v>
      </c>
      <c r="D1116" s="48">
        <v>2.09</v>
      </c>
      <c r="S1116" s="106"/>
      <c r="T1116" s="48"/>
    </row>
    <row r="1117" spans="3:20">
      <c r="C1117" s="106">
        <v>43626</v>
      </c>
      <c r="D1117" s="48">
        <v>2.15</v>
      </c>
      <c r="S1117" s="106"/>
      <c r="T1117" s="48"/>
    </row>
    <row r="1118" spans="3:20">
      <c r="C1118" s="106">
        <v>43627</v>
      </c>
      <c r="D1118" s="48">
        <v>2.15</v>
      </c>
      <c r="S1118" s="106"/>
      <c r="T1118" s="48"/>
    </row>
    <row r="1119" spans="3:20">
      <c r="C1119" s="106">
        <v>43628</v>
      </c>
      <c r="D1119" s="48">
        <v>2.13</v>
      </c>
      <c r="S1119" s="106"/>
      <c r="T1119" s="48"/>
    </row>
    <row r="1120" spans="3:20">
      <c r="C1120" s="106">
        <v>43629</v>
      </c>
      <c r="D1120" s="48">
        <v>2.1</v>
      </c>
      <c r="S1120" s="106"/>
      <c r="T1120" s="48"/>
    </row>
    <row r="1121" spans="3:20">
      <c r="C1121" s="106">
        <v>43630</v>
      </c>
      <c r="D1121" s="48">
        <v>2.09</v>
      </c>
      <c r="S1121" s="106"/>
      <c r="T1121" s="48"/>
    </row>
    <row r="1122" spans="3:20">
      <c r="C1122" s="106">
        <v>43633</v>
      </c>
      <c r="D1122" s="48">
        <v>2.09</v>
      </c>
      <c r="S1122" s="106"/>
      <c r="T1122" s="48"/>
    </row>
    <row r="1123" spans="3:20">
      <c r="C1123" s="106">
        <v>43634</v>
      </c>
      <c r="D1123" s="48">
        <v>2.06</v>
      </c>
      <c r="S1123" s="106"/>
      <c r="T1123" s="48"/>
    </row>
    <row r="1124" spans="3:20">
      <c r="C1124" s="106">
        <v>43635</v>
      </c>
      <c r="D1124" s="48">
        <v>2.0299999999999998</v>
      </c>
      <c r="S1124" s="106"/>
      <c r="T1124" s="48"/>
    </row>
    <row r="1125" spans="3:20">
      <c r="C1125" s="106">
        <v>43636</v>
      </c>
      <c r="D1125" s="48">
        <v>2.0099999999999998</v>
      </c>
      <c r="S1125" s="106"/>
      <c r="T1125" s="48"/>
    </row>
    <row r="1126" spans="3:20">
      <c r="C1126" s="106">
        <v>43637</v>
      </c>
      <c r="D1126" s="48">
        <v>2.0699999999999998</v>
      </c>
      <c r="S1126" s="106"/>
      <c r="T1126" s="48"/>
    </row>
    <row r="1127" spans="3:20">
      <c r="C1127" s="106">
        <v>43640</v>
      </c>
      <c r="D1127" s="48">
        <v>2.02</v>
      </c>
      <c r="S1127" s="106"/>
      <c r="T1127" s="48"/>
    </row>
    <row r="1128" spans="3:20">
      <c r="C1128" s="106">
        <v>43641</v>
      </c>
      <c r="D1128" s="48">
        <v>2</v>
      </c>
      <c r="S1128" s="106"/>
      <c r="T1128" s="48"/>
    </row>
    <row r="1129" spans="3:20">
      <c r="C1129" s="106">
        <v>43642</v>
      </c>
      <c r="D1129" s="48">
        <v>2.0499999999999998</v>
      </c>
      <c r="S1129" s="106"/>
      <c r="T1129" s="48"/>
    </row>
    <row r="1130" spans="3:20">
      <c r="C1130" s="106">
        <v>43643</v>
      </c>
      <c r="D1130" s="48">
        <v>2.0099999999999998</v>
      </c>
      <c r="S1130" s="106"/>
      <c r="T1130" s="48"/>
    </row>
    <row r="1131" spans="3:20">
      <c r="C1131" s="106">
        <v>43644</v>
      </c>
      <c r="D1131" s="48">
        <v>2</v>
      </c>
      <c r="S1131" s="106"/>
      <c r="T1131" s="48"/>
    </row>
    <row r="1132" spans="3:20">
      <c r="C1132" s="106">
        <v>43647</v>
      </c>
      <c r="D1132" s="48">
        <v>2.0299999999999998</v>
      </c>
      <c r="S1132" s="106"/>
      <c r="T1132" s="48"/>
    </row>
    <row r="1133" spans="3:20">
      <c r="C1133" s="106">
        <v>43648</v>
      </c>
      <c r="D1133" s="48">
        <v>1.98</v>
      </c>
      <c r="S1133" s="106"/>
      <c r="T1133" s="48"/>
    </row>
    <row r="1134" spans="3:20">
      <c r="C1134" s="106">
        <v>43649</v>
      </c>
      <c r="D1134" s="48">
        <v>1.96</v>
      </c>
      <c r="S1134" s="106"/>
      <c r="T1134" s="48"/>
    </row>
    <row r="1135" spans="3:20">
      <c r="C1135" s="106">
        <v>43651</v>
      </c>
      <c r="D1135" s="48">
        <v>2.04</v>
      </c>
      <c r="S1135" s="106"/>
      <c r="T1135" s="48"/>
    </row>
    <row r="1136" spans="3:20">
      <c r="C1136" s="106">
        <v>43654</v>
      </c>
      <c r="D1136" s="48">
        <v>2.0499999999999998</v>
      </c>
      <c r="S1136" s="106"/>
      <c r="T1136" s="48"/>
    </row>
    <row r="1137" spans="3:20">
      <c r="C1137" s="106">
        <v>43655</v>
      </c>
      <c r="D1137" s="48">
        <v>2.0699999999999998</v>
      </c>
      <c r="S1137" s="106"/>
      <c r="T1137" s="48"/>
    </row>
    <row r="1138" spans="3:20">
      <c r="C1138" s="106">
        <v>43656</v>
      </c>
      <c r="D1138" s="48">
        <v>2.0699999999999998</v>
      </c>
      <c r="S1138" s="106"/>
      <c r="T1138" s="48"/>
    </row>
    <row r="1139" spans="3:20">
      <c r="C1139" s="106">
        <v>43657</v>
      </c>
      <c r="D1139" s="48">
        <v>2.13</v>
      </c>
      <c r="S1139" s="106"/>
      <c r="T1139" s="48"/>
    </row>
    <row r="1140" spans="3:20">
      <c r="C1140" s="106">
        <v>43658</v>
      </c>
      <c r="D1140" s="48">
        <v>2.12</v>
      </c>
      <c r="S1140" s="106"/>
      <c r="T1140" s="48"/>
    </row>
    <row r="1141" spans="3:20">
      <c r="C1141" s="106">
        <v>43661</v>
      </c>
      <c r="D1141" s="48">
        <v>2.09</v>
      </c>
      <c r="S1141" s="106"/>
      <c r="T1141" s="48"/>
    </row>
    <row r="1142" spans="3:20">
      <c r="C1142" s="106">
        <v>43662</v>
      </c>
      <c r="D1142" s="48">
        <v>2.13</v>
      </c>
      <c r="S1142" s="106"/>
      <c r="T1142" s="48"/>
    </row>
    <row r="1143" spans="3:20">
      <c r="C1143" s="106">
        <v>43663</v>
      </c>
      <c r="D1143" s="48">
        <v>2.06</v>
      </c>
      <c r="S1143" s="106"/>
      <c r="T1143" s="48"/>
    </row>
    <row r="1144" spans="3:20">
      <c r="C1144" s="106">
        <v>43664</v>
      </c>
      <c r="D1144" s="48">
        <v>2.04</v>
      </c>
      <c r="S1144" s="106"/>
      <c r="T1144" s="48"/>
    </row>
    <row r="1145" spans="3:20">
      <c r="C1145" s="106">
        <v>43665</v>
      </c>
      <c r="D1145" s="48">
        <v>2.0499999999999998</v>
      </c>
      <c r="S1145" s="106"/>
      <c r="T1145" s="48"/>
    </row>
    <row r="1146" spans="3:20">
      <c r="C1146" s="106">
        <v>43668</v>
      </c>
      <c r="D1146" s="48">
        <v>2.0499999999999998</v>
      </c>
      <c r="S1146" s="106"/>
      <c r="T1146" s="48"/>
    </row>
    <row r="1147" spans="3:20">
      <c r="C1147" s="106">
        <v>43669</v>
      </c>
      <c r="D1147" s="48">
        <v>2.08</v>
      </c>
      <c r="S1147" s="106"/>
      <c r="T1147" s="48"/>
    </row>
    <row r="1148" spans="3:20">
      <c r="C1148" s="106">
        <v>43670</v>
      </c>
      <c r="D1148" s="48">
        <v>2.0499999999999998</v>
      </c>
      <c r="S1148" s="106"/>
      <c r="T1148" s="48"/>
    </row>
    <row r="1149" spans="3:20">
      <c r="C1149" s="106">
        <v>43671</v>
      </c>
      <c r="D1149" s="48">
        <v>2.08</v>
      </c>
      <c r="S1149" s="106"/>
      <c r="T1149" s="48"/>
    </row>
    <row r="1150" spans="3:20">
      <c r="C1150" s="106">
        <v>43672</v>
      </c>
      <c r="D1150" s="48">
        <v>2.08</v>
      </c>
      <c r="S1150" s="106"/>
      <c r="T1150" s="48"/>
    </row>
    <row r="1151" spans="3:20">
      <c r="C1151" s="106">
        <v>43675</v>
      </c>
      <c r="D1151" s="48">
        <v>2.06</v>
      </c>
      <c r="S1151" s="106"/>
      <c r="T1151" s="48"/>
    </row>
    <row r="1152" spans="3:20">
      <c r="C1152" s="106">
        <v>43676</v>
      </c>
      <c r="D1152" s="48">
        <v>2.06</v>
      </c>
      <c r="S1152" s="106"/>
      <c r="T1152" s="48"/>
    </row>
    <row r="1153" spans="3:20">
      <c r="C1153" s="106">
        <v>43677</v>
      </c>
      <c r="D1153" s="48">
        <v>2.02</v>
      </c>
      <c r="S1153" s="106"/>
      <c r="T1153" s="48"/>
    </row>
    <row r="1154" spans="3:20">
      <c r="C1154" s="106">
        <v>43678</v>
      </c>
      <c r="D1154" s="48">
        <v>1.9</v>
      </c>
      <c r="S1154" s="106"/>
      <c r="T1154" s="48"/>
    </row>
    <row r="1155" spans="3:20">
      <c r="C1155" s="106">
        <v>43679</v>
      </c>
      <c r="D1155" s="48">
        <v>1.86</v>
      </c>
      <c r="S1155" s="106"/>
      <c r="T1155" s="48"/>
    </row>
    <row r="1156" spans="3:20">
      <c r="C1156" s="106">
        <v>43682</v>
      </c>
      <c r="D1156" s="48">
        <v>1.75</v>
      </c>
      <c r="S1156" s="106"/>
      <c r="T1156" s="48"/>
    </row>
    <row r="1157" spans="3:20">
      <c r="C1157" s="106">
        <v>43683</v>
      </c>
      <c r="D1157" s="48">
        <v>1.73</v>
      </c>
      <c r="S1157" s="106"/>
      <c r="T1157" s="48"/>
    </row>
    <row r="1158" spans="3:20">
      <c r="C1158" s="106">
        <v>43684</v>
      </c>
      <c r="D1158" s="48">
        <v>1.71</v>
      </c>
      <c r="S1158" s="106"/>
      <c r="T1158" s="48"/>
    </row>
    <row r="1159" spans="3:20">
      <c r="C1159" s="106">
        <v>43685</v>
      </c>
      <c r="D1159" s="48">
        <v>1.72</v>
      </c>
      <c r="S1159" s="106"/>
      <c r="T1159" s="48"/>
    </row>
    <row r="1160" spans="3:20">
      <c r="C1160" s="106">
        <v>43686</v>
      </c>
      <c r="D1160" s="48">
        <v>1.74</v>
      </c>
      <c r="S1160" s="106"/>
      <c r="T1160" s="48"/>
    </row>
    <row r="1161" spans="3:20">
      <c r="C1161" s="106">
        <v>43689</v>
      </c>
      <c r="D1161" s="48">
        <v>1.65</v>
      </c>
      <c r="S1161" s="106"/>
      <c r="T1161" s="48"/>
    </row>
    <row r="1162" spans="3:20">
      <c r="C1162" s="106">
        <v>43690</v>
      </c>
      <c r="D1162" s="48">
        <v>1.68</v>
      </c>
      <c r="S1162" s="106"/>
      <c r="T1162" s="48"/>
    </row>
    <row r="1163" spans="3:20">
      <c r="C1163" s="106">
        <v>43691</v>
      </c>
      <c r="D1163" s="48">
        <v>1.59</v>
      </c>
      <c r="S1163" s="106"/>
      <c r="T1163" s="48"/>
    </row>
    <row r="1164" spans="3:20">
      <c r="C1164" s="106">
        <v>43692</v>
      </c>
      <c r="D1164" s="48">
        <v>1.52</v>
      </c>
      <c r="S1164" s="106"/>
      <c r="T1164" s="48"/>
    </row>
    <row r="1165" spans="3:20">
      <c r="C1165" s="106">
        <v>43693</v>
      </c>
      <c r="D1165" s="48">
        <v>1.55</v>
      </c>
      <c r="S1165" s="106"/>
      <c r="T1165" s="48"/>
    </row>
    <row r="1166" spans="3:20">
      <c r="C1166" s="106">
        <v>43696</v>
      </c>
      <c r="D1166" s="48">
        <v>1.6</v>
      </c>
      <c r="S1166" s="106"/>
      <c r="T1166" s="48"/>
    </row>
    <row r="1167" spans="3:20">
      <c r="C1167" s="106">
        <v>43697</v>
      </c>
      <c r="D1167" s="48">
        <v>1.55</v>
      </c>
      <c r="S1167" s="106"/>
      <c r="T1167" s="48"/>
    </row>
    <row r="1168" spans="3:20">
      <c r="C1168" s="106">
        <v>43698</v>
      </c>
      <c r="D1168" s="48">
        <v>1.59</v>
      </c>
      <c r="S1168" s="106"/>
      <c r="T1168" s="48"/>
    </row>
    <row r="1169" spans="3:20">
      <c r="C1169" s="106">
        <v>43699</v>
      </c>
      <c r="D1169" s="48">
        <v>1.62</v>
      </c>
      <c r="S1169" s="106"/>
      <c r="T1169" s="48"/>
    </row>
    <row r="1170" spans="3:20">
      <c r="C1170" s="106">
        <v>43700</v>
      </c>
      <c r="D1170" s="48">
        <v>1.52</v>
      </c>
      <c r="S1170" s="106"/>
      <c r="T1170" s="48"/>
    </row>
    <row r="1171" spans="3:20">
      <c r="C1171" s="106">
        <v>43703</v>
      </c>
      <c r="D1171" s="48">
        <v>1.54</v>
      </c>
      <c r="S1171" s="106"/>
      <c r="T1171" s="48"/>
    </row>
    <row r="1172" spans="3:20">
      <c r="C1172" s="106">
        <v>43704</v>
      </c>
      <c r="D1172" s="48">
        <v>1.49</v>
      </c>
      <c r="S1172" s="106"/>
      <c r="T1172" s="48"/>
    </row>
    <row r="1173" spans="3:20">
      <c r="C1173" s="106">
        <v>43705</v>
      </c>
      <c r="D1173" s="48">
        <v>1.47</v>
      </c>
      <c r="S1173" s="106"/>
      <c r="T1173" s="48"/>
    </row>
    <row r="1174" spans="3:20">
      <c r="C1174" s="106">
        <v>43706</v>
      </c>
      <c r="D1174" s="48">
        <v>1.5</v>
      </c>
      <c r="S1174" s="106"/>
      <c r="T1174" s="48"/>
    </row>
    <row r="1175" spans="3:20">
      <c r="C1175" s="106">
        <v>43707</v>
      </c>
      <c r="D1175" s="48">
        <v>1.5</v>
      </c>
      <c r="S1175" s="106"/>
      <c r="T1175" s="48"/>
    </row>
    <row r="1176" spans="3:20">
      <c r="C1176" s="106">
        <v>43711</v>
      </c>
      <c r="D1176" s="48">
        <v>1.47</v>
      </c>
      <c r="S1176" s="106"/>
      <c r="T1176" s="48"/>
    </row>
    <row r="1177" spans="3:20">
      <c r="C1177" s="106">
        <v>43712</v>
      </c>
      <c r="D1177" s="48">
        <v>1.47</v>
      </c>
      <c r="S1177" s="106"/>
      <c r="T1177" s="48"/>
    </row>
    <row r="1178" spans="3:20">
      <c r="C1178" s="106">
        <v>43713</v>
      </c>
      <c r="D1178" s="48">
        <v>1.57</v>
      </c>
      <c r="S1178" s="106"/>
      <c r="T1178" s="48"/>
    </row>
    <row r="1179" spans="3:20">
      <c r="C1179" s="106">
        <v>43714</v>
      </c>
      <c r="D1179" s="48">
        <v>1.55</v>
      </c>
      <c r="S1179" s="106"/>
      <c r="T1179" s="48"/>
    </row>
    <row r="1180" spans="3:20">
      <c r="C1180" s="106">
        <v>43717</v>
      </c>
      <c r="D1180" s="48">
        <v>1.63</v>
      </c>
      <c r="S1180" s="106"/>
      <c r="T1180" s="48"/>
    </row>
    <row r="1181" spans="3:20">
      <c r="C1181" s="106">
        <v>43718</v>
      </c>
      <c r="D1181" s="48">
        <v>1.72</v>
      </c>
      <c r="S1181" s="106"/>
      <c r="T1181" s="48"/>
    </row>
    <row r="1182" spans="3:20">
      <c r="C1182" s="106">
        <v>43719</v>
      </c>
      <c r="D1182" s="48">
        <v>1.75</v>
      </c>
      <c r="S1182" s="106"/>
      <c r="T1182" s="48"/>
    </row>
    <row r="1183" spans="3:20">
      <c r="C1183" s="106">
        <v>43720</v>
      </c>
      <c r="D1183" s="48">
        <v>1.79</v>
      </c>
      <c r="S1183" s="106"/>
      <c r="T1183" s="48"/>
    </row>
    <row r="1184" spans="3:20">
      <c r="C1184" s="106">
        <v>43721</v>
      </c>
      <c r="D1184" s="48">
        <v>1.9</v>
      </c>
      <c r="S1184" s="106"/>
      <c r="T1184" s="48"/>
    </row>
    <row r="1185" spans="3:20">
      <c r="C1185" s="106">
        <v>43724</v>
      </c>
      <c r="D1185" s="48">
        <v>1.84</v>
      </c>
      <c r="S1185" s="106"/>
      <c r="T1185" s="48"/>
    </row>
    <row r="1186" spans="3:20">
      <c r="C1186" s="106">
        <v>43725</v>
      </c>
      <c r="D1186" s="48">
        <v>1.81</v>
      </c>
      <c r="S1186" s="106"/>
      <c r="T1186" s="48"/>
    </row>
    <row r="1187" spans="3:20">
      <c r="C1187" s="106">
        <v>43726</v>
      </c>
      <c r="D1187" s="48">
        <v>1.8</v>
      </c>
      <c r="S1187" s="106"/>
      <c r="T1187" s="48"/>
    </row>
    <row r="1188" spans="3:20">
      <c r="C1188" s="106">
        <v>43727</v>
      </c>
      <c r="D1188" s="48">
        <v>1.79</v>
      </c>
      <c r="S1188" s="106"/>
      <c r="T1188" s="48"/>
    </row>
    <row r="1189" spans="3:20">
      <c r="C1189" s="106">
        <v>43728</v>
      </c>
      <c r="D1189" s="48">
        <v>1.74</v>
      </c>
      <c r="S1189" s="106"/>
      <c r="T1189" s="48"/>
    </row>
    <row r="1190" spans="3:20">
      <c r="C1190" s="106">
        <v>43731</v>
      </c>
      <c r="D1190" s="48">
        <v>1.72</v>
      </c>
      <c r="S1190" s="106"/>
      <c r="T1190" s="48"/>
    </row>
    <row r="1191" spans="3:20">
      <c r="C1191" s="106">
        <v>43732</v>
      </c>
      <c r="D1191" s="48">
        <v>1.64</v>
      </c>
      <c r="S1191" s="106"/>
      <c r="T1191" s="48"/>
    </row>
    <row r="1192" spans="3:20">
      <c r="C1192" s="106">
        <v>43733</v>
      </c>
      <c r="D1192" s="48">
        <v>1.73</v>
      </c>
      <c r="S1192" s="106"/>
      <c r="T1192" s="48"/>
    </row>
    <row r="1193" spans="3:20">
      <c r="C1193" s="106">
        <v>43734</v>
      </c>
      <c r="D1193" s="48">
        <v>1.7</v>
      </c>
      <c r="S1193" s="106"/>
      <c r="T1193" s="48"/>
    </row>
    <row r="1194" spans="3:20">
      <c r="C1194" s="106">
        <v>43735</v>
      </c>
      <c r="D1194" s="48">
        <v>1.69</v>
      </c>
      <c r="S1194" s="106"/>
      <c r="T1194" s="48"/>
    </row>
    <row r="1195" spans="3:20">
      <c r="C1195" s="106">
        <v>43738</v>
      </c>
      <c r="D1195" s="48">
        <v>1.68</v>
      </c>
      <c r="S1195" s="106"/>
      <c r="T1195" s="48"/>
    </row>
    <row r="1196" spans="3:20">
      <c r="C1196" s="106">
        <v>43739</v>
      </c>
      <c r="D1196" s="48">
        <v>1.65</v>
      </c>
      <c r="S1196" s="106"/>
      <c r="T1196" s="48"/>
    </row>
    <row r="1197" spans="3:20">
      <c r="C1197" s="106">
        <v>43740</v>
      </c>
      <c r="D1197" s="48">
        <v>1.6</v>
      </c>
      <c r="S1197" s="106"/>
      <c r="T1197" s="48"/>
    </row>
    <row r="1198" spans="3:20">
      <c r="C1198" s="106">
        <v>43741</v>
      </c>
      <c r="D1198" s="48">
        <v>1.54</v>
      </c>
      <c r="S1198" s="106"/>
      <c r="T1198" s="48"/>
    </row>
    <row r="1199" spans="3:20">
      <c r="C1199" s="106">
        <v>43742</v>
      </c>
      <c r="D1199" s="48">
        <v>1.52</v>
      </c>
      <c r="S1199" s="106"/>
      <c r="T1199" s="48"/>
    </row>
    <row r="1200" spans="3:20">
      <c r="C1200" s="106">
        <v>43745</v>
      </c>
      <c r="D1200" s="48">
        <v>1.56</v>
      </c>
      <c r="S1200" s="106"/>
      <c r="T1200" s="48"/>
    </row>
    <row r="1201" spans="3:20">
      <c r="C1201" s="106">
        <v>43746</v>
      </c>
      <c r="D1201" s="48">
        <v>1.54</v>
      </c>
      <c r="S1201" s="106"/>
      <c r="T1201" s="48"/>
    </row>
    <row r="1202" spans="3:20">
      <c r="C1202" s="106">
        <v>43747</v>
      </c>
      <c r="D1202" s="48">
        <v>1.59</v>
      </c>
      <c r="S1202" s="106"/>
      <c r="T1202" s="48"/>
    </row>
    <row r="1203" spans="3:20">
      <c r="C1203" s="106">
        <v>43748</v>
      </c>
      <c r="D1203" s="48">
        <v>1.67</v>
      </c>
      <c r="S1203" s="106"/>
      <c r="T1203" s="48"/>
    </row>
    <row r="1204" spans="3:20">
      <c r="C1204" s="106">
        <v>43749</v>
      </c>
      <c r="D1204" s="48">
        <v>1.76</v>
      </c>
      <c r="S1204" s="106"/>
      <c r="T1204" s="48"/>
    </row>
    <row r="1205" spans="3:20">
      <c r="C1205" s="106">
        <v>43753</v>
      </c>
      <c r="D1205" s="48">
        <v>1.77</v>
      </c>
      <c r="S1205" s="106"/>
      <c r="T1205" s="48"/>
    </row>
    <row r="1206" spans="3:20">
      <c r="C1206" s="106">
        <v>43754</v>
      </c>
      <c r="D1206" s="48">
        <v>1.75</v>
      </c>
      <c r="S1206" s="106"/>
      <c r="T1206" s="48"/>
    </row>
    <row r="1207" spans="3:20">
      <c r="C1207" s="106">
        <v>43755</v>
      </c>
      <c r="D1207" s="48">
        <v>1.76</v>
      </c>
      <c r="S1207" s="106"/>
      <c r="T1207" s="48"/>
    </row>
    <row r="1208" spans="3:20">
      <c r="C1208" s="106">
        <v>43756</v>
      </c>
      <c r="D1208" s="48">
        <v>1.76</v>
      </c>
      <c r="S1208" s="106"/>
      <c r="T1208" s="48"/>
    </row>
    <row r="1209" spans="3:20">
      <c r="C1209" s="106">
        <v>43759</v>
      </c>
      <c r="D1209" s="48">
        <v>1.8</v>
      </c>
      <c r="S1209" s="106"/>
      <c r="T1209" s="48"/>
    </row>
    <row r="1210" spans="3:20">
      <c r="C1210" s="106">
        <v>43760</v>
      </c>
      <c r="D1210" s="48">
        <v>1.78</v>
      </c>
      <c r="S1210" s="106"/>
      <c r="T1210" s="48"/>
    </row>
    <row r="1211" spans="3:20">
      <c r="C1211" s="106">
        <v>43761</v>
      </c>
      <c r="D1211" s="48">
        <v>1.77</v>
      </c>
      <c r="S1211" s="106"/>
      <c r="T1211" s="48"/>
    </row>
    <row r="1212" spans="3:20">
      <c r="C1212" s="106">
        <v>43762</v>
      </c>
      <c r="D1212" s="48">
        <v>1.77</v>
      </c>
      <c r="S1212" s="106"/>
      <c r="T1212" s="48"/>
    </row>
    <row r="1213" spans="3:20">
      <c r="C1213" s="106">
        <v>43763</v>
      </c>
      <c r="D1213" s="48">
        <v>1.8</v>
      </c>
      <c r="S1213" s="106"/>
      <c r="T1213" s="48"/>
    </row>
    <row r="1214" spans="3:20">
      <c r="C1214" s="106">
        <v>43766</v>
      </c>
      <c r="D1214" s="48">
        <v>1.85</v>
      </c>
      <c r="S1214" s="106"/>
      <c r="T1214" s="48"/>
    </row>
    <row r="1215" spans="3:20">
      <c r="C1215" s="106">
        <v>43767</v>
      </c>
      <c r="D1215" s="48">
        <v>1.84</v>
      </c>
      <c r="S1215" s="106"/>
      <c r="T1215" s="48"/>
    </row>
    <row r="1216" spans="3:20">
      <c r="C1216" s="106">
        <v>43768</v>
      </c>
      <c r="D1216" s="48">
        <v>1.78</v>
      </c>
      <c r="S1216" s="106"/>
      <c r="T1216" s="48"/>
    </row>
    <row r="1217" spans="3:20">
      <c r="C1217" s="106">
        <v>43769</v>
      </c>
      <c r="D1217" s="48">
        <v>1.69</v>
      </c>
      <c r="S1217" s="106"/>
      <c r="T1217" s="48"/>
    </row>
    <row r="1218" spans="3:20">
      <c r="C1218" s="106">
        <v>43770</v>
      </c>
      <c r="D1218" s="48">
        <v>1.73</v>
      </c>
      <c r="S1218" s="106"/>
      <c r="T1218" s="48"/>
    </row>
    <row r="1219" spans="3:20">
      <c r="C1219" s="106">
        <v>43773</v>
      </c>
      <c r="D1219" s="48">
        <v>1.79</v>
      </c>
      <c r="S1219" s="106"/>
      <c r="T1219" s="48"/>
    </row>
    <row r="1220" spans="3:20">
      <c r="C1220" s="106">
        <v>43774</v>
      </c>
      <c r="D1220" s="48">
        <v>1.86</v>
      </c>
      <c r="S1220" s="106"/>
      <c r="T1220" s="48"/>
    </row>
    <row r="1221" spans="3:20">
      <c r="C1221" s="106">
        <v>43775</v>
      </c>
      <c r="D1221" s="48">
        <v>1.81</v>
      </c>
      <c r="S1221" s="106"/>
      <c r="T1221" s="48"/>
    </row>
    <row r="1222" spans="3:20">
      <c r="C1222" s="106">
        <v>43776</v>
      </c>
      <c r="D1222" s="48">
        <v>1.92</v>
      </c>
      <c r="S1222" s="106"/>
      <c r="T1222" s="48"/>
    </row>
    <row r="1223" spans="3:20">
      <c r="C1223" s="106">
        <v>43777</v>
      </c>
      <c r="D1223" s="48">
        <v>1.94</v>
      </c>
      <c r="S1223" s="106"/>
      <c r="T1223" s="48"/>
    </row>
    <row r="1224" spans="3:20">
      <c r="C1224" s="106">
        <v>43781</v>
      </c>
      <c r="D1224" s="48">
        <v>1.92</v>
      </c>
      <c r="S1224" s="106"/>
      <c r="T1224" s="48"/>
    </row>
    <row r="1225" spans="3:20">
      <c r="C1225" s="106">
        <v>43782</v>
      </c>
      <c r="D1225" s="48">
        <v>1.88</v>
      </c>
      <c r="S1225" s="106"/>
      <c r="T1225" s="48"/>
    </row>
    <row r="1226" spans="3:20">
      <c r="C1226" s="106">
        <v>43783</v>
      </c>
      <c r="D1226" s="48">
        <v>1.82</v>
      </c>
      <c r="S1226" s="106"/>
      <c r="T1226" s="48"/>
    </row>
    <row r="1227" spans="3:20">
      <c r="C1227" s="106">
        <v>43784</v>
      </c>
      <c r="D1227" s="48">
        <v>1.84</v>
      </c>
      <c r="S1227" s="106"/>
      <c r="T1227" s="48"/>
    </row>
    <row r="1228" spans="3:20">
      <c r="C1228" s="106">
        <v>43787</v>
      </c>
      <c r="D1228" s="48">
        <v>1.81</v>
      </c>
      <c r="S1228" s="106"/>
      <c r="T1228" s="48"/>
    </row>
    <row r="1229" spans="3:20">
      <c r="C1229" s="106">
        <v>43788</v>
      </c>
      <c r="D1229" s="48">
        <v>1.79</v>
      </c>
      <c r="S1229" s="106"/>
      <c r="T1229" s="48"/>
    </row>
    <row r="1230" spans="3:20">
      <c r="C1230" s="106">
        <v>43789</v>
      </c>
      <c r="D1230" s="48">
        <v>1.73</v>
      </c>
      <c r="S1230" s="106"/>
      <c r="T1230" s="48"/>
    </row>
    <row r="1231" spans="3:20">
      <c r="C1231" s="106">
        <v>43790</v>
      </c>
      <c r="D1231" s="48">
        <v>1.77</v>
      </c>
      <c r="S1231" s="106"/>
      <c r="T1231" s="48"/>
    </row>
    <row r="1232" spans="3:20">
      <c r="C1232" s="106">
        <v>43791</v>
      </c>
      <c r="D1232" s="48">
        <v>1.77</v>
      </c>
      <c r="S1232" s="106"/>
      <c r="T1232" s="48"/>
    </row>
    <row r="1233" spans="3:20">
      <c r="C1233" s="106">
        <v>43794</v>
      </c>
      <c r="D1233" s="48">
        <v>1.76</v>
      </c>
      <c r="S1233" s="106"/>
      <c r="T1233" s="48"/>
    </row>
    <row r="1234" spans="3:20">
      <c r="C1234" s="106">
        <v>43795</v>
      </c>
      <c r="D1234" s="48">
        <v>1.74</v>
      </c>
      <c r="S1234" s="106"/>
      <c r="T1234" s="48"/>
    </row>
    <row r="1235" spans="3:20">
      <c r="C1235" s="106">
        <v>43796</v>
      </c>
      <c r="D1235" s="48">
        <v>1.77</v>
      </c>
      <c r="S1235" s="106"/>
      <c r="T1235" s="48"/>
    </row>
    <row r="1236" spans="3:20">
      <c r="C1236" s="106">
        <v>43798</v>
      </c>
      <c r="D1236" s="48">
        <v>1.78</v>
      </c>
      <c r="S1236" s="106"/>
      <c r="T1236" s="48"/>
    </row>
    <row r="1237" spans="3:20">
      <c r="C1237" s="106">
        <v>43801</v>
      </c>
      <c r="D1237" s="48">
        <v>1.83</v>
      </c>
      <c r="S1237" s="106"/>
      <c r="T1237" s="48"/>
    </row>
    <row r="1238" spans="3:20">
      <c r="C1238" s="106">
        <v>43802</v>
      </c>
      <c r="D1238" s="48">
        <v>1.72</v>
      </c>
      <c r="S1238" s="106"/>
      <c r="T1238" s="48"/>
    </row>
    <row r="1239" spans="3:20">
      <c r="C1239" s="106">
        <v>43803</v>
      </c>
      <c r="D1239" s="48">
        <v>1.77</v>
      </c>
      <c r="S1239" s="106"/>
      <c r="T1239" s="48"/>
    </row>
    <row r="1240" spans="3:20">
      <c r="C1240" s="106">
        <v>43804</v>
      </c>
      <c r="D1240" s="48">
        <v>1.8</v>
      </c>
      <c r="S1240" s="106"/>
      <c r="T1240" s="48"/>
    </row>
    <row r="1241" spans="3:20">
      <c r="C1241" s="106">
        <v>43805</v>
      </c>
      <c r="D1241" s="48">
        <v>1.84</v>
      </c>
      <c r="S1241" s="106"/>
      <c r="T1241" s="48"/>
    </row>
    <row r="1242" spans="3:20">
      <c r="C1242" s="106">
        <v>43808</v>
      </c>
      <c r="D1242" s="48">
        <v>1.83</v>
      </c>
      <c r="S1242" s="106"/>
      <c r="T1242" s="48"/>
    </row>
    <row r="1243" spans="3:20">
      <c r="C1243" s="106">
        <v>43809</v>
      </c>
      <c r="D1243" s="48">
        <v>1.85</v>
      </c>
      <c r="S1243" s="106"/>
      <c r="T1243" s="48"/>
    </row>
    <row r="1244" spans="3:20">
      <c r="C1244" s="106">
        <v>43810</v>
      </c>
      <c r="D1244" s="48">
        <v>1.79</v>
      </c>
      <c r="S1244" s="106"/>
      <c r="T1244" s="48"/>
    </row>
    <row r="1245" spans="3:20">
      <c r="C1245" s="106">
        <v>43811</v>
      </c>
      <c r="D1245" s="48">
        <v>1.9</v>
      </c>
      <c r="S1245" s="106"/>
      <c r="T1245" s="48"/>
    </row>
    <row r="1246" spans="3:20">
      <c r="C1246" s="106">
        <v>43812</v>
      </c>
      <c r="D1246" s="48">
        <v>1.82</v>
      </c>
      <c r="S1246" s="106"/>
      <c r="T1246" s="48"/>
    </row>
    <row r="1247" spans="3:20">
      <c r="C1247" s="106">
        <v>43815</v>
      </c>
      <c r="D1247" s="48">
        <v>1.89</v>
      </c>
      <c r="S1247" s="106"/>
      <c r="T1247" s="48"/>
    </row>
    <row r="1248" spans="3:20">
      <c r="C1248" s="106">
        <v>43816</v>
      </c>
      <c r="D1248" s="48">
        <v>1.89</v>
      </c>
      <c r="S1248" s="106"/>
      <c r="T1248" s="48"/>
    </row>
    <row r="1249" spans="3:20">
      <c r="C1249" s="106">
        <v>43817</v>
      </c>
      <c r="D1249" s="48">
        <v>1.92</v>
      </c>
      <c r="S1249" s="106"/>
      <c r="T1249" s="48"/>
    </row>
    <row r="1250" spans="3:20">
      <c r="C1250" s="106">
        <v>43818</v>
      </c>
      <c r="D1250" s="48">
        <v>1.92</v>
      </c>
      <c r="S1250" s="106"/>
      <c r="T1250" s="48"/>
    </row>
    <row r="1251" spans="3:20">
      <c r="C1251" s="106">
        <v>43819</v>
      </c>
      <c r="D1251" s="48">
        <v>1.92</v>
      </c>
      <c r="S1251" s="106"/>
      <c r="T1251" s="48"/>
    </row>
    <row r="1252" spans="3:20">
      <c r="C1252" s="106">
        <v>43822</v>
      </c>
      <c r="D1252" s="48">
        <v>1.93</v>
      </c>
      <c r="S1252" s="106"/>
      <c r="T1252" s="48"/>
    </row>
    <row r="1253" spans="3:20">
      <c r="C1253" s="106">
        <v>43823</v>
      </c>
      <c r="D1253" s="48">
        <v>1.9</v>
      </c>
      <c r="S1253" s="106"/>
      <c r="T1253" s="48"/>
    </row>
    <row r="1254" spans="3:20">
      <c r="C1254" s="106">
        <v>43825</v>
      </c>
      <c r="D1254" s="48">
        <v>1.9</v>
      </c>
      <c r="S1254" s="106"/>
      <c r="T1254" s="48"/>
    </row>
    <row r="1255" spans="3:20">
      <c r="C1255" s="106">
        <v>43826</v>
      </c>
      <c r="D1255" s="48">
        <v>1.88</v>
      </c>
      <c r="S1255" s="106"/>
      <c r="T1255" s="48"/>
    </row>
    <row r="1256" spans="3:20">
      <c r="C1256" s="106">
        <v>43829</v>
      </c>
      <c r="D1256" s="48">
        <v>1.9</v>
      </c>
      <c r="S1256" s="106"/>
      <c r="T1256" s="48"/>
    </row>
    <row r="1257" spans="3:20">
      <c r="C1257" s="106">
        <v>43830</v>
      </c>
      <c r="D1257" s="48">
        <v>1.92</v>
      </c>
      <c r="S1257" s="106"/>
      <c r="T1257" s="48"/>
    </row>
    <row r="1258" spans="3:20">
      <c r="C1258" s="106">
        <v>43832</v>
      </c>
      <c r="D1258" s="48">
        <v>1.88</v>
      </c>
      <c r="S1258" s="106"/>
      <c r="T1258" s="48"/>
    </row>
    <row r="1259" spans="3:20">
      <c r="C1259" s="106">
        <v>43833</v>
      </c>
      <c r="D1259" s="48">
        <v>1.8</v>
      </c>
      <c r="S1259" s="106"/>
      <c r="T1259" s="48"/>
    </row>
    <row r="1260" spans="3:20">
      <c r="C1260" s="106">
        <v>43836</v>
      </c>
      <c r="D1260" s="48">
        <v>1.81</v>
      </c>
      <c r="S1260" s="106"/>
      <c r="T1260" s="48"/>
    </row>
    <row r="1261" spans="3:20">
      <c r="C1261" s="106">
        <v>43837</v>
      </c>
      <c r="D1261" s="48">
        <v>1.83</v>
      </c>
      <c r="S1261" s="106"/>
      <c r="T1261" s="48"/>
    </row>
    <row r="1262" spans="3:20">
      <c r="C1262" s="106">
        <v>43838</v>
      </c>
      <c r="D1262" s="48">
        <v>1.87</v>
      </c>
      <c r="S1262" s="106"/>
      <c r="T1262" s="48"/>
    </row>
    <row r="1263" spans="3:20">
      <c r="C1263" s="106">
        <v>43839</v>
      </c>
      <c r="D1263" s="48">
        <v>1.85</v>
      </c>
      <c r="S1263" s="106"/>
      <c r="T1263" s="48"/>
    </row>
    <row r="1264" spans="3:20">
      <c r="C1264" s="106">
        <v>43840</v>
      </c>
      <c r="D1264" s="48">
        <v>1.83</v>
      </c>
      <c r="S1264" s="106"/>
      <c r="T1264" s="48"/>
    </row>
    <row r="1265" spans="3:20">
      <c r="C1265" s="106">
        <v>43843</v>
      </c>
      <c r="D1265" s="48">
        <v>1.85</v>
      </c>
      <c r="S1265" s="106"/>
      <c r="T1265" s="48"/>
    </row>
    <row r="1266" spans="3:20">
      <c r="C1266" s="106">
        <v>43844</v>
      </c>
      <c r="D1266" s="48">
        <v>1.82</v>
      </c>
      <c r="S1266" s="106"/>
      <c r="T1266" s="48"/>
    </row>
    <row r="1267" spans="3:20">
      <c r="C1267" s="106">
        <v>43845</v>
      </c>
      <c r="D1267" s="48">
        <v>1.79</v>
      </c>
      <c r="S1267" s="106"/>
      <c r="T1267" s="48"/>
    </row>
    <row r="1268" spans="3:20">
      <c r="C1268" s="106">
        <v>43846</v>
      </c>
      <c r="D1268" s="48">
        <v>1.81</v>
      </c>
      <c r="S1268" s="106"/>
      <c r="T1268" s="48"/>
    </row>
    <row r="1269" spans="3:20">
      <c r="C1269" s="106">
        <v>43847</v>
      </c>
      <c r="D1269" s="48">
        <v>1.84</v>
      </c>
      <c r="S1269" s="106"/>
      <c r="T1269" s="48"/>
    </row>
    <row r="1270" spans="3:20">
      <c r="C1270" s="106">
        <v>43851</v>
      </c>
      <c r="D1270" s="48">
        <v>1.78</v>
      </c>
      <c r="S1270" s="106"/>
      <c r="T1270" s="48"/>
    </row>
    <row r="1271" spans="3:20">
      <c r="C1271" s="106">
        <v>43852</v>
      </c>
      <c r="D1271" s="48">
        <v>1.77</v>
      </c>
      <c r="S1271" s="106"/>
      <c r="T1271" s="48"/>
    </row>
    <row r="1272" spans="3:20">
      <c r="C1272" s="106">
        <v>43853</v>
      </c>
      <c r="D1272" s="48">
        <v>1.74</v>
      </c>
      <c r="S1272" s="106"/>
      <c r="T1272" s="48"/>
    </row>
    <row r="1273" spans="3:20">
      <c r="C1273" s="106">
        <v>43854</v>
      </c>
      <c r="D1273" s="48">
        <v>1.7</v>
      </c>
      <c r="S1273" s="106"/>
      <c r="T1273" s="48"/>
    </row>
    <row r="1274" spans="3:20">
      <c r="C1274" s="106">
        <v>43857</v>
      </c>
      <c r="D1274" s="48">
        <v>1.61</v>
      </c>
      <c r="S1274" s="106"/>
      <c r="T1274" s="48"/>
    </row>
    <row r="1275" spans="3:20">
      <c r="C1275" s="106">
        <v>43858</v>
      </c>
      <c r="D1275" s="48">
        <v>1.65</v>
      </c>
      <c r="S1275" s="106"/>
      <c r="T1275" s="48"/>
    </row>
    <row r="1276" spans="3:20">
      <c r="C1276" s="106">
        <v>43859</v>
      </c>
      <c r="D1276" s="48">
        <v>1.6</v>
      </c>
      <c r="S1276" s="106"/>
      <c r="T1276" s="48"/>
    </row>
    <row r="1277" spans="3:20">
      <c r="C1277" s="106">
        <v>43860</v>
      </c>
      <c r="D1277" s="48">
        <v>1.57</v>
      </c>
      <c r="S1277" s="106"/>
      <c r="T1277" s="48"/>
    </row>
    <row r="1278" spans="3:20">
      <c r="C1278" s="106">
        <v>43861</v>
      </c>
      <c r="D1278" s="48">
        <v>1.51</v>
      </c>
      <c r="S1278" s="106"/>
      <c r="T1278" s="48"/>
    </row>
    <row r="1279" spans="3:20">
      <c r="C1279" s="106">
        <v>43864</v>
      </c>
      <c r="D1279" s="48">
        <v>1.54</v>
      </c>
      <c r="S1279" s="106"/>
      <c r="T1279" s="48"/>
    </row>
    <row r="1280" spans="3:20">
      <c r="C1280" s="106">
        <v>43865</v>
      </c>
      <c r="D1280" s="48">
        <v>1.61</v>
      </c>
      <c r="S1280" s="106"/>
      <c r="T1280" s="48"/>
    </row>
    <row r="1281" spans="3:20">
      <c r="C1281" s="106">
        <v>43866</v>
      </c>
      <c r="D1281" s="48">
        <v>1.66</v>
      </c>
      <c r="S1281" s="106"/>
      <c r="T1281" s="48"/>
    </row>
    <row r="1282" spans="3:20">
      <c r="C1282" s="106">
        <v>43867</v>
      </c>
      <c r="D1282" s="48">
        <v>1.65</v>
      </c>
      <c r="S1282" s="106"/>
      <c r="T1282" s="48"/>
    </row>
    <row r="1283" spans="3:20">
      <c r="C1283" s="106">
        <v>43868</v>
      </c>
      <c r="D1283" s="48">
        <v>1.59</v>
      </c>
      <c r="S1283" s="106"/>
      <c r="T1283" s="48"/>
    </row>
    <row r="1284" spans="3:20">
      <c r="C1284" s="106">
        <v>43871</v>
      </c>
      <c r="D1284" s="48">
        <v>1.56</v>
      </c>
      <c r="S1284" s="106"/>
      <c r="T1284" s="48"/>
    </row>
    <row r="1285" spans="3:20">
      <c r="C1285" s="106">
        <v>43872</v>
      </c>
      <c r="D1285" s="48">
        <v>1.59</v>
      </c>
      <c r="S1285" s="106"/>
      <c r="T1285" s="48"/>
    </row>
    <row r="1286" spans="3:20">
      <c r="C1286" s="106">
        <v>43873</v>
      </c>
      <c r="D1286" s="48">
        <v>1.62</v>
      </c>
      <c r="S1286" s="106"/>
      <c r="T1286" s="48"/>
    </row>
    <row r="1287" spans="3:20">
      <c r="C1287" s="106">
        <v>43874</v>
      </c>
      <c r="D1287" s="48">
        <v>1.61</v>
      </c>
      <c r="S1287" s="106"/>
      <c r="T1287" s="48"/>
    </row>
    <row r="1288" spans="3:20">
      <c r="C1288" s="106">
        <v>43875</v>
      </c>
      <c r="D1288" s="48">
        <v>1.59</v>
      </c>
      <c r="S1288" s="106"/>
      <c r="T1288" s="48"/>
    </row>
    <row r="1289" spans="3:20">
      <c r="C1289" s="106">
        <v>43879</v>
      </c>
      <c r="D1289" s="48">
        <v>1.55</v>
      </c>
      <c r="S1289" s="106"/>
      <c r="T1289" s="48"/>
    </row>
    <row r="1290" spans="3:20">
      <c r="C1290" s="106">
        <v>43880</v>
      </c>
      <c r="D1290" s="48">
        <v>1.56</v>
      </c>
      <c r="S1290" s="106"/>
      <c r="T1290" s="48"/>
    </row>
    <row r="1291" spans="3:20">
      <c r="C1291" s="106">
        <v>43881</v>
      </c>
      <c r="D1291" s="48">
        <v>1.52</v>
      </c>
      <c r="S1291" s="106"/>
      <c r="T1291" s="48"/>
    </row>
    <row r="1292" spans="3:20">
      <c r="C1292" s="106">
        <v>43882</v>
      </c>
      <c r="D1292" s="48">
        <v>1.46</v>
      </c>
      <c r="S1292" s="106"/>
      <c r="T1292" s="48"/>
    </row>
    <row r="1293" spans="3:20">
      <c r="C1293" s="106">
        <v>43885</v>
      </c>
      <c r="D1293" s="48">
        <v>1.38</v>
      </c>
      <c r="S1293" s="106"/>
      <c r="T1293" s="48"/>
    </row>
    <row r="1294" spans="3:20">
      <c r="C1294" s="106">
        <v>43886</v>
      </c>
      <c r="D1294" s="48">
        <v>1.33</v>
      </c>
      <c r="S1294" s="106"/>
      <c r="T1294" s="48"/>
    </row>
    <row r="1295" spans="3:20">
      <c r="C1295" s="106">
        <v>43887</v>
      </c>
      <c r="D1295" s="48">
        <v>1.33</v>
      </c>
      <c r="S1295" s="106"/>
      <c r="T1295" s="48"/>
    </row>
    <row r="1296" spans="3:20">
      <c r="C1296" s="106">
        <v>43888</v>
      </c>
      <c r="D1296" s="48">
        <v>1.3</v>
      </c>
      <c r="S1296" s="106"/>
      <c r="T1296" s="48"/>
    </row>
    <row r="1297" spans="3:20">
      <c r="C1297" s="106">
        <v>43889</v>
      </c>
      <c r="D1297" s="48">
        <v>1.1299999999999999</v>
      </c>
      <c r="S1297" s="106"/>
      <c r="T1297" s="48"/>
    </row>
    <row r="1298" spans="3:20">
      <c r="C1298" s="106">
        <v>43892</v>
      </c>
      <c r="D1298" s="48">
        <v>1.1000000000000001</v>
      </c>
      <c r="S1298" s="106"/>
      <c r="T1298" s="48"/>
    </row>
    <row r="1299" spans="3:20">
      <c r="C1299" s="106">
        <v>43893</v>
      </c>
      <c r="D1299" s="48">
        <v>1.02</v>
      </c>
      <c r="S1299" s="106"/>
      <c r="T1299" s="48"/>
    </row>
    <row r="1300" spans="3:20">
      <c r="C1300" s="106">
        <v>43894</v>
      </c>
      <c r="D1300" s="48">
        <v>1.02</v>
      </c>
      <c r="S1300" s="106"/>
      <c r="T1300" s="48"/>
    </row>
    <row r="1301" spans="3:20">
      <c r="C1301" s="106">
        <v>43895</v>
      </c>
      <c r="D1301" s="48">
        <v>0.92</v>
      </c>
      <c r="S1301" s="106"/>
      <c r="T1301" s="48"/>
    </row>
    <row r="1302" spans="3:20">
      <c r="C1302" s="106">
        <v>43896</v>
      </c>
      <c r="D1302" s="48">
        <v>0.74</v>
      </c>
      <c r="S1302" s="106"/>
      <c r="T1302" s="48"/>
    </row>
    <row r="1303" spans="3:20">
      <c r="C1303" s="106">
        <v>43899</v>
      </c>
      <c r="D1303" s="48">
        <v>0.54</v>
      </c>
      <c r="S1303" s="106"/>
      <c r="T1303" s="48"/>
    </row>
    <row r="1304" spans="3:20">
      <c r="C1304" s="106">
        <v>43900</v>
      </c>
      <c r="D1304" s="48">
        <v>0.76</v>
      </c>
      <c r="S1304" s="106"/>
      <c r="T1304" s="48"/>
    </row>
    <row r="1305" spans="3:20">
      <c r="C1305" s="106">
        <v>43901</v>
      </c>
      <c r="D1305" s="48">
        <v>0.82</v>
      </c>
      <c r="S1305" s="106"/>
      <c r="T1305" s="48"/>
    </row>
    <row r="1306" spans="3:20">
      <c r="C1306" s="106">
        <v>43902</v>
      </c>
      <c r="D1306" s="48">
        <v>0.88</v>
      </c>
      <c r="S1306" s="106"/>
      <c r="T1306" s="48"/>
    </row>
    <row r="1307" spans="3:20">
      <c r="C1307" s="106">
        <v>43903</v>
      </c>
      <c r="D1307" s="48">
        <v>0.94</v>
      </c>
      <c r="S1307" s="106"/>
      <c r="T1307" s="48"/>
    </row>
    <row r="1308" spans="3:20">
      <c r="C1308" s="106">
        <v>43906</v>
      </c>
      <c r="D1308" s="48">
        <v>0.73</v>
      </c>
      <c r="S1308" s="106"/>
      <c r="T1308" s="48"/>
    </row>
    <row r="1309" spans="3:20">
      <c r="C1309" s="106">
        <v>43907</v>
      </c>
      <c r="D1309" s="48">
        <v>1.02</v>
      </c>
      <c r="S1309" s="106"/>
      <c r="T1309" s="48"/>
    </row>
    <row r="1310" spans="3:20">
      <c r="C1310" s="106">
        <v>43908</v>
      </c>
      <c r="D1310" s="48">
        <v>1.18</v>
      </c>
      <c r="S1310" s="106"/>
      <c r="T1310" s="48"/>
    </row>
    <row r="1311" spans="3:20">
      <c r="C1311" s="106">
        <v>43909</v>
      </c>
      <c r="D1311" s="48">
        <v>1.1200000000000001</v>
      </c>
      <c r="S1311" s="106"/>
      <c r="T1311" s="48"/>
    </row>
    <row r="1312" spans="3:20">
      <c r="C1312" s="106">
        <v>43910</v>
      </c>
      <c r="D1312" s="48">
        <v>0.92</v>
      </c>
      <c r="S1312" s="106"/>
      <c r="T1312" s="48"/>
    </row>
    <row r="1313" spans="3:20">
      <c r="C1313" s="106">
        <v>43913</v>
      </c>
      <c r="D1313" s="48">
        <v>0.76</v>
      </c>
      <c r="S1313" s="106"/>
      <c r="T1313" s="48"/>
    </row>
    <row r="1314" spans="3:20">
      <c r="C1314" s="106">
        <v>43914</v>
      </c>
      <c r="D1314" s="48">
        <v>0.84</v>
      </c>
      <c r="S1314" s="106"/>
      <c r="T1314" s="48"/>
    </row>
    <row r="1315" spans="3:20">
      <c r="C1315" s="106">
        <v>43915</v>
      </c>
      <c r="D1315" s="48">
        <v>0.88</v>
      </c>
      <c r="S1315" s="106"/>
      <c r="T1315" s="48"/>
    </row>
    <row r="1316" spans="3:20">
      <c r="C1316" s="106">
        <v>43916</v>
      </c>
      <c r="D1316" s="48">
        <v>0.83</v>
      </c>
      <c r="S1316" s="106"/>
      <c r="T1316" s="48"/>
    </row>
    <row r="1317" spans="3:20">
      <c r="C1317" s="106">
        <v>43917</v>
      </c>
      <c r="D1317" s="48">
        <v>0.72</v>
      </c>
      <c r="S1317" s="106"/>
      <c r="T1317" s="48"/>
    </row>
    <row r="1318" spans="3:20">
      <c r="C1318" s="106">
        <v>43920</v>
      </c>
      <c r="D1318" s="48">
        <v>0.7</v>
      </c>
      <c r="S1318" s="106"/>
      <c r="T1318" s="48"/>
    </row>
    <row r="1319" spans="3:20">
      <c r="C1319" s="106">
        <v>43921</v>
      </c>
      <c r="D1319" s="48">
        <v>0.7</v>
      </c>
      <c r="S1319" s="106"/>
      <c r="T1319" s="48"/>
    </row>
    <row r="1320" spans="3:20">
      <c r="C1320" s="106">
        <v>43922</v>
      </c>
      <c r="D1320" s="48">
        <v>0.62</v>
      </c>
      <c r="S1320" s="106"/>
      <c r="T1320" s="48"/>
    </row>
    <row r="1321" spans="3:20">
      <c r="C1321" s="106">
        <v>43923</v>
      </c>
      <c r="D1321" s="48">
        <v>0.63</v>
      </c>
      <c r="S1321" s="106"/>
      <c r="T1321" s="48"/>
    </row>
    <row r="1322" spans="3:20">
      <c r="C1322" s="106">
        <v>43924</v>
      </c>
      <c r="D1322" s="48">
        <v>0.62</v>
      </c>
      <c r="S1322" s="106"/>
      <c r="T1322" s="48"/>
    </row>
    <row r="1323" spans="3:20">
      <c r="C1323" s="106">
        <v>43927</v>
      </c>
      <c r="D1323" s="48">
        <v>0.67</v>
      </c>
      <c r="S1323" s="106"/>
      <c r="T1323" s="48"/>
    </row>
    <row r="1324" spans="3:20">
      <c r="C1324" s="106">
        <v>43928</v>
      </c>
      <c r="D1324" s="48">
        <v>0.75</v>
      </c>
      <c r="S1324" s="106"/>
      <c r="T1324" s="48"/>
    </row>
    <row r="1325" spans="3:20">
      <c r="C1325" s="106">
        <v>43929</v>
      </c>
      <c r="D1325" s="48">
        <v>0.77</v>
      </c>
      <c r="S1325" s="106"/>
      <c r="T1325" s="48"/>
    </row>
    <row r="1326" spans="3:20">
      <c r="C1326" s="106">
        <v>43930</v>
      </c>
      <c r="D1326" s="48">
        <v>0.73</v>
      </c>
      <c r="S1326" s="106"/>
      <c r="T1326" s="48"/>
    </row>
    <row r="1327" spans="3:20">
      <c r="C1327" s="106">
        <v>43934</v>
      </c>
      <c r="D1327" s="48">
        <v>0.76</v>
      </c>
      <c r="S1327" s="106"/>
      <c r="T1327" s="48"/>
    </row>
    <row r="1328" spans="3:20">
      <c r="C1328" s="106">
        <v>43935</v>
      </c>
      <c r="D1328" s="48">
        <v>0.76</v>
      </c>
      <c r="S1328" s="106"/>
      <c r="T1328" s="48"/>
    </row>
    <row r="1329" spans="3:20">
      <c r="C1329" s="106">
        <v>43936</v>
      </c>
      <c r="D1329" s="48">
        <v>0.63</v>
      </c>
      <c r="S1329" s="106"/>
      <c r="T1329" s="48"/>
    </row>
    <row r="1330" spans="3:20">
      <c r="C1330" s="106">
        <v>43937</v>
      </c>
      <c r="D1330" s="48">
        <v>0.61</v>
      </c>
      <c r="S1330" s="106"/>
      <c r="T1330" s="48"/>
    </row>
    <row r="1331" spans="3:20">
      <c r="C1331" s="106">
        <v>43938</v>
      </c>
      <c r="D1331" s="48">
        <v>0.65</v>
      </c>
      <c r="S1331" s="106"/>
      <c r="T1331" s="48"/>
    </row>
    <row r="1332" spans="3:20">
      <c r="C1332" s="106">
        <v>43941</v>
      </c>
      <c r="D1332" s="48">
        <v>0.63</v>
      </c>
      <c r="S1332" s="106"/>
      <c r="T1332" s="48"/>
    </row>
    <row r="1333" spans="3:20">
      <c r="C1333" s="106">
        <v>43942</v>
      </c>
      <c r="D1333" s="48">
        <v>0.57999999999999996</v>
      </c>
      <c r="S1333" s="106"/>
      <c r="T1333" s="48"/>
    </row>
    <row r="1334" spans="3:20">
      <c r="C1334" s="106">
        <v>43943</v>
      </c>
      <c r="D1334" s="48">
        <v>0.63</v>
      </c>
      <c r="S1334" s="106"/>
      <c r="T1334" s="48"/>
    </row>
    <row r="1335" spans="3:20">
      <c r="C1335" s="106">
        <v>43944</v>
      </c>
      <c r="D1335" s="48">
        <v>0.61</v>
      </c>
      <c r="S1335" s="106"/>
      <c r="T1335" s="48"/>
    </row>
    <row r="1336" spans="3:20">
      <c r="C1336" s="106">
        <v>43945</v>
      </c>
      <c r="D1336" s="48">
        <v>0.6</v>
      </c>
      <c r="S1336" s="106"/>
      <c r="T1336" s="48"/>
    </row>
    <row r="1337" spans="3:20">
      <c r="C1337" s="106">
        <v>43948</v>
      </c>
      <c r="D1337" s="48">
        <v>0.67</v>
      </c>
      <c r="S1337" s="106"/>
      <c r="T1337" s="48"/>
    </row>
    <row r="1338" spans="3:20">
      <c r="C1338" s="106">
        <v>43949</v>
      </c>
      <c r="D1338" s="48">
        <v>0.62</v>
      </c>
      <c r="S1338" s="106"/>
      <c r="T1338" s="48"/>
    </row>
    <row r="1339" spans="3:20">
      <c r="C1339" s="106">
        <v>43950</v>
      </c>
      <c r="D1339" s="48">
        <v>0.63</v>
      </c>
      <c r="S1339" s="106"/>
      <c r="T1339" s="48"/>
    </row>
    <row r="1340" spans="3:20">
      <c r="C1340" s="106">
        <v>43951</v>
      </c>
      <c r="D1340" s="48">
        <v>0.64</v>
      </c>
      <c r="S1340" s="106"/>
      <c r="T1340" s="48"/>
    </row>
    <row r="1341" spans="3:20">
      <c r="C1341" s="106">
        <v>43952</v>
      </c>
      <c r="D1341" s="48">
        <v>0.64</v>
      </c>
      <c r="S1341" s="106"/>
      <c r="T1341" s="48"/>
    </row>
    <row r="1342" spans="3:20">
      <c r="C1342" s="106">
        <v>43955</v>
      </c>
      <c r="D1342" s="48">
        <v>0.64</v>
      </c>
      <c r="S1342" s="106"/>
      <c r="T1342" s="48"/>
    </row>
    <row r="1343" spans="3:20">
      <c r="C1343" s="106">
        <v>43956</v>
      </c>
      <c r="D1343" s="48">
        <v>0.66</v>
      </c>
      <c r="S1343" s="106"/>
      <c r="T1343" s="48"/>
    </row>
    <row r="1344" spans="3:20">
      <c r="C1344" s="106">
        <v>43957</v>
      </c>
      <c r="D1344" s="48">
        <v>0.72</v>
      </c>
      <c r="S1344" s="106"/>
      <c r="T1344" s="48"/>
    </row>
    <row r="1345" spans="3:20">
      <c r="C1345" s="106">
        <v>43958</v>
      </c>
      <c r="D1345" s="48">
        <v>0.63</v>
      </c>
      <c r="S1345" s="106"/>
      <c r="T1345" s="48"/>
    </row>
    <row r="1346" spans="3:20">
      <c r="C1346" s="106">
        <v>43959</v>
      </c>
      <c r="D1346" s="48">
        <v>0.69</v>
      </c>
      <c r="S1346" s="106"/>
      <c r="T1346" s="48"/>
    </row>
    <row r="1347" spans="3:20">
      <c r="C1347" s="106">
        <v>43962</v>
      </c>
      <c r="D1347" s="48">
        <v>0.73</v>
      </c>
      <c r="S1347" s="106"/>
      <c r="T1347" s="48"/>
    </row>
    <row r="1348" spans="3:20">
      <c r="C1348" s="106">
        <v>43963</v>
      </c>
      <c r="D1348" s="48">
        <v>0.69</v>
      </c>
      <c r="S1348" s="106"/>
      <c r="T1348" s="48"/>
    </row>
    <row r="1349" spans="3:20">
      <c r="C1349" s="106">
        <v>43964</v>
      </c>
      <c r="D1349" s="48">
        <v>0.64</v>
      </c>
      <c r="S1349" s="106"/>
      <c r="T1349" s="48"/>
    </row>
    <row r="1350" spans="3:20">
      <c r="C1350" s="106">
        <v>43965</v>
      </c>
      <c r="D1350" s="48">
        <v>0.63</v>
      </c>
      <c r="S1350" s="106"/>
      <c r="T1350" s="48"/>
    </row>
    <row r="1351" spans="3:20">
      <c r="C1351" s="106">
        <v>43966</v>
      </c>
      <c r="D1351" s="48">
        <v>0.64</v>
      </c>
      <c r="S1351" s="106"/>
      <c r="T1351" s="48"/>
    </row>
    <row r="1352" spans="3:20">
      <c r="C1352" s="106">
        <v>43969</v>
      </c>
      <c r="D1352" s="48">
        <v>0.73</v>
      </c>
      <c r="S1352" s="106"/>
      <c r="T1352" s="48"/>
    </row>
    <row r="1353" spans="3:20">
      <c r="C1353" s="106">
        <v>43970</v>
      </c>
      <c r="D1353" s="48">
        <v>0.7</v>
      </c>
      <c r="S1353" s="106"/>
      <c r="T1353" s="48"/>
    </row>
    <row r="1354" spans="3:20">
      <c r="C1354" s="106">
        <v>43971</v>
      </c>
      <c r="D1354" s="48">
        <v>0.68</v>
      </c>
      <c r="S1354" s="106"/>
      <c r="T1354" s="48"/>
    </row>
    <row r="1355" spans="3:20">
      <c r="C1355" s="106">
        <v>43972</v>
      </c>
      <c r="D1355" s="48">
        <v>0.68</v>
      </c>
      <c r="S1355" s="106"/>
      <c r="T1355" s="48"/>
    </row>
    <row r="1356" spans="3:20">
      <c r="C1356" s="106">
        <v>43973</v>
      </c>
      <c r="D1356" s="48">
        <v>0.66</v>
      </c>
      <c r="S1356" s="106"/>
      <c r="T1356" s="48"/>
    </row>
    <row r="1357" spans="3:20">
      <c r="C1357" s="106">
        <v>43977</v>
      </c>
      <c r="D1357" s="48">
        <v>0.69</v>
      </c>
      <c r="S1357" s="106"/>
      <c r="T1357" s="48"/>
    </row>
    <row r="1358" spans="3:20">
      <c r="C1358" s="106">
        <v>43978</v>
      </c>
      <c r="D1358" s="48">
        <v>0.68</v>
      </c>
      <c r="S1358" s="106"/>
      <c r="T1358" s="48"/>
    </row>
    <row r="1359" spans="3:20">
      <c r="C1359" s="106">
        <v>43979</v>
      </c>
      <c r="D1359" s="48">
        <v>0.7</v>
      </c>
      <c r="S1359" s="106"/>
      <c r="T1359" s="48"/>
    </row>
    <row r="1360" spans="3:20">
      <c r="C1360" s="106">
        <v>43980</v>
      </c>
      <c r="D1360" s="48">
        <v>0.65</v>
      </c>
      <c r="S1360" s="106"/>
      <c r="T1360" s="48"/>
    </row>
    <row r="1361" spans="3:20">
      <c r="C1361" s="106">
        <v>43983</v>
      </c>
      <c r="D1361" s="48">
        <v>0.66</v>
      </c>
      <c r="S1361" s="106"/>
      <c r="T1361" s="48"/>
    </row>
    <row r="1362" spans="3:20">
      <c r="C1362" s="106">
        <v>43984</v>
      </c>
      <c r="D1362" s="48">
        <v>0.68</v>
      </c>
      <c r="S1362" s="106"/>
      <c r="T1362" s="48"/>
    </row>
    <row r="1363" spans="3:20">
      <c r="C1363" s="106">
        <v>43985</v>
      </c>
      <c r="D1363" s="48">
        <v>0.77</v>
      </c>
      <c r="S1363" s="106"/>
      <c r="T1363" s="48"/>
    </row>
    <row r="1364" spans="3:20">
      <c r="C1364" s="106">
        <v>43986</v>
      </c>
      <c r="D1364" s="48">
        <v>0.82</v>
      </c>
      <c r="S1364" s="106"/>
      <c r="T1364" s="48"/>
    </row>
    <row r="1365" spans="3:20">
      <c r="C1365" s="106">
        <v>43987</v>
      </c>
      <c r="D1365" s="48">
        <v>0.91</v>
      </c>
      <c r="S1365" s="106"/>
      <c r="T1365" s="48"/>
    </row>
    <row r="1366" spans="3:20">
      <c r="C1366" s="106">
        <v>43990</v>
      </c>
      <c r="D1366" s="48">
        <v>0.88</v>
      </c>
      <c r="S1366" s="106"/>
      <c r="T1366" s="48"/>
    </row>
    <row r="1367" spans="3:20">
      <c r="C1367" s="106">
        <v>43991</v>
      </c>
      <c r="D1367" s="48">
        <v>0.84</v>
      </c>
      <c r="S1367" s="106"/>
      <c r="T1367" s="48"/>
    </row>
    <row r="1368" spans="3:20">
      <c r="C1368" s="106">
        <v>43992</v>
      </c>
      <c r="D1368" s="48">
        <v>0.75</v>
      </c>
      <c r="S1368" s="106"/>
      <c r="T1368" s="48"/>
    </row>
    <row r="1369" spans="3:20">
      <c r="C1369" s="106">
        <v>43993</v>
      </c>
      <c r="D1369" s="48">
        <v>0.66</v>
      </c>
      <c r="S1369" s="106"/>
      <c r="T1369" s="48"/>
    </row>
    <row r="1370" spans="3:20">
      <c r="C1370" s="106">
        <v>43994</v>
      </c>
      <c r="D1370" s="48">
        <v>0.71</v>
      </c>
      <c r="S1370" s="106"/>
      <c r="T1370" s="48"/>
    </row>
    <row r="1371" spans="3:20">
      <c r="C1371" s="106">
        <v>43997</v>
      </c>
      <c r="D1371" s="48">
        <v>0.71</v>
      </c>
      <c r="S1371" s="106"/>
      <c r="T1371" s="48"/>
    </row>
    <row r="1372" spans="3:20">
      <c r="C1372" s="106">
        <v>43998</v>
      </c>
      <c r="D1372" s="48">
        <v>0.75</v>
      </c>
      <c r="S1372" s="106"/>
      <c r="T1372" s="48"/>
    </row>
    <row r="1373" spans="3:20">
      <c r="C1373" s="106">
        <v>43999</v>
      </c>
      <c r="D1373" s="48">
        <v>0.74</v>
      </c>
      <c r="S1373" s="106"/>
      <c r="T1373" s="48"/>
    </row>
    <row r="1374" spans="3:20">
      <c r="C1374" s="106">
        <v>44000</v>
      </c>
      <c r="D1374" s="48">
        <v>0.71</v>
      </c>
      <c r="S1374" s="106"/>
      <c r="T1374" s="48"/>
    </row>
    <row r="1375" spans="3:20">
      <c r="C1375" s="106">
        <v>44001</v>
      </c>
      <c r="D1375" s="48">
        <v>0.7</v>
      </c>
      <c r="S1375" s="106"/>
      <c r="T1375" s="48"/>
    </row>
    <row r="1376" spans="3:20">
      <c r="C1376" s="106">
        <v>44004</v>
      </c>
      <c r="D1376" s="48">
        <v>0.71</v>
      </c>
      <c r="S1376" s="106"/>
      <c r="T1376" s="48"/>
    </row>
    <row r="1377" spans="3:20">
      <c r="C1377" s="106">
        <v>44005</v>
      </c>
      <c r="D1377" s="48">
        <v>0.72</v>
      </c>
      <c r="S1377" s="106"/>
      <c r="T1377" s="48"/>
    </row>
    <row r="1378" spans="3:20">
      <c r="C1378" s="106">
        <v>44006</v>
      </c>
      <c r="D1378" s="48">
        <v>0.69</v>
      </c>
      <c r="S1378" s="106"/>
      <c r="T1378" s="48"/>
    </row>
    <row r="1379" spans="3:20">
      <c r="C1379" s="106">
        <v>44007</v>
      </c>
      <c r="D1379" s="48">
        <v>0.68</v>
      </c>
      <c r="S1379" s="106"/>
      <c r="T1379" s="48"/>
    </row>
    <row r="1380" spans="3:20">
      <c r="C1380" s="106">
        <v>44008</v>
      </c>
      <c r="D1380" s="48">
        <v>0.64</v>
      </c>
      <c r="S1380" s="106"/>
      <c r="T1380" s="48"/>
    </row>
    <row r="1381" spans="3:20">
      <c r="C1381" s="106">
        <v>44011</v>
      </c>
      <c r="D1381" s="48">
        <v>0.64</v>
      </c>
      <c r="S1381" s="106"/>
      <c r="T1381" s="48"/>
    </row>
    <row r="1382" spans="3:20">
      <c r="C1382" s="106">
        <v>44012</v>
      </c>
      <c r="D1382" s="48">
        <v>0.66</v>
      </c>
      <c r="S1382" s="106"/>
      <c r="T1382" s="48"/>
    </row>
    <row r="1383" spans="3:20">
      <c r="C1383" s="106">
        <v>44013</v>
      </c>
      <c r="D1383" s="48">
        <v>0.69</v>
      </c>
      <c r="S1383" s="106"/>
      <c r="T1383" s="48"/>
    </row>
    <row r="1384" spans="3:20">
      <c r="C1384" s="106">
        <v>44014</v>
      </c>
      <c r="D1384" s="48">
        <v>0.68</v>
      </c>
      <c r="S1384" s="106"/>
      <c r="T1384" s="48"/>
    </row>
    <row r="1385" spans="3:20">
      <c r="C1385" s="106">
        <v>44018</v>
      </c>
      <c r="D1385" s="48">
        <v>0.69</v>
      </c>
      <c r="S1385" s="106"/>
      <c r="T1385" s="48"/>
    </row>
    <row r="1386" spans="3:20">
      <c r="C1386" s="106">
        <v>44019</v>
      </c>
      <c r="D1386" s="48">
        <v>0.65</v>
      </c>
      <c r="S1386" s="106"/>
      <c r="T1386" s="48"/>
    </row>
    <row r="1387" spans="3:20">
      <c r="C1387" s="106">
        <v>44020</v>
      </c>
      <c r="D1387" s="48">
        <v>0.67</v>
      </c>
      <c r="S1387" s="106"/>
      <c r="T1387" s="48"/>
    </row>
    <row r="1388" spans="3:20">
      <c r="C1388" s="106">
        <v>44021</v>
      </c>
      <c r="D1388" s="48">
        <v>0.62</v>
      </c>
      <c r="S1388" s="106"/>
      <c r="T1388" s="48"/>
    </row>
    <row r="1389" spans="3:20">
      <c r="C1389" s="106">
        <v>44022</v>
      </c>
      <c r="D1389" s="48">
        <v>0.65</v>
      </c>
      <c r="S1389" s="106"/>
      <c r="T1389" s="48"/>
    </row>
    <row r="1390" spans="3:20">
      <c r="C1390" s="106">
        <v>44025</v>
      </c>
      <c r="D1390" s="48">
        <v>0.64</v>
      </c>
      <c r="S1390" s="106"/>
      <c r="T1390" s="48"/>
    </row>
    <row r="1391" spans="3:20">
      <c r="C1391" s="106">
        <v>44026</v>
      </c>
      <c r="D1391" s="48">
        <v>0.63</v>
      </c>
      <c r="S1391" s="106"/>
      <c r="T1391" s="48"/>
    </row>
    <row r="1392" spans="3:20">
      <c r="C1392" s="106">
        <v>44027</v>
      </c>
      <c r="D1392" s="48">
        <v>0.64</v>
      </c>
      <c r="S1392" s="106"/>
      <c r="T1392" s="48"/>
    </row>
    <row r="1393" spans="3:20">
      <c r="C1393" s="106">
        <v>44028</v>
      </c>
      <c r="D1393" s="48">
        <v>0.62</v>
      </c>
      <c r="S1393" s="106"/>
      <c r="T1393" s="48"/>
    </row>
    <row r="1394" spans="3:20">
      <c r="C1394" s="106">
        <v>44029</v>
      </c>
      <c r="D1394" s="48">
        <v>0.64</v>
      </c>
      <c r="S1394" s="106"/>
      <c r="T1394" s="48"/>
    </row>
    <row r="1395" spans="3:20">
      <c r="C1395" s="106">
        <v>44032</v>
      </c>
      <c r="D1395" s="48">
        <v>0.62</v>
      </c>
      <c r="S1395" s="106"/>
      <c r="T1395" s="48"/>
    </row>
    <row r="1396" spans="3:20">
      <c r="C1396" s="106">
        <v>44033</v>
      </c>
      <c r="D1396" s="48">
        <v>0.61</v>
      </c>
      <c r="S1396" s="106"/>
      <c r="T1396" s="48"/>
    </row>
    <row r="1397" spans="3:20">
      <c r="C1397" s="106">
        <v>44034</v>
      </c>
      <c r="D1397" s="48">
        <v>0.6</v>
      </c>
      <c r="S1397" s="106"/>
      <c r="T1397" s="48"/>
    </row>
    <row r="1398" spans="3:20">
      <c r="C1398" s="106">
        <v>44035</v>
      </c>
      <c r="D1398" s="48">
        <v>0.59</v>
      </c>
      <c r="S1398" s="106"/>
      <c r="T1398" s="48"/>
    </row>
    <row r="1399" spans="3:20">
      <c r="C1399" s="106">
        <v>44036</v>
      </c>
      <c r="D1399" s="48">
        <v>0.59</v>
      </c>
      <c r="S1399" s="106"/>
      <c r="T1399" s="48"/>
    </row>
    <row r="1400" spans="3:20">
      <c r="C1400" s="106">
        <v>44039</v>
      </c>
      <c r="D1400" s="48">
        <v>0.62</v>
      </c>
      <c r="S1400" s="106"/>
      <c r="T1400" s="48"/>
    </row>
    <row r="1401" spans="3:20">
      <c r="C1401" s="106">
        <v>44040</v>
      </c>
      <c r="D1401" s="48">
        <v>0.59</v>
      </c>
      <c r="S1401" s="106"/>
      <c r="T1401" s="48"/>
    </row>
    <row r="1402" spans="3:20">
      <c r="C1402" s="106">
        <v>44041</v>
      </c>
      <c r="D1402" s="48">
        <v>0.57999999999999996</v>
      </c>
      <c r="S1402" s="106"/>
      <c r="T1402" s="48"/>
    </row>
    <row r="1403" spans="3:20">
      <c r="C1403" s="106">
        <v>44042</v>
      </c>
      <c r="D1403" s="48">
        <v>0.55000000000000004</v>
      </c>
      <c r="S1403" s="106"/>
      <c r="T1403" s="48"/>
    </row>
    <row r="1404" spans="3:20">
      <c r="C1404" s="106">
        <v>44043</v>
      </c>
      <c r="D1404" s="48">
        <v>0.55000000000000004</v>
      </c>
      <c r="S1404" s="106"/>
      <c r="T1404" s="48"/>
    </row>
    <row r="1405" spans="3:20">
      <c r="C1405" s="106">
        <v>44046</v>
      </c>
      <c r="D1405" s="48">
        <v>0.56000000000000005</v>
      </c>
      <c r="S1405" s="106"/>
      <c r="T1405" s="48"/>
    </row>
    <row r="1406" spans="3:20">
      <c r="C1406" s="106">
        <v>44047</v>
      </c>
      <c r="D1406" s="48">
        <v>0.52</v>
      </c>
      <c r="S1406" s="106"/>
      <c r="T1406" s="48"/>
    </row>
    <row r="1407" spans="3:20">
      <c r="C1407" s="106">
        <v>44048</v>
      </c>
      <c r="D1407" s="48">
        <v>0.55000000000000004</v>
      </c>
      <c r="S1407" s="106"/>
      <c r="T1407" s="48"/>
    </row>
    <row r="1408" spans="3:20">
      <c r="C1408" s="106">
        <v>44049</v>
      </c>
      <c r="D1408" s="48">
        <v>0.55000000000000004</v>
      </c>
      <c r="S1408" s="106"/>
      <c r="T1408" s="48"/>
    </row>
    <row r="1409" spans="3:20">
      <c r="C1409" s="106">
        <v>44050</v>
      </c>
      <c r="D1409" s="48">
        <v>0.56999999999999995</v>
      </c>
      <c r="S1409" s="106"/>
      <c r="T1409" s="48"/>
    </row>
    <row r="1410" spans="3:20">
      <c r="C1410" s="106">
        <v>44053</v>
      </c>
      <c r="D1410" s="48">
        <v>0.59</v>
      </c>
      <c r="S1410" s="106"/>
      <c r="T1410" s="48"/>
    </row>
    <row r="1411" spans="3:20">
      <c r="C1411" s="106">
        <v>44054</v>
      </c>
      <c r="D1411" s="48">
        <v>0.64</v>
      </c>
      <c r="S1411" s="106"/>
      <c r="T1411" s="48"/>
    </row>
    <row r="1412" spans="3:20">
      <c r="C1412" s="106">
        <v>44055</v>
      </c>
      <c r="D1412" s="48">
        <v>0.69</v>
      </c>
      <c r="S1412" s="106"/>
      <c r="T1412" s="48"/>
    </row>
    <row r="1413" spans="3:20">
      <c r="C1413" s="106">
        <v>44056</v>
      </c>
      <c r="D1413" s="48">
        <v>0.71</v>
      </c>
      <c r="S1413" s="106"/>
      <c r="T1413" s="48"/>
    </row>
    <row r="1414" spans="3:20">
      <c r="C1414" s="106">
        <v>44057</v>
      </c>
      <c r="D1414" s="48">
        <v>0.71</v>
      </c>
      <c r="S1414" s="106"/>
      <c r="T1414" s="48"/>
    </row>
    <row r="1415" spans="3:20">
      <c r="C1415" s="106">
        <v>44060</v>
      </c>
      <c r="D1415" s="48">
        <v>0.69</v>
      </c>
      <c r="S1415" s="106"/>
      <c r="T1415" s="48"/>
    </row>
    <row r="1416" spans="3:20">
      <c r="C1416" s="106">
        <v>44061</v>
      </c>
      <c r="D1416" s="48">
        <v>0.67</v>
      </c>
      <c r="S1416" s="106"/>
      <c r="T1416" s="48"/>
    </row>
    <row r="1417" spans="3:20">
      <c r="C1417" s="106">
        <v>44062</v>
      </c>
      <c r="D1417" s="48">
        <v>0.68</v>
      </c>
      <c r="S1417" s="106"/>
      <c r="T1417" s="48"/>
    </row>
    <row r="1418" spans="3:20">
      <c r="C1418" s="106">
        <v>44063</v>
      </c>
      <c r="D1418" s="48">
        <v>0.65</v>
      </c>
      <c r="S1418" s="106"/>
      <c r="T1418" s="48"/>
    </row>
    <row r="1419" spans="3:20">
      <c r="C1419" s="106">
        <v>44064</v>
      </c>
      <c r="D1419" s="48">
        <v>0.64</v>
      </c>
      <c r="S1419" s="106"/>
      <c r="T1419" s="48"/>
    </row>
    <row r="1420" spans="3:20">
      <c r="C1420" s="106">
        <v>44067</v>
      </c>
      <c r="D1420" s="48">
        <v>0.65</v>
      </c>
      <c r="S1420" s="106"/>
      <c r="T1420" s="48"/>
    </row>
    <row r="1421" spans="3:20">
      <c r="C1421" s="106">
        <v>44068</v>
      </c>
      <c r="D1421" s="48">
        <v>0.69</v>
      </c>
      <c r="S1421" s="106"/>
      <c r="T1421" s="48"/>
    </row>
    <row r="1422" spans="3:20">
      <c r="C1422" s="106">
        <v>44069</v>
      </c>
      <c r="D1422" s="48">
        <v>0.69</v>
      </c>
      <c r="S1422" s="106"/>
      <c r="T1422" s="48"/>
    </row>
    <row r="1423" spans="3:20">
      <c r="C1423" s="106">
        <v>44070</v>
      </c>
      <c r="D1423" s="48">
        <v>0.74</v>
      </c>
      <c r="S1423" s="106"/>
      <c r="T1423" s="48"/>
    </row>
    <row r="1424" spans="3:20">
      <c r="C1424" s="106">
        <v>44071</v>
      </c>
      <c r="D1424" s="48">
        <v>0.74</v>
      </c>
      <c r="S1424" s="106"/>
      <c r="T1424" s="48"/>
    </row>
    <row r="1425" spans="3:20">
      <c r="C1425" s="106">
        <v>44074</v>
      </c>
      <c r="D1425" s="48">
        <v>0.72</v>
      </c>
      <c r="S1425" s="106"/>
      <c r="T1425" s="48"/>
    </row>
    <row r="1426" spans="3:20">
      <c r="C1426" s="106">
        <v>44075</v>
      </c>
      <c r="D1426" s="48">
        <v>0.68</v>
      </c>
      <c r="S1426" s="106"/>
      <c r="T1426" s="48"/>
    </row>
    <row r="1427" spans="3:20">
      <c r="C1427" s="106">
        <v>44076</v>
      </c>
      <c r="D1427" s="48">
        <v>0.66</v>
      </c>
      <c r="S1427" s="106"/>
      <c r="T1427" s="48"/>
    </row>
    <row r="1428" spans="3:20">
      <c r="C1428" s="106">
        <v>44077</v>
      </c>
      <c r="D1428" s="48">
        <v>0.63</v>
      </c>
      <c r="S1428" s="106"/>
      <c r="T1428" s="48"/>
    </row>
    <row r="1429" spans="3:20">
      <c r="C1429" s="106">
        <v>44078</v>
      </c>
      <c r="D1429" s="48">
        <v>0.72</v>
      </c>
      <c r="S1429" s="106"/>
      <c r="T1429" s="48"/>
    </row>
    <row r="1430" spans="3:20">
      <c r="C1430" s="106">
        <v>44082</v>
      </c>
      <c r="D1430" s="48">
        <v>0.69</v>
      </c>
      <c r="S1430" s="106"/>
      <c r="T1430" s="48"/>
    </row>
    <row r="1431" spans="3:20">
      <c r="C1431" s="106">
        <v>44083</v>
      </c>
      <c r="D1431" s="48">
        <v>0.71</v>
      </c>
      <c r="S1431" s="106"/>
      <c r="T1431" s="48"/>
    </row>
    <row r="1432" spans="3:20">
      <c r="C1432" s="106">
        <v>44084</v>
      </c>
      <c r="D1432" s="48">
        <v>0.68</v>
      </c>
      <c r="S1432" s="106"/>
      <c r="T1432" s="48"/>
    </row>
    <row r="1433" spans="3:20">
      <c r="C1433" s="106">
        <v>44085</v>
      </c>
      <c r="D1433" s="48">
        <v>0.67</v>
      </c>
      <c r="S1433" s="106"/>
      <c r="T1433" s="48"/>
    </row>
    <row r="1434" spans="3:20">
      <c r="C1434" s="106">
        <v>44088</v>
      </c>
      <c r="D1434" s="48">
        <v>0.68</v>
      </c>
      <c r="S1434" s="106"/>
      <c r="T1434" s="48"/>
    </row>
    <row r="1435" spans="3:20">
      <c r="C1435" s="106">
        <v>44089</v>
      </c>
      <c r="D1435" s="48">
        <v>0.68</v>
      </c>
      <c r="S1435" s="106"/>
      <c r="T1435" s="48"/>
    </row>
    <row r="1436" spans="3:20">
      <c r="C1436" s="106">
        <v>44090</v>
      </c>
      <c r="D1436" s="48">
        <v>0.69</v>
      </c>
      <c r="S1436" s="106"/>
      <c r="T1436" s="48"/>
    </row>
    <row r="1437" spans="3:20">
      <c r="C1437" s="106">
        <v>44091</v>
      </c>
      <c r="D1437" s="48">
        <v>0.69</v>
      </c>
      <c r="S1437" s="106"/>
      <c r="T1437" s="48"/>
    </row>
    <row r="1438" spans="3:20">
      <c r="C1438" s="106">
        <v>44092</v>
      </c>
      <c r="D1438" s="48">
        <v>0.7</v>
      </c>
      <c r="S1438" s="106"/>
      <c r="T1438" s="48"/>
    </row>
    <row r="1439" spans="3:20">
      <c r="C1439" s="106">
        <v>44095</v>
      </c>
      <c r="D1439" s="48">
        <v>0.68</v>
      </c>
      <c r="S1439" s="106"/>
      <c r="T1439" s="48"/>
    </row>
    <row r="1440" spans="3:20">
      <c r="C1440" s="106">
        <v>44096</v>
      </c>
      <c r="D1440" s="48">
        <v>0.68</v>
      </c>
      <c r="S1440" s="106"/>
      <c r="T1440" s="48"/>
    </row>
    <row r="1441" spans="3:20">
      <c r="C1441" s="106">
        <v>44097</v>
      </c>
      <c r="D1441" s="48">
        <v>0.68</v>
      </c>
      <c r="S1441" s="106"/>
      <c r="T1441" s="48"/>
    </row>
    <row r="1442" spans="3:20">
      <c r="C1442" s="106">
        <v>44098</v>
      </c>
      <c r="D1442" s="48">
        <v>0.67</v>
      </c>
      <c r="S1442" s="106"/>
      <c r="T1442" s="48"/>
    </row>
    <row r="1443" spans="3:20">
      <c r="C1443" s="106">
        <v>44099</v>
      </c>
      <c r="D1443" s="48">
        <v>0.66</v>
      </c>
      <c r="S1443" s="106"/>
      <c r="T1443" s="48"/>
    </row>
    <row r="1444" spans="3:20">
      <c r="C1444" s="106">
        <v>44102</v>
      </c>
      <c r="D1444" s="48">
        <v>0.67</v>
      </c>
      <c r="S1444" s="106"/>
      <c r="T1444" s="48"/>
    </row>
    <row r="1445" spans="3:20">
      <c r="C1445" s="106">
        <v>44103</v>
      </c>
      <c r="D1445" s="48">
        <v>0.66</v>
      </c>
      <c r="S1445" s="106"/>
      <c r="T1445" s="48"/>
    </row>
    <row r="1446" spans="3:20">
      <c r="C1446" s="106">
        <v>44104</v>
      </c>
      <c r="D1446" s="48">
        <v>0.69</v>
      </c>
      <c r="S1446" s="106"/>
      <c r="T1446" s="48"/>
    </row>
    <row r="1447" spans="3:20">
      <c r="C1447" s="106">
        <v>44105</v>
      </c>
      <c r="D1447" s="48">
        <v>0.68</v>
      </c>
      <c r="S1447" s="106"/>
      <c r="T1447" s="48"/>
    </row>
    <row r="1448" spans="3:20">
      <c r="C1448" s="106">
        <v>44106</v>
      </c>
      <c r="D1448" s="48">
        <v>0.7</v>
      </c>
      <c r="S1448" s="106"/>
      <c r="T1448" s="48"/>
    </row>
    <row r="1449" spans="3:20">
      <c r="C1449" s="106">
        <v>44109</v>
      </c>
      <c r="D1449" s="48">
        <v>0.78</v>
      </c>
      <c r="S1449" s="106"/>
      <c r="T1449" s="48"/>
    </row>
    <row r="1450" spans="3:20">
      <c r="C1450" s="106">
        <v>44110</v>
      </c>
      <c r="D1450" s="48">
        <v>0.76</v>
      </c>
      <c r="S1450" s="106"/>
      <c r="T1450" s="48"/>
    </row>
    <row r="1451" spans="3:20">
      <c r="C1451" s="106">
        <v>44111</v>
      </c>
      <c r="D1451" s="48">
        <v>0.81</v>
      </c>
      <c r="S1451" s="106"/>
      <c r="T1451" s="48"/>
    </row>
    <row r="1452" spans="3:20">
      <c r="C1452" s="106">
        <v>44112</v>
      </c>
      <c r="D1452" s="48">
        <v>0.78</v>
      </c>
      <c r="S1452" s="106"/>
      <c r="T1452" s="48"/>
    </row>
    <row r="1453" spans="3:20">
      <c r="C1453" s="106">
        <v>44113</v>
      </c>
      <c r="D1453" s="48">
        <v>0.79</v>
      </c>
      <c r="S1453" s="106"/>
      <c r="T1453" s="48"/>
    </row>
    <row r="1454" spans="3:20">
      <c r="C1454" s="106">
        <v>44117</v>
      </c>
      <c r="D1454" s="48">
        <v>0.74</v>
      </c>
      <c r="S1454" s="106"/>
      <c r="T1454" s="48"/>
    </row>
    <row r="1455" spans="3:20">
      <c r="C1455" s="106">
        <v>44118</v>
      </c>
      <c r="D1455" s="48">
        <v>0.73</v>
      </c>
      <c r="S1455" s="106"/>
      <c r="T1455" s="48"/>
    </row>
    <row r="1456" spans="3:20">
      <c r="C1456" s="106">
        <v>44119</v>
      </c>
      <c r="D1456" s="48">
        <v>0.74</v>
      </c>
      <c r="S1456" s="106"/>
      <c r="T1456" s="48"/>
    </row>
    <row r="1457" spans="3:20">
      <c r="C1457" s="106">
        <v>44120</v>
      </c>
      <c r="D1457" s="48">
        <v>0.76</v>
      </c>
      <c r="S1457" s="106"/>
      <c r="T1457" s="48"/>
    </row>
    <row r="1458" spans="3:20">
      <c r="C1458" s="106">
        <v>44123</v>
      </c>
      <c r="D1458" s="48">
        <v>0.78</v>
      </c>
      <c r="S1458" s="106"/>
      <c r="T1458" s="48"/>
    </row>
    <row r="1459" spans="3:20">
      <c r="C1459" s="106">
        <v>44124</v>
      </c>
      <c r="D1459" s="48">
        <v>0.81</v>
      </c>
      <c r="S1459" s="106"/>
      <c r="T1459" s="48"/>
    </row>
    <row r="1460" spans="3:20">
      <c r="C1460" s="106">
        <v>44125</v>
      </c>
      <c r="D1460" s="48">
        <v>0.83</v>
      </c>
      <c r="S1460" s="106"/>
      <c r="T1460" s="48"/>
    </row>
    <row r="1461" spans="3:20">
      <c r="C1461" s="106">
        <v>44126</v>
      </c>
      <c r="D1461" s="48">
        <v>0.87</v>
      </c>
      <c r="S1461" s="106"/>
      <c r="T1461" s="48"/>
    </row>
    <row r="1462" spans="3:20">
      <c r="C1462" s="106">
        <v>44127</v>
      </c>
      <c r="D1462" s="48">
        <v>0.85</v>
      </c>
      <c r="S1462" s="106"/>
      <c r="T1462" s="48"/>
    </row>
    <row r="1463" spans="3:20">
      <c r="C1463" s="106">
        <v>44130</v>
      </c>
      <c r="D1463" s="48">
        <v>0.81</v>
      </c>
      <c r="S1463" s="106"/>
      <c r="T1463" s="48"/>
    </row>
    <row r="1464" spans="3:20">
      <c r="C1464" s="106">
        <v>44131</v>
      </c>
      <c r="D1464" s="48">
        <v>0.79</v>
      </c>
      <c r="S1464" s="106"/>
      <c r="T1464" s="48"/>
    </row>
    <row r="1465" spans="3:20">
      <c r="C1465" s="106">
        <v>44132</v>
      </c>
      <c r="D1465" s="48">
        <v>0.79</v>
      </c>
      <c r="S1465" s="106"/>
      <c r="T1465" s="48"/>
    </row>
    <row r="1466" spans="3:20">
      <c r="C1466" s="106">
        <v>44133</v>
      </c>
      <c r="D1466" s="48">
        <v>0.85</v>
      </c>
      <c r="S1466" s="106"/>
      <c r="T1466" s="48"/>
    </row>
    <row r="1467" spans="3:20">
      <c r="C1467" s="106">
        <v>44134</v>
      </c>
      <c r="D1467" s="48">
        <v>0.88</v>
      </c>
      <c r="S1467" s="106"/>
      <c r="T1467" s="48"/>
    </row>
    <row r="1468" spans="3:20">
      <c r="C1468" s="106">
        <v>44137</v>
      </c>
      <c r="D1468" s="48">
        <v>0.87</v>
      </c>
      <c r="S1468" s="106"/>
      <c r="T1468" s="48"/>
    </row>
    <row r="1469" spans="3:20">
      <c r="C1469" s="106">
        <v>44138</v>
      </c>
      <c r="D1469" s="48">
        <v>0.9</v>
      </c>
      <c r="S1469" s="106"/>
      <c r="T1469" s="48"/>
    </row>
    <row r="1470" spans="3:20">
      <c r="C1470" s="106">
        <v>44139</v>
      </c>
      <c r="D1470" s="48">
        <v>0.78</v>
      </c>
      <c r="S1470" s="106"/>
      <c r="T1470" s="48"/>
    </row>
    <row r="1471" spans="3:20">
      <c r="C1471" s="106">
        <v>44140</v>
      </c>
      <c r="D1471" s="48">
        <v>0.79</v>
      </c>
      <c r="S1471" s="106"/>
      <c r="T1471" s="48"/>
    </row>
    <row r="1472" spans="3:20">
      <c r="C1472" s="106">
        <v>44141</v>
      </c>
      <c r="D1472" s="48">
        <v>0.83</v>
      </c>
      <c r="S1472" s="106"/>
      <c r="T1472" s="48"/>
    </row>
    <row r="1473" spans="3:20">
      <c r="C1473" s="106">
        <v>44144</v>
      </c>
      <c r="D1473" s="48">
        <v>0.96</v>
      </c>
      <c r="S1473" s="106"/>
      <c r="T1473" s="48"/>
    </row>
    <row r="1474" spans="3:20">
      <c r="C1474" s="106">
        <v>44145</v>
      </c>
      <c r="D1474" s="48">
        <v>0.98</v>
      </c>
      <c r="S1474" s="106"/>
      <c r="T1474" s="48"/>
    </row>
    <row r="1475" spans="3:20">
      <c r="C1475" s="106">
        <v>44147</v>
      </c>
      <c r="D1475" s="48">
        <v>0.88</v>
      </c>
      <c r="S1475" s="106"/>
      <c r="T1475" s="48"/>
    </row>
    <row r="1476" spans="3:20">
      <c r="C1476" s="106">
        <v>44148</v>
      </c>
      <c r="D1476" s="48">
        <v>0.89</v>
      </c>
      <c r="S1476" s="106"/>
      <c r="T1476" s="48"/>
    </row>
    <row r="1477" spans="3:20">
      <c r="C1477" s="106">
        <v>44151</v>
      </c>
      <c r="D1477" s="48">
        <v>0.91</v>
      </c>
      <c r="S1477" s="106"/>
      <c r="T1477" s="48"/>
    </row>
    <row r="1478" spans="3:20">
      <c r="C1478" s="106">
        <v>44152</v>
      </c>
      <c r="D1478" s="48">
        <v>0.87</v>
      </c>
      <c r="S1478" s="106"/>
      <c r="T1478" s="48"/>
    </row>
    <row r="1479" spans="3:20">
      <c r="C1479" s="106">
        <v>44153</v>
      </c>
      <c r="D1479" s="48">
        <v>0.88</v>
      </c>
      <c r="S1479" s="106"/>
      <c r="T1479" s="48"/>
    </row>
    <row r="1480" spans="3:20">
      <c r="C1480" s="106">
        <v>44154</v>
      </c>
      <c r="D1480" s="48">
        <v>0.86</v>
      </c>
      <c r="S1480" s="106"/>
      <c r="T1480" s="48"/>
    </row>
    <row r="1481" spans="3:20">
      <c r="C1481" s="106">
        <v>44155</v>
      </c>
      <c r="D1481" s="48">
        <v>0.83</v>
      </c>
      <c r="S1481" s="106"/>
      <c r="T1481" s="48"/>
    </row>
    <row r="1482" spans="3:20">
      <c r="C1482" s="106">
        <v>44158</v>
      </c>
      <c r="D1482" s="48">
        <v>0.86</v>
      </c>
      <c r="S1482" s="106"/>
      <c r="T1482" s="48"/>
    </row>
    <row r="1483" spans="3:20">
      <c r="C1483" s="106">
        <v>44159</v>
      </c>
      <c r="D1483" s="48">
        <v>0.88</v>
      </c>
      <c r="S1483" s="106"/>
      <c r="T1483" s="48"/>
    </row>
    <row r="1484" spans="3:20">
      <c r="C1484" s="106">
        <v>44160</v>
      </c>
      <c r="D1484" s="48">
        <v>0.88</v>
      </c>
      <c r="S1484" s="106"/>
      <c r="T1484" s="48"/>
    </row>
    <row r="1485" spans="3:20">
      <c r="C1485" s="106">
        <v>44162</v>
      </c>
      <c r="D1485" s="48">
        <v>0.84</v>
      </c>
      <c r="S1485" s="106"/>
      <c r="T1485" s="48"/>
    </row>
    <row r="1486" spans="3:20">
      <c r="C1486" s="106">
        <v>44165</v>
      </c>
      <c r="D1486" s="48">
        <v>0.84</v>
      </c>
      <c r="S1486" s="106"/>
      <c r="T1486" s="48"/>
    </row>
    <row r="1487" spans="3:20">
      <c r="C1487" s="106">
        <v>44166</v>
      </c>
      <c r="D1487" s="48">
        <v>0.92</v>
      </c>
      <c r="S1487" s="106"/>
      <c r="T1487" s="48"/>
    </row>
    <row r="1488" spans="3:20">
      <c r="C1488" s="106">
        <v>44167</v>
      </c>
      <c r="D1488" s="48">
        <v>0.95</v>
      </c>
      <c r="S1488" s="106"/>
      <c r="T1488" s="48"/>
    </row>
    <row r="1489" spans="3:20">
      <c r="C1489" s="106">
        <v>44168</v>
      </c>
      <c r="D1489" s="48">
        <v>0.92</v>
      </c>
      <c r="S1489" s="106"/>
      <c r="T1489" s="48"/>
    </row>
    <row r="1490" spans="3:20">
      <c r="C1490" s="106">
        <v>44169</v>
      </c>
      <c r="D1490" s="48">
        <v>0.97</v>
      </c>
      <c r="S1490" s="106"/>
      <c r="T1490" s="48"/>
    </row>
    <row r="1491" spans="3:20">
      <c r="C1491" s="106">
        <v>44172</v>
      </c>
      <c r="D1491" s="48">
        <v>0.94</v>
      </c>
      <c r="S1491" s="106"/>
      <c r="T1491" s="48"/>
    </row>
    <row r="1492" spans="3:20">
      <c r="C1492" s="106">
        <v>44173</v>
      </c>
      <c r="D1492" s="48">
        <v>0.92</v>
      </c>
      <c r="S1492" s="106"/>
      <c r="T1492" s="48"/>
    </row>
    <row r="1493" spans="3:20">
      <c r="C1493" s="106">
        <v>44174</v>
      </c>
      <c r="D1493" s="48">
        <v>0.95</v>
      </c>
      <c r="S1493" s="106"/>
      <c r="T1493" s="48"/>
    </row>
    <row r="1494" spans="3:20">
      <c r="C1494" s="106">
        <v>44175</v>
      </c>
      <c r="D1494" s="48">
        <v>0.92</v>
      </c>
      <c r="S1494" s="106"/>
      <c r="T1494" s="48"/>
    </row>
    <row r="1495" spans="3:20">
      <c r="C1495" s="106">
        <v>44176</v>
      </c>
      <c r="D1495" s="48">
        <v>0.9</v>
      </c>
      <c r="S1495" s="106"/>
      <c r="T1495" s="48"/>
    </row>
    <row r="1496" spans="3:20">
      <c r="C1496" s="106">
        <v>44179</v>
      </c>
      <c r="D1496" s="48">
        <v>0.9</v>
      </c>
      <c r="S1496" s="106"/>
      <c r="T1496" s="48"/>
    </row>
    <row r="1497" spans="3:20">
      <c r="C1497" s="106">
        <v>44180</v>
      </c>
      <c r="D1497" s="48">
        <v>0.92</v>
      </c>
      <c r="S1497" s="106"/>
      <c r="T1497" s="48"/>
    </row>
    <row r="1498" spans="3:20">
      <c r="C1498" s="106">
        <v>44181</v>
      </c>
      <c r="D1498" s="48">
        <v>0.92</v>
      </c>
      <c r="S1498" s="106"/>
      <c r="T1498" s="48"/>
    </row>
    <row r="1499" spans="3:20">
      <c r="C1499" s="106">
        <v>44182</v>
      </c>
      <c r="D1499" s="48">
        <v>0.94</v>
      </c>
      <c r="S1499" s="106"/>
      <c r="T1499" s="48"/>
    </row>
    <row r="1500" spans="3:20">
      <c r="C1500" s="106">
        <v>44183</v>
      </c>
      <c r="D1500" s="48">
        <v>0.95</v>
      </c>
      <c r="S1500" s="106"/>
      <c r="T1500" s="48"/>
    </row>
    <row r="1501" spans="3:20">
      <c r="C1501" s="106">
        <v>44186</v>
      </c>
      <c r="D1501" s="48">
        <v>0.95</v>
      </c>
      <c r="S1501" s="106"/>
      <c r="T1501" s="48"/>
    </row>
    <row r="1502" spans="3:20">
      <c r="C1502" s="106">
        <v>44187</v>
      </c>
      <c r="D1502" s="48">
        <v>0.93</v>
      </c>
      <c r="S1502" s="106"/>
      <c r="T1502" s="48"/>
    </row>
    <row r="1503" spans="3:20">
      <c r="C1503" s="106">
        <v>44188</v>
      </c>
      <c r="D1503" s="48">
        <v>0.96</v>
      </c>
      <c r="S1503" s="106"/>
      <c r="T1503" s="48"/>
    </row>
    <row r="1504" spans="3:20">
      <c r="C1504" s="106">
        <v>44189</v>
      </c>
      <c r="D1504" s="48">
        <v>0.94</v>
      </c>
      <c r="S1504" s="106"/>
      <c r="T1504" s="48"/>
    </row>
    <row r="1505" spans="3:20">
      <c r="C1505" s="106">
        <v>44193</v>
      </c>
      <c r="D1505" s="48">
        <v>0.94</v>
      </c>
      <c r="S1505" s="106"/>
      <c r="T1505" s="48"/>
    </row>
    <row r="1506" spans="3:20">
      <c r="C1506" s="106">
        <v>44194</v>
      </c>
      <c r="D1506" s="48">
        <v>0.94</v>
      </c>
      <c r="S1506" s="106"/>
      <c r="T1506" s="48"/>
    </row>
    <row r="1507" spans="3:20">
      <c r="C1507" s="106">
        <v>44195</v>
      </c>
      <c r="D1507" s="48">
        <v>0.93</v>
      </c>
      <c r="S1507" s="106"/>
      <c r="T1507" s="48"/>
    </row>
    <row r="1508" spans="3:20">
      <c r="C1508" s="106">
        <v>44196</v>
      </c>
      <c r="D1508" s="48">
        <v>0.93</v>
      </c>
      <c r="S1508" s="106"/>
      <c r="T1508" s="48"/>
    </row>
    <row r="1509" spans="3:20">
      <c r="C1509" s="106">
        <v>44200</v>
      </c>
      <c r="D1509" s="48">
        <v>0.93</v>
      </c>
      <c r="S1509" s="106"/>
      <c r="T1509" s="48"/>
    </row>
    <row r="1510" spans="3:20">
      <c r="C1510" s="106">
        <v>44201</v>
      </c>
      <c r="D1510" s="48">
        <v>0.96</v>
      </c>
      <c r="S1510" s="106"/>
      <c r="T1510" s="48"/>
    </row>
    <row r="1511" spans="3:20">
      <c r="C1511" s="106">
        <v>44202</v>
      </c>
      <c r="D1511" s="48">
        <v>1.04</v>
      </c>
      <c r="S1511" s="106"/>
      <c r="T1511" s="48"/>
    </row>
    <row r="1512" spans="3:20">
      <c r="C1512" s="106">
        <v>44203</v>
      </c>
      <c r="D1512" s="48">
        <v>1.08</v>
      </c>
      <c r="S1512" s="106"/>
      <c r="T1512" s="48"/>
    </row>
    <row r="1513" spans="3:20">
      <c r="C1513" s="106">
        <v>44204</v>
      </c>
      <c r="D1513" s="48">
        <v>1.1299999999999999</v>
      </c>
      <c r="S1513" s="106"/>
      <c r="T1513" s="48"/>
    </row>
    <row r="1514" spans="3:20">
      <c r="C1514" s="106">
        <v>44207</v>
      </c>
      <c r="D1514" s="48">
        <v>1.1499999999999999</v>
      </c>
      <c r="S1514" s="106"/>
      <c r="T1514" s="48"/>
    </row>
    <row r="1515" spans="3:20">
      <c r="C1515" s="106">
        <v>44208</v>
      </c>
      <c r="D1515" s="48">
        <v>1.1499999999999999</v>
      </c>
      <c r="S1515" s="106"/>
      <c r="T1515" s="48"/>
    </row>
    <row r="1516" spans="3:20">
      <c r="C1516" s="106">
        <v>44209</v>
      </c>
      <c r="D1516" s="48">
        <v>1.1000000000000001</v>
      </c>
      <c r="S1516" s="106"/>
      <c r="T1516" s="48"/>
    </row>
    <row r="1517" spans="3:20">
      <c r="C1517" s="106">
        <v>44210</v>
      </c>
      <c r="D1517" s="48">
        <v>1.1499999999999999</v>
      </c>
      <c r="S1517" s="106"/>
      <c r="T1517" s="48"/>
    </row>
    <row r="1518" spans="3:20">
      <c r="C1518" s="106">
        <v>44211</v>
      </c>
      <c r="D1518" s="48">
        <v>1.1100000000000001</v>
      </c>
      <c r="S1518" s="106"/>
      <c r="T1518" s="48"/>
    </row>
    <row r="1519" spans="3:20">
      <c r="C1519" s="106">
        <v>44215</v>
      </c>
      <c r="D1519" s="48">
        <v>1.1000000000000001</v>
      </c>
      <c r="S1519" s="106"/>
      <c r="T1519" s="48"/>
    </row>
    <row r="1520" spans="3:20">
      <c r="C1520" s="106">
        <v>44216</v>
      </c>
      <c r="D1520" s="48">
        <v>1.1000000000000001</v>
      </c>
      <c r="S1520" s="106"/>
      <c r="T1520" s="48"/>
    </row>
    <row r="1521" spans="3:20">
      <c r="C1521" s="106">
        <v>44217</v>
      </c>
      <c r="D1521" s="48">
        <v>1.1200000000000001</v>
      </c>
      <c r="S1521" s="106"/>
      <c r="T1521" s="48"/>
    </row>
    <row r="1522" spans="3:20">
      <c r="C1522" s="106">
        <v>44218</v>
      </c>
      <c r="D1522" s="48">
        <v>1.1000000000000001</v>
      </c>
      <c r="S1522" s="106"/>
      <c r="T1522" s="48"/>
    </row>
    <row r="1523" spans="3:20">
      <c r="C1523" s="106">
        <v>44221</v>
      </c>
      <c r="D1523" s="48">
        <v>1.05</v>
      </c>
      <c r="S1523" s="106"/>
      <c r="T1523" s="48"/>
    </row>
    <row r="1524" spans="3:20">
      <c r="C1524" s="106">
        <v>44222</v>
      </c>
      <c r="D1524" s="48">
        <v>1.05</v>
      </c>
      <c r="S1524" s="106"/>
      <c r="T1524" s="48"/>
    </row>
    <row r="1525" spans="3:20">
      <c r="C1525" s="106">
        <v>44223</v>
      </c>
      <c r="D1525" s="48">
        <v>1.04</v>
      </c>
      <c r="S1525" s="106"/>
      <c r="T1525" s="48"/>
    </row>
    <row r="1526" spans="3:20">
      <c r="C1526" s="106">
        <v>44224</v>
      </c>
      <c r="D1526" s="48">
        <v>1.07</v>
      </c>
      <c r="S1526" s="106"/>
      <c r="T1526" s="48"/>
    </row>
    <row r="1527" spans="3:20">
      <c r="C1527" s="106">
        <v>44225</v>
      </c>
      <c r="D1527" s="48">
        <v>1.1100000000000001</v>
      </c>
      <c r="S1527" s="106"/>
      <c r="T1527" s="48"/>
    </row>
    <row r="1528" spans="3:20">
      <c r="C1528" s="106">
        <v>44228</v>
      </c>
      <c r="D1528" s="48">
        <v>1.0900000000000001</v>
      </c>
      <c r="S1528" s="106"/>
      <c r="T1528" s="48"/>
    </row>
    <row r="1529" spans="3:20">
      <c r="C1529" s="106">
        <v>44229</v>
      </c>
      <c r="D1529" s="48">
        <v>1.1200000000000001</v>
      </c>
      <c r="S1529" s="106"/>
      <c r="T1529" s="48"/>
    </row>
    <row r="1530" spans="3:20">
      <c r="C1530" s="106">
        <v>44230</v>
      </c>
      <c r="D1530" s="48">
        <v>1.1499999999999999</v>
      </c>
      <c r="S1530" s="106"/>
      <c r="T1530" s="48"/>
    </row>
    <row r="1531" spans="3:20">
      <c r="C1531" s="106">
        <v>44231</v>
      </c>
      <c r="D1531" s="48">
        <v>1.1499999999999999</v>
      </c>
      <c r="S1531" s="106"/>
      <c r="T1531" s="48"/>
    </row>
    <row r="1532" spans="3:20">
      <c r="C1532" s="106">
        <v>44232</v>
      </c>
      <c r="D1532" s="48">
        <v>1.19</v>
      </c>
      <c r="S1532" s="106"/>
      <c r="T1532" s="48"/>
    </row>
    <row r="1533" spans="3:20">
      <c r="C1533" s="106">
        <v>44235</v>
      </c>
      <c r="D1533" s="48">
        <v>1.19</v>
      </c>
      <c r="S1533" s="106"/>
      <c r="T1533" s="48"/>
    </row>
    <row r="1534" spans="3:20">
      <c r="C1534" s="106">
        <v>44236</v>
      </c>
      <c r="D1534" s="48">
        <v>1.18</v>
      </c>
      <c r="S1534" s="106"/>
      <c r="T1534" s="48"/>
    </row>
    <row r="1535" spans="3:20">
      <c r="C1535" s="106">
        <v>44237</v>
      </c>
      <c r="D1535" s="48">
        <v>1.1499999999999999</v>
      </c>
      <c r="S1535" s="106"/>
      <c r="T1535" s="48"/>
    </row>
    <row r="1536" spans="3:20">
      <c r="C1536" s="106">
        <v>44238</v>
      </c>
      <c r="D1536" s="48">
        <v>1.1599999999999999</v>
      </c>
      <c r="S1536" s="106"/>
      <c r="T1536" s="48"/>
    </row>
    <row r="1537" spans="3:20">
      <c r="C1537" s="106">
        <v>44239</v>
      </c>
      <c r="D1537" s="48">
        <v>1.2</v>
      </c>
      <c r="S1537" s="106"/>
      <c r="T1537" s="48"/>
    </row>
    <row r="1538" spans="3:20">
      <c r="C1538" s="106">
        <v>44243</v>
      </c>
      <c r="D1538" s="48">
        <v>1.3</v>
      </c>
      <c r="S1538" s="106"/>
      <c r="T1538" s="48"/>
    </row>
    <row r="1539" spans="3:20">
      <c r="C1539" s="106">
        <v>44244</v>
      </c>
      <c r="D1539" s="48">
        <v>1.29</v>
      </c>
      <c r="S1539" s="106"/>
      <c r="T1539" s="48"/>
    </row>
    <row r="1540" spans="3:20">
      <c r="C1540" s="106">
        <v>44245</v>
      </c>
      <c r="D1540" s="48">
        <v>1.29</v>
      </c>
      <c r="S1540" s="106"/>
      <c r="T1540" s="48"/>
    </row>
    <row r="1541" spans="3:20">
      <c r="C1541" s="106">
        <v>44246</v>
      </c>
      <c r="D1541" s="48">
        <v>1.34</v>
      </c>
      <c r="S1541" s="106"/>
      <c r="T1541" s="48"/>
    </row>
    <row r="1542" spans="3:20">
      <c r="C1542" s="106">
        <v>44249</v>
      </c>
      <c r="D1542" s="48">
        <v>1.37</v>
      </c>
      <c r="S1542" s="106"/>
      <c r="T1542" s="48"/>
    </row>
    <row r="1543" spans="3:20">
      <c r="C1543" s="106">
        <v>44250</v>
      </c>
      <c r="D1543" s="48">
        <v>1.37</v>
      </c>
      <c r="S1543" s="106"/>
      <c r="T1543" s="48"/>
    </row>
    <row r="1544" spans="3:20">
      <c r="C1544" s="106">
        <v>44251</v>
      </c>
      <c r="D1544" s="48">
        <v>1.38</v>
      </c>
      <c r="S1544" s="106"/>
      <c r="T1544" s="48"/>
    </row>
    <row r="1545" spans="3:20">
      <c r="C1545" s="106">
        <v>44252</v>
      </c>
      <c r="D1545" s="48">
        <v>1.54</v>
      </c>
      <c r="S1545" s="106"/>
      <c r="T1545" s="48"/>
    </row>
    <row r="1546" spans="3:20">
      <c r="C1546" s="106">
        <v>44253</v>
      </c>
      <c r="D1546" s="48">
        <v>1.44</v>
      </c>
      <c r="S1546" s="106"/>
      <c r="T1546" s="48"/>
    </row>
    <row r="1547" spans="3:20">
      <c r="C1547" s="106">
        <v>44256</v>
      </c>
      <c r="D1547" s="48">
        <v>1.45</v>
      </c>
      <c r="S1547" s="106"/>
      <c r="T1547" s="48"/>
    </row>
    <row r="1548" spans="3:20">
      <c r="C1548" s="106">
        <v>44257</v>
      </c>
      <c r="D1548" s="48">
        <v>1.42</v>
      </c>
      <c r="S1548" s="106"/>
      <c r="T1548" s="48"/>
    </row>
    <row r="1549" spans="3:20">
      <c r="C1549" s="106">
        <v>44258</v>
      </c>
      <c r="D1549" s="48">
        <v>1.47</v>
      </c>
      <c r="S1549" s="106"/>
      <c r="T1549" s="48"/>
    </row>
    <row r="1550" spans="3:20">
      <c r="C1550" s="106">
        <v>44259</v>
      </c>
      <c r="D1550" s="48">
        <v>1.54</v>
      </c>
      <c r="S1550" s="106"/>
      <c r="T1550" s="48"/>
    </row>
    <row r="1551" spans="3:20">
      <c r="C1551" s="106">
        <v>44260</v>
      </c>
      <c r="D1551" s="48">
        <v>1.56</v>
      </c>
      <c r="S1551" s="106"/>
      <c r="T1551" s="48"/>
    </row>
    <row r="1552" spans="3:20">
      <c r="C1552" s="106">
        <v>44263</v>
      </c>
      <c r="D1552" s="48">
        <v>1.59</v>
      </c>
      <c r="S1552" s="106"/>
      <c r="T1552" s="48"/>
    </row>
    <row r="1553" spans="3:20">
      <c r="C1553" s="106">
        <v>44264</v>
      </c>
      <c r="D1553" s="48">
        <v>1.55</v>
      </c>
      <c r="S1553" s="106"/>
      <c r="T1553" s="48"/>
    </row>
    <row r="1554" spans="3:20">
      <c r="C1554" s="106">
        <v>44265</v>
      </c>
      <c r="D1554" s="48">
        <v>1.53</v>
      </c>
      <c r="S1554" s="106"/>
      <c r="T1554" s="48"/>
    </row>
    <row r="1555" spans="3:20">
      <c r="C1555" s="106">
        <v>44266</v>
      </c>
      <c r="D1555" s="48">
        <v>1.54</v>
      </c>
      <c r="S1555" s="106"/>
      <c r="T1555" s="48"/>
    </row>
    <row r="1556" spans="3:20">
      <c r="C1556" s="106">
        <v>44267</v>
      </c>
      <c r="D1556" s="48">
        <v>1.64</v>
      </c>
      <c r="S1556" s="106"/>
      <c r="T1556" s="48"/>
    </row>
    <row r="1557" spans="3:20">
      <c r="C1557" s="106">
        <v>44270</v>
      </c>
      <c r="D1557" s="48">
        <v>1.62</v>
      </c>
      <c r="S1557" s="106"/>
      <c r="T1557" s="48"/>
    </row>
    <row r="1558" spans="3:20">
      <c r="C1558" s="106">
        <v>44271</v>
      </c>
      <c r="D1558" s="48">
        <v>1.62</v>
      </c>
      <c r="S1558" s="106"/>
      <c r="T1558" s="48"/>
    </row>
    <row r="1559" spans="3:20">
      <c r="C1559" s="106">
        <v>44272</v>
      </c>
      <c r="D1559" s="48">
        <v>1.63</v>
      </c>
      <c r="S1559" s="106"/>
      <c r="T1559" s="48"/>
    </row>
    <row r="1560" spans="3:20">
      <c r="C1560" s="106">
        <v>44273</v>
      </c>
      <c r="D1560" s="48">
        <v>1.71</v>
      </c>
      <c r="S1560" s="106"/>
      <c r="T1560" s="48"/>
    </row>
    <row r="1561" spans="3:20">
      <c r="C1561" s="106">
        <v>44274</v>
      </c>
      <c r="D1561" s="48">
        <v>1.74</v>
      </c>
      <c r="S1561" s="106"/>
      <c r="T1561" s="48"/>
    </row>
    <row r="1562" spans="3:20">
      <c r="C1562" s="106">
        <v>44277</v>
      </c>
      <c r="D1562" s="48">
        <v>1.69</v>
      </c>
      <c r="S1562" s="106"/>
      <c r="T1562" s="48"/>
    </row>
    <row r="1563" spans="3:20">
      <c r="C1563" s="106">
        <v>44278</v>
      </c>
      <c r="D1563" s="48">
        <v>1.63</v>
      </c>
      <c r="S1563" s="106"/>
      <c r="T1563" s="48"/>
    </row>
    <row r="1564" spans="3:20">
      <c r="C1564" s="106">
        <v>44279</v>
      </c>
      <c r="D1564" s="48">
        <v>1.62</v>
      </c>
      <c r="S1564" s="106"/>
      <c r="T1564" s="48"/>
    </row>
    <row r="1565" spans="3:20">
      <c r="C1565" s="106">
        <v>44280</v>
      </c>
      <c r="D1565" s="48">
        <v>1.63</v>
      </c>
      <c r="S1565" s="106"/>
      <c r="T1565" s="48"/>
    </row>
    <row r="1566" spans="3:20">
      <c r="C1566" s="106">
        <v>44281</v>
      </c>
      <c r="D1566" s="48">
        <v>1.67</v>
      </c>
      <c r="S1566" s="106"/>
      <c r="T1566" s="48"/>
    </row>
    <row r="1567" spans="3:20">
      <c r="C1567" s="106">
        <v>44284</v>
      </c>
      <c r="D1567" s="48">
        <v>1.73</v>
      </c>
      <c r="S1567" s="106"/>
      <c r="T1567" s="48"/>
    </row>
    <row r="1568" spans="3:20">
      <c r="C1568" s="106">
        <v>44285</v>
      </c>
      <c r="D1568" s="48">
        <v>1.73</v>
      </c>
      <c r="S1568" s="106"/>
      <c r="T1568" s="48"/>
    </row>
    <row r="1569" spans="3:20">
      <c r="C1569" s="106">
        <v>44286</v>
      </c>
      <c r="D1569" s="48">
        <v>1.74</v>
      </c>
      <c r="S1569" s="106"/>
      <c r="T1569" s="48"/>
    </row>
    <row r="1570" spans="3:20">
      <c r="C1570" s="106">
        <v>44287</v>
      </c>
      <c r="D1570" s="48">
        <v>1.69</v>
      </c>
      <c r="S1570" s="106"/>
      <c r="T1570" s="48"/>
    </row>
    <row r="1571" spans="3:20">
      <c r="C1571" s="106">
        <v>44288</v>
      </c>
      <c r="D1571" s="48">
        <v>1.72</v>
      </c>
      <c r="S1571" s="106"/>
      <c r="T1571" s="48"/>
    </row>
    <row r="1572" spans="3:20">
      <c r="C1572" s="106">
        <v>44291</v>
      </c>
      <c r="D1572" s="48">
        <v>1.73</v>
      </c>
      <c r="S1572" s="106"/>
      <c r="T1572" s="48"/>
    </row>
    <row r="1573" spans="3:20">
      <c r="C1573" s="106">
        <v>44292</v>
      </c>
      <c r="D1573" s="48">
        <v>1.67</v>
      </c>
      <c r="S1573" s="106"/>
      <c r="T1573" s="48"/>
    </row>
    <row r="1574" spans="3:20">
      <c r="C1574" s="106">
        <v>44293</v>
      </c>
      <c r="D1574" s="48">
        <v>1.68</v>
      </c>
      <c r="S1574" s="106"/>
      <c r="T1574" s="48"/>
    </row>
    <row r="1575" spans="3:20">
      <c r="C1575" s="106">
        <v>44294</v>
      </c>
      <c r="D1575" s="48">
        <v>1.64</v>
      </c>
      <c r="S1575" s="106"/>
      <c r="T1575" s="48"/>
    </row>
    <row r="1576" spans="3:20">
      <c r="C1576" s="106">
        <v>44295</v>
      </c>
      <c r="D1576" s="48">
        <v>1.67</v>
      </c>
      <c r="S1576" s="106"/>
      <c r="T1576" s="48"/>
    </row>
    <row r="1577" spans="3:20">
      <c r="C1577" s="106">
        <v>44298</v>
      </c>
      <c r="D1577" s="48">
        <v>1.69</v>
      </c>
      <c r="S1577" s="106"/>
      <c r="T1577" s="48"/>
    </row>
    <row r="1578" spans="3:20">
      <c r="C1578" s="106">
        <v>44299</v>
      </c>
      <c r="D1578" s="48">
        <v>1.64</v>
      </c>
      <c r="S1578" s="106"/>
      <c r="T1578" s="48"/>
    </row>
    <row r="1579" spans="3:20">
      <c r="C1579" s="106">
        <v>44300</v>
      </c>
      <c r="D1579" s="48">
        <v>1.64</v>
      </c>
      <c r="S1579" s="106"/>
      <c r="T1579" s="48"/>
    </row>
    <row r="1580" spans="3:20">
      <c r="C1580" s="106">
        <v>44301</v>
      </c>
      <c r="D1580" s="48">
        <v>1.56</v>
      </c>
      <c r="S1580" s="106"/>
      <c r="T1580" s="48"/>
    </row>
    <row r="1581" spans="3:20">
      <c r="C1581" s="106">
        <v>44302</v>
      </c>
      <c r="D1581" s="48">
        <v>1.59</v>
      </c>
      <c r="S1581" s="106"/>
      <c r="T1581" s="48"/>
    </row>
    <row r="1582" spans="3:20">
      <c r="C1582" s="106">
        <v>44305</v>
      </c>
      <c r="D1582" s="48">
        <v>1.61</v>
      </c>
      <c r="S1582" s="106"/>
      <c r="T1582" s="48"/>
    </row>
    <row r="1583" spans="3:20">
      <c r="C1583" s="106">
        <v>44306</v>
      </c>
      <c r="D1583" s="48">
        <v>1.58</v>
      </c>
      <c r="S1583" s="106"/>
      <c r="T1583" s="48"/>
    </row>
    <row r="1584" spans="3:20">
      <c r="C1584" s="106">
        <v>44307</v>
      </c>
      <c r="D1584" s="48">
        <v>1.57</v>
      </c>
      <c r="S1584" s="106"/>
      <c r="T1584" s="48"/>
    </row>
    <row r="1585" spans="3:20">
      <c r="C1585" s="106">
        <v>44308</v>
      </c>
      <c r="D1585" s="48">
        <v>1.57</v>
      </c>
      <c r="S1585" s="106"/>
      <c r="T1585" s="48"/>
    </row>
    <row r="1586" spans="3:20">
      <c r="C1586" s="106">
        <v>44309</v>
      </c>
      <c r="D1586" s="48">
        <v>1.58</v>
      </c>
      <c r="S1586" s="106"/>
      <c r="T1586" s="48"/>
    </row>
    <row r="1587" spans="3:20">
      <c r="C1587" s="106">
        <v>44312</v>
      </c>
      <c r="D1587" s="48">
        <v>1.58</v>
      </c>
      <c r="S1587" s="106"/>
      <c r="T1587" s="48"/>
    </row>
    <row r="1588" spans="3:20">
      <c r="C1588" s="106">
        <v>44313</v>
      </c>
      <c r="D1588" s="48">
        <v>1.63</v>
      </c>
      <c r="S1588" s="106"/>
      <c r="T1588" s="48"/>
    </row>
    <row r="1589" spans="3:20">
      <c r="C1589" s="106">
        <v>44314</v>
      </c>
      <c r="D1589" s="48">
        <v>1.63</v>
      </c>
      <c r="S1589" s="106"/>
      <c r="T1589" s="48"/>
    </row>
    <row r="1590" spans="3:20">
      <c r="C1590" s="106">
        <v>44315</v>
      </c>
      <c r="D1590" s="48">
        <v>1.65</v>
      </c>
      <c r="S1590" s="106"/>
      <c r="T1590" s="48"/>
    </row>
    <row r="1591" spans="3:20">
      <c r="C1591" s="106">
        <v>44316</v>
      </c>
      <c r="D1591" s="48">
        <v>1.65</v>
      </c>
      <c r="S1591" s="106"/>
      <c r="T1591" s="48"/>
    </row>
    <row r="1592" spans="3:20">
      <c r="C1592" s="106">
        <v>44319</v>
      </c>
      <c r="D1592" s="48">
        <v>1.63</v>
      </c>
      <c r="S1592" s="106"/>
      <c r="T1592" s="48"/>
    </row>
    <row r="1593" spans="3:20">
      <c r="C1593" s="106">
        <v>44320</v>
      </c>
      <c r="D1593" s="48">
        <v>1.61</v>
      </c>
      <c r="S1593" s="106"/>
      <c r="T1593" s="48"/>
    </row>
    <row r="1594" spans="3:20">
      <c r="C1594" s="106">
        <v>44321</v>
      </c>
      <c r="D1594" s="48">
        <v>1.59</v>
      </c>
      <c r="S1594" s="106"/>
      <c r="T1594" s="48"/>
    </row>
    <row r="1595" spans="3:20">
      <c r="C1595" s="106">
        <v>44322</v>
      </c>
      <c r="D1595" s="48">
        <v>1.58</v>
      </c>
      <c r="S1595" s="106"/>
      <c r="T1595" s="48"/>
    </row>
    <row r="1596" spans="3:20">
      <c r="C1596" s="106">
        <v>44323</v>
      </c>
      <c r="D1596" s="48">
        <v>1.6</v>
      </c>
      <c r="S1596" s="106"/>
      <c r="T1596" s="48"/>
    </row>
    <row r="1597" spans="3:20">
      <c r="C1597" s="106">
        <v>44326</v>
      </c>
      <c r="D1597" s="48">
        <v>1.63</v>
      </c>
      <c r="S1597" s="106"/>
      <c r="T1597" s="48"/>
    </row>
    <row r="1598" spans="3:20">
      <c r="C1598" s="106">
        <v>44327</v>
      </c>
      <c r="D1598" s="48">
        <v>1.64</v>
      </c>
      <c r="S1598" s="106"/>
      <c r="T1598" s="48"/>
    </row>
    <row r="1599" spans="3:20">
      <c r="C1599" s="106">
        <v>44328</v>
      </c>
      <c r="D1599" s="48">
        <v>1.69</v>
      </c>
      <c r="S1599" s="106"/>
      <c r="T1599" s="48"/>
    </row>
    <row r="1600" spans="3:20">
      <c r="C1600" s="106">
        <v>44329</v>
      </c>
      <c r="D1600" s="48">
        <v>1.66</v>
      </c>
      <c r="S1600" s="106"/>
      <c r="T1600" s="48"/>
    </row>
    <row r="1601" spans="3:20">
      <c r="C1601" s="106">
        <v>44330</v>
      </c>
      <c r="D1601" s="48">
        <v>1.63</v>
      </c>
      <c r="S1601" s="106"/>
      <c r="T1601" s="48"/>
    </row>
    <row r="1602" spans="3:20">
      <c r="C1602" s="106">
        <v>44333</v>
      </c>
      <c r="D1602" s="48">
        <v>1.64</v>
      </c>
      <c r="S1602" s="106"/>
      <c r="T1602" s="48"/>
    </row>
    <row r="1603" spans="3:20">
      <c r="C1603" s="106">
        <v>44334</v>
      </c>
      <c r="D1603" s="48">
        <v>1.64</v>
      </c>
      <c r="S1603" s="106"/>
      <c r="T1603" s="48"/>
    </row>
    <row r="1604" spans="3:20">
      <c r="C1604" s="106">
        <v>44335</v>
      </c>
      <c r="D1604" s="48">
        <v>1.68</v>
      </c>
      <c r="S1604" s="106"/>
      <c r="T1604" s="48"/>
    </row>
    <row r="1605" spans="3:20">
      <c r="C1605" s="106">
        <v>44336</v>
      </c>
      <c r="D1605" s="48">
        <v>1.63</v>
      </c>
      <c r="S1605" s="106"/>
      <c r="T1605" s="48"/>
    </row>
    <row r="1606" spans="3:20">
      <c r="C1606" s="106">
        <v>44337</v>
      </c>
      <c r="D1606" s="48">
        <v>1.63</v>
      </c>
      <c r="S1606" s="106"/>
      <c r="T1606" s="48"/>
    </row>
    <row r="1607" spans="3:20">
      <c r="C1607" s="106">
        <v>44340</v>
      </c>
      <c r="D1607" s="48">
        <v>1.61</v>
      </c>
      <c r="S1607" s="106"/>
      <c r="T1607" s="48"/>
    </row>
    <row r="1608" spans="3:20">
      <c r="C1608" s="106">
        <v>44341</v>
      </c>
      <c r="D1608" s="48">
        <v>1.56</v>
      </c>
      <c r="S1608" s="106"/>
      <c r="T1608" s="48"/>
    </row>
    <row r="1609" spans="3:20">
      <c r="C1609" s="106">
        <v>44342</v>
      </c>
      <c r="D1609" s="48">
        <v>1.58</v>
      </c>
      <c r="S1609" s="106"/>
      <c r="T1609" s="48"/>
    </row>
    <row r="1610" spans="3:20">
      <c r="C1610" s="106">
        <v>44343</v>
      </c>
      <c r="D1610" s="48">
        <v>1.61</v>
      </c>
      <c r="S1610" s="106"/>
      <c r="T1610" s="48"/>
    </row>
    <row r="1611" spans="3:20">
      <c r="C1611" s="106">
        <v>44344</v>
      </c>
      <c r="D1611" s="48">
        <v>1.58</v>
      </c>
      <c r="S1611" s="106"/>
      <c r="T1611" s="48"/>
    </row>
    <row r="1612" spans="3:20">
      <c r="C1612" s="106">
        <v>44348</v>
      </c>
      <c r="D1612" s="48">
        <v>1.62</v>
      </c>
      <c r="S1612" s="106"/>
      <c r="T1612" s="48"/>
    </row>
    <row r="1613" spans="3:20">
      <c r="C1613" s="106">
        <v>44349</v>
      </c>
      <c r="D1613" s="48">
        <v>1.59</v>
      </c>
      <c r="S1613" s="106"/>
      <c r="T1613" s="48"/>
    </row>
    <row r="1614" spans="3:20">
      <c r="C1614" s="106">
        <v>44350</v>
      </c>
      <c r="D1614" s="48">
        <v>1.63</v>
      </c>
      <c r="S1614" s="106"/>
      <c r="T1614" s="48"/>
    </row>
    <row r="1615" spans="3:20">
      <c r="C1615" s="106">
        <v>44351</v>
      </c>
      <c r="D1615" s="48">
        <v>1.56</v>
      </c>
      <c r="S1615" s="106"/>
      <c r="T1615" s="48"/>
    </row>
    <row r="1616" spans="3:20">
      <c r="C1616" s="106">
        <v>44354</v>
      </c>
      <c r="D1616" s="48">
        <v>1.57</v>
      </c>
      <c r="S1616" s="106"/>
      <c r="T1616" s="48"/>
    </row>
    <row r="1617" spans="3:20">
      <c r="C1617" s="106">
        <v>44355</v>
      </c>
      <c r="D1617" s="48">
        <v>1.53</v>
      </c>
      <c r="S1617" s="106"/>
      <c r="T1617" s="48"/>
    </row>
    <row r="1618" spans="3:20">
      <c r="C1618" s="106">
        <v>44356</v>
      </c>
      <c r="D1618" s="48">
        <v>1.5</v>
      </c>
      <c r="S1618" s="106"/>
      <c r="T1618" s="48"/>
    </row>
    <row r="1619" spans="3:20">
      <c r="C1619" s="106">
        <v>44357</v>
      </c>
      <c r="D1619" s="48">
        <v>1.45</v>
      </c>
      <c r="S1619" s="106"/>
      <c r="T1619" s="48"/>
    </row>
    <row r="1620" spans="3:20">
      <c r="C1620" s="106">
        <v>44358</v>
      </c>
      <c r="D1620" s="48">
        <v>1.47</v>
      </c>
      <c r="S1620" s="106"/>
      <c r="T1620" s="48"/>
    </row>
    <row r="1621" spans="3:20">
      <c r="C1621" s="106">
        <v>44361</v>
      </c>
      <c r="D1621" s="48">
        <v>1.51</v>
      </c>
      <c r="S1621" s="106"/>
      <c r="T1621" s="48"/>
    </row>
    <row r="1622" spans="3:20">
      <c r="C1622" s="106">
        <v>44362</v>
      </c>
      <c r="D1622" s="48">
        <v>1.51</v>
      </c>
      <c r="S1622" s="106"/>
      <c r="T1622" s="48"/>
    </row>
    <row r="1623" spans="3:20">
      <c r="C1623" s="106">
        <v>44363</v>
      </c>
      <c r="D1623" s="48">
        <v>1.57</v>
      </c>
      <c r="S1623" s="106"/>
      <c r="T1623" s="48"/>
    </row>
    <row r="1624" spans="3:20">
      <c r="C1624" s="106">
        <v>44364</v>
      </c>
      <c r="D1624" s="48">
        <v>1.52</v>
      </c>
      <c r="S1624" s="106"/>
      <c r="T1624" s="48"/>
    </row>
    <row r="1625" spans="3:20">
      <c r="C1625" s="106">
        <v>44365</v>
      </c>
      <c r="D1625" s="48">
        <v>1.45</v>
      </c>
      <c r="S1625" s="106"/>
      <c r="T1625" s="48"/>
    </row>
    <row r="1626" spans="3:20">
      <c r="C1626" s="106">
        <v>44368</v>
      </c>
      <c r="D1626" s="48">
        <v>1.5</v>
      </c>
      <c r="S1626" s="106"/>
      <c r="T1626" s="48"/>
    </row>
    <row r="1627" spans="3:20">
      <c r="C1627" s="106">
        <v>44369</v>
      </c>
      <c r="D1627" s="48">
        <v>1.48</v>
      </c>
      <c r="S1627" s="106"/>
      <c r="T1627" s="48"/>
    </row>
    <row r="1628" spans="3:20">
      <c r="C1628" s="106">
        <v>44370</v>
      </c>
      <c r="D1628" s="48">
        <v>1.5</v>
      </c>
      <c r="S1628" s="106"/>
      <c r="T1628" s="48"/>
    </row>
    <row r="1629" spans="3:20">
      <c r="C1629" s="106">
        <v>44371</v>
      </c>
      <c r="D1629" s="48">
        <v>1.49</v>
      </c>
      <c r="S1629" s="106"/>
      <c r="T1629" s="48"/>
    </row>
    <row r="1630" spans="3:20">
      <c r="C1630" s="106">
        <v>44372</v>
      </c>
      <c r="D1630" s="48">
        <v>1.54</v>
      </c>
      <c r="S1630" s="106"/>
      <c r="T1630" s="48"/>
    </row>
    <row r="1631" spans="3:20">
      <c r="C1631" s="106">
        <v>44375</v>
      </c>
      <c r="D1631" s="48">
        <v>1.49</v>
      </c>
      <c r="S1631" s="106"/>
      <c r="T1631" s="48"/>
    </row>
    <row r="1632" spans="3:20">
      <c r="C1632" s="106">
        <v>44376</v>
      </c>
      <c r="D1632" s="48">
        <v>1.49</v>
      </c>
      <c r="S1632" s="106"/>
      <c r="T1632" s="48"/>
    </row>
    <row r="1633" spans="3:20">
      <c r="C1633" s="106">
        <v>44377</v>
      </c>
      <c r="D1633" s="48">
        <v>1.45</v>
      </c>
      <c r="S1633" s="106"/>
      <c r="T1633" s="48"/>
    </row>
    <row r="1634" spans="3:20">
      <c r="C1634" s="106">
        <v>44378</v>
      </c>
      <c r="D1634" s="48">
        <v>1.48</v>
      </c>
      <c r="S1634" s="106"/>
      <c r="T1634" s="48"/>
    </row>
    <row r="1635" spans="3:20">
      <c r="C1635" s="106">
        <v>44379</v>
      </c>
      <c r="D1635" s="48">
        <v>1.44</v>
      </c>
      <c r="S1635" s="106"/>
      <c r="T1635" s="48"/>
    </row>
    <row r="1636" spans="3:20">
      <c r="C1636" s="106">
        <v>44383</v>
      </c>
      <c r="D1636" s="48">
        <v>1.37</v>
      </c>
      <c r="S1636" s="106"/>
      <c r="T1636" s="48"/>
    </row>
    <row r="1637" spans="3:20">
      <c r="C1637" s="106">
        <v>44384</v>
      </c>
      <c r="D1637" s="48">
        <v>1.33</v>
      </c>
      <c r="S1637" s="106"/>
      <c r="T1637" s="48"/>
    </row>
    <row r="1638" spans="3:20">
      <c r="C1638" s="106">
        <v>44385</v>
      </c>
      <c r="D1638" s="48">
        <v>1.3</v>
      </c>
      <c r="S1638" s="106"/>
      <c r="T1638" s="48"/>
    </row>
    <row r="1639" spans="3:20">
      <c r="C1639" s="106">
        <v>44386</v>
      </c>
      <c r="D1639" s="48">
        <v>1.37</v>
      </c>
      <c r="S1639" s="106"/>
      <c r="T1639" s="48"/>
    </row>
    <row r="1640" spans="3:20">
      <c r="C1640" s="106">
        <v>44389</v>
      </c>
      <c r="D1640" s="48">
        <v>1.38</v>
      </c>
      <c r="S1640" s="106"/>
      <c r="T1640" s="48"/>
    </row>
    <row r="1641" spans="3:20">
      <c r="C1641" s="106">
        <v>44390</v>
      </c>
      <c r="D1641" s="48">
        <v>1.42</v>
      </c>
      <c r="S1641" s="106"/>
      <c r="T1641" s="48"/>
    </row>
    <row r="1642" spans="3:20">
      <c r="C1642" s="106">
        <v>44391</v>
      </c>
      <c r="D1642" s="48">
        <v>1.37</v>
      </c>
      <c r="S1642" s="106"/>
      <c r="T1642" s="48"/>
    </row>
    <row r="1643" spans="3:20">
      <c r="C1643" s="106">
        <v>44392</v>
      </c>
      <c r="D1643" s="48">
        <v>1.31</v>
      </c>
      <c r="S1643" s="106"/>
      <c r="T1643" s="48"/>
    </row>
    <row r="1644" spans="3:20">
      <c r="C1644" s="106">
        <v>44393</v>
      </c>
      <c r="D1644" s="48">
        <v>1.31</v>
      </c>
      <c r="S1644" s="106"/>
      <c r="T1644" s="48"/>
    </row>
    <row r="1645" spans="3:20">
      <c r="C1645" s="106">
        <v>44396</v>
      </c>
      <c r="D1645" s="48">
        <v>1.19</v>
      </c>
      <c r="S1645" s="106"/>
      <c r="T1645" s="48"/>
    </row>
    <row r="1646" spans="3:20">
      <c r="C1646" s="106">
        <v>44397</v>
      </c>
      <c r="D1646" s="48">
        <v>1.23</v>
      </c>
      <c r="S1646" s="106"/>
      <c r="T1646" s="48"/>
    </row>
    <row r="1647" spans="3:20">
      <c r="C1647" s="106">
        <v>44398</v>
      </c>
      <c r="D1647" s="48">
        <v>1.3</v>
      </c>
      <c r="S1647" s="106"/>
      <c r="T1647" s="48"/>
    </row>
    <row r="1648" spans="3:20">
      <c r="C1648" s="106">
        <v>44399</v>
      </c>
      <c r="D1648" s="48">
        <v>1.27</v>
      </c>
      <c r="S1648" s="106"/>
      <c r="T1648" s="48"/>
    </row>
    <row r="1649" spans="3:20">
      <c r="C1649" s="106">
        <v>44400</v>
      </c>
      <c r="D1649" s="48">
        <v>1.3</v>
      </c>
      <c r="S1649" s="106"/>
      <c r="T1649" s="48"/>
    </row>
    <row r="1650" spans="3:20">
      <c r="C1650" s="106">
        <v>44403</v>
      </c>
      <c r="D1650" s="48">
        <v>1.29</v>
      </c>
      <c r="S1650" s="106"/>
      <c r="T1650" s="48"/>
    </row>
    <row r="1651" spans="3:20">
      <c r="C1651" s="106">
        <v>44404</v>
      </c>
      <c r="D1651" s="48">
        <v>1.25</v>
      </c>
      <c r="S1651" s="106"/>
      <c r="T1651" s="48"/>
    </row>
    <row r="1652" spans="3:20">
      <c r="C1652" s="106">
        <v>44405</v>
      </c>
      <c r="D1652" s="48">
        <v>1.26</v>
      </c>
      <c r="S1652" s="106"/>
      <c r="T1652" s="48"/>
    </row>
    <row r="1653" spans="3:20">
      <c r="C1653" s="106">
        <v>44406</v>
      </c>
      <c r="D1653" s="48">
        <v>1.28</v>
      </c>
      <c r="S1653" s="106"/>
      <c r="T1653" s="48"/>
    </row>
    <row r="1654" spans="3:20">
      <c r="C1654" s="106">
        <v>44407</v>
      </c>
      <c r="D1654" s="48">
        <v>1.24</v>
      </c>
      <c r="S1654" s="106"/>
      <c r="T1654" s="48"/>
    </row>
    <row r="1655" spans="3:20">
      <c r="C1655" s="106">
        <v>44410</v>
      </c>
      <c r="D1655" s="48">
        <v>1.2</v>
      </c>
      <c r="S1655" s="106"/>
      <c r="T1655" s="48"/>
    </row>
    <row r="1656" spans="3:20">
      <c r="C1656" s="106">
        <v>44411</v>
      </c>
      <c r="D1656" s="48">
        <v>1.19</v>
      </c>
      <c r="S1656" s="106"/>
      <c r="T1656" s="48"/>
    </row>
    <row r="1657" spans="3:20">
      <c r="C1657" s="106">
        <v>44412</v>
      </c>
      <c r="D1657" s="48">
        <v>1.19</v>
      </c>
      <c r="S1657" s="106"/>
      <c r="T1657" s="48"/>
    </row>
    <row r="1658" spans="3:20">
      <c r="C1658" s="106">
        <v>44413</v>
      </c>
      <c r="D1658" s="48">
        <v>1.23</v>
      </c>
      <c r="S1658" s="106"/>
      <c r="T1658" s="48"/>
    </row>
    <row r="1659" spans="3:20">
      <c r="C1659" s="106">
        <v>44414</v>
      </c>
      <c r="D1659" s="48">
        <v>1.31</v>
      </c>
      <c r="S1659" s="106"/>
      <c r="T1659" s="48"/>
    </row>
    <row r="1660" spans="3:20">
      <c r="C1660" s="106">
        <v>44417</v>
      </c>
      <c r="D1660" s="48">
        <v>1.33</v>
      </c>
      <c r="S1660" s="106"/>
      <c r="T1660" s="48"/>
    </row>
    <row r="1661" spans="3:20">
      <c r="C1661" s="106">
        <v>44418</v>
      </c>
      <c r="D1661" s="48">
        <v>1.36</v>
      </c>
      <c r="S1661" s="106"/>
      <c r="T1661" s="48"/>
    </row>
    <row r="1662" spans="3:20">
      <c r="C1662" s="106">
        <v>44419</v>
      </c>
      <c r="D1662" s="48">
        <v>1.35</v>
      </c>
      <c r="S1662" s="106"/>
      <c r="T1662" s="48"/>
    </row>
    <row r="1663" spans="3:20">
      <c r="C1663" s="106">
        <v>44420</v>
      </c>
      <c r="D1663" s="48">
        <v>1.36</v>
      </c>
      <c r="S1663" s="106"/>
      <c r="T1663" s="48"/>
    </row>
    <row r="1664" spans="3:20">
      <c r="C1664" s="106">
        <v>44421</v>
      </c>
      <c r="D1664" s="48">
        <v>1.29</v>
      </c>
      <c r="S1664" s="106"/>
      <c r="T1664" s="48"/>
    </row>
    <row r="1665" spans="3:20">
      <c r="C1665" s="106">
        <v>44424</v>
      </c>
      <c r="D1665" s="48">
        <v>1.26</v>
      </c>
      <c r="S1665" s="106"/>
      <c r="T1665" s="48"/>
    </row>
    <row r="1666" spans="3:20">
      <c r="C1666" s="106">
        <v>44425</v>
      </c>
      <c r="D1666" s="48">
        <v>1.26</v>
      </c>
      <c r="S1666" s="106"/>
      <c r="T1666" s="48"/>
    </row>
    <row r="1667" spans="3:20">
      <c r="C1667" s="106">
        <v>44426</v>
      </c>
      <c r="D1667" s="48">
        <v>1.27</v>
      </c>
      <c r="S1667" s="106"/>
      <c r="T1667" s="48"/>
    </row>
    <row r="1668" spans="3:20">
      <c r="C1668" s="106">
        <v>44427</v>
      </c>
      <c r="D1668" s="48">
        <v>1.24</v>
      </c>
      <c r="S1668" s="106"/>
      <c r="T1668" s="48"/>
    </row>
    <row r="1669" spans="3:20">
      <c r="C1669" s="106">
        <v>44428</v>
      </c>
      <c r="D1669" s="48">
        <v>1.26</v>
      </c>
      <c r="S1669" s="106"/>
      <c r="T1669" s="48"/>
    </row>
    <row r="1670" spans="3:20">
      <c r="C1670" s="106">
        <v>44431</v>
      </c>
      <c r="D1670" s="48">
        <v>1.25</v>
      </c>
      <c r="S1670" s="106"/>
      <c r="T1670" s="48"/>
    </row>
    <row r="1671" spans="3:20">
      <c r="C1671" s="106">
        <v>44432</v>
      </c>
      <c r="D1671" s="48">
        <v>1.29</v>
      </c>
      <c r="S1671" s="106"/>
      <c r="T1671" s="48"/>
    </row>
    <row r="1672" spans="3:20">
      <c r="C1672" s="106">
        <v>44433</v>
      </c>
      <c r="D1672" s="48">
        <v>1.35</v>
      </c>
      <c r="S1672" s="106"/>
      <c r="T1672" s="48"/>
    </row>
    <row r="1673" spans="3:20">
      <c r="C1673" s="106">
        <v>44434</v>
      </c>
      <c r="D1673" s="48">
        <v>1.34</v>
      </c>
      <c r="S1673" s="106"/>
      <c r="T1673" s="48"/>
    </row>
    <row r="1674" spans="3:20">
      <c r="C1674" s="106">
        <v>44435</v>
      </c>
      <c r="D1674" s="48">
        <v>1.31</v>
      </c>
      <c r="S1674" s="106"/>
      <c r="T1674" s="48"/>
    </row>
    <row r="1675" spans="3:20">
      <c r="C1675" s="106">
        <v>44438</v>
      </c>
      <c r="D1675" s="48">
        <v>1.29</v>
      </c>
      <c r="S1675" s="106"/>
      <c r="T1675" s="48"/>
    </row>
    <row r="1676" spans="3:20">
      <c r="C1676" s="106">
        <v>44439</v>
      </c>
      <c r="D1676" s="48">
        <v>1.3</v>
      </c>
      <c r="S1676" s="106"/>
      <c r="T1676" s="48"/>
    </row>
    <row r="1677" spans="3:20">
      <c r="C1677" s="106">
        <v>44440</v>
      </c>
      <c r="D1677" s="48">
        <v>1.31</v>
      </c>
      <c r="S1677" s="106"/>
      <c r="T1677" s="48"/>
    </row>
    <row r="1678" spans="3:20">
      <c r="C1678" s="106">
        <v>44441</v>
      </c>
      <c r="D1678" s="48">
        <v>1.29</v>
      </c>
      <c r="S1678" s="106"/>
      <c r="T1678" s="48"/>
    </row>
    <row r="1679" spans="3:20">
      <c r="C1679" s="106">
        <v>44442</v>
      </c>
      <c r="D1679" s="48">
        <v>1.33</v>
      </c>
      <c r="S1679" s="106"/>
      <c r="T1679" s="48"/>
    </row>
    <row r="1680" spans="3:20">
      <c r="C1680" s="106">
        <v>44446</v>
      </c>
      <c r="D1680" s="48">
        <v>1.38</v>
      </c>
      <c r="S1680" s="106"/>
      <c r="T1680" s="48"/>
    </row>
    <row r="1681" spans="3:20">
      <c r="C1681" s="106">
        <v>44447</v>
      </c>
      <c r="D1681" s="48">
        <v>1.35</v>
      </c>
      <c r="S1681" s="106"/>
      <c r="T1681" s="48"/>
    </row>
    <row r="1682" spans="3:20">
      <c r="C1682" s="106">
        <v>44448</v>
      </c>
      <c r="D1682" s="48">
        <v>1.3</v>
      </c>
      <c r="S1682" s="106"/>
      <c r="T1682" s="48"/>
    </row>
    <row r="1683" spans="3:20">
      <c r="C1683" s="106">
        <v>44449</v>
      </c>
      <c r="D1683" s="48">
        <v>1.35</v>
      </c>
      <c r="S1683" s="106"/>
      <c r="T1683" s="48"/>
    </row>
    <row r="1684" spans="3:20">
      <c r="C1684" s="106">
        <v>44452</v>
      </c>
      <c r="D1684" s="48">
        <v>1.33</v>
      </c>
      <c r="S1684" s="106"/>
      <c r="T1684" s="48"/>
    </row>
    <row r="1685" spans="3:20">
      <c r="C1685" s="106">
        <v>44453</v>
      </c>
      <c r="D1685" s="48">
        <v>1.28</v>
      </c>
      <c r="S1685" s="106"/>
      <c r="T1685" s="48"/>
    </row>
    <row r="1686" spans="3:20">
      <c r="C1686" s="106">
        <v>44454</v>
      </c>
      <c r="D1686" s="48">
        <v>1.31</v>
      </c>
      <c r="S1686" s="106"/>
      <c r="T1686" s="48"/>
    </row>
    <row r="1687" spans="3:20">
      <c r="C1687" s="106">
        <v>44455</v>
      </c>
      <c r="D1687" s="48">
        <v>1.34</v>
      </c>
      <c r="S1687" s="106"/>
      <c r="T1687" s="48"/>
    </row>
    <row r="1688" spans="3:20">
      <c r="C1688" s="106">
        <v>44456</v>
      </c>
      <c r="D1688" s="48">
        <v>1.37</v>
      </c>
      <c r="S1688" s="106"/>
      <c r="T1688" s="48"/>
    </row>
    <row r="1689" spans="3:20">
      <c r="C1689" s="106">
        <v>44459</v>
      </c>
      <c r="D1689" s="48">
        <v>1.31</v>
      </c>
      <c r="S1689" s="106"/>
      <c r="T1689" s="48"/>
    </row>
    <row r="1690" spans="3:20">
      <c r="C1690" s="106">
        <v>44460</v>
      </c>
      <c r="D1690" s="48">
        <v>1.33</v>
      </c>
      <c r="S1690" s="106"/>
      <c r="T1690" s="48"/>
    </row>
    <row r="1691" spans="3:20">
      <c r="C1691" s="106">
        <v>44461</v>
      </c>
      <c r="D1691" s="48">
        <v>1.32</v>
      </c>
      <c r="S1691" s="106"/>
      <c r="T1691" s="48"/>
    </row>
    <row r="1692" spans="3:20">
      <c r="C1692" s="106">
        <v>44462</v>
      </c>
      <c r="D1692" s="48">
        <v>1.41</v>
      </c>
      <c r="S1692" s="106"/>
      <c r="T1692" s="48"/>
    </row>
    <row r="1693" spans="3:20">
      <c r="C1693" s="106">
        <v>44463</v>
      </c>
      <c r="D1693" s="48">
        <v>1.47</v>
      </c>
      <c r="S1693" s="106"/>
      <c r="T1693" s="48"/>
    </row>
    <row r="1694" spans="3:20">
      <c r="C1694" s="106">
        <v>44466</v>
      </c>
      <c r="D1694" s="48">
        <v>1.48</v>
      </c>
      <c r="S1694" s="106"/>
      <c r="T1694" s="48"/>
    </row>
    <row r="1695" spans="3:20">
      <c r="C1695" s="106">
        <v>44467</v>
      </c>
      <c r="D1695" s="48">
        <v>1.54</v>
      </c>
      <c r="S1695" s="106"/>
      <c r="T1695" s="48"/>
    </row>
    <row r="1696" spans="3:20">
      <c r="C1696" s="106">
        <v>44468</v>
      </c>
      <c r="D1696" s="48">
        <v>1.55</v>
      </c>
      <c r="S1696" s="106"/>
      <c r="T1696" s="48"/>
    </row>
    <row r="1697" spans="3:20">
      <c r="C1697" s="106">
        <v>44469</v>
      </c>
      <c r="D1697" s="48">
        <v>1.52</v>
      </c>
      <c r="S1697" s="106"/>
      <c r="T1697" s="48"/>
    </row>
    <row r="1698" spans="3:20">
      <c r="C1698" s="106">
        <v>44470</v>
      </c>
      <c r="D1698" s="48">
        <v>1.48</v>
      </c>
      <c r="S1698" s="106"/>
      <c r="T1698" s="48"/>
    </row>
    <row r="1699" spans="3:20">
      <c r="C1699" s="106">
        <v>44473</v>
      </c>
      <c r="D1699" s="48">
        <v>1.49</v>
      </c>
      <c r="S1699" s="106"/>
      <c r="T1699" s="48"/>
    </row>
    <row r="1700" spans="3:20">
      <c r="C1700" s="106">
        <v>44474</v>
      </c>
      <c r="D1700" s="48">
        <v>1.54</v>
      </c>
      <c r="S1700" s="106"/>
      <c r="T1700" s="48"/>
    </row>
    <row r="1701" spans="3:20">
      <c r="C1701" s="106">
        <v>44475</v>
      </c>
      <c r="D1701" s="48">
        <v>1.53</v>
      </c>
      <c r="S1701" s="106"/>
      <c r="T1701" s="48"/>
    </row>
    <row r="1702" spans="3:20">
      <c r="C1702" s="106">
        <v>44476</v>
      </c>
      <c r="D1702" s="48">
        <v>1.58</v>
      </c>
      <c r="S1702" s="106"/>
      <c r="T1702" s="48"/>
    </row>
    <row r="1703" spans="3:20">
      <c r="C1703" s="106">
        <v>44477</v>
      </c>
      <c r="D1703" s="48">
        <v>1.61</v>
      </c>
      <c r="S1703" s="106"/>
      <c r="T1703" s="48"/>
    </row>
    <row r="1704" spans="3:20">
      <c r="C1704" s="106">
        <v>44481</v>
      </c>
      <c r="D1704" s="48">
        <v>1.59</v>
      </c>
      <c r="S1704" s="106"/>
      <c r="T1704" s="48"/>
    </row>
    <row r="1705" spans="3:20">
      <c r="C1705" s="106">
        <v>44482</v>
      </c>
      <c r="D1705" s="48">
        <v>1.56</v>
      </c>
      <c r="S1705" s="106"/>
      <c r="T1705" s="48"/>
    </row>
    <row r="1706" spans="3:20">
      <c r="C1706" s="106">
        <v>44483</v>
      </c>
      <c r="D1706" s="48">
        <v>1.52</v>
      </c>
      <c r="S1706" s="106"/>
      <c r="T1706" s="48"/>
    </row>
    <row r="1707" spans="3:20">
      <c r="C1707" s="106">
        <v>44484</v>
      </c>
      <c r="D1707" s="48">
        <v>1.59</v>
      </c>
      <c r="S1707" s="106"/>
      <c r="T1707" s="48"/>
    </row>
    <row r="1708" spans="3:20">
      <c r="C1708" s="106">
        <v>44487</v>
      </c>
      <c r="D1708" s="48">
        <v>1.59</v>
      </c>
      <c r="S1708" s="106"/>
      <c r="T1708" s="48"/>
    </row>
    <row r="1709" spans="3:20">
      <c r="C1709" s="106">
        <v>44488</v>
      </c>
      <c r="D1709" s="48">
        <v>1.65</v>
      </c>
      <c r="S1709" s="106"/>
      <c r="T1709" s="48"/>
    </row>
    <row r="1710" spans="3:20">
      <c r="C1710" s="106">
        <v>44489</v>
      </c>
      <c r="D1710" s="48">
        <v>1.65</v>
      </c>
      <c r="S1710" s="106"/>
      <c r="T1710" s="48"/>
    </row>
    <row r="1711" spans="3:20">
      <c r="C1711" s="106">
        <v>44490</v>
      </c>
      <c r="D1711" s="48">
        <v>1.68</v>
      </c>
      <c r="S1711" s="106"/>
      <c r="T1711" s="48"/>
    </row>
    <row r="1712" spans="3:20">
      <c r="C1712" s="106">
        <v>44491</v>
      </c>
      <c r="D1712" s="48">
        <v>1.66</v>
      </c>
      <c r="S1712" s="106"/>
      <c r="T1712" s="48"/>
    </row>
    <row r="1713" spans="3:20">
      <c r="C1713" s="106">
        <v>44494</v>
      </c>
      <c r="D1713" s="48">
        <v>1.64</v>
      </c>
      <c r="S1713" s="106"/>
      <c r="T1713" s="48"/>
    </row>
    <row r="1714" spans="3:20">
      <c r="C1714" s="106">
        <v>44495</v>
      </c>
      <c r="D1714" s="48">
        <v>1.63</v>
      </c>
      <c r="S1714" s="106"/>
      <c r="T1714" s="48"/>
    </row>
    <row r="1715" spans="3:20">
      <c r="C1715" s="106">
        <v>44496</v>
      </c>
      <c r="D1715" s="48">
        <v>1.54</v>
      </c>
      <c r="S1715" s="106"/>
      <c r="T1715" s="48"/>
    </row>
    <row r="1716" spans="3:20">
      <c r="C1716" s="106">
        <v>44497</v>
      </c>
      <c r="D1716" s="48">
        <v>1.57</v>
      </c>
      <c r="S1716" s="106"/>
      <c r="T1716" s="48"/>
    </row>
    <row r="1717" spans="3:20">
      <c r="C1717" s="106">
        <v>44498</v>
      </c>
      <c r="D1717" s="48">
        <v>1.55</v>
      </c>
      <c r="S1717" s="106"/>
      <c r="T1717" s="48"/>
    </row>
    <row r="1718" spans="3:20">
      <c r="C1718" s="106">
        <v>44501</v>
      </c>
      <c r="D1718" s="48">
        <v>1.58</v>
      </c>
      <c r="S1718" s="106"/>
      <c r="T1718" s="48"/>
    </row>
    <row r="1719" spans="3:20">
      <c r="C1719" s="106">
        <v>44502</v>
      </c>
      <c r="D1719" s="48">
        <v>1.56</v>
      </c>
      <c r="S1719" s="106"/>
      <c r="T1719" s="48"/>
    </row>
    <row r="1720" spans="3:20">
      <c r="C1720" s="106">
        <v>44503</v>
      </c>
      <c r="D1720" s="48">
        <v>1.6</v>
      </c>
      <c r="S1720" s="106"/>
      <c r="T1720" s="48"/>
    </row>
    <row r="1721" spans="3:20">
      <c r="C1721" s="106">
        <v>44504</v>
      </c>
      <c r="D1721" s="48">
        <v>1.53</v>
      </c>
      <c r="S1721" s="106"/>
      <c r="T1721" s="48"/>
    </row>
    <row r="1722" spans="3:20">
      <c r="C1722" s="106">
        <v>44505</v>
      </c>
      <c r="D1722" s="48">
        <v>1.45</v>
      </c>
      <c r="S1722" s="106"/>
      <c r="T1722" s="48"/>
    </row>
    <row r="1723" spans="3:20">
      <c r="C1723" s="106">
        <v>44508</v>
      </c>
      <c r="D1723" s="48">
        <v>1.51</v>
      </c>
      <c r="S1723" s="106"/>
      <c r="T1723" s="48"/>
    </row>
    <row r="1724" spans="3:20">
      <c r="C1724" s="106">
        <v>44509</v>
      </c>
      <c r="D1724" s="48">
        <v>1.46</v>
      </c>
      <c r="S1724" s="106"/>
      <c r="T1724" s="48"/>
    </row>
    <row r="1725" spans="3:20">
      <c r="C1725" s="106">
        <v>44510</v>
      </c>
      <c r="D1725" s="48">
        <v>1.56</v>
      </c>
      <c r="S1725" s="106"/>
      <c r="T1725" s="48"/>
    </row>
    <row r="1726" spans="3:20">
      <c r="C1726" s="106">
        <v>44512</v>
      </c>
      <c r="D1726" s="48">
        <v>1.58</v>
      </c>
      <c r="S1726" s="106"/>
      <c r="T1726" s="48"/>
    </row>
    <row r="1727" spans="3:20">
      <c r="C1727" s="106">
        <v>44515</v>
      </c>
      <c r="D1727" s="48">
        <v>1.63</v>
      </c>
      <c r="S1727" s="106"/>
      <c r="T1727" s="48"/>
    </row>
    <row r="1728" spans="3:20">
      <c r="C1728" s="106">
        <v>44516</v>
      </c>
      <c r="D1728" s="48">
        <v>1.63</v>
      </c>
      <c r="S1728" s="106"/>
      <c r="T1728" s="48"/>
    </row>
    <row r="1729" spans="3:20">
      <c r="C1729" s="106">
        <v>44517</v>
      </c>
      <c r="D1729" s="48">
        <v>1.6</v>
      </c>
      <c r="S1729" s="106"/>
      <c r="T1729" s="48"/>
    </row>
    <row r="1730" spans="3:20">
      <c r="C1730" s="106">
        <v>44518</v>
      </c>
      <c r="D1730" s="48">
        <v>1.59</v>
      </c>
      <c r="S1730" s="106"/>
      <c r="T1730" s="48"/>
    </row>
    <row r="1731" spans="3:20">
      <c r="C1731" s="106">
        <v>44519</v>
      </c>
      <c r="D1731" s="48">
        <v>1.54</v>
      </c>
      <c r="S1731" s="106"/>
      <c r="T1731" s="48"/>
    </row>
    <row r="1732" spans="3:20">
      <c r="C1732" s="106">
        <v>44522</v>
      </c>
      <c r="D1732" s="48">
        <v>1.63</v>
      </c>
      <c r="S1732" s="106"/>
      <c r="T1732" s="48"/>
    </row>
    <row r="1733" spans="3:20">
      <c r="C1733" s="106">
        <v>44523</v>
      </c>
      <c r="D1733" s="48">
        <v>1.67</v>
      </c>
      <c r="S1733" s="106"/>
      <c r="T1733" s="48"/>
    </row>
    <row r="1734" spans="3:20">
      <c r="C1734" s="106">
        <v>44524</v>
      </c>
      <c r="D1734" s="48">
        <v>1.64</v>
      </c>
      <c r="S1734" s="106"/>
      <c r="T1734" s="48"/>
    </row>
    <row r="1735" spans="3:20">
      <c r="C1735" s="106">
        <v>44526</v>
      </c>
      <c r="D1735" s="48">
        <v>1.48</v>
      </c>
      <c r="S1735" s="106"/>
      <c r="T1735" s="48"/>
    </row>
    <row r="1736" spans="3:20">
      <c r="C1736" s="106">
        <v>44529</v>
      </c>
      <c r="D1736" s="48">
        <v>1.52</v>
      </c>
      <c r="S1736" s="106"/>
      <c r="T1736" s="48"/>
    </row>
    <row r="1737" spans="3:20">
      <c r="C1737" s="106">
        <v>44530</v>
      </c>
      <c r="D1737" s="48">
        <v>1.43</v>
      </c>
      <c r="S1737" s="106"/>
      <c r="T1737" s="48"/>
    </row>
    <row r="1738" spans="3:20">
      <c r="C1738" s="106">
        <v>44531</v>
      </c>
      <c r="D1738" s="48">
        <v>1.43</v>
      </c>
      <c r="S1738" s="106"/>
      <c r="T1738" s="48"/>
    </row>
    <row r="1739" spans="3:20">
      <c r="C1739" s="106">
        <v>44532</v>
      </c>
      <c r="D1739" s="48">
        <v>1.44</v>
      </c>
      <c r="S1739" s="106"/>
      <c r="T1739" s="48"/>
    </row>
    <row r="1740" spans="3:20">
      <c r="C1740" s="106">
        <v>44533</v>
      </c>
      <c r="D1740" s="48">
        <v>1.35</v>
      </c>
      <c r="S1740" s="106"/>
      <c r="T1740" s="48"/>
    </row>
    <row r="1741" spans="3:20">
      <c r="C1741" s="106">
        <v>44536</v>
      </c>
      <c r="D1741" s="48">
        <v>1.43</v>
      </c>
      <c r="S1741" s="106"/>
      <c r="T1741" s="48"/>
    </row>
    <row r="1742" spans="3:20">
      <c r="C1742" s="106">
        <v>44537</v>
      </c>
      <c r="D1742" s="48">
        <v>1.48</v>
      </c>
      <c r="S1742" s="106"/>
      <c r="T1742" s="48"/>
    </row>
    <row r="1743" spans="3:20">
      <c r="C1743" s="106">
        <v>44538</v>
      </c>
      <c r="D1743" s="48">
        <v>1.52</v>
      </c>
      <c r="S1743" s="106"/>
      <c r="T1743" s="48"/>
    </row>
    <row r="1744" spans="3:20">
      <c r="C1744" s="106">
        <v>44539</v>
      </c>
      <c r="D1744" s="48">
        <v>1.49</v>
      </c>
      <c r="S1744" s="106"/>
      <c r="T1744" s="48"/>
    </row>
    <row r="1745" spans="3:20">
      <c r="C1745" s="106">
        <v>44540</v>
      </c>
      <c r="D1745" s="48">
        <v>1.48</v>
      </c>
      <c r="S1745" s="106"/>
      <c r="T1745" s="48"/>
    </row>
    <row r="1746" spans="3:20">
      <c r="C1746" s="106">
        <v>44543</v>
      </c>
      <c r="D1746" s="48">
        <v>1.42</v>
      </c>
      <c r="S1746" s="106"/>
      <c r="T1746" s="48"/>
    </row>
    <row r="1747" spans="3:20">
      <c r="C1747" s="106">
        <v>44544</v>
      </c>
      <c r="D1747" s="48">
        <v>1.44</v>
      </c>
      <c r="S1747" s="106"/>
      <c r="T1747" s="48"/>
    </row>
    <row r="1748" spans="3:20">
      <c r="C1748" s="106">
        <v>44545</v>
      </c>
      <c r="D1748" s="48">
        <v>1.47</v>
      </c>
      <c r="S1748" s="106"/>
      <c r="T1748" s="48"/>
    </row>
    <row r="1749" spans="3:20">
      <c r="C1749" s="106">
        <v>44546</v>
      </c>
      <c r="D1749" s="48">
        <v>1.44</v>
      </c>
      <c r="S1749" s="106"/>
      <c r="T1749" s="48"/>
    </row>
    <row r="1750" spans="3:20">
      <c r="C1750" s="106">
        <v>44547</v>
      </c>
      <c r="D1750" s="48">
        <v>1.41</v>
      </c>
      <c r="S1750" s="106"/>
      <c r="T1750" s="48"/>
    </row>
    <row r="1751" spans="3:20">
      <c r="C1751" s="106">
        <v>44550</v>
      </c>
      <c r="D1751" s="48">
        <v>1.43</v>
      </c>
      <c r="S1751" s="106"/>
      <c r="T1751" s="48"/>
    </row>
    <row r="1752" spans="3:20">
      <c r="C1752" s="106">
        <v>44551</v>
      </c>
      <c r="D1752" s="48">
        <v>1.48</v>
      </c>
      <c r="S1752" s="106"/>
      <c r="T1752" s="48"/>
    </row>
    <row r="1753" spans="3:20">
      <c r="C1753" s="106">
        <v>44552</v>
      </c>
      <c r="D1753" s="48">
        <v>1.46</v>
      </c>
      <c r="S1753" s="106"/>
      <c r="T1753" s="48"/>
    </row>
    <row r="1754" spans="3:20">
      <c r="C1754" s="106">
        <v>44553</v>
      </c>
      <c r="D1754" s="48">
        <v>1.5</v>
      </c>
      <c r="S1754" s="106"/>
      <c r="T1754" s="48"/>
    </row>
    <row r="1755" spans="3:20">
      <c r="C1755" s="106">
        <v>44557</v>
      </c>
      <c r="D1755" s="48">
        <v>1.48</v>
      </c>
      <c r="S1755" s="106"/>
      <c r="T1755" s="48"/>
    </row>
    <row r="1756" spans="3:20">
      <c r="C1756" s="106">
        <v>44558</v>
      </c>
      <c r="D1756" s="48">
        <v>1.49</v>
      </c>
      <c r="S1756" s="106"/>
      <c r="T1756" s="48"/>
    </row>
    <row r="1757" spans="3:20">
      <c r="C1757" s="106">
        <v>44559</v>
      </c>
      <c r="D1757" s="48">
        <v>1.55</v>
      </c>
      <c r="S1757" s="106"/>
      <c r="T1757" s="48"/>
    </row>
    <row r="1758" spans="3:20">
      <c r="C1758" s="106">
        <v>44560</v>
      </c>
      <c r="D1758" s="48">
        <v>1.52</v>
      </c>
      <c r="S1758" s="106"/>
      <c r="T1758" s="48"/>
    </row>
    <row r="1759" spans="3:20">
      <c r="C1759" s="106">
        <v>44561</v>
      </c>
      <c r="D1759" s="48">
        <v>1.52</v>
      </c>
      <c r="S1759" s="106"/>
      <c r="T1759" s="48"/>
    </row>
    <row r="1760" spans="3:20">
      <c r="C1760" s="106">
        <v>44564</v>
      </c>
      <c r="D1760" s="48">
        <v>1.63</v>
      </c>
      <c r="S1760" s="106"/>
      <c r="T1760" s="48"/>
    </row>
    <row r="1761" spans="3:20">
      <c r="C1761" s="106">
        <v>44565</v>
      </c>
      <c r="D1761" s="48">
        <v>1.66</v>
      </c>
      <c r="S1761" s="106"/>
      <c r="T1761" s="48"/>
    </row>
    <row r="1762" spans="3:20">
      <c r="C1762" s="106">
        <v>44566</v>
      </c>
      <c r="D1762" s="48">
        <v>1.71</v>
      </c>
      <c r="S1762" s="106"/>
      <c r="T1762" s="48"/>
    </row>
    <row r="1763" spans="3:20">
      <c r="C1763" s="106">
        <v>44567</v>
      </c>
      <c r="D1763" s="48">
        <v>1.73</v>
      </c>
      <c r="S1763" s="106"/>
      <c r="T1763" s="48"/>
    </row>
    <row r="1764" spans="3:20">
      <c r="C1764" s="106">
        <v>44568</v>
      </c>
      <c r="D1764" s="48">
        <v>1.76</v>
      </c>
      <c r="S1764" s="106"/>
      <c r="T1764" s="48"/>
    </row>
    <row r="1765" spans="3:20">
      <c r="C1765" s="106">
        <v>44571</v>
      </c>
      <c r="D1765" s="48">
        <v>1.78</v>
      </c>
      <c r="S1765" s="106"/>
      <c r="T1765" s="48"/>
    </row>
    <row r="1766" spans="3:20">
      <c r="C1766" s="106">
        <v>44572</v>
      </c>
      <c r="D1766" s="48">
        <v>1.75</v>
      </c>
      <c r="S1766" s="106"/>
      <c r="T1766" s="48"/>
    </row>
    <row r="1767" spans="3:20">
      <c r="C1767" s="106">
        <v>44573</v>
      </c>
      <c r="D1767" s="48">
        <v>1.74</v>
      </c>
      <c r="S1767" s="106"/>
      <c r="T1767" s="48"/>
    </row>
    <row r="1768" spans="3:20">
      <c r="C1768" s="106">
        <v>44574</v>
      </c>
      <c r="D1768" s="48">
        <v>1.7</v>
      </c>
      <c r="S1768" s="106"/>
      <c r="T1768" s="48"/>
    </row>
    <row r="1769" spans="3:20">
      <c r="C1769" s="106">
        <v>44575</v>
      </c>
      <c r="D1769" s="48">
        <v>1.78</v>
      </c>
      <c r="S1769" s="106"/>
      <c r="T1769" s="48"/>
    </row>
    <row r="1770" spans="3:20">
      <c r="C1770" s="106">
        <v>44579</v>
      </c>
      <c r="D1770" s="48">
        <v>1.87</v>
      </c>
      <c r="S1770" s="106"/>
      <c r="T1770" s="48"/>
    </row>
    <row r="1771" spans="3:20">
      <c r="C1771" s="106">
        <v>44580</v>
      </c>
      <c r="D1771" s="48">
        <v>1.83</v>
      </c>
      <c r="S1771" s="106"/>
      <c r="T1771" s="48"/>
    </row>
    <row r="1772" spans="3:20">
      <c r="C1772" s="106">
        <v>44581</v>
      </c>
      <c r="D1772" s="48">
        <v>1.83</v>
      </c>
      <c r="S1772" s="106"/>
      <c r="T1772" s="48"/>
    </row>
    <row r="1773" spans="3:20">
      <c r="C1773" s="106">
        <v>44582</v>
      </c>
      <c r="D1773" s="48">
        <v>1.75</v>
      </c>
      <c r="S1773" s="106"/>
      <c r="T1773" s="48"/>
    </row>
    <row r="1774" spans="3:20">
      <c r="C1774" s="106">
        <v>44585</v>
      </c>
      <c r="D1774" s="48">
        <v>1.75</v>
      </c>
      <c r="S1774" s="106"/>
      <c r="T1774" s="48"/>
    </row>
    <row r="1775" spans="3:20">
      <c r="C1775" s="106">
        <v>44586</v>
      </c>
      <c r="D1775" s="48">
        <v>1.78</v>
      </c>
      <c r="S1775" s="106"/>
      <c r="T1775" s="48"/>
    </row>
    <row r="1776" spans="3:20">
      <c r="C1776" s="106">
        <v>44587</v>
      </c>
      <c r="D1776" s="48">
        <v>1.85</v>
      </c>
      <c r="S1776" s="106"/>
      <c r="T1776" s="48"/>
    </row>
    <row r="1777" spans="3:20">
      <c r="C1777" s="106">
        <v>44588</v>
      </c>
      <c r="D1777" s="48">
        <v>1.81</v>
      </c>
      <c r="S1777" s="106"/>
      <c r="T1777" s="48"/>
    </row>
    <row r="1778" spans="3:20">
      <c r="C1778" s="106">
        <v>44589</v>
      </c>
      <c r="D1778" s="48">
        <v>1.78</v>
      </c>
      <c r="S1778" s="106"/>
      <c r="T1778" s="48"/>
    </row>
    <row r="1779" spans="3:20">
      <c r="C1779" s="106">
        <v>44592</v>
      </c>
      <c r="D1779" s="48">
        <v>1.79</v>
      </c>
      <c r="S1779" s="106"/>
      <c r="T1779" s="48"/>
    </row>
    <row r="1780" spans="3:20">
      <c r="C1780" s="106">
        <v>44593</v>
      </c>
      <c r="D1780" s="48">
        <v>1.81</v>
      </c>
      <c r="S1780" s="106"/>
      <c r="T1780" s="48"/>
    </row>
    <row r="1781" spans="3:20">
      <c r="C1781" s="106">
        <v>44594</v>
      </c>
      <c r="D1781" s="48">
        <v>1.78</v>
      </c>
      <c r="S1781" s="106"/>
      <c r="T1781" s="48"/>
    </row>
    <row r="1782" spans="3:20">
      <c r="C1782" s="106">
        <v>44595</v>
      </c>
      <c r="D1782" s="48">
        <v>1.82</v>
      </c>
      <c r="S1782" s="106"/>
      <c r="T1782" s="48"/>
    </row>
    <row r="1783" spans="3:20">
      <c r="C1783" s="106">
        <v>44596</v>
      </c>
      <c r="D1783" s="48">
        <v>1.93</v>
      </c>
      <c r="S1783" s="106"/>
      <c r="T1783" s="48"/>
    </row>
    <row r="1784" spans="3:20">
      <c r="C1784" s="106">
        <v>44599</v>
      </c>
      <c r="D1784" s="48">
        <v>1.92</v>
      </c>
      <c r="S1784" s="106"/>
      <c r="T1784" s="48"/>
    </row>
    <row r="1785" spans="3:20">
      <c r="C1785" s="106">
        <v>44600</v>
      </c>
      <c r="D1785" s="48">
        <v>1.96</v>
      </c>
      <c r="S1785" s="106"/>
      <c r="T1785" s="48"/>
    </row>
    <row r="1786" spans="3:20">
      <c r="C1786" s="106">
        <v>44601</v>
      </c>
      <c r="D1786" s="48">
        <v>1.94</v>
      </c>
      <c r="S1786" s="106"/>
      <c r="T1786" s="48"/>
    </row>
    <row r="1787" spans="3:20">
      <c r="C1787" s="106">
        <v>44602</v>
      </c>
      <c r="D1787" s="48">
        <v>2.0299999999999998</v>
      </c>
      <c r="S1787" s="106"/>
      <c r="T1787" s="48"/>
    </row>
    <row r="1788" spans="3:20">
      <c r="C1788" s="106">
        <v>44603</v>
      </c>
      <c r="D1788" s="48">
        <v>1.92</v>
      </c>
      <c r="S1788" s="106"/>
      <c r="T1788" s="48"/>
    </row>
    <row r="1789" spans="3:20">
      <c r="C1789" s="106">
        <v>44606</v>
      </c>
      <c r="D1789" s="48">
        <v>1.98</v>
      </c>
      <c r="S1789" s="106"/>
      <c r="T1789" s="48"/>
    </row>
    <row r="1790" spans="3:20">
      <c r="C1790" s="106">
        <v>44607</v>
      </c>
      <c r="D1790" s="48">
        <v>2.0499999999999998</v>
      </c>
      <c r="S1790" s="106"/>
      <c r="T1790" s="48"/>
    </row>
    <row r="1791" spans="3:20">
      <c r="C1791" s="106">
        <v>44608</v>
      </c>
      <c r="D1791" s="48">
        <v>2.0299999999999998</v>
      </c>
      <c r="S1791" s="106"/>
      <c r="T1791" s="48"/>
    </row>
    <row r="1792" spans="3:20">
      <c r="C1792" s="106">
        <v>44609</v>
      </c>
      <c r="D1792" s="48">
        <v>1.97</v>
      </c>
      <c r="S1792" s="106"/>
      <c r="T1792" s="48"/>
    </row>
    <row r="1793" spans="3:20">
      <c r="C1793" s="106">
        <v>44610</v>
      </c>
      <c r="D1793" s="48">
        <v>1.92</v>
      </c>
      <c r="S1793" s="106"/>
      <c r="T1793" s="48"/>
    </row>
    <row r="1794" spans="3:20">
      <c r="C1794" s="106">
        <v>44614</v>
      </c>
      <c r="D1794" s="48">
        <v>1.94</v>
      </c>
      <c r="S1794" s="106"/>
      <c r="T1794" s="48"/>
    </row>
    <row r="1795" spans="3:20">
      <c r="C1795" s="106">
        <v>44615</v>
      </c>
      <c r="D1795" s="48">
        <v>1.99</v>
      </c>
      <c r="S1795" s="106"/>
      <c r="T1795" s="48"/>
    </row>
    <row r="1796" spans="3:20">
      <c r="C1796" s="106">
        <v>44616</v>
      </c>
      <c r="D1796" s="48">
        <v>1.96</v>
      </c>
      <c r="S1796" s="106"/>
      <c r="T1796" s="48"/>
    </row>
    <row r="1797" spans="3:20">
      <c r="C1797" s="106">
        <v>44617</v>
      </c>
      <c r="D1797" s="48">
        <v>1.97</v>
      </c>
      <c r="S1797" s="106"/>
      <c r="T1797" s="48"/>
    </row>
    <row r="1798" spans="3:20">
      <c r="C1798" s="106">
        <v>44620</v>
      </c>
      <c r="D1798" s="48">
        <v>1.83</v>
      </c>
      <c r="S1798" s="106"/>
      <c r="T1798" s="48"/>
    </row>
    <row r="1799" spans="3:20">
      <c r="C1799" s="106">
        <v>44621</v>
      </c>
      <c r="D1799" s="48">
        <v>1.72</v>
      </c>
      <c r="S1799" s="106"/>
      <c r="T1799" s="48"/>
    </row>
    <row r="1800" spans="3:20">
      <c r="C1800" s="106">
        <v>44622</v>
      </c>
      <c r="D1800" s="48">
        <v>1.86</v>
      </c>
      <c r="S1800" s="106"/>
      <c r="T1800" s="48"/>
    </row>
    <row r="1801" spans="3:20">
      <c r="C1801" s="106">
        <v>44623</v>
      </c>
      <c r="D1801" s="48">
        <v>1.86</v>
      </c>
      <c r="S1801" s="106"/>
      <c r="T1801" s="48"/>
    </row>
    <row r="1802" spans="3:20">
      <c r="C1802" s="106">
        <v>44624</v>
      </c>
      <c r="D1802" s="48">
        <v>1.74</v>
      </c>
      <c r="S1802" s="106"/>
      <c r="T1802" s="48"/>
    </row>
    <row r="1803" spans="3:20">
      <c r="C1803" s="106">
        <v>44627</v>
      </c>
      <c r="D1803" s="48">
        <v>1.78</v>
      </c>
      <c r="S1803" s="106"/>
      <c r="T1803" s="48"/>
    </row>
    <row r="1804" spans="3:20">
      <c r="C1804" s="106">
        <v>44628</v>
      </c>
      <c r="D1804" s="48">
        <v>1.86</v>
      </c>
      <c r="S1804" s="106"/>
      <c r="T1804" s="48"/>
    </row>
    <row r="1805" spans="3:20">
      <c r="C1805" s="106">
        <v>44629</v>
      </c>
      <c r="D1805" s="48">
        <v>1.94</v>
      </c>
      <c r="S1805" s="106"/>
      <c r="T1805" s="48"/>
    </row>
    <row r="1806" spans="3:20">
      <c r="C1806" s="106">
        <v>44630</v>
      </c>
      <c r="D1806" s="48">
        <v>1.98</v>
      </c>
      <c r="S1806" s="106"/>
      <c r="T1806" s="48"/>
    </row>
    <row r="1807" spans="3:20">
      <c r="C1807" s="106">
        <v>44631</v>
      </c>
      <c r="D1807" s="48">
        <v>2</v>
      </c>
      <c r="S1807" s="106"/>
      <c r="T1807" s="48"/>
    </row>
    <row r="1808" spans="3:20">
      <c r="C1808" s="106">
        <v>44634</v>
      </c>
      <c r="D1808" s="48">
        <v>2.14</v>
      </c>
      <c r="S1808" s="106"/>
      <c r="T1808" s="48"/>
    </row>
    <row r="1809" spans="3:20">
      <c r="C1809" s="106">
        <v>44635</v>
      </c>
      <c r="D1809" s="48">
        <v>2.15</v>
      </c>
      <c r="S1809" s="106"/>
      <c r="T1809" s="48"/>
    </row>
    <row r="1810" spans="3:20">
      <c r="C1810" s="106">
        <v>44636</v>
      </c>
      <c r="D1810" s="48">
        <v>2.19</v>
      </c>
      <c r="S1810" s="106"/>
      <c r="T1810" s="48"/>
    </row>
    <row r="1811" spans="3:20">
      <c r="C1811" s="106">
        <v>44637</v>
      </c>
      <c r="D1811" s="48">
        <v>2.2000000000000002</v>
      </c>
      <c r="S1811" s="106"/>
      <c r="T1811" s="48"/>
    </row>
    <row r="1812" spans="3:20">
      <c r="C1812" s="106">
        <v>44638</v>
      </c>
      <c r="D1812" s="48">
        <v>2.14</v>
      </c>
      <c r="S1812" s="106"/>
      <c r="T1812" s="48"/>
    </row>
    <row r="1813" spans="3:20">
      <c r="C1813" s="106">
        <v>44641</v>
      </c>
      <c r="D1813" s="48">
        <v>2.3199999999999998</v>
      </c>
      <c r="S1813" s="106"/>
      <c r="T1813" s="48"/>
    </row>
    <row r="1814" spans="3:20">
      <c r="C1814" s="106">
        <v>44642</v>
      </c>
      <c r="D1814" s="48">
        <v>2.38</v>
      </c>
      <c r="S1814" s="106"/>
      <c r="T1814" s="48"/>
    </row>
    <row r="1815" spans="3:20">
      <c r="C1815" s="106">
        <v>44643</v>
      </c>
      <c r="D1815" s="48">
        <v>2.3199999999999998</v>
      </c>
      <c r="S1815" s="106"/>
      <c r="T1815" s="48"/>
    </row>
    <row r="1816" spans="3:20">
      <c r="C1816" s="106">
        <v>44644</v>
      </c>
      <c r="D1816" s="48">
        <v>2.34</v>
      </c>
      <c r="S1816" s="106"/>
      <c r="T1816" s="48"/>
    </row>
    <row r="1817" spans="3:20">
      <c r="C1817" s="106">
        <v>44645</v>
      </c>
      <c r="D1817" s="48">
        <v>2.48</v>
      </c>
      <c r="S1817" s="106"/>
      <c r="T1817" s="48"/>
    </row>
    <row r="1818" spans="3:20">
      <c r="C1818" s="106">
        <v>44648</v>
      </c>
      <c r="D1818" s="48">
        <v>2.46</v>
      </c>
      <c r="S1818" s="106"/>
      <c r="T1818" s="48"/>
    </row>
    <row r="1819" spans="3:20">
      <c r="C1819" s="106">
        <v>44649</v>
      </c>
      <c r="D1819" s="48">
        <v>2.41</v>
      </c>
      <c r="S1819" s="106"/>
      <c r="T1819" s="48"/>
    </row>
    <row r="1820" spans="3:20">
      <c r="C1820" s="106">
        <v>44650</v>
      </c>
      <c r="D1820" s="48">
        <v>2.35</v>
      </c>
      <c r="S1820" s="106"/>
      <c r="T1820" s="48"/>
    </row>
    <row r="1821" spans="3:20">
      <c r="C1821" s="106">
        <v>44651</v>
      </c>
      <c r="D1821" s="48">
        <v>2.3199999999999998</v>
      </c>
      <c r="S1821" s="106"/>
      <c r="T1821" s="48"/>
    </row>
    <row r="1822" spans="3:20">
      <c r="C1822" s="106">
        <v>44652</v>
      </c>
      <c r="D1822" s="48">
        <v>2.39</v>
      </c>
      <c r="S1822" s="106"/>
      <c r="T1822" s="48"/>
    </row>
    <row r="1823" spans="3:20">
      <c r="C1823" s="106">
        <v>44655</v>
      </c>
      <c r="D1823" s="48">
        <v>2.42</v>
      </c>
      <c r="S1823" s="106"/>
      <c r="T1823" s="48"/>
    </row>
    <row r="1824" spans="3:20">
      <c r="C1824" s="106">
        <v>44656</v>
      </c>
      <c r="D1824" s="48">
        <v>2.54</v>
      </c>
      <c r="S1824" s="106"/>
      <c r="T1824" s="48"/>
    </row>
    <row r="1825" spans="3:20">
      <c r="C1825" s="106">
        <v>44657</v>
      </c>
      <c r="D1825" s="48">
        <v>2.61</v>
      </c>
      <c r="S1825" s="106"/>
      <c r="T1825" s="48"/>
    </row>
    <row r="1826" spans="3:20">
      <c r="C1826" s="106">
        <v>44658</v>
      </c>
      <c r="D1826" s="48">
        <v>2.66</v>
      </c>
      <c r="S1826" s="106"/>
      <c r="T1826" s="48"/>
    </row>
    <row r="1827" spans="3:20">
      <c r="C1827" s="106">
        <v>44659</v>
      </c>
      <c r="D1827" s="48">
        <v>2.72</v>
      </c>
      <c r="S1827" s="106"/>
      <c r="T1827" s="48"/>
    </row>
    <row r="1828" spans="3:20">
      <c r="C1828" s="106">
        <v>44662</v>
      </c>
      <c r="D1828" s="48">
        <v>2.79</v>
      </c>
      <c r="S1828" s="106"/>
      <c r="T1828" s="48"/>
    </row>
    <row r="1829" spans="3:20">
      <c r="C1829" s="106">
        <v>44663</v>
      </c>
      <c r="D1829" s="48">
        <v>2.72</v>
      </c>
      <c r="S1829" s="106"/>
      <c r="T1829" s="48"/>
    </row>
    <row r="1830" spans="3:20">
      <c r="C1830" s="106">
        <v>44664</v>
      </c>
      <c r="D1830" s="48">
        <v>2.7</v>
      </c>
      <c r="S1830" s="106"/>
      <c r="T1830" s="48"/>
    </row>
    <row r="1831" spans="3:20">
      <c r="C1831" s="106">
        <v>44665</v>
      </c>
      <c r="D1831" s="48">
        <v>2.83</v>
      </c>
      <c r="S1831" s="106"/>
      <c r="T1831" s="48"/>
    </row>
    <row r="1832" spans="3:20">
      <c r="C1832" s="106">
        <v>44669</v>
      </c>
      <c r="D1832" s="48">
        <v>2.85</v>
      </c>
      <c r="S1832" s="106"/>
      <c r="T1832" s="48"/>
    </row>
    <row r="1833" spans="3:20">
      <c r="C1833" s="106">
        <v>44670</v>
      </c>
      <c r="D1833" s="48">
        <v>2.93</v>
      </c>
      <c r="S1833" s="106"/>
      <c r="T1833" s="48"/>
    </row>
    <row r="1834" spans="3:20">
      <c r="C1834" s="106">
        <v>44671</v>
      </c>
      <c r="D1834" s="48">
        <v>2.85</v>
      </c>
      <c r="S1834" s="106"/>
      <c r="T1834" s="48"/>
    </row>
    <row r="1835" spans="3:20">
      <c r="C1835" s="106">
        <v>44672</v>
      </c>
      <c r="D1835" s="48">
        <v>2.9</v>
      </c>
      <c r="S1835" s="106"/>
      <c r="T1835" s="48"/>
    </row>
    <row r="1836" spans="3:20">
      <c r="C1836" s="106">
        <v>44673</v>
      </c>
      <c r="D1836" s="48">
        <v>2.9</v>
      </c>
      <c r="S1836" s="106"/>
      <c r="T1836" s="48"/>
    </row>
    <row r="1837" spans="3:20">
      <c r="C1837" s="106">
        <v>44676</v>
      </c>
      <c r="D1837" s="48">
        <v>2.81</v>
      </c>
      <c r="S1837" s="106"/>
      <c r="T1837" s="48"/>
    </row>
    <row r="1838" spans="3:20">
      <c r="C1838" s="106">
        <v>44677</v>
      </c>
      <c r="D1838" s="48">
        <v>2.77</v>
      </c>
      <c r="S1838" s="106"/>
      <c r="T1838" s="48"/>
    </row>
    <row r="1839" spans="3:20">
      <c r="C1839" s="106">
        <v>44678</v>
      </c>
      <c r="D1839" s="48">
        <v>2.82</v>
      </c>
      <c r="S1839" s="106"/>
      <c r="T1839" s="48"/>
    </row>
    <row r="1840" spans="3:20">
      <c r="C1840" s="106">
        <v>44679</v>
      </c>
      <c r="D1840" s="48">
        <v>2.85</v>
      </c>
      <c r="S1840" s="106"/>
      <c r="T1840" s="48"/>
    </row>
    <row r="1841" spans="3:20">
      <c r="C1841" s="106">
        <v>44680</v>
      </c>
      <c r="D1841" s="48">
        <v>2.89</v>
      </c>
      <c r="S1841" s="106"/>
      <c r="T1841" s="48"/>
    </row>
    <row r="1842" spans="3:20">
      <c r="C1842" s="106">
        <v>44683</v>
      </c>
      <c r="D1842" s="48">
        <v>2.99</v>
      </c>
      <c r="S1842" s="106"/>
      <c r="T1842" s="48"/>
    </row>
    <row r="1843" spans="3:20">
      <c r="C1843" s="106">
        <v>44684</v>
      </c>
      <c r="D1843" s="48">
        <v>2.97</v>
      </c>
      <c r="S1843" s="106"/>
      <c r="T1843" s="48"/>
    </row>
    <row r="1844" spans="3:20">
      <c r="C1844" s="106">
        <v>44685</v>
      </c>
      <c r="D1844" s="48">
        <v>2.93</v>
      </c>
      <c r="S1844" s="106"/>
      <c r="T1844" s="48"/>
    </row>
    <row r="1845" spans="3:20">
      <c r="C1845" s="106">
        <v>44686</v>
      </c>
      <c r="D1845" s="48">
        <v>3.05</v>
      </c>
      <c r="S1845" s="106"/>
      <c r="T1845" s="48"/>
    </row>
    <row r="1846" spans="3:20">
      <c r="C1846" s="106">
        <v>44687</v>
      </c>
      <c r="D1846" s="48">
        <v>3.12</v>
      </c>
      <c r="S1846" s="106"/>
      <c r="T1846" s="48"/>
    </row>
    <row r="1847" spans="3:20">
      <c r="C1847" s="106">
        <v>44690</v>
      </c>
      <c r="D1847" s="48">
        <v>3.05</v>
      </c>
      <c r="S1847" s="106"/>
      <c r="T1847" s="48"/>
    </row>
    <row r="1848" spans="3:20">
      <c r="C1848" s="106">
        <v>44691</v>
      </c>
      <c r="D1848" s="48">
        <v>2.99</v>
      </c>
      <c r="S1848" s="106"/>
      <c r="T1848" s="48"/>
    </row>
    <row r="1849" spans="3:20">
      <c r="C1849" s="106">
        <v>44692</v>
      </c>
      <c r="D1849" s="48">
        <v>2.91</v>
      </c>
      <c r="S1849" s="106"/>
      <c r="T1849" s="48"/>
    </row>
    <row r="1850" spans="3:20">
      <c r="C1850" s="106">
        <v>44693</v>
      </c>
      <c r="D1850" s="48">
        <v>2.84</v>
      </c>
      <c r="S1850" s="106"/>
      <c r="T1850" s="48"/>
    </row>
    <row r="1851" spans="3:20">
      <c r="C1851" s="106">
        <v>44694</v>
      </c>
      <c r="D1851" s="48">
        <v>2.93</v>
      </c>
      <c r="S1851" s="106"/>
      <c r="T1851" s="48"/>
    </row>
    <row r="1852" spans="3:20">
      <c r="C1852" s="106">
        <v>44697</v>
      </c>
      <c r="D1852" s="48">
        <v>2.88</v>
      </c>
      <c r="S1852" s="106"/>
      <c r="T1852" s="48"/>
    </row>
    <row r="1853" spans="3:20">
      <c r="C1853" s="106">
        <v>44698</v>
      </c>
      <c r="D1853" s="48">
        <v>2.98</v>
      </c>
      <c r="S1853" s="106"/>
      <c r="T1853" s="48"/>
    </row>
    <row r="1854" spans="3:20">
      <c r="C1854" s="106">
        <v>44699</v>
      </c>
      <c r="D1854" s="48">
        <v>2.89</v>
      </c>
      <c r="S1854" s="106"/>
      <c r="T1854" s="48"/>
    </row>
    <row r="1855" spans="3:20">
      <c r="C1855" s="106">
        <v>44700</v>
      </c>
      <c r="D1855" s="48">
        <v>2.84</v>
      </c>
      <c r="S1855" s="106"/>
      <c r="T1855" s="48"/>
    </row>
    <row r="1856" spans="3:20">
      <c r="C1856" s="106">
        <v>44701</v>
      </c>
      <c r="D1856" s="48">
        <v>2.78</v>
      </c>
      <c r="S1856" s="106"/>
      <c r="T1856" s="48"/>
    </row>
    <row r="1857" spans="3:20">
      <c r="C1857" s="106">
        <v>44704</v>
      </c>
      <c r="D1857" s="48">
        <v>2.86</v>
      </c>
      <c r="S1857" s="106"/>
      <c r="T1857" s="48"/>
    </row>
    <row r="1858" spans="3:20">
      <c r="C1858" s="106">
        <v>44705</v>
      </c>
      <c r="D1858" s="48">
        <v>2.76</v>
      </c>
      <c r="S1858" s="106"/>
      <c r="T1858" s="48"/>
    </row>
    <row r="1859" spans="3:20">
      <c r="C1859" s="106">
        <v>44706</v>
      </c>
      <c r="D1859" s="48">
        <v>2.75</v>
      </c>
      <c r="S1859" s="106"/>
      <c r="T1859" s="48"/>
    </row>
    <row r="1860" spans="3:20">
      <c r="C1860" s="106">
        <v>44707</v>
      </c>
      <c r="D1860" s="48">
        <v>2.75</v>
      </c>
      <c r="S1860" s="106"/>
      <c r="T1860" s="48"/>
    </row>
    <row r="1861" spans="3:20">
      <c r="C1861" s="106">
        <v>44708</v>
      </c>
      <c r="D1861" s="48">
        <v>2.74</v>
      </c>
      <c r="S1861" s="106"/>
      <c r="T1861" s="48"/>
    </row>
    <row r="1862" spans="3:20">
      <c r="C1862" s="106">
        <v>44712</v>
      </c>
      <c r="D1862" s="48">
        <v>2.85</v>
      </c>
      <c r="S1862" s="106"/>
      <c r="T1862" s="48"/>
    </row>
    <row r="1863" spans="3:20">
      <c r="C1863" s="106">
        <v>44713</v>
      </c>
      <c r="D1863" s="48">
        <v>2.94</v>
      </c>
      <c r="S1863" s="106"/>
      <c r="T1863" s="48"/>
    </row>
    <row r="1864" spans="3:20">
      <c r="C1864" s="106">
        <v>44714</v>
      </c>
      <c r="D1864" s="48">
        <v>2.92</v>
      </c>
      <c r="S1864" s="106"/>
      <c r="T1864" s="48"/>
    </row>
    <row r="1865" spans="3:20">
      <c r="C1865" s="106">
        <v>44715</v>
      </c>
      <c r="D1865" s="48">
        <v>2.96</v>
      </c>
      <c r="S1865" s="106"/>
      <c r="T1865" s="48"/>
    </row>
    <row r="1866" spans="3:20">
      <c r="C1866" s="106">
        <v>44718</v>
      </c>
      <c r="D1866" s="48">
        <v>3.04</v>
      </c>
      <c r="S1866" s="106"/>
      <c r="T1866" s="48"/>
    </row>
    <row r="1867" spans="3:20">
      <c r="C1867" s="106">
        <v>44719</v>
      </c>
      <c r="D1867" s="48">
        <v>2.98</v>
      </c>
      <c r="S1867" s="106"/>
      <c r="T1867" s="48"/>
    </row>
    <row r="1868" spans="3:20">
      <c r="C1868" s="106">
        <v>44720</v>
      </c>
      <c r="D1868" s="48">
        <v>3.03</v>
      </c>
      <c r="S1868" s="106"/>
      <c r="T1868" s="48"/>
    </row>
    <row r="1869" spans="3:20">
      <c r="C1869" s="106">
        <v>44721</v>
      </c>
      <c r="D1869" s="48">
        <v>3.04</v>
      </c>
      <c r="S1869" s="106"/>
      <c r="T1869" s="48"/>
    </row>
    <row r="1870" spans="3:20">
      <c r="C1870" s="106">
        <v>44722</v>
      </c>
      <c r="D1870" s="48">
        <v>3.15</v>
      </c>
      <c r="S1870" s="106"/>
      <c r="T1870" s="48"/>
    </row>
    <row r="1871" spans="3:20">
      <c r="C1871" s="106">
        <v>44725</v>
      </c>
      <c r="D1871" s="48">
        <v>3.43</v>
      </c>
      <c r="S1871" s="106"/>
      <c r="T1871" s="48"/>
    </row>
    <row r="1872" spans="3:20">
      <c r="C1872" s="106">
        <v>44726</v>
      </c>
      <c r="D1872" s="48">
        <v>3.49</v>
      </c>
      <c r="S1872" s="106"/>
      <c r="T1872" s="48"/>
    </row>
    <row r="1873" spans="3:20">
      <c r="C1873" s="106">
        <v>44727</v>
      </c>
      <c r="D1873" s="48">
        <v>3.33</v>
      </c>
      <c r="S1873" s="106"/>
      <c r="T1873" s="48"/>
    </row>
    <row r="1874" spans="3:20">
      <c r="C1874" s="106">
        <v>44728</v>
      </c>
      <c r="D1874" s="48">
        <v>3.28</v>
      </c>
      <c r="S1874" s="106"/>
      <c r="T1874" s="48"/>
    </row>
    <row r="1875" spans="3:20">
      <c r="C1875" s="106">
        <v>44729</v>
      </c>
      <c r="D1875" s="48">
        <v>3.25</v>
      </c>
      <c r="S1875" s="106"/>
      <c r="T1875" s="48"/>
    </row>
    <row r="1876" spans="3:20">
      <c r="C1876" s="106">
        <v>44733</v>
      </c>
      <c r="D1876" s="48">
        <v>3.31</v>
      </c>
      <c r="S1876" s="106"/>
      <c r="T1876" s="48"/>
    </row>
    <row r="1877" spans="3:20">
      <c r="C1877" s="106">
        <v>44734</v>
      </c>
      <c r="D1877" s="48">
        <v>3.16</v>
      </c>
      <c r="S1877" s="106"/>
      <c r="T1877" s="48"/>
    </row>
    <row r="1878" spans="3:20">
      <c r="C1878" s="106">
        <v>44735</v>
      </c>
      <c r="D1878" s="48">
        <v>3.09</v>
      </c>
      <c r="S1878" s="106"/>
      <c r="T1878" s="48"/>
    </row>
    <row r="1879" spans="3:20">
      <c r="C1879" s="106">
        <v>44736</v>
      </c>
      <c r="D1879" s="48">
        <v>3.13</v>
      </c>
      <c r="S1879" s="106"/>
      <c r="T1879" s="48"/>
    </row>
    <row r="1880" spans="3:20">
      <c r="C1880" s="106">
        <v>44739</v>
      </c>
      <c r="D1880" s="48">
        <v>3.2</v>
      </c>
      <c r="S1880" s="106"/>
      <c r="T1880" s="48"/>
    </row>
    <row r="1881" spans="3:20">
      <c r="C1881" s="106">
        <v>44740</v>
      </c>
      <c r="D1881" s="48">
        <v>3.2</v>
      </c>
      <c r="S1881" s="106"/>
      <c r="T1881" s="48"/>
    </row>
    <row r="1882" spans="3:20">
      <c r="C1882" s="106">
        <v>44741</v>
      </c>
      <c r="D1882" s="48">
        <v>3.1</v>
      </c>
      <c r="S1882" s="106"/>
      <c r="T1882" s="48"/>
    </row>
    <row r="1883" spans="3:20">
      <c r="C1883" s="106">
        <v>44742</v>
      </c>
      <c r="D1883" s="48">
        <v>2.98</v>
      </c>
      <c r="S1883" s="106"/>
      <c r="T1883" s="48"/>
    </row>
    <row r="1884" spans="3:20">
      <c r="C1884" s="106">
        <v>44743</v>
      </c>
      <c r="D1884" s="48">
        <v>2.88</v>
      </c>
      <c r="S1884" s="106"/>
      <c r="T1884" s="48"/>
    </row>
    <row r="1885" spans="3:20">
      <c r="C1885" s="106">
        <v>44747</v>
      </c>
      <c r="D1885" s="48">
        <v>2.82</v>
      </c>
      <c r="S1885" s="106"/>
      <c r="T1885" s="48"/>
    </row>
    <row r="1886" spans="3:20">
      <c r="C1886" s="106">
        <v>44748</v>
      </c>
      <c r="D1886" s="48">
        <v>2.93</v>
      </c>
      <c r="S1886" s="106"/>
      <c r="T1886" s="48"/>
    </row>
    <row r="1887" spans="3:20">
      <c r="C1887" s="106">
        <v>44749</v>
      </c>
      <c r="D1887" s="48">
        <v>3.01</v>
      </c>
      <c r="S1887" s="106"/>
      <c r="T1887" s="48"/>
    </row>
    <row r="1888" spans="3:20">
      <c r="C1888" s="106">
        <v>44750</v>
      </c>
      <c r="D1888" s="48">
        <v>3.09</v>
      </c>
      <c r="S1888" s="106"/>
      <c r="T1888" s="48"/>
    </row>
    <row r="1889" spans="3:20">
      <c r="C1889" s="106">
        <v>44753</v>
      </c>
      <c r="D1889" s="48">
        <v>2.99</v>
      </c>
      <c r="S1889" s="106"/>
      <c r="T1889" s="48"/>
    </row>
    <row r="1890" spans="3:20">
      <c r="C1890" s="106">
        <v>44754</v>
      </c>
      <c r="D1890" s="48">
        <v>2.96</v>
      </c>
      <c r="S1890" s="106"/>
      <c r="T1890" s="48"/>
    </row>
    <row r="1891" spans="3:20">
      <c r="C1891" s="106">
        <v>44755</v>
      </c>
      <c r="D1891" s="48">
        <v>2.91</v>
      </c>
      <c r="S1891" s="106"/>
      <c r="T1891" s="48"/>
    </row>
    <row r="1892" spans="3:20">
      <c r="C1892" s="106">
        <v>44756</v>
      </c>
      <c r="D1892" s="48">
        <v>2.96</v>
      </c>
      <c r="S1892" s="106"/>
      <c r="T1892" s="48"/>
    </row>
    <row r="1893" spans="3:20">
      <c r="C1893" s="106">
        <v>44757</v>
      </c>
      <c r="D1893" s="48">
        <v>2.93</v>
      </c>
      <c r="S1893" s="106"/>
      <c r="T1893" s="48"/>
    </row>
    <row r="1894" spans="3:20">
      <c r="C1894" s="106">
        <v>44760</v>
      </c>
      <c r="D1894" s="48">
        <v>2.96</v>
      </c>
      <c r="S1894" s="106"/>
      <c r="T1894" s="48"/>
    </row>
    <row r="1895" spans="3:20">
      <c r="C1895" s="106">
        <v>44761</v>
      </c>
      <c r="D1895" s="48">
        <v>3.01</v>
      </c>
      <c r="S1895" s="106"/>
      <c r="T1895" s="48"/>
    </row>
    <row r="1896" spans="3:20">
      <c r="C1896" s="106">
        <v>44762</v>
      </c>
      <c r="D1896" s="48">
        <v>3.04</v>
      </c>
      <c r="S1896" s="106"/>
      <c r="T1896" s="48"/>
    </row>
    <row r="1897" spans="3:20">
      <c r="C1897" s="106">
        <v>44763</v>
      </c>
      <c r="D1897" s="48">
        <v>2.91</v>
      </c>
      <c r="S1897" s="106"/>
      <c r="T1897" s="48"/>
    </row>
    <row r="1898" spans="3:20">
      <c r="C1898" s="106">
        <v>44764</v>
      </c>
      <c r="D1898" s="48">
        <v>2.77</v>
      </c>
      <c r="S1898" s="106"/>
      <c r="T1898" s="48"/>
    </row>
    <row r="1899" spans="3:20">
      <c r="C1899" s="106">
        <v>44767</v>
      </c>
      <c r="D1899" s="48">
        <v>2.81</v>
      </c>
      <c r="S1899" s="106"/>
      <c r="T1899" s="48"/>
    </row>
    <row r="1900" spans="3:20">
      <c r="C1900" s="106">
        <v>44768</v>
      </c>
      <c r="D1900" s="48">
        <v>2.81</v>
      </c>
      <c r="S1900" s="106"/>
      <c r="T1900" s="48"/>
    </row>
    <row r="1901" spans="3:20">
      <c r="C1901" s="106">
        <v>44769</v>
      </c>
      <c r="D1901" s="48">
        <v>2.78</v>
      </c>
      <c r="S1901" s="106"/>
      <c r="T1901" s="48"/>
    </row>
    <row r="1902" spans="3:20">
      <c r="C1902" s="106">
        <v>44770</v>
      </c>
      <c r="D1902" s="48">
        <v>2.68</v>
      </c>
      <c r="S1902" s="106"/>
      <c r="T1902" s="48"/>
    </row>
    <row r="1903" spans="3:20">
      <c r="C1903" s="106">
        <v>44771</v>
      </c>
      <c r="D1903" s="48">
        <v>2.67</v>
      </c>
      <c r="S1903" s="106"/>
      <c r="T1903" s="48"/>
    </row>
    <row r="1904" spans="3:20">
      <c r="C1904" s="106">
        <v>44774</v>
      </c>
      <c r="D1904" s="48">
        <v>2.6</v>
      </c>
      <c r="S1904" s="106"/>
      <c r="T1904" s="48"/>
    </row>
    <row r="1905" spans="3:20">
      <c r="C1905" s="106">
        <v>44775</v>
      </c>
      <c r="D1905" s="48">
        <v>2.75</v>
      </c>
      <c r="S1905" s="106"/>
      <c r="T1905" s="48"/>
    </row>
    <row r="1906" spans="3:20">
      <c r="C1906" s="106">
        <v>44776</v>
      </c>
      <c r="D1906" s="48">
        <v>2.73</v>
      </c>
      <c r="S1906" s="106"/>
      <c r="T1906" s="48"/>
    </row>
    <row r="1907" spans="3:20">
      <c r="C1907" s="106">
        <v>44777</v>
      </c>
      <c r="D1907" s="48">
        <v>2.68</v>
      </c>
      <c r="S1907" s="106"/>
      <c r="T1907" s="48"/>
    </row>
    <row r="1908" spans="3:20">
      <c r="C1908" s="106">
        <v>44778</v>
      </c>
      <c r="D1908" s="48">
        <v>2.83</v>
      </c>
      <c r="S1908" s="106"/>
      <c r="T1908" s="48"/>
    </row>
    <row r="1909" spans="3:20">
      <c r="C1909" s="106">
        <v>44781</v>
      </c>
      <c r="D1909" s="48">
        <v>2.77</v>
      </c>
      <c r="S1909" s="106"/>
      <c r="T1909" s="48"/>
    </row>
    <row r="1910" spans="3:20">
      <c r="C1910" s="106">
        <v>44782</v>
      </c>
      <c r="D1910" s="48">
        <v>2.8</v>
      </c>
      <c r="S1910" s="106"/>
      <c r="T1910" s="48"/>
    </row>
    <row r="1911" spans="3:20">
      <c r="C1911" s="106">
        <v>44783</v>
      </c>
      <c r="D1911" s="48">
        <v>2.78</v>
      </c>
      <c r="S1911" s="106"/>
      <c r="T1911" s="48"/>
    </row>
    <row r="1912" spans="3:20">
      <c r="C1912" s="106">
        <v>44784</v>
      </c>
      <c r="D1912" s="48">
        <v>2.87</v>
      </c>
      <c r="S1912" s="106"/>
      <c r="T1912" s="48"/>
    </row>
    <row r="1913" spans="3:20">
      <c r="C1913" s="106">
        <v>44785</v>
      </c>
      <c r="D1913" s="48">
        <v>2.84</v>
      </c>
      <c r="S1913" s="106"/>
      <c r="T1913" s="48"/>
    </row>
    <row r="1914" spans="3:20">
      <c r="C1914" s="106">
        <v>44788</v>
      </c>
      <c r="D1914" s="48">
        <v>2.79</v>
      </c>
      <c r="S1914" s="106"/>
      <c r="T1914" s="48"/>
    </row>
    <row r="1915" spans="3:20">
      <c r="C1915" s="106">
        <v>44789</v>
      </c>
      <c r="D1915" s="48">
        <v>2.82</v>
      </c>
      <c r="S1915" s="106"/>
      <c r="T1915" s="48"/>
    </row>
    <row r="1916" spans="3:20">
      <c r="C1916" s="106">
        <v>44790</v>
      </c>
      <c r="D1916" s="48">
        <v>2.89</v>
      </c>
      <c r="S1916" s="106"/>
      <c r="T1916" s="48"/>
    </row>
    <row r="1917" spans="3:20">
      <c r="C1917" s="106">
        <v>44791</v>
      </c>
      <c r="D1917" s="48">
        <v>2.88</v>
      </c>
      <c r="S1917" s="106"/>
      <c r="T1917" s="48"/>
    </row>
    <row r="1918" spans="3:20">
      <c r="C1918" s="106">
        <v>44792</v>
      </c>
      <c r="D1918" s="48">
        <v>2.98</v>
      </c>
      <c r="S1918" s="106"/>
      <c r="T1918" s="48"/>
    </row>
    <row r="1919" spans="3:20">
      <c r="C1919" s="106">
        <v>44795</v>
      </c>
      <c r="D1919" s="48">
        <v>3.03</v>
      </c>
      <c r="S1919" s="106"/>
      <c r="T1919" s="48"/>
    </row>
    <row r="1920" spans="3:20">
      <c r="C1920" s="106">
        <v>44796</v>
      </c>
      <c r="D1920" s="48">
        <v>3.05</v>
      </c>
      <c r="S1920" s="106"/>
      <c r="T1920" s="48"/>
    </row>
    <row r="1921" spans="3:20">
      <c r="C1921" s="106">
        <v>44797</v>
      </c>
      <c r="D1921" s="48">
        <v>3.11</v>
      </c>
      <c r="S1921" s="106"/>
      <c r="T1921" s="48"/>
    </row>
    <row r="1922" spans="3:20">
      <c r="C1922" s="106">
        <v>44798</v>
      </c>
      <c r="D1922" s="48">
        <v>3.03</v>
      </c>
      <c r="S1922" s="106"/>
      <c r="T1922" s="48"/>
    </row>
    <row r="1923" spans="3:20">
      <c r="C1923" s="106">
        <v>44799</v>
      </c>
      <c r="D1923" s="48">
        <v>3.04</v>
      </c>
      <c r="S1923" s="106"/>
      <c r="T1923" s="48"/>
    </row>
    <row r="1924" spans="3:20">
      <c r="C1924" s="106">
        <v>44802</v>
      </c>
      <c r="D1924" s="48">
        <v>3.12</v>
      </c>
      <c r="S1924" s="106"/>
      <c r="T1924" s="48"/>
    </row>
    <row r="1925" spans="3:20">
      <c r="C1925" s="106">
        <v>44803</v>
      </c>
      <c r="D1925" s="48">
        <v>3.11</v>
      </c>
      <c r="S1925" s="106"/>
      <c r="T1925" s="48"/>
    </row>
    <row r="1926" spans="3:20">
      <c r="C1926" s="106">
        <v>44804</v>
      </c>
      <c r="D1926" s="48">
        <v>3.15</v>
      </c>
      <c r="S1926" s="106"/>
      <c r="T1926" s="48"/>
    </row>
    <row r="1927" spans="3:20">
      <c r="C1927" s="106">
        <v>44805</v>
      </c>
      <c r="D1927" s="48">
        <v>3.26</v>
      </c>
      <c r="S1927" s="106"/>
      <c r="T1927" s="48"/>
    </row>
    <row r="1928" spans="3:20">
      <c r="C1928" s="106">
        <v>44806</v>
      </c>
      <c r="D1928" s="48">
        <v>3.2</v>
      </c>
      <c r="S1928" s="106"/>
      <c r="T1928" s="48"/>
    </row>
    <row r="1929" spans="3:20">
      <c r="C1929" s="106">
        <v>44810</v>
      </c>
      <c r="D1929" s="48">
        <v>3.33</v>
      </c>
      <c r="S1929" s="106"/>
      <c r="T1929" s="48"/>
    </row>
    <row r="1930" spans="3:20">
      <c r="C1930" s="106">
        <v>44811</v>
      </c>
      <c r="D1930" s="48">
        <v>3.27</v>
      </c>
      <c r="S1930" s="106"/>
      <c r="T1930" s="48"/>
    </row>
    <row r="1931" spans="3:20">
      <c r="C1931" s="106">
        <v>44812</v>
      </c>
      <c r="D1931" s="48">
        <v>3.29</v>
      </c>
      <c r="S1931" s="106"/>
      <c r="T1931" s="48"/>
    </row>
    <row r="1932" spans="3:20">
      <c r="C1932" s="106">
        <v>44813</v>
      </c>
      <c r="D1932" s="48">
        <v>3.33</v>
      </c>
      <c r="S1932" s="106"/>
      <c r="T1932" s="48"/>
    </row>
    <row r="1933" spans="3:20">
      <c r="C1933" s="106">
        <v>44816</v>
      </c>
      <c r="D1933" s="48">
        <v>3.37</v>
      </c>
      <c r="S1933" s="106"/>
      <c r="T1933" s="48"/>
    </row>
    <row r="1934" spans="3:20">
      <c r="C1934" s="106">
        <v>44817</v>
      </c>
      <c r="D1934" s="48">
        <v>3.42</v>
      </c>
      <c r="S1934" s="106"/>
      <c r="T1934" s="48"/>
    </row>
    <row r="1935" spans="3:20">
      <c r="C1935" s="106">
        <v>44818</v>
      </c>
      <c r="D1935" s="48">
        <v>3.41</v>
      </c>
      <c r="S1935" s="106"/>
      <c r="T1935" s="48"/>
    </row>
    <row r="1936" spans="3:20">
      <c r="C1936" s="106">
        <v>44819</v>
      </c>
      <c r="D1936" s="48">
        <v>3.45</v>
      </c>
      <c r="S1936" s="106"/>
      <c r="T1936" s="48"/>
    </row>
    <row r="1937" spans="3:20">
      <c r="C1937" s="106">
        <v>44820</v>
      </c>
      <c r="D1937" s="48">
        <v>3.45</v>
      </c>
      <c r="S1937" s="106"/>
      <c r="T1937" s="48"/>
    </row>
    <row r="1938" spans="3:20">
      <c r="C1938" s="106">
        <v>44823</v>
      </c>
      <c r="D1938" s="48">
        <v>3.49</v>
      </c>
      <c r="S1938" s="106"/>
      <c r="T1938" s="48"/>
    </row>
    <row r="1939" spans="3:20">
      <c r="C1939" s="106">
        <v>44824</v>
      </c>
      <c r="D1939" s="48">
        <v>3.57</v>
      </c>
      <c r="S1939" s="106"/>
      <c r="T1939" s="48"/>
    </row>
    <row r="1940" spans="3:20">
      <c r="C1940" s="106">
        <v>44825</v>
      </c>
      <c r="D1940" s="48">
        <v>3.51</v>
      </c>
      <c r="S1940" s="106"/>
      <c r="T1940" s="48"/>
    </row>
    <row r="1941" spans="3:20">
      <c r="C1941" s="106">
        <v>44826</v>
      </c>
      <c r="D1941" s="48">
        <v>3.7</v>
      </c>
      <c r="S1941" s="106"/>
      <c r="T1941" s="48"/>
    </row>
    <row r="1942" spans="3:20">
      <c r="C1942" s="106">
        <v>44827</v>
      </c>
      <c r="D1942" s="48">
        <v>3.69</v>
      </c>
      <c r="S1942" s="106"/>
      <c r="T1942" s="48"/>
    </row>
    <row r="1943" spans="3:20">
      <c r="C1943" s="106">
        <v>44830</v>
      </c>
      <c r="D1943" s="48">
        <v>3.88</v>
      </c>
      <c r="S1943" s="106"/>
      <c r="T1943" s="48"/>
    </row>
    <row r="1944" spans="3:20">
      <c r="C1944" s="106">
        <v>44831</v>
      </c>
      <c r="D1944" s="48">
        <v>3.97</v>
      </c>
      <c r="S1944" s="106"/>
      <c r="T1944" s="48"/>
    </row>
    <row r="1945" spans="3:20">
      <c r="C1945" s="106">
        <v>44832</v>
      </c>
      <c r="D1945" s="48">
        <v>3.72</v>
      </c>
      <c r="S1945" s="106"/>
      <c r="T1945" s="48"/>
    </row>
    <row r="1946" spans="3:20">
      <c r="C1946" s="106">
        <v>44833</v>
      </c>
      <c r="D1946" s="48">
        <v>3.76</v>
      </c>
      <c r="S1946" s="106"/>
      <c r="T1946" s="48"/>
    </row>
    <row r="1947" spans="3:20">
      <c r="C1947" s="106">
        <v>44834</v>
      </c>
      <c r="D1947" s="48">
        <v>3.83</v>
      </c>
      <c r="S1947" s="106"/>
      <c r="T1947" s="48"/>
    </row>
    <row r="1948" spans="3:20">
      <c r="C1948" s="106">
        <v>44837</v>
      </c>
      <c r="D1948" s="48">
        <v>3.67</v>
      </c>
      <c r="S1948" s="106"/>
      <c r="T1948" s="48"/>
    </row>
    <row r="1949" spans="3:20">
      <c r="C1949" s="106">
        <v>44838</v>
      </c>
      <c r="D1949" s="48">
        <v>3.62</v>
      </c>
      <c r="S1949" s="106"/>
      <c r="T1949" s="48"/>
    </row>
    <row r="1950" spans="3:20">
      <c r="C1950" s="106">
        <v>44839</v>
      </c>
      <c r="D1950" s="48">
        <v>3.76</v>
      </c>
      <c r="S1950" s="106"/>
      <c r="T1950" s="48"/>
    </row>
    <row r="1951" spans="3:20">
      <c r="C1951" s="106">
        <v>44840</v>
      </c>
      <c r="D1951" s="48">
        <v>3.83</v>
      </c>
      <c r="S1951" s="106"/>
      <c r="T1951" s="48"/>
    </row>
    <row r="1952" spans="3:20">
      <c r="C1952" s="106">
        <v>44841</v>
      </c>
      <c r="D1952" s="48">
        <v>3.89</v>
      </c>
      <c r="S1952" s="106"/>
      <c r="T1952" s="48"/>
    </row>
    <row r="1953" spans="3:20">
      <c r="C1953" s="106">
        <v>44845</v>
      </c>
      <c r="D1953" s="48">
        <v>3.93</v>
      </c>
      <c r="S1953" s="106"/>
      <c r="T1953" s="48"/>
    </row>
    <row r="1954" spans="3:20">
      <c r="C1954" s="106">
        <v>44846</v>
      </c>
      <c r="D1954" s="48">
        <v>3.91</v>
      </c>
      <c r="S1954" s="106"/>
      <c r="T1954" s="48"/>
    </row>
    <row r="1955" spans="3:20">
      <c r="C1955" s="106">
        <v>44847</v>
      </c>
      <c r="D1955" s="48">
        <v>3.97</v>
      </c>
      <c r="S1955" s="106"/>
      <c r="T1955" s="48"/>
    </row>
    <row r="1956" spans="3:20">
      <c r="C1956" s="106">
        <v>44848</v>
      </c>
      <c r="D1956" s="48">
        <v>4</v>
      </c>
      <c r="S1956" s="106"/>
      <c r="T1956" s="48"/>
    </row>
    <row r="1957" spans="3:20">
      <c r="C1957" s="106">
        <v>44851</v>
      </c>
      <c r="D1957" s="48">
        <v>4.0199999999999996</v>
      </c>
      <c r="S1957" s="106"/>
      <c r="T1957" s="48"/>
    </row>
    <row r="1958" spans="3:20">
      <c r="C1958" s="106">
        <v>44852</v>
      </c>
      <c r="D1958" s="48">
        <v>4.01</v>
      </c>
      <c r="S1958" s="106"/>
      <c r="T1958" s="48"/>
    </row>
    <row r="1959" spans="3:20">
      <c r="C1959" s="106">
        <v>44853</v>
      </c>
      <c r="D1959" s="48">
        <v>4.1399999999999997</v>
      </c>
      <c r="S1959" s="106"/>
      <c r="T1959" s="48"/>
    </row>
    <row r="1960" spans="3:20">
      <c r="C1960" s="106">
        <v>44854</v>
      </c>
      <c r="D1960" s="48">
        <v>4.24</v>
      </c>
      <c r="S1960" s="106"/>
      <c r="T1960" s="48"/>
    </row>
    <row r="1961" spans="3:20">
      <c r="C1961" s="106">
        <v>44855</v>
      </c>
      <c r="D1961" s="48">
        <v>4.21</v>
      </c>
      <c r="S1961" s="106"/>
      <c r="T1961" s="48"/>
    </row>
    <row r="1962" spans="3:20">
      <c r="C1962" s="106">
        <v>44858</v>
      </c>
      <c r="D1962" s="48">
        <v>4.25</v>
      </c>
      <c r="S1962" s="106"/>
      <c r="T1962" s="48"/>
    </row>
    <row r="1963" spans="3:20">
      <c r="C1963" s="106">
        <v>44859</v>
      </c>
      <c r="D1963" s="48">
        <v>4.0999999999999996</v>
      </c>
      <c r="S1963" s="106"/>
      <c r="T1963" s="48"/>
    </row>
    <row r="1964" spans="3:20">
      <c r="C1964" s="106">
        <v>44860</v>
      </c>
      <c r="D1964" s="48">
        <v>4.04</v>
      </c>
      <c r="S1964" s="106"/>
      <c r="T1964" s="48"/>
    </row>
    <row r="1965" spans="3:20">
      <c r="C1965" s="106">
        <v>44861</v>
      </c>
      <c r="D1965" s="48">
        <v>3.96</v>
      </c>
      <c r="S1965" s="106"/>
      <c r="T1965" s="48"/>
    </row>
    <row r="1966" spans="3:20">
      <c r="C1966" s="106">
        <v>44862</v>
      </c>
      <c r="D1966" s="48">
        <v>4.0199999999999996</v>
      </c>
      <c r="S1966" s="106"/>
      <c r="T1966" s="48"/>
    </row>
    <row r="1967" spans="3:20">
      <c r="C1967" s="106">
        <v>44865</v>
      </c>
      <c r="D1967" s="48">
        <v>4.0999999999999996</v>
      </c>
      <c r="S1967" s="106"/>
      <c r="T1967" s="48"/>
    </row>
    <row r="1968" spans="3:20">
      <c r="C1968" s="106">
        <v>44866</v>
      </c>
      <c r="D1968" s="48">
        <v>4.07</v>
      </c>
      <c r="S1968" s="106"/>
      <c r="T1968" s="48"/>
    </row>
    <row r="1969" spans="3:20">
      <c r="C1969" s="106">
        <v>44867</v>
      </c>
      <c r="D1969" s="48">
        <v>4.0999999999999996</v>
      </c>
      <c r="S1969" s="106"/>
      <c r="T1969" s="48"/>
    </row>
    <row r="1970" spans="3:20">
      <c r="C1970" s="106">
        <v>44868</v>
      </c>
      <c r="D1970" s="48">
        <v>4.1399999999999997</v>
      </c>
      <c r="S1970" s="106"/>
      <c r="T1970" s="48"/>
    </row>
    <row r="1971" spans="3:20">
      <c r="C1971" s="106">
        <v>44869</v>
      </c>
      <c r="D1971" s="48">
        <v>4.17</v>
      </c>
      <c r="S1971" s="106"/>
      <c r="T1971" s="48"/>
    </row>
    <row r="1972" spans="3:20">
      <c r="C1972" s="106">
        <v>44872</v>
      </c>
      <c r="D1972" s="48">
        <v>4.22</v>
      </c>
      <c r="S1972" s="106"/>
      <c r="T1972" s="48"/>
    </row>
    <row r="1973" spans="3:20">
      <c r="C1973" s="106">
        <v>44873</v>
      </c>
      <c r="D1973" s="48">
        <v>4.1399999999999997</v>
      </c>
      <c r="S1973" s="106"/>
      <c r="T1973" s="48"/>
    </row>
    <row r="1974" spans="3:20">
      <c r="C1974" s="106">
        <v>44874</v>
      </c>
      <c r="D1974" s="48">
        <v>4.12</v>
      </c>
      <c r="S1974" s="106"/>
      <c r="T1974" s="48"/>
    </row>
    <row r="1975" spans="3:20">
      <c r="C1975" s="106">
        <v>44875</v>
      </c>
      <c r="D1975" s="48">
        <v>3.82</v>
      </c>
      <c r="S1975" s="106"/>
      <c r="T1975" s="48"/>
    </row>
    <row r="1976" spans="3:20">
      <c r="C1976" s="106">
        <v>44879</v>
      </c>
      <c r="D1976" s="48">
        <v>3.88</v>
      </c>
      <c r="S1976" s="106"/>
      <c r="T1976" s="48"/>
    </row>
    <row r="1977" spans="3:20">
      <c r="C1977" s="106">
        <v>44880</v>
      </c>
      <c r="D1977" s="48">
        <v>3.8</v>
      </c>
      <c r="S1977" s="106"/>
      <c r="T1977" s="48"/>
    </row>
    <row r="1978" spans="3:20">
      <c r="C1978" s="106">
        <v>44881</v>
      </c>
      <c r="D1978" s="48">
        <v>3.67</v>
      </c>
      <c r="S1978" s="106"/>
      <c r="T1978" s="48"/>
    </row>
    <row r="1979" spans="3:20">
      <c r="C1979" s="106">
        <v>44882</v>
      </c>
      <c r="D1979" s="48">
        <v>3.77</v>
      </c>
      <c r="S1979" s="106"/>
      <c r="T1979" s="48"/>
    </row>
    <row r="1980" spans="3:20">
      <c r="C1980" s="106">
        <v>44883</v>
      </c>
      <c r="D1980" s="48">
        <v>3.82</v>
      </c>
      <c r="S1980" s="106"/>
      <c r="T1980" s="48"/>
    </row>
    <row r="1981" spans="3:20">
      <c r="C1981" s="106">
        <v>44886</v>
      </c>
      <c r="D1981" s="48">
        <v>3.83</v>
      </c>
      <c r="S1981" s="106"/>
      <c r="T1981" s="48"/>
    </row>
    <row r="1982" spans="3:20">
      <c r="C1982" s="106">
        <v>44887</v>
      </c>
      <c r="D1982" s="48">
        <v>3.76</v>
      </c>
      <c r="S1982" s="106"/>
      <c r="T1982" s="48"/>
    </row>
    <row r="1983" spans="3:20">
      <c r="C1983" s="106">
        <v>44888</v>
      </c>
      <c r="D1983" s="48">
        <v>3.71</v>
      </c>
      <c r="S1983" s="106"/>
      <c r="T1983" s="48"/>
    </row>
    <row r="1984" spans="3:20">
      <c r="C1984" s="106">
        <v>44890</v>
      </c>
      <c r="D1984" s="48">
        <v>3.68</v>
      </c>
      <c r="S1984" s="106"/>
      <c r="T1984" s="48"/>
    </row>
    <row r="1985" spans="3:20">
      <c r="C1985" s="106">
        <v>44893</v>
      </c>
      <c r="D1985" s="48">
        <v>3.69</v>
      </c>
      <c r="S1985" s="106"/>
      <c r="T1985" s="48"/>
    </row>
    <row r="1986" spans="3:20">
      <c r="C1986" s="106">
        <v>44894</v>
      </c>
      <c r="D1986" s="48">
        <v>3.75</v>
      </c>
      <c r="S1986" s="106"/>
      <c r="T1986" s="48"/>
    </row>
    <row r="1987" spans="3:20">
      <c r="C1987" s="106">
        <v>44895</v>
      </c>
      <c r="D1987" s="48">
        <v>3.68</v>
      </c>
      <c r="S1987" s="106"/>
      <c r="T1987" s="48"/>
    </row>
    <row r="1988" spans="3:20">
      <c r="C1988" s="106">
        <v>44896</v>
      </c>
      <c r="D1988" s="48">
        <v>3.53</v>
      </c>
      <c r="S1988" s="106"/>
      <c r="T1988" s="48"/>
    </row>
    <row r="1989" spans="3:20">
      <c r="C1989" s="106">
        <v>44897</v>
      </c>
      <c r="D1989" s="48">
        <v>3.51</v>
      </c>
      <c r="S1989" s="106"/>
      <c r="T1989" s="48"/>
    </row>
    <row r="1990" spans="3:20">
      <c r="C1990" s="106">
        <v>44900</v>
      </c>
      <c r="D1990" s="48">
        <v>3.6</v>
      </c>
      <c r="S1990" s="106"/>
      <c r="T1990" s="48"/>
    </row>
    <row r="1991" spans="3:20">
      <c r="C1991" s="106">
        <v>44901</v>
      </c>
      <c r="D1991" s="48">
        <v>3.51</v>
      </c>
      <c r="S1991" s="106"/>
      <c r="T1991" s="48"/>
    </row>
    <row r="1992" spans="3:20">
      <c r="C1992" s="106">
        <v>44902</v>
      </c>
      <c r="D1992" s="48">
        <v>3.42</v>
      </c>
      <c r="S1992" s="106"/>
      <c r="T1992" s="48"/>
    </row>
    <row r="1993" spans="3:20">
      <c r="C1993" s="106">
        <v>44903</v>
      </c>
      <c r="D1993" s="48">
        <v>3.48</v>
      </c>
      <c r="S1993" s="106"/>
      <c r="T1993" s="48"/>
    </row>
    <row r="1994" spans="3:20">
      <c r="C1994" s="106">
        <v>44904</v>
      </c>
      <c r="D1994" s="48">
        <v>3.57</v>
      </c>
      <c r="S1994" s="106"/>
      <c r="T1994" s="48"/>
    </row>
    <row r="1995" spans="3:20">
      <c r="C1995" s="106">
        <v>44907</v>
      </c>
      <c r="D1995" s="48">
        <v>3.61</v>
      </c>
      <c r="S1995" s="106"/>
      <c r="T1995" s="48"/>
    </row>
    <row r="1996" spans="3:20">
      <c r="C1996" s="106">
        <v>44908</v>
      </c>
      <c r="D1996" s="48">
        <v>3.51</v>
      </c>
      <c r="S1996" s="106"/>
      <c r="T1996" s="48"/>
    </row>
    <row r="1997" spans="3:20">
      <c r="C1997" s="106">
        <v>44909</v>
      </c>
      <c r="D1997" s="48">
        <v>3.49</v>
      </c>
      <c r="S1997" s="106"/>
      <c r="T1997" s="48"/>
    </row>
    <row r="1998" spans="3:20">
      <c r="C1998" s="106">
        <v>44910</v>
      </c>
      <c r="D1998" s="48">
        <v>3.44</v>
      </c>
      <c r="S1998" s="106"/>
      <c r="T1998" s="48"/>
    </row>
    <row r="1999" spans="3:20">
      <c r="C1999" s="106">
        <v>44911</v>
      </c>
      <c r="D1999" s="48">
        <v>3.48</v>
      </c>
      <c r="S1999" s="106"/>
      <c r="T1999" s="48"/>
    </row>
    <row r="2000" spans="3:20">
      <c r="C2000" s="106">
        <v>44914</v>
      </c>
      <c r="D2000" s="48">
        <v>3.57</v>
      </c>
      <c r="S2000" s="106"/>
      <c r="T2000" s="48"/>
    </row>
    <row r="2001" spans="3:20">
      <c r="C2001" s="106">
        <v>44915</v>
      </c>
      <c r="D2001" s="48">
        <v>3.69</v>
      </c>
      <c r="S2001" s="106"/>
      <c r="T2001" s="48"/>
    </row>
    <row r="2002" spans="3:20">
      <c r="C2002" s="106">
        <v>44916</v>
      </c>
      <c r="D2002" s="48">
        <v>3.68</v>
      </c>
      <c r="S2002" s="106"/>
      <c r="T2002" s="48"/>
    </row>
    <row r="2003" spans="3:20">
      <c r="C2003" s="106">
        <v>44917</v>
      </c>
      <c r="D2003" s="48">
        <v>3.67</v>
      </c>
      <c r="S2003" s="106"/>
      <c r="T2003" s="48"/>
    </row>
    <row r="2004" spans="3:20">
      <c r="C2004" s="106">
        <v>44918</v>
      </c>
      <c r="D2004" s="48">
        <v>3.75</v>
      </c>
      <c r="S2004" s="106"/>
      <c r="T2004" s="48"/>
    </row>
    <row r="2005" spans="3:20">
      <c r="C2005" s="106">
        <v>44922</v>
      </c>
      <c r="D2005" s="48">
        <v>3.84</v>
      </c>
      <c r="S2005" s="106"/>
      <c r="T2005" s="48"/>
    </row>
    <row r="2006" spans="3:20">
      <c r="C2006" s="106">
        <v>44923</v>
      </c>
      <c r="D2006" s="48">
        <v>3.88</v>
      </c>
      <c r="S2006" s="106"/>
      <c r="T2006" s="48"/>
    </row>
    <row r="2007" spans="3:20">
      <c r="C2007" s="106">
        <v>44924</v>
      </c>
      <c r="D2007" s="48">
        <v>3.83</v>
      </c>
      <c r="S2007" s="106"/>
      <c r="T2007" s="48"/>
    </row>
    <row r="2008" spans="3:20">
      <c r="C2008" s="106">
        <v>44925</v>
      </c>
      <c r="D2008" s="48">
        <v>3.88</v>
      </c>
      <c r="S2008" s="106"/>
      <c r="T2008" s="48"/>
    </row>
    <row r="2009" spans="3:20">
      <c r="C2009" s="106">
        <v>45289</v>
      </c>
      <c r="D2009" s="48">
        <v>3.88</v>
      </c>
      <c r="S2009" s="106"/>
      <c r="T2009" s="48"/>
    </row>
    <row r="2010" spans="3:20">
      <c r="C2010" s="106">
        <v>45288</v>
      </c>
      <c r="D2010" s="48">
        <v>3.84</v>
      </c>
      <c r="S2010" s="106"/>
      <c r="T2010" s="48"/>
    </row>
    <row r="2011" spans="3:20">
      <c r="C2011" s="106">
        <v>45287</v>
      </c>
      <c r="D2011" s="48">
        <v>3.79</v>
      </c>
      <c r="S2011" s="106"/>
      <c r="T2011" s="48"/>
    </row>
    <row r="2012" spans="3:20">
      <c r="C2012" s="106">
        <v>45286</v>
      </c>
      <c r="D2012" s="48">
        <v>3.89</v>
      </c>
      <c r="S2012" s="106"/>
      <c r="T2012" s="48"/>
    </row>
    <row r="2013" spans="3:20">
      <c r="C2013" s="106">
        <v>45282</v>
      </c>
      <c r="D2013" s="48">
        <v>3.9</v>
      </c>
      <c r="S2013" s="106"/>
      <c r="T2013" s="48"/>
    </row>
    <row r="2014" spans="3:20">
      <c r="C2014" s="106">
        <v>45281</v>
      </c>
      <c r="D2014" s="48">
        <v>3.89</v>
      </c>
      <c r="S2014" s="106"/>
      <c r="T2014" s="48"/>
    </row>
    <row r="2015" spans="3:20">
      <c r="C2015" s="106">
        <v>45280</v>
      </c>
      <c r="D2015" s="48">
        <v>3.86</v>
      </c>
      <c r="S2015" s="106"/>
      <c r="T2015" s="48"/>
    </row>
    <row r="2016" spans="3:20">
      <c r="C2016" s="106">
        <v>45279</v>
      </c>
      <c r="D2016" s="48">
        <v>3.93</v>
      </c>
      <c r="S2016" s="106"/>
      <c r="T2016" s="48"/>
    </row>
    <row r="2017" spans="3:20">
      <c r="C2017" s="106">
        <v>45278</v>
      </c>
      <c r="D2017" s="48">
        <v>3.95</v>
      </c>
      <c r="S2017" s="106"/>
      <c r="T2017" s="48"/>
    </row>
    <row r="2018" spans="3:20">
      <c r="C2018" s="106">
        <v>45275</v>
      </c>
      <c r="D2018" s="48">
        <v>3.91</v>
      </c>
      <c r="S2018" s="106"/>
      <c r="T2018" s="48"/>
    </row>
    <row r="2019" spans="3:20">
      <c r="C2019" s="106">
        <v>45274</v>
      </c>
      <c r="D2019" s="48">
        <v>3.92</v>
      </c>
      <c r="S2019" s="106"/>
      <c r="T2019" s="48"/>
    </row>
    <row r="2020" spans="3:20">
      <c r="C2020" s="106">
        <v>45273</v>
      </c>
      <c r="D2020" s="48">
        <v>4.04</v>
      </c>
      <c r="S2020" s="106"/>
      <c r="T2020" s="48"/>
    </row>
    <row r="2021" spans="3:20">
      <c r="C2021" s="106">
        <v>45272</v>
      </c>
      <c r="D2021" s="48">
        <v>4.2</v>
      </c>
      <c r="S2021" s="106"/>
      <c r="T2021" s="48"/>
    </row>
    <row r="2022" spans="3:20">
      <c r="C2022" s="106">
        <v>45271</v>
      </c>
      <c r="D2022" s="48">
        <v>4.2300000000000004</v>
      </c>
      <c r="S2022" s="106"/>
      <c r="T2022" s="48"/>
    </row>
    <row r="2023" spans="3:20">
      <c r="C2023" s="106">
        <v>45268</v>
      </c>
      <c r="D2023" s="48">
        <v>4.2300000000000004</v>
      </c>
      <c r="S2023" s="106"/>
      <c r="T2023" s="48"/>
    </row>
    <row r="2024" spans="3:20">
      <c r="C2024" s="106">
        <v>45267</v>
      </c>
      <c r="D2024" s="48">
        <v>4.1399999999999997</v>
      </c>
      <c r="S2024" s="106"/>
      <c r="T2024" s="48"/>
    </row>
    <row r="2025" spans="3:20">
      <c r="C2025" s="106">
        <v>45266</v>
      </c>
      <c r="D2025" s="48">
        <v>4.12</v>
      </c>
      <c r="S2025" s="106"/>
      <c r="T2025" s="48"/>
    </row>
    <row r="2026" spans="3:20">
      <c r="C2026" s="106">
        <v>45265</v>
      </c>
      <c r="D2026" s="48">
        <v>4.18</v>
      </c>
      <c r="S2026" s="106"/>
      <c r="T2026" s="48"/>
    </row>
    <row r="2027" spans="3:20">
      <c r="C2027" s="106">
        <v>45264</v>
      </c>
      <c r="D2027" s="48">
        <v>4.28</v>
      </c>
      <c r="S2027" s="106"/>
      <c r="T2027" s="48"/>
    </row>
    <row r="2028" spans="3:20">
      <c r="C2028" s="106">
        <v>45261</v>
      </c>
      <c r="D2028" s="48">
        <v>4.22</v>
      </c>
      <c r="S2028" s="106"/>
      <c r="T2028" s="48"/>
    </row>
    <row r="2029" spans="3:20">
      <c r="C2029" s="106">
        <v>45260</v>
      </c>
      <c r="D2029" s="48">
        <v>4.37</v>
      </c>
      <c r="S2029" s="106"/>
      <c r="T2029" s="48"/>
    </row>
    <row r="2030" spans="3:20">
      <c r="C2030" s="106">
        <v>45259</v>
      </c>
      <c r="D2030" s="48">
        <v>4.2699999999999996</v>
      </c>
      <c r="S2030" s="106"/>
      <c r="T2030" s="48"/>
    </row>
    <row r="2031" spans="3:20">
      <c r="C2031" s="106">
        <v>45258</v>
      </c>
      <c r="D2031" s="48">
        <v>4.34</v>
      </c>
      <c r="S2031" s="106"/>
      <c r="T2031" s="48"/>
    </row>
    <row r="2032" spans="3:20">
      <c r="C2032" s="106">
        <v>45257</v>
      </c>
      <c r="D2032" s="48">
        <v>4.3899999999999997</v>
      </c>
      <c r="S2032" s="106"/>
      <c r="T2032" s="48"/>
    </row>
    <row r="2033" spans="3:20">
      <c r="C2033" s="106">
        <v>45254</v>
      </c>
      <c r="D2033" s="48">
        <v>4.47</v>
      </c>
      <c r="S2033" s="106"/>
      <c r="T2033" s="48"/>
    </row>
    <row r="2034" spans="3:20">
      <c r="C2034" s="106">
        <v>45252</v>
      </c>
      <c r="D2034" s="48">
        <v>4.42</v>
      </c>
      <c r="S2034" s="106"/>
      <c r="T2034" s="48"/>
    </row>
    <row r="2035" spans="3:20">
      <c r="C2035" s="106">
        <v>45251</v>
      </c>
      <c r="D2035" s="48">
        <v>4.41</v>
      </c>
      <c r="S2035" s="106"/>
      <c r="T2035" s="48"/>
    </row>
    <row r="2036" spans="3:20">
      <c r="C2036" s="106">
        <v>45250</v>
      </c>
      <c r="D2036" s="48">
        <v>4.42</v>
      </c>
      <c r="S2036" s="106"/>
      <c r="T2036" s="48"/>
    </row>
    <row r="2037" spans="3:20">
      <c r="C2037" s="106">
        <v>45247</v>
      </c>
      <c r="D2037" s="48">
        <v>4.4400000000000004</v>
      </c>
      <c r="S2037" s="106"/>
      <c r="T2037" s="48"/>
    </row>
    <row r="2038" spans="3:20">
      <c r="C2038" s="106">
        <v>45246</v>
      </c>
      <c r="D2038" s="48">
        <v>4.45</v>
      </c>
      <c r="S2038" s="106"/>
      <c r="T2038" s="48"/>
    </row>
    <row r="2039" spans="3:20">
      <c r="C2039" s="106">
        <v>45245</v>
      </c>
      <c r="D2039" s="48">
        <v>4.53</v>
      </c>
      <c r="S2039" s="106"/>
      <c r="T2039" s="48"/>
    </row>
    <row r="2040" spans="3:20">
      <c r="C2040" s="106">
        <v>45244</v>
      </c>
      <c r="D2040" s="48">
        <v>4.4400000000000004</v>
      </c>
      <c r="S2040" s="106"/>
      <c r="T2040" s="48"/>
    </row>
    <row r="2041" spans="3:20">
      <c r="C2041" s="106">
        <v>45243</v>
      </c>
      <c r="D2041" s="48">
        <v>4.63</v>
      </c>
      <c r="S2041" s="106"/>
      <c r="T2041" s="48"/>
    </row>
    <row r="2042" spans="3:20">
      <c r="C2042" s="106">
        <v>45240</v>
      </c>
      <c r="D2042" s="48">
        <v>4.6100000000000003</v>
      </c>
      <c r="S2042" s="106"/>
      <c r="T2042" s="48"/>
    </row>
    <row r="2043" spans="3:20">
      <c r="C2043" s="106">
        <v>45239</v>
      </c>
      <c r="D2043" s="48">
        <v>4.62</v>
      </c>
      <c r="S2043" s="106"/>
      <c r="T2043" s="48"/>
    </row>
    <row r="2044" spans="3:20">
      <c r="C2044" s="106">
        <v>45238</v>
      </c>
      <c r="D2044" s="48">
        <v>4.49</v>
      </c>
      <c r="S2044" s="106"/>
      <c r="T2044" s="48"/>
    </row>
    <row r="2045" spans="3:20">
      <c r="C2045" s="106">
        <v>45237</v>
      </c>
      <c r="D2045" s="48">
        <v>4.58</v>
      </c>
      <c r="S2045" s="106"/>
      <c r="T2045" s="48"/>
    </row>
    <row r="2046" spans="3:20">
      <c r="C2046" s="106">
        <v>45236</v>
      </c>
      <c r="D2046" s="48">
        <v>4.67</v>
      </c>
      <c r="S2046" s="106"/>
      <c r="T2046" s="48"/>
    </row>
    <row r="2047" spans="3:20">
      <c r="C2047" s="106">
        <v>45233</v>
      </c>
      <c r="D2047" s="48">
        <v>4.57</v>
      </c>
      <c r="S2047" s="106"/>
      <c r="T2047" s="48"/>
    </row>
    <row r="2048" spans="3:20">
      <c r="C2048" s="106">
        <v>45232</v>
      </c>
      <c r="D2048" s="48">
        <v>4.67</v>
      </c>
      <c r="S2048" s="106"/>
      <c r="T2048" s="48"/>
    </row>
    <row r="2049" spans="3:20">
      <c r="C2049" s="106">
        <v>45231</v>
      </c>
      <c r="D2049" s="48">
        <v>4.7699999999999996</v>
      </c>
      <c r="S2049" s="106"/>
      <c r="T2049" s="48"/>
    </row>
    <row r="2050" spans="3:20">
      <c r="C2050" s="106">
        <v>45230</v>
      </c>
      <c r="D2050" s="48">
        <v>4.88</v>
      </c>
      <c r="S2050" s="106"/>
      <c r="T2050" s="48"/>
    </row>
    <row r="2051" spans="3:20">
      <c r="C2051" s="106">
        <v>45229</v>
      </c>
      <c r="D2051" s="48">
        <v>4.88</v>
      </c>
      <c r="S2051" s="106"/>
      <c r="T2051" s="48"/>
    </row>
    <row r="2052" spans="3:20">
      <c r="C2052" s="106">
        <v>45226</v>
      </c>
      <c r="D2052" s="48">
        <v>4.84</v>
      </c>
      <c r="S2052" s="106"/>
      <c r="T2052" s="48"/>
    </row>
    <row r="2053" spans="3:20">
      <c r="C2053" s="106">
        <v>45225</v>
      </c>
      <c r="D2053" s="48">
        <v>4.8600000000000003</v>
      </c>
      <c r="S2053" s="106"/>
      <c r="T2053" s="48"/>
    </row>
    <row r="2054" spans="3:20">
      <c r="C2054" s="106">
        <v>45224</v>
      </c>
      <c r="D2054" s="48">
        <v>4.95</v>
      </c>
      <c r="S2054" s="106"/>
      <c r="T2054" s="48"/>
    </row>
    <row r="2055" spans="3:20">
      <c r="C2055" s="106">
        <v>45223</v>
      </c>
      <c r="D2055" s="48">
        <v>4.83</v>
      </c>
      <c r="S2055" s="106"/>
      <c r="T2055" s="48"/>
    </row>
    <row r="2056" spans="3:20">
      <c r="C2056" s="106">
        <v>45222</v>
      </c>
      <c r="D2056" s="48">
        <v>4.8600000000000003</v>
      </c>
      <c r="S2056" s="106"/>
      <c r="T2056" s="48"/>
    </row>
    <row r="2057" spans="3:20">
      <c r="C2057" s="106">
        <v>45219</v>
      </c>
      <c r="D2057" s="48">
        <v>4.93</v>
      </c>
      <c r="S2057" s="106"/>
      <c r="T2057" s="48"/>
    </row>
    <row r="2058" spans="3:20">
      <c r="C2058" s="106">
        <v>45218</v>
      </c>
      <c r="D2058" s="48">
        <v>4.9800000000000004</v>
      </c>
      <c r="S2058" s="106"/>
      <c r="T2058" s="48"/>
    </row>
    <row r="2059" spans="3:20">
      <c r="C2059" s="106">
        <v>45217</v>
      </c>
      <c r="D2059" s="48">
        <v>4.91</v>
      </c>
      <c r="S2059" s="106"/>
      <c r="T2059" s="48"/>
    </row>
    <row r="2060" spans="3:20">
      <c r="C2060" s="106">
        <v>45216</v>
      </c>
      <c r="D2060" s="48">
        <v>4.83</v>
      </c>
      <c r="S2060" s="106"/>
      <c r="T2060" s="48"/>
    </row>
    <row r="2061" spans="3:20">
      <c r="C2061" s="106">
        <v>45215</v>
      </c>
      <c r="D2061" s="48">
        <v>4.71</v>
      </c>
      <c r="S2061" s="106"/>
      <c r="T2061" s="48"/>
    </row>
    <row r="2062" spans="3:20">
      <c r="C2062" s="106">
        <v>45212</v>
      </c>
      <c r="D2062" s="48">
        <v>4.63</v>
      </c>
      <c r="S2062" s="106"/>
      <c r="T2062" s="48"/>
    </row>
    <row r="2063" spans="3:20">
      <c r="C2063" s="106">
        <v>45211</v>
      </c>
      <c r="D2063" s="48">
        <v>4.7</v>
      </c>
      <c r="S2063" s="106"/>
      <c r="T2063" s="48"/>
    </row>
    <row r="2064" spans="3:20">
      <c r="C2064" s="106">
        <v>45210</v>
      </c>
      <c r="D2064" s="48">
        <v>4.58</v>
      </c>
      <c r="S2064" s="106"/>
      <c r="T2064" s="48"/>
    </row>
    <row r="2065" spans="3:20">
      <c r="C2065" s="106">
        <v>45209</v>
      </c>
      <c r="D2065" s="48">
        <v>4.66</v>
      </c>
      <c r="S2065" s="106"/>
      <c r="T2065" s="48"/>
    </row>
    <row r="2066" spans="3:20">
      <c r="C2066" s="106">
        <v>45205</v>
      </c>
      <c r="D2066" s="48">
        <v>4.78</v>
      </c>
      <c r="S2066" s="106"/>
      <c r="T2066" s="48"/>
    </row>
    <row r="2067" spans="3:20">
      <c r="C2067" s="106">
        <v>45204</v>
      </c>
      <c r="D2067" s="48">
        <v>4.72</v>
      </c>
      <c r="S2067" s="106"/>
      <c r="T2067" s="48"/>
    </row>
    <row r="2068" spans="3:20">
      <c r="C2068" s="106">
        <v>45203</v>
      </c>
      <c r="D2068" s="48">
        <v>4.7300000000000004</v>
      </c>
      <c r="S2068" s="106"/>
      <c r="T2068" s="48"/>
    </row>
    <row r="2069" spans="3:20">
      <c r="C2069" s="106">
        <v>45202</v>
      </c>
      <c r="D2069" s="48">
        <v>4.8099999999999996</v>
      </c>
      <c r="S2069" s="106"/>
      <c r="T2069" s="48"/>
    </row>
    <row r="2070" spans="3:20">
      <c r="C2070" s="106">
        <v>45201</v>
      </c>
      <c r="D2070" s="48">
        <v>4.6900000000000004</v>
      </c>
      <c r="S2070" s="106"/>
      <c r="T2070" s="48"/>
    </row>
    <row r="2071" spans="3:20">
      <c r="C2071" s="106">
        <v>45198</v>
      </c>
      <c r="D2071" s="48">
        <v>4.59</v>
      </c>
      <c r="S2071" s="106"/>
      <c r="T2071" s="48"/>
    </row>
    <row r="2072" spans="3:20">
      <c r="C2072" s="106">
        <v>45197</v>
      </c>
      <c r="D2072" s="48">
        <v>4.59</v>
      </c>
      <c r="S2072" s="106"/>
      <c r="T2072" s="48"/>
    </row>
    <row r="2073" spans="3:20">
      <c r="C2073" s="106">
        <v>45196</v>
      </c>
      <c r="D2073" s="48">
        <v>4.6100000000000003</v>
      </c>
      <c r="S2073" s="106"/>
      <c r="T2073" s="48"/>
    </row>
    <row r="2074" spans="3:20">
      <c r="C2074" s="106">
        <v>45195</v>
      </c>
      <c r="D2074" s="48">
        <v>4.5599999999999996</v>
      </c>
      <c r="S2074" s="106"/>
      <c r="T2074" s="48"/>
    </row>
    <row r="2075" spans="3:20">
      <c r="C2075" s="106">
        <v>45194</v>
      </c>
      <c r="D2075" s="48">
        <v>4.55</v>
      </c>
      <c r="S2075" s="106"/>
      <c r="T2075" s="48"/>
    </row>
    <row r="2076" spans="3:20">
      <c r="C2076" s="106">
        <v>45191</v>
      </c>
      <c r="D2076" s="48">
        <v>4.4400000000000004</v>
      </c>
      <c r="S2076" s="106"/>
      <c r="T2076" s="48"/>
    </row>
    <row r="2077" spans="3:20">
      <c r="C2077" s="106">
        <v>45190</v>
      </c>
      <c r="D2077" s="48">
        <v>4.49</v>
      </c>
      <c r="S2077" s="106"/>
      <c r="T2077" s="48"/>
    </row>
    <row r="2078" spans="3:20">
      <c r="C2078" s="106">
        <v>45189</v>
      </c>
      <c r="D2078" s="48">
        <v>4.3499999999999996</v>
      </c>
      <c r="S2078" s="106"/>
      <c r="T2078" s="48"/>
    </row>
    <row r="2079" spans="3:20">
      <c r="C2079" s="106">
        <v>45188</v>
      </c>
      <c r="D2079" s="48">
        <v>4.37</v>
      </c>
      <c r="S2079" s="106"/>
      <c r="T2079" s="48"/>
    </row>
    <row r="2080" spans="3:20">
      <c r="C2080" s="106">
        <v>45187</v>
      </c>
      <c r="D2080" s="48">
        <v>4.32</v>
      </c>
      <c r="S2080" s="106"/>
      <c r="T2080" s="48"/>
    </row>
    <row r="2081" spans="3:20">
      <c r="C2081" s="106">
        <v>45184</v>
      </c>
      <c r="D2081" s="48">
        <v>4.33</v>
      </c>
      <c r="S2081" s="106"/>
      <c r="T2081" s="48"/>
    </row>
    <row r="2082" spans="3:20">
      <c r="C2082" s="106">
        <v>45183</v>
      </c>
      <c r="D2082" s="48">
        <v>4.29</v>
      </c>
      <c r="S2082" s="106"/>
      <c r="T2082" s="48"/>
    </row>
    <row r="2083" spans="3:20">
      <c r="C2083" s="106">
        <v>45182</v>
      </c>
      <c r="D2083" s="48">
        <v>4.25</v>
      </c>
      <c r="S2083" s="106"/>
      <c r="T2083" s="48"/>
    </row>
    <row r="2084" spans="3:20">
      <c r="C2084" s="106">
        <v>45181</v>
      </c>
      <c r="D2084" s="48">
        <v>4.2699999999999996</v>
      </c>
      <c r="S2084" s="106"/>
      <c r="T2084" s="48"/>
    </row>
    <row r="2085" spans="3:20">
      <c r="C2085" s="106">
        <v>45180</v>
      </c>
      <c r="D2085" s="48">
        <v>4.29</v>
      </c>
      <c r="S2085" s="106"/>
      <c r="T2085" s="48"/>
    </row>
    <row r="2086" spans="3:20">
      <c r="C2086" s="106">
        <v>45177</v>
      </c>
      <c r="D2086" s="48">
        <v>4.26</v>
      </c>
      <c r="S2086" s="106"/>
      <c r="T2086" s="48"/>
    </row>
    <row r="2087" spans="3:20">
      <c r="C2087" s="106">
        <v>45176</v>
      </c>
      <c r="D2087" s="48">
        <v>4.2699999999999996</v>
      </c>
      <c r="S2087" s="106"/>
      <c r="T2087" s="48"/>
    </row>
    <row r="2088" spans="3:20">
      <c r="C2088" s="106">
        <v>45175</v>
      </c>
      <c r="D2088" s="48">
        <v>4.3</v>
      </c>
      <c r="S2088" s="106"/>
      <c r="T2088" s="48"/>
    </row>
    <row r="2089" spans="3:20">
      <c r="C2089" s="106">
        <v>45174</v>
      </c>
      <c r="D2089" s="48">
        <v>4.2699999999999996</v>
      </c>
      <c r="S2089" s="106"/>
      <c r="T2089" s="48"/>
    </row>
    <row r="2090" spans="3:20">
      <c r="C2090" s="106">
        <v>45170</v>
      </c>
      <c r="D2090" s="48">
        <v>4.18</v>
      </c>
      <c r="S2090" s="106"/>
      <c r="T2090" s="48"/>
    </row>
    <row r="2091" spans="3:20">
      <c r="C2091" s="106">
        <v>45169</v>
      </c>
      <c r="D2091" s="48">
        <v>4.09</v>
      </c>
      <c r="S2091" s="106"/>
      <c r="T2091" s="48"/>
    </row>
    <row r="2092" spans="3:20">
      <c r="C2092" s="106">
        <v>45168</v>
      </c>
      <c r="D2092" s="48">
        <v>4.12</v>
      </c>
      <c r="S2092" s="106"/>
      <c r="T2092" s="48"/>
    </row>
    <row r="2093" spans="3:20">
      <c r="C2093" s="106">
        <v>45167</v>
      </c>
      <c r="D2093" s="48">
        <v>4.12</v>
      </c>
      <c r="S2093" s="106"/>
      <c r="T2093" s="48"/>
    </row>
    <row r="2094" spans="3:20">
      <c r="C2094" s="106">
        <v>45166</v>
      </c>
      <c r="D2094" s="48">
        <v>4.2</v>
      </c>
      <c r="S2094" s="106"/>
      <c r="T2094" s="48"/>
    </row>
    <row r="2095" spans="3:20">
      <c r="C2095" s="106">
        <v>45163</v>
      </c>
      <c r="D2095" s="48">
        <v>4.25</v>
      </c>
      <c r="S2095" s="106"/>
      <c r="T2095" s="48"/>
    </row>
    <row r="2096" spans="3:20">
      <c r="C2096" s="106">
        <v>45162</v>
      </c>
      <c r="D2096" s="48">
        <v>4.2300000000000004</v>
      </c>
      <c r="S2096" s="106"/>
      <c r="T2096" s="48"/>
    </row>
    <row r="2097" spans="3:20">
      <c r="C2097" s="106">
        <v>45161</v>
      </c>
      <c r="D2097" s="48">
        <v>4.1900000000000004</v>
      </c>
      <c r="S2097" s="106"/>
      <c r="T2097" s="48"/>
    </row>
    <row r="2098" spans="3:20">
      <c r="C2098" s="106">
        <v>45160</v>
      </c>
      <c r="D2098" s="48">
        <v>4.34</v>
      </c>
      <c r="S2098" s="106"/>
      <c r="T2098" s="48"/>
    </row>
    <row r="2099" spans="3:20">
      <c r="C2099" s="106">
        <v>45159</v>
      </c>
      <c r="D2099" s="48">
        <v>4.34</v>
      </c>
      <c r="S2099" s="106"/>
      <c r="T2099" s="48"/>
    </row>
    <row r="2100" spans="3:20">
      <c r="C2100" s="106">
        <v>45156</v>
      </c>
      <c r="D2100" s="48">
        <v>4.26</v>
      </c>
      <c r="S2100" s="106"/>
      <c r="T2100" s="48"/>
    </row>
    <row r="2101" spans="3:20">
      <c r="C2101" s="106">
        <v>45155</v>
      </c>
      <c r="D2101" s="48">
        <v>4.3</v>
      </c>
      <c r="S2101" s="106"/>
      <c r="T2101" s="48"/>
    </row>
    <row r="2102" spans="3:20">
      <c r="C2102" s="106">
        <v>45154</v>
      </c>
      <c r="D2102" s="48">
        <v>4.28</v>
      </c>
      <c r="S2102" s="106"/>
      <c r="T2102" s="48"/>
    </row>
    <row r="2103" spans="3:20">
      <c r="C2103" s="106">
        <v>45153</v>
      </c>
      <c r="D2103" s="48">
        <v>4.21</v>
      </c>
      <c r="S2103" s="106"/>
      <c r="T2103" s="48"/>
    </row>
    <row r="2104" spans="3:20">
      <c r="C2104" s="106">
        <v>45152</v>
      </c>
      <c r="D2104" s="48">
        <v>4.1900000000000004</v>
      </c>
      <c r="S2104" s="106"/>
      <c r="T2104" s="48"/>
    </row>
    <row r="2105" spans="3:20">
      <c r="C2105" s="106">
        <v>45149</v>
      </c>
      <c r="D2105" s="48">
        <v>4.16</v>
      </c>
      <c r="S2105" s="106"/>
      <c r="T2105" s="48"/>
    </row>
    <row r="2106" spans="3:20">
      <c r="C2106" s="106">
        <v>45148</v>
      </c>
      <c r="D2106" s="48">
        <v>4.09</v>
      </c>
      <c r="S2106" s="106"/>
      <c r="T2106" s="48"/>
    </row>
    <row r="2107" spans="3:20">
      <c r="C2107" s="106">
        <v>45147</v>
      </c>
      <c r="D2107" s="48">
        <v>4</v>
      </c>
      <c r="S2107" s="106"/>
      <c r="T2107" s="48"/>
    </row>
    <row r="2108" spans="3:20">
      <c r="C2108" s="106">
        <v>45146</v>
      </c>
      <c r="D2108" s="48">
        <v>4.0199999999999996</v>
      </c>
      <c r="S2108" s="106"/>
      <c r="T2108" s="48"/>
    </row>
    <row r="2109" spans="3:20">
      <c r="C2109" s="106">
        <v>45145</v>
      </c>
      <c r="D2109" s="48">
        <v>4.09</v>
      </c>
      <c r="S2109" s="106"/>
      <c r="T2109" s="48"/>
    </row>
    <row r="2110" spans="3:20">
      <c r="C2110" s="106">
        <v>45142</v>
      </c>
      <c r="D2110" s="48">
        <v>4.05</v>
      </c>
      <c r="S2110" s="106"/>
      <c r="T2110" s="48"/>
    </row>
    <row r="2111" spans="3:20">
      <c r="C2111" s="106">
        <v>45141</v>
      </c>
      <c r="D2111" s="48">
        <v>4.2</v>
      </c>
      <c r="S2111" s="106"/>
      <c r="T2111" s="48"/>
    </row>
    <row r="2112" spans="3:20">
      <c r="C2112" s="106">
        <v>45140</v>
      </c>
      <c r="D2112" s="48">
        <v>4.08</v>
      </c>
      <c r="S2112" s="106"/>
      <c r="T2112" s="48"/>
    </row>
    <row r="2113" spans="3:20">
      <c r="C2113" s="106">
        <v>45139</v>
      </c>
      <c r="D2113" s="48">
        <v>4.05</v>
      </c>
      <c r="S2113" s="106"/>
      <c r="T2113" s="48"/>
    </row>
    <row r="2114" spans="3:20">
      <c r="C2114" s="106">
        <v>45138</v>
      </c>
      <c r="D2114" s="48">
        <v>3.97</v>
      </c>
      <c r="S2114" s="106"/>
      <c r="T2114" s="48"/>
    </row>
    <row r="2115" spans="3:20">
      <c r="C2115" s="106">
        <v>45135</v>
      </c>
      <c r="D2115" s="48">
        <v>3.96</v>
      </c>
      <c r="S2115" s="106"/>
      <c r="T2115" s="48"/>
    </row>
    <row r="2116" spans="3:20">
      <c r="C2116" s="106">
        <v>45134</v>
      </c>
      <c r="D2116" s="48">
        <v>4.01</v>
      </c>
      <c r="S2116" s="106"/>
      <c r="T2116" s="48"/>
    </row>
    <row r="2117" spans="3:20">
      <c r="C2117" s="106">
        <v>45133</v>
      </c>
      <c r="D2117" s="48">
        <v>3.86</v>
      </c>
      <c r="S2117" s="106"/>
      <c r="T2117" s="48"/>
    </row>
    <row r="2118" spans="3:20">
      <c r="C2118" s="106">
        <v>45132</v>
      </c>
      <c r="D2118" s="48">
        <v>3.91</v>
      </c>
      <c r="S2118" s="106"/>
      <c r="T2118" s="48"/>
    </row>
    <row r="2119" spans="3:20">
      <c r="C2119" s="106">
        <v>45131</v>
      </c>
      <c r="D2119" s="48">
        <v>3.86</v>
      </c>
      <c r="S2119" s="106"/>
      <c r="T2119" s="48"/>
    </row>
    <row r="2120" spans="3:20">
      <c r="C2120" s="106">
        <v>45128</v>
      </c>
      <c r="D2120" s="48">
        <v>3.84</v>
      </c>
      <c r="S2120" s="106"/>
      <c r="T2120" s="48"/>
    </row>
    <row r="2121" spans="3:20">
      <c r="C2121" s="106">
        <v>45127</v>
      </c>
      <c r="D2121" s="48">
        <v>3.85</v>
      </c>
      <c r="S2121" s="106"/>
      <c r="T2121" s="48"/>
    </row>
    <row r="2122" spans="3:20">
      <c r="C2122" s="106">
        <v>45126</v>
      </c>
      <c r="D2122" s="48">
        <v>3.75</v>
      </c>
      <c r="S2122" s="106"/>
      <c r="T2122" s="48"/>
    </row>
    <row r="2123" spans="3:20">
      <c r="C2123" s="106">
        <v>45125</v>
      </c>
      <c r="D2123" s="48">
        <v>3.8</v>
      </c>
      <c r="S2123" s="106"/>
      <c r="T2123" s="48"/>
    </row>
    <row r="2124" spans="3:20">
      <c r="C2124" s="106">
        <v>45124</v>
      </c>
      <c r="D2124" s="48">
        <v>3.81</v>
      </c>
      <c r="S2124" s="106"/>
      <c r="T2124" s="48"/>
    </row>
    <row r="2125" spans="3:20">
      <c r="C2125" s="106">
        <v>45121</v>
      </c>
      <c r="D2125" s="48">
        <v>3.83</v>
      </c>
      <c r="S2125" s="106"/>
      <c r="T2125" s="48"/>
    </row>
    <row r="2126" spans="3:20">
      <c r="C2126" s="106">
        <v>45120</v>
      </c>
      <c r="D2126" s="48">
        <v>3.76</v>
      </c>
      <c r="S2126" s="106"/>
      <c r="T2126" s="48"/>
    </row>
    <row r="2127" spans="3:20">
      <c r="C2127" s="106">
        <v>45119</v>
      </c>
      <c r="D2127" s="48">
        <v>3.86</v>
      </c>
      <c r="S2127" s="106"/>
      <c r="T2127" s="48"/>
    </row>
    <row r="2128" spans="3:20">
      <c r="C2128" s="106">
        <v>45118</v>
      </c>
      <c r="D2128" s="48">
        <v>3.99</v>
      </c>
      <c r="S2128" s="106"/>
      <c r="T2128" s="48"/>
    </row>
    <row r="2129" spans="3:20">
      <c r="C2129" s="106">
        <v>45117</v>
      </c>
      <c r="D2129" s="48">
        <v>4.01</v>
      </c>
      <c r="S2129" s="106"/>
      <c r="T2129" s="48"/>
    </row>
    <row r="2130" spans="3:20">
      <c r="C2130" s="106">
        <v>45114</v>
      </c>
      <c r="D2130" s="48">
        <v>4.0599999999999996</v>
      </c>
      <c r="S2130" s="106"/>
      <c r="T2130" s="48"/>
    </row>
    <row r="2131" spans="3:20">
      <c r="C2131" s="106">
        <v>45113</v>
      </c>
      <c r="D2131" s="48">
        <v>4.05</v>
      </c>
      <c r="S2131" s="106"/>
      <c r="T2131" s="48"/>
    </row>
    <row r="2132" spans="3:20">
      <c r="C2132" s="106">
        <v>45112</v>
      </c>
      <c r="D2132" s="48">
        <v>3.95</v>
      </c>
      <c r="S2132" s="106"/>
      <c r="T2132" s="48"/>
    </row>
    <row r="2133" spans="3:20">
      <c r="C2133" s="106">
        <v>45110</v>
      </c>
      <c r="D2133" s="48">
        <v>3.86</v>
      </c>
      <c r="S2133" s="106"/>
      <c r="T2133" s="48"/>
    </row>
    <row r="2134" spans="3:20">
      <c r="C2134" s="106">
        <v>45107</v>
      </c>
      <c r="D2134" s="48">
        <v>3.81</v>
      </c>
      <c r="S2134" s="106"/>
      <c r="T2134" s="48"/>
    </row>
    <row r="2135" spans="3:20">
      <c r="C2135" s="106">
        <v>45106</v>
      </c>
      <c r="D2135" s="48">
        <v>3.85</v>
      </c>
      <c r="S2135" s="106"/>
      <c r="T2135" s="48"/>
    </row>
    <row r="2136" spans="3:20">
      <c r="C2136" s="106">
        <v>45105</v>
      </c>
      <c r="D2136" s="48">
        <v>3.71</v>
      </c>
      <c r="S2136" s="106"/>
      <c r="T2136" s="48"/>
    </row>
    <row r="2137" spans="3:20">
      <c r="C2137" s="106">
        <v>45104</v>
      </c>
      <c r="D2137" s="48">
        <v>3.77</v>
      </c>
      <c r="S2137" s="106"/>
      <c r="T2137" s="48"/>
    </row>
    <row r="2138" spans="3:20">
      <c r="C2138" s="106">
        <v>45103</v>
      </c>
      <c r="D2138" s="48">
        <v>3.72</v>
      </c>
      <c r="S2138" s="106"/>
      <c r="T2138" s="48"/>
    </row>
    <row r="2139" spans="3:20">
      <c r="C2139" s="106">
        <v>45100</v>
      </c>
      <c r="D2139" s="48">
        <v>3.74</v>
      </c>
      <c r="S2139" s="106"/>
      <c r="T2139" s="48"/>
    </row>
    <row r="2140" spans="3:20">
      <c r="C2140" s="106">
        <v>45099</v>
      </c>
      <c r="D2140" s="48">
        <v>3.8</v>
      </c>
      <c r="S2140" s="106"/>
      <c r="T2140" s="48"/>
    </row>
    <row r="2141" spans="3:20">
      <c r="C2141" s="106">
        <v>45098</v>
      </c>
      <c r="D2141" s="48">
        <v>3.72</v>
      </c>
      <c r="S2141" s="106"/>
      <c r="T2141" s="48"/>
    </row>
    <row r="2142" spans="3:20">
      <c r="C2142" s="106">
        <v>45097</v>
      </c>
      <c r="D2142" s="48">
        <v>3.74</v>
      </c>
      <c r="S2142" s="106"/>
      <c r="T2142" s="48"/>
    </row>
    <row r="2143" spans="3:20">
      <c r="C2143" s="106">
        <v>45093</v>
      </c>
      <c r="D2143" s="48">
        <v>3.77</v>
      </c>
      <c r="S2143" s="106"/>
      <c r="T2143" s="48"/>
    </row>
    <row r="2144" spans="3:20">
      <c r="C2144" s="106">
        <v>45092</v>
      </c>
      <c r="D2144" s="48">
        <v>3.72</v>
      </c>
      <c r="S2144" s="106"/>
      <c r="T2144" s="48"/>
    </row>
    <row r="2145" spans="3:20">
      <c r="C2145" s="106">
        <v>45091</v>
      </c>
      <c r="D2145" s="48">
        <v>3.83</v>
      </c>
      <c r="S2145" s="106"/>
      <c r="T2145" s="48"/>
    </row>
    <row r="2146" spans="3:20">
      <c r="C2146" s="106">
        <v>45090</v>
      </c>
      <c r="D2146" s="48">
        <v>3.84</v>
      </c>
      <c r="S2146" s="106"/>
      <c r="T2146" s="48"/>
    </row>
    <row r="2147" spans="3:20">
      <c r="C2147" s="106">
        <v>45089</v>
      </c>
      <c r="D2147" s="48">
        <v>3.73</v>
      </c>
      <c r="S2147" s="106"/>
      <c r="T2147" s="48"/>
    </row>
    <row r="2148" spans="3:20">
      <c r="C2148" s="106">
        <v>45086</v>
      </c>
      <c r="D2148" s="48">
        <v>3.75</v>
      </c>
      <c r="S2148" s="106"/>
      <c r="T2148" s="48"/>
    </row>
    <row r="2149" spans="3:20">
      <c r="C2149" s="106">
        <v>45085</v>
      </c>
      <c r="D2149" s="48">
        <v>3.73</v>
      </c>
      <c r="S2149" s="106"/>
      <c r="T2149" s="48"/>
    </row>
    <row r="2150" spans="3:20">
      <c r="C2150" s="106">
        <v>45084</v>
      </c>
      <c r="D2150" s="48">
        <v>3.79</v>
      </c>
      <c r="S2150" s="106"/>
      <c r="T2150" s="48"/>
    </row>
    <row r="2151" spans="3:20">
      <c r="C2151" s="106">
        <v>45083</v>
      </c>
      <c r="D2151" s="48">
        <v>3.7</v>
      </c>
      <c r="S2151" s="106"/>
      <c r="T2151" s="48"/>
    </row>
    <row r="2152" spans="3:20">
      <c r="C2152" s="106">
        <v>45082</v>
      </c>
      <c r="D2152" s="48">
        <v>3.69</v>
      </c>
      <c r="S2152" s="106"/>
      <c r="T2152" s="48"/>
    </row>
    <row r="2153" spans="3:20">
      <c r="C2153" s="106">
        <v>45079</v>
      </c>
      <c r="D2153" s="48">
        <v>3.69</v>
      </c>
      <c r="S2153" s="106"/>
      <c r="T2153" s="48"/>
    </row>
    <row r="2154" spans="3:20">
      <c r="C2154" s="106">
        <v>45078</v>
      </c>
      <c r="D2154" s="48">
        <v>3.61</v>
      </c>
      <c r="S2154" s="106"/>
      <c r="T2154" s="48"/>
    </row>
    <row r="2155" spans="3:20">
      <c r="C2155" s="106">
        <v>45077</v>
      </c>
      <c r="D2155" s="48">
        <v>3.64</v>
      </c>
      <c r="S2155" s="106"/>
      <c r="T2155" s="48"/>
    </row>
    <row r="2156" spans="3:20">
      <c r="C2156" s="106">
        <v>45076</v>
      </c>
      <c r="D2156" s="48">
        <v>3.69</v>
      </c>
      <c r="S2156" s="106"/>
      <c r="T2156" s="48"/>
    </row>
    <row r="2157" spans="3:20">
      <c r="C2157" s="106">
        <v>45072</v>
      </c>
      <c r="D2157" s="48">
        <v>3.8</v>
      </c>
      <c r="S2157" s="106"/>
      <c r="T2157" s="48"/>
    </row>
    <row r="2158" spans="3:20">
      <c r="C2158" s="106">
        <v>45071</v>
      </c>
      <c r="D2158" s="48">
        <v>3.83</v>
      </c>
      <c r="S2158" s="106"/>
      <c r="T2158" s="48"/>
    </row>
    <row r="2159" spans="3:20">
      <c r="C2159" s="106">
        <v>45070</v>
      </c>
      <c r="D2159" s="48">
        <v>3.73</v>
      </c>
      <c r="S2159" s="106"/>
      <c r="T2159" s="48"/>
    </row>
    <row r="2160" spans="3:20">
      <c r="C2160" s="106">
        <v>45069</v>
      </c>
      <c r="D2160" s="48">
        <v>3.7</v>
      </c>
      <c r="S2160" s="106"/>
      <c r="T2160" s="48"/>
    </row>
    <row r="2161" spans="3:20">
      <c r="C2161" s="106">
        <v>45068</v>
      </c>
      <c r="D2161" s="48">
        <v>3.72</v>
      </c>
      <c r="S2161" s="106"/>
      <c r="T2161" s="48"/>
    </row>
    <row r="2162" spans="3:20">
      <c r="C2162" s="106">
        <v>45065</v>
      </c>
      <c r="D2162" s="48">
        <v>3.7</v>
      </c>
      <c r="S2162" s="106"/>
      <c r="T2162" s="48"/>
    </row>
    <row r="2163" spans="3:20">
      <c r="C2163" s="106">
        <v>45064</v>
      </c>
      <c r="D2163" s="48">
        <v>3.65</v>
      </c>
      <c r="S2163" s="106"/>
      <c r="T2163" s="48"/>
    </row>
    <row r="2164" spans="3:20">
      <c r="C2164" s="106">
        <v>45063</v>
      </c>
      <c r="D2164" s="48">
        <v>3.57</v>
      </c>
      <c r="S2164" s="106"/>
      <c r="T2164" s="48"/>
    </row>
    <row r="2165" spans="3:20">
      <c r="C2165" s="106">
        <v>45062</v>
      </c>
      <c r="D2165" s="48">
        <v>3.54</v>
      </c>
      <c r="S2165" s="106"/>
      <c r="T2165" s="48"/>
    </row>
    <row r="2166" spans="3:20">
      <c r="C2166" s="106">
        <v>45061</v>
      </c>
      <c r="D2166" s="48">
        <v>3.5</v>
      </c>
      <c r="S2166" s="106"/>
      <c r="T2166" s="48"/>
    </row>
    <row r="2167" spans="3:20">
      <c r="C2167" s="106">
        <v>45058</v>
      </c>
      <c r="D2167" s="48">
        <v>3.46</v>
      </c>
      <c r="S2167" s="106"/>
      <c r="T2167" s="48"/>
    </row>
    <row r="2168" spans="3:20">
      <c r="C2168" s="106">
        <v>45057</v>
      </c>
      <c r="D2168" s="48">
        <v>3.39</v>
      </c>
      <c r="S2168" s="106"/>
      <c r="T2168" s="48"/>
    </row>
    <row r="2169" spans="3:20">
      <c r="C2169" s="106">
        <v>45056</v>
      </c>
      <c r="D2169" s="48">
        <v>3.43</v>
      </c>
      <c r="S2169" s="106"/>
      <c r="T2169" s="48"/>
    </row>
    <row r="2170" spans="3:20">
      <c r="C2170" s="106">
        <v>45055</v>
      </c>
      <c r="D2170" s="48">
        <v>3.53</v>
      </c>
      <c r="S2170" s="106"/>
      <c r="T2170" s="48"/>
    </row>
    <row r="2171" spans="3:20">
      <c r="C2171" s="106">
        <v>45054</v>
      </c>
      <c r="D2171" s="48">
        <v>3.52</v>
      </c>
      <c r="S2171" s="106"/>
      <c r="T2171" s="48"/>
    </row>
    <row r="2172" spans="3:20">
      <c r="C2172" s="106">
        <v>45051</v>
      </c>
      <c r="D2172" s="48">
        <v>3.44</v>
      </c>
      <c r="S2172" s="106"/>
      <c r="T2172" s="48"/>
    </row>
    <row r="2173" spans="3:20">
      <c r="C2173" s="106">
        <v>45050</v>
      </c>
      <c r="D2173" s="48">
        <v>3.37</v>
      </c>
      <c r="S2173" s="106"/>
      <c r="T2173" s="48"/>
    </row>
    <row r="2174" spans="3:20">
      <c r="C2174" s="106">
        <v>45049</v>
      </c>
      <c r="D2174" s="48">
        <v>3.38</v>
      </c>
      <c r="S2174" s="106"/>
      <c r="T2174" s="48"/>
    </row>
    <row r="2175" spans="3:20">
      <c r="C2175" s="106">
        <v>45048</v>
      </c>
      <c r="D2175" s="48">
        <v>3.44</v>
      </c>
      <c r="S2175" s="106"/>
      <c r="T2175" s="48"/>
    </row>
    <row r="2176" spans="3:20">
      <c r="C2176" s="106">
        <v>45047</v>
      </c>
      <c r="D2176" s="48">
        <v>3.59</v>
      </c>
      <c r="S2176" s="106"/>
      <c r="T2176" s="48"/>
    </row>
    <row r="2177" spans="3:20">
      <c r="C2177" s="106">
        <v>45044</v>
      </c>
      <c r="D2177" s="48">
        <v>3.44</v>
      </c>
      <c r="S2177" s="106"/>
      <c r="T2177" s="48"/>
    </row>
    <row r="2178" spans="3:20">
      <c r="C2178" s="106">
        <v>45043</v>
      </c>
      <c r="D2178" s="48">
        <v>3.53</v>
      </c>
      <c r="S2178" s="106"/>
      <c r="T2178" s="48"/>
    </row>
    <row r="2179" spans="3:20">
      <c r="C2179" s="106">
        <v>45042</v>
      </c>
      <c r="D2179" s="48">
        <v>3.43</v>
      </c>
      <c r="S2179" s="106"/>
      <c r="T2179" s="48"/>
    </row>
    <row r="2180" spans="3:20">
      <c r="C2180" s="106">
        <v>45041</v>
      </c>
      <c r="D2180" s="48">
        <v>3.4</v>
      </c>
      <c r="S2180" s="106"/>
      <c r="T2180" s="48"/>
    </row>
    <row r="2181" spans="3:20">
      <c r="C2181" s="106">
        <v>45040</v>
      </c>
      <c r="D2181" s="48">
        <v>3.52</v>
      </c>
      <c r="S2181" s="106"/>
      <c r="T2181" s="48"/>
    </row>
    <row r="2182" spans="3:20">
      <c r="C2182" s="106">
        <v>45037</v>
      </c>
      <c r="D2182" s="48">
        <v>3.57</v>
      </c>
      <c r="S2182" s="106"/>
      <c r="T2182" s="48"/>
    </row>
    <row r="2183" spans="3:20">
      <c r="C2183" s="106">
        <v>45036</v>
      </c>
      <c r="D2183" s="48">
        <v>3.54</v>
      </c>
      <c r="S2183" s="106"/>
      <c r="T2183" s="48"/>
    </row>
    <row r="2184" spans="3:20">
      <c r="C2184" s="106">
        <v>45035</v>
      </c>
      <c r="D2184" s="48">
        <v>3.6</v>
      </c>
      <c r="S2184" s="106"/>
      <c r="T2184" s="48"/>
    </row>
    <row r="2185" spans="3:20">
      <c r="C2185" s="106">
        <v>45034</v>
      </c>
      <c r="D2185" s="48">
        <v>3.58</v>
      </c>
      <c r="S2185" s="106"/>
      <c r="T2185" s="48"/>
    </row>
    <row r="2186" spans="3:20">
      <c r="C2186" s="106">
        <v>45033</v>
      </c>
      <c r="D2186" s="48">
        <v>3.6</v>
      </c>
      <c r="S2186" s="106"/>
      <c r="T2186" s="48"/>
    </row>
    <row r="2187" spans="3:20">
      <c r="C2187" s="106">
        <v>45030</v>
      </c>
      <c r="D2187" s="48">
        <v>3.52</v>
      </c>
      <c r="S2187" s="106"/>
      <c r="T2187" s="48"/>
    </row>
    <row r="2188" spans="3:20">
      <c r="C2188" s="106">
        <v>45029</v>
      </c>
      <c r="D2188" s="48">
        <v>3.45</v>
      </c>
      <c r="S2188" s="106"/>
      <c r="T2188" s="48"/>
    </row>
    <row r="2189" spans="3:20">
      <c r="C2189" s="106">
        <v>45028</v>
      </c>
      <c r="D2189" s="48">
        <v>3.41</v>
      </c>
      <c r="S2189" s="106"/>
      <c r="T2189" s="48"/>
    </row>
    <row r="2190" spans="3:20">
      <c r="C2190" s="106">
        <v>45027</v>
      </c>
      <c r="D2190" s="48">
        <v>3.43</v>
      </c>
      <c r="S2190" s="106"/>
      <c r="T2190" s="48"/>
    </row>
    <row r="2191" spans="3:20">
      <c r="C2191" s="106">
        <v>45026</v>
      </c>
      <c r="D2191" s="48">
        <v>3.41</v>
      </c>
      <c r="S2191" s="106"/>
      <c r="T2191" s="48"/>
    </row>
    <row r="2192" spans="3:20">
      <c r="C2192" s="106">
        <v>45023</v>
      </c>
      <c r="D2192" s="48">
        <v>3.39</v>
      </c>
      <c r="S2192" s="106"/>
      <c r="T2192" s="48"/>
    </row>
    <row r="2193" spans="3:20">
      <c r="C2193" s="106">
        <v>45022</v>
      </c>
      <c r="D2193" s="48">
        <v>3.3</v>
      </c>
      <c r="S2193" s="106"/>
      <c r="T2193" s="48"/>
    </row>
    <row r="2194" spans="3:20">
      <c r="C2194" s="106">
        <v>45021</v>
      </c>
      <c r="D2194" s="48">
        <v>3.3</v>
      </c>
      <c r="S2194" s="106"/>
      <c r="T2194" s="48"/>
    </row>
    <row r="2195" spans="3:20">
      <c r="C2195" s="106">
        <v>45020</v>
      </c>
      <c r="D2195" s="48">
        <v>3.35</v>
      </c>
      <c r="S2195" s="106"/>
      <c r="T2195" s="48"/>
    </row>
    <row r="2196" spans="3:20">
      <c r="C2196" s="106">
        <v>45019</v>
      </c>
      <c r="D2196" s="48">
        <v>3.43</v>
      </c>
      <c r="S2196" s="106"/>
      <c r="T2196" s="48"/>
    </row>
    <row r="2197" spans="3:20">
      <c r="C2197" s="106">
        <v>45016</v>
      </c>
      <c r="D2197" s="48">
        <v>3.48</v>
      </c>
      <c r="S2197" s="106"/>
      <c r="T2197" s="48"/>
    </row>
    <row r="2198" spans="3:20">
      <c r="C2198" s="106">
        <v>45015</v>
      </c>
      <c r="D2198" s="48">
        <v>3.55</v>
      </c>
      <c r="S2198" s="106"/>
      <c r="T2198" s="48"/>
    </row>
    <row r="2199" spans="3:20">
      <c r="C2199" s="106">
        <v>45014</v>
      </c>
      <c r="D2199" s="48">
        <v>3.57</v>
      </c>
      <c r="S2199" s="106"/>
      <c r="T2199" s="48"/>
    </row>
    <row r="2200" spans="3:20">
      <c r="C2200" s="106">
        <v>45013</v>
      </c>
      <c r="D2200" s="48">
        <v>3.55</v>
      </c>
      <c r="S2200" s="106"/>
      <c r="T2200" s="48"/>
    </row>
    <row r="2201" spans="3:20">
      <c r="C2201" s="106">
        <v>45012</v>
      </c>
      <c r="D2201" s="48">
        <v>3.53</v>
      </c>
      <c r="S2201" s="106"/>
      <c r="T2201" s="48"/>
    </row>
    <row r="2202" spans="3:20">
      <c r="C2202" s="106">
        <v>45009</v>
      </c>
      <c r="D2202" s="48">
        <v>3.38</v>
      </c>
      <c r="S2202" s="106"/>
      <c r="T2202" s="48"/>
    </row>
    <row r="2203" spans="3:20">
      <c r="C2203" s="106">
        <v>45008</v>
      </c>
      <c r="D2203" s="48">
        <v>3.38</v>
      </c>
      <c r="S2203" s="106"/>
      <c r="T2203" s="48"/>
    </row>
    <row r="2204" spans="3:20">
      <c r="C2204" s="106">
        <v>45007</v>
      </c>
      <c r="D2204" s="48">
        <v>3.48</v>
      </c>
      <c r="S2204" s="106"/>
      <c r="T2204" s="48"/>
    </row>
    <row r="2205" spans="3:20">
      <c r="C2205" s="106">
        <v>45006</v>
      </c>
      <c r="D2205" s="48">
        <v>3.59</v>
      </c>
      <c r="S2205" s="106"/>
      <c r="T2205" s="48"/>
    </row>
    <row r="2206" spans="3:20">
      <c r="C2206" s="106">
        <v>45005</v>
      </c>
      <c r="D2206" s="48">
        <v>3.47</v>
      </c>
      <c r="S2206" s="106"/>
      <c r="T2206" s="48"/>
    </row>
    <row r="2207" spans="3:20">
      <c r="C2207" s="106">
        <v>45002</v>
      </c>
      <c r="D2207" s="48">
        <v>3.39</v>
      </c>
      <c r="S2207" s="106"/>
      <c r="T2207" s="48"/>
    </row>
    <row r="2208" spans="3:20">
      <c r="C2208" s="106">
        <v>45001</v>
      </c>
      <c r="D2208" s="48">
        <v>3.56</v>
      </c>
      <c r="S2208" s="106"/>
      <c r="T2208" s="48"/>
    </row>
    <row r="2209" spans="3:20">
      <c r="C2209" s="106">
        <v>45000</v>
      </c>
      <c r="D2209" s="48">
        <v>3.51</v>
      </c>
      <c r="S2209" s="106"/>
      <c r="T2209" s="48"/>
    </row>
    <row r="2210" spans="3:20">
      <c r="C2210" s="106">
        <v>44999</v>
      </c>
      <c r="D2210" s="48">
        <v>3.64</v>
      </c>
      <c r="S2210" s="106"/>
      <c r="T2210" s="48"/>
    </row>
    <row r="2211" spans="3:20">
      <c r="C2211" s="106">
        <v>44998</v>
      </c>
      <c r="D2211" s="48">
        <v>3.55</v>
      </c>
      <c r="S2211" s="106"/>
      <c r="T2211" s="48"/>
    </row>
    <row r="2212" spans="3:20">
      <c r="C2212" s="106">
        <v>44995</v>
      </c>
      <c r="D2212" s="48">
        <v>3.7</v>
      </c>
      <c r="S2212" s="106"/>
      <c r="T2212" s="48"/>
    </row>
    <row r="2213" spans="3:20">
      <c r="C2213" s="106">
        <v>44994</v>
      </c>
      <c r="D2213" s="48">
        <v>3.93</v>
      </c>
      <c r="S2213" s="106"/>
      <c r="T2213" s="48"/>
    </row>
    <row r="2214" spans="3:20">
      <c r="C2214" s="106">
        <v>44993</v>
      </c>
      <c r="D2214" s="48">
        <v>3.98</v>
      </c>
      <c r="S2214" s="106"/>
      <c r="T2214" s="48"/>
    </row>
    <row r="2215" spans="3:20">
      <c r="C2215" s="106">
        <v>44992</v>
      </c>
      <c r="D2215" s="48">
        <v>3.97</v>
      </c>
      <c r="S2215" s="106"/>
      <c r="T2215" s="48"/>
    </row>
    <row r="2216" spans="3:20">
      <c r="C2216" s="106">
        <v>44991</v>
      </c>
      <c r="D2216" s="48">
        <v>3.98</v>
      </c>
      <c r="S2216" s="106"/>
      <c r="T2216" s="48"/>
    </row>
    <row r="2217" spans="3:20">
      <c r="C2217" s="106">
        <v>44988</v>
      </c>
      <c r="D2217" s="48">
        <v>3.97</v>
      </c>
      <c r="S2217" s="106"/>
      <c r="T2217" s="48"/>
    </row>
    <row r="2218" spans="3:20">
      <c r="C2218" s="106">
        <v>44987</v>
      </c>
      <c r="D2218" s="48">
        <v>4.08</v>
      </c>
      <c r="S2218" s="106"/>
      <c r="T2218" s="48"/>
    </row>
    <row r="2219" spans="3:20">
      <c r="C2219" s="106">
        <v>44986</v>
      </c>
      <c r="D2219" s="48">
        <v>4.01</v>
      </c>
      <c r="S2219" s="106"/>
      <c r="T2219" s="48"/>
    </row>
    <row r="2220" spans="3:20">
      <c r="C2220" s="106">
        <v>44985</v>
      </c>
      <c r="D2220" s="48">
        <v>3.92</v>
      </c>
      <c r="S2220" s="106"/>
      <c r="T2220" s="48"/>
    </row>
    <row r="2221" spans="3:20">
      <c r="C2221" s="106">
        <v>44984</v>
      </c>
      <c r="D2221" s="48">
        <v>3.92</v>
      </c>
      <c r="S2221" s="106"/>
      <c r="T2221" s="48"/>
    </row>
    <row r="2222" spans="3:20">
      <c r="C2222" s="106">
        <v>44981</v>
      </c>
      <c r="D2222" s="48">
        <v>3.95</v>
      </c>
      <c r="S2222" s="106"/>
      <c r="T2222" s="48"/>
    </row>
    <row r="2223" spans="3:20">
      <c r="C2223" s="106">
        <v>44980</v>
      </c>
      <c r="D2223" s="48">
        <v>3.88</v>
      </c>
      <c r="S2223" s="106"/>
      <c r="T2223" s="48"/>
    </row>
    <row r="2224" spans="3:20">
      <c r="C2224" s="106">
        <v>44979</v>
      </c>
      <c r="D2224" s="48">
        <v>3.93</v>
      </c>
      <c r="S2224" s="106"/>
      <c r="T2224" s="48"/>
    </row>
    <row r="2225" spans="3:20">
      <c r="C2225" s="106">
        <v>44978</v>
      </c>
      <c r="D2225" s="48">
        <v>3.95</v>
      </c>
      <c r="S2225" s="106"/>
      <c r="T2225" s="48"/>
    </row>
    <row r="2226" spans="3:20">
      <c r="C2226" s="106">
        <v>44974</v>
      </c>
      <c r="D2226" s="48">
        <v>3.82</v>
      </c>
      <c r="S2226" s="106"/>
      <c r="T2226" s="48"/>
    </row>
    <row r="2227" spans="3:20">
      <c r="C2227" s="106">
        <v>44973</v>
      </c>
      <c r="D2227" s="48">
        <v>3.86</v>
      </c>
      <c r="S2227" s="106"/>
      <c r="T2227" s="48"/>
    </row>
    <row r="2228" spans="3:20">
      <c r="C2228" s="106">
        <v>44972</v>
      </c>
      <c r="D2228" s="48">
        <v>3.81</v>
      </c>
      <c r="S2228" s="106"/>
      <c r="T2228" s="48"/>
    </row>
    <row r="2229" spans="3:20">
      <c r="C2229" s="106">
        <v>44971</v>
      </c>
      <c r="D2229" s="48">
        <v>3.77</v>
      </c>
      <c r="S2229" s="106"/>
      <c r="T2229" s="48"/>
    </row>
    <row r="2230" spans="3:20">
      <c r="C2230" s="106">
        <v>44970</v>
      </c>
      <c r="D2230" s="48">
        <v>3.72</v>
      </c>
      <c r="S2230" s="106"/>
      <c r="T2230" s="48"/>
    </row>
    <row r="2231" spans="3:20">
      <c r="C2231" s="106">
        <v>44967</v>
      </c>
      <c r="D2231" s="48">
        <v>3.74</v>
      </c>
      <c r="S2231" s="106"/>
      <c r="T2231" s="48"/>
    </row>
    <row r="2232" spans="3:20">
      <c r="C2232" s="106">
        <v>44966</v>
      </c>
      <c r="D2232" s="48">
        <v>3.67</v>
      </c>
      <c r="S2232" s="106"/>
      <c r="T2232" s="48"/>
    </row>
    <row r="2233" spans="3:20">
      <c r="C2233" s="106">
        <v>44965</v>
      </c>
      <c r="D2233" s="48">
        <v>3.63</v>
      </c>
      <c r="S2233" s="106"/>
      <c r="T2233" s="48"/>
    </row>
    <row r="2234" spans="3:20">
      <c r="C2234" s="106">
        <v>44964</v>
      </c>
      <c r="D2234" s="48">
        <v>3.67</v>
      </c>
      <c r="S2234" s="106"/>
      <c r="T2234" s="48"/>
    </row>
    <row r="2235" spans="3:20">
      <c r="C2235" s="106">
        <v>44963</v>
      </c>
      <c r="D2235" s="48">
        <v>3.63</v>
      </c>
      <c r="S2235" s="106"/>
      <c r="T2235" s="48"/>
    </row>
    <row r="2236" spans="3:20">
      <c r="C2236" s="106">
        <v>44960</v>
      </c>
      <c r="D2236" s="48">
        <v>3.53</v>
      </c>
      <c r="S2236" s="106"/>
      <c r="T2236" s="48"/>
    </row>
    <row r="2237" spans="3:20">
      <c r="C2237" s="106">
        <v>44959</v>
      </c>
      <c r="D2237" s="48">
        <v>3.4</v>
      </c>
      <c r="S2237" s="106"/>
      <c r="T2237" s="48"/>
    </row>
    <row r="2238" spans="3:20">
      <c r="C2238" s="106">
        <v>44958</v>
      </c>
      <c r="D2238" s="48">
        <v>3.39</v>
      </c>
      <c r="S2238" s="106"/>
      <c r="T2238" s="48"/>
    </row>
    <row r="2239" spans="3:20">
      <c r="C2239" s="106">
        <v>44957</v>
      </c>
      <c r="D2239" s="48">
        <v>3.52</v>
      </c>
      <c r="S2239" s="106"/>
      <c r="T2239" s="48"/>
    </row>
    <row r="2240" spans="3:20">
      <c r="C2240" s="106">
        <v>44956</v>
      </c>
      <c r="D2240" s="48">
        <v>3.55</v>
      </c>
      <c r="S2240" s="106"/>
      <c r="T2240" s="48"/>
    </row>
    <row r="2241" spans="3:20">
      <c r="C2241" s="106">
        <v>44953</v>
      </c>
      <c r="D2241" s="48">
        <v>3.52</v>
      </c>
      <c r="S2241" s="106"/>
      <c r="T2241" s="48"/>
    </row>
    <row r="2242" spans="3:20">
      <c r="C2242" s="106">
        <v>44952</v>
      </c>
      <c r="D2242" s="48">
        <v>3.49</v>
      </c>
      <c r="S2242" s="106"/>
      <c r="T2242" s="48"/>
    </row>
    <row r="2243" spans="3:20">
      <c r="C2243" s="106">
        <v>44951</v>
      </c>
      <c r="D2243" s="48">
        <v>3.46</v>
      </c>
      <c r="S2243" s="106"/>
      <c r="T2243" s="48"/>
    </row>
    <row r="2244" spans="3:20">
      <c r="C2244" s="106">
        <v>44950</v>
      </c>
      <c r="D2244" s="48">
        <v>3.46</v>
      </c>
      <c r="S2244" s="106"/>
      <c r="T2244" s="48"/>
    </row>
    <row r="2245" spans="3:20">
      <c r="C2245" s="106">
        <v>44949</v>
      </c>
      <c r="D2245" s="48">
        <v>3.52</v>
      </c>
      <c r="S2245" s="106"/>
      <c r="T2245" s="48"/>
    </row>
    <row r="2246" spans="3:20">
      <c r="C2246" s="106">
        <v>44946</v>
      </c>
      <c r="D2246" s="48">
        <v>3.48</v>
      </c>
      <c r="S2246" s="106"/>
      <c r="T2246" s="48"/>
    </row>
    <row r="2247" spans="3:20">
      <c r="C2247" s="106">
        <v>44945</v>
      </c>
      <c r="D2247" s="48">
        <v>3.39</v>
      </c>
      <c r="S2247" s="106"/>
      <c r="T2247" s="48"/>
    </row>
    <row r="2248" spans="3:20">
      <c r="C2248" s="106">
        <v>44944</v>
      </c>
      <c r="D2248" s="48">
        <v>3.37</v>
      </c>
      <c r="S2248" s="106"/>
      <c r="T2248" s="48"/>
    </row>
    <row r="2249" spans="3:20">
      <c r="C2249" s="106">
        <v>44943</v>
      </c>
      <c r="D2249" s="48">
        <v>3.53</v>
      </c>
      <c r="S2249" s="106"/>
      <c r="T2249" s="48"/>
    </row>
    <row r="2250" spans="3:20">
      <c r="C2250" s="106">
        <v>44939</v>
      </c>
      <c r="D2250" s="48">
        <v>3.49</v>
      </c>
      <c r="S2250" s="106"/>
      <c r="T2250" s="48"/>
    </row>
    <row r="2251" spans="3:20">
      <c r="C2251" s="106">
        <v>44938</v>
      </c>
      <c r="D2251" s="48">
        <v>3.43</v>
      </c>
      <c r="S2251" s="106"/>
      <c r="T2251" s="48"/>
    </row>
    <row r="2252" spans="3:20">
      <c r="C2252" s="106">
        <v>44937</v>
      </c>
      <c r="D2252" s="48">
        <v>3.54</v>
      </c>
      <c r="S2252" s="106"/>
      <c r="T2252" s="48"/>
    </row>
    <row r="2253" spans="3:20">
      <c r="C2253" s="106">
        <v>44936</v>
      </c>
      <c r="D2253" s="48">
        <v>3.61</v>
      </c>
      <c r="S2253" s="106"/>
      <c r="T2253" s="48"/>
    </row>
    <row r="2254" spans="3:20">
      <c r="C2254" s="106">
        <v>44935</v>
      </c>
      <c r="D2254" s="48">
        <v>3.53</v>
      </c>
      <c r="S2254" s="106"/>
      <c r="T2254" s="48"/>
    </row>
    <row r="2255" spans="3:20">
      <c r="C2255" s="106">
        <v>44932</v>
      </c>
      <c r="D2255" s="48">
        <v>3.55</v>
      </c>
      <c r="S2255" s="106"/>
      <c r="T2255" s="48"/>
    </row>
    <row r="2256" spans="3:20">
      <c r="C2256" s="106">
        <v>44931</v>
      </c>
      <c r="D2256" s="48">
        <v>3.71</v>
      </c>
      <c r="S2256" s="106"/>
      <c r="T2256" s="48"/>
    </row>
    <row r="2257" spans="3:20">
      <c r="C2257" s="106">
        <v>44930</v>
      </c>
      <c r="D2257" s="48">
        <v>3.69</v>
      </c>
      <c r="S2257" s="106"/>
      <c r="T2257" s="48"/>
    </row>
    <row r="2258" spans="3:20">
      <c r="C2258" s="106">
        <v>44929</v>
      </c>
      <c r="D2258" s="48">
        <v>3.79</v>
      </c>
      <c r="S2258" s="106"/>
      <c r="T2258" s="48"/>
    </row>
    <row r="2259" spans="3:20">
      <c r="C2259" s="106">
        <v>45657</v>
      </c>
      <c r="D2259" s="48">
        <v>4.58</v>
      </c>
      <c r="S2259" s="106"/>
      <c r="T2259" s="48"/>
    </row>
    <row r="2260" spans="3:20">
      <c r="C2260" s="106">
        <v>45656</v>
      </c>
      <c r="D2260" s="48">
        <v>4.55</v>
      </c>
      <c r="S2260" s="106"/>
      <c r="T2260" s="48"/>
    </row>
    <row r="2261" spans="3:20">
      <c r="C2261" s="106">
        <v>45653</v>
      </c>
      <c r="D2261" s="48">
        <v>4.62</v>
      </c>
      <c r="S2261" s="106"/>
      <c r="T2261" s="48"/>
    </row>
    <row r="2262" spans="3:20">
      <c r="C2262" s="106">
        <v>45652</v>
      </c>
      <c r="D2262" s="48">
        <v>4.58</v>
      </c>
      <c r="S2262" s="106"/>
      <c r="T2262" s="48"/>
    </row>
    <row r="2263" spans="3:20">
      <c r="C2263" s="106">
        <v>45650</v>
      </c>
      <c r="D2263" s="48">
        <v>4.59</v>
      </c>
      <c r="S2263" s="106"/>
      <c r="T2263" s="48"/>
    </row>
    <row r="2264" spans="3:20">
      <c r="C2264" s="106">
        <v>45649</v>
      </c>
      <c r="D2264" s="48">
        <v>4.59</v>
      </c>
      <c r="S2264" s="106"/>
      <c r="T2264" s="48"/>
    </row>
    <row r="2265" spans="3:20">
      <c r="C2265" s="106">
        <v>45646</v>
      </c>
      <c r="D2265" s="48">
        <v>4.5199999999999996</v>
      </c>
      <c r="S2265" s="106"/>
      <c r="T2265" s="48"/>
    </row>
    <row r="2266" spans="3:20">
      <c r="C2266" s="106">
        <v>45645</v>
      </c>
      <c r="D2266" s="48">
        <v>4.57</v>
      </c>
      <c r="S2266" s="106"/>
      <c r="T2266" s="48"/>
    </row>
    <row r="2267" spans="3:20">
      <c r="C2267" s="106">
        <v>45644</v>
      </c>
      <c r="D2267" s="48">
        <v>4.5</v>
      </c>
      <c r="S2267" s="106"/>
      <c r="T2267" s="48"/>
    </row>
    <row r="2268" spans="3:20">
      <c r="C2268" s="106">
        <v>45643</v>
      </c>
      <c r="D2268" s="48">
        <v>4.4000000000000004</v>
      </c>
      <c r="S2268" s="106"/>
      <c r="T2268" s="48"/>
    </row>
    <row r="2269" spans="3:20">
      <c r="C2269" s="106">
        <v>45642</v>
      </c>
      <c r="D2269" s="48">
        <v>4.3899999999999997</v>
      </c>
      <c r="S2269" s="106"/>
      <c r="T2269" s="48"/>
    </row>
    <row r="2270" spans="3:20">
      <c r="C2270" s="106">
        <v>45639</v>
      </c>
      <c r="D2270" s="48">
        <v>4.4000000000000004</v>
      </c>
      <c r="S2270" s="106"/>
      <c r="T2270" s="48"/>
    </row>
    <row r="2271" spans="3:20">
      <c r="C2271" s="106">
        <v>45638</v>
      </c>
      <c r="D2271" s="48">
        <v>4.32</v>
      </c>
      <c r="S2271" s="106"/>
      <c r="T2271" s="48"/>
    </row>
    <row r="2272" spans="3:20">
      <c r="C2272" s="106">
        <v>45637</v>
      </c>
      <c r="D2272" s="48">
        <v>4.26</v>
      </c>
      <c r="S2272" s="106"/>
      <c r="T2272" s="48"/>
    </row>
    <row r="2273" spans="3:20">
      <c r="C2273" s="106">
        <v>45636</v>
      </c>
      <c r="D2273" s="48">
        <v>4.22</v>
      </c>
      <c r="S2273" s="106"/>
      <c r="T2273" s="48"/>
    </row>
    <row r="2274" spans="3:20">
      <c r="C2274" s="106">
        <v>45635</v>
      </c>
      <c r="D2274" s="48">
        <v>4.2</v>
      </c>
      <c r="S2274" s="106"/>
      <c r="T2274" s="48"/>
    </row>
    <row r="2275" spans="3:20">
      <c r="C2275" s="106">
        <v>45632</v>
      </c>
      <c r="D2275" s="48">
        <v>4.1500000000000004</v>
      </c>
      <c r="S2275" s="106"/>
      <c r="T2275" s="48"/>
    </row>
    <row r="2276" spans="3:20">
      <c r="C2276" s="106">
        <v>45631</v>
      </c>
      <c r="D2276" s="48">
        <v>4.17</v>
      </c>
      <c r="S2276" s="106"/>
      <c r="T2276" s="48"/>
    </row>
    <row r="2277" spans="3:20">
      <c r="C2277" s="106">
        <v>45630</v>
      </c>
      <c r="D2277" s="48">
        <v>4.1900000000000004</v>
      </c>
      <c r="S2277" s="106"/>
      <c r="T2277" s="48"/>
    </row>
    <row r="2278" spans="3:20">
      <c r="C2278" s="106">
        <v>45629</v>
      </c>
      <c r="D2278" s="48">
        <v>4.2300000000000004</v>
      </c>
      <c r="S2278" s="106"/>
      <c r="T2278" s="48"/>
    </row>
    <row r="2279" spans="3:20">
      <c r="C2279" s="106">
        <v>45628</v>
      </c>
      <c r="D2279" s="48">
        <v>4.1900000000000004</v>
      </c>
      <c r="S2279" s="106"/>
      <c r="T2279" s="48"/>
    </row>
    <row r="2280" spans="3:20">
      <c r="C2280" s="106">
        <v>45625</v>
      </c>
      <c r="D2280" s="48">
        <v>4.18</v>
      </c>
      <c r="S2280" s="106"/>
      <c r="T2280" s="48"/>
    </row>
    <row r="2281" spans="3:20">
      <c r="C2281" s="106">
        <v>45623</v>
      </c>
      <c r="D2281" s="48">
        <v>4.25</v>
      </c>
      <c r="S2281" s="106"/>
      <c r="T2281" s="48"/>
    </row>
    <row r="2282" spans="3:20">
      <c r="C2282" s="106">
        <v>45622</v>
      </c>
      <c r="D2282" s="48">
        <v>4.3</v>
      </c>
      <c r="S2282" s="106"/>
      <c r="T2282" s="48"/>
    </row>
    <row r="2283" spans="3:20">
      <c r="C2283" s="106">
        <v>45621</v>
      </c>
      <c r="D2283" s="48">
        <v>4.2699999999999996</v>
      </c>
      <c r="S2283" s="106"/>
      <c r="T2283" s="48"/>
    </row>
    <row r="2284" spans="3:20">
      <c r="C2284" s="106">
        <v>45618</v>
      </c>
      <c r="D2284" s="48">
        <v>4.41</v>
      </c>
      <c r="S2284" s="106"/>
      <c r="T2284" s="48"/>
    </row>
    <row r="2285" spans="3:20">
      <c r="C2285" s="106">
        <v>45617</v>
      </c>
      <c r="D2285" s="48">
        <v>4.43</v>
      </c>
      <c r="S2285" s="106"/>
      <c r="T2285" s="48"/>
    </row>
    <row r="2286" spans="3:20">
      <c r="C2286" s="106">
        <v>45616</v>
      </c>
      <c r="D2286" s="48">
        <v>4.41</v>
      </c>
      <c r="S2286" s="106"/>
      <c r="T2286" s="48"/>
    </row>
    <row r="2287" spans="3:20">
      <c r="C2287" s="106">
        <v>45615</v>
      </c>
      <c r="D2287" s="48">
        <v>4.3899999999999997</v>
      </c>
      <c r="S2287" s="106"/>
      <c r="T2287" s="48"/>
    </row>
    <row r="2288" spans="3:20">
      <c r="C2288" s="106">
        <v>45614</v>
      </c>
      <c r="D2288" s="48">
        <v>4.42</v>
      </c>
      <c r="S2288" s="106"/>
      <c r="T2288" s="48"/>
    </row>
    <row r="2289" spans="3:20">
      <c r="C2289" s="106">
        <v>45611</v>
      </c>
      <c r="D2289" s="48">
        <v>4.43</v>
      </c>
      <c r="S2289" s="106"/>
      <c r="T2289" s="48"/>
    </row>
    <row r="2290" spans="3:20">
      <c r="C2290" s="106">
        <v>45610</v>
      </c>
      <c r="D2290" s="48">
        <v>4.43</v>
      </c>
      <c r="S2290" s="106"/>
      <c r="T2290" s="48"/>
    </row>
    <row r="2291" spans="3:20">
      <c r="C2291" s="106">
        <v>45609</v>
      </c>
      <c r="D2291" s="48">
        <v>4.4400000000000004</v>
      </c>
      <c r="S2291" s="106"/>
      <c r="T2291" s="48"/>
    </row>
    <row r="2292" spans="3:20">
      <c r="C2292" s="106">
        <v>45608</v>
      </c>
      <c r="D2292" s="48">
        <v>4.43</v>
      </c>
      <c r="S2292" s="106"/>
      <c r="T2292" s="48"/>
    </row>
    <row r="2293" spans="3:20">
      <c r="C2293" s="106">
        <v>45604</v>
      </c>
      <c r="D2293" s="48">
        <v>4.3</v>
      </c>
      <c r="S2293" s="106"/>
      <c r="T2293" s="48"/>
    </row>
    <row r="2294" spans="3:20">
      <c r="C2294" s="106">
        <v>45603</v>
      </c>
      <c r="D2294" s="48">
        <v>4.3099999999999996</v>
      </c>
      <c r="S2294" s="106"/>
      <c r="T2294" s="48"/>
    </row>
    <row r="2295" spans="3:20">
      <c r="C2295" s="106">
        <v>45602</v>
      </c>
      <c r="D2295" s="48">
        <v>4.42</v>
      </c>
      <c r="S2295" s="106"/>
      <c r="T2295" s="48"/>
    </row>
    <row r="2296" spans="3:20">
      <c r="C2296" s="106">
        <v>45601</v>
      </c>
      <c r="D2296" s="48">
        <v>4.26</v>
      </c>
      <c r="S2296" s="106"/>
      <c r="T2296" s="48"/>
    </row>
    <row r="2297" spans="3:20">
      <c r="C2297" s="106">
        <v>45600</v>
      </c>
      <c r="D2297" s="48">
        <v>4.3099999999999996</v>
      </c>
      <c r="S2297" s="106"/>
      <c r="T2297" s="48"/>
    </row>
    <row r="2298" spans="3:20">
      <c r="C2298" s="106">
        <v>45597</v>
      </c>
      <c r="D2298" s="48">
        <v>4.37</v>
      </c>
      <c r="S2298" s="106"/>
      <c r="T2298" s="48"/>
    </row>
    <row r="2299" spans="3:20">
      <c r="C2299" s="106">
        <v>45596</v>
      </c>
      <c r="D2299" s="48">
        <v>4.28</v>
      </c>
      <c r="S2299" s="106"/>
      <c r="T2299" s="48"/>
    </row>
    <row r="2300" spans="3:20">
      <c r="C2300" s="106">
        <v>45595</v>
      </c>
      <c r="D2300" s="48">
        <v>4.29</v>
      </c>
      <c r="S2300" s="106"/>
      <c r="T2300" s="48"/>
    </row>
    <row r="2301" spans="3:20">
      <c r="C2301" s="106">
        <v>45594</v>
      </c>
      <c r="D2301" s="48">
        <v>4.28</v>
      </c>
      <c r="S2301" s="106"/>
      <c r="T2301" s="48"/>
    </row>
    <row r="2302" spans="3:20">
      <c r="C2302" s="106">
        <v>45593</v>
      </c>
      <c r="D2302" s="48">
        <v>4.28</v>
      </c>
      <c r="S2302" s="106"/>
      <c r="T2302" s="48"/>
    </row>
    <row r="2303" spans="3:20">
      <c r="C2303" s="106">
        <v>45590</v>
      </c>
      <c r="D2303" s="48">
        <v>4.25</v>
      </c>
      <c r="S2303" s="106"/>
      <c r="T2303" s="48"/>
    </row>
    <row r="2304" spans="3:20">
      <c r="C2304" s="106">
        <v>45589</v>
      </c>
      <c r="D2304" s="48">
        <v>4.21</v>
      </c>
      <c r="S2304" s="106"/>
      <c r="T2304" s="48"/>
    </row>
    <row r="2305" spans="3:20">
      <c r="C2305" s="106">
        <v>45588</v>
      </c>
      <c r="D2305" s="48">
        <v>4.24</v>
      </c>
      <c r="S2305" s="106"/>
      <c r="T2305" s="48"/>
    </row>
    <row r="2306" spans="3:20">
      <c r="C2306" s="106">
        <v>45587</v>
      </c>
      <c r="D2306" s="48">
        <v>4.2</v>
      </c>
      <c r="S2306" s="106"/>
      <c r="T2306" s="48"/>
    </row>
    <row r="2307" spans="3:20">
      <c r="C2307" s="106">
        <v>45586</v>
      </c>
      <c r="D2307" s="48">
        <v>4.1900000000000004</v>
      </c>
      <c r="S2307" s="106"/>
      <c r="T2307" s="48"/>
    </row>
    <row r="2308" spans="3:20">
      <c r="C2308" s="106">
        <v>45583</v>
      </c>
      <c r="D2308" s="48">
        <v>4.08</v>
      </c>
      <c r="S2308" s="106"/>
      <c r="T2308" s="48"/>
    </row>
    <row r="2309" spans="3:20">
      <c r="C2309" s="106">
        <v>45582</v>
      </c>
      <c r="D2309" s="48">
        <v>4.09</v>
      </c>
      <c r="S2309" s="106"/>
      <c r="T2309" s="48"/>
    </row>
    <row r="2310" spans="3:20">
      <c r="C2310" s="106">
        <v>45581</v>
      </c>
      <c r="D2310" s="48">
        <v>4.0199999999999996</v>
      </c>
      <c r="S2310" s="106"/>
      <c r="T2310" s="48"/>
    </row>
    <row r="2311" spans="3:20">
      <c r="C2311" s="106">
        <v>45580</v>
      </c>
      <c r="D2311" s="48">
        <v>4.03</v>
      </c>
      <c r="S2311" s="106"/>
      <c r="T2311" s="48"/>
    </row>
    <row r="2312" spans="3:20">
      <c r="C2312" s="106">
        <v>45576</v>
      </c>
      <c r="D2312" s="48">
        <v>4.08</v>
      </c>
      <c r="S2312" s="106"/>
      <c r="T2312" s="48"/>
    </row>
    <row r="2313" spans="3:20">
      <c r="C2313" s="106">
        <v>45575</v>
      </c>
      <c r="D2313" s="48">
        <v>4.09</v>
      </c>
      <c r="S2313" s="106"/>
      <c r="T2313" s="48"/>
    </row>
    <row r="2314" spans="3:20">
      <c r="C2314" s="106">
        <v>45574</v>
      </c>
      <c r="D2314" s="48">
        <v>4.0599999999999996</v>
      </c>
      <c r="S2314" s="106"/>
      <c r="T2314" s="48"/>
    </row>
    <row r="2315" spans="3:20">
      <c r="C2315" s="106">
        <v>45573</v>
      </c>
      <c r="D2315" s="48">
        <v>4.04</v>
      </c>
      <c r="S2315" s="106"/>
      <c r="T2315" s="48"/>
    </row>
    <row r="2316" spans="3:20">
      <c r="C2316" s="106">
        <v>45572</v>
      </c>
      <c r="D2316" s="48">
        <v>4.03</v>
      </c>
      <c r="S2316" s="106"/>
      <c r="T2316" s="48"/>
    </row>
    <row r="2317" spans="3:20">
      <c r="C2317" s="106">
        <v>45569</v>
      </c>
      <c r="D2317" s="48">
        <v>3.98</v>
      </c>
      <c r="S2317" s="106"/>
      <c r="T2317" s="48"/>
    </row>
    <row r="2318" spans="3:20">
      <c r="C2318" s="106">
        <v>45568</v>
      </c>
      <c r="D2318" s="48">
        <v>3.85</v>
      </c>
      <c r="S2318" s="106"/>
      <c r="T2318" s="48"/>
    </row>
    <row r="2319" spans="3:20">
      <c r="C2319" s="106">
        <v>45567</v>
      </c>
      <c r="D2319" s="48">
        <v>3.79</v>
      </c>
      <c r="S2319" s="106"/>
      <c r="T2319" s="48"/>
    </row>
    <row r="2320" spans="3:20">
      <c r="C2320" s="106">
        <v>45566</v>
      </c>
      <c r="D2320" s="48">
        <v>3.74</v>
      </c>
      <c r="S2320" s="106"/>
      <c r="T2320" s="48"/>
    </row>
    <row r="2321" spans="3:20">
      <c r="C2321" s="106">
        <v>45565</v>
      </c>
      <c r="D2321" s="48">
        <v>3.81</v>
      </c>
      <c r="S2321" s="106"/>
      <c r="T2321" s="48"/>
    </row>
    <row r="2322" spans="3:20">
      <c r="C2322" s="106">
        <v>45562</v>
      </c>
      <c r="D2322" s="48">
        <v>3.75</v>
      </c>
      <c r="S2322" s="106"/>
      <c r="T2322" s="48"/>
    </row>
    <row r="2323" spans="3:20">
      <c r="C2323" s="106">
        <v>45561</v>
      </c>
      <c r="D2323" s="48">
        <v>3.79</v>
      </c>
      <c r="S2323" s="106"/>
      <c r="T2323" s="48"/>
    </row>
    <row r="2324" spans="3:20">
      <c r="C2324" s="106">
        <v>45560</v>
      </c>
      <c r="D2324" s="48">
        <v>3.79</v>
      </c>
      <c r="S2324" s="106"/>
      <c r="T2324" s="48"/>
    </row>
    <row r="2325" spans="3:20">
      <c r="C2325" s="106">
        <v>45559</v>
      </c>
      <c r="D2325" s="48">
        <v>3.74</v>
      </c>
      <c r="S2325" s="106"/>
      <c r="T2325" s="48"/>
    </row>
    <row r="2326" spans="3:20">
      <c r="C2326" s="106">
        <v>45558</v>
      </c>
      <c r="D2326" s="48">
        <v>3.75</v>
      </c>
      <c r="S2326" s="106"/>
      <c r="T2326" s="48"/>
    </row>
    <row r="2327" spans="3:20">
      <c r="C2327" s="106">
        <v>45555</v>
      </c>
      <c r="D2327" s="48">
        <v>3.73</v>
      </c>
      <c r="S2327" s="106"/>
      <c r="T2327" s="48"/>
    </row>
    <row r="2328" spans="3:20">
      <c r="C2328" s="106">
        <v>45554</v>
      </c>
      <c r="D2328" s="48">
        <v>3.73</v>
      </c>
      <c r="S2328" s="106"/>
      <c r="T2328" s="48"/>
    </row>
    <row r="2329" spans="3:20">
      <c r="C2329" s="106">
        <v>45553</v>
      </c>
      <c r="D2329" s="48">
        <v>3.7</v>
      </c>
      <c r="S2329" s="106"/>
      <c r="T2329" s="48"/>
    </row>
    <row r="2330" spans="3:20">
      <c r="C2330" s="106">
        <v>45552</v>
      </c>
      <c r="D2330" s="48">
        <v>3.65</v>
      </c>
      <c r="S2330" s="106"/>
      <c r="T2330" s="48"/>
    </row>
    <row r="2331" spans="3:20">
      <c r="C2331" s="106">
        <v>45551</v>
      </c>
      <c r="D2331" s="48">
        <v>3.63</v>
      </c>
      <c r="S2331" s="106"/>
      <c r="T2331" s="48"/>
    </row>
    <row r="2332" spans="3:20">
      <c r="C2332" s="106">
        <v>45548</v>
      </c>
      <c r="D2332" s="48">
        <v>3.66</v>
      </c>
      <c r="S2332" s="106"/>
      <c r="T2332" s="48"/>
    </row>
    <row r="2333" spans="3:20">
      <c r="C2333" s="106">
        <v>45547</v>
      </c>
      <c r="D2333" s="48">
        <v>3.68</v>
      </c>
      <c r="S2333" s="106"/>
      <c r="T2333" s="48"/>
    </row>
    <row r="2334" spans="3:20">
      <c r="C2334" s="106">
        <v>45546</v>
      </c>
      <c r="D2334" s="48">
        <v>3.65</v>
      </c>
      <c r="S2334" s="106"/>
      <c r="T2334" s="48"/>
    </row>
    <row r="2335" spans="3:20">
      <c r="C2335" s="106">
        <v>45545</v>
      </c>
      <c r="D2335" s="48">
        <v>3.65</v>
      </c>
      <c r="S2335" s="106"/>
      <c r="T2335" s="48"/>
    </row>
    <row r="2336" spans="3:20">
      <c r="C2336" s="106">
        <v>45544</v>
      </c>
      <c r="D2336" s="48">
        <v>3.7</v>
      </c>
      <c r="S2336" s="106"/>
      <c r="T2336" s="48"/>
    </row>
    <row r="2337" spans="3:20">
      <c r="C2337" s="106">
        <v>45541</v>
      </c>
      <c r="D2337" s="48">
        <v>3.72</v>
      </c>
      <c r="S2337" s="106"/>
      <c r="T2337" s="48"/>
    </row>
    <row r="2338" spans="3:20">
      <c r="C2338" s="106">
        <v>45540</v>
      </c>
      <c r="D2338" s="48">
        <v>3.73</v>
      </c>
      <c r="S2338" s="106"/>
      <c r="T2338" s="48"/>
    </row>
    <row r="2339" spans="3:20">
      <c r="C2339" s="106">
        <v>45539</v>
      </c>
      <c r="D2339" s="48">
        <v>3.77</v>
      </c>
      <c r="S2339" s="106"/>
      <c r="T2339" s="48"/>
    </row>
    <row r="2340" spans="3:20">
      <c r="C2340" s="106">
        <v>45538</v>
      </c>
      <c r="D2340" s="48">
        <v>3.84</v>
      </c>
      <c r="S2340" s="106"/>
      <c r="T2340" s="48"/>
    </row>
    <row r="2341" spans="3:20">
      <c r="C2341" s="106">
        <v>45534</v>
      </c>
      <c r="D2341" s="48">
        <v>3.91</v>
      </c>
      <c r="S2341" s="106"/>
      <c r="T2341" s="48"/>
    </row>
    <row r="2342" spans="3:20">
      <c r="C2342" s="106">
        <v>45533</v>
      </c>
      <c r="D2342" s="48">
        <v>3.87</v>
      </c>
      <c r="S2342" s="106"/>
      <c r="T2342" s="48"/>
    </row>
    <row r="2343" spans="3:20">
      <c r="C2343" s="106">
        <v>45532</v>
      </c>
      <c r="D2343" s="48">
        <v>3.84</v>
      </c>
      <c r="S2343" s="106"/>
      <c r="T2343" s="48"/>
    </row>
    <row r="2344" spans="3:20">
      <c r="C2344" s="106">
        <v>45531</v>
      </c>
      <c r="D2344" s="48">
        <v>3.83</v>
      </c>
      <c r="S2344" s="106"/>
      <c r="T2344" s="48"/>
    </row>
    <row r="2345" spans="3:20">
      <c r="C2345" s="106">
        <v>45530</v>
      </c>
      <c r="D2345" s="48">
        <v>3.82</v>
      </c>
      <c r="S2345" s="106"/>
      <c r="T2345" s="48"/>
    </row>
    <row r="2346" spans="3:20">
      <c r="C2346" s="106">
        <v>45527</v>
      </c>
      <c r="D2346" s="48">
        <v>3.81</v>
      </c>
      <c r="S2346" s="106"/>
      <c r="T2346" s="48"/>
    </row>
    <row r="2347" spans="3:20">
      <c r="C2347" s="106">
        <v>45526</v>
      </c>
      <c r="D2347" s="48">
        <v>3.86</v>
      </c>
      <c r="S2347" s="106"/>
      <c r="T2347" s="48"/>
    </row>
    <row r="2348" spans="3:20">
      <c r="C2348" s="106">
        <v>45525</v>
      </c>
      <c r="D2348" s="48">
        <v>3.79</v>
      </c>
      <c r="S2348" s="106"/>
      <c r="T2348" s="48"/>
    </row>
    <row r="2349" spans="3:20">
      <c r="C2349" s="106">
        <v>45524</v>
      </c>
      <c r="D2349" s="48">
        <v>3.82</v>
      </c>
      <c r="S2349" s="106"/>
      <c r="T2349" s="48"/>
    </row>
    <row r="2350" spans="3:20">
      <c r="C2350" s="106">
        <v>45523</v>
      </c>
      <c r="D2350" s="48">
        <v>3.86</v>
      </c>
      <c r="S2350" s="106"/>
      <c r="T2350" s="48"/>
    </row>
    <row r="2351" spans="3:20">
      <c r="C2351" s="106">
        <v>45520</v>
      </c>
      <c r="D2351" s="48">
        <v>3.89</v>
      </c>
      <c r="S2351" s="106"/>
      <c r="T2351" s="48"/>
    </row>
    <row r="2352" spans="3:20">
      <c r="C2352" s="106">
        <v>45519</v>
      </c>
      <c r="D2352" s="48">
        <v>3.92</v>
      </c>
      <c r="S2352" s="106"/>
      <c r="T2352" s="48"/>
    </row>
    <row r="2353" spans="3:20">
      <c r="C2353" s="106">
        <v>45518</v>
      </c>
      <c r="D2353" s="48">
        <v>3.83</v>
      </c>
      <c r="S2353" s="106"/>
      <c r="T2353" s="48"/>
    </row>
    <row r="2354" spans="3:20">
      <c r="C2354" s="106">
        <v>45517</v>
      </c>
      <c r="D2354" s="48">
        <v>3.85</v>
      </c>
      <c r="S2354" s="106"/>
      <c r="T2354" s="48"/>
    </row>
    <row r="2355" spans="3:20">
      <c r="C2355" s="106">
        <v>45516</v>
      </c>
      <c r="D2355" s="48">
        <v>3.9</v>
      </c>
      <c r="S2355" s="106"/>
      <c r="T2355" s="48"/>
    </row>
    <row r="2356" spans="3:20">
      <c r="C2356" s="106">
        <v>45513</v>
      </c>
      <c r="D2356" s="48">
        <v>3.94</v>
      </c>
      <c r="S2356" s="106"/>
      <c r="T2356" s="48"/>
    </row>
    <row r="2357" spans="3:20">
      <c r="C2357" s="106">
        <v>45512</v>
      </c>
      <c r="D2357" s="48">
        <v>3.99</v>
      </c>
      <c r="S2357" s="106"/>
      <c r="T2357" s="48"/>
    </row>
    <row r="2358" spans="3:20">
      <c r="C2358" s="106">
        <v>45511</v>
      </c>
      <c r="D2358" s="48">
        <v>3.96</v>
      </c>
      <c r="S2358" s="106"/>
      <c r="T2358" s="48"/>
    </row>
    <row r="2359" spans="3:20">
      <c r="C2359" s="106">
        <v>45510</v>
      </c>
      <c r="D2359" s="48">
        <v>3.9</v>
      </c>
      <c r="S2359" s="106"/>
      <c r="T2359" s="48"/>
    </row>
    <row r="2360" spans="3:20">
      <c r="C2360" s="106">
        <v>45509</v>
      </c>
      <c r="D2360" s="48">
        <v>3.78</v>
      </c>
      <c r="S2360" s="106"/>
      <c r="T2360" s="48"/>
    </row>
    <row r="2361" spans="3:20">
      <c r="C2361" s="106">
        <v>45506</v>
      </c>
      <c r="D2361" s="48">
        <v>3.8</v>
      </c>
      <c r="S2361" s="106"/>
      <c r="T2361" s="48"/>
    </row>
    <row r="2362" spans="3:20">
      <c r="C2362" s="106">
        <v>45505</v>
      </c>
      <c r="D2362" s="48">
        <v>3.99</v>
      </c>
      <c r="S2362" s="106"/>
      <c r="T2362" s="48"/>
    </row>
    <row r="2363" spans="3:20">
      <c r="C2363" s="106">
        <v>45504</v>
      </c>
      <c r="D2363" s="48">
        <v>4.09</v>
      </c>
      <c r="S2363" s="106"/>
      <c r="T2363" s="48"/>
    </row>
    <row r="2364" spans="3:20">
      <c r="C2364" s="106">
        <v>45503</v>
      </c>
      <c r="D2364" s="48">
        <v>4.1500000000000004</v>
      </c>
      <c r="S2364" s="106"/>
      <c r="T2364" s="48"/>
    </row>
    <row r="2365" spans="3:20">
      <c r="C2365" s="106">
        <v>45502</v>
      </c>
      <c r="D2365" s="48">
        <v>4.17</v>
      </c>
      <c r="S2365" s="106"/>
      <c r="T2365" s="48"/>
    </row>
    <row r="2366" spans="3:20">
      <c r="C2366" s="106">
        <v>45499</v>
      </c>
      <c r="D2366" s="48">
        <v>4.2</v>
      </c>
      <c r="S2366" s="106"/>
      <c r="T2366" s="48"/>
    </row>
    <row r="2367" spans="3:20">
      <c r="C2367" s="106">
        <v>45498</v>
      </c>
      <c r="D2367" s="48">
        <v>4.2699999999999996</v>
      </c>
      <c r="S2367" s="106"/>
      <c r="T2367" s="48"/>
    </row>
    <row r="2368" spans="3:20">
      <c r="C2368" s="106">
        <v>45497</v>
      </c>
      <c r="D2368" s="48">
        <v>4.28</v>
      </c>
      <c r="S2368" s="106"/>
      <c r="T2368" s="48"/>
    </row>
    <row r="2369" spans="3:20">
      <c r="C2369" s="106">
        <v>45496</v>
      </c>
      <c r="D2369" s="48">
        <v>4.25</v>
      </c>
      <c r="S2369" s="106"/>
      <c r="T2369" s="48"/>
    </row>
    <row r="2370" spans="3:20">
      <c r="C2370" s="106">
        <v>45495</v>
      </c>
      <c r="D2370" s="48">
        <v>4.26</v>
      </c>
      <c r="S2370" s="106"/>
      <c r="T2370" s="48"/>
    </row>
    <row r="2371" spans="3:20">
      <c r="C2371" s="106">
        <v>45492</v>
      </c>
      <c r="D2371" s="48">
        <v>4.25</v>
      </c>
      <c r="S2371" s="106"/>
      <c r="T2371" s="48"/>
    </row>
    <row r="2372" spans="3:20">
      <c r="C2372" s="106">
        <v>45491</v>
      </c>
      <c r="D2372" s="48">
        <v>4.2</v>
      </c>
      <c r="S2372" s="106"/>
      <c r="T2372" s="48"/>
    </row>
    <row r="2373" spans="3:20">
      <c r="C2373" s="106">
        <v>45490</v>
      </c>
      <c r="D2373" s="48">
        <v>4.16</v>
      </c>
      <c r="S2373" s="106"/>
      <c r="T2373" s="48"/>
    </row>
    <row r="2374" spans="3:20">
      <c r="C2374" s="106">
        <v>45489</v>
      </c>
      <c r="D2374" s="48">
        <v>4.17</v>
      </c>
      <c r="S2374" s="106"/>
      <c r="T2374" s="48"/>
    </row>
    <row r="2375" spans="3:20">
      <c r="C2375" s="106">
        <v>45488</v>
      </c>
      <c r="D2375" s="48">
        <v>4.2300000000000004</v>
      </c>
      <c r="S2375" s="106"/>
      <c r="T2375" s="48"/>
    </row>
    <row r="2376" spans="3:20">
      <c r="C2376" s="106">
        <v>45485</v>
      </c>
      <c r="D2376" s="48">
        <v>4.18</v>
      </c>
      <c r="S2376" s="106"/>
      <c r="T2376" s="48"/>
    </row>
    <row r="2377" spans="3:20">
      <c r="C2377" s="106">
        <v>45484</v>
      </c>
      <c r="D2377" s="48">
        <v>4.2</v>
      </c>
      <c r="S2377" s="106"/>
      <c r="T2377" s="48"/>
    </row>
    <row r="2378" spans="3:20">
      <c r="C2378" s="106">
        <v>45483</v>
      </c>
      <c r="D2378" s="48">
        <v>4.28</v>
      </c>
      <c r="S2378" s="106"/>
      <c r="T2378" s="48"/>
    </row>
    <row r="2379" spans="3:20">
      <c r="C2379" s="106">
        <v>45482</v>
      </c>
      <c r="D2379" s="48">
        <v>4.3</v>
      </c>
      <c r="S2379" s="106"/>
      <c r="T2379" s="48"/>
    </row>
    <row r="2380" spans="3:20">
      <c r="C2380" s="106">
        <v>45481</v>
      </c>
      <c r="D2380" s="48">
        <v>4.28</v>
      </c>
      <c r="S2380" s="106"/>
      <c r="T2380" s="48"/>
    </row>
    <row r="2381" spans="3:20">
      <c r="C2381" s="106">
        <v>45478</v>
      </c>
      <c r="D2381" s="48">
        <v>4.28</v>
      </c>
      <c r="S2381" s="106"/>
      <c r="T2381" s="48"/>
    </row>
    <row r="2382" spans="3:20">
      <c r="C2382" s="106">
        <v>45476</v>
      </c>
      <c r="D2382" s="48">
        <v>4.3600000000000003</v>
      </c>
      <c r="S2382" s="106"/>
      <c r="T2382" s="48"/>
    </row>
    <row r="2383" spans="3:20">
      <c r="C2383" s="106">
        <v>45475</v>
      </c>
      <c r="D2383" s="48">
        <v>4.43</v>
      </c>
      <c r="S2383" s="106"/>
      <c r="T2383" s="48"/>
    </row>
    <row r="2384" spans="3:20">
      <c r="C2384" s="106">
        <v>45474</v>
      </c>
      <c r="D2384" s="48">
        <v>4.4800000000000004</v>
      </c>
      <c r="S2384" s="106"/>
      <c r="T2384" s="48"/>
    </row>
    <row r="2385" spans="3:20">
      <c r="C2385" s="106">
        <v>45471</v>
      </c>
      <c r="D2385" s="48">
        <v>4.3600000000000003</v>
      </c>
      <c r="S2385" s="106"/>
      <c r="T2385" s="48"/>
    </row>
    <row r="2386" spans="3:20">
      <c r="C2386" s="106">
        <v>45470</v>
      </c>
      <c r="D2386" s="48">
        <v>4.29</v>
      </c>
      <c r="S2386" s="106"/>
      <c r="T2386" s="48"/>
    </row>
    <row r="2387" spans="3:20">
      <c r="C2387" s="106">
        <v>45469</v>
      </c>
      <c r="D2387" s="48">
        <v>4.32</v>
      </c>
      <c r="S2387" s="106"/>
      <c r="T2387" s="48"/>
    </row>
    <row r="2388" spans="3:20">
      <c r="C2388" s="106">
        <v>45468</v>
      </c>
      <c r="D2388" s="48">
        <v>4.2300000000000004</v>
      </c>
      <c r="S2388" s="106"/>
      <c r="T2388" s="48"/>
    </row>
    <row r="2389" spans="3:20">
      <c r="C2389" s="106">
        <v>45467</v>
      </c>
      <c r="D2389" s="48">
        <v>4.25</v>
      </c>
      <c r="S2389" s="106"/>
      <c r="T2389" s="48"/>
    </row>
    <row r="2390" spans="3:20">
      <c r="C2390" s="106">
        <v>45464</v>
      </c>
      <c r="D2390" s="48">
        <v>4.25</v>
      </c>
      <c r="S2390" s="106"/>
      <c r="T2390" s="48"/>
    </row>
    <row r="2391" spans="3:20">
      <c r="C2391" s="106">
        <v>45463</v>
      </c>
      <c r="D2391" s="48">
        <v>4.25</v>
      </c>
      <c r="S2391" s="106"/>
      <c r="T2391" s="48"/>
    </row>
    <row r="2392" spans="3:20">
      <c r="C2392" s="106">
        <v>45461</v>
      </c>
      <c r="D2392" s="48">
        <v>4.22</v>
      </c>
      <c r="S2392" s="106"/>
      <c r="T2392" s="48"/>
    </row>
    <row r="2393" spans="3:20">
      <c r="C2393" s="106">
        <v>45460</v>
      </c>
      <c r="D2393" s="48">
        <v>4.28</v>
      </c>
      <c r="S2393" s="106"/>
      <c r="T2393" s="48"/>
    </row>
    <row r="2394" spans="3:20">
      <c r="C2394" s="106">
        <v>45457</v>
      </c>
      <c r="D2394" s="48">
        <v>4.2</v>
      </c>
      <c r="S2394" s="106"/>
      <c r="T2394" s="48"/>
    </row>
    <row r="2395" spans="3:20">
      <c r="C2395" s="106">
        <v>45456</v>
      </c>
      <c r="D2395" s="48">
        <v>4.24</v>
      </c>
      <c r="S2395" s="106"/>
      <c r="T2395" s="48"/>
    </row>
    <row r="2396" spans="3:20">
      <c r="C2396" s="106">
        <v>45455</v>
      </c>
      <c r="D2396" s="48">
        <v>4.3099999999999996</v>
      </c>
      <c r="S2396" s="106"/>
      <c r="T2396" s="48"/>
    </row>
    <row r="2397" spans="3:20">
      <c r="C2397" s="106">
        <v>45454</v>
      </c>
      <c r="D2397" s="48">
        <v>4.3899999999999997</v>
      </c>
      <c r="S2397" s="106"/>
      <c r="T2397" s="48"/>
    </row>
    <row r="2398" spans="3:20">
      <c r="C2398" s="106">
        <v>45453</v>
      </c>
      <c r="D2398" s="48">
        <v>4.47</v>
      </c>
      <c r="S2398" s="106"/>
      <c r="T2398" s="48"/>
    </row>
    <row r="2399" spans="3:20">
      <c r="C2399" s="106">
        <v>45450</v>
      </c>
      <c r="D2399" s="48">
        <v>4.43</v>
      </c>
      <c r="S2399" s="106"/>
      <c r="T2399" s="48"/>
    </row>
    <row r="2400" spans="3:20">
      <c r="C2400" s="106">
        <v>45449</v>
      </c>
      <c r="D2400" s="48">
        <v>4.28</v>
      </c>
      <c r="S2400" s="106"/>
      <c r="T2400" s="48"/>
    </row>
    <row r="2401" spans="3:20">
      <c r="C2401" s="106">
        <v>45448</v>
      </c>
      <c r="D2401" s="48">
        <v>4.29</v>
      </c>
      <c r="S2401" s="106"/>
      <c r="T2401" s="48"/>
    </row>
    <row r="2402" spans="3:20">
      <c r="C2402" s="106">
        <v>45447</v>
      </c>
      <c r="D2402" s="48">
        <v>4.33</v>
      </c>
      <c r="S2402" s="106"/>
      <c r="T2402" s="48"/>
    </row>
    <row r="2403" spans="3:20">
      <c r="C2403" s="106">
        <v>45446</v>
      </c>
      <c r="D2403" s="48">
        <v>4.41</v>
      </c>
      <c r="S2403" s="106"/>
      <c r="T2403" s="48"/>
    </row>
    <row r="2404" spans="3:20">
      <c r="C2404" s="106">
        <v>45443</v>
      </c>
      <c r="D2404" s="48">
        <v>4.51</v>
      </c>
      <c r="S2404" s="106"/>
      <c r="T2404" s="48"/>
    </row>
    <row r="2405" spans="3:20">
      <c r="C2405" s="106">
        <v>45442</v>
      </c>
      <c r="D2405" s="48">
        <v>4.55</v>
      </c>
      <c r="S2405" s="106"/>
      <c r="T2405" s="48"/>
    </row>
    <row r="2406" spans="3:20">
      <c r="C2406" s="106">
        <v>45441</v>
      </c>
      <c r="D2406" s="48">
        <v>4.6100000000000003</v>
      </c>
      <c r="S2406" s="106"/>
      <c r="T2406" s="48"/>
    </row>
    <row r="2407" spans="3:20">
      <c r="C2407" s="106">
        <v>45440</v>
      </c>
      <c r="D2407" s="48">
        <v>4.54</v>
      </c>
      <c r="S2407" s="106"/>
      <c r="T2407" s="48"/>
    </row>
    <row r="2408" spans="3:20">
      <c r="C2408" s="106">
        <v>45436</v>
      </c>
      <c r="D2408" s="48">
        <v>4.46</v>
      </c>
      <c r="S2408" s="106"/>
      <c r="T2408" s="48"/>
    </row>
    <row r="2409" spans="3:20">
      <c r="C2409" s="106">
        <v>45435</v>
      </c>
      <c r="D2409" s="48">
        <v>4.47</v>
      </c>
      <c r="S2409" s="106"/>
      <c r="T2409" s="48"/>
    </row>
    <row r="2410" spans="3:20">
      <c r="C2410" s="106">
        <v>45434</v>
      </c>
      <c r="D2410" s="48">
        <v>4.43</v>
      </c>
      <c r="S2410" s="106"/>
      <c r="T2410" s="48"/>
    </row>
    <row r="2411" spans="3:20">
      <c r="C2411" s="106">
        <v>45433</v>
      </c>
      <c r="D2411" s="48">
        <v>4.41</v>
      </c>
      <c r="S2411" s="106"/>
      <c r="T2411" s="48"/>
    </row>
    <row r="2412" spans="3:20">
      <c r="C2412" s="106">
        <v>45432</v>
      </c>
      <c r="D2412" s="48">
        <v>4.4400000000000004</v>
      </c>
      <c r="S2412" s="106"/>
      <c r="T2412" s="48"/>
    </row>
    <row r="2413" spans="3:20">
      <c r="C2413" s="106">
        <v>45429</v>
      </c>
      <c r="D2413" s="48">
        <v>4.42</v>
      </c>
      <c r="S2413" s="106"/>
      <c r="T2413" s="48"/>
    </row>
    <row r="2414" spans="3:20">
      <c r="C2414" s="106">
        <v>45428</v>
      </c>
      <c r="D2414" s="48">
        <v>4.38</v>
      </c>
      <c r="S2414" s="106"/>
      <c r="T2414" s="48"/>
    </row>
    <row r="2415" spans="3:20">
      <c r="C2415" s="106">
        <v>45427</v>
      </c>
      <c r="D2415" s="48">
        <v>4.3600000000000003</v>
      </c>
      <c r="S2415" s="106"/>
      <c r="T2415" s="48"/>
    </row>
    <row r="2416" spans="3:20">
      <c r="C2416" s="106">
        <v>45426</v>
      </c>
      <c r="D2416" s="48">
        <v>4.45</v>
      </c>
      <c r="S2416" s="106"/>
      <c r="T2416" s="48"/>
    </row>
    <row r="2417" spans="3:20">
      <c r="C2417" s="106">
        <v>45425</v>
      </c>
      <c r="D2417" s="48">
        <v>4.4800000000000004</v>
      </c>
      <c r="S2417" s="106"/>
      <c r="T2417" s="48"/>
    </row>
    <row r="2418" spans="3:20">
      <c r="C2418" s="106">
        <v>45422</v>
      </c>
      <c r="D2418" s="48">
        <v>4.5</v>
      </c>
      <c r="S2418" s="106"/>
      <c r="T2418" s="48"/>
    </row>
    <row r="2419" spans="3:20">
      <c r="C2419" s="106">
        <v>45421</v>
      </c>
      <c r="D2419" s="48">
        <v>4.45</v>
      </c>
      <c r="S2419" s="106"/>
      <c r="T2419" s="48"/>
    </row>
    <row r="2420" spans="3:20">
      <c r="C2420" s="106">
        <v>45420</v>
      </c>
      <c r="D2420" s="48">
        <v>4.4800000000000004</v>
      </c>
      <c r="S2420" s="106"/>
      <c r="T2420" s="48"/>
    </row>
    <row r="2421" spans="3:20">
      <c r="C2421" s="106">
        <v>45419</v>
      </c>
      <c r="D2421" s="48">
        <v>4.47</v>
      </c>
      <c r="S2421" s="106"/>
      <c r="T2421" s="48"/>
    </row>
    <row r="2422" spans="3:20">
      <c r="C2422" s="106">
        <v>45418</v>
      </c>
      <c r="D2422" s="48">
        <v>4.49</v>
      </c>
      <c r="S2422" s="106"/>
      <c r="T2422" s="48"/>
    </row>
    <row r="2423" spans="3:20">
      <c r="C2423" s="106">
        <v>45415</v>
      </c>
      <c r="D2423" s="48">
        <v>4.5</v>
      </c>
      <c r="S2423" s="106"/>
      <c r="T2423" s="48"/>
    </row>
    <row r="2424" spans="3:20">
      <c r="C2424" s="106">
        <v>45414</v>
      </c>
      <c r="D2424" s="48">
        <v>4.58</v>
      </c>
      <c r="S2424" s="106"/>
      <c r="T2424" s="48"/>
    </row>
    <row r="2425" spans="3:20">
      <c r="C2425" s="106">
        <v>45413</v>
      </c>
      <c r="D2425" s="48">
        <v>4.63</v>
      </c>
      <c r="S2425" s="106"/>
      <c r="T2425" s="48"/>
    </row>
    <row r="2426" spans="3:20">
      <c r="C2426" s="106">
        <v>45412</v>
      </c>
      <c r="D2426" s="48">
        <v>4.6900000000000004</v>
      </c>
      <c r="S2426" s="106"/>
      <c r="T2426" s="48"/>
    </row>
    <row r="2427" spans="3:20">
      <c r="C2427" s="106">
        <v>45411</v>
      </c>
      <c r="D2427" s="48">
        <v>4.63</v>
      </c>
      <c r="S2427" s="106"/>
      <c r="T2427" s="48"/>
    </row>
    <row r="2428" spans="3:20">
      <c r="C2428" s="106">
        <v>45408</v>
      </c>
      <c r="D2428" s="48">
        <v>4.67</v>
      </c>
      <c r="S2428" s="106"/>
      <c r="T2428" s="48"/>
    </row>
    <row r="2429" spans="3:20">
      <c r="C2429" s="106">
        <v>45407</v>
      </c>
      <c r="D2429" s="48">
        <v>4.7</v>
      </c>
      <c r="S2429" s="106"/>
      <c r="T2429" s="48"/>
    </row>
    <row r="2430" spans="3:20">
      <c r="C2430" s="106">
        <v>45406</v>
      </c>
      <c r="D2430" s="48">
        <v>4.6500000000000004</v>
      </c>
      <c r="S2430" s="106"/>
      <c r="T2430" s="48"/>
    </row>
    <row r="2431" spans="3:20">
      <c r="C2431" s="106">
        <v>45405</v>
      </c>
      <c r="D2431" s="48">
        <v>4.6100000000000003</v>
      </c>
      <c r="S2431" s="106"/>
      <c r="T2431" s="48"/>
    </row>
    <row r="2432" spans="3:20">
      <c r="C2432" s="106">
        <v>45404</v>
      </c>
      <c r="D2432" s="48">
        <v>4.62</v>
      </c>
      <c r="S2432" s="106"/>
      <c r="T2432" s="48"/>
    </row>
    <row r="2433" spans="3:20">
      <c r="C2433" s="106">
        <v>45401</v>
      </c>
      <c r="D2433" s="48">
        <v>4.62</v>
      </c>
      <c r="S2433" s="106"/>
      <c r="T2433" s="48"/>
    </row>
    <row r="2434" spans="3:20">
      <c r="C2434" s="106">
        <v>45400</v>
      </c>
      <c r="D2434" s="48">
        <v>4.6399999999999997</v>
      </c>
      <c r="S2434" s="106"/>
      <c r="T2434" s="48"/>
    </row>
    <row r="2435" spans="3:20">
      <c r="C2435" s="106">
        <v>45399</v>
      </c>
      <c r="D2435" s="48">
        <v>4.59</v>
      </c>
      <c r="S2435" s="106"/>
      <c r="T2435" s="48"/>
    </row>
    <row r="2436" spans="3:20">
      <c r="C2436" s="106">
        <v>45398</v>
      </c>
      <c r="D2436" s="48">
        <v>4.67</v>
      </c>
      <c r="S2436" s="106"/>
      <c r="T2436" s="48"/>
    </row>
    <row r="2437" spans="3:20">
      <c r="C2437" s="106">
        <v>45397</v>
      </c>
      <c r="D2437" s="48">
        <v>4.63</v>
      </c>
      <c r="S2437" s="106"/>
      <c r="T2437" s="48"/>
    </row>
    <row r="2438" spans="3:20">
      <c r="C2438" s="106">
        <v>45394</v>
      </c>
      <c r="D2438" s="48">
        <v>4.5</v>
      </c>
      <c r="S2438" s="106"/>
      <c r="T2438" s="48"/>
    </row>
    <row r="2439" spans="3:20">
      <c r="C2439" s="106">
        <v>45393</v>
      </c>
      <c r="D2439" s="48">
        <v>4.5599999999999996</v>
      </c>
      <c r="S2439" s="106"/>
      <c r="T2439" s="48"/>
    </row>
    <row r="2440" spans="3:20">
      <c r="C2440" s="106">
        <v>45392</v>
      </c>
      <c r="D2440" s="48">
        <v>4.55</v>
      </c>
      <c r="S2440" s="106"/>
      <c r="T2440" s="48"/>
    </row>
    <row r="2441" spans="3:20">
      <c r="C2441" s="106">
        <v>45391</v>
      </c>
      <c r="D2441" s="48">
        <v>4.3600000000000003</v>
      </c>
      <c r="S2441" s="106"/>
      <c r="T2441" s="48"/>
    </row>
    <row r="2442" spans="3:20">
      <c r="C2442" s="106">
        <v>45390</v>
      </c>
      <c r="D2442" s="48">
        <v>4.42</v>
      </c>
      <c r="S2442" s="106"/>
      <c r="T2442" s="48"/>
    </row>
    <row r="2443" spans="3:20">
      <c r="C2443" s="106">
        <v>45387</v>
      </c>
      <c r="D2443" s="48">
        <v>4.3899999999999997</v>
      </c>
      <c r="S2443" s="106"/>
      <c r="T2443" s="48"/>
    </row>
    <row r="2444" spans="3:20">
      <c r="C2444" s="106">
        <v>45386</v>
      </c>
      <c r="D2444" s="48">
        <v>4.3099999999999996</v>
      </c>
      <c r="S2444" s="106"/>
      <c r="T2444" s="48"/>
    </row>
    <row r="2445" spans="3:20">
      <c r="C2445" s="106">
        <v>45385</v>
      </c>
      <c r="D2445" s="48">
        <v>4.3600000000000003</v>
      </c>
      <c r="S2445" s="106"/>
      <c r="T2445" s="48"/>
    </row>
    <row r="2446" spans="3:20">
      <c r="C2446" s="106">
        <v>45384</v>
      </c>
      <c r="D2446" s="48">
        <v>4.3600000000000003</v>
      </c>
      <c r="S2446" s="106"/>
      <c r="T2446" s="48"/>
    </row>
    <row r="2447" spans="3:20">
      <c r="C2447" s="106">
        <v>45383</v>
      </c>
      <c r="D2447" s="48">
        <v>4.33</v>
      </c>
      <c r="S2447" s="106"/>
      <c r="T2447" s="48"/>
    </row>
    <row r="2448" spans="3:20">
      <c r="C2448" s="106">
        <v>45379</v>
      </c>
      <c r="D2448" s="48">
        <v>4.2</v>
      </c>
      <c r="S2448" s="106"/>
      <c r="T2448" s="48"/>
    </row>
    <row r="2449" spans="3:20">
      <c r="C2449" s="106">
        <v>45378</v>
      </c>
      <c r="D2449" s="48">
        <v>4.2</v>
      </c>
      <c r="S2449" s="106"/>
      <c r="T2449" s="48"/>
    </row>
    <row r="2450" spans="3:20">
      <c r="C2450" s="106">
        <v>45377</v>
      </c>
      <c r="D2450" s="48">
        <v>4.24</v>
      </c>
      <c r="S2450" s="106"/>
      <c r="T2450" s="48"/>
    </row>
    <row r="2451" spans="3:20">
      <c r="C2451" s="106">
        <v>45376</v>
      </c>
      <c r="D2451" s="48">
        <v>4.25</v>
      </c>
      <c r="S2451" s="106"/>
      <c r="T2451" s="48"/>
    </row>
    <row r="2452" spans="3:20">
      <c r="C2452" s="106">
        <v>45373</v>
      </c>
      <c r="D2452" s="48">
        <v>4.22</v>
      </c>
      <c r="S2452" s="106"/>
      <c r="T2452" s="48"/>
    </row>
    <row r="2453" spans="3:20">
      <c r="C2453" s="106">
        <v>45372</v>
      </c>
      <c r="D2453" s="48">
        <v>4.2699999999999996</v>
      </c>
      <c r="S2453" s="106"/>
      <c r="T2453" s="48"/>
    </row>
    <row r="2454" spans="3:20">
      <c r="C2454" s="106">
        <v>45371</v>
      </c>
      <c r="D2454" s="48">
        <v>4.2699999999999996</v>
      </c>
      <c r="S2454" s="106"/>
      <c r="T2454" s="48"/>
    </row>
    <row r="2455" spans="3:20">
      <c r="C2455" s="106">
        <v>45370</v>
      </c>
      <c r="D2455" s="48">
        <v>4.3</v>
      </c>
      <c r="S2455" s="106"/>
      <c r="T2455" s="48"/>
    </row>
    <row r="2456" spans="3:20">
      <c r="C2456" s="106">
        <v>45369</v>
      </c>
      <c r="D2456" s="48">
        <v>4.34</v>
      </c>
      <c r="S2456" s="106"/>
      <c r="T2456" s="48"/>
    </row>
    <row r="2457" spans="3:20">
      <c r="C2457" s="106">
        <v>45366</v>
      </c>
      <c r="D2457" s="48">
        <v>4.3099999999999996</v>
      </c>
      <c r="S2457" s="106"/>
      <c r="T2457" s="48"/>
    </row>
    <row r="2458" spans="3:20">
      <c r="C2458" s="106">
        <v>45365</v>
      </c>
      <c r="D2458" s="48">
        <v>4.29</v>
      </c>
      <c r="S2458" s="106"/>
      <c r="T2458" s="48"/>
    </row>
    <row r="2459" spans="3:20">
      <c r="C2459" s="106">
        <v>45364</v>
      </c>
      <c r="D2459" s="48">
        <v>4.1900000000000004</v>
      </c>
      <c r="S2459" s="106"/>
      <c r="T2459" s="48"/>
    </row>
    <row r="2460" spans="3:20">
      <c r="C2460" s="106">
        <v>45363</v>
      </c>
      <c r="D2460" s="48">
        <v>4.16</v>
      </c>
      <c r="S2460" s="106"/>
      <c r="T2460" s="48"/>
    </row>
    <row r="2461" spans="3:20">
      <c r="C2461" s="106">
        <v>45362</v>
      </c>
      <c r="D2461" s="48">
        <v>4.0999999999999996</v>
      </c>
      <c r="S2461" s="106"/>
      <c r="T2461" s="48"/>
    </row>
    <row r="2462" spans="3:20">
      <c r="C2462" s="106">
        <v>45359</v>
      </c>
      <c r="D2462" s="48">
        <v>4.09</v>
      </c>
      <c r="S2462" s="106"/>
      <c r="T2462" s="48"/>
    </row>
    <row r="2463" spans="3:20">
      <c r="C2463" s="106">
        <v>45358</v>
      </c>
      <c r="D2463" s="48">
        <v>4.09</v>
      </c>
      <c r="S2463" s="106"/>
      <c r="T2463" s="48"/>
    </row>
    <row r="2464" spans="3:20">
      <c r="C2464" s="106">
        <v>45357</v>
      </c>
      <c r="D2464" s="48">
        <v>4.1100000000000003</v>
      </c>
      <c r="S2464" s="106"/>
      <c r="T2464" s="48"/>
    </row>
    <row r="2465" spans="3:20">
      <c r="C2465" s="106">
        <v>45356</v>
      </c>
      <c r="D2465" s="48">
        <v>4.13</v>
      </c>
      <c r="S2465" s="106"/>
      <c r="T2465" s="48"/>
    </row>
    <row r="2466" spans="3:20">
      <c r="C2466" s="106">
        <v>45355</v>
      </c>
      <c r="D2466" s="48">
        <v>4.22</v>
      </c>
      <c r="S2466" s="106"/>
      <c r="T2466" s="48"/>
    </row>
    <row r="2467" spans="3:20">
      <c r="C2467" s="106">
        <v>45352</v>
      </c>
      <c r="D2467" s="48">
        <v>4.1900000000000004</v>
      </c>
      <c r="S2467" s="106"/>
      <c r="T2467" s="48"/>
    </row>
    <row r="2468" spans="3:20">
      <c r="C2468" s="106">
        <v>45351</v>
      </c>
      <c r="D2468" s="48">
        <v>4.25</v>
      </c>
      <c r="S2468" s="106"/>
      <c r="T2468" s="48"/>
    </row>
    <row r="2469" spans="3:20">
      <c r="C2469" s="106">
        <v>45350</v>
      </c>
      <c r="D2469" s="48">
        <v>4.2699999999999996</v>
      </c>
      <c r="S2469" s="106"/>
      <c r="T2469" s="48"/>
    </row>
    <row r="2470" spans="3:20">
      <c r="C2470" s="106">
        <v>45349</v>
      </c>
      <c r="D2470" s="48">
        <v>4.3099999999999996</v>
      </c>
      <c r="S2470" s="106"/>
      <c r="T2470" s="48"/>
    </row>
    <row r="2471" spans="3:20">
      <c r="C2471" s="106">
        <v>45348</v>
      </c>
      <c r="D2471" s="48">
        <v>4.28</v>
      </c>
      <c r="S2471" s="106"/>
      <c r="T2471" s="48"/>
    </row>
    <row r="2472" spans="3:20">
      <c r="C2472" s="106">
        <v>45345</v>
      </c>
      <c r="D2472" s="48">
        <v>4.26</v>
      </c>
      <c r="S2472" s="106"/>
      <c r="T2472" s="48"/>
    </row>
    <row r="2473" spans="3:20">
      <c r="C2473" s="106">
        <v>45344</v>
      </c>
      <c r="D2473" s="48">
        <v>4.33</v>
      </c>
      <c r="S2473" s="106"/>
      <c r="T2473" s="48"/>
    </row>
    <row r="2474" spans="3:20">
      <c r="C2474" s="106">
        <v>45343</v>
      </c>
      <c r="D2474" s="48">
        <v>4.32</v>
      </c>
      <c r="S2474" s="106"/>
      <c r="T2474" s="48"/>
    </row>
    <row r="2475" spans="3:20">
      <c r="C2475" s="106">
        <v>45342</v>
      </c>
      <c r="D2475" s="48">
        <v>4.2699999999999996</v>
      </c>
      <c r="S2475" s="106"/>
      <c r="T2475" s="48"/>
    </row>
    <row r="2476" spans="3:20">
      <c r="C2476" s="106">
        <v>45338</v>
      </c>
      <c r="D2476" s="48">
        <v>4.3</v>
      </c>
      <c r="S2476" s="106"/>
      <c r="T2476" s="48"/>
    </row>
    <row r="2477" spans="3:20">
      <c r="C2477" s="106">
        <v>45337</v>
      </c>
      <c r="D2477" s="48">
        <v>4.24</v>
      </c>
      <c r="S2477" s="106"/>
      <c r="T2477" s="48"/>
    </row>
    <row r="2478" spans="3:20">
      <c r="C2478" s="106">
        <v>45336</v>
      </c>
      <c r="D2478" s="48">
        <v>4.2699999999999996</v>
      </c>
      <c r="S2478" s="106"/>
      <c r="T2478" s="48"/>
    </row>
    <row r="2479" spans="3:20">
      <c r="C2479" s="106">
        <v>45335</v>
      </c>
      <c r="D2479" s="48">
        <v>4.3099999999999996</v>
      </c>
      <c r="S2479" s="106"/>
      <c r="T2479" s="48"/>
    </row>
    <row r="2480" spans="3:20">
      <c r="C2480" s="106">
        <v>45334</v>
      </c>
      <c r="D2480" s="48">
        <v>4.17</v>
      </c>
      <c r="S2480" s="106"/>
      <c r="T2480" s="48"/>
    </row>
    <row r="2481" spans="3:20">
      <c r="C2481" s="106">
        <v>45331</v>
      </c>
      <c r="D2481" s="48">
        <v>4.17</v>
      </c>
      <c r="S2481" s="106"/>
      <c r="T2481" s="48"/>
    </row>
    <row r="2482" spans="3:20">
      <c r="C2482" s="106">
        <v>45330</v>
      </c>
      <c r="D2482" s="48">
        <v>4.1500000000000004</v>
      </c>
      <c r="S2482" s="106"/>
      <c r="T2482" s="48"/>
    </row>
    <row r="2483" spans="3:20">
      <c r="C2483" s="106">
        <v>45329</v>
      </c>
      <c r="D2483" s="48">
        <v>4.09</v>
      </c>
      <c r="S2483" s="106"/>
      <c r="T2483" s="48"/>
    </row>
    <row r="2484" spans="3:20">
      <c r="C2484" s="106">
        <v>45328</v>
      </c>
      <c r="D2484" s="48">
        <v>4.09</v>
      </c>
      <c r="S2484" s="106"/>
      <c r="T2484" s="48"/>
    </row>
    <row r="2485" spans="3:20">
      <c r="C2485" s="106">
        <v>45327</v>
      </c>
      <c r="D2485" s="48">
        <v>4.17</v>
      </c>
      <c r="S2485" s="106"/>
      <c r="T2485" s="48"/>
    </row>
    <row r="2486" spans="3:20">
      <c r="C2486" s="106">
        <v>45324</v>
      </c>
      <c r="D2486" s="48">
        <v>4.03</v>
      </c>
      <c r="S2486" s="106"/>
      <c r="T2486" s="48"/>
    </row>
    <row r="2487" spans="3:20">
      <c r="C2487" s="106">
        <v>45323</v>
      </c>
      <c r="D2487" s="48">
        <v>3.87</v>
      </c>
      <c r="S2487" s="106"/>
      <c r="T2487" s="48"/>
    </row>
    <row r="2488" spans="3:20">
      <c r="C2488" s="106">
        <v>45322</v>
      </c>
      <c r="D2488" s="48">
        <v>3.99</v>
      </c>
      <c r="S2488" s="106"/>
      <c r="T2488" s="48"/>
    </row>
    <row r="2489" spans="3:20">
      <c r="C2489" s="106">
        <v>45321</v>
      </c>
      <c r="D2489" s="48">
        <v>4.0599999999999996</v>
      </c>
      <c r="S2489" s="106"/>
      <c r="T2489" s="48"/>
    </row>
    <row r="2490" spans="3:20">
      <c r="C2490" s="106">
        <v>45320</v>
      </c>
      <c r="D2490" s="48">
        <v>4.08</v>
      </c>
      <c r="S2490" s="106"/>
      <c r="T2490" s="48"/>
    </row>
    <row r="2491" spans="3:20">
      <c r="C2491" s="106">
        <v>45317</v>
      </c>
      <c r="D2491" s="48">
        <v>4.1500000000000004</v>
      </c>
      <c r="S2491" s="106"/>
      <c r="T2491" s="48"/>
    </row>
    <row r="2492" spans="3:20">
      <c r="C2492" s="106">
        <v>45316</v>
      </c>
      <c r="D2492" s="48">
        <v>4.1399999999999997</v>
      </c>
      <c r="S2492" s="106"/>
      <c r="T2492" s="48"/>
    </row>
    <row r="2493" spans="3:20">
      <c r="C2493" s="106">
        <v>45315</v>
      </c>
      <c r="D2493" s="48">
        <v>4.18</v>
      </c>
      <c r="S2493" s="106"/>
      <c r="T2493" s="48"/>
    </row>
    <row r="2494" spans="3:20">
      <c r="C2494" s="106">
        <v>45314</v>
      </c>
      <c r="D2494" s="48">
        <v>4.1399999999999997</v>
      </c>
      <c r="S2494" s="106"/>
      <c r="T2494" s="48"/>
    </row>
    <row r="2495" spans="3:20">
      <c r="C2495" s="106">
        <v>45313</v>
      </c>
      <c r="D2495" s="48">
        <v>4.1100000000000003</v>
      </c>
      <c r="S2495" s="106"/>
      <c r="T2495" s="48"/>
    </row>
    <row r="2496" spans="3:20">
      <c r="C2496" s="106">
        <v>45310</v>
      </c>
      <c r="D2496" s="48">
        <v>4.1500000000000004</v>
      </c>
      <c r="S2496" s="106"/>
      <c r="T2496" s="48"/>
    </row>
    <row r="2497" spans="3:20">
      <c r="C2497" s="106">
        <v>45309</v>
      </c>
      <c r="D2497" s="48">
        <v>4.1399999999999997</v>
      </c>
      <c r="S2497" s="106"/>
      <c r="T2497" s="48"/>
    </row>
    <row r="2498" spans="3:20">
      <c r="C2498" s="106">
        <v>45308</v>
      </c>
      <c r="D2498" s="48">
        <v>4.0999999999999996</v>
      </c>
      <c r="S2498" s="106"/>
      <c r="T2498" s="48"/>
    </row>
    <row r="2499" spans="3:20">
      <c r="C2499" s="106">
        <v>45307</v>
      </c>
      <c r="D2499" s="48">
        <v>4.07</v>
      </c>
      <c r="S2499" s="106"/>
      <c r="T2499" s="48"/>
    </row>
    <row r="2500" spans="3:20">
      <c r="C2500" s="106">
        <v>45303</v>
      </c>
      <c r="D2500" s="48">
        <v>3.96</v>
      </c>
      <c r="S2500" s="106"/>
      <c r="T2500" s="48"/>
    </row>
    <row r="2501" spans="3:20">
      <c r="C2501" s="106">
        <v>45302</v>
      </c>
      <c r="D2501" s="48">
        <v>3.98</v>
      </c>
      <c r="S2501" s="106"/>
      <c r="T2501" s="48"/>
    </row>
    <row r="2502" spans="3:20">
      <c r="C2502" s="106">
        <v>45301</v>
      </c>
      <c r="D2502" s="48">
        <v>4.04</v>
      </c>
      <c r="S2502" s="106"/>
      <c r="T2502" s="48"/>
    </row>
    <row r="2503" spans="3:20">
      <c r="C2503" s="106">
        <v>45300</v>
      </c>
      <c r="D2503" s="48">
        <v>4.0199999999999996</v>
      </c>
      <c r="S2503" s="106"/>
      <c r="T2503" s="48"/>
    </row>
    <row r="2504" spans="3:20">
      <c r="C2504" s="106">
        <v>45299</v>
      </c>
      <c r="D2504" s="48">
        <v>4.01</v>
      </c>
      <c r="S2504" s="106"/>
      <c r="T2504" s="48"/>
    </row>
    <row r="2505" spans="3:20">
      <c r="C2505" s="106">
        <v>45296</v>
      </c>
      <c r="D2505" s="48">
        <v>4.05</v>
      </c>
      <c r="S2505" s="106"/>
      <c r="T2505" s="48"/>
    </row>
    <row r="2506" spans="3:20">
      <c r="C2506" s="106">
        <v>45295</v>
      </c>
      <c r="D2506" s="48">
        <v>3.99</v>
      </c>
      <c r="S2506" s="106"/>
      <c r="T2506" s="48"/>
    </row>
    <row r="2507" spans="3:20">
      <c r="C2507" s="106">
        <v>45294</v>
      </c>
      <c r="D2507" s="48">
        <v>3.91</v>
      </c>
      <c r="S2507" s="106"/>
      <c r="T2507" s="48"/>
    </row>
    <row r="2508" spans="3:20">
      <c r="C2508" s="106">
        <v>45293</v>
      </c>
      <c r="D2508" s="48">
        <v>3.95</v>
      </c>
      <c r="S2508" s="106"/>
      <c r="T2508" s="48"/>
    </row>
    <row r="2509" spans="3:20">
      <c r="C2509" s="106">
        <v>46003</v>
      </c>
      <c r="D2509" s="48">
        <v>4.1900000000000004</v>
      </c>
      <c r="S2509" s="106"/>
      <c r="T2509" s="48"/>
    </row>
    <row r="2510" spans="3:20">
      <c r="C2510" s="106">
        <v>46002</v>
      </c>
      <c r="D2510" s="48">
        <v>4.1399999999999997</v>
      </c>
      <c r="S2510" s="106"/>
      <c r="T2510" s="48"/>
    </row>
    <row r="2511" spans="3:20">
      <c r="C2511" s="106">
        <v>46001</v>
      </c>
      <c r="D2511" s="48">
        <v>4.13</v>
      </c>
      <c r="S2511" s="106"/>
      <c r="T2511" s="48"/>
    </row>
    <row r="2512" spans="3:20">
      <c r="C2512" s="106">
        <v>46000</v>
      </c>
      <c r="D2512" s="48">
        <v>4.18</v>
      </c>
      <c r="S2512" s="106"/>
      <c r="T2512" s="48"/>
    </row>
    <row r="2513" spans="3:20">
      <c r="C2513" s="106">
        <v>45999</v>
      </c>
      <c r="D2513" s="48">
        <v>4.17</v>
      </c>
      <c r="S2513" s="106"/>
      <c r="T2513" s="48"/>
    </row>
    <row r="2514" spans="3:20">
      <c r="C2514" s="106">
        <v>45996</v>
      </c>
      <c r="D2514" s="48">
        <v>4.1399999999999997</v>
      </c>
      <c r="S2514" s="106"/>
      <c r="T2514" s="48"/>
    </row>
    <row r="2515" spans="3:20">
      <c r="C2515" s="106">
        <v>45995</v>
      </c>
      <c r="D2515" s="48">
        <v>4.1100000000000003</v>
      </c>
      <c r="S2515" s="106"/>
      <c r="T2515" s="48"/>
    </row>
    <row r="2516" spans="3:20">
      <c r="C2516" s="106">
        <v>45994</v>
      </c>
      <c r="D2516" s="48">
        <v>4.0599999999999996</v>
      </c>
      <c r="S2516" s="106"/>
      <c r="T2516" s="48"/>
    </row>
    <row r="2517" spans="3:20">
      <c r="C2517" s="106">
        <v>45993</v>
      </c>
      <c r="D2517" s="48">
        <v>4.09</v>
      </c>
      <c r="S2517" s="106"/>
      <c r="T2517" s="48"/>
    </row>
    <row r="2518" spans="3:20">
      <c r="C2518" s="106">
        <v>45992</v>
      </c>
      <c r="D2518" s="48">
        <v>4.09</v>
      </c>
      <c r="S2518" s="106"/>
      <c r="T2518" s="48"/>
    </row>
    <row r="2519" spans="3:20">
      <c r="C2519" s="106">
        <v>45989</v>
      </c>
      <c r="D2519" s="48">
        <v>4.0199999999999996</v>
      </c>
      <c r="S2519" s="106"/>
      <c r="T2519" s="48"/>
    </row>
    <row r="2520" spans="3:20">
      <c r="C2520" s="106">
        <v>45987</v>
      </c>
      <c r="D2520" s="48">
        <v>4</v>
      </c>
      <c r="S2520" s="106"/>
      <c r="T2520" s="48"/>
    </row>
    <row r="2521" spans="3:20">
      <c r="C2521" s="106">
        <v>45986</v>
      </c>
      <c r="D2521" s="48">
        <v>4.01</v>
      </c>
      <c r="S2521" s="106"/>
      <c r="T2521" s="48"/>
    </row>
    <row r="2522" spans="3:20">
      <c r="C2522" s="106">
        <v>45985</v>
      </c>
      <c r="D2522" s="48">
        <v>4.04</v>
      </c>
      <c r="S2522" s="106"/>
      <c r="T2522" s="48"/>
    </row>
    <row r="2523" spans="3:20">
      <c r="C2523" s="106">
        <v>45982</v>
      </c>
      <c r="D2523" s="48">
        <v>4.0599999999999996</v>
      </c>
      <c r="S2523" s="106"/>
      <c r="T2523" s="48"/>
    </row>
    <row r="2524" spans="3:20">
      <c r="C2524" s="106">
        <v>45981</v>
      </c>
      <c r="D2524" s="48">
        <v>4.0999999999999996</v>
      </c>
      <c r="S2524" s="106"/>
      <c r="T2524" s="48"/>
    </row>
    <row r="2525" spans="3:20">
      <c r="C2525" s="106">
        <v>45980</v>
      </c>
      <c r="D2525" s="48">
        <v>4.13</v>
      </c>
      <c r="S2525" s="106"/>
      <c r="T2525" s="48"/>
    </row>
    <row r="2526" spans="3:20">
      <c r="C2526" s="106">
        <v>45979</v>
      </c>
      <c r="D2526" s="48">
        <v>4.12</v>
      </c>
      <c r="S2526" s="106"/>
      <c r="T2526" s="48"/>
    </row>
    <row r="2527" spans="3:20">
      <c r="C2527" s="106">
        <v>45978</v>
      </c>
      <c r="D2527" s="48">
        <v>4.13</v>
      </c>
      <c r="S2527" s="106"/>
      <c r="T2527" s="48"/>
    </row>
    <row r="2528" spans="3:20">
      <c r="C2528" s="106">
        <v>45975</v>
      </c>
      <c r="D2528" s="48">
        <v>4.1399999999999997</v>
      </c>
      <c r="S2528" s="106"/>
      <c r="T2528" s="48"/>
    </row>
    <row r="2529" spans="3:20">
      <c r="C2529" s="106">
        <v>45974</v>
      </c>
      <c r="D2529" s="48">
        <v>4.1100000000000003</v>
      </c>
      <c r="S2529" s="106"/>
      <c r="T2529" s="48"/>
    </row>
    <row r="2530" spans="3:20">
      <c r="C2530" s="106">
        <v>45973</v>
      </c>
      <c r="D2530" s="48">
        <v>4.08</v>
      </c>
      <c r="S2530" s="106"/>
      <c r="T2530" s="48"/>
    </row>
    <row r="2531" spans="3:20">
      <c r="C2531" s="106">
        <v>45971</v>
      </c>
      <c r="D2531" s="48">
        <v>4.13</v>
      </c>
      <c r="S2531" s="106"/>
      <c r="T2531" s="48"/>
    </row>
    <row r="2532" spans="3:20">
      <c r="C2532" s="106">
        <v>45968</v>
      </c>
      <c r="D2532" s="48">
        <v>4.1100000000000003</v>
      </c>
      <c r="S2532" s="106"/>
      <c r="T2532" s="48"/>
    </row>
    <row r="2533" spans="3:20">
      <c r="C2533" s="106">
        <v>45967</v>
      </c>
      <c r="D2533" s="48">
        <v>4.1100000000000003</v>
      </c>
      <c r="S2533" s="106"/>
      <c r="T2533" s="48"/>
    </row>
    <row r="2534" spans="3:20">
      <c r="C2534" s="106">
        <v>45966</v>
      </c>
      <c r="D2534" s="48">
        <v>4.17</v>
      </c>
      <c r="S2534" s="106"/>
      <c r="T2534" s="48"/>
    </row>
    <row r="2535" spans="3:20">
      <c r="C2535" s="106">
        <v>45965</v>
      </c>
      <c r="D2535" s="48">
        <v>4.0999999999999996</v>
      </c>
      <c r="S2535" s="106"/>
      <c r="T2535" s="48"/>
    </row>
    <row r="2536" spans="3:20">
      <c r="C2536" s="106">
        <v>45964</v>
      </c>
      <c r="D2536" s="48">
        <v>4.13</v>
      </c>
      <c r="S2536" s="106"/>
      <c r="T2536" s="48"/>
    </row>
    <row r="2537" spans="3:20">
      <c r="C2537" s="106">
        <v>45961</v>
      </c>
      <c r="D2537" s="48">
        <v>4.1100000000000003</v>
      </c>
      <c r="S2537" s="106"/>
      <c r="T2537" s="48"/>
    </row>
    <row r="2538" spans="3:20">
      <c r="C2538" s="106">
        <v>45960</v>
      </c>
      <c r="D2538" s="48">
        <v>4.1100000000000003</v>
      </c>
      <c r="S2538" s="106"/>
      <c r="T2538" s="48"/>
    </row>
    <row r="2539" spans="3:20">
      <c r="C2539" s="106">
        <v>45959</v>
      </c>
      <c r="D2539" s="48">
        <v>4.08</v>
      </c>
      <c r="S2539" s="106"/>
      <c r="T2539" s="48"/>
    </row>
    <row r="2540" spans="3:20">
      <c r="C2540" s="106">
        <v>45958</v>
      </c>
      <c r="D2540" s="48">
        <v>3.99</v>
      </c>
      <c r="S2540" s="106"/>
      <c r="T2540" s="48"/>
    </row>
    <row r="2541" spans="3:20">
      <c r="C2541" s="106">
        <v>45957</v>
      </c>
      <c r="D2541" s="48">
        <v>4.01</v>
      </c>
      <c r="S2541" s="106"/>
      <c r="T2541" s="48"/>
    </row>
    <row r="2542" spans="3:20">
      <c r="C2542" s="106">
        <v>45954</v>
      </c>
      <c r="D2542" s="48">
        <v>4.0199999999999996</v>
      </c>
      <c r="S2542" s="106"/>
      <c r="T2542" s="48"/>
    </row>
    <row r="2543" spans="3:20">
      <c r="C2543" s="106">
        <v>45953</v>
      </c>
      <c r="D2543" s="48">
        <v>4.01</v>
      </c>
      <c r="S2543" s="106"/>
      <c r="T2543" s="48"/>
    </row>
    <row r="2544" spans="3:20">
      <c r="C2544" s="106">
        <v>45952</v>
      </c>
      <c r="D2544" s="48">
        <v>3.97</v>
      </c>
      <c r="S2544" s="106"/>
      <c r="T2544" s="48"/>
    </row>
    <row r="2545" spans="3:20">
      <c r="C2545" s="106">
        <v>45951</v>
      </c>
      <c r="D2545" s="48">
        <v>3.98</v>
      </c>
      <c r="S2545" s="106"/>
      <c r="T2545" s="48"/>
    </row>
    <row r="2546" spans="3:20">
      <c r="C2546" s="106">
        <v>45950</v>
      </c>
      <c r="D2546" s="48">
        <v>4</v>
      </c>
      <c r="S2546" s="106"/>
      <c r="T2546" s="48"/>
    </row>
    <row r="2547" spans="3:20">
      <c r="C2547" s="106">
        <v>45947</v>
      </c>
      <c r="D2547" s="48">
        <v>4.0199999999999996</v>
      </c>
      <c r="S2547" s="106"/>
      <c r="T2547" s="48"/>
    </row>
    <row r="2548" spans="3:20">
      <c r="C2548" s="106">
        <v>45946</v>
      </c>
      <c r="D2548" s="48">
        <v>3.99</v>
      </c>
      <c r="S2548" s="106"/>
      <c r="T2548" s="48"/>
    </row>
    <row r="2549" spans="3:20">
      <c r="C2549" s="106">
        <v>45945</v>
      </c>
      <c r="D2549" s="48">
        <v>4.05</v>
      </c>
      <c r="S2549" s="106"/>
      <c r="T2549" s="48"/>
    </row>
    <row r="2550" spans="3:20">
      <c r="C2550" s="106">
        <v>45944</v>
      </c>
      <c r="D2550" s="48">
        <v>4.03</v>
      </c>
      <c r="S2550" s="106"/>
      <c r="T2550" s="48"/>
    </row>
    <row r="2551" spans="3:20">
      <c r="C2551" s="106">
        <v>45940</v>
      </c>
      <c r="D2551" s="48">
        <v>4.05</v>
      </c>
      <c r="S2551" s="106"/>
      <c r="T2551" s="48"/>
    </row>
    <row r="2552" spans="3:20">
      <c r="C2552" s="106">
        <v>45939</v>
      </c>
      <c r="D2552" s="48">
        <v>4.1399999999999997</v>
      </c>
      <c r="S2552" s="106"/>
      <c r="T2552" s="48"/>
    </row>
    <row r="2553" spans="3:20">
      <c r="C2553" s="106">
        <v>45938</v>
      </c>
      <c r="D2553" s="48">
        <v>4.13</v>
      </c>
      <c r="S2553" s="106"/>
      <c r="T2553" s="48"/>
    </row>
    <row r="2554" spans="3:20">
      <c r="C2554" s="106">
        <v>45937</v>
      </c>
      <c r="D2554" s="48">
        <v>4.1399999999999997</v>
      </c>
      <c r="S2554" s="106"/>
      <c r="T2554" s="48"/>
    </row>
    <row r="2555" spans="3:20">
      <c r="C2555" s="106">
        <v>45936</v>
      </c>
      <c r="D2555" s="48">
        <v>4.18</v>
      </c>
      <c r="S2555" s="106"/>
      <c r="T2555" s="48"/>
    </row>
    <row r="2556" spans="3:20">
      <c r="C2556" s="106">
        <v>45933</v>
      </c>
      <c r="D2556" s="48">
        <v>4.13</v>
      </c>
      <c r="S2556" s="106"/>
      <c r="T2556" s="48"/>
    </row>
    <row r="2557" spans="3:20">
      <c r="C2557" s="106">
        <v>45932</v>
      </c>
      <c r="D2557" s="48">
        <v>4.0999999999999996</v>
      </c>
      <c r="S2557" s="106"/>
      <c r="T2557" s="48"/>
    </row>
    <row r="2558" spans="3:20">
      <c r="C2558" s="106">
        <v>45931</v>
      </c>
      <c r="D2558" s="48">
        <v>4.12</v>
      </c>
      <c r="S2558" s="106"/>
      <c r="T2558" s="48"/>
    </row>
    <row r="2559" spans="3:20">
      <c r="C2559" s="106">
        <v>45930</v>
      </c>
      <c r="D2559" s="48">
        <v>4.16</v>
      </c>
      <c r="S2559" s="106"/>
      <c r="T2559" s="48"/>
    </row>
    <row r="2560" spans="3:20">
      <c r="C2560" s="106">
        <v>45929</v>
      </c>
      <c r="D2560" s="48">
        <v>4.1500000000000004</v>
      </c>
      <c r="S2560" s="106"/>
      <c r="T2560" s="48"/>
    </row>
    <row r="2561" spans="3:20">
      <c r="C2561" s="106">
        <v>45926</v>
      </c>
      <c r="D2561" s="48">
        <v>4.2</v>
      </c>
      <c r="S2561" s="106"/>
      <c r="T2561" s="48"/>
    </row>
    <row r="2562" spans="3:20">
      <c r="C2562" s="106">
        <v>45925</v>
      </c>
      <c r="D2562" s="48">
        <v>4.18</v>
      </c>
      <c r="S2562" s="106"/>
      <c r="T2562" s="48"/>
    </row>
    <row r="2563" spans="3:20">
      <c r="C2563" s="106">
        <v>45924</v>
      </c>
      <c r="D2563" s="48">
        <v>4.16</v>
      </c>
      <c r="S2563" s="106"/>
      <c r="T2563" s="48"/>
    </row>
    <row r="2564" spans="3:20">
      <c r="C2564" s="106">
        <v>45923</v>
      </c>
      <c r="D2564" s="48">
        <v>4.12</v>
      </c>
      <c r="S2564" s="106"/>
      <c r="T2564" s="48"/>
    </row>
    <row r="2565" spans="3:20">
      <c r="C2565" s="106">
        <v>45922</v>
      </c>
      <c r="D2565" s="48">
        <v>4.1500000000000004</v>
      </c>
      <c r="S2565" s="106"/>
      <c r="T2565" s="48"/>
    </row>
    <row r="2566" spans="3:20">
      <c r="C2566" s="106">
        <v>45919</v>
      </c>
      <c r="D2566" s="48">
        <v>4.1399999999999997</v>
      </c>
      <c r="S2566" s="106"/>
      <c r="T2566" s="48"/>
    </row>
    <row r="2567" spans="3:20">
      <c r="C2567" s="106">
        <v>45918</v>
      </c>
      <c r="D2567" s="48">
        <v>4.1100000000000003</v>
      </c>
      <c r="S2567" s="106"/>
      <c r="T2567" s="48"/>
    </row>
    <row r="2568" spans="3:20">
      <c r="C2568" s="106">
        <v>45917</v>
      </c>
      <c r="D2568" s="48">
        <v>4.0599999999999996</v>
      </c>
      <c r="S2568" s="106"/>
      <c r="T2568" s="48"/>
    </row>
    <row r="2569" spans="3:20">
      <c r="C2569" s="106">
        <v>45916</v>
      </c>
      <c r="D2569" s="48">
        <v>4.04</v>
      </c>
      <c r="S2569" s="106"/>
      <c r="T2569" s="48"/>
    </row>
    <row r="2570" spans="3:20">
      <c r="C2570" s="106">
        <v>45915</v>
      </c>
      <c r="D2570" s="48">
        <v>4.05</v>
      </c>
      <c r="S2570" s="106"/>
      <c r="T2570" s="48"/>
    </row>
    <row r="2571" spans="3:20">
      <c r="C2571" s="106">
        <v>45912</v>
      </c>
      <c r="D2571" s="48">
        <v>4.0599999999999996</v>
      </c>
      <c r="S2571" s="106"/>
      <c r="T2571" s="48"/>
    </row>
    <row r="2572" spans="3:20">
      <c r="C2572" s="106">
        <v>45911</v>
      </c>
      <c r="D2572" s="48">
        <v>4.01</v>
      </c>
      <c r="S2572" s="106"/>
      <c r="T2572" s="48"/>
    </row>
    <row r="2573" spans="3:20">
      <c r="C2573" s="106">
        <v>45910</v>
      </c>
      <c r="D2573" s="48">
        <v>4.04</v>
      </c>
      <c r="S2573" s="106"/>
      <c r="T2573" s="48"/>
    </row>
    <row r="2574" spans="3:20">
      <c r="C2574" s="106">
        <v>45909</v>
      </c>
      <c r="D2574" s="48">
        <v>4.08</v>
      </c>
      <c r="S2574" s="106"/>
      <c r="T2574" s="48"/>
    </row>
    <row r="2575" spans="3:20">
      <c r="C2575" s="106">
        <v>45908</v>
      </c>
      <c r="D2575" s="48">
        <v>4.05</v>
      </c>
      <c r="S2575" s="106"/>
      <c r="T2575" s="48"/>
    </row>
    <row r="2576" spans="3:20">
      <c r="C2576" s="106">
        <v>45905</v>
      </c>
      <c r="D2576" s="48">
        <v>4.0999999999999996</v>
      </c>
      <c r="S2576" s="106"/>
      <c r="T2576" s="48"/>
    </row>
    <row r="2577" spans="3:20">
      <c r="C2577" s="106">
        <v>45904</v>
      </c>
      <c r="D2577" s="48">
        <v>4.17</v>
      </c>
      <c r="S2577" s="106"/>
      <c r="T2577" s="48"/>
    </row>
    <row r="2578" spans="3:20">
      <c r="C2578" s="106">
        <v>45903</v>
      </c>
      <c r="D2578" s="48">
        <v>4.22</v>
      </c>
      <c r="S2578" s="106"/>
      <c r="T2578" s="48"/>
    </row>
    <row r="2579" spans="3:20">
      <c r="C2579" s="106">
        <v>45902</v>
      </c>
      <c r="D2579" s="48">
        <v>4.28</v>
      </c>
      <c r="S2579" s="106"/>
      <c r="T2579" s="48"/>
    </row>
    <row r="2580" spans="3:20">
      <c r="C2580" s="106">
        <v>45898</v>
      </c>
      <c r="D2580" s="48">
        <v>4.2300000000000004</v>
      </c>
      <c r="S2580" s="106"/>
      <c r="T2580" s="48"/>
    </row>
    <row r="2581" spans="3:20">
      <c r="C2581" s="106">
        <v>45897</v>
      </c>
      <c r="D2581" s="48">
        <v>4.22</v>
      </c>
      <c r="S2581" s="106"/>
      <c r="T2581" s="48"/>
    </row>
    <row r="2582" spans="3:20">
      <c r="C2582" s="106">
        <v>45896</v>
      </c>
      <c r="D2582" s="48">
        <v>4.24</v>
      </c>
      <c r="S2582" s="106"/>
      <c r="T2582" s="48"/>
    </row>
    <row r="2583" spans="3:20">
      <c r="C2583" s="106">
        <v>45895</v>
      </c>
      <c r="D2583" s="48">
        <v>4.26</v>
      </c>
      <c r="S2583" s="106"/>
      <c r="T2583" s="48"/>
    </row>
    <row r="2584" spans="3:20">
      <c r="C2584" s="106">
        <v>45894</v>
      </c>
      <c r="D2584" s="48">
        <v>4.28</v>
      </c>
      <c r="S2584" s="106"/>
      <c r="T2584" s="48"/>
    </row>
    <row r="2585" spans="3:20">
      <c r="C2585" s="106">
        <v>45891</v>
      </c>
      <c r="D2585" s="48">
        <v>4.26</v>
      </c>
      <c r="S2585" s="106"/>
      <c r="T2585" s="48"/>
    </row>
    <row r="2586" spans="3:20">
      <c r="C2586" s="106">
        <v>45890</v>
      </c>
      <c r="D2586" s="48">
        <v>4.33</v>
      </c>
      <c r="S2586" s="106"/>
      <c r="T2586" s="48"/>
    </row>
    <row r="2587" spans="3:20">
      <c r="C2587" s="106">
        <v>45889</v>
      </c>
      <c r="D2587" s="48">
        <v>4.29</v>
      </c>
      <c r="S2587" s="106"/>
      <c r="T2587" s="48"/>
    </row>
    <row r="2588" spans="3:20">
      <c r="C2588" s="106">
        <v>45888</v>
      </c>
      <c r="D2588" s="48">
        <v>4.3</v>
      </c>
      <c r="S2588" s="106"/>
      <c r="T2588" s="48"/>
    </row>
    <row r="2589" spans="3:20">
      <c r="C2589" s="106">
        <v>45887</v>
      </c>
      <c r="D2589" s="48">
        <v>4.34</v>
      </c>
      <c r="S2589" s="106"/>
      <c r="T2589" s="48"/>
    </row>
    <row r="2590" spans="3:20">
      <c r="C2590" s="106">
        <v>45884</v>
      </c>
      <c r="D2590" s="48">
        <v>4.33</v>
      </c>
      <c r="S2590" s="106"/>
      <c r="T2590" s="48"/>
    </row>
    <row r="2591" spans="3:20">
      <c r="C2591" s="106">
        <v>45883</v>
      </c>
      <c r="D2591" s="48">
        <v>4.29</v>
      </c>
      <c r="S2591" s="106"/>
      <c r="T2591" s="48"/>
    </row>
    <row r="2592" spans="3:20">
      <c r="C2592" s="106">
        <v>45882</v>
      </c>
      <c r="D2592" s="48">
        <v>4.24</v>
      </c>
      <c r="S2592" s="106"/>
      <c r="T2592" s="48"/>
    </row>
    <row r="2593" spans="3:20">
      <c r="C2593" s="106">
        <v>45881</v>
      </c>
      <c r="D2593" s="48">
        <v>4.29</v>
      </c>
      <c r="S2593" s="106"/>
      <c r="T2593" s="48"/>
    </row>
    <row r="2594" spans="3:20">
      <c r="C2594" s="106">
        <v>45880</v>
      </c>
      <c r="D2594" s="48">
        <v>4.2699999999999996</v>
      </c>
      <c r="S2594" s="106"/>
      <c r="T2594" s="48"/>
    </row>
    <row r="2595" spans="3:20">
      <c r="C2595" s="106">
        <v>45877</v>
      </c>
      <c r="D2595" s="48">
        <v>4.2699999999999996</v>
      </c>
      <c r="S2595" s="106"/>
      <c r="T2595" s="48"/>
    </row>
    <row r="2596" spans="3:20">
      <c r="C2596" s="106">
        <v>45876</v>
      </c>
      <c r="D2596" s="48">
        <v>4.2300000000000004</v>
      </c>
      <c r="S2596" s="106"/>
      <c r="T2596" s="48"/>
    </row>
    <row r="2597" spans="3:20">
      <c r="C2597" s="106">
        <v>45875</v>
      </c>
      <c r="D2597" s="48">
        <v>4.22</v>
      </c>
      <c r="S2597" s="106"/>
      <c r="T2597" s="48"/>
    </row>
    <row r="2598" spans="3:20">
      <c r="C2598" s="106">
        <v>45874</v>
      </c>
      <c r="D2598" s="48">
        <v>4.22</v>
      </c>
      <c r="S2598" s="106"/>
      <c r="T2598" s="48"/>
    </row>
    <row r="2599" spans="3:20">
      <c r="C2599" s="106">
        <v>45873</v>
      </c>
      <c r="D2599" s="48">
        <v>4.22</v>
      </c>
      <c r="S2599" s="106"/>
      <c r="T2599" s="48"/>
    </row>
    <row r="2600" spans="3:20">
      <c r="C2600" s="106">
        <v>45870</v>
      </c>
      <c r="D2600" s="48">
        <v>4.2300000000000004</v>
      </c>
      <c r="S2600" s="106"/>
      <c r="T2600" s="48"/>
    </row>
    <row r="2601" spans="3:20">
      <c r="C2601" s="106">
        <v>45869</v>
      </c>
      <c r="D2601" s="48">
        <v>4.37</v>
      </c>
      <c r="S2601" s="106"/>
      <c r="T2601" s="48"/>
    </row>
    <row r="2602" spans="3:20">
      <c r="C2602" s="106">
        <v>45868</v>
      </c>
      <c r="D2602" s="48">
        <v>4.38</v>
      </c>
      <c r="S2602" s="106"/>
      <c r="T2602" s="48"/>
    </row>
    <row r="2603" spans="3:20">
      <c r="C2603" s="106">
        <v>45867</v>
      </c>
      <c r="D2603" s="48">
        <v>4.34</v>
      </c>
      <c r="S2603" s="106"/>
      <c r="T2603" s="48"/>
    </row>
    <row r="2604" spans="3:20">
      <c r="C2604" s="106">
        <v>45866</v>
      </c>
      <c r="D2604" s="48">
        <v>4.42</v>
      </c>
      <c r="S2604" s="106"/>
      <c r="T2604" s="48"/>
    </row>
    <row r="2605" spans="3:20">
      <c r="C2605" s="106">
        <v>45863</v>
      </c>
      <c r="D2605" s="48">
        <v>4.4000000000000004</v>
      </c>
      <c r="S2605" s="106"/>
      <c r="T2605" s="48"/>
    </row>
    <row r="2606" spans="3:20">
      <c r="C2606" s="106">
        <v>45862</v>
      </c>
      <c r="D2606" s="48">
        <v>4.43</v>
      </c>
      <c r="S2606" s="106"/>
      <c r="T2606" s="48"/>
    </row>
    <row r="2607" spans="3:20">
      <c r="C2607" s="106">
        <v>45861</v>
      </c>
      <c r="D2607" s="48">
        <v>4.4000000000000004</v>
      </c>
      <c r="S2607" s="106"/>
      <c r="T2607" s="48"/>
    </row>
    <row r="2608" spans="3:20">
      <c r="C2608" s="106">
        <v>45860</v>
      </c>
      <c r="D2608" s="48">
        <v>4.3499999999999996</v>
      </c>
      <c r="S2608" s="106"/>
      <c r="T2608" s="48"/>
    </row>
    <row r="2609" spans="3:20">
      <c r="C2609" s="106">
        <v>45859</v>
      </c>
      <c r="D2609" s="48">
        <v>4.38</v>
      </c>
      <c r="S2609" s="106"/>
      <c r="T2609" s="48"/>
    </row>
    <row r="2610" spans="3:20">
      <c r="C2610" s="106">
        <v>45856</v>
      </c>
      <c r="D2610" s="48">
        <v>4.4400000000000004</v>
      </c>
      <c r="S2610" s="106"/>
      <c r="T2610" s="48"/>
    </row>
    <row r="2611" spans="3:20">
      <c r="C2611" s="106">
        <v>45855</v>
      </c>
      <c r="D2611" s="48">
        <v>4.47</v>
      </c>
      <c r="S2611" s="106"/>
      <c r="T2611" s="48"/>
    </row>
    <row r="2612" spans="3:20">
      <c r="C2612" s="106">
        <v>45854</v>
      </c>
      <c r="D2612" s="48">
        <v>4.46</v>
      </c>
      <c r="S2612" s="106"/>
      <c r="T2612" s="48"/>
    </row>
    <row r="2613" spans="3:20">
      <c r="C2613" s="106">
        <v>45853</v>
      </c>
      <c r="D2613" s="48">
        <v>4.5</v>
      </c>
      <c r="S2613" s="106"/>
      <c r="T2613" s="48"/>
    </row>
    <row r="2614" spans="3:20">
      <c r="C2614" s="106">
        <v>45852</v>
      </c>
      <c r="D2614" s="48">
        <v>4.43</v>
      </c>
      <c r="S2614" s="106"/>
      <c r="T2614" s="48"/>
    </row>
    <row r="2615" spans="3:20">
      <c r="C2615" s="106">
        <v>45849</v>
      </c>
      <c r="D2615" s="48">
        <v>4.43</v>
      </c>
      <c r="S2615" s="106"/>
      <c r="T2615" s="48"/>
    </row>
    <row r="2616" spans="3:20">
      <c r="C2616" s="106">
        <v>45848</v>
      </c>
      <c r="D2616" s="48">
        <v>4.3499999999999996</v>
      </c>
      <c r="S2616" s="106"/>
      <c r="T2616" s="48"/>
    </row>
    <row r="2617" spans="3:20">
      <c r="C2617" s="106">
        <v>45847</v>
      </c>
      <c r="D2617" s="48">
        <v>4.34</v>
      </c>
      <c r="S2617" s="106"/>
      <c r="T2617" s="48"/>
    </row>
    <row r="2618" spans="3:20">
      <c r="C2618" s="106">
        <v>45846</v>
      </c>
      <c r="D2618" s="48">
        <v>4.42</v>
      </c>
      <c r="S2618" s="106"/>
      <c r="T2618" s="48"/>
    </row>
    <row r="2619" spans="3:20">
      <c r="C2619" s="106">
        <v>45845</v>
      </c>
      <c r="D2619" s="48">
        <v>4.4000000000000004</v>
      </c>
      <c r="S2619" s="106"/>
      <c r="T2619" s="48"/>
    </row>
    <row r="2620" spans="3:20">
      <c r="C2620" s="106">
        <v>45841</v>
      </c>
      <c r="D2620" s="48">
        <v>4.3499999999999996</v>
      </c>
      <c r="S2620" s="106"/>
      <c r="T2620" s="48"/>
    </row>
    <row r="2621" spans="3:20">
      <c r="C2621" s="106">
        <v>45840</v>
      </c>
      <c r="D2621" s="48">
        <v>4.3</v>
      </c>
      <c r="S2621" s="106"/>
      <c r="T2621" s="48"/>
    </row>
    <row r="2622" spans="3:20">
      <c r="C2622" s="106">
        <v>45839</v>
      </c>
      <c r="D2622" s="48">
        <v>4.26</v>
      </c>
      <c r="S2622" s="106"/>
      <c r="T2622" s="48"/>
    </row>
    <row r="2623" spans="3:20">
      <c r="C2623" s="106">
        <v>45838</v>
      </c>
      <c r="D2623" s="48">
        <v>4.24</v>
      </c>
      <c r="S2623" s="106"/>
      <c r="T2623" s="48"/>
    </row>
    <row r="2624" spans="3:20">
      <c r="C2624" s="106">
        <v>45835</v>
      </c>
      <c r="D2624" s="48">
        <v>4.29</v>
      </c>
      <c r="S2624" s="106"/>
      <c r="T2624" s="48"/>
    </row>
    <row r="2625" spans="3:20">
      <c r="C2625" s="106">
        <v>45834</v>
      </c>
      <c r="D2625" s="48">
        <v>4.26</v>
      </c>
      <c r="S2625" s="106"/>
      <c r="T2625" s="48"/>
    </row>
    <row r="2626" spans="3:20">
      <c r="C2626" s="106">
        <v>45833</v>
      </c>
      <c r="D2626" s="48">
        <v>4.29</v>
      </c>
      <c r="S2626" s="106"/>
      <c r="T2626" s="48"/>
    </row>
    <row r="2627" spans="3:20">
      <c r="C2627" s="106">
        <v>45832</v>
      </c>
      <c r="D2627" s="48">
        <v>4.3</v>
      </c>
      <c r="S2627" s="106"/>
      <c r="T2627" s="48"/>
    </row>
    <row r="2628" spans="3:20">
      <c r="C2628" s="106">
        <v>45831</v>
      </c>
      <c r="D2628" s="48">
        <v>4.34</v>
      </c>
      <c r="S2628" s="106"/>
      <c r="T2628" s="48"/>
    </row>
    <row r="2629" spans="3:20">
      <c r="C2629" s="106">
        <v>45828</v>
      </c>
      <c r="D2629" s="48">
        <v>4.38</v>
      </c>
      <c r="S2629" s="106"/>
      <c r="T2629" s="48"/>
    </row>
    <row r="2630" spans="3:20">
      <c r="C2630" s="106">
        <v>45826</v>
      </c>
      <c r="D2630" s="48">
        <v>4.38</v>
      </c>
      <c r="S2630" s="106"/>
      <c r="T2630" s="48"/>
    </row>
    <row r="2631" spans="3:20">
      <c r="C2631" s="106">
        <v>45825</v>
      </c>
      <c r="D2631" s="48">
        <v>4.3899999999999997</v>
      </c>
      <c r="S2631" s="106"/>
      <c r="T2631" s="48"/>
    </row>
    <row r="2632" spans="3:20">
      <c r="C2632" s="106">
        <v>45824</v>
      </c>
      <c r="D2632" s="48">
        <v>4.46</v>
      </c>
      <c r="S2632" s="106"/>
      <c r="T2632" s="48"/>
    </row>
    <row r="2633" spans="3:20">
      <c r="C2633" s="106">
        <v>45821</v>
      </c>
      <c r="D2633" s="48">
        <v>4.41</v>
      </c>
      <c r="S2633" s="106"/>
      <c r="T2633" s="48"/>
    </row>
    <row r="2634" spans="3:20">
      <c r="C2634" s="106">
        <v>45820</v>
      </c>
      <c r="D2634" s="48">
        <v>4.3600000000000003</v>
      </c>
      <c r="S2634" s="106"/>
      <c r="T2634" s="48"/>
    </row>
    <row r="2635" spans="3:20">
      <c r="C2635" s="106">
        <v>45819</v>
      </c>
      <c r="D2635" s="48">
        <v>4.41</v>
      </c>
      <c r="S2635" s="106"/>
      <c r="T2635" s="48"/>
    </row>
    <row r="2636" spans="3:20">
      <c r="C2636" s="106">
        <v>45818</v>
      </c>
      <c r="D2636" s="48">
        <v>4.47</v>
      </c>
      <c r="S2636" s="106"/>
      <c r="T2636" s="48"/>
    </row>
    <row r="2637" spans="3:20">
      <c r="C2637" s="106">
        <v>45817</v>
      </c>
      <c r="D2637" s="48">
        <v>4.49</v>
      </c>
      <c r="S2637" s="106"/>
      <c r="T2637" s="48"/>
    </row>
    <row r="2638" spans="3:20">
      <c r="C2638" s="106">
        <v>45814</v>
      </c>
      <c r="D2638" s="48">
        <v>4.51</v>
      </c>
      <c r="S2638" s="106"/>
      <c r="T2638" s="48"/>
    </row>
    <row r="2639" spans="3:20">
      <c r="C2639" s="106">
        <v>45813</v>
      </c>
      <c r="D2639" s="48">
        <v>4.4000000000000004</v>
      </c>
      <c r="S2639" s="106"/>
      <c r="T2639" s="48"/>
    </row>
    <row r="2640" spans="3:20">
      <c r="C2640" s="106">
        <v>45812</v>
      </c>
      <c r="D2640" s="48">
        <v>4.37</v>
      </c>
      <c r="S2640" s="106"/>
      <c r="T2640" s="48"/>
    </row>
    <row r="2641" spans="3:20">
      <c r="C2641" s="106">
        <v>45811</v>
      </c>
      <c r="D2641" s="48">
        <v>4.46</v>
      </c>
      <c r="S2641" s="106"/>
      <c r="T2641" s="48"/>
    </row>
    <row r="2642" spans="3:20">
      <c r="C2642" s="106">
        <v>45810</v>
      </c>
      <c r="D2642" s="48">
        <v>4.46</v>
      </c>
      <c r="S2642" s="106"/>
      <c r="T2642" s="48"/>
    </row>
    <row r="2643" spans="3:20">
      <c r="C2643" s="106">
        <v>45807</v>
      </c>
      <c r="D2643" s="48">
        <v>4.41</v>
      </c>
      <c r="S2643" s="106"/>
      <c r="T2643" s="48"/>
    </row>
    <row r="2644" spans="3:20">
      <c r="C2644" s="106">
        <v>45806</v>
      </c>
      <c r="D2644" s="48">
        <v>4.43</v>
      </c>
      <c r="S2644" s="106"/>
      <c r="T2644" s="48"/>
    </row>
    <row r="2645" spans="3:20">
      <c r="C2645" s="106">
        <v>45805</v>
      </c>
      <c r="D2645" s="48">
        <v>4.47</v>
      </c>
      <c r="S2645" s="106"/>
      <c r="T2645" s="48"/>
    </row>
    <row r="2646" spans="3:20">
      <c r="C2646" s="106">
        <v>45804</v>
      </c>
      <c r="D2646" s="48">
        <v>4.43</v>
      </c>
      <c r="S2646" s="106"/>
      <c r="T2646" s="48"/>
    </row>
    <row r="2647" spans="3:20">
      <c r="C2647" s="106">
        <v>45800</v>
      </c>
      <c r="D2647" s="48">
        <v>4.51</v>
      </c>
      <c r="S2647" s="106"/>
      <c r="T2647" s="48"/>
    </row>
    <row r="2648" spans="3:20">
      <c r="C2648" s="106">
        <v>45799</v>
      </c>
      <c r="D2648" s="48">
        <v>4.54</v>
      </c>
      <c r="S2648" s="106"/>
      <c r="T2648" s="48"/>
    </row>
    <row r="2649" spans="3:20">
      <c r="C2649" s="106">
        <v>45798</v>
      </c>
      <c r="D2649" s="48">
        <v>4.58</v>
      </c>
      <c r="S2649" s="106"/>
      <c r="T2649" s="48"/>
    </row>
    <row r="2650" spans="3:20">
      <c r="C2650" s="106">
        <v>45797</v>
      </c>
      <c r="D2650" s="48">
        <v>4.4800000000000004</v>
      </c>
      <c r="S2650" s="106"/>
      <c r="T2650" s="48"/>
    </row>
    <row r="2651" spans="3:20">
      <c r="C2651" s="106">
        <v>45796</v>
      </c>
      <c r="D2651" s="48">
        <v>4.46</v>
      </c>
      <c r="S2651" s="106"/>
      <c r="T2651" s="48"/>
    </row>
    <row r="2652" spans="3:20">
      <c r="C2652" s="106">
        <v>45793</v>
      </c>
      <c r="D2652" s="48">
        <v>4.43</v>
      </c>
      <c r="S2652" s="106"/>
      <c r="T2652" s="48"/>
    </row>
    <row r="2653" spans="3:20">
      <c r="C2653" s="106">
        <v>45792</v>
      </c>
      <c r="D2653" s="48">
        <v>4.45</v>
      </c>
      <c r="S2653" s="106"/>
      <c r="T2653" s="48"/>
    </row>
    <row r="2654" spans="3:20">
      <c r="C2654" s="106">
        <v>45791</v>
      </c>
      <c r="D2654" s="48">
        <v>4.53</v>
      </c>
      <c r="S2654" s="106"/>
      <c r="T2654" s="48"/>
    </row>
    <row r="2655" spans="3:20">
      <c r="C2655" s="106">
        <v>45790</v>
      </c>
      <c r="D2655" s="48">
        <v>4.49</v>
      </c>
      <c r="S2655" s="106"/>
      <c r="T2655" s="48"/>
    </row>
    <row r="2656" spans="3:20">
      <c r="C2656" s="106">
        <v>45789</v>
      </c>
      <c r="D2656" s="48">
        <v>4.45</v>
      </c>
      <c r="S2656" s="106"/>
      <c r="T2656" s="48"/>
    </row>
    <row r="2657" spans="3:20">
      <c r="C2657" s="106">
        <v>45786</v>
      </c>
      <c r="D2657" s="48">
        <v>4.37</v>
      </c>
      <c r="S2657" s="106"/>
      <c r="T2657" s="48"/>
    </row>
    <row r="2658" spans="3:20">
      <c r="C2658" s="106">
        <v>45785</v>
      </c>
      <c r="D2658" s="48">
        <v>4.37</v>
      </c>
      <c r="S2658" s="106"/>
      <c r="T2658" s="48"/>
    </row>
    <row r="2659" spans="3:20">
      <c r="C2659" s="106">
        <v>45784</v>
      </c>
      <c r="D2659" s="48">
        <v>4.26</v>
      </c>
      <c r="S2659" s="106"/>
      <c r="T2659" s="48"/>
    </row>
    <row r="2660" spans="3:20">
      <c r="C2660" s="106">
        <v>45783</v>
      </c>
      <c r="D2660" s="48">
        <v>4.3</v>
      </c>
      <c r="S2660" s="106"/>
      <c r="T2660" s="48"/>
    </row>
    <row r="2661" spans="3:20">
      <c r="C2661" s="106">
        <v>45782</v>
      </c>
      <c r="D2661" s="48">
        <v>4.3600000000000003</v>
      </c>
      <c r="S2661" s="106"/>
      <c r="T2661" s="48"/>
    </row>
    <row r="2662" spans="3:20">
      <c r="C2662" s="106">
        <v>45779</v>
      </c>
      <c r="D2662" s="48">
        <v>4.33</v>
      </c>
      <c r="S2662" s="106"/>
      <c r="T2662" s="48"/>
    </row>
    <row r="2663" spans="3:20">
      <c r="C2663" s="106">
        <v>45778</v>
      </c>
      <c r="D2663" s="48">
        <v>4.25</v>
      </c>
      <c r="S2663" s="106"/>
      <c r="T2663" s="48"/>
    </row>
    <row r="2664" spans="3:20">
      <c r="C2664" s="106">
        <v>45777</v>
      </c>
      <c r="D2664" s="48">
        <v>4.17</v>
      </c>
      <c r="S2664" s="106"/>
      <c r="T2664" s="48"/>
    </row>
    <row r="2665" spans="3:20">
      <c r="C2665" s="106">
        <v>45776</v>
      </c>
      <c r="D2665" s="48">
        <v>4.1900000000000004</v>
      </c>
      <c r="S2665" s="106"/>
      <c r="T2665" s="48"/>
    </row>
    <row r="2666" spans="3:20">
      <c r="C2666" s="106">
        <v>45775</v>
      </c>
      <c r="D2666" s="48">
        <v>4.2300000000000004</v>
      </c>
      <c r="S2666" s="106"/>
      <c r="T2666" s="48"/>
    </row>
    <row r="2667" spans="3:20">
      <c r="C2667" s="106">
        <v>45772</v>
      </c>
      <c r="D2667" s="48">
        <v>4.29</v>
      </c>
      <c r="S2667" s="106"/>
      <c r="T2667" s="48"/>
    </row>
    <row r="2668" spans="3:20">
      <c r="C2668" s="106">
        <v>45771</v>
      </c>
      <c r="D2668" s="48">
        <v>4.32</v>
      </c>
      <c r="S2668" s="106"/>
      <c r="T2668" s="48"/>
    </row>
    <row r="2669" spans="3:20">
      <c r="C2669" s="106">
        <v>45770</v>
      </c>
      <c r="D2669" s="48">
        <v>4.4000000000000004</v>
      </c>
      <c r="S2669" s="106"/>
      <c r="T2669" s="48"/>
    </row>
    <row r="2670" spans="3:20">
      <c r="C2670" s="106">
        <v>45769</v>
      </c>
      <c r="D2670" s="48">
        <v>4.41</v>
      </c>
      <c r="S2670" s="106"/>
      <c r="T2670" s="48"/>
    </row>
    <row r="2671" spans="3:20">
      <c r="C2671" s="106">
        <v>45768</v>
      </c>
      <c r="D2671" s="48">
        <v>4.42</v>
      </c>
      <c r="S2671" s="106"/>
      <c r="T2671" s="48"/>
    </row>
    <row r="2672" spans="3:20">
      <c r="C2672" s="106">
        <v>45764</v>
      </c>
      <c r="D2672" s="48">
        <v>4.34</v>
      </c>
      <c r="S2672" s="106"/>
      <c r="T2672" s="48"/>
    </row>
    <row r="2673" spans="3:20">
      <c r="C2673" s="106">
        <v>45763</v>
      </c>
      <c r="D2673" s="48">
        <v>4.29</v>
      </c>
      <c r="S2673" s="106"/>
      <c r="T2673" s="48"/>
    </row>
    <row r="2674" spans="3:20">
      <c r="C2674" s="106">
        <v>45762</v>
      </c>
      <c r="D2674" s="48">
        <v>4.3499999999999996</v>
      </c>
      <c r="S2674" s="106"/>
      <c r="T2674" s="48"/>
    </row>
    <row r="2675" spans="3:20">
      <c r="C2675" s="106">
        <v>45761</v>
      </c>
      <c r="D2675" s="48">
        <v>4.38</v>
      </c>
      <c r="S2675" s="106"/>
      <c r="T2675" s="48"/>
    </row>
    <row r="2676" spans="3:20">
      <c r="C2676" s="106">
        <v>45758</v>
      </c>
      <c r="D2676" s="48">
        <v>4.4800000000000004</v>
      </c>
      <c r="S2676" s="106"/>
      <c r="T2676" s="48"/>
    </row>
    <row r="2677" spans="3:20">
      <c r="C2677" s="106">
        <v>45757</v>
      </c>
      <c r="D2677" s="48">
        <v>4.4000000000000004</v>
      </c>
      <c r="S2677" s="106"/>
      <c r="T2677" s="48"/>
    </row>
    <row r="2678" spans="3:20">
      <c r="C2678" s="106">
        <v>45756</v>
      </c>
      <c r="D2678" s="48">
        <v>4.34</v>
      </c>
      <c r="S2678" s="106"/>
      <c r="T2678" s="48"/>
    </row>
    <row r="2679" spans="3:20">
      <c r="C2679" s="106">
        <v>45755</v>
      </c>
      <c r="D2679" s="48">
        <v>4.26</v>
      </c>
      <c r="S2679" s="106"/>
      <c r="T2679" s="48"/>
    </row>
    <row r="2680" spans="3:20">
      <c r="C2680" s="106">
        <v>45754</v>
      </c>
      <c r="D2680" s="48">
        <v>4.1500000000000004</v>
      </c>
      <c r="S2680" s="106"/>
      <c r="T2680" s="48"/>
    </row>
    <row r="2681" spans="3:20">
      <c r="C2681" s="106">
        <v>45751</v>
      </c>
      <c r="D2681" s="48">
        <v>4.01</v>
      </c>
      <c r="S2681" s="106"/>
      <c r="T2681" s="48"/>
    </row>
    <row r="2682" spans="3:20">
      <c r="C2682" s="106">
        <v>45750</v>
      </c>
      <c r="D2682" s="48">
        <v>4.0599999999999996</v>
      </c>
      <c r="S2682" s="106"/>
      <c r="T2682" s="48"/>
    </row>
    <row r="2683" spans="3:20">
      <c r="C2683" s="106">
        <v>45749</v>
      </c>
      <c r="D2683" s="48">
        <v>4.2</v>
      </c>
      <c r="S2683" s="106"/>
      <c r="T2683" s="48"/>
    </row>
    <row r="2684" spans="3:20">
      <c r="C2684" s="106">
        <v>45748</v>
      </c>
      <c r="D2684" s="48">
        <v>4.17</v>
      </c>
      <c r="S2684" s="106"/>
      <c r="T2684" s="48"/>
    </row>
    <row r="2685" spans="3:20">
      <c r="C2685" s="106">
        <v>45747</v>
      </c>
      <c r="D2685" s="48">
        <v>4.2300000000000004</v>
      </c>
      <c r="S2685" s="106"/>
      <c r="T2685" s="48"/>
    </row>
    <row r="2686" spans="3:20">
      <c r="C2686" s="106">
        <v>45744</v>
      </c>
      <c r="D2686" s="48">
        <v>4.2699999999999996</v>
      </c>
      <c r="S2686" s="106"/>
      <c r="T2686" s="48"/>
    </row>
    <row r="2687" spans="3:20">
      <c r="C2687" s="106">
        <v>45743</v>
      </c>
      <c r="D2687" s="48">
        <v>4.38</v>
      </c>
      <c r="S2687" s="106"/>
      <c r="T2687" s="48"/>
    </row>
    <row r="2688" spans="3:20">
      <c r="C2688" s="106">
        <v>45742</v>
      </c>
      <c r="D2688" s="48">
        <v>4.3499999999999996</v>
      </c>
      <c r="S2688" s="106"/>
      <c r="T2688" s="48"/>
    </row>
    <row r="2689" spans="3:20">
      <c r="C2689" s="106">
        <v>45741</v>
      </c>
      <c r="D2689" s="48">
        <v>4.3099999999999996</v>
      </c>
      <c r="S2689" s="106"/>
      <c r="T2689" s="48"/>
    </row>
    <row r="2690" spans="3:20">
      <c r="C2690" s="106">
        <v>45740</v>
      </c>
      <c r="D2690" s="48">
        <v>4.34</v>
      </c>
      <c r="S2690" s="106"/>
      <c r="T2690" s="48"/>
    </row>
    <row r="2691" spans="3:20">
      <c r="C2691" s="106">
        <v>45737</v>
      </c>
      <c r="D2691" s="48">
        <v>4.25</v>
      </c>
      <c r="S2691" s="106"/>
      <c r="T2691" s="48"/>
    </row>
    <row r="2692" spans="3:20">
      <c r="C2692" s="106">
        <v>45736</v>
      </c>
      <c r="D2692" s="48">
        <v>4.24</v>
      </c>
      <c r="S2692" s="106"/>
      <c r="T2692" s="48"/>
    </row>
    <row r="2693" spans="3:20">
      <c r="C2693" s="106">
        <v>45735</v>
      </c>
      <c r="D2693" s="48">
        <v>4.25</v>
      </c>
      <c r="S2693" s="106"/>
      <c r="T2693" s="48"/>
    </row>
    <row r="2694" spans="3:20">
      <c r="C2694" s="106">
        <v>45734</v>
      </c>
      <c r="D2694" s="48">
        <v>4.29</v>
      </c>
      <c r="S2694" s="106"/>
      <c r="T2694" s="48"/>
    </row>
    <row r="2695" spans="3:20">
      <c r="C2695" s="106">
        <v>45733</v>
      </c>
      <c r="D2695" s="48">
        <v>4.3099999999999996</v>
      </c>
      <c r="S2695" s="106"/>
      <c r="T2695" s="48"/>
    </row>
    <row r="2696" spans="3:20">
      <c r="C2696" s="106">
        <v>45730</v>
      </c>
      <c r="D2696" s="48">
        <v>4.3099999999999996</v>
      </c>
      <c r="S2696" s="106"/>
      <c r="T2696" s="48"/>
    </row>
    <row r="2697" spans="3:20">
      <c r="C2697" s="106">
        <v>45729</v>
      </c>
      <c r="D2697" s="48">
        <v>4.2699999999999996</v>
      </c>
      <c r="S2697" s="106"/>
      <c r="T2697" s="48"/>
    </row>
    <row r="2698" spans="3:20">
      <c r="C2698" s="106">
        <v>45728</v>
      </c>
      <c r="D2698" s="48">
        <v>4.32</v>
      </c>
      <c r="S2698" s="106"/>
      <c r="T2698" s="48"/>
    </row>
    <row r="2699" spans="3:20">
      <c r="C2699" s="106">
        <v>45727</v>
      </c>
      <c r="D2699" s="48">
        <v>4.28</v>
      </c>
      <c r="S2699" s="106"/>
      <c r="T2699" s="48"/>
    </row>
    <row r="2700" spans="3:20">
      <c r="C2700" s="106">
        <v>45726</v>
      </c>
      <c r="D2700" s="48">
        <v>4.22</v>
      </c>
      <c r="S2700" s="106"/>
      <c r="T2700" s="48"/>
    </row>
    <row r="2701" spans="3:20">
      <c r="C2701" s="106">
        <v>45723</v>
      </c>
      <c r="D2701" s="48">
        <v>4.32</v>
      </c>
      <c r="S2701" s="106"/>
      <c r="T2701" s="48"/>
    </row>
    <row r="2702" spans="3:20">
      <c r="C2702" s="106">
        <v>45722</v>
      </c>
      <c r="D2702" s="48">
        <v>4.29</v>
      </c>
      <c r="S2702" s="106"/>
      <c r="T2702" s="48"/>
    </row>
    <row r="2703" spans="3:20">
      <c r="C2703" s="106">
        <v>45721</v>
      </c>
      <c r="D2703" s="48">
        <v>4.28</v>
      </c>
      <c r="S2703" s="106"/>
      <c r="T2703" s="48"/>
    </row>
    <row r="2704" spans="3:20">
      <c r="C2704" s="106">
        <v>45720</v>
      </c>
      <c r="D2704" s="48">
        <v>4.22</v>
      </c>
      <c r="S2704" s="106"/>
      <c r="T2704" s="48"/>
    </row>
    <row r="2705" spans="3:20">
      <c r="C2705" s="106">
        <v>45719</v>
      </c>
      <c r="D2705" s="48">
        <v>4.16</v>
      </c>
      <c r="S2705" s="106"/>
      <c r="T2705" s="48"/>
    </row>
    <row r="2706" spans="3:20">
      <c r="C2706" s="106">
        <v>45716</v>
      </c>
      <c r="D2706" s="48">
        <v>4.24</v>
      </c>
      <c r="S2706" s="106"/>
      <c r="T2706" s="48"/>
    </row>
    <row r="2707" spans="3:20">
      <c r="C2707" s="106">
        <v>45715</v>
      </c>
      <c r="D2707" s="48">
        <v>4.29</v>
      </c>
      <c r="S2707" s="106"/>
      <c r="T2707" s="48"/>
    </row>
    <row r="2708" spans="3:20">
      <c r="C2708" s="106">
        <v>45714</v>
      </c>
      <c r="D2708" s="48">
        <v>4.25</v>
      </c>
      <c r="S2708" s="106"/>
      <c r="T2708" s="48"/>
    </row>
    <row r="2709" spans="3:20">
      <c r="C2709" s="106">
        <v>45713</v>
      </c>
      <c r="D2709" s="48">
        <v>4.3</v>
      </c>
      <c r="S2709" s="106"/>
      <c r="T2709" s="48"/>
    </row>
    <row r="2710" spans="3:20">
      <c r="C2710" s="106">
        <v>45712</v>
      </c>
      <c r="D2710" s="48">
        <v>4.4000000000000004</v>
      </c>
      <c r="S2710" s="106"/>
      <c r="T2710" s="48"/>
    </row>
    <row r="2711" spans="3:20">
      <c r="C2711" s="106">
        <v>45709</v>
      </c>
      <c r="D2711" s="48">
        <v>4.42</v>
      </c>
      <c r="S2711" s="106"/>
      <c r="T2711" s="48"/>
    </row>
    <row r="2712" spans="3:20">
      <c r="C2712" s="106">
        <v>45708</v>
      </c>
      <c r="D2712" s="48">
        <v>4.5</v>
      </c>
      <c r="S2712" s="106"/>
      <c r="T2712" s="48"/>
    </row>
    <row r="2713" spans="3:20">
      <c r="C2713" s="106">
        <v>45707</v>
      </c>
      <c r="D2713" s="48">
        <v>4.53</v>
      </c>
      <c r="S2713" s="106"/>
      <c r="T2713" s="48"/>
    </row>
    <row r="2714" spans="3:20">
      <c r="C2714" s="106">
        <v>45706</v>
      </c>
      <c r="D2714" s="48">
        <v>4.55</v>
      </c>
      <c r="S2714" s="106"/>
      <c r="T2714" s="48"/>
    </row>
    <row r="2715" spans="3:20">
      <c r="C2715" s="106">
        <v>45702</v>
      </c>
      <c r="D2715" s="48">
        <v>4.47</v>
      </c>
      <c r="S2715" s="106"/>
      <c r="T2715" s="48"/>
    </row>
    <row r="2716" spans="3:20">
      <c r="C2716" s="106">
        <v>45701</v>
      </c>
      <c r="D2716" s="48">
        <v>4.5199999999999996</v>
      </c>
      <c r="S2716" s="106"/>
      <c r="T2716" s="48"/>
    </row>
    <row r="2717" spans="3:20">
      <c r="C2717" s="106">
        <v>45700</v>
      </c>
      <c r="D2717" s="48">
        <v>4.62</v>
      </c>
      <c r="S2717" s="106"/>
      <c r="T2717" s="48"/>
    </row>
    <row r="2718" spans="3:20">
      <c r="C2718" s="106">
        <v>45699</v>
      </c>
      <c r="D2718" s="48">
        <v>4.54</v>
      </c>
      <c r="S2718" s="106"/>
      <c r="T2718" s="48"/>
    </row>
    <row r="2719" spans="3:20">
      <c r="C2719" s="106">
        <v>45698</v>
      </c>
      <c r="D2719" s="48">
        <v>4.51</v>
      </c>
      <c r="S2719" s="106"/>
      <c r="T2719" s="48"/>
    </row>
    <row r="2720" spans="3:20">
      <c r="C2720" s="106">
        <v>45695</v>
      </c>
      <c r="D2720" s="48">
        <v>4.49</v>
      </c>
      <c r="S2720" s="106"/>
      <c r="T2720" s="48"/>
    </row>
    <row r="2721" spans="3:20">
      <c r="C2721" s="106">
        <v>45694</v>
      </c>
      <c r="D2721" s="48">
        <v>4.45</v>
      </c>
      <c r="S2721" s="106"/>
      <c r="T2721" s="48"/>
    </row>
    <row r="2722" spans="3:20">
      <c r="C2722" s="106">
        <v>45693</v>
      </c>
      <c r="D2722" s="48">
        <v>4.43</v>
      </c>
      <c r="S2722" s="106"/>
      <c r="T2722" s="48"/>
    </row>
    <row r="2723" spans="3:20">
      <c r="C2723" s="106">
        <v>45692</v>
      </c>
      <c r="D2723" s="48">
        <v>4.5199999999999996</v>
      </c>
      <c r="S2723" s="106"/>
      <c r="T2723" s="48"/>
    </row>
    <row r="2724" spans="3:20">
      <c r="C2724" s="106">
        <v>45691</v>
      </c>
      <c r="D2724" s="48">
        <v>4.54</v>
      </c>
      <c r="S2724" s="106"/>
      <c r="T2724" s="48"/>
    </row>
    <row r="2725" spans="3:20">
      <c r="C2725" s="106">
        <v>45688</v>
      </c>
      <c r="D2725" s="48">
        <v>4.58</v>
      </c>
      <c r="S2725" s="106"/>
      <c r="T2725" s="48"/>
    </row>
    <row r="2726" spans="3:20">
      <c r="C2726" s="106">
        <v>45687</v>
      </c>
      <c r="D2726" s="48">
        <v>4.5199999999999996</v>
      </c>
      <c r="S2726" s="106"/>
      <c r="T2726" s="48"/>
    </row>
    <row r="2727" spans="3:20">
      <c r="C2727" s="106">
        <v>45686</v>
      </c>
      <c r="D2727" s="48">
        <v>4.55</v>
      </c>
      <c r="S2727" s="106"/>
      <c r="T2727" s="48"/>
    </row>
    <row r="2728" spans="3:20">
      <c r="C2728" s="106">
        <v>45685</v>
      </c>
      <c r="D2728" s="48">
        <v>4.55</v>
      </c>
      <c r="S2728" s="106"/>
      <c r="T2728" s="48"/>
    </row>
    <row r="2729" spans="3:20">
      <c r="C2729" s="106">
        <v>45684</v>
      </c>
      <c r="D2729" s="48">
        <v>4.53</v>
      </c>
      <c r="S2729" s="106"/>
      <c r="T2729" s="48"/>
    </row>
    <row r="2730" spans="3:20">
      <c r="C2730" s="106">
        <v>45681</v>
      </c>
      <c r="D2730" s="48">
        <v>4.63</v>
      </c>
      <c r="S2730" s="106"/>
      <c r="T2730" s="48"/>
    </row>
    <row r="2731" spans="3:20">
      <c r="C2731" s="106">
        <v>45680</v>
      </c>
      <c r="D2731" s="48">
        <v>4.6500000000000004</v>
      </c>
      <c r="S2731" s="106"/>
      <c r="T2731" s="48"/>
    </row>
    <row r="2732" spans="3:20">
      <c r="C2732" s="106">
        <v>45679</v>
      </c>
      <c r="D2732" s="48">
        <v>4.5999999999999996</v>
      </c>
      <c r="S2732" s="106"/>
      <c r="T2732" s="48"/>
    </row>
    <row r="2733" spans="3:20">
      <c r="C2733" s="106">
        <v>45678</v>
      </c>
      <c r="D2733" s="48">
        <v>4.57</v>
      </c>
      <c r="S2733" s="106"/>
      <c r="T2733" s="48"/>
    </row>
    <row r="2734" spans="3:20">
      <c r="C2734" s="106">
        <v>45674</v>
      </c>
      <c r="D2734" s="48">
        <v>4.6100000000000003</v>
      </c>
      <c r="S2734" s="106"/>
      <c r="T2734" s="48"/>
    </row>
    <row r="2735" spans="3:20">
      <c r="C2735" s="106">
        <v>45673</v>
      </c>
      <c r="D2735" s="48">
        <v>4.6100000000000003</v>
      </c>
      <c r="S2735" s="106"/>
      <c r="T2735" s="48"/>
    </row>
    <row r="2736" spans="3:20">
      <c r="C2736" s="106">
        <v>45672</v>
      </c>
      <c r="D2736" s="48">
        <v>4.66</v>
      </c>
      <c r="S2736" s="106"/>
      <c r="T2736" s="48"/>
    </row>
    <row r="2737" spans="3:20">
      <c r="C2737" s="106">
        <v>45671</v>
      </c>
      <c r="D2737" s="48">
        <v>4.78</v>
      </c>
      <c r="S2737" s="106"/>
      <c r="T2737" s="48"/>
    </row>
    <row r="2738" spans="3:20">
      <c r="C2738" s="106">
        <v>45670</v>
      </c>
      <c r="D2738" s="48">
        <v>4.79</v>
      </c>
      <c r="S2738" s="106"/>
      <c r="T2738" s="48"/>
    </row>
    <row r="2739" spans="3:20">
      <c r="C2739" s="106">
        <v>45667</v>
      </c>
      <c r="D2739" s="48">
        <v>4.7699999999999996</v>
      </c>
      <c r="S2739" s="106"/>
      <c r="T2739" s="48"/>
    </row>
    <row r="2740" spans="3:20">
      <c r="C2740" s="106">
        <v>45666</v>
      </c>
      <c r="D2740" s="48">
        <v>4.68</v>
      </c>
      <c r="S2740" s="106"/>
      <c r="T2740" s="48"/>
    </row>
    <row r="2741" spans="3:20">
      <c r="C2741" s="106">
        <v>45665</v>
      </c>
      <c r="D2741" s="48">
        <v>4.67</v>
      </c>
      <c r="S2741" s="106"/>
      <c r="T2741" s="48"/>
    </row>
    <row r="2742" spans="3:20">
      <c r="C2742" s="106">
        <v>45664</v>
      </c>
      <c r="D2742" s="48">
        <v>4.67</v>
      </c>
      <c r="S2742" s="106"/>
      <c r="T2742" s="48"/>
    </row>
    <row r="2743" spans="3:20">
      <c r="C2743" s="106">
        <v>45663</v>
      </c>
      <c r="D2743" s="48">
        <v>4.62</v>
      </c>
      <c r="S2743" s="106"/>
      <c r="T2743" s="48"/>
    </row>
    <row r="2744" spans="3:20">
      <c r="C2744" s="106">
        <v>45660</v>
      </c>
      <c r="D2744" s="48">
        <v>4.5999999999999996</v>
      </c>
      <c r="S2744" s="106"/>
      <c r="T2744" s="48"/>
    </row>
    <row r="2745" spans="3:20">
      <c r="C2745" s="106">
        <v>45659</v>
      </c>
      <c r="D2745" s="48">
        <v>4.57</v>
      </c>
      <c r="S2745" s="106"/>
      <c r="T2745" s="48"/>
    </row>
    <row r="2746" spans="3:20">
      <c r="S2746" s="106"/>
      <c r="T2746" s="48"/>
    </row>
    <row r="2747" spans="3:20">
      <c r="S2747" s="106"/>
      <c r="T2747" s="48"/>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A9F84-7EA2-47E5-B72B-4348A768BB69}">
  <sheetPr>
    <tabColor rgb="FFAFDEFF"/>
  </sheetPr>
  <dimension ref="B1:D33"/>
  <sheetViews>
    <sheetView showGridLines="0" tabSelected="1" workbookViewId="0">
      <selection activeCell="B16" sqref="B16"/>
    </sheetView>
  </sheetViews>
  <sheetFormatPr baseColWidth="10" defaultColWidth="8.83203125" defaultRowHeight="12"/>
  <cols>
    <col min="1" max="2" width="3.1640625" style="1" customWidth="1"/>
    <col min="3" max="3" width="11.6640625" style="1" customWidth="1"/>
    <col min="4" max="16384" width="8.83203125" style="1"/>
  </cols>
  <sheetData>
    <row r="1" spans="2:4" s="518" customFormat="1"/>
    <row r="2" spans="2:4" s="518" customFormat="1" ht="18">
      <c r="B2" s="541"/>
    </row>
    <row r="3" spans="2:4" s="518" customFormat="1" ht="13">
      <c r="B3" s="542"/>
      <c r="C3" s="461" t="s">
        <v>207</v>
      </c>
    </row>
    <row r="4" spans="2:4" s="518" customFormat="1">
      <c r="B4" s="542"/>
      <c r="C4" s="463"/>
    </row>
    <row r="5" spans="2:4" s="518" customFormat="1" ht="7.75" customHeight="1">
      <c r="B5" s="542"/>
    </row>
    <row r="6" spans="2:4">
      <c r="B6" s="4"/>
    </row>
    <row r="7" spans="2:4">
      <c r="B7" s="566"/>
      <c r="C7" s="467" t="s">
        <v>173</v>
      </c>
      <c r="D7" s="467" t="s">
        <v>107</v>
      </c>
    </row>
    <row r="8" spans="2:4">
      <c r="B8" s="4">
        <v>1</v>
      </c>
      <c r="C8" s="1" t="s">
        <v>708</v>
      </c>
      <c r="D8" s="110">
        <v>0.21</v>
      </c>
    </row>
    <row r="9" spans="2:4">
      <c r="B9" s="4">
        <f>+B8+1</f>
        <v>2</v>
      </c>
      <c r="C9" s="1" t="s">
        <v>190</v>
      </c>
      <c r="D9" s="110">
        <v>0.15</v>
      </c>
    </row>
    <row r="10" spans="2:4">
      <c r="B10" s="4">
        <f t="shared" ref="B10:B12" si="0">+B9+1</f>
        <v>3</v>
      </c>
      <c r="C10" s="1" t="s">
        <v>709</v>
      </c>
      <c r="D10" s="110">
        <v>0.25</v>
      </c>
    </row>
    <row r="11" spans="2:4">
      <c r="B11" s="4">
        <f t="shared" si="0"/>
        <v>4</v>
      </c>
      <c r="C11" s="1" t="s">
        <v>193</v>
      </c>
      <c r="D11" s="110">
        <v>0.23200000000000001</v>
      </c>
    </row>
    <row r="12" spans="2:4">
      <c r="B12" s="4">
        <f t="shared" si="0"/>
        <v>5</v>
      </c>
      <c r="C12" s="1" t="s">
        <v>710</v>
      </c>
      <c r="D12" s="110">
        <f>AVERAGE(D8:D11)</f>
        <v>0.21049999999999999</v>
      </c>
    </row>
    <row r="13" spans="2:4" ht="15">
      <c r="B13" s="4"/>
      <c r="C13"/>
      <c r="D13"/>
    </row>
    <row r="14" spans="2:4" ht="15">
      <c r="B14" s="42" t="s">
        <v>202</v>
      </c>
      <c r="D14"/>
    </row>
    <row r="15" spans="2:4" ht="15">
      <c r="B15" s="43" t="s">
        <v>195</v>
      </c>
      <c r="C15"/>
      <c r="D15"/>
    </row>
    <row r="16" spans="2:4" ht="15">
      <c r="B16" s="43" t="s">
        <v>860</v>
      </c>
      <c r="C16"/>
      <c r="D16"/>
    </row>
    <row r="17" spans="2:4" ht="15">
      <c r="B17" s="43"/>
      <c r="C17"/>
      <c r="D17"/>
    </row>
    <row r="18" spans="2:4" ht="15">
      <c r="B18" s="4"/>
      <c r="C18"/>
      <c r="D18"/>
    </row>
    <row r="19" spans="2:4" ht="15">
      <c r="B19" s="4"/>
      <c r="C19"/>
      <c r="D19"/>
    </row>
    <row r="20" spans="2:4">
      <c r="B20" s="4"/>
    </row>
    <row r="21" spans="2:4">
      <c r="B21" s="4"/>
    </row>
    <row r="22" spans="2:4">
      <c r="B22" s="4"/>
    </row>
    <row r="23" spans="2:4">
      <c r="B23" s="4"/>
    </row>
    <row r="24" spans="2:4">
      <c r="B24" s="4"/>
    </row>
    <row r="25" spans="2:4">
      <c r="B25" s="4"/>
    </row>
    <row r="26" spans="2:4">
      <c r="B26" s="4"/>
    </row>
    <row r="27" spans="2:4">
      <c r="B27" s="4"/>
    </row>
    <row r="28" spans="2:4">
      <c r="B28" s="4"/>
    </row>
    <row r="30" spans="2:4">
      <c r="C30" s="6"/>
    </row>
    <row r="31" spans="2:4">
      <c r="C31" s="7"/>
    </row>
    <row r="32" spans="2:4">
      <c r="C32" s="8"/>
    </row>
    <row r="33" spans="3:3">
      <c r="C33" s="9"/>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9D545-E641-4C8A-8CE2-ADA14BEE3F30}">
  <sheetPr>
    <tabColor rgb="FFAFDEFF"/>
  </sheetPr>
  <dimension ref="B1:E16"/>
  <sheetViews>
    <sheetView showGridLines="0" workbookViewId="0">
      <selection activeCell="B15" sqref="B15"/>
    </sheetView>
  </sheetViews>
  <sheetFormatPr baseColWidth="10" defaultColWidth="8.83203125" defaultRowHeight="12"/>
  <cols>
    <col min="1" max="2" width="3.1640625" style="1" customWidth="1"/>
    <col min="3" max="3" width="23.5" style="1" customWidth="1"/>
    <col min="4" max="4" width="10.1640625" style="1" customWidth="1"/>
    <col min="5" max="5" width="9.33203125" style="1" bestFit="1" customWidth="1"/>
    <col min="6" max="16384" width="8.83203125" style="1"/>
  </cols>
  <sheetData>
    <row r="1" spans="2:5" s="518" customFormat="1"/>
    <row r="2" spans="2:5" s="518" customFormat="1" ht="18">
      <c r="B2" s="541"/>
    </row>
    <row r="3" spans="2:5" s="518" customFormat="1" ht="13">
      <c r="B3" s="459"/>
      <c r="C3" s="461" t="s">
        <v>198</v>
      </c>
    </row>
    <row r="4" spans="2:5" s="518" customFormat="1">
      <c r="B4" s="459"/>
      <c r="C4" s="460" t="s">
        <v>461</v>
      </c>
    </row>
    <row r="5" spans="2:5" s="518" customFormat="1" ht="7.75" customHeight="1">
      <c r="B5" s="542"/>
    </row>
    <row r="6" spans="2:5">
      <c r="B6" s="4"/>
    </row>
    <row r="7" spans="2:5">
      <c r="B7" s="566"/>
      <c r="C7" s="467" t="s">
        <v>173</v>
      </c>
      <c r="D7" s="467" t="s">
        <v>201</v>
      </c>
      <c r="E7" s="543" t="s">
        <v>299</v>
      </c>
    </row>
    <row r="8" spans="2:5">
      <c r="B8" s="4">
        <v>1</v>
      </c>
      <c r="C8" s="1" t="s">
        <v>447</v>
      </c>
      <c r="D8" s="104" t="s">
        <v>30</v>
      </c>
      <c r="E8" s="116">
        <v>1</v>
      </c>
    </row>
    <row r="9" spans="2:5">
      <c r="B9" s="4">
        <v>1</v>
      </c>
      <c r="C9" s="1" t="s">
        <v>193</v>
      </c>
      <c r="D9" s="104" t="s">
        <v>200</v>
      </c>
      <c r="E9" s="116">
        <v>212.786</v>
      </c>
    </row>
    <row r="10" spans="2:5">
      <c r="B10" s="4">
        <f>B9+1</f>
        <v>2</v>
      </c>
      <c r="C10" s="1" t="s">
        <v>206</v>
      </c>
      <c r="D10" s="104" t="s">
        <v>861</v>
      </c>
      <c r="E10" s="116">
        <v>1.02196</v>
      </c>
    </row>
    <row r="11" spans="2:5">
      <c r="B11" s="4">
        <f>B10+1</f>
        <v>3</v>
      </c>
      <c r="C11" s="1" t="s">
        <v>190</v>
      </c>
      <c r="D11" s="1" t="s">
        <v>199</v>
      </c>
      <c r="E11" s="116">
        <v>1.16513</v>
      </c>
    </row>
    <row r="12" spans="2:5">
      <c r="B12" s="4"/>
    </row>
    <row r="13" spans="2:5">
      <c r="B13" s="42" t="s">
        <v>463</v>
      </c>
      <c r="C13" s="6"/>
    </row>
    <row r="14" spans="2:5" ht="15">
      <c r="B14" s="734" t="s">
        <v>862</v>
      </c>
      <c r="C14" s="7"/>
    </row>
    <row r="15" spans="2:5">
      <c r="C15" s="8"/>
    </row>
    <row r="16" spans="2:5">
      <c r="C16" s="9"/>
    </row>
  </sheetData>
  <hyperlinks>
    <hyperlink ref="B14" r:id="rId1" xr:uid="{A4A58FED-1CF3-FB4D-91F5-8D972DC88E75}"/>
  </hyperlinks>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D71ED-D627-47BF-AAEE-8FD8694E237D}">
  <sheetPr>
    <tabColor rgb="FFAFDEFF"/>
  </sheetPr>
  <dimension ref="B1:J20"/>
  <sheetViews>
    <sheetView showGridLines="0" workbookViewId="0">
      <selection activeCell="D20" sqref="D20"/>
    </sheetView>
  </sheetViews>
  <sheetFormatPr baseColWidth="10" defaultColWidth="8.83203125" defaultRowHeight="12"/>
  <cols>
    <col min="1" max="2" width="3.1640625" style="1" customWidth="1"/>
    <col min="3" max="3" width="20.5" style="1" bestFit="1" customWidth="1"/>
    <col min="4" max="4" width="10.6640625" style="1" customWidth="1"/>
    <col min="5" max="5" width="41.5" style="1" customWidth="1"/>
    <col min="6" max="6" width="33.6640625" style="1" customWidth="1"/>
    <col min="7" max="16384" width="8.83203125" style="1"/>
  </cols>
  <sheetData>
    <row r="1" spans="2:10" s="518" customFormat="1"/>
    <row r="2" spans="2:10" s="518" customFormat="1" ht="18">
      <c r="B2" s="541"/>
    </row>
    <row r="3" spans="2:10" s="518" customFormat="1" ht="13">
      <c r="B3" s="542"/>
      <c r="C3" s="461" t="s">
        <v>518</v>
      </c>
    </row>
    <row r="4" spans="2:10" s="518" customFormat="1">
      <c r="B4" s="542"/>
      <c r="C4" s="463"/>
    </row>
    <row r="5" spans="2:10" s="518" customFormat="1" ht="7.75" customHeight="1">
      <c r="B5" s="542"/>
    </row>
    <row r="6" spans="2:10">
      <c r="B6" s="4"/>
    </row>
    <row r="7" spans="2:10">
      <c r="B7" s="4"/>
      <c r="C7" s="292" t="s">
        <v>518</v>
      </c>
      <c r="D7" s="292"/>
      <c r="E7" s="292"/>
      <c r="F7" s="405"/>
    </row>
    <row r="8" spans="2:10" ht="5.5" customHeight="1">
      <c r="B8" s="4"/>
      <c r="C8" s="143"/>
      <c r="D8" s="143"/>
      <c r="E8" s="143"/>
      <c r="G8" s="143"/>
      <c r="H8" s="143"/>
      <c r="I8" s="143"/>
      <c r="J8" s="143"/>
    </row>
    <row r="9" spans="2:10">
      <c r="B9" s="4"/>
      <c r="C9" s="467" t="s">
        <v>519</v>
      </c>
      <c r="D9" s="551" t="s">
        <v>520</v>
      </c>
      <c r="E9" s="575" t="s">
        <v>521</v>
      </c>
    </row>
    <row r="10" spans="2:10" ht="13">
      <c r="B10" s="4"/>
      <c r="C10" s="406" t="s">
        <v>784</v>
      </c>
      <c r="D10" s="404">
        <v>1994</v>
      </c>
      <c r="E10" s="404" t="s">
        <v>863</v>
      </c>
    </row>
    <row r="11" spans="2:10" ht="13">
      <c r="B11" s="4"/>
      <c r="C11" s="577" t="s">
        <v>785</v>
      </c>
      <c r="D11" s="576">
        <v>2020</v>
      </c>
      <c r="E11" s="576" t="s">
        <v>864</v>
      </c>
    </row>
    <row r="12" spans="2:10" ht="13">
      <c r="C12" s="406" t="s">
        <v>786</v>
      </c>
      <c r="D12" s="404">
        <v>2021</v>
      </c>
      <c r="E12" s="404" t="s">
        <v>864</v>
      </c>
    </row>
    <row r="13" spans="2:10" ht="13">
      <c r="C13" s="577" t="s">
        <v>787</v>
      </c>
      <c r="D13" s="576">
        <v>2012</v>
      </c>
      <c r="E13" s="576" t="s">
        <v>865</v>
      </c>
    </row>
    <row r="14" spans="2:10" ht="13">
      <c r="C14" s="406" t="s">
        <v>788</v>
      </c>
      <c r="D14" s="404">
        <v>2016</v>
      </c>
      <c r="E14" s="404" t="s">
        <v>864</v>
      </c>
    </row>
    <row r="15" spans="2:10" ht="13">
      <c r="C15" s="577" t="s">
        <v>765</v>
      </c>
      <c r="D15" s="576">
        <v>2021</v>
      </c>
      <c r="E15" s="576" t="s">
        <v>767</v>
      </c>
    </row>
    <row r="16" spans="2:10" ht="13">
      <c r="C16" s="406" t="s">
        <v>789</v>
      </c>
      <c r="D16" s="404">
        <v>2019</v>
      </c>
      <c r="E16" s="404" t="s">
        <v>864</v>
      </c>
    </row>
    <row r="17" spans="3:5" ht="13">
      <c r="C17" s="577" t="s">
        <v>790</v>
      </c>
      <c r="D17" s="576">
        <v>2010</v>
      </c>
      <c r="E17" s="576" t="s">
        <v>865</v>
      </c>
    </row>
    <row r="18" spans="3:5" ht="13">
      <c r="C18" s="406" t="s">
        <v>791</v>
      </c>
      <c r="D18" s="404">
        <v>1997</v>
      </c>
      <c r="E18" s="404" t="s">
        <v>791</v>
      </c>
    </row>
    <row r="19" spans="3:5" ht="13">
      <c r="C19" s="577" t="s">
        <v>792</v>
      </c>
      <c r="D19" s="576">
        <v>2016</v>
      </c>
      <c r="E19" s="576" t="s">
        <v>864</v>
      </c>
    </row>
    <row r="20" spans="3:5">
      <c r="E20" s="405"/>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858B-8620-4428-A597-6859858970CC}">
  <sheetPr>
    <tabColor rgb="FFAFDEFF"/>
  </sheetPr>
  <dimension ref="B1:K17"/>
  <sheetViews>
    <sheetView showGridLines="0" zoomScale="93" workbookViewId="0">
      <selection activeCell="G31" sqref="G31"/>
    </sheetView>
  </sheetViews>
  <sheetFormatPr baseColWidth="10" defaultColWidth="8.83203125" defaultRowHeight="12"/>
  <cols>
    <col min="1" max="2" width="3.1640625" style="1" customWidth="1"/>
    <col min="3" max="3" width="20.5" style="1" bestFit="1" customWidth="1"/>
    <col min="4" max="5" width="10.6640625" style="1" customWidth="1"/>
    <col min="6" max="6" width="41.5" style="1" customWidth="1"/>
    <col min="7" max="7" width="59.1640625" style="1" customWidth="1"/>
    <col min="8" max="16384" width="8.83203125" style="1"/>
  </cols>
  <sheetData>
    <row r="1" spans="2:11" s="518" customFormat="1" ht="11" customHeight="1"/>
    <row r="2" spans="2:11" s="518" customFormat="1" ht="11" customHeight="1">
      <c r="B2" s="541"/>
    </row>
    <row r="3" spans="2:11" s="518" customFormat="1" ht="11" customHeight="1">
      <c r="B3" s="542"/>
      <c r="C3" s="458" t="s">
        <v>522</v>
      </c>
    </row>
    <row r="4" spans="2:11" s="518" customFormat="1" ht="11" customHeight="1">
      <c r="B4" s="542"/>
      <c r="C4" s="463"/>
    </row>
    <row r="5" spans="2:11" s="518" customFormat="1" ht="11" customHeight="1">
      <c r="B5" s="542"/>
    </row>
    <row r="6" spans="2:11">
      <c r="B6" s="4"/>
    </row>
    <row r="7" spans="2:11">
      <c r="B7" s="4"/>
      <c r="C7" s="292" t="s">
        <v>522</v>
      </c>
      <c r="D7" s="292"/>
      <c r="E7" s="292"/>
      <c r="F7" s="292"/>
      <c r="G7" s="292"/>
    </row>
    <row r="8" spans="2:11" ht="5.5" customHeight="1">
      <c r="B8" s="4"/>
      <c r="C8" s="143"/>
      <c r="D8" s="143"/>
      <c r="E8" s="143"/>
      <c r="F8" s="143"/>
      <c r="G8" s="143"/>
      <c r="H8" s="143"/>
      <c r="I8" s="143"/>
      <c r="J8" s="143"/>
      <c r="K8" s="143"/>
    </row>
    <row r="9" spans="2:11">
      <c r="B9" s="4"/>
      <c r="C9" s="467" t="s">
        <v>519</v>
      </c>
      <c r="D9" s="551" t="s">
        <v>520</v>
      </c>
      <c r="E9" s="551" t="s">
        <v>530</v>
      </c>
      <c r="F9" s="575" t="s">
        <v>521</v>
      </c>
      <c r="G9" s="575" t="s">
        <v>563</v>
      </c>
    </row>
    <row r="10" spans="2:11" ht="66" customHeight="1">
      <c r="B10" s="4"/>
      <c r="C10" s="429" t="s">
        <v>759</v>
      </c>
      <c r="D10" s="430">
        <v>2005</v>
      </c>
      <c r="E10" s="430">
        <v>20</v>
      </c>
      <c r="F10" s="429" t="s">
        <v>760</v>
      </c>
      <c r="G10" s="429" t="s">
        <v>761</v>
      </c>
    </row>
    <row r="11" spans="2:11" ht="74" customHeight="1">
      <c r="B11" s="4"/>
      <c r="C11" s="578" t="s">
        <v>762</v>
      </c>
      <c r="D11" s="579">
        <v>2006</v>
      </c>
      <c r="E11" s="579">
        <v>19</v>
      </c>
      <c r="F11" s="578" t="s">
        <v>763</v>
      </c>
      <c r="G11" s="578" t="s">
        <v>764</v>
      </c>
    </row>
    <row r="12" spans="2:11" ht="131" customHeight="1">
      <c r="C12" s="429" t="s">
        <v>765</v>
      </c>
      <c r="D12" s="430">
        <v>1997</v>
      </c>
      <c r="E12" s="430">
        <f>2025-D12</f>
        <v>28</v>
      </c>
      <c r="F12" s="429" t="s">
        <v>767</v>
      </c>
      <c r="G12" s="429" t="s">
        <v>766</v>
      </c>
    </row>
    <row r="13" spans="2:11" ht="69" customHeight="1">
      <c r="C13" s="578" t="s">
        <v>768</v>
      </c>
      <c r="D13" s="579">
        <v>2002</v>
      </c>
      <c r="E13" s="579">
        <f>2025-D13</f>
        <v>23</v>
      </c>
      <c r="F13" s="578" t="s">
        <v>769</v>
      </c>
      <c r="G13" s="578" t="s">
        <v>770</v>
      </c>
    </row>
    <row r="14" spans="2:11" ht="87" customHeight="1">
      <c r="C14" s="429" t="s">
        <v>771</v>
      </c>
      <c r="D14" s="430">
        <v>1999</v>
      </c>
      <c r="E14" s="430">
        <f>2025-D14</f>
        <v>26</v>
      </c>
      <c r="F14" s="429" t="s">
        <v>772</v>
      </c>
      <c r="G14" s="429" t="s">
        <v>773</v>
      </c>
    </row>
    <row r="15" spans="2:11" ht="39">
      <c r="C15" s="578" t="s">
        <v>774</v>
      </c>
      <c r="D15" s="579">
        <v>2007</v>
      </c>
      <c r="E15" s="579">
        <f>2025-D15</f>
        <v>18</v>
      </c>
      <c r="F15" s="578" t="s">
        <v>775</v>
      </c>
      <c r="G15" s="578" t="s">
        <v>776</v>
      </c>
    </row>
    <row r="17" spans="3:3">
      <c r="C17" s="1" t="s">
        <v>777</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E854-72AF-4599-B2A3-7ECD294E26AA}">
  <sheetPr>
    <tabColor rgb="FFAFDEFF"/>
  </sheetPr>
  <dimension ref="A1:J33"/>
  <sheetViews>
    <sheetView showGridLines="0" zoomScale="117" workbookViewId="0">
      <selection activeCell="L27" sqref="L27"/>
    </sheetView>
  </sheetViews>
  <sheetFormatPr baseColWidth="10" defaultColWidth="8.83203125" defaultRowHeight="12"/>
  <cols>
    <col min="1" max="2" width="3.1640625" style="1" customWidth="1"/>
    <col min="3" max="3" width="17" style="1" customWidth="1"/>
    <col min="4" max="4" width="16.33203125" style="1" customWidth="1"/>
    <col min="5" max="5" width="13.1640625" style="1" bestFit="1" customWidth="1"/>
    <col min="6" max="6" width="13.33203125" style="1" bestFit="1" customWidth="1"/>
    <col min="7" max="9" width="8.83203125" style="1"/>
    <col min="10" max="10" width="13.1640625" style="1" customWidth="1"/>
    <col min="11" max="16384" width="8.83203125" style="1"/>
  </cols>
  <sheetData>
    <row r="1" spans="1:10" s="518" customFormat="1"/>
    <row r="2" spans="1:10" s="518" customFormat="1" ht="18">
      <c r="B2" s="541"/>
    </row>
    <row r="3" spans="1:10" s="518" customFormat="1" ht="13">
      <c r="A3" s="457"/>
      <c r="B3" s="459"/>
      <c r="C3" s="461" t="s">
        <v>778</v>
      </c>
    </row>
    <row r="4" spans="1:10" s="518" customFormat="1">
      <c r="A4" s="457"/>
      <c r="B4" s="459"/>
      <c r="C4" s="460" t="s">
        <v>779</v>
      </c>
    </row>
    <row r="5" spans="1:10" s="518" customFormat="1" ht="7.75" customHeight="1">
      <c r="B5" s="542"/>
    </row>
    <row r="6" spans="1:10">
      <c r="B6" s="4"/>
    </row>
    <row r="7" spans="1:10">
      <c r="B7" s="4"/>
      <c r="C7" s="292" t="s">
        <v>548</v>
      </c>
      <c r="D7" s="292"/>
      <c r="E7" s="292"/>
      <c r="F7" s="292"/>
    </row>
    <row r="8" spans="1:10" ht="5.5" customHeight="1">
      <c r="B8" s="4"/>
      <c r="C8" s="143"/>
      <c r="D8" s="143"/>
      <c r="E8" s="143"/>
      <c r="F8" s="143"/>
      <c r="G8" s="143"/>
      <c r="H8" s="143"/>
    </row>
    <row r="9" spans="1:10">
      <c r="B9" s="4"/>
      <c r="C9" s="467"/>
      <c r="D9" s="551" t="s">
        <v>545</v>
      </c>
      <c r="E9" s="551" t="s">
        <v>546</v>
      </c>
      <c r="F9" s="520" t="s">
        <v>547</v>
      </c>
      <c r="H9" s="467" t="s">
        <v>783</v>
      </c>
      <c r="I9" s="467"/>
      <c r="J9" s="467"/>
    </row>
    <row r="10" spans="1:10" ht="13">
      <c r="B10" s="4"/>
      <c r="C10" s="576" t="s">
        <v>543</v>
      </c>
      <c r="D10" s="580">
        <v>7.9500000000000001E-2</v>
      </c>
      <c r="E10" s="673">
        <v>849721601</v>
      </c>
      <c r="F10" s="581">
        <f>E10/1000000000*DCF!$E$14</f>
        <v>192.19852893019001</v>
      </c>
      <c r="H10" s="1" t="str">
        <f>C10</f>
        <v>Vanguard Group Inc</v>
      </c>
      <c r="J10" s="210">
        <f>D10</f>
        <v>7.9500000000000001E-2</v>
      </c>
    </row>
    <row r="11" spans="1:10" ht="13">
      <c r="C11" s="404" t="s">
        <v>544</v>
      </c>
      <c r="D11" s="436">
        <v>6.7599999999999993E-2</v>
      </c>
      <c r="E11" s="674">
        <v>722344070</v>
      </c>
      <c r="F11" s="672">
        <f>E11/1000000000*DCF!$E$14</f>
        <v>163.38700519330001</v>
      </c>
      <c r="H11" s="457" t="str">
        <f t="shared" ref="H11:H14" si="0">C11</f>
        <v>BlackRock Inc</v>
      </c>
      <c r="I11" s="457"/>
      <c r="J11" s="582">
        <f t="shared" ref="J11:J14" si="1">D11</f>
        <v>6.7599999999999993E-2</v>
      </c>
    </row>
    <row r="12" spans="1:10" ht="13">
      <c r="C12" s="576" t="s">
        <v>780</v>
      </c>
      <c r="D12" s="580">
        <v>3.5700000000000003E-2</v>
      </c>
      <c r="E12" s="673">
        <v>381681441</v>
      </c>
      <c r="F12" s="581">
        <f>E12/1000000000*DCF!$E$14</f>
        <v>86.332525139790008</v>
      </c>
      <c r="H12" s="1" t="str">
        <f t="shared" si="0"/>
        <v>State Street Corp</v>
      </c>
      <c r="J12" s="210">
        <f t="shared" si="1"/>
        <v>3.5700000000000003E-2</v>
      </c>
    </row>
    <row r="13" spans="1:10" ht="13">
      <c r="C13" s="404" t="s">
        <v>781</v>
      </c>
      <c r="D13" s="436">
        <v>3.4200000000000001E-2</v>
      </c>
      <c r="E13" s="674">
        <v>365321874</v>
      </c>
      <c r="F13" s="417">
        <f>E13/1000000000*DCF!$E$14</f>
        <v>82.632154680059998</v>
      </c>
      <c r="H13" s="457" t="str">
        <f t="shared" si="0"/>
        <v>JPMorgan Chase &amp; Co</v>
      </c>
      <c r="I13" s="457"/>
      <c r="J13" s="582">
        <f t="shared" si="1"/>
        <v>3.4200000000000001E-2</v>
      </c>
    </row>
    <row r="14" spans="1:10" ht="13">
      <c r="C14" s="576" t="s">
        <v>782</v>
      </c>
      <c r="D14" s="580">
        <v>3.0800000000000001E-2</v>
      </c>
      <c r="E14" s="673">
        <v>328881582</v>
      </c>
      <c r="F14" s="581">
        <f>E14/1000000000*DCF!$E$14</f>
        <v>74.389725032580003</v>
      </c>
      <c r="H14" s="1" t="str">
        <f t="shared" si="0"/>
        <v>FMR Inc</v>
      </c>
      <c r="J14" s="210">
        <f t="shared" si="1"/>
        <v>3.0800000000000001E-2</v>
      </c>
    </row>
    <row r="15" spans="1:10">
      <c r="C15" s="31" t="s">
        <v>550</v>
      </c>
      <c r="D15" s="418">
        <f>SUM(D10:D14)</f>
        <v>0.24780000000000002</v>
      </c>
      <c r="E15" s="419">
        <f>SUM(E10:E14)</f>
        <v>2647950568</v>
      </c>
      <c r="F15" s="419">
        <f>SUM(F10:F14)</f>
        <v>598.93993897591997</v>
      </c>
      <c r="H15" s="457" t="s">
        <v>551</v>
      </c>
      <c r="I15" s="457"/>
      <c r="J15" s="582">
        <f>1-SUM(J10:J14)</f>
        <v>0.75219999999999998</v>
      </c>
    </row>
    <row r="16" spans="1:10">
      <c r="C16" s="6" t="s">
        <v>551</v>
      </c>
      <c r="D16" s="420">
        <f>1-D15</f>
        <v>0.75219999999999998</v>
      </c>
      <c r="E16" s="421">
        <f>E15/D15-E15</f>
        <v>8037887075.2606926</v>
      </c>
      <c r="F16" s="421">
        <f>E16/1000000000*DCF!$E$14</f>
        <v>1818.0896775532162</v>
      </c>
      <c r="H16" s="31" t="s">
        <v>550</v>
      </c>
      <c r="I16" s="31"/>
      <c r="J16" s="422">
        <f>SUM(J10:J15)</f>
        <v>1</v>
      </c>
    </row>
    <row r="17" spans="2:8">
      <c r="D17" s="114"/>
      <c r="E17" s="248"/>
      <c r="F17" s="248"/>
    </row>
    <row r="18" spans="2:8">
      <c r="C18" s="292" t="s">
        <v>549</v>
      </c>
      <c r="D18" s="292"/>
      <c r="E18" s="292"/>
      <c r="F18" s="292"/>
    </row>
    <row r="19" spans="2:8">
      <c r="C19" s="143"/>
      <c r="D19" s="143"/>
      <c r="E19" s="143"/>
      <c r="F19" s="143"/>
    </row>
    <row r="20" spans="2:8">
      <c r="C20" s="467"/>
      <c r="D20" s="551" t="s">
        <v>545</v>
      </c>
      <c r="E20" s="551" t="s">
        <v>546</v>
      </c>
      <c r="F20" s="520" t="s">
        <v>547</v>
      </c>
    </row>
    <row r="21" spans="2:8" ht="13">
      <c r="B21" s="4">
        <v>1</v>
      </c>
      <c r="C21" s="576" t="s">
        <v>784</v>
      </c>
      <c r="D21" s="677">
        <f>E21/($E$15+$E$16)</f>
        <v>8.2558099743952632E-2</v>
      </c>
      <c r="E21" s="581">
        <v>882202450</v>
      </c>
      <c r="F21" s="583">
        <f>E21/1000000000*DCF!$E$14</f>
        <v>199.5453721655</v>
      </c>
    </row>
    <row r="22" spans="2:8" ht="13">
      <c r="B22" s="4">
        <v>2</v>
      </c>
      <c r="C22" s="404" t="s">
        <v>785</v>
      </c>
      <c r="D22" s="678">
        <f>E22/($E$15+$E$16)</f>
        <v>6.7098155889743948E-7</v>
      </c>
      <c r="E22" s="417">
        <v>7170</v>
      </c>
      <c r="F22" s="676">
        <f>E22/1000000000*DCF!$E$14</f>
        <v>1.6217822999999999E-3</v>
      </c>
    </row>
    <row r="23" spans="2:8" ht="10" customHeight="1">
      <c r="B23" s="4">
        <v>3</v>
      </c>
      <c r="C23" s="576" t="s">
        <v>786</v>
      </c>
      <c r="D23" s="679">
        <f t="shared" ref="D23:D30" si="2">E23/($E$15+$E$16)</f>
        <v>7.6942962025868161E-7</v>
      </c>
      <c r="E23" s="581">
        <v>8222</v>
      </c>
      <c r="F23" s="675">
        <f>E23/1000000000*DCF!$E$14</f>
        <v>1.85973418E-3</v>
      </c>
      <c r="G23" s="143"/>
    </row>
    <row r="24" spans="2:8" ht="13">
      <c r="B24" s="4">
        <v>4</v>
      </c>
      <c r="C24" s="404" t="s">
        <v>787</v>
      </c>
      <c r="D24" s="678">
        <f t="shared" si="2"/>
        <v>3.5670577518122316E-6</v>
      </c>
      <c r="E24" s="417">
        <v>38117</v>
      </c>
      <c r="F24" s="676">
        <f>E24/1000000000*DCF!$E$14</f>
        <v>8.6216842300000009E-3</v>
      </c>
      <c r="H24" s="143"/>
    </row>
    <row r="25" spans="2:8" ht="13">
      <c r="B25" s="4">
        <v>5</v>
      </c>
      <c r="C25" s="576" t="s">
        <v>788</v>
      </c>
      <c r="D25" s="679">
        <f t="shared" si="2"/>
        <v>2.446977099309658E-6</v>
      </c>
      <c r="E25" s="581">
        <v>26148</v>
      </c>
      <c r="F25" s="675">
        <f>E25/1000000000*DCF!$E$14</f>
        <v>5.91441612E-3</v>
      </c>
    </row>
    <row r="26" spans="2:8" ht="13">
      <c r="B26" s="4">
        <v>6</v>
      </c>
      <c r="C26" s="404" t="s">
        <v>765</v>
      </c>
      <c r="D26" s="680">
        <f t="shared" si="2"/>
        <v>2.0665764105004246E-4</v>
      </c>
      <c r="E26" s="417">
        <v>2208310</v>
      </c>
      <c r="F26" s="676">
        <f>E26/1000000000*DCF!$E$14</f>
        <v>0.49949763889999993</v>
      </c>
    </row>
    <row r="27" spans="2:8" ht="13">
      <c r="B27" s="4">
        <v>8</v>
      </c>
      <c r="C27" s="404" t="s">
        <v>789</v>
      </c>
      <c r="D27" s="678">
        <f t="shared" si="2"/>
        <v>2.8392720358365848E-6</v>
      </c>
      <c r="E27" s="417">
        <v>30340</v>
      </c>
      <c r="F27" s="676">
        <f>E27/1000000000*DCF!$E$14</f>
        <v>6.8626045999999998E-3</v>
      </c>
    </row>
    <row r="28" spans="2:8" ht="13">
      <c r="B28" s="4">
        <v>9</v>
      </c>
      <c r="C28" s="576" t="s">
        <v>790</v>
      </c>
      <c r="D28" s="679">
        <f t="shared" si="2"/>
        <v>7.7207798540746793E-6</v>
      </c>
      <c r="E28" s="581">
        <v>82503</v>
      </c>
      <c r="F28" s="675">
        <f>E28/1000000000*DCF!$E$14</f>
        <v>1.8661353570000001E-2</v>
      </c>
    </row>
    <row r="29" spans="2:8" ht="13">
      <c r="B29" s="4">
        <v>10.6666666666667</v>
      </c>
      <c r="C29" s="576" t="s">
        <v>791</v>
      </c>
      <c r="D29" s="679">
        <f t="shared" si="2"/>
        <v>5.019634565927441E-6</v>
      </c>
      <c r="E29" s="581">
        <v>53639</v>
      </c>
      <c r="F29" s="675">
        <f>E29/1000000000*DCF!$E$14</f>
        <v>1.213260541E-2</v>
      </c>
    </row>
    <row r="30" spans="2:8" ht="13">
      <c r="B30" s="4">
        <v>12.1666666666667</v>
      </c>
      <c r="C30" s="404" t="s">
        <v>792</v>
      </c>
      <c r="D30" s="678">
        <f t="shared" si="2"/>
        <v>4.1550322475657339E-6</v>
      </c>
      <c r="E30" s="417">
        <v>44400</v>
      </c>
      <c r="F30" s="676">
        <f>E30/1000000000*DCF!$E$14</f>
        <v>1.0042836000000001E-2</v>
      </c>
    </row>
    <row r="31" spans="2:8">
      <c r="C31" s="31" t="s">
        <v>550</v>
      </c>
      <c r="D31" s="418">
        <f>SUM(D21:D30)</f>
        <v>8.2791946549736359E-2</v>
      </c>
      <c r="E31" s="419">
        <f>SUM(E21:E30)</f>
        <v>884701299</v>
      </c>
      <c r="F31" s="425">
        <f>SUM(F21:F30)</f>
        <v>200.11058682080997</v>
      </c>
    </row>
    <row r="33" spans="3:3">
      <c r="C33" s="1" t="s">
        <v>777</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DDCCA-F415-4154-9D37-B9DC4D678C5D}">
  <sheetPr>
    <tabColor rgb="FFAFDEFF"/>
  </sheetPr>
  <dimension ref="B1:J40"/>
  <sheetViews>
    <sheetView showGridLines="0" workbookViewId="0">
      <selection activeCell="Z62" sqref="Z62"/>
    </sheetView>
  </sheetViews>
  <sheetFormatPr baseColWidth="10" defaultColWidth="8.83203125" defaultRowHeight="12"/>
  <cols>
    <col min="1" max="2" width="3.1640625" style="1" customWidth="1"/>
    <col min="3" max="3" width="11.6640625" style="1" customWidth="1"/>
    <col min="4" max="4" width="45.1640625" style="1" bestFit="1" customWidth="1"/>
    <col min="5" max="16384" width="8.83203125" style="1"/>
  </cols>
  <sheetData>
    <row r="1" spans="2:10" s="518" customFormat="1" ht="16" customHeight="1"/>
    <row r="2" spans="2:10" s="518" customFormat="1" ht="15" customHeight="1">
      <c r="B2" s="541"/>
    </row>
    <row r="3" spans="2:10" s="518" customFormat="1" ht="18" customHeight="1">
      <c r="B3" s="542"/>
      <c r="C3" s="461" t="s">
        <v>28</v>
      </c>
    </row>
    <row r="4" spans="2:10" s="518" customFormat="1" ht="16" customHeight="1">
      <c r="B4" s="542"/>
      <c r="C4" s="463"/>
    </row>
    <row r="5" spans="2:10" s="518" customFormat="1" ht="10" customHeight="1">
      <c r="B5" s="542"/>
    </row>
    <row r="6" spans="2:10" ht="10" customHeight="1">
      <c r="B6" s="4"/>
    </row>
    <row r="7" spans="2:10" ht="10" customHeight="1">
      <c r="B7" s="292" t="s">
        <v>412</v>
      </c>
      <c r="C7" s="292"/>
      <c r="D7" s="292"/>
    </row>
    <row r="8" spans="2:10" ht="5.5" customHeight="1">
      <c r="C8" s="143"/>
      <c r="D8" s="143"/>
      <c r="E8" s="143"/>
      <c r="F8" s="143"/>
      <c r="G8" s="143"/>
      <c r="H8" s="143"/>
      <c r="I8" s="143"/>
      <c r="J8" s="143"/>
    </row>
    <row r="9" spans="2:10">
      <c r="B9" s="557"/>
      <c r="C9" s="467" t="s">
        <v>28</v>
      </c>
      <c r="D9" s="467" t="s">
        <v>53</v>
      </c>
    </row>
    <row r="10" spans="2:10">
      <c r="B10" s="4">
        <v>1</v>
      </c>
      <c r="C10" s="1" t="s">
        <v>89</v>
      </c>
      <c r="D10" s="1" t="s">
        <v>148</v>
      </c>
    </row>
    <row r="11" spans="2:10">
      <c r="B11" s="4">
        <f>+B10+1</f>
        <v>2</v>
      </c>
      <c r="C11" s="1" t="s">
        <v>74</v>
      </c>
      <c r="D11" s="1" t="s">
        <v>75</v>
      </c>
    </row>
    <row r="12" spans="2:10">
      <c r="B12" s="4">
        <f t="shared" ref="B12:B40" si="0">+B11+1</f>
        <v>3</v>
      </c>
      <c r="C12" s="1" t="s">
        <v>85</v>
      </c>
      <c r="D12" s="1" t="s">
        <v>136</v>
      </c>
    </row>
    <row r="13" spans="2:10">
      <c r="B13" s="4">
        <f t="shared" si="0"/>
        <v>4</v>
      </c>
      <c r="C13" s="1" t="s">
        <v>54</v>
      </c>
      <c r="D13" s="1" t="s">
        <v>22</v>
      </c>
    </row>
    <row r="14" spans="2:10">
      <c r="B14" s="4">
        <f t="shared" si="0"/>
        <v>5</v>
      </c>
      <c r="C14" s="1" t="s">
        <v>151</v>
      </c>
      <c r="D14" s="1" t="s">
        <v>159</v>
      </c>
    </row>
    <row r="15" spans="2:10">
      <c r="B15" s="4">
        <f t="shared" si="0"/>
        <v>6</v>
      </c>
      <c r="C15" s="1" t="s">
        <v>141</v>
      </c>
      <c r="D15" s="1" t="s">
        <v>142</v>
      </c>
    </row>
    <row r="16" spans="2:10">
      <c r="B16" s="4">
        <f t="shared" si="0"/>
        <v>7</v>
      </c>
      <c r="C16" s="1" t="s">
        <v>145</v>
      </c>
      <c r="D16" s="1" t="s">
        <v>146</v>
      </c>
    </row>
    <row r="17" spans="2:4">
      <c r="B17" s="4">
        <f t="shared" si="0"/>
        <v>8</v>
      </c>
      <c r="C17" s="1" t="s">
        <v>168</v>
      </c>
      <c r="D17" s="1" t="s">
        <v>284</v>
      </c>
    </row>
    <row r="18" spans="2:4">
      <c r="B18" s="4">
        <f t="shared" si="0"/>
        <v>9</v>
      </c>
      <c r="C18" s="1" t="s">
        <v>57</v>
      </c>
      <c r="D18" s="1" t="s">
        <v>58</v>
      </c>
    </row>
    <row r="19" spans="2:4">
      <c r="B19" s="4">
        <f t="shared" si="0"/>
        <v>10</v>
      </c>
      <c r="C19" s="1" t="s">
        <v>97</v>
      </c>
      <c r="D19" s="1" t="s">
        <v>155</v>
      </c>
    </row>
    <row r="20" spans="2:4">
      <c r="B20" s="4">
        <f t="shared" si="0"/>
        <v>11</v>
      </c>
      <c r="C20" s="1" t="s">
        <v>95</v>
      </c>
      <c r="D20" s="1" t="s">
        <v>156</v>
      </c>
    </row>
    <row r="21" spans="2:4">
      <c r="B21" s="4">
        <f t="shared" si="0"/>
        <v>12</v>
      </c>
      <c r="C21" s="1" t="s">
        <v>164</v>
      </c>
      <c r="D21" s="1" t="s">
        <v>113</v>
      </c>
    </row>
    <row r="22" spans="2:4">
      <c r="B22" s="4">
        <f t="shared" si="0"/>
        <v>13</v>
      </c>
      <c r="C22" s="1" t="s">
        <v>60</v>
      </c>
      <c r="D22" s="1" t="s">
        <v>61</v>
      </c>
    </row>
    <row r="23" spans="2:4">
      <c r="B23" s="4">
        <f t="shared" si="0"/>
        <v>14</v>
      </c>
      <c r="C23" s="1" t="s">
        <v>150</v>
      </c>
      <c r="D23" s="1" t="s">
        <v>158</v>
      </c>
    </row>
    <row r="24" spans="2:4">
      <c r="B24" s="4">
        <f t="shared" si="0"/>
        <v>15</v>
      </c>
      <c r="C24" s="1" t="s">
        <v>59</v>
      </c>
      <c r="D24" s="1" t="s">
        <v>21</v>
      </c>
    </row>
    <row r="25" spans="2:4">
      <c r="B25" s="4">
        <f t="shared" si="0"/>
        <v>16</v>
      </c>
      <c r="C25" s="1" t="s">
        <v>203</v>
      </c>
      <c r="D25" s="1" t="s">
        <v>204</v>
      </c>
    </row>
    <row r="26" spans="2:4">
      <c r="B26" s="4">
        <f t="shared" si="0"/>
        <v>17</v>
      </c>
      <c r="C26" s="1" t="s">
        <v>153</v>
      </c>
      <c r="D26" s="1" t="s">
        <v>161</v>
      </c>
    </row>
    <row r="27" spans="2:4">
      <c r="B27" s="4">
        <f t="shared" si="0"/>
        <v>18</v>
      </c>
      <c r="C27" s="1" t="s">
        <v>123</v>
      </c>
      <c r="D27" s="1" t="s">
        <v>281</v>
      </c>
    </row>
    <row r="28" spans="2:4">
      <c r="B28" s="4">
        <f t="shared" si="0"/>
        <v>19</v>
      </c>
      <c r="C28" s="1" t="s">
        <v>205</v>
      </c>
      <c r="D28" s="1" t="s">
        <v>283</v>
      </c>
    </row>
    <row r="29" spans="2:4">
      <c r="B29" s="4">
        <f t="shared" si="0"/>
        <v>20</v>
      </c>
      <c r="C29" s="1" t="s">
        <v>152</v>
      </c>
      <c r="D29" s="1" t="s">
        <v>160</v>
      </c>
    </row>
    <row r="30" spans="2:4">
      <c r="B30" s="4">
        <f t="shared" si="0"/>
        <v>21</v>
      </c>
      <c r="C30" s="1" t="s">
        <v>99</v>
      </c>
      <c r="D30" s="1" t="s">
        <v>154</v>
      </c>
    </row>
    <row r="31" spans="2:4">
      <c r="B31" s="4">
        <f t="shared" si="0"/>
        <v>22</v>
      </c>
      <c r="C31" s="1" t="s">
        <v>149</v>
      </c>
      <c r="D31" s="1" t="s">
        <v>157</v>
      </c>
    </row>
    <row r="32" spans="2:4">
      <c r="B32" s="4">
        <f t="shared" si="0"/>
        <v>23</v>
      </c>
      <c r="C32" s="1" t="s">
        <v>167</v>
      </c>
      <c r="D32" s="1" t="s">
        <v>259</v>
      </c>
    </row>
    <row r="33" spans="2:4">
      <c r="B33" s="4">
        <f t="shared" si="0"/>
        <v>24</v>
      </c>
      <c r="C33" s="1" t="s">
        <v>87</v>
      </c>
      <c r="D33" s="1" t="s">
        <v>147</v>
      </c>
    </row>
    <row r="34" spans="2:4">
      <c r="B34" s="4">
        <f t="shared" si="0"/>
        <v>25</v>
      </c>
      <c r="C34" s="1" t="s">
        <v>137</v>
      </c>
      <c r="D34" s="1" t="s">
        <v>138</v>
      </c>
    </row>
    <row r="35" spans="2:4">
      <c r="B35" s="4">
        <f t="shared" si="0"/>
        <v>26</v>
      </c>
      <c r="C35" s="1" t="s">
        <v>279</v>
      </c>
      <c r="D35" s="1" t="s">
        <v>282</v>
      </c>
    </row>
    <row r="36" spans="2:4">
      <c r="B36" s="4">
        <f t="shared" si="0"/>
        <v>27</v>
      </c>
      <c r="C36" s="1" t="s">
        <v>139</v>
      </c>
      <c r="D36" s="1" t="s">
        <v>140</v>
      </c>
    </row>
    <row r="37" spans="2:4">
      <c r="B37" s="4">
        <f t="shared" si="0"/>
        <v>28</v>
      </c>
      <c r="C37" s="1" t="s">
        <v>143</v>
      </c>
      <c r="D37" s="1" t="s">
        <v>144</v>
      </c>
    </row>
    <row r="38" spans="2:4">
      <c r="B38" s="4">
        <f t="shared" si="0"/>
        <v>29</v>
      </c>
      <c r="C38" s="1" t="s">
        <v>30</v>
      </c>
      <c r="D38" s="1" t="s">
        <v>55</v>
      </c>
    </row>
    <row r="39" spans="2:4">
      <c r="B39" s="4">
        <f t="shared" si="0"/>
        <v>30</v>
      </c>
      <c r="C39" s="1" t="s">
        <v>56</v>
      </c>
      <c r="D39" s="1" t="s">
        <v>3</v>
      </c>
    </row>
    <row r="40" spans="2:4">
      <c r="B40" s="4">
        <f t="shared" si="0"/>
        <v>31</v>
      </c>
      <c r="C40" s="1" t="s">
        <v>72</v>
      </c>
      <c r="D40" s="1" t="s">
        <v>73</v>
      </c>
    </row>
  </sheetData>
  <sortState xmlns:xlrd2="http://schemas.microsoft.com/office/spreadsheetml/2017/richdata2" ref="C11:D40">
    <sortCondition ref="C40"/>
  </sortState>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1F2B6-370D-0640-BC9C-DE6D5D4B2C10}">
  <dimension ref="A1"/>
  <sheetViews>
    <sheetView workbookViewId="0"/>
  </sheetViews>
  <sheetFormatPr baseColWidth="10" defaultRowHeight="1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EF314-84F1-554D-8F3E-8F232495E570}">
  <dimension ref="A1"/>
  <sheetViews>
    <sheetView workbookViewId="0"/>
  </sheetViews>
  <sheetFormatPr baseColWidth="10"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C2688D-D247-436E-A3FA-E50ABD38A3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31</vt:i4>
      </vt:variant>
      <vt:variant>
        <vt:lpstr>Named Ranges</vt:lpstr>
      </vt:variant>
      <vt:variant>
        <vt:i4>1</vt:i4>
      </vt:variant>
    </vt:vector>
  </HeadingPairs>
  <TitlesOfParts>
    <vt:vector size="32" baseType="lpstr">
      <vt:lpstr>General Info</vt:lpstr>
      <vt:lpstr>Tear Sheet</vt:lpstr>
      <vt:lpstr>Summary</vt:lpstr>
      <vt:lpstr>Actuals FS</vt:lpstr>
      <vt:lpstr>HWMS Model</vt:lpstr>
      <vt:lpstr>Revenue</vt:lpstr>
      <vt:lpstr>Scenarios</vt:lpstr>
      <vt:lpstr>Multiples</vt:lpstr>
      <vt:lpstr>Reg. Beta</vt:lpstr>
      <vt:lpstr>Forecasted FS</vt:lpstr>
      <vt:lpstr>WACC</vt:lpstr>
      <vt:lpstr>DCF</vt:lpstr>
      <vt:lpstr>References</vt:lpstr>
      <vt:lpstr>Appendix</vt:lpstr>
      <vt:lpstr>FS all</vt:lpstr>
      <vt:lpstr>Ratios</vt:lpstr>
      <vt:lpstr>Operating Margin</vt:lpstr>
      <vt:lpstr>D&amp;A</vt:lpstr>
      <vt:lpstr>Bonds</vt:lpstr>
      <vt:lpstr>Scenario Summary </vt:lpstr>
      <vt:lpstr>Peer Mkt Info</vt:lpstr>
      <vt:lpstr>Peer Fin Info</vt:lpstr>
      <vt:lpstr>10 Year Bond Average</vt:lpstr>
      <vt:lpstr>AMZN daily</vt:lpstr>
      <vt:lpstr>10yr TBill</vt:lpstr>
      <vt:lpstr>Tax Rate</vt:lpstr>
      <vt:lpstr>FX</vt:lpstr>
      <vt:lpstr>BoD</vt:lpstr>
      <vt:lpstr>Exec. Team</vt:lpstr>
      <vt:lpstr>Shareholders</vt:lpstr>
      <vt:lpstr>Abbreviations</vt:lpstr>
      <vt:lpstr>'HWMS Model'!Print_Area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alberico</dc:creator>
  <cp:lastModifiedBy>Adam El Harouchi</cp:lastModifiedBy>
  <cp:lastPrinted>2023-03-15T19:55:52Z</cp:lastPrinted>
  <dcterms:created xsi:type="dcterms:W3CDTF">2023-03-03T15:12:04Z</dcterms:created>
  <dcterms:modified xsi:type="dcterms:W3CDTF">2025-12-19T02:55:39Z</dcterms:modified>
</cp:coreProperties>
</file>