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hultstudents-my.sharepoint.com/personal/mvallejo2_student_hult_edu/Documents/"/>
    </mc:Choice>
  </mc:AlternateContent>
  <xr:revisionPtr revIDLastSave="0" documentId="8_{EE357036-CF1A-4F3A-A44D-632B992A9CC0}" xr6:coauthVersionLast="47" xr6:coauthVersionMax="47" xr10:uidLastSave="{00000000-0000-0000-0000-000000000000}"/>
  <bookViews>
    <workbookView xWindow="19095" yWindow="0" windowWidth="19410" windowHeight="21705" firstSheet="2" activeTab="2" xr2:uid="{8E04A40C-DADD-47E6-870B-015733058813}"/>
  </bookViews>
  <sheets>
    <sheet name="Financial Statements" sheetId="3" r:id="rId1"/>
    <sheet name="WACC" sheetId="2" r:id="rId2"/>
    <sheet name="Capital Investment (PP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4" l="1"/>
  <c r="G39" i="4"/>
  <c r="H31" i="4"/>
  <c r="G31" i="4"/>
  <c r="I27" i="4"/>
  <c r="I31" i="4" s="1"/>
  <c r="J27" i="4"/>
  <c r="K27" i="4" s="1"/>
  <c r="L27" i="4" s="1"/>
  <c r="L31" i="4" s="1"/>
  <c r="H27" i="4"/>
  <c r="G17" i="4"/>
  <c r="I39" i="4" l="1"/>
  <c r="J31" i="4"/>
  <c r="K31" i="4"/>
  <c r="K39" i="4"/>
  <c r="J39" i="4"/>
  <c r="G27" i="4" l="1"/>
  <c r="G16" i="4"/>
  <c r="G15" i="4"/>
  <c r="G13" i="4"/>
  <c r="I22" i="4"/>
  <c r="J22" i="4" s="1"/>
  <c r="K22" i="4" s="1"/>
  <c r="L22" i="4" s="1"/>
  <c r="H34" i="4"/>
  <c r="G11" i="4"/>
  <c r="H28" i="4" l="1"/>
  <c r="J20" i="2"/>
  <c r="J19" i="2"/>
  <c r="J16" i="2"/>
  <c r="G40" i="4"/>
  <c r="G44" i="4" s="1"/>
  <c r="J7" i="2"/>
  <c r="J15" i="2"/>
  <c r="J6" i="2"/>
  <c r="R83" i="4"/>
  <c r="P83" i="4"/>
  <c r="R82" i="4"/>
  <c r="P82" i="4"/>
  <c r="R81" i="4"/>
  <c r="P81" i="4"/>
  <c r="R80" i="4"/>
  <c r="P80" i="4"/>
  <c r="R79" i="4"/>
  <c r="P79" i="4"/>
  <c r="R78" i="4"/>
  <c r="P78" i="4"/>
  <c r="R77" i="4"/>
  <c r="P77" i="4"/>
  <c r="R76" i="4"/>
  <c r="P76" i="4"/>
  <c r="R75" i="4"/>
  <c r="P75" i="4"/>
  <c r="R74" i="4"/>
  <c r="P74" i="4"/>
  <c r="R73" i="4"/>
  <c r="P73" i="4"/>
  <c r="R72" i="4"/>
  <c r="P72" i="4"/>
  <c r="R71" i="4"/>
  <c r="P71" i="4"/>
  <c r="R70" i="4"/>
  <c r="P70" i="4"/>
  <c r="R69" i="4"/>
  <c r="P69" i="4"/>
  <c r="R68" i="4"/>
  <c r="P68" i="4"/>
  <c r="R67" i="4"/>
  <c r="P67" i="4"/>
  <c r="R66" i="4"/>
  <c r="P66" i="4"/>
  <c r="R65" i="4"/>
  <c r="P65" i="4"/>
  <c r="R64" i="4"/>
  <c r="P64" i="4"/>
  <c r="R63" i="4"/>
  <c r="P63" i="4"/>
  <c r="R62" i="4"/>
  <c r="P62" i="4"/>
  <c r="R61" i="4"/>
  <c r="P61" i="4"/>
  <c r="R60" i="4"/>
  <c r="P60" i="4"/>
  <c r="R59" i="4"/>
  <c r="P59" i="4"/>
  <c r="R58" i="4"/>
  <c r="P58" i="4"/>
  <c r="R57" i="4"/>
  <c r="P57" i="4"/>
  <c r="R56" i="4"/>
  <c r="P56" i="4"/>
  <c r="R55" i="4"/>
  <c r="P55" i="4"/>
  <c r="R54" i="4"/>
  <c r="P54" i="4"/>
  <c r="R53" i="4"/>
  <c r="P53" i="4"/>
  <c r="R52" i="4"/>
  <c r="P52" i="4"/>
  <c r="R51" i="4"/>
  <c r="P51" i="4"/>
  <c r="R50" i="4"/>
  <c r="P50" i="4"/>
  <c r="R49" i="4"/>
  <c r="P49" i="4"/>
  <c r="R48" i="4"/>
  <c r="P48" i="4"/>
  <c r="R47" i="4"/>
  <c r="P47" i="4"/>
  <c r="R46" i="4"/>
  <c r="P46" i="4"/>
  <c r="R45" i="4"/>
  <c r="P45" i="4"/>
  <c r="R44" i="4"/>
  <c r="P44" i="4"/>
  <c r="R43" i="4"/>
  <c r="P43" i="4"/>
  <c r="R42" i="4"/>
  <c r="P42" i="4"/>
  <c r="R41" i="4"/>
  <c r="P41" i="4"/>
  <c r="R40" i="4"/>
  <c r="P40" i="4"/>
  <c r="R39" i="4"/>
  <c r="P39" i="4"/>
  <c r="R38" i="4"/>
  <c r="P38" i="4"/>
  <c r="R37" i="4"/>
  <c r="P37" i="4"/>
  <c r="R36" i="4"/>
  <c r="P36" i="4"/>
  <c r="R35" i="4"/>
  <c r="P35" i="4"/>
  <c r="R34" i="4"/>
  <c r="P34" i="4"/>
  <c r="R33" i="4"/>
  <c r="P33" i="4"/>
  <c r="R32" i="4"/>
  <c r="P32" i="4"/>
  <c r="R31" i="4"/>
  <c r="P31" i="4"/>
  <c r="R30" i="4"/>
  <c r="P30" i="4"/>
  <c r="R29" i="4"/>
  <c r="P29" i="4"/>
  <c r="R28" i="4"/>
  <c r="P28" i="4"/>
  <c r="R27" i="4"/>
  <c r="P27" i="4"/>
  <c r="R26" i="4"/>
  <c r="P26" i="4"/>
  <c r="R25" i="4"/>
  <c r="P25" i="4"/>
  <c r="L23" i="4"/>
  <c r="K23" i="4"/>
  <c r="J23" i="4"/>
  <c r="I23" i="4"/>
  <c r="H23" i="4"/>
  <c r="Q15" i="4"/>
  <c r="Q8" i="4" a="1"/>
  <c r="Q8" i="4" s="1"/>
  <c r="Q13" i="4" s="1"/>
  <c r="Q14" i="4" s="1"/>
  <c r="Q17" i="4" s="1"/>
  <c r="G8" i="4"/>
  <c r="G10" i="4" s="1"/>
  <c r="H11" i="4"/>
  <c r="H50" i="4"/>
  <c r="H53" i="4"/>
  <c r="H52" i="4"/>
  <c r="H51" i="4"/>
  <c r="I28" i="4" l="1"/>
  <c r="J8" i="2"/>
  <c r="J9" i="2" s="1"/>
  <c r="J34" i="4"/>
  <c r="I34" i="4"/>
  <c r="L34" i="4"/>
  <c r="K34" i="4"/>
  <c r="G30" i="4"/>
  <c r="G22" i="4"/>
  <c r="G23" i="4" s="1"/>
  <c r="G28" i="4"/>
  <c r="G29" i="4" s="1"/>
  <c r="J28" i="4" l="1"/>
  <c r="G32" i="4"/>
  <c r="H40" i="4"/>
  <c r="H30" i="4"/>
  <c r="H29" i="4"/>
  <c r="L28" i="4" l="1"/>
  <c r="K28" i="4"/>
  <c r="G45" i="4"/>
  <c r="G46" i="4" s="1"/>
  <c r="I30" i="4"/>
  <c r="I29" i="4"/>
  <c r="H32" i="4"/>
  <c r="H33" i="4" s="1"/>
  <c r="I32" i="4" l="1"/>
  <c r="H35" i="4"/>
  <c r="H44" i="4" s="1"/>
  <c r="J30" i="4"/>
  <c r="J40" i="4"/>
  <c r="J29" i="4"/>
  <c r="I40" i="4"/>
  <c r="J12" i="2" a="1"/>
  <c r="J12" i="2" s="1"/>
  <c r="J17" i="2" s="1"/>
  <c r="J18" i="2" s="1"/>
  <c r="J21" i="2" s="1"/>
  <c r="I33" i="4" l="1"/>
  <c r="I35" i="4" s="1"/>
  <c r="I44" i="4" s="1"/>
  <c r="I45" i="4" s="1"/>
  <c r="J32" i="4"/>
  <c r="K30" i="4"/>
  <c r="L40" i="4"/>
  <c r="K29" i="4"/>
  <c r="H45" i="4"/>
  <c r="H46" i="4" s="1"/>
  <c r="J33" i="4" l="1"/>
  <c r="J35" i="4" s="1"/>
  <c r="J44" i="4" s="1"/>
  <c r="J45" i="4" s="1"/>
  <c r="K32" i="4"/>
  <c r="I46" i="4"/>
  <c r="L30" i="4"/>
  <c r="L29" i="4"/>
  <c r="K40" i="4"/>
  <c r="K33" i="4" l="1"/>
  <c r="K35" i="4" s="1"/>
  <c r="K44" i="4" s="1"/>
  <c r="K45" i="4" s="1"/>
  <c r="L32" i="4"/>
  <c r="J46" i="4"/>
  <c r="G50" i="4" l="1"/>
  <c r="L33" i="4"/>
  <c r="L35" i="4" s="1"/>
  <c r="L44" i="4" s="1"/>
  <c r="K46" i="4"/>
  <c r="L45" i="4" l="1"/>
  <c r="L46" i="4" s="1"/>
  <c r="G51" i="4"/>
  <c r="G52" i="4"/>
  <c r="G53"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4"/>
        </ext>
      </extLst>
    </bk>
  </futureMetadata>
  <cellMetadata count="1">
    <bk>
      <rc t="1" v="0"/>
    </bk>
  </cellMetadata>
  <valueMetadata count="2">
    <bk>
      <rc t="2" v="0"/>
    </bk>
    <bk>
      <rc t="2" v="1"/>
    </bk>
  </valueMetadata>
</metadata>
</file>

<file path=xl/sharedStrings.xml><?xml version="1.0" encoding="utf-8"?>
<sst xmlns="http://schemas.openxmlformats.org/spreadsheetml/2006/main" count="325" uniqueCount="155">
  <si>
    <t>Best Buy Balance Sheet</t>
  </si>
  <si>
    <t>Income Statement</t>
  </si>
  <si>
    <t>Consolidated Balance Sheets</t>
  </si>
  <si>
    <t>Fiscal Years Ended</t>
  </si>
  <si>
    <t>January 28, 2023</t>
  </si>
  <si>
    <t>January 29, 2022</t>
  </si>
  <si>
    <t>January 30, 2021</t>
  </si>
  <si>
    <t>$ in millions, except per share amounts</t>
  </si>
  <si>
    <t>Revenue</t>
  </si>
  <si>
    <t/>
  </si>
  <si>
    <t>Cost of sales</t>
  </si>
  <si>
    <t>Assets</t>
  </si>
  <si>
    <t>Gross profit</t>
  </si>
  <si>
    <t>Current assets</t>
  </si>
  <si>
    <t>Selling, general and administrative</t>
  </si>
  <si>
    <t>Cash and cash equivalents</t>
  </si>
  <si>
    <t>expenses</t>
  </si>
  <si>
    <t>Receivables, net</t>
  </si>
  <si>
    <t>Restructuring charges</t>
  </si>
  <si>
    <t>Merchandise inventories</t>
  </si>
  <si>
    <t>Operating income</t>
  </si>
  <si>
    <t>Other current assets</t>
  </si>
  <si>
    <t>Other income (expense):</t>
  </si>
  <si>
    <t>Total current assets</t>
  </si>
  <si>
    <t>Investment income and other</t>
  </si>
  <si>
    <t>Property and equipment</t>
  </si>
  <si>
    <t>Interest expense</t>
  </si>
  <si>
    <t>Land and buildings</t>
  </si>
  <si>
    <t>Earnings before income tax expense and</t>
  </si>
  <si>
    <t>Leasehold improvements</t>
  </si>
  <si>
    <t>equity in income of affiliates</t>
  </si>
  <si>
    <t>Fixtures and equipment</t>
  </si>
  <si>
    <t>Income tax expense</t>
  </si>
  <si>
    <t>Property under finance leases</t>
  </si>
  <si>
    <t>Equity in income of affiliates</t>
  </si>
  <si>
    <t>Gross property and equipment</t>
  </si>
  <si>
    <t>Net earnings</t>
  </si>
  <si>
    <t>Less accumulated depreciation</t>
  </si>
  <si>
    <t>Net property and equipment</t>
  </si>
  <si>
    <t>Basic earnings per share</t>
  </si>
  <si>
    <t>Operating lease assets</t>
  </si>
  <si>
    <t>Diluted earnings per share</t>
  </si>
  <si>
    <t>Goodwill</t>
  </si>
  <si>
    <t>Other assets</t>
  </si>
  <si>
    <t>Weighted-average common shares</t>
  </si>
  <si>
    <t>Total assets</t>
  </si>
  <si>
    <t>outstanding:</t>
  </si>
  <si>
    <t>Basic</t>
  </si>
  <si>
    <t>Liabilities and equity</t>
  </si>
  <si>
    <t>Diluted</t>
  </si>
  <si>
    <t>Current liabilities</t>
  </si>
  <si>
    <t>Accounts payable</t>
  </si>
  <si>
    <t>Unredeemed gift card liabilities</t>
  </si>
  <si>
    <t>Deferred revenue</t>
  </si>
  <si>
    <t>Accrued compensation and related expenses</t>
  </si>
  <si>
    <t>Accrued liabilities</t>
  </si>
  <si>
    <t>Current portion of operating lease liabilities</t>
  </si>
  <si>
    <t>Current portion of long-term debt</t>
  </si>
  <si>
    <t>Total current liabilities</t>
  </si>
  <si>
    <t>Long-term operating lease liabilities</t>
  </si>
  <si>
    <t>Long-term liabilities</t>
  </si>
  <si>
    <t>Long-term debt</t>
  </si>
  <si>
    <t>Contingencies and commitments (Note 13)</t>
  </si>
  <si>
    <t>Equity</t>
  </si>
  <si>
    <t>Best Buy Co., Inc. Shareholders&amp;apos; Equity</t>
  </si>
  <si>
    <t>Preferred stock, $1.00 par value: Authorized -</t>
  </si>
  <si>
    <t>400,000 shares; Issued and outstanding - none</t>
  </si>
  <si>
    <t>Common stock, $0.10 par value: Authorized -</t>
  </si>
  <si>
    <t>1.0 billion shares; Issued and outstanding -</t>
  </si>
  <si>
    <t>218.1 million and 227.4 million shares, respectively</t>
  </si>
  <si>
    <t>Additional paid-in capital</t>
  </si>
  <si>
    <t>Retained earnings</t>
  </si>
  <si>
    <t>Accumulated other comprehensive income</t>
  </si>
  <si>
    <t>Total equity</t>
  </si>
  <si>
    <t>Total liabilities and equity</t>
  </si>
  <si>
    <t>Link</t>
  </si>
  <si>
    <t>60 months</t>
  </si>
  <si>
    <t>S&amp;P 500</t>
  </si>
  <si>
    <t>Best Buy</t>
  </si>
  <si>
    <t>CAPM of Best Buy</t>
  </si>
  <si>
    <t>Financial Statements</t>
  </si>
  <si>
    <t>Dates</t>
  </si>
  <si>
    <t>Prices</t>
  </si>
  <si>
    <t>Monthly Rate</t>
  </si>
  <si>
    <t>Rf (3Month T-Bill, %)</t>
  </si>
  <si>
    <t>As of 2/25/24</t>
  </si>
  <si>
    <t>INCOME STATEMENT</t>
  </si>
  <si>
    <t>Rm (S&amp;P500, %)</t>
  </si>
  <si>
    <t>Market Risk Premium (MRP, %)</t>
  </si>
  <si>
    <t>Beta (Best Buy)</t>
  </si>
  <si>
    <t>Equity Risk Premium (ERP, %)</t>
  </si>
  <si>
    <t>Required rate of return on Equity</t>
  </si>
  <si>
    <t>WACC</t>
  </si>
  <si>
    <t>Price of CS per share as today</t>
  </si>
  <si>
    <t>CS outstanding shares (million)</t>
  </si>
  <si>
    <t>Highest Coupon rate of Notes/Bonds from 10K (%)</t>
  </si>
  <si>
    <t>Tax Rate</t>
  </si>
  <si>
    <t>MV of Debt ($, million)</t>
  </si>
  <si>
    <t>MV of CS ($, million)</t>
  </si>
  <si>
    <t>Total MV of Capital Resources ($, million)</t>
  </si>
  <si>
    <t>Cost of Debt (%)</t>
  </si>
  <si>
    <t>Cost of CS (%)</t>
  </si>
  <si>
    <t>BALANCE SHEET</t>
  </si>
  <si>
    <t xml:space="preserve">Evaluation of Capital Investment (PP&amp;E) for YOUR company. </t>
  </si>
  <si>
    <t>Part I. Financial Statements (I/S &amp; B/S)</t>
  </si>
  <si>
    <t>Part II. Capital Budgeting and Investment Evaluation</t>
  </si>
  <si>
    <t>Part III. Beta &amp; WACC</t>
  </si>
  <si>
    <t>STATEMENTS OF OPERATIONS (I/S),  (year ended, $, In millions )</t>
  </si>
  <si>
    <t>1. Input variables (Assumption Table 1) ($, million)</t>
  </si>
  <si>
    <t>Investment in plant and equipment, t0 (2023)</t>
  </si>
  <si>
    <t>Useful life of the plant and equipment (years)</t>
  </si>
  <si>
    <t>Depreciation expense by straight line method</t>
  </si>
  <si>
    <t>Revenue attributable to PP&amp;E, t0 (2023)</t>
  </si>
  <si>
    <t>Revenue growth (%)</t>
  </si>
  <si>
    <t>Costs of Sales (% of sales of the year)</t>
  </si>
  <si>
    <t>Research and development (% of sales of the year)</t>
  </si>
  <si>
    <t>SG &amp; A (% of sales of the year)</t>
  </si>
  <si>
    <t>Tax Rate (%)</t>
  </si>
  <si>
    <t>NOWC attributable to PPE, t0-5(% of sales of the year)</t>
  </si>
  <si>
    <t>2. Captial investment</t>
  </si>
  <si>
    <t>Beta (Apple Inc.) / Name your firm</t>
  </si>
  <si>
    <t xml:space="preserve"> -</t>
  </si>
  <si>
    <t>Investment in fixed assets (PPE)</t>
  </si>
  <si>
    <t xml:space="preserve"> =</t>
  </si>
  <si>
    <t>Cash Flow in fixed assets (PPE)</t>
  </si>
  <si>
    <t>3. Operating Cash Flows</t>
  </si>
  <si>
    <t xml:space="preserve"> +</t>
  </si>
  <si>
    <t>Revenues (attributable to the PP&amp;E)</t>
  </si>
  <si>
    <t>Cost of Sales</t>
  </si>
  <si>
    <t>Gross Margin</t>
  </si>
  <si>
    <t>R &amp; D Expense</t>
  </si>
  <si>
    <t>-</t>
  </si>
  <si>
    <t>SG &amp; A Expense</t>
  </si>
  <si>
    <t>Profit before tax (EBIT)</t>
  </si>
  <si>
    <t>BALANCE SHEETS (In millions, as of)</t>
  </si>
  <si>
    <t>Tax</t>
  </si>
  <si>
    <t>Add back Depreciation</t>
  </si>
  <si>
    <t>Operating Cash Flows</t>
  </si>
  <si>
    <t>4. Change in working capital</t>
  </si>
  <si>
    <t>Net Operating Working capital (NOWC)</t>
  </si>
  <si>
    <t>Cash Flows of Changes in net Working capital</t>
  </si>
  <si>
    <t>5. Project Cash flows</t>
  </si>
  <si>
    <t>Project cash flows</t>
  </si>
  <si>
    <t>Present Value of projected cash flows</t>
  </si>
  <si>
    <t>Cumulative PV of projected cash flows</t>
  </si>
  <si>
    <t>6. Project Valuation &amp; Investment Criteria</t>
  </si>
  <si>
    <t>Disc. Payback Period (DPP)</t>
  </si>
  <si>
    <t>Net Present Value (NPV)</t>
  </si>
  <si>
    <t>Internal Rate of Return (IRR)</t>
  </si>
  <si>
    <t>Profitablility Index (PI)</t>
  </si>
  <si>
    <t xml:space="preserve">Step 2.  Histoical Data &lt; setup Time period: at least 5 years &lt; Frequency: monthly &lt; Apply.  </t>
  </si>
  <si>
    <t>Step 3. download to Excel for Date and the Historical Prices (Adj. Close)</t>
  </si>
  <si>
    <t>Step 4. Calculate monthly rate of return</t>
  </si>
  <si>
    <t>Step 5. for the monthly rate of return on the Market (SPY), reiterate the same process</t>
  </si>
  <si>
    <t>Step 6. Use the slope function to get Beta of the 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</si>
</sst>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quot;$&quot;#,##0"/>
    <numFmt numFmtId="165" formatCode="_(* #,##0_);_(* \(#,##0\);_(* &quot;-&quot;??_);_(@_)"/>
    <numFmt numFmtId="166" formatCode="_([$$-409]* #,##0.00_);_([$$-409]* \(#,##0.00\);_([$$-409]* &quot;-&quot;??_);_(@_)"/>
  </numFmts>
  <fonts count="32">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name val="Cambria"/>
      <family val="1"/>
    </font>
    <font>
      <sz val="10"/>
      <name val="Arial"/>
      <family val="2"/>
    </font>
    <font>
      <b/>
      <sz val="10"/>
      <name val="Cambria"/>
      <family val="1"/>
    </font>
    <font>
      <b/>
      <sz val="11"/>
      <color indexed="58"/>
      <name val="Cambria"/>
      <family val="1"/>
    </font>
    <font>
      <b/>
      <sz val="14"/>
      <color rgb="FF800000"/>
      <name val="Cambria"/>
      <family val="1"/>
    </font>
    <font>
      <sz val="10"/>
      <color theme="1"/>
      <name val="Cambria"/>
      <family val="1"/>
    </font>
    <font>
      <sz val="11"/>
      <color rgb="FF3F3F76"/>
      <name val="Cambria"/>
      <family val="2"/>
    </font>
    <font>
      <b/>
      <sz val="10"/>
      <color rgb="FF800000"/>
      <name val="Cambria"/>
      <family val="1"/>
    </font>
    <font>
      <sz val="12"/>
      <name val="Times New Roman"/>
      <family val="1"/>
    </font>
    <font>
      <sz val="12"/>
      <color theme="1"/>
      <name val="Times New Roman"/>
      <family val="1"/>
    </font>
    <font>
      <b/>
      <sz val="12"/>
      <color theme="1"/>
      <name val="Times New Roman"/>
      <family val="1"/>
    </font>
    <font>
      <b/>
      <sz val="12"/>
      <name val="Times New Roman"/>
      <family val="1"/>
    </font>
    <font>
      <sz val="10"/>
      <name val="Arial"/>
      <family val="2"/>
    </font>
    <font>
      <b/>
      <i/>
      <sz val="11"/>
      <color theme="1"/>
      <name val="Calibri"/>
      <family val="2"/>
      <scheme val="minor"/>
    </font>
    <font>
      <b/>
      <i/>
      <sz val="24"/>
      <color theme="1"/>
      <name val="Calibri"/>
      <family val="2"/>
      <scheme val="minor"/>
    </font>
    <font>
      <b/>
      <i/>
      <sz val="10"/>
      <name val="Arial"/>
      <family val="2"/>
    </font>
    <font>
      <sz val="12"/>
      <color theme="1"/>
      <name val="Calibri"/>
      <family val="2"/>
      <scheme val="minor"/>
    </font>
    <font>
      <b/>
      <sz val="24"/>
      <color theme="4" tint="-0.499984740745262"/>
      <name val="Times New Roman"/>
      <family val="1"/>
    </font>
    <font>
      <sz val="12"/>
      <color theme="4" tint="-0.499984740745262"/>
      <name val="Times New Roman"/>
      <family val="1"/>
    </font>
    <font>
      <b/>
      <sz val="22"/>
      <color theme="4" tint="-0.499984740745262"/>
      <name val="Times New Roman"/>
      <family val="1"/>
    </font>
    <font>
      <b/>
      <sz val="16"/>
      <color theme="1"/>
      <name val="Times New Roman"/>
      <family val="1"/>
    </font>
    <font>
      <sz val="16"/>
      <color theme="1"/>
      <name val="Times New Roman"/>
      <family val="1"/>
    </font>
    <font>
      <i/>
      <sz val="12"/>
      <color theme="1"/>
      <name val="Times New Roman"/>
      <family val="1"/>
    </font>
    <font>
      <b/>
      <i/>
      <sz val="14"/>
      <color theme="1"/>
      <name val="Times New Roman"/>
      <family val="1"/>
    </font>
    <font>
      <b/>
      <sz val="14"/>
      <color theme="1"/>
      <name val="Times New Roman"/>
      <family val="1"/>
    </font>
    <font>
      <u/>
      <sz val="12"/>
      <color theme="1"/>
      <name val="Times New Roman"/>
      <family val="1"/>
    </font>
    <font>
      <i/>
      <sz val="12"/>
      <color theme="4" tint="-0.499984740745262"/>
      <name val="Times New Roman"/>
      <family val="1"/>
    </font>
    <font>
      <u/>
      <sz val="11"/>
      <color theme="10"/>
      <name val="Calibri"/>
      <family val="2"/>
      <scheme val="minor"/>
    </font>
  </fonts>
  <fills count="8">
    <fill>
      <patternFill patternType="none"/>
    </fill>
    <fill>
      <patternFill patternType="gray125"/>
    </fill>
    <fill>
      <patternFill patternType="solid">
        <fgColor rgb="FFFFCC99"/>
      </patternFill>
    </fill>
    <fill>
      <patternFill patternType="solid">
        <fgColor rgb="FFFFFFCC"/>
        <bgColor indexed="64"/>
      </patternFill>
    </fill>
    <fill>
      <patternFill patternType="solid">
        <fgColor rgb="FFFFCC99"/>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s>
  <borders count="13">
    <border>
      <left/>
      <right/>
      <top/>
      <bottom/>
      <diagonal/>
    </border>
    <border>
      <left style="thin">
        <color rgb="FF7F7F7F"/>
      </left>
      <right style="thin">
        <color rgb="FF7F7F7F"/>
      </right>
      <top style="thin">
        <color rgb="FF7F7F7F"/>
      </top>
      <bottom style="thin">
        <color rgb="FF7F7F7F"/>
      </bottom>
      <diagonal/>
    </border>
    <border>
      <left/>
      <right/>
      <top/>
      <bottom style="thin">
        <color auto="1"/>
      </bottom>
      <diagonal/>
    </border>
    <border>
      <left style="medium">
        <color auto="1"/>
      </left>
      <right style="medium">
        <color auto="1"/>
      </right>
      <top style="medium">
        <color auto="1"/>
      </top>
      <bottom style="medium">
        <color auto="1"/>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diagonal/>
    </border>
  </borders>
  <cellStyleXfs count="18">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xf numFmtId="9" fontId="5" fillId="0" borderId="0" applyFont="0" applyFill="0" applyBorder="0" applyAlignment="0" applyProtection="0"/>
    <xf numFmtId="0" fontId="8" fillId="0" borderId="0">
      <alignment horizontal="center" vertical="center"/>
    </xf>
    <xf numFmtId="0" fontId="11" fillId="0" borderId="0" applyNumberFormat="0" applyFill="0" applyBorder="0">
      <alignment horizontal="left" vertical="center"/>
    </xf>
    <xf numFmtId="164" fontId="6" fillId="3" borderId="0" applyNumberFormat="0" applyFont="0" applyBorder="0" applyAlignment="0">
      <alignment horizontal="center"/>
    </xf>
    <xf numFmtId="0" fontId="9" fillId="4" borderId="3" applyNumberFormat="0" applyFont="0" applyBorder="0" applyAlignment="0"/>
    <xf numFmtId="0" fontId="7" fillId="0" borderId="0" applyNumberFormat="0" applyFont="0" applyBorder="0" applyAlignment="0"/>
    <xf numFmtId="0" fontId="10" fillId="2" borderId="1" applyNumberFormat="0" applyAlignment="0" applyProtection="0"/>
    <xf numFmtId="43" fontId="4" fillId="0" borderId="0" applyFont="0" applyFill="0" applyBorder="0" applyAlignment="0" applyProtection="0"/>
    <xf numFmtId="0" fontId="16" fillId="0" borderId="0">
      <alignment vertical="top"/>
    </xf>
    <xf numFmtId="0" fontId="5" fillId="0" borderId="0">
      <alignment vertical="top"/>
    </xf>
    <xf numFmtId="0" fontId="5" fillId="0" borderId="0">
      <alignment vertical="top"/>
    </xf>
    <xf numFmtId="9" fontId="20"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cellStyleXfs>
  <cellXfs count="114">
    <xf numFmtId="0" fontId="0" fillId="0" borderId="0" xfId="0"/>
    <xf numFmtId="0" fontId="16" fillId="0" borderId="5" xfId="12" applyBorder="1">
      <alignment vertical="top"/>
    </xf>
    <xf numFmtId="42" fontId="16" fillId="0" borderId="5" xfId="12" applyNumberFormat="1" applyBorder="1">
      <alignment vertical="top"/>
    </xf>
    <xf numFmtId="37" fontId="16" fillId="0" borderId="5" xfId="12" applyNumberFormat="1" applyBorder="1">
      <alignment vertical="top"/>
    </xf>
    <xf numFmtId="0" fontId="0" fillId="0" borderId="5" xfId="0" applyBorder="1"/>
    <xf numFmtId="43" fontId="16" fillId="0" borderId="5" xfId="12" applyNumberFormat="1" applyBorder="1">
      <alignment vertical="top"/>
    </xf>
    <xf numFmtId="0" fontId="5" fillId="0" borderId="5" xfId="13" applyBorder="1">
      <alignment vertical="top"/>
    </xf>
    <xf numFmtId="42" fontId="5" fillId="0" borderId="5" xfId="13" applyNumberFormat="1" applyBorder="1">
      <alignment vertical="top"/>
    </xf>
    <xf numFmtId="37" fontId="5" fillId="0" borderId="5" xfId="13" applyNumberFormat="1" applyBorder="1">
      <alignment vertical="top"/>
    </xf>
    <xf numFmtId="43" fontId="5" fillId="0" borderId="5" xfId="13" applyNumberFormat="1" applyBorder="1">
      <alignment vertical="top"/>
    </xf>
    <xf numFmtId="44" fontId="5" fillId="0" borderId="5" xfId="13" applyNumberFormat="1" applyBorder="1">
      <alignment vertical="top"/>
    </xf>
    <xf numFmtId="39" fontId="5" fillId="0" borderId="5" xfId="13" applyNumberFormat="1" applyBorder="1">
      <alignment vertical="top"/>
    </xf>
    <xf numFmtId="0" fontId="16" fillId="0" borderId="6" xfId="12" applyBorder="1">
      <alignment vertical="top"/>
    </xf>
    <xf numFmtId="0" fontId="5" fillId="0" borderId="6" xfId="13" applyBorder="1">
      <alignment vertical="top"/>
    </xf>
    <xf numFmtId="0" fontId="2" fillId="0" borderId="0" xfId="0" applyFont="1"/>
    <xf numFmtId="0" fontId="0" fillId="0" borderId="7" xfId="0" applyBorder="1"/>
    <xf numFmtId="14" fontId="0" fillId="0" borderId="7" xfId="0" applyNumberFormat="1" applyBorder="1"/>
    <xf numFmtId="44" fontId="0" fillId="0" borderId="0" xfId="1" applyFont="1"/>
    <xf numFmtId="10" fontId="0" fillId="0" borderId="7" xfId="2" applyNumberFormat="1" applyFont="1" applyBorder="1"/>
    <xf numFmtId="0" fontId="0" fillId="0" borderId="2" xfId="0" applyBorder="1"/>
    <xf numFmtId="10" fontId="0" fillId="0" borderId="0" xfId="2" applyNumberFormat="1" applyFont="1"/>
    <xf numFmtId="10" fontId="0" fillId="0" borderId="0" xfId="0" applyNumberFormat="1"/>
    <xf numFmtId="2" fontId="0" fillId="0" borderId="0" xfId="0" applyNumberFormat="1"/>
    <xf numFmtId="10" fontId="2" fillId="0" borderId="0" xfId="0" applyNumberFormat="1" applyFont="1"/>
    <xf numFmtId="0" fontId="17" fillId="0" borderId="0" xfId="0" applyFont="1"/>
    <xf numFmtId="0" fontId="5" fillId="0" borderId="0" xfId="14">
      <alignment vertical="top"/>
    </xf>
    <xf numFmtId="37" fontId="5" fillId="0" borderId="0" xfId="14" applyNumberFormat="1">
      <alignment vertical="top"/>
    </xf>
    <xf numFmtId="42" fontId="5" fillId="0" borderId="0" xfId="14" applyNumberFormat="1">
      <alignment vertical="top"/>
    </xf>
    <xf numFmtId="0" fontId="19" fillId="0" borderId="0" xfId="14" applyFont="1">
      <alignment vertical="top"/>
    </xf>
    <xf numFmtId="166" fontId="0" fillId="0" borderId="0" xfId="0" applyNumberFormat="1"/>
    <xf numFmtId="43" fontId="5" fillId="0" borderId="0" xfId="14" applyNumberFormat="1">
      <alignment vertical="top"/>
    </xf>
    <xf numFmtId="0" fontId="3" fillId="0" borderId="0" xfId="0" applyFont="1"/>
    <xf numFmtId="10" fontId="0" fillId="0" borderId="2" xfId="2" applyNumberFormat="1" applyFont="1" applyBorder="1"/>
    <xf numFmtId="37" fontId="0" fillId="0" borderId="0" xfId="0" applyNumberFormat="1"/>
    <xf numFmtId="166" fontId="0" fillId="0" borderId="2" xfId="0" applyNumberFormat="1" applyBorder="1"/>
    <xf numFmtId="0" fontId="0" fillId="0" borderId="9" xfId="0" applyBorder="1"/>
    <xf numFmtId="10" fontId="0" fillId="0" borderId="9" xfId="0" applyNumberFormat="1" applyBorder="1"/>
    <xf numFmtId="0" fontId="2" fillId="0" borderId="9" xfId="0" applyFont="1" applyBorder="1"/>
    <xf numFmtId="0" fontId="0" fillId="0" borderId="10" xfId="0" applyBorder="1"/>
    <xf numFmtId="0" fontId="0" fillId="0" borderId="11" xfId="0" applyBorder="1"/>
    <xf numFmtId="10" fontId="2" fillId="0" borderId="0" xfId="2" applyNumberFormat="1" applyFont="1" applyFill="1" applyBorder="1"/>
    <xf numFmtId="44" fontId="0" fillId="0" borderId="0" xfId="1" applyFont="1" applyFill="1" applyBorder="1"/>
    <xf numFmtId="0" fontId="0" fillId="0" borderId="0" xfId="0" applyAlignment="1">
      <alignment horizontal="left"/>
    </xf>
    <xf numFmtId="9" fontId="2" fillId="0" borderId="0" xfId="0" applyNumberFormat="1" applyFont="1"/>
    <xf numFmtId="0" fontId="21" fillId="0" borderId="0" xfId="0" applyFont="1" applyAlignment="1">
      <alignment vertical="center"/>
    </xf>
    <xf numFmtId="0" fontId="21" fillId="0" borderId="0" xfId="0" applyFont="1" applyAlignment="1">
      <alignment horizontal="right" vertical="center"/>
    </xf>
    <xf numFmtId="0" fontId="22" fillId="0" borderId="0" xfId="0" applyFont="1" applyAlignment="1">
      <alignment vertical="center"/>
    </xf>
    <xf numFmtId="0" fontId="23" fillId="0" borderId="0" xfId="0" applyFont="1" applyAlignment="1">
      <alignment vertical="center"/>
    </xf>
    <xf numFmtId="0" fontId="24" fillId="0" borderId="2" xfId="0" applyFont="1" applyBorder="1" applyAlignment="1">
      <alignment vertical="center"/>
    </xf>
    <xf numFmtId="0" fontId="24" fillId="0" borderId="2" xfId="0" applyFont="1" applyBorder="1" applyAlignment="1">
      <alignment horizontal="right" vertical="center"/>
    </xf>
    <xf numFmtId="0" fontId="25" fillId="0" borderId="0" xfId="0" applyFont="1" applyAlignment="1">
      <alignment vertical="center"/>
    </xf>
    <xf numFmtId="0" fontId="25" fillId="0" borderId="2" xfId="0" applyFont="1" applyBorder="1" applyAlignment="1">
      <alignment vertical="center"/>
    </xf>
    <xf numFmtId="0" fontId="25" fillId="0" borderId="2" xfId="12" applyFont="1" applyBorder="1" applyAlignment="1">
      <alignment vertical="center"/>
    </xf>
    <xf numFmtId="0" fontId="13" fillId="0" borderId="0" xfId="0" applyFont="1" applyAlignment="1">
      <alignment vertical="center"/>
    </xf>
    <xf numFmtId="0" fontId="13" fillId="0" borderId="0" xfId="0" applyFont="1" applyAlignment="1">
      <alignment horizontal="right" vertical="center"/>
    </xf>
    <xf numFmtId="0" fontId="26" fillId="0" borderId="0" xfId="12" applyFont="1" applyAlignment="1">
      <alignment vertical="center"/>
    </xf>
    <xf numFmtId="0" fontId="13" fillId="0" borderId="0" xfId="12" applyFont="1" applyAlignment="1">
      <alignment vertical="center"/>
    </xf>
    <xf numFmtId="0" fontId="14" fillId="0" borderId="2" xfId="0" applyFont="1" applyBorder="1" applyAlignment="1">
      <alignment vertical="center"/>
    </xf>
    <xf numFmtId="0" fontId="14" fillId="0" borderId="2" xfId="0" applyFont="1" applyBorder="1" applyAlignment="1">
      <alignment horizontal="right" vertical="center"/>
    </xf>
    <xf numFmtId="0" fontId="27" fillId="0" borderId="2" xfId="3" applyFont="1" applyBorder="1" applyAlignment="1">
      <alignment vertical="center"/>
    </xf>
    <xf numFmtId="0" fontId="13" fillId="0" borderId="2" xfId="3" applyFont="1" applyBorder="1" applyAlignment="1">
      <alignment vertical="center"/>
    </xf>
    <xf numFmtId="0" fontId="26" fillId="0" borderId="2" xfId="0" applyFont="1" applyBorder="1" applyAlignment="1">
      <alignment vertical="center"/>
    </xf>
    <xf numFmtId="0" fontId="13" fillId="0" borderId="2" xfId="0" applyFont="1" applyBorder="1" applyAlignment="1">
      <alignment vertical="center"/>
    </xf>
    <xf numFmtId="0" fontId="13" fillId="0" borderId="0" xfId="3" applyFont="1" applyAlignment="1">
      <alignment vertical="center"/>
    </xf>
    <xf numFmtId="165" fontId="13" fillId="6" borderId="0" xfId="16" applyNumberFormat="1" applyFont="1" applyFill="1" applyAlignment="1">
      <alignment vertical="center"/>
    </xf>
    <xf numFmtId="0" fontId="26" fillId="0" borderId="0" xfId="0" applyFont="1" applyAlignment="1">
      <alignment vertical="center"/>
    </xf>
    <xf numFmtId="0" fontId="4" fillId="0" borderId="0" xfId="3" applyAlignment="1">
      <alignment vertical="top"/>
    </xf>
    <xf numFmtId="0" fontId="13" fillId="6" borderId="0" xfId="3" applyFont="1" applyFill="1" applyAlignment="1">
      <alignment vertical="center"/>
    </xf>
    <xf numFmtId="42" fontId="4" fillId="0" borderId="0" xfId="3" applyNumberFormat="1" applyAlignment="1">
      <alignment vertical="top"/>
    </xf>
    <xf numFmtId="165" fontId="13" fillId="6" borderId="0" xfId="0" applyNumberFormat="1" applyFont="1" applyFill="1" applyAlignment="1">
      <alignment vertical="center"/>
    </xf>
    <xf numFmtId="14" fontId="13" fillId="6" borderId="0" xfId="16" applyNumberFormat="1" applyFont="1" applyFill="1" applyAlignment="1">
      <alignment vertical="center"/>
    </xf>
    <xf numFmtId="37" fontId="4" fillId="0" borderId="0" xfId="3" applyNumberFormat="1" applyAlignment="1">
      <alignment vertical="top"/>
    </xf>
    <xf numFmtId="10" fontId="13" fillId="6" borderId="0" xfId="4" applyNumberFormat="1" applyFont="1" applyFill="1" applyAlignment="1">
      <alignment vertical="center"/>
    </xf>
    <xf numFmtId="165" fontId="13" fillId="6" borderId="2" xfId="0" applyNumberFormat="1" applyFont="1" applyFill="1" applyBorder="1" applyAlignment="1">
      <alignment vertical="center"/>
    </xf>
    <xf numFmtId="10" fontId="13" fillId="6" borderId="0" xfId="0" applyNumberFormat="1" applyFont="1" applyFill="1" applyAlignment="1">
      <alignment vertical="center"/>
    </xf>
    <xf numFmtId="10" fontId="13" fillId="6" borderId="0" xfId="2" applyNumberFormat="1" applyFont="1" applyFill="1" applyAlignment="1">
      <alignment vertical="center"/>
    </xf>
    <xf numFmtId="9" fontId="13" fillId="6" borderId="0" xfId="0" applyNumberFormat="1" applyFont="1" applyFill="1" applyAlignment="1">
      <alignment vertical="center"/>
    </xf>
    <xf numFmtId="43" fontId="13" fillId="6" borderId="0" xfId="0" applyNumberFormat="1" applyFont="1" applyFill="1" applyAlignment="1">
      <alignment vertical="center"/>
    </xf>
    <xf numFmtId="10" fontId="13" fillId="6" borderId="2" xfId="2" applyNumberFormat="1" applyFont="1" applyFill="1" applyBorder="1" applyAlignment="1">
      <alignment vertical="center"/>
    </xf>
    <xf numFmtId="0" fontId="13" fillId="0" borderId="0" xfId="3" applyFont="1" applyAlignment="1">
      <alignment horizontal="left" vertical="center"/>
    </xf>
    <xf numFmtId="10" fontId="13" fillId="0" borderId="0" xfId="0" applyNumberFormat="1" applyFont="1" applyAlignment="1">
      <alignment vertical="center"/>
    </xf>
    <xf numFmtId="0" fontId="14" fillId="0" borderId="0" xfId="3" applyFont="1" applyAlignment="1">
      <alignment horizontal="left" vertical="center"/>
    </xf>
    <xf numFmtId="0" fontId="14" fillId="0" borderId="0" xfId="0" applyFont="1" applyAlignment="1">
      <alignment vertical="center"/>
    </xf>
    <xf numFmtId="10" fontId="14" fillId="0" borderId="0" xfId="2" applyNumberFormat="1" applyFont="1" applyFill="1" applyBorder="1" applyAlignment="1">
      <alignment horizontal="right" vertical="center"/>
    </xf>
    <xf numFmtId="0" fontId="27" fillId="0" borderId="2" xfId="0" applyFont="1" applyBorder="1" applyAlignment="1">
      <alignment horizontal="left" vertical="center"/>
    </xf>
    <xf numFmtId="0" fontId="28" fillId="0" borderId="2" xfId="12" applyFont="1" applyBorder="1" applyAlignment="1">
      <alignment vertical="center"/>
    </xf>
    <xf numFmtId="0" fontId="13" fillId="0" borderId="2" xfId="12" applyFont="1" applyBorder="1" applyAlignment="1">
      <alignment vertical="center"/>
    </xf>
    <xf numFmtId="0" fontId="26" fillId="0" borderId="0" xfId="0" applyFont="1" applyAlignment="1">
      <alignment horizontal="right" vertical="center"/>
    </xf>
    <xf numFmtId="0" fontId="13" fillId="7" borderId="0" xfId="0" applyFont="1" applyFill="1" applyAlignment="1">
      <alignment vertical="top"/>
    </xf>
    <xf numFmtId="0" fontId="13" fillId="7" borderId="0" xfId="0" applyFont="1" applyFill="1" applyAlignment="1">
      <alignment horizontal="right" vertical="top"/>
    </xf>
    <xf numFmtId="0" fontId="12" fillId="7" borderId="0" xfId="0" applyFont="1" applyFill="1" applyAlignment="1">
      <alignment vertical="top"/>
    </xf>
    <xf numFmtId="37" fontId="12" fillId="7" borderId="0" xfId="0" applyNumberFormat="1" applyFont="1" applyFill="1" applyAlignment="1">
      <alignment horizontal="right" vertical="top"/>
    </xf>
    <xf numFmtId="0" fontId="27" fillId="0" borderId="2" xfId="0" applyFont="1" applyBorder="1" applyAlignment="1">
      <alignment vertical="center"/>
    </xf>
    <xf numFmtId="0" fontId="29" fillId="0" borderId="0" xfId="0" applyFont="1" applyAlignment="1">
      <alignment vertical="center"/>
    </xf>
    <xf numFmtId="165" fontId="29" fillId="6" borderId="0" xfId="16" applyNumberFormat="1" applyFont="1" applyFill="1" applyAlignment="1">
      <alignment vertical="center"/>
    </xf>
    <xf numFmtId="42" fontId="12" fillId="7" borderId="0" xfId="0" applyNumberFormat="1" applyFont="1" applyFill="1" applyAlignment="1">
      <alignment horizontal="right" vertical="top"/>
    </xf>
    <xf numFmtId="0" fontId="15" fillId="0" borderId="2" xfId="0" applyFont="1" applyBorder="1" applyAlignment="1">
      <alignment horizontal="left" vertical="center"/>
    </xf>
    <xf numFmtId="0" fontId="15" fillId="0" borderId="2" xfId="0" applyFont="1" applyBorder="1" applyAlignment="1">
      <alignment horizontal="right" vertical="center"/>
    </xf>
    <xf numFmtId="0" fontId="13" fillId="0" borderId="2" xfId="0" applyFont="1" applyBorder="1" applyAlignment="1">
      <alignment horizontal="right" vertical="center"/>
    </xf>
    <xf numFmtId="165" fontId="13" fillId="0" borderId="0" xfId="16" applyNumberFormat="1" applyFont="1" applyFill="1" applyAlignment="1">
      <alignment vertical="center"/>
    </xf>
    <xf numFmtId="165" fontId="13" fillId="0" borderId="2" xfId="16" applyNumberFormat="1" applyFont="1" applyFill="1" applyBorder="1" applyAlignment="1">
      <alignment vertical="center"/>
    </xf>
    <xf numFmtId="165" fontId="13" fillId="6" borderId="2" xfId="16" applyNumberFormat="1" applyFont="1" applyFill="1" applyBorder="1" applyAlignment="1">
      <alignment vertical="center"/>
    </xf>
    <xf numFmtId="0" fontId="13" fillId="0" borderId="12" xfId="0" applyFont="1" applyBorder="1" applyAlignment="1">
      <alignment vertical="center"/>
    </xf>
    <xf numFmtId="165" fontId="13" fillId="6" borderId="12" xfId="0" applyNumberFormat="1" applyFont="1" applyFill="1" applyBorder="1" applyAlignment="1">
      <alignment vertical="center"/>
    </xf>
    <xf numFmtId="0" fontId="30" fillId="0" borderId="2" xfId="0" applyFont="1" applyBorder="1" applyAlignment="1">
      <alignment vertical="center"/>
    </xf>
    <xf numFmtId="43" fontId="13" fillId="6" borderId="2" xfId="0" applyNumberFormat="1" applyFont="1" applyFill="1" applyBorder="1" applyAlignment="1">
      <alignment vertical="center"/>
    </xf>
    <xf numFmtId="43" fontId="4" fillId="0" borderId="0" xfId="3" applyNumberFormat="1" applyAlignment="1">
      <alignment vertical="top"/>
    </xf>
    <xf numFmtId="0" fontId="31" fillId="0" borderId="0" xfId="17"/>
    <xf numFmtId="10" fontId="12" fillId="0" borderId="0" xfId="2" applyNumberFormat="1" applyFont="1" applyFill="1" applyAlignment="1">
      <alignment vertical="center"/>
    </xf>
    <xf numFmtId="43" fontId="13" fillId="0" borderId="0" xfId="0" applyNumberFormat="1" applyFont="1" applyAlignment="1">
      <alignment vertical="center"/>
    </xf>
    <xf numFmtId="9" fontId="13" fillId="6" borderId="0" xfId="2" applyFont="1" applyFill="1" applyAlignment="1">
      <alignment vertical="center"/>
    </xf>
    <xf numFmtId="0" fontId="18" fillId="5" borderId="4" xfId="0" applyFont="1" applyFill="1" applyBorder="1" applyAlignment="1">
      <alignment horizontal="center"/>
    </xf>
    <xf numFmtId="0" fontId="0" fillId="0" borderId="8" xfId="0" applyBorder="1" applyAlignment="1">
      <alignment horizontal="center"/>
    </xf>
    <xf numFmtId="0" fontId="0" fillId="0" borderId="7" xfId="0" applyBorder="1" applyAlignment="1">
      <alignment horizontal="center"/>
    </xf>
  </cellXfs>
  <cellStyles count="18">
    <cellStyle name="Comma" xfId="16" builtinId="3"/>
    <cellStyle name="Comma 2" xfId="11" xr:uid="{35182275-5D07-4AEC-8D69-9351373F54E8}"/>
    <cellStyle name="Currency" xfId="1" builtinId="4"/>
    <cellStyle name="Fill" xfId="8" xr:uid="{A8F56DAB-58C5-4B23-8F75-484BF5C42F30}"/>
    <cellStyle name="Hyperlink" xfId="17" builtinId="8"/>
    <cellStyle name="Input 2" xfId="10" xr:uid="{9C30BD74-E3D3-4450-8313-10408258642F}"/>
    <cellStyle name="No fill" xfId="9" xr:uid="{C680BB5B-D2C4-4128-A599-DCB09E1541B8}"/>
    <cellStyle name="Normal" xfId="0" builtinId="0"/>
    <cellStyle name="Normal 2" xfId="3" xr:uid="{66AF5274-AD3B-4285-B90B-B34A3433FBCB}"/>
    <cellStyle name="Normal 2 2" xfId="14" xr:uid="{DEF1809B-0276-4857-85C4-582F2F9DBFED}"/>
    <cellStyle name="Normal 3" xfId="12" xr:uid="{A79370C4-9DCD-421D-ABC4-1B888BE12A37}"/>
    <cellStyle name="Normal 4" xfId="13" xr:uid="{0E87CEC6-68DA-4633-8779-9D19835A6F7D}"/>
    <cellStyle name="Percent" xfId="2" builtinId="5"/>
    <cellStyle name="Percent 2" xfId="4" xr:uid="{6E33B65E-048A-435D-AB8F-5498CC76E905}"/>
    <cellStyle name="Percent 2 2" xfId="15" xr:uid="{2B28F36C-BE74-4810-BA0F-D3298724F280}"/>
    <cellStyle name="TK hdg 1" xfId="6" xr:uid="{80B7A975-8044-4F5F-9431-35A19E4DBBDD}"/>
    <cellStyle name="TK title" xfId="5" xr:uid="{78635960-76B6-4A6D-9836-42B9AC7BF35E}"/>
    <cellStyle name="Yellow fill" xfId="7" xr:uid="{047E8E28-2BC8-4139-8B00-898801AA1794}"/>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ustomXml" Target="../customXml/item1.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
  <rv s="0">
    <v>https://www.bing.com/financeapi/forcetrigger?t=a1o9gh&amp;q=XNYS%3aBBY&amp;form=skydnc</v>
    <v>Learn more on Bing</v>
  </rv>
  <rv s="1">
    <v>en-US</v>
    <v>a1o9gh</v>
    <v>268435456</v>
    <v>1</v>
    <v>Powered by Refinitiv</v>
    <v>0</v>
    <v>Best Buy Co., Inc. (XNYS:BBY)</v>
    <v>2</v>
    <v>3</v>
    <v>Finance</v>
    <v>4</v>
    <v>86.11</v>
    <v>62.3001</v>
    <v>1.5087999999999999</v>
    <v>0.86</v>
    <v>1.1036999999999998E-2</v>
    <v>USD</v>
    <v>Best Buy Co., Inc. is engaged in personalizing and humanizing technology solutions. The Company operates through two segments: Domestic and International. Domestic segment is comprised of its operations in all states, districts and territories of the United States and its Best Buy Health business, and includes the brand names Best Buy, Best Buy Ads, Best Buy Business, Best Buy Health, CST, Current Health, Geek Squad, Lively, Magnolia, Pacific Kitchen and Home, TechLiquidators and Yardbird and the domain names bestbuy.com, currenthealth.com, lively.com, techliquidators.com and yardbird.com. International segment is comprised of all operations in Canada under the brand names Best Buy, Best Buy Mobile and Geek Squad and the domain name bestbuy.ca. Domestic and International segments product categories include Computing and Mobile Phones, Consumer Electronics, Appliances, Entertainment, Services and Other. Computing and Mobile Phones category includes computing, mobile phones, and others.</v>
    <v>90000</v>
    <v>New York Stock Exchange</v>
    <v>XNYS</v>
    <v>XNYS</v>
    <v>7601 Penn Ave S, RICHFIELD, MN, 55423 US</v>
    <v>79.319900000000004</v>
    <v>Specialty Retailers</v>
    <v>Stock</v>
    <v>45355.669280161717</v>
    <v>0</v>
    <v>77.95</v>
    <v>16783650000</v>
    <v>Best Buy Co., Inc.</v>
    <v>Best Buy Co., Inc.</v>
    <v>78.3</v>
    <v>13.447900000000001</v>
    <v>77.92</v>
    <v>78.78</v>
    <v>215396000</v>
    <v>BBY</v>
    <v>Best Buy Co., Inc. (XNYS:BBY)</v>
    <v>1028807</v>
    <v>3048962</v>
    <v>1966</v>
  </rv>
  <rv s="2">
    <v>1</v>
  </rv>
  <rv s="1">
    <v>en-GB</v>
    <v>a1o9gh</v>
    <v>268435456</v>
    <v>1</v>
    <v>Powered by Refinitiv</v>
    <v>0</v>
    <v>Best Buy Co., Inc. (XNYS:BBY)</v>
    <v>2</v>
    <v>3</v>
    <v>Finance</v>
    <v>4</v>
    <v>86.11</v>
    <v>62.3001</v>
    <v>1.5087999999999999</v>
    <v>0.86</v>
    <v>1.1036999999999998E-2</v>
    <v>USD</v>
    <v>Best Buy Co., Inc. is engaged in personalizing and humanizing technology solutions. The Company operates through two segments: Domestic and International. Domestic segment is comprised of its operations in all states, districts and territories of the United States and its Best Buy Health business, and includes the brand names Best Buy, Best Buy Ads, Best Buy Business, Best Buy Health, CST, Current Health, Geek Squad, Lively, Magnolia, Pacific Kitchen and Home, TechLiquidators and Yardbird and the domain names bestbuy.com, currenthealth.com, lively.com, techliquidators.com and yardbird.com. International segment is comprised of all operations in Canada under the brand names Best Buy, Best Buy Mobile and Geek Squad and the domain name bestbuy.ca. Domestic and International segments product categories include Computing and Mobile Phones, Consumer Electronics, Appliances, Entertainment, Services and Other. Computing and Mobile Phones category includes computing, mobile phones, and others.</v>
    <v>90000</v>
    <v>New York Stock Exchange</v>
    <v>XNYS</v>
    <v>XNYS</v>
    <v>7601 Penn Ave S, RICHFIELD, MN, 55423 US</v>
    <v>79.319900000000004</v>
    <v>Specialty Retailers</v>
    <v>Stock</v>
    <v>45355.669280161717</v>
    <v>0</v>
    <v>77.95</v>
    <v>16783650000</v>
    <v>Best Buy Co., Inc.</v>
    <v>Best Buy Co., Inc.</v>
    <v>78.3</v>
    <v>13.447900000000001</v>
    <v>77.92</v>
    <v>78.78</v>
    <v>215396000</v>
    <v>BBY</v>
    <v>Best Buy Co., Inc. (XNYS:BBY)</v>
    <v>1028807</v>
    <v>3048962</v>
    <v>1966</v>
  </rv>
  <rv s="2">
    <v>3</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finance.yahoo.com/quote/BBY?.tsrc=fin-srch" TargetMode="External"/><Relationship Id="rId2" Type="http://schemas.openxmlformats.org/officeDocument/2006/relationships/hyperlink" Target="https://www.marketwatch.com/investing/bond/tmubmusd03m?countrycode=bx" TargetMode="External"/><Relationship Id="rId1" Type="http://schemas.openxmlformats.org/officeDocument/2006/relationships/hyperlink" Target="https://www.investopedia.com/ask/answers/042415/what-average-annual-return-sp-500.asp" TargetMode="External"/><Relationship Id="rId5" Type="http://schemas.openxmlformats.org/officeDocument/2006/relationships/hyperlink" Target="https://finance.yahoo.com/quote/BBY/history" TargetMode="External"/><Relationship Id="rId4" Type="http://schemas.openxmlformats.org/officeDocument/2006/relationships/hyperlink" Target="https://d18rn0p25nwr6d.cloudfront.net/CIK-0000320193/faab4555-c69b-438a-aaf7-e09305f87ca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E5F6-F1F4-4C88-B355-0CFE5EF2E06C}">
  <dimension ref="B4:J53"/>
  <sheetViews>
    <sheetView showGridLines="0" workbookViewId="0">
      <selection activeCell="F8" sqref="F8"/>
    </sheetView>
  </sheetViews>
  <sheetFormatPr defaultColWidth="8.85546875" defaultRowHeight="15"/>
  <cols>
    <col min="2" max="2" width="44.140625" bestFit="1" customWidth="1"/>
    <col min="3" max="4" width="15.28515625" bestFit="1" customWidth="1"/>
    <col min="5" max="5" width="1.85546875" customWidth="1"/>
    <col min="6" max="6" width="1.7109375" customWidth="1"/>
    <col min="7" max="7" width="35.42578125" bestFit="1" customWidth="1"/>
    <col min="8" max="10" width="15.28515625" bestFit="1" customWidth="1"/>
  </cols>
  <sheetData>
    <row r="4" spans="2:10" ht="27" customHeight="1" thickBot="1">
      <c r="B4" s="111" t="s">
        <v>0</v>
      </c>
      <c r="C4" s="111"/>
      <c r="D4" s="111"/>
      <c r="G4" s="111" t="s">
        <v>1</v>
      </c>
      <c r="H4" s="111"/>
      <c r="I4" s="111"/>
      <c r="J4" s="111"/>
    </row>
    <row r="5" spans="2:10">
      <c r="B5" s="12" t="s">
        <v>2</v>
      </c>
      <c r="C5" s="12"/>
      <c r="D5" s="12"/>
      <c r="G5" s="13" t="s">
        <v>3</v>
      </c>
      <c r="H5" s="13" t="s">
        <v>4</v>
      </c>
      <c r="I5" s="13" t="s">
        <v>5</v>
      </c>
      <c r="J5" s="13" t="s">
        <v>6</v>
      </c>
    </row>
    <row r="6" spans="2:10">
      <c r="B6" s="1" t="s">
        <v>7</v>
      </c>
      <c r="C6" s="1"/>
      <c r="D6" s="1"/>
      <c r="G6" s="6" t="s">
        <v>8</v>
      </c>
      <c r="H6" s="7">
        <v>46298</v>
      </c>
      <c r="I6" s="7">
        <v>51761</v>
      </c>
      <c r="J6" s="7">
        <v>47262</v>
      </c>
    </row>
    <row r="7" spans="2:10">
      <c r="B7" s="1" t="s">
        <v>9</v>
      </c>
      <c r="C7" s="1" t="s">
        <v>4</v>
      </c>
      <c r="D7" s="1" t="s">
        <v>5</v>
      </c>
      <c r="G7" s="6" t="s">
        <v>10</v>
      </c>
      <c r="H7" s="8">
        <v>36386</v>
      </c>
      <c r="I7" s="8">
        <v>40121</v>
      </c>
      <c r="J7" s="8">
        <v>36689</v>
      </c>
    </row>
    <row r="8" spans="2:10">
      <c r="B8" s="1" t="s">
        <v>11</v>
      </c>
      <c r="C8" s="1"/>
      <c r="D8" s="1"/>
      <c r="G8" s="6" t="s">
        <v>12</v>
      </c>
      <c r="H8" s="8">
        <v>9912</v>
      </c>
      <c r="I8" s="8">
        <v>11640</v>
      </c>
      <c r="J8" s="8">
        <v>10573</v>
      </c>
    </row>
    <row r="9" spans="2:10">
      <c r="B9" s="1" t="s">
        <v>13</v>
      </c>
      <c r="C9" s="1"/>
      <c r="D9" s="1"/>
      <c r="G9" s="6" t="s">
        <v>14</v>
      </c>
      <c r="H9" s="6"/>
      <c r="I9" s="6"/>
      <c r="J9" s="6"/>
    </row>
    <row r="10" spans="2:10">
      <c r="B10" s="1" t="s">
        <v>15</v>
      </c>
      <c r="C10" s="2">
        <v>1874</v>
      </c>
      <c r="D10" s="2">
        <v>2936</v>
      </c>
      <c r="G10" s="6" t="s">
        <v>16</v>
      </c>
      <c r="H10" s="8">
        <v>7970</v>
      </c>
      <c r="I10" s="8">
        <v>8635</v>
      </c>
      <c r="J10" s="8">
        <v>7928</v>
      </c>
    </row>
    <row r="11" spans="2:10">
      <c r="B11" s="1" t="s">
        <v>17</v>
      </c>
      <c r="C11" s="3">
        <v>1141</v>
      </c>
      <c r="D11" s="3">
        <v>1042</v>
      </c>
      <c r="G11" s="6" t="s">
        <v>18</v>
      </c>
      <c r="H11" s="8">
        <v>147</v>
      </c>
      <c r="I11" s="8">
        <v>-34</v>
      </c>
      <c r="J11" s="8">
        <v>254</v>
      </c>
    </row>
    <row r="12" spans="2:10">
      <c r="B12" s="1" t="s">
        <v>19</v>
      </c>
      <c r="C12" s="3">
        <v>5140</v>
      </c>
      <c r="D12" s="3">
        <v>5965</v>
      </c>
      <c r="G12" s="6" t="s">
        <v>20</v>
      </c>
      <c r="H12" s="8">
        <v>1795</v>
      </c>
      <c r="I12" s="8">
        <v>3039</v>
      </c>
      <c r="J12" s="8">
        <v>2391</v>
      </c>
    </row>
    <row r="13" spans="2:10">
      <c r="B13" s="1" t="s">
        <v>21</v>
      </c>
      <c r="C13" s="3">
        <v>647</v>
      </c>
      <c r="D13" s="3">
        <v>596</v>
      </c>
      <c r="G13" s="6" t="s">
        <v>22</v>
      </c>
      <c r="H13" s="6"/>
      <c r="I13" s="6"/>
      <c r="J13" s="6"/>
    </row>
    <row r="14" spans="2:10">
      <c r="B14" s="1" t="s">
        <v>23</v>
      </c>
      <c r="C14" s="3">
        <v>8802</v>
      </c>
      <c r="D14" s="3">
        <v>10539</v>
      </c>
      <c r="G14" s="6" t="s">
        <v>24</v>
      </c>
      <c r="H14" s="8">
        <v>28</v>
      </c>
      <c r="I14" s="8">
        <v>10</v>
      </c>
      <c r="J14" s="8">
        <v>38</v>
      </c>
    </row>
    <row r="15" spans="2:10">
      <c r="B15" s="1" t="s">
        <v>25</v>
      </c>
      <c r="C15" s="1"/>
      <c r="D15" s="1"/>
      <c r="G15" s="6" t="s">
        <v>26</v>
      </c>
      <c r="H15" s="8">
        <v>-35</v>
      </c>
      <c r="I15" s="8">
        <v>-25</v>
      </c>
      <c r="J15" s="8">
        <v>-52</v>
      </c>
    </row>
    <row r="16" spans="2:10">
      <c r="B16" s="1" t="s">
        <v>27</v>
      </c>
      <c r="C16" s="3">
        <v>688</v>
      </c>
      <c r="D16" s="3">
        <v>671</v>
      </c>
      <c r="G16" s="6" t="s">
        <v>28</v>
      </c>
      <c r="H16" s="6"/>
      <c r="I16" s="6"/>
      <c r="J16" s="6"/>
    </row>
    <row r="17" spans="2:10">
      <c r="B17" s="1" t="s">
        <v>29</v>
      </c>
      <c r="C17" s="3">
        <v>2260</v>
      </c>
      <c r="D17" s="3">
        <v>2160</v>
      </c>
      <c r="G17" s="6" t="s">
        <v>30</v>
      </c>
      <c r="H17" s="8">
        <v>1788</v>
      </c>
      <c r="I17" s="8">
        <v>3024</v>
      </c>
      <c r="J17" s="8">
        <v>2377</v>
      </c>
    </row>
    <row r="18" spans="2:10">
      <c r="B18" s="1" t="s">
        <v>31</v>
      </c>
      <c r="C18" s="3">
        <v>3928</v>
      </c>
      <c r="D18" s="3">
        <v>5419</v>
      </c>
      <c r="G18" s="6" t="s">
        <v>32</v>
      </c>
      <c r="H18" s="8">
        <v>370</v>
      </c>
      <c r="I18" s="8">
        <v>574</v>
      </c>
      <c r="J18" s="8">
        <v>579</v>
      </c>
    </row>
    <row r="19" spans="2:10">
      <c r="B19" s="1" t="s">
        <v>33</v>
      </c>
      <c r="C19" s="3">
        <v>100</v>
      </c>
      <c r="D19" s="3">
        <v>91</v>
      </c>
      <c r="G19" s="6" t="s">
        <v>34</v>
      </c>
      <c r="H19" s="8">
        <v>1</v>
      </c>
      <c r="I19" s="8">
        <v>4</v>
      </c>
      <c r="J19" s="9">
        <v>0</v>
      </c>
    </row>
    <row r="20" spans="2:10">
      <c r="B20" s="1" t="s">
        <v>35</v>
      </c>
      <c r="C20" s="3">
        <v>6976</v>
      </c>
      <c r="D20" s="3">
        <v>8341</v>
      </c>
      <c r="G20" s="6" t="s">
        <v>36</v>
      </c>
      <c r="H20" s="7">
        <v>1419</v>
      </c>
      <c r="I20" s="7">
        <v>2454</v>
      </c>
      <c r="J20" s="7">
        <v>1798</v>
      </c>
    </row>
    <row r="21" spans="2:10">
      <c r="B21" s="1" t="s">
        <v>37</v>
      </c>
      <c r="C21" s="3">
        <v>4624</v>
      </c>
      <c r="D21" s="3">
        <v>6091</v>
      </c>
      <c r="G21" s="4"/>
      <c r="H21" s="4"/>
      <c r="I21" s="4"/>
      <c r="J21" s="4"/>
    </row>
    <row r="22" spans="2:10">
      <c r="B22" s="1" t="s">
        <v>38</v>
      </c>
      <c r="C22" s="3">
        <v>2352</v>
      </c>
      <c r="D22" s="3">
        <v>2250</v>
      </c>
      <c r="G22" s="6" t="s">
        <v>39</v>
      </c>
      <c r="H22" s="10">
        <v>6.31</v>
      </c>
      <c r="I22" s="10">
        <v>9.94</v>
      </c>
      <c r="J22" s="10">
        <v>6.93</v>
      </c>
    </row>
    <row r="23" spans="2:10">
      <c r="B23" s="1" t="s">
        <v>40</v>
      </c>
      <c r="C23" s="3">
        <v>2746</v>
      </c>
      <c r="D23" s="3">
        <v>2654</v>
      </c>
      <c r="G23" s="6" t="s">
        <v>41</v>
      </c>
      <c r="H23" s="10">
        <v>6.29</v>
      </c>
      <c r="I23" s="10">
        <v>9.84</v>
      </c>
      <c r="J23" s="10">
        <v>6.84</v>
      </c>
    </row>
    <row r="24" spans="2:10">
      <c r="B24" s="1" t="s">
        <v>42</v>
      </c>
      <c r="C24" s="3">
        <v>1383</v>
      </c>
      <c r="D24" s="3">
        <v>1384</v>
      </c>
      <c r="G24" s="4"/>
      <c r="H24" s="4"/>
      <c r="I24" s="4"/>
      <c r="J24" s="4"/>
    </row>
    <row r="25" spans="2:10">
      <c r="B25" s="1" t="s">
        <v>43</v>
      </c>
      <c r="C25" s="3">
        <v>520</v>
      </c>
      <c r="D25" s="3">
        <v>677</v>
      </c>
      <c r="G25" s="6" t="s">
        <v>44</v>
      </c>
      <c r="H25" s="6"/>
      <c r="I25" s="6"/>
      <c r="J25" s="6"/>
    </row>
    <row r="26" spans="2:10">
      <c r="B26" s="1" t="s">
        <v>45</v>
      </c>
      <c r="C26" s="2">
        <v>15803</v>
      </c>
      <c r="D26" s="2">
        <v>17504</v>
      </c>
      <c r="G26" s="6" t="s">
        <v>46</v>
      </c>
      <c r="H26" s="6"/>
      <c r="I26" s="6"/>
      <c r="J26" s="6"/>
    </row>
    <row r="27" spans="2:10">
      <c r="B27" s="4"/>
      <c r="C27" s="4"/>
      <c r="D27" s="4"/>
      <c r="G27" s="6" t="s">
        <v>47</v>
      </c>
      <c r="H27" s="11">
        <v>224.8</v>
      </c>
      <c r="I27" s="11">
        <v>246.8</v>
      </c>
      <c r="J27" s="11">
        <v>259.60000000000002</v>
      </c>
    </row>
    <row r="28" spans="2:10">
      <c r="B28" s="1" t="s">
        <v>48</v>
      </c>
      <c r="C28" s="1"/>
      <c r="D28" s="1"/>
      <c r="G28" s="6" t="s">
        <v>49</v>
      </c>
      <c r="H28" s="11">
        <v>225.7</v>
      </c>
      <c r="I28" s="11">
        <v>249.3</v>
      </c>
      <c r="J28" s="11">
        <v>263</v>
      </c>
    </row>
    <row r="29" spans="2:10">
      <c r="B29" s="1" t="s">
        <v>50</v>
      </c>
      <c r="C29" s="1"/>
      <c r="D29" s="1"/>
    </row>
    <row r="30" spans="2:10">
      <c r="B30" s="1" t="s">
        <v>51</v>
      </c>
      <c r="C30" s="2">
        <v>5687</v>
      </c>
      <c r="D30" s="2">
        <v>6803</v>
      </c>
    </row>
    <row r="31" spans="2:10">
      <c r="B31" s="1" t="s">
        <v>52</v>
      </c>
      <c r="C31" s="3">
        <v>274</v>
      </c>
      <c r="D31" s="3">
        <v>316</v>
      </c>
    </row>
    <row r="32" spans="2:10">
      <c r="B32" s="1" t="s">
        <v>53</v>
      </c>
      <c r="C32" s="3">
        <v>1116</v>
      </c>
      <c r="D32" s="3">
        <v>1103</v>
      </c>
    </row>
    <row r="33" spans="2:4">
      <c r="B33" s="1" t="s">
        <v>54</v>
      </c>
      <c r="C33" s="3">
        <v>405</v>
      </c>
      <c r="D33" s="3">
        <v>845</v>
      </c>
    </row>
    <row r="34" spans="2:4">
      <c r="B34" s="1" t="s">
        <v>55</v>
      </c>
      <c r="C34" s="3">
        <v>843</v>
      </c>
      <c r="D34" s="3">
        <v>946</v>
      </c>
    </row>
    <row r="35" spans="2:4">
      <c r="B35" s="1" t="s">
        <v>56</v>
      </c>
      <c r="C35" s="3">
        <v>638</v>
      </c>
      <c r="D35" s="3">
        <v>648</v>
      </c>
    </row>
    <row r="36" spans="2:4">
      <c r="B36" s="1" t="s">
        <v>57</v>
      </c>
      <c r="C36" s="3">
        <v>16</v>
      </c>
      <c r="D36" s="3">
        <v>13</v>
      </c>
    </row>
    <row r="37" spans="2:4">
      <c r="B37" s="1" t="s">
        <v>58</v>
      </c>
      <c r="C37" s="3">
        <v>8979</v>
      </c>
      <c r="D37" s="3">
        <v>10674</v>
      </c>
    </row>
    <row r="38" spans="2:4">
      <c r="B38" s="1" t="s">
        <v>59</v>
      </c>
      <c r="C38" s="3">
        <v>2164</v>
      </c>
      <c r="D38" s="3">
        <v>2061</v>
      </c>
    </row>
    <row r="39" spans="2:4">
      <c r="B39" s="1" t="s">
        <v>60</v>
      </c>
      <c r="C39" s="3">
        <v>705</v>
      </c>
      <c r="D39" s="3">
        <v>533</v>
      </c>
    </row>
    <row r="40" spans="2:4">
      <c r="B40" s="1" t="s">
        <v>61</v>
      </c>
      <c r="C40" s="3">
        <v>1160</v>
      </c>
      <c r="D40" s="3">
        <v>1216</v>
      </c>
    </row>
    <row r="41" spans="2:4">
      <c r="B41" s="1" t="s">
        <v>62</v>
      </c>
      <c r="C41" s="1"/>
      <c r="D41" s="1"/>
    </row>
    <row r="42" spans="2:4">
      <c r="B42" s="1" t="s">
        <v>63</v>
      </c>
      <c r="C42" s="1"/>
      <c r="D42" s="1"/>
    </row>
    <row r="43" spans="2:4">
      <c r="B43" s="1" t="s">
        <v>64</v>
      </c>
      <c r="C43" s="1"/>
      <c r="D43" s="1"/>
    </row>
    <row r="44" spans="2:4">
      <c r="B44" s="1" t="s">
        <v>65</v>
      </c>
      <c r="C44" s="1"/>
      <c r="D44" s="1"/>
    </row>
    <row r="45" spans="2:4">
      <c r="B45" s="1" t="s">
        <v>66</v>
      </c>
      <c r="C45" s="5">
        <v>0</v>
      </c>
      <c r="D45" s="5">
        <v>0</v>
      </c>
    </row>
    <row r="46" spans="2:4">
      <c r="B46" s="1" t="s">
        <v>67</v>
      </c>
      <c r="C46" s="1"/>
      <c r="D46" s="1"/>
    </row>
    <row r="47" spans="2:4">
      <c r="B47" s="1" t="s">
        <v>68</v>
      </c>
      <c r="C47" s="1"/>
      <c r="D47" s="1"/>
    </row>
    <row r="48" spans="2:4">
      <c r="B48" s="1" t="s">
        <v>69</v>
      </c>
      <c r="C48" s="3">
        <v>22</v>
      </c>
      <c r="D48" s="3">
        <v>23</v>
      </c>
    </row>
    <row r="49" spans="2:4">
      <c r="B49" s="1" t="s">
        <v>70</v>
      </c>
      <c r="C49" s="3">
        <v>21</v>
      </c>
      <c r="D49" s="5">
        <v>0</v>
      </c>
    </row>
    <row r="50" spans="2:4">
      <c r="B50" s="1" t="s">
        <v>71</v>
      </c>
      <c r="C50" s="3">
        <v>2430</v>
      </c>
      <c r="D50" s="3">
        <v>2668</v>
      </c>
    </row>
    <row r="51" spans="2:4">
      <c r="B51" s="1" t="s">
        <v>72</v>
      </c>
      <c r="C51" s="3">
        <v>322</v>
      </c>
      <c r="D51" s="3">
        <v>329</v>
      </c>
    </row>
    <row r="52" spans="2:4">
      <c r="B52" s="1" t="s">
        <v>73</v>
      </c>
      <c r="C52" s="3">
        <v>2795</v>
      </c>
      <c r="D52" s="3">
        <v>3020</v>
      </c>
    </row>
    <row r="53" spans="2:4">
      <c r="B53" s="1" t="s">
        <v>74</v>
      </c>
      <c r="C53" s="2">
        <v>15803</v>
      </c>
      <c r="D53" s="2">
        <v>17504</v>
      </c>
    </row>
  </sheetData>
  <mergeCells count="2">
    <mergeCell ref="B4:D4"/>
    <mergeCell ref="G4:J4"/>
  </mergeCells>
  <conditionalFormatting sqref="C10">
    <cfRule type="cellIs" dxfId="3" priority="4" operator="lessThan">
      <formula>$D$10</formula>
    </cfRule>
  </conditionalFormatting>
  <conditionalFormatting sqref="C11:C14">
    <cfRule type="cellIs" dxfId="2" priority="3" operator="lessThan">
      <formula>$D$11</formula>
    </cfRule>
  </conditionalFormatting>
  <conditionalFormatting sqref="C12">
    <cfRule type="cellIs" dxfId="1" priority="2" operator="lessThan">
      <formula>$D$12</formula>
    </cfRule>
  </conditionalFormatting>
  <conditionalFormatting sqref="C14">
    <cfRule type="cellIs" dxfId="0" priority="1" operator="lessThan">
      <formula>$D$14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0F38-7E73-41EC-A0E4-BE7CACD380BC}">
  <dimension ref="A2:Q69"/>
  <sheetViews>
    <sheetView workbookViewId="0">
      <selection activeCell="A2" sqref="A2"/>
    </sheetView>
  </sheetViews>
  <sheetFormatPr defaultColWidth="8.85546875" defaultRowHeight="15"/>
  <cols>
    <col min="1" max="1" width="10.140625" bestFit="1" customWidth="1"/>
    <col min="3" max="3" width="12.85546875" bestFit="1" customWidth="1"/>
    <col min="5" max="5" width="11.28515625" bestFit="1" customWidth="1"/>
    <col min="7" max="7" width="30.42578125" customWidth="1"/>
    <col min="10" max="10" width="11.42578125" bestFit="1" customWidth="1"/>
    <col min="15" max="15" width="44.140625" bestFit="1" customWidth="1"/>
    <col min="16" max="17" width="15.28515625" bestFit="1" customWidth="1"/>
  </cols>
  <sheetData>
    <row r="2" spans="1:17">
      <c r="A2" s="107" t="s">
        <v>75</v>
      </c>
    </row>
    <row r="3" spans="1:17" ht="15.75" thickBot="1">
      <c r="A3" s="15" t="s">
        <v>76</v>
      </c>
      <c r="B3" s="112" t="s">
        <v>77</v>
      </c>
      <c r="C3" s="113"/>
      <c r="D3" s="112" t="s">
        <v>78</v>
      </c>
      <c r="E3" s="113"/>
      <c r="G3" s="37" t="s">
        <v>79</v>
      </c>
      <c r="H3" s="35"/>
      <c r="I3" s="35"/>
      <c r="J3" s="35"/>
      <c r="O3" s="37" t="s">
        <v>80</v>
      </c>
      <c r="P3" s="35"/>
      <c r="Q3" s="35"/>
    </row>
    <row r="4" spans="1:17" ht="15.75" thickBot="1">
      <c r="A4" s="38" t="s">
        <v>81</v>
      </c>
      <c r="B4" s="39" t="s">
        <v>82</v>
      </c>
      <c r="C4" s="38" t="s">
        <v>83</v>
      </c>
      <c r="D4" s="39" t="s">
        <v>82</v>
      </c>
      <c r="E4" s="38" t="s">
        <v>83</v>
      </c>
      <c r="G4" t="s">
        <v>84</v>
      </c>
      <c r="J4" s="20">
        <v>5.3999999999999999E-2</v>
      </c>
      <c r="K4" s="107" t="s">
        <v>75</v>
      </c>
      <c r="L4" t="s">
        <v>85</v>
      </c>
      <c r="O4" s="24" t="s">
        <v>86</v>
      </c>
    </row>
    <row r="5" spans="1:17">
      <c r="A5" s="16">
        <v>43525</v>
      </c>
      <c r="B5" s="17">
        <v>260.32409699999999</v>
      </c>
      <c r="C5" s="15">
        <v>0</v>
      </c>
      <c r="D5" s="17">
        <v>59.751282000000003</v>
      </c>
      <c r="E5" s="15">
        <v>0</v>
      </c>
      <c r="G5" t="s">
        <v>87</v>
      </c>
      <c r="J5" s="20">
        <v>0.1026</v>
      </c>
      <c r="K5" s="107" t="s">
        <v>75</v>
      </c>
      <c r="O5" s="25" t="s">
        <v>3</v>
      </c>
      <c r="P5" s="25" t="s">
        <v>4</v>
      </c>
      <c r="Q5" s="25" t="s">
        <v>5</v>
      </c>
    </row>
    <row r="6" spans="1:17">
      <c r="A6" s="16">
        <v>43556</v>
      </c>
      <c r="B6" s="17">
        <v>272.15237400000001</v>
      </c>
      <c r="C6" s="18">
        <v>4.5436734963494319E-2</v>
      </c>
      <c r="D6" s="17">
        <v>63.016758000000003</v>
      </c>
      <c r="E6" s="18">
        <v>5.4651145392997647E-2</v>
      </c>
      <c r="G6" t="s">
        <v>88</v>
      </c>
      <c r="J6" s="20">
        <f>J5-J4</f>
        <v>4.8599999999999997E-2</v>
      </c>
      <c r="O6" s="25" t="s">
        <v>8</v>
      </c>
      <c r="P6" s="27">
        <v>46298</v>
      </c>
      <c r="Q6" s="27">
        <v>51761</v>
      </c>
    </row>
    <row r="7" spans="1:17">
      <c r="A7" s="16">
        <v>43586</v>
      </c>
      <c r="B7" s="17">
        <v>254.79695100000001</v>
      </c>
      <c r="C7" s="18">
        <v>-6.3770977797900863E-2</v>
      </c>
      <c r="D7" s="17">
        <v>53.074306</v>
      </c>
      <c r="E7" s="18">
        <v>-0.15777473033442946</v>
      </c>
      <c r="G7" t="s">
        <v>89</v>
      </c>
      <c r="J7" s="22">
        <f>SLOPE(E6:E64,C6:C64)</f>
        <v>1.5089771005094137</v>
      </c>
      <c r="O7" s="25" t="s">
        <v>10</v>
      </c>
      <c r="P7" s="26">
        <v>36386</v>
      </c>
      <c r="Q7" s="26">
        <v>40121</v>
      </c>
    </row>
    <row r="8" spans="1:17" ht="15.75" thickBot="1">
      <c r="A8" s="16">
        <v>43617</v>
      </c>
      <c r="B8" s="17">
        <v>271.20825200000002</v>
      </c>
      <c r="C8" s="18">
        <v>6.4409330392654507E-2</v>
      </c>
      <c r="D8" s="17">
        <v>59.053336999999999</v>
      </c>
      <c r="E8" s="18">
        <v>0.11265396480172529</v>
      </c>
      <c r="G8" s="35" t="s">
        <v>90</v>
      </c>
      <c r="H8" s="35"/>
      <c r="I8" s="35"/>
      <c r="J8" s="36">
        <f>J6*J7</f>
        <v>7.3336287084757507E-2</v>
      </c>
      <c r="O8" s="25" t="s">
        <v>12</v>
      </c>
      <c r="P8" s="26">
        <v>9912</v>
      </c>
      <c r="Q8" s="26">
        <v>11640</v>
      </c>
    </row>
    <row r="9" spans="1:17">
      <c r="A9" s="16">
        <v>43647</v>
      </c>
      <c r="B9" s="17">
        <v>276.64779700000003</v>
      </c>
      <c r="C9" s="18">
        <v>2.0056709041434306E-2</v>
      </c>
      <c r="D9" s="17">
        <v>65.310547</v>
      </c>
      <c r="E9" s="18">
        <v>0.10595861839272525</v>
      </c>
      <c r="G9" s="14" t="s">
        <v>91</v>
      </c>
      <c r="J9" s="23">
        <f>J4+J8</f>
        <v>0.1273362870847575</v>
      </c>
      <c r="O9" s="25" t="s">
        <v>14</v>
      </c>
      <c r="P9" s="25"/>
      <c r="Q9" s="25"/>
    </row>
    <row r="10" spans="1:17">
      <c r="A10" s="16">
        <v>43678</v>
      </c>
      <c r="B10" s="17">
        <v>272.01580799999999</v>
      </c>
      <c r="C10" s="18">
        <v>-1.6743270867253801E-2</v>
      </c>
      <c r="D10" s="17">
        <v>54.318787</v>
      </c>
      <c r="E10" s="18">
        <v>-0.16829992252246795</v>
      </c>
      <c r="O10" s="25" t="s">
        <v>16</v>
      </c>
      <c r="P10" s="26">
        <v>7970</v>
      </c>
      <c r="Q10" s="26">
        <v>8635</v>
      </c>
    </row>
    <row r="11" spans="1:17" ht="15.75" thickBot="1">
      <c r="A11" s="16">
        <v>43709</v>
      </c>
      <c r="B11" s="17">
        <v>276.033905</v>
      </c>
      <c r="C11" s="18">
        <v>1.4771556953043108E-2</v>
      </c>
      <c r="D11" s="17">
        <v>58.875923</v>
      </c>
      <c r="E11" s="18">
        <v>8.3896129712911272E-2</v>
      </c>
      <c r="G11" s="37" t="s">
        <v>92</v>
      </c>
      <c r="H11" s="37"/>
      <c r="I11" s="37"/>
      <c r="J11" s="37"/>
      <c r="L11" s="31" t="e" vm="1">
        <v>#VALUE!</v>
      </c>
      <c r="O11" s="25" t="s">
        <v>18</v>
      </c>
      <c r="P11" s="26">
        <v>147</v>
      </c>
      <c r="Q11" s="26">
        <v>-34</v>
      </c>
    </row>
    <row r="12" spans="1:17">
      <c r="A12" s="16">
        <v>43739</v>
      </c>
      <c r="B12" s="17">
        <v>283.43847699999998</v>
      </c>
      <c r="C12" s="18">
        <v>2.6824864141236526E-2</v>
      </c>
      <c r="D12" s="17">
        <v>61.750847</v>
      </c>
      <c r="E12" s="18">
        <v>4.8830215366644891E-2</v>
      </c>
      <c r="G12" t="s">
        <v>93</v>
      </c>
      <c r="J12" s="29" cm="1">
        <f t="array" ref="J12">_FV(L11,"Price")</f>
        <v>78.78</v>
      </c>
      <c r="K12" s="107" t="s">
        <v>75</v>
      </c>
      <c r="L12" s="31" t="e">
        <v>#VALUE!</v>
      </c>
      <c r="O12" s="25" t="s">
        <v>20</v>
      </c>
      <c r="P12" s="26">
        <v>1795</v>
      </c>
      <c r="Q12" s="26">
        <v>3039</v>
      </c>
    </row>
    <row r="13" spans="1:17">
      <c r="A13" s="16">
        <v>43770</v>
      </c>
      <c r="B13" s="17">
        <v>293.69842499999999</v>
      </c>
      <c r="C13" s="18">
        <v>3.6198148214012571E-2</v>
      </c>
      <c r="D13" s="17">
        <v>69.324623000000003</v>
      </c>
      <c r="E13" s="18">
        <v>0.12265056056640011</v>
      </c>
      <c r="G13" t="s">
        <v>94</v>
      </c>
      <c r="J13">
        <v>218.1</v>
      </c>
      <c r="O13" s="25" t="s">
        <v>22</v>
      </c>
      <c r="P13" s="25"/>
      <c r="Q13" s="25"/>
    </row>
    <row r="14" spans="1:17">
      <c r="A14" s="16">
        <v>43800</v>
      </c>
      <c r="B14" s="17">
        <v>300.753265</v>
      </c>
      <c r="C14" s="18">
        <v>2.4020694016319677E-2</v>
      </c>
      <c r="D14" s="17">
        <v>75.479934999999998</v>
      </c>
      <c r="E14" s="18">
        <v>8.8789693093606736E-2</v>
      </c>
      <c r="G14" t="s">
        <v>95</v>
      </c>
      <c r="J14" s="21">
        <v>4.4499999999999998E-2</v>
      </c>
      <c r="K14" s="107" t="s">
        <v>75</v>
      </c>
      <c r="O14" s="25" t="s">
        <v>24</v>
      </c>
      <c r="P14" s="26">
        <v>28</v>
      </c>
      <c r="Q14" s="26">
        <v>10</v>
      </c>
    </row>
    <row r="15" spans="1:17">
      <c r="A15" s="16">
        <v>43831</v>
      </c>
      <c r="B15" s="17">
        <v>302.10992399999998</v>
      </c>
      <c r="C15" s="18">
        <v>4.5108703973670838E-3</v>
      </c>
      <c r="D15" s="17">
        <v>73.238213000000002</v>
      </c>
      <c r="E15" s="18">
        <v>-2.9699575125495259E-2</v>
      </c>
      <c r="G15" s="19" t="s">
        <v>96</v>
      </c>
      <c r="H15" s="19"/>
      <c r="I15" s="19"/>
      <c r="J15" s="32">
        <f>P18/P17</f>
        <v>0.20693512304250558</v>
      </c>
      <c r="O15" s="25" t="s">
        <v>26</v>
      </c>
      <c r="P15" s="26">
        <v>-35</v>
      </c>
      <c r="Q15" s="26">
        <v>-25</v>
      </c>
    </row>
    <row r="16" spans="1:17">
      <c r="A16" s="16">
        <v>43862</v>
      </c>
      <c r="B16" s="17">
        <v>278.193085</v>
      </c>
      <c r="C16" s="18">
        <v>-7.9166015744653206E-2</v>
      </c>
      <c r="D16" s="17">
        <v>65.420608999999999</v>
      </c>
      <c r="E16" s="18">
        <v>-0.10674214566103635</v>
      </c>
      <c r="G16" t="s">
        <v>97</v>
      </c>
      <c r="J16" s="33">
        <f>P53</f>
        <v>8979</v>
      </c>
      <c r="O16" s="25" t="s">
        <v>28</v>
      </c>
      <c r="P16" s="25"/>
      <c r="Q16" s="25"/>
    </row>
    <row r="17" spans="1:17">
      <c r="A17" s="16">
        <v>43891</v>
      </c>
      <c r="B17" s="17">
        <v>242.031586</v>
      </c>
      <c r="C17" s="18">
        <v>-0.12998705197866434</v>
      </c>
      <c r="D17" s="17">
        <v>49.292445999999998</v>
      </c>
      <c r="E17" s="18">
        <v>-0.24653030973771584</v>
      </c>
      <c r="G17" t="s">
        <v>98</v>
      </c>
      <c r="J17" s="29">
        <f>J12*J13</f>
        <v>17181.918000000001</v>
      </c>
      <c r="O17" s="25" t="s">
        <v>30</v>
      </c>
      <c r="P17" s="26">
        <v>1788</v>
      </c>
      <c r="Q17" s="26">
        <v>3024</v>
      </c>
    </row>
    <row r="18" spans="1:17">
      <c r="A18" s="16">
        <v>43922</v>
      </c>
      <c r="B18" s="17">
        <v>274.36956800000002</v>
      </c>
      <c r="C18" s="18">
        <v>0.13361058585138563</v>
      </c>
      <c r="D18" s="17">
        <v>66.965164000000001</v>
      </c>
      <c r="E18" s="18">
        <v>0.35852791723908384</v>
      </c>
      <c r="G18" s="19" t="s">
        <v>99</v>
      </c>
      <c r="H18" s="19"/>
      <c r="I18" s="19"/>
      <c r="J18" s="34">
        <f>J16+J17</f>
        <v>26160.918000000001</v>
      </c>
      <c r="O18" s="25" t="s">
        <v>32</v>
      </c>
      <c r="P18" s="26">
        <v>370</v>
      </c>
      <c r="Q18" s="26">
        <v>574</v>
      </c>
    </row>
    <row r="19" spans="1:17">
      <c r="A19" s="16">
        <v>43952</v>
      </c>
      <c r="B19" s="17">
        <v>287.44201700000002</v>
      </c>
      <c r="C19" s="18">
        <v>4.7645404318309881E-2</v>
      </c>
      <c r="D19" s="17">
        <v>68.152068999999997</v>
      </c>
      <c r="E19" s="18">
        <v>1.7724215533915455E-2</v>
      </c>
      <c r="G19" t="s">
        <v>100</v>
      </c>
      <c r="J19" s="20">
        <f>J14</f>
        <v>4.4499999999999998E-2</v>
      </c>
      <c r="O19" s="25" t="s">
        <v>34</v>
      </c>
      <c r="P19" s="26">
        <v>1</v>
      </c>
      <c r="Q19" s="26">
        <v>4</v>
      </c>
    </row>
    <row r="20" spans="1:17" ht="15.75" thickBot="1">
      <c r="A20" s="16">
        <v>43983</v>
      </c>
      <c r="B20" s="17">
        <v>291.25787400000002</v>
      </c>
      <c r="C20" s="18">
        <v>1.3275223434018768E-2</v>
      </c>
      <c r="D20" s="17">
        <v>76.163803000000001</v>
      </c>
      <c r="E20" s="18">
        <v>0.11755672450677923</v>
      </c>
      <c r="G20" s="35" t="s">
        <v>101</v>
      </c>
      <c r="H20" s="35"/>
      <c r="I20" s="35"/>
      <c r="J20" s="36">
        <f>J9</f>
        <v>0.1273362870847575</v>
      </c>
      <c r="O20" s="25" t="s">
        <v>36</v>
      </c>
      <c r="P20" s="27">
        <v>1419</v>
      </c>
      <c r="Q20" s="27">
        <v>2454</v>
      </c>
    </row>
    <row r="21" spans="1:17">
      <c r="A21" s="16">
        <v>44013</v>
      </c>
      <c r="B21" s="17">
        <v>309.767944</v>
      </c>
      <c r="C21" s="18">
        <v>6.3552170266820029E-2</v>
      </c>
      <c r="D21" s="17">
        <v>87.505591999999993</v>
      </c>
      <c r="E21" s="18">
        <v>0.14891311296522303</v>
      </c>
      <c r="G21" s="14" t="s">
        <v>92</v>
      </c>
      <c r="H21" s="14"/>
      <c r="I21" s="14"/>
      <c r="J21" s="40">
        <f>J19*(1-J15)*J16/J18+J20*J17/J18</f>
        <v>9.5744461536430861E-2</v>
      </c>
    </row>
    <row r="22" spans="1:17">
      <c r="A22" s="16">
        <v>44044</v>
      </c>
      <c r="B22" s="17">
        <v>331.388733</v>
      </c>
      <c r="C22" s="18">
        <v>6.9796728224402749E-2</v>
      </c>
      <c r="D22" s="17">
        <v>97.451995999999994</v>
      </c>
      <c r="E22" s="18">
        <v>0.11366592434458367</v>
      </c>
      <c r="J22" s="20"/>
      <c r="O22" s="28" t="s">
        <v>102</v>
      </c>
    </row>
    <row r="23" spans="1:17">
      <c r="A23" s="16">
        <v>44075</v>
      </c>
      <c r="B23" s="17">
        <v>317.70849600000003</v>
      </c>
      <c r="C23" s="18">
        <v>-4.1281539285163205E-2</v>
      </c>
      <c r="D23" s="17">
        <v>97.785888999999997</v>
      </c>
      <c r="E23" s="18">
        <v>3.4262304899328466E-3</v>
      </c>
      <c r="G23" s="14"/>
      <c r="H23" s="14"/>
      <c r="I23" s="14"/>
      <c r="J23" s="14"/>
      <c r="O23" s="25" t="s">
        <v>9</v>
      </c>
      <c r="P23" s="25" t="s">
        <v>4</v>
      </c>
      <c r="Q23" s="25" t="s">
        <v>5</v>
      </c>
    </row>
    <row r="24" spans="1:17">
      <c r="A24" s="16">
        <v>44105</v>
      </c>
      <c r="B24" s="17">
        <v>311.02700800000002</v>
      </c>
      <c r="C24" s="18">
        <v>-2.1030246543989217E-2</v>
      </c>
      <c r="D24" s="17">
        <v>98.520240999999999</v>
      </c>
      <c r="E24" s="18">
        <v>7.5097952016369707E-3</v>
      </c>
      <c r="G24" s="42"/>
      <c r="J24" s="41"/>
      <c r="O24" s="25" t="s">
        <v>11</v>
      </c>
      <c r="P24" s="25"/>
      <c r="Q24" s="25"/>
    </row>
    <row r="25" spans="1:17">
      <c r="A25" s="16">
        <v>44136</v>
      </c>
      <c r="B25" s="17">
        <v>344.85952800000001</v>
      </c>
      <c r="C25" s="18">
        <v>0.1087767914997273</v>
      </c>
      <c r="D25" s="17">
        <v>96.091453999999999</v>
      </c>
      <c r="E25" s="18">
        <v>-2.4652670104613361E-2</v>
      </c>
      <c r="G25" s="42"/>
      <c r="J25" s="41"/>
      <c r="O25" s="25" t="s">
        <v>13</v>
      </c>
      <c r="P25" s="25"/>
      <c r="Q25" s="25"/>
    </row>
    <row r="26" spans="1:17">
      <c r="A26" s="16">
        <v>44166</v>
      </c>
      <c r="B26" s="17">
        <v>356.11801100000002</v>
      </c>
      <c r="C26" s="18">
        <v>3.2646576608432953E-2</v>
      </c>
      <c r="D26" s="17">
        <v>88.133881000000002</v>
      </c>
      <c r="E26" s="18">
        <v>-8.2812494438891493E-2</v>
      </c>
      <c r="G26" s="42"/>
      <c r="J26" s="41"/>
      <c r="O26" s="25" t="s">
        <v>15</v>
      </c>
      <c r="P26" s="27">
        <v>1874</v>
      </c>
      <c r="Q26" s="27">
        <v>2936</v>
      </c>
    </row>
    <row r="27" spans="1:17">
      <c r="A27" s="16">
        <v>44197</v>
      </c>
      <c r="B27" s="17">
        <v>353.99154700000003</v>
      </c>
      <c r="C27" s="18">
        <v>-5.9712340693715005E-3</v>
      </c>
      <c r="D27" s="17">
        <v>96.637450999999999</v>
      </c>
      <c r="E27" s="18">
        <v>9.6484687880702635E-2</v>
      </c>
      <c r="G27" s="42"/>
      <c r="J27" s="41"/>
      <c r="O27" s="25" t="s">
        <v>17</v>
      </c>
      <c r="P27" s="26">
        <v>1141</v>
      </c>
      <c r="Q27" s="26">
        <v>1042</v>
      </c>
    </row>
    <row r="28" spans="1:17">
      <c r="A28" s="16">
        <v>44228</v>
      </c>
      <c r="B28" s="17">
        <v>363.83444200000002</v>
      </c>
      <c r="C28" s="18">
        <v>2.7805452088945026E-2</v>
      </c>
      <c r="D28" s="17">
        <v>89.115668999999997</v>
      </c>
      <c r="E28" s="18">
        <v>-7.7835062102372676E-2</v>
      </c>
      <c r="G28" s="42"/>
      <c r="J28" s="41"/>
      <c r="O28" s="25" t="s">
        <v>19</v>
      </c>
      <c r="P28" s="26">
        <v>5140</v>
      </c>
      <c r="Q28" s="26">
        <v>5965</v>
      </c>
    </row>
    <row r="29" spans="1:17">
      <c r="A29" s="16">
        <v>44256</v>
      </c>
      <c r="B29" s="17">
        <v>379.110657</v>
      </c>
      <c r="C29" s="18">
        <v>4.1986720432586111E-2</v>
      </c>
      <c r="D29" s="17">
        <v>101.956863</v>
      </c>
      <c r="E29" s="18">
        <v>0.14409580429677304</v>
      </c>
      <c r="G29" s="42"/>
      <c r="J29" s="41"/>
      <c r="O29" s="25" t="s">
        <v>21</v>
      </c>
      <c r="P29" s="26">
        <v>647</v>
      </c>
      <c r="Q29" s="26">
        <v>596</v>
      </c>
    </row>
    <row r="30" spans="1:17">
      <c r="A30" s="16">
        <v>44287</v>
      </c>
      <c r="B30" s="17">
        <v>400.47689800000001</v>
      </c>
      <c r="C30" s="18">
        <v>5.6358850919878023E-2</v>
      </c>
      <c r="D30" s="17">
        <v>103.894447</v>
      </c>
      <c r="E30" s="18">
        <v>1.9003958566281121E-2</v>
      </c>
      <c r="G30" s="42"/>
      <c r="J30" s="41"/>
      <c r="O30" s="25" t="s">
        <v>23</v>
      </c>
      <c r="P30" s="26">
        <v>8802</v>
      </c>
      <c r="Q30" s="26">
        <v>10539</v>
      </c>
    </row>
    <row r="31" spans="1:17">
      <c r="A31" s="16">
        <v>44317</v>
      </c>
      <c r="B31" s="17">
        <v>403.10644500000001</v>
      </c>
      <c r="C31" s="18">
        <v>6.5660391726265477E-3</v>
      </c>
      <c r="D31" s="17">
        <v>103.867645</v>
      </c>
      <c r="E31" s="18">
        <v>-2.579733640625248E-4</v>
      </c>
      <c r="G31" s="42"/>
      <c r="J31" s="41"/>
      <c r="O31" s="25" t="s">
        <v>25</v>
      </c>
      <c r="P31" s="25"/>
      <c r="Q31" s="25"/>
    </row>
    <row r="32" spans="1:17">
      <c r="A32" s="16">
        <v>44348</v>
      </c>
      <c r="B32" s="17">
        <v>410.80310100000003</v>
      </c>
      <c r="C32" s="18">
        <v>1.9093358827344087E-2</v>
      </c>
      <c r="D32" s="17">
        <v>102.74176799999999</v>
      </c>
      <c r="E32" s="18">
        <v>-1.0839535256623956E-2</v>
      </c>
      <c r="G32" s="42"/>
      <c r="J32" s="41"/>
      <c r="O32" s="25" t="s">
        <v>27</v>
      </c>
      <c r="P32" s="26">
        <v>688</v>
      </c>
      <c r="Q32" s="26">
        <v>671</v>
      </c>
    </row>
    <row r="33" spans="1:17">
      <c r="A33" s="16">
        <v>44378</v>
      </c>
      <c r="B33" s="17">
        <v>422.208618</v>
      </c>
      <c r="C33" s="18">
        <v>2.7763950593936659E-2</v>
      </c>
      <c r="D33" s="17">
        <v>101.016006</v>
      </c>
      <c r="E33" s="18">
        <v>-1.6797082954616793E-2</v>
      </c>
      <c r="G33" s="42"/>
      <c r="J33" s="41"/>
      <c r="O33" s="25" t="s">
        <v>29</v>
      </c>
      <c r="P33" s="26">
        <v>2260</v>
      </c>
      <c r="Q33" s="26">
        <v>2160</v>
      </c>
    </row>
    <row r="34" spans="1:17">
      <c r="A34" s="16">
        <v>44409</v>
      </c>
      <c r="B34" s="17">
        <v>434.77349900000002</v>
      </c>
      <c r="C34" s="18">
        <v>2.9759887563451048E-2</v>
      </c>
      <c r="D34" s="17">
        <v>104.756355</v>
      </c>
      <c r="E34" s="18">
        <v>3.7027290506813193E-2</v>
      </c>
      <c r="G34" s="14"/>
      <c r="H34" s="14"/>
      <c r="I34" s="14"/>
      <c r="J34" s="43"/>
      <c r="O34" s="25" t="s">
        <v>31</v>
      </c>
      <c r="P34" s="26">
        <v>3928</v>
      </c>
      <c r="Q34" s="26">
        <v>5419</v>
      </c>
    </row>
    <row r="35" spans="1:17">
      <c r="A35" s="16">
        <v>44440</v>
      </c>
      <c r="B35" s="17">
        <v>413.186981</v>
      </c>
      <c r="C35" s="18">
        <v>-4.9650031682358819E-2</v>
      </c>
      <c r="D35" s="17">
        <v>95.045867999999999</v>
      </c>
      <c r="E35" s="18">
        <v>-9.2695922839239664E-2</v>
      </c>
      <c r="O35" s="25" t="s">
        <v>33</v>
      </c>
      <c r="P35" s="26">
        <v>100</v>
      </c>
      <c r="Q35" s="26">
        <v>91</v>
      </c>
    </row>
    <row r="36" spans="1:17">
      <c r="A36" s="16">
        <v>44470</v>
      </c>
      <c r="B36" s="17">
        <v>443.59423800000002</v>
      </c>
      <c r="C36" s="18">
        <v>7.359200168022717E-2</v>
      </c>
      <c r="D36" s="17">
        <v>110.6036</v>
      </c>
      <c r="E36" s="18">
        <v>0.16368656867860887</v>
      </c>
      <c r="O36" s="25" t="s">
        <v>35</v>
      </c>
      <c r="P36" s="26">
        <v>6976</v>
      </c>
      <c r="Q36" s="26">
        <v>8341</v>
      </c>
    </row>
    <row r="37" spans="1:17">
      <c r="A37" s="16">
        <v>44501</v>
      </c>
      <c r="B37" s="17">
        <v>440.02999899999998</v>
      </c>
      <c r="C37" s="18">
        <v>-8.0349082442320308E-3</v>
      </c>
      <c r="D37" s="17">
        <v>96.687683000000007</v>
      </c>
      <c r="E37" s="18">
        <v>-0.12581793901825977</v>
      </c>
      <c r="O37" s="25" t="s">
        <v>37</v>
      </c>
      <c r="P37" s="26">
        <v>4624</v>
      </c>
      <c r="Q37" s="26">
        <v>6091</v>
      </c>
    </row>
    <row r="38" spans="1:17">
      <c r="A38" s="16">
        <v>44531</v>
      </c>
      <c r="B38" s="17">
        <v>458.76867700000003</v>
      </c>
      <c r="C38" s="18">
        <v>4.2585001119435084E-2</v>
      </c>
      <c r="D38" s="17">
        <v>91.928391000000005</v>
      </c>
      <c r="E38" s="18">
        <v>-4.9223353506154477E-2</v>
      </c>
      <c r="O38" s="25" t="s">
        <v>38</v>
      </c>
      <c r="P38" s="26">
        <v>2352</v>
      </c>
      <c r="Q38" s="26">
        <v>2250</v>
      </c>
    </row>
    <row r="39" spans="1:17">
      <c r="A39" s="16">
        <v>44562</v>
      </c>
      <c r="B39" s="17">
        <v>436.09936499999998</v>
      </c>
      <c r="C39" s="18">
        <v>-4.9413382247977755E-2</v>
      </c>
      <c r="D39" s="17">
        <v>90.439018000000004</v>
      </c>
      <c r="E39" s="18">
        <v>-1.6201447494060939E-2</v>
      </c>
      <c r="O39" s="25" t="s">
        <v>40</v>
      </c>
      <c r="P39" s="26">
        <v>2746</v>
      </c>
      <c r="Q39" s="26">
        <v>2654</v>
      </c>
    </row>
    <row r="40" spans="1:17">
      <c r="A40" s="16">
        <v>44593</v>
      </c>
      <c r="B40" s="17">
        <v>423.22701999999998</v>
      </c>
      <c r="C40" s="18">
        <v>-2.9517000099277824E-2</v>
      </c>
      <c r="D40" s="17">
        <v>88.034119000000004</v>
      </c>
      <c r="E40" s="18">
        <v>-2.6591387801225386E-2</v>
      </c>
      <c r="O40" s="25" t="s">
        <v>42</v>
      </c>
      <c r="P40" s="26">
        <v>1383</v>
      </c>
      <c r="Q40" s="26">
        <v>1384</v>
      </c>
    </row>
    <row r="41" spans="1:17">
      <c r="A41" s="16">
        <v>44621</v>
      </c>
      <c r="B41" s="17">
        <v>437.77630599999998</v>
      </c>
      <c r="C41" s="18">
        <v>3.4377025360998958E-2</v>
      </c>
      <c r="D41" s="17">
        <v>82.805267000000001</v>
      </c>
      <c r="E41" s="18">
        <v>-5.9395744052371358E-2</v>
      </c>
      <c r="O41" s="25" t="s">
        <v>43</v>
      </c>
      <c r="P41" s="26">
        <v>520</v>
      </c>
      <c r="Q41" s="26">
        <v>677</v>
      </c>
    </row>
    <row r="42" spans="1:17">
      <c r="A42" s="16">
        <v>44652</v>
      </c>
      <c r="B42" s="17">
        <v>400.59371900000002</v>
      </c>
      <c r="C42" s="18">
        <v>-8.4935128946882599E-2</v>
      </c>
      <c r="D42" s="17">
        <v>82.654128999999998</v>
      </c>
      <c r="E42" s="18">
        <v>-1.8252220598480307E-3</v>
      </c>
      <c r="O42" s="25" t="s">
        <v>45</v>
      </c>
      <c r="P42" s="27">
        <v>15803</v>
      </c>
      <c r="Q42" s="27">
        <v>17504</v>
      </c>
    </row>
    <row r="43" spans="1:17">
      <c r="A43" s="16">
        <v>44682</v>
      </c>
      <c r="B43" s="17">
        <v>401.49798600000003</v>
      </c>
      <c r="C43" s="18">
        <v>2.2573169700645934E-3</v>
      </c>
      <c r="D43" s="17">
        <v>75.420860000000005</v>
      </c>
      <c r="E43" s="18">
        <v>-8.7512494384884176E-2</v>
      </c>
    </row>
    <row r="44" spans="1:17">
      <c r="A44" s="16">
        <v>44713</v>
      </c>
      <c r="B44" s="17">
        <v>366.80575599999997</v>
      </c>
      <c r="C44" s="18">
        <v>-8.6406983869652731E-2</v>
      </c>
      <c r="D44" s="17">
        <v>59.915751999999998</v>
      </c>
      <c r="E44" s="18">
        <v>-0.20558116149829109</v>
      </c>
      <c r="O44" s="25" t="s">
        <v>48</v>
      </c>
      <c r="P44" s="25"/>
      <c r="Q44" s="25"/>
    </row>
    <row r="45" spans="1:17">
      <c r="A45" s="16">
        <v>44743</v>
      </c>
      <c r="B45" s="17">
        <v>402.314392</v>
      </c>
      <c r="C45" s="18">
        <v>9.6805013059827916E-2</v>
      </c>
      <c r="D45" s="17">
        <v>71.629279999999994</v>
      </c>
      <c r="E45" s="18">
        <v>0.19549997469780567</v>
      </c>
      <c r="O45" s="25" t="s">
        <v>50</v>
      </c>
      <c r="P45" s="25"/>
      <c r="Q45" s="25"/>
    </row>
    <row r="46" spans="1:17">
      <c r="A46" s="16">
        <v>44774</v>
      </c>
      <c r="B46" s="17">
        <v>385.89917000000003</v>
      </c>
      <c r="C46" s="18">
        <v>-4.0801975585302852E-2</v>
      </c>
      <c r="D46" s="17">
        <v>65.767951999999994</v>
      </c>
      <c r="E46" s="18">
        <v>-8.1828660011660004E-2</v>
      </c>
      <c r="O46" s="25" t="s">
        <v>51</v>
      </c>
      <c r="P46" s="27">
        <v>5687</v>
      </c>
      <c r="Q46" s="27">
        <v>6803</v>
      </c>
    </row>
    <row r="47" spans="1:17">
      <c r="A47" s="16">
        <v>44805</v>
      </c>
      <c r="B47" s="17">
        <v>348.79159499999997</v>
      </c>
      <c r="C47" s="18">
        <v>-9.6158732344513886E-2</v>
      </c>
      <c r="D47" s="17">
        <v>58.929718000000001</v>
      </c>
      <c r="E47" s="18">
        <v>-0.10397517015582292</v>
      </c>
      <c r="O47" s="25" t="s">
        <v>52</v>
      </c>
      <c r="P47" s="26">
        <v>274</v>
      </c>
      <c r="Q47" s="26">
        <v>316</v>
      </c>
    </row>
    <row r="48" spans="1:17">
      <c r="A48" s="16">
        <v>44835</v>
      </c>
      <c r="B48" s="17">
        <v>378.68905599999999</v>
      </c>
      <c r="C48" s="18">
        <v>8.5717263341738459E-2</v>
      </c>
      <c r="D48" s="17">
        <v>64.427322000000004</v>
      </c>
      <c r="E48" s="18">
        <v>9.3290858781981623E-2</v>
      </c>
      <c r="O48" s="25" t="s">
        <v>53</v>
      </c>
      <c r="P48" s="26">
        <v>1116</v>
      </c>
      <c r="Q48" s="26">
        <v>1103</v>
      </c>
    </row>
    <row r="49" spans="1:17">
      <c r="A49" s="16">
        <v>44866</v>
      </c>
      <c r="B49" s="17">
        <v>399.74093599999998</v>
      </c>
      <c r="C49" s="18">
        <v>5.5591466577793014E-2</v>
      </c>
      <c r="D49" s="17">
        <v>80.334023000000002</v>
      </c>
      <c r="E49" s="18">
        <v>0.24689371692338846</v>
      </c>
      <c r="O49" s="25" t="s">
        <v>54</v>
      </c>
      <c r="P49" s="26">
        <v>405</v>
      </c>
      <c r="Q49" s="26">
        <v>845</v>
      </c>
    </row>
    <row r="50" spans="1:17">
      <c r="A50" s="16">
        <v>44896</v>
      </c>
      <c r="B50" s="17">
        <v>374.98266599999999</v>
      </c>
      <c r="C50" s="18">
        <v>-6.1935788332671549E-2</v>
      </c>
      <c r="D50" s="17">
        <v>75.540344000000005</v>
      </c>
      <c r="E50" s="18">
        <v>-5.9671840410631449E-2</v>
      </c>
      <c r="O50" s="25" t="s">
        <v>55</v>
      </c>
      <c r="P50" s="26">
        <v>843</v>
      </c>
      <c r="Q50" s="26">
        <v>946</v>
      </c>
    </row>
    <row r="51" spans="1:17">
      <c r="A51" s="16">
        <v>44927</v>
      </c>
      <c r="B51" s="17">
        <v>400.39456200000001</v>
      </c>
      <c r="C51" s="18">
        <v>6.7768188516746042E-2</v>
      </c>
      <c r="D51" s="17">
        <v>84.463454999999996</v>
      </c>
      <c r="E51" s="18">
        <v>0.11812378032061899</v>
      </c>
      <c r="O51" s="25" t="s">
        <v>56</v>
      </c>
      <c r="P51" s="26">
        <v>638</v>
      </c>
      <c r="Q51" s="26">
        <v>648</v>
      </c>
    </row>
    <row r="52" spans="1:17">
      <c r="A52" s="16">
        <v>44958</v>
      </c>
      <c r="B52" s="17">
        <v>390.32754499999999</v>
      </c>
      <c r="C52" s="18">
        <v>-2.5142741573997762E-2</v>
      </c>
      <c r="D52" s="17">
        <v>79.122603999999995</v>
      </c>
      <c r="E52" s="18">
        <v>-6.3232684478748857E-2</v>
      </c>
      <c r="O52" s="25" t="s">
        <v>57</v>
      </c>
      <c r="P52" s="26">
        <v>16</v>
      </c>
      <c r="Q52" s="26">
        <v>13</v>
      </c>
    </row>
    <row r="53" spans="1:17">
      <c r="A53" s="16">
        <v>44986</v>
      </c>
      <c r="B53" s="17">
        <v>403.260986</v>
      </c>
      <c r="C53" s="18">
        <v>3.3134840637495833E-2</v>
      </c>
      <c r="D53" s="17">
        <v>74.514801000000006</v>
      </c>
      <c r="E53" s="18">
        <v>-5.8236240556491126E-2</v>
      </c>
      <c r="O53" s="25" t="s">
        <v>58</v>
      </c>
      <c r="P53" s="26">
        <v>8979</v>
      </c>
      <c r="Q53" s="26">
        <v>10674</v>
      </c>
    </row>
    <row r="54" spans="1:17">
      <c r="A54" s="16">
        <v>45017</v>
      </c>
      <c r="B54" s="17">
        <v>411.26669299999998</v>
      </c>
      <c r="C54" s="18">
        <v>1.9852421329942249E-2</v>
      </c>
      <c r="D54" s="17">
        <v>71.794028999999995</v>
      </c>
      <c r="E54" s="18">
        <v>-3.6513175415982313E-2</v>
      </c>
      <c r="O54" s="25" t="s">
        <v>59</v>
      </c>
      <c r="P54" s="26">
        <v>2164</v>
      </c>
      <c r="Q54" s="26">
        <v>2061</v>
      </c>
    </row>
    <row r="55" spans="1:17">
      <c r="A55" s="16">
        <v>45047</v>
      </c>
      <c r="B55" s="17">
        <v>413.16519199999999</v>
      </c>
      <c r="C55" s="18">
        <v>4.6162235656657113E-3</v>
      </c>
      <c r="D55" s="17">
        <v>70.011702999999997</v>
      </c>
      <c r="E55" s="18">
        <v>-2.4825546425316203E-2</v>
      </c>
      <c r="O55" s="25" t="s">
        <v>60</v>
      </c>
      <c r="P55" s="26">
        <v>705</v>
      </c>
      <c r="Q55" s="26">
        <v>533</v>
      </c>
    </row>
    <row r="56" spans="1:17">
      <c r="A56" s="16">
        <v>45078</v>
      </c>
      <c r="B56" s="17">
        <v>438.31005900000002</v>
      </c>
      <c r="C56" s="18">
        <v>6.0859112739584331E-2</v>
      </c>
      <c r="D56" s="17">
        <v>78.952240000000003</v>
      </c>
      <c r="E56" s="18">
        <v>0.12770060742558997</v>
      </c>
      <c r="O56" s="25" t="s">
        <v>61</v>
      </c>
      <c r="P56" s="26">
        <v>1160</v>
      </c>
      <c r="Q56" s="26">
        <v>1216</v>
      </c>
    </row>
    <row r="57" spans="1:17">
      <c r="A57" s="16">
        <v>45108</v>
      </c>
      <c r="B57" s="17">
        <v>454.33883700000001</v>
      </c>
      <c r="C57" s="18">
        <v>3.6569496115534061E-2</v>
      </c>
      <c r="D57" s="17">
        <v>80.974991000000003</v>
      </c>
      <c r="E57" s="18">
        <v>2.561993174607835E-2</v>
      </c>
      <c r="O57" s="25" t="s">
        <v>62</v>
      </c>
      <c r="P57" s="25"/>
      <c r="Q57" s="25"/>
    </row>
    <row r="58" spans="1:17">
      <c r="A58" s="16">
        <v>45139</v>
      </c>
      <c r="B58" s="17">
        <v>446.954926</v>
      </c>
      <c r="C58" s="18">
        <v>-1.6251991682586509E-2</v>
      </c>
      <c r="D58" s="17">
        <v>74.539885999999996</v>
      </c>
      <c r="E58" s="18">
        <v>-7.9470277434177228E-2</v>
      </c>
      <c r="O58" s="25" t="s">
        <v>63</v>
      </c>
      <c r="P58" s="25"/>
      <c r="Q58" s="25"/>
    </row>
    <row r="59" spans="1:17">
      <c r="A59" s="16">
        <v>45170</v>
      </c>
      <c r="B59" s="17">
        <v>424.25732399999998</v>
      </c>
      <c r="C59" s="18">
        <v>-5.0782753874380693E-2</v>
      </c>
      <c r="D59" s="17">
        <v>67.734290999999999</v>
      </c>
      <c r="E59" s="18">
        <v>-9.1301387286801039E-2</v>
      </c>
      <c r="O59" s="25" t="s">
        <v>64</v>
      </c>
      <c r="P59" s="25"/>
      <c r="Q59" s="25"/>
    </row>
    <row r="60" spans="1:17">
      <c r="A60" s="16">
        <v>45200</v>
      </c>
      <c r="B60" s="17">
        <v>416.51129200000003</v>
      </c>
      <c r="C60" s="18">
        <v>-1.8257862768209843E-2</v>
      </c>
      <c r="D60" s="17">
        <v>65.989151000000007</v>
      </c>
      <c r="E60" s="18">
        <v>-2.5764497926168528E-2</v>
      </c>
      <c r="O60" s="25" t="s">
        <v>65</v>
      </c>
      <c r="P60" s="25"/>
      <c r="Q60" s="25"/>
    </row>
    <row r="61" spans="1:17">
      <c r="A61" s="16">
        <v>45231</v>
      </c>
      <c r="B61" s="17">
        <v>454.55703699999998</v>
      </c>
      <c r="C61" s="18">
        <v>9.13438500486079E-2</v>
      </c>
      <c r="D61" s="17">
        <v>70.057922000000005</v>
      </c>
      <c r="E61" s="18">
        <v>6.1658180751560154E-2</v>
      </c>
      <c r="O61" s="25" t="s">
        <v>66</v>
      </c>
      <c r="P61" s="30">
        <v>0</v>
      </c>
      <c r="Q61" s="30">
        <v>0</v>
      </c>
    </row>
    <row r="62" spans="1:17">
      <c r="A62" s="16">
        <v>45261</v>
      </c>
      <c r="B62" s="17">
        <v>473.39068600000002</v>
      </c>
      <c r="C62" s="18">
        <v>4.1432972029866511E-2</v>
      </c>
      <c r="D62" s="17">
        <v>77.306656000000004</v>
      </c>
      <c r="E62" s="18">
        <v>0.10346772774676349</v>
      </c>
      <c r="O62" s="25" t="s">
        <v>67</v>
      </c>
      <c r="P62" s="25"/>
      <c r="Q62" s="25"/>
    </row>
    <row r="63" spans="1:17">
      <c r="A63" s="16">
        <v>45292</v>
      </c>
      <c r="B63" s="17">
        <v>482.88000499999998</v>
      </c>
      <c r="C63" s="18">
        <v>2.0045428185716307E-2</v>
      </c>
      <c r="D63" s="17">
        <v>72.489998</v>
      </c>
      <c r="E63" s="18">
        <v>-6.2305864064279293E-2</v>
      </c>
      <c r="O63" s="25" t="s">
        <v>68</v>
      </c>
      <c r="P63" s="25"/>
      <c r="Q63" s="25"/>
    </row>
    <row r="64" spans="1:17">
      <c r="A64" s="16">
        <v>45323</v>
      </c>
      <c r="B64" s="17">
        <v>500.98001099999999</v>
      </c>
      <c r="C64" s="18">
        <v>3.7483444774235375E-2</v>
      </c>
      <c r="D64" s="17">
        <v>75.919998000000007</v>
      </c>
      <c r="E64" s="18">
        <v>4.7316872598065274E-2</v>
      </c>
      <c r="O64" s="25" t="s">
        <v>69</v>
      </c>
      <c r="P64" s="26">
        <v>22</v>
      </c>
      <c r="Q64" s="26">
        <v>23</v>
      </c>
    </row>
    <row r="65" spans="15:17">
      <c r="O65" s="25" t="s">
        <v>70</v>
      </c>
      <c r="P65" s="26">
        <v>21</v>
      </c>
      <c r="Q65" s="30">
        <v>0</v>
      </c>
    </row>
    <row r="66" spans="15:17">
      <c r="O66" s="25" t="s">
        <v>71</v>
      </c>
      <c r="P66" s="26">
        <v>2430</v>
      </c>
      <c r="Q66" s="26">
        <v>2668</v>
      </c>
    </row>
    <row r="67" spans="15:17">
      <c r="O67" s="25" t="s">
        <v>72</v>
      </c>
      <c r="P67" s="26">
        <v>322</v>
      </c>
      <c r="Q67" s="26">
        <v>329</v>
      </c>
    </row>
    <row r="68" spans="15:17">
      <c r="O68" s="25" t="s">
        <v>73</v>
      </c>
      <c r="P68" s="26">
        <v>2795</v>
      </c>
      <c r="Q68" s="26">
        <v>3020</v>
      </c>
    </row>
    <row r="69" spans="15:17">
      <c r="O69" s="25" t="s">
        <v>74</v>
      </c>
      <c r="P69" s="27">
        <v>15803</v>
      </c>
      <c r="Q69" s="27">
        <v>17504</v>
      </c>
    </row>
  </sheetData>
  <mergeCells count="2">
    <mergeCell ref="B3:C3"/>
    <mergeCell ref="D3:E3"/>
  </mergeCells>
  <hyperlinks>
    <hyperlink ref="K5" r:id="rId1" xr:uid="{E1CA3EDC-A75A-BF4D-A44A-5A17441001A0}"/>
    <hyperlink ref="K4" r:id="rId2" xr:uid="{47597E6F-1EA4-C945-A038-732C447FB195}"/>
    <hyperlink ref="K12" r:id="rId3" xr:uid="{9F7CCCC7-83CD-7245-9427-163413911F2A}"/>
    <hyperlink ref="K14" r:id="rId4" xr:uid="{6CF9CBAA-AFAE-7942-B48E-BC1A8A019FBC}"/>
    <hyperlink ref="A2" r:id="rId5" xr:uid="{9A48B28A-4CA9-484A-B7E2-5912317FBD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777F-70DE-E94F-A129-A3DEC6943D4D}">
  <dimension ref="B2:R90"/>
  <sheetViews>
    <sheetView tabSelected="1" topLeftCell="F1" workbookViewId="0">
      <selection activeCell="H53" sqref="H53"/>
    </sheetView>
  </sheetViews>
  <sheetFormatPr defaultColWidth="10.85546875" defaultRowHeight="15.75"/>
  <cols>
    <col min="1" max="1" width="2.28515625" style="53" customWidth="1"/>
    <col min="2" max="2" width="32.42578125" style="53" customWidth="1"/>
    <col min="3" max="4" width="16.42578125" style="54" customWidth="1"/>
    <col min="5" max="5" width="6" style="53" customWidth="1"/>
    <col min="6" max="6" width="63.7109375" style="53" bestFit="1" customWidth="1"/>
    <col min="7" max="7" width="12.140625" style="53" bestFit="1" customWidth="1"/>
    <col min="8" max="12" width="11.7109375" style="53" customWidth="1"/>
    <col min="13" max="13" width="7" style="53" customWidth="1"/>
    <col min="14" max="16" width="11.140625" style="53" customWidth="1"/>
    <col min="17" max="17" width="12.7109375" style="53" bestFit="1" customWidth="1"/>
    <col min="18" max="18" width="11.140625" style="53" customWidth="1"/>
    <col min="19" max="16384" width="10.85546875" style="53"/>
  </cols>
  <sheetData>
    <row r="2" spans="2:18" s="46" customFormat="1" ht="35.1" customHeight="1">
      <c r="B2" s="44" t="s">
        <v>103</v>
      </c>
      <c r="C2" s="45"/>
      <c r="D2" s="45"/>
      <c r="H2" s="47"/>
    </row>
    <row r="5" spans="2:18" s="50" customFormat="1" ht="20.25">
      <c r="B5" s="48" t="s">
        <v>104</v>
      </c>
      <c r="C5" s="49"/>
      <c r="D5" s="49"/>
      <c r="F5" s="48" t="s">
        <v>105</v>
      </c>
      <c r="G5" s="51"/>
      <c r="H5" s="51"/>
      <c r="I5" s="51"/>
      <c r="J5" s="51"/>
      <c r="K5" s="51"/>
      <c r="L5" s="51"/>
      <c r="N5" s="48" t="s">
        <v>106</v>
      </c>
      <c r="O5" s="48"/>
      <c r="P5" s="48"/>
      <c r="Q5" s="52"/>
      <c r="R5" s="52"/>
    </row>
    <row r="6" spans="2:18">
      <c r="N6" s="55"/>
      <c r="O6" s="56"/>
      <c r="P6" s="56"/>
      <c r="Q6" s="56"/>
      <c r="R6" s="56"/>
    </row>
    <row r="7" spans="2:18" ht="20.25" thickBot="1">
      <c r="B7" s="57" t="s">
        <v>107</v>
      </c>
      <c r="C7" s="58"/>
      <c r="D7" s="58"/>
      <c r="F7" s="59" t="s">
        <v>108</v>
      </c>
      <c r="G7" s="60">
        <v>0</v>
      </c>
      <c r="H7" s="61">
        <v>1</v>
      </c>
      <c r="I7" s="61">
        <v>2</v>
      </c>
      <c r="J7" s="61">
        <v>3</v>
      </c>
      <c r="K7" s="61">
        <v>4</v>
      </c>
      <c r="L7" s="61">
        <v>5</v>
      </c>
      <c r="N7" s="37" t="s">
        <v>92</v>
      </c>
      <c r="O7" s="37"/>
      <c r="P7" s="37"/>
      <c r="Q7" s="37"/>
      <c r="R7" s="62"/>
    </row>
    <row r="8" spans="2:18" ht="17.100000000000001" customHeight="1">
      <c r="B8" s="24" t="s">
        <v>86</v>
      </c>
      <c r="C8"/>
      <c r="D8"/>
      <c r="F8" s="63" t="s">
        <v>109</v>
      </c>
      <c r="G8" s="64">
        <f>C49</f>
        <v>2352</v>
      </c>
      <c r="H8" s="65"/>
      <c r="N8" t="s">
        <v>93</v>
      </c>
      <c r="O8"/>
      <c r="P8"/>
      <c r="Q8" s="29" cm="1">
        <f t="array" ref="Q8">_FV(R8,"Price")</f>
        <v>78.78</v>
      </c>
      <c r="R8" s="64" t="e" vm="2">
        <v>#VALUE!</v>
      </c>
    </row>
    <row r="9" spans="2:18">
      <c r="B9" s="66" t="s">
        <v>3</v>
      </c>
      <c r="C9" s="66" t="s">
        <v>4</v>
      </c>
      <c r="D9" s="66" t="s">
        <v>5</v>
      </c>
      <c r="F9" s="63" t="s">
        <v>110</v>
      </c>
      <c r="G9" s="67">
        <v>5</v>
      </c>
      <c r="H9" s="65"/>
      <c r="N9" t="s">
        <v>94</v>
      </c>
      <c r="O9"/>
      <c r="P9"/>
      <c r="Q9">
        <v>218.1</v>
      </c>
      <c r="R9" s="64"/>
    </row>
    <row r="10" spans="2:18">
      <c r="B10" s="66" t="s">
        <v>8</v>
      </c>
      <c r="C10" s="68">
        <v>46298</v>
      </c>
      <c r="D10" s="68">
        <v>51761</v>
      </c>
      <c r="F10" s="53" t="s">
        <v>111</v>
      </c>
      <c r="G10" s="69">
        <f>G8/G9</f>
        <v>470.4</v>
      </c>
      <c r="H10" s="65"/>
      <c r="N10" t="s">
        <v>95</v>
      </c>
      <c r="O10"/>
      <c r="P10"/>
      <c r="Q10" s="21">
        <v>4.4499999999999998E-2</v>
      </c>
      <c r="R10" s="70"/>
    </row>
    <row r="11" spans="2:18">
      <c r="B11" s="66" t="s">
        <v>10</v>
      </c>
      <c r="C11" s="71">
        <v>36386</v>
      </c>
      <c r="D11" s="71">
        <v>40121</v>
      </c>
      <c r="F11" s="63" t="s">
        <v>112</v>
      </c>
      <c r="G11" s="64">
        <f>C10*C49/C53</f>
        <v>6890.6470923242423</v>
      </c>
      <c r="H11" s="65" t="str">
        <f ca="1">_xlfn.FORMULATEXT(G11)</f>
        <v>=C10*C49/C53</v>
      </c>
      <c r="N11" s="19" t="s">
        <v>96</v>
      </c>
      <c r="O11" s="19"/>
      <c r="P11" s="19"/>
      <c r="Q11" s="32">
        <v>0.2069</v>
      </c>
      <c r="R11" s="64"/>
    </row>
    <row r="12" spans="2:18">
      <c r="B12" s="66" t="s">
        <v>12</v>
      </c>
      <c r="C12" s="71">
        <v>9912</v>
      </c>
      <c r="D12" s="71">
        <v>11640</v>
      </c>
      <c r="F12" s="63" t="s">
        <v>113</v>
      </c>
      <c r="G12" s="72">
        <v>0.05</v>
      </c>
      <c r="H12" s="72">
        <v>0.06</v>
      </c>
      <c r="I12" s="72">
        <v>0.08</v>
      </c>
      <c r="J12" s="72">
        <v>0.12</v>
      </c>
      <c r="K12" s="72">
        <v>0.15</v>
      </c>
      <c r="L12" s="72">
        <v>0.2</v>
      </c>
      <c r="N12" t="s">
        <v>97</v>
      </c>
      <c r="O12"/>
      <c r="P12"/>
      <c r="Q12" s="33">
        <v>8979</v>
      </c>
      <c r="R12" s="73"/>
    </row>
    <row r="13" spans="2:18">
      <c r="B13" s="66" t="s">
        <v>14</v>
      </c>
      <c r="C13" s="66"/>
      <c r="D13" s="66"/>
      <c r="F13" s="63" t="s">
        <v>114</v>
      </c>
      <c r="G13" s="72">
        <f>C11/C10</f>
        <v>0.78590867856062896</v>
      </c>
      <c r="H13" s="72">
        <v>0.8</v>
      </c>
      <c r="I13" s="72">
        <v>0.8</v>
      </c>
      <c r="J13" s="72">
        <v>0.85</v>
      </c>
      <c r="K13" s="72">
        <v>0.8</v>
      </c>
      <c r="L13" s="72">
        <v>0.81</v>
      </c>
      <c r="N13" t="s">
        <v>98</v>
      </c>
      <c r="O13"/>
      <c r="P13"/>
      <c r="Q13" s="29">
        <f>Q8*Q9</f>
        <v>17181.918000000001</v>
      </c>
      <c r="R13" s="74"/>
    </row>
    <row r="14" spans="2:18">
      <c r="B14" s="66" t="s">
        <v>16</v>
      </c>
      <c r="C14" s="71">
        <v>7970</v>
      </c>
      <c r="D14" s="71">
        <v>8635</v>
      </c>
      <c r="F14" s="63" t="s">
        <v>115</v>
      </c>
      <c r="G14" s="75">
        <v>0</v>
      </c>
      <c r="H14" s="75">
        <v>0</v>
      </c>
      <c r="I14" s="75">
        <v>0</v>
      </c>
      <c r="J14" s="75">
        <v>0</v>
      </c>
      <c r="K14" s="75">
        <v>0</v>
      </c>
      <c r="L14" s="75">
        <v>0</v>
      </c>
      <c r="N14" s="19" t="s">
        <v>99</v>
      </c>
      <c r="O14" s="19"/>
      <c r="P14" s="19"/>
      <c r="Q14" s="34">
        <f>Q12+Q13</f>
        <v>26160.918000000001</v>
      </c>
      <c r="R14" s="76"/>
    </row>
    <row r="15" spans="2:18">
      <c r="B15" s="66" t="s">
        <v>18</v>
      </c>
      <c r="C15" s="71">
        <v>147</v>
      </c>
      <c r="D15" s="71">
        <v>-34</v>
      </c>
      <c r="F15" s="63" t="s">
        <v>116</v>
      </c>
      <c r="G15" s="72">
        <f>C14/C10</f>
        <v>0.17214566503952655</v>
      </c>
      <c r="H15" s="72">
        <v>0.18</v>
      </c>
      <c r="I15" s="72">
        <v>0.17</v>
      </c>
      <c r="J15" s="72">
        <v>0.16</v>
      </c>
      <c r="K15" s="72">
        <v>0.16</v>
      </c>
      <c r="L15" s="72">
        <v>0.18</v>
      </c>
      <c r="N15" t="s">
        <v>100</v>
      </c>
      <c r="O15"/>
      <c r="P15"/>
      <c r="Q15" s="20">
        <f>Q10</f>
        <v>4.4499999999999998E-2</v>
      </c>
      <c r="R15" s="77"/>
    </row>
    <row r="16" spans="2:18" ht="16.5" thickBot="1">
      <c r="B16" s="66" t="s">
        <v>20</v>
      </c>
      <c r="C16" s="71">
        <v>1795</v>
      </c>
      <c r="D16" s="71">
        <v>3039</v>
      </c>
      <c r="F16" s="63" t="s">
        <v>117</v>
      </c>
      <c r="G16" s="72">
        <f>C22/C21</f>
        <v>0.20693512304250558</v>
      </c>
      <c r="H16" s="72">
        <v>0.19</v>
      </c>
      <c r="I16" s="72">
        <v>0.18</v>
      </c>
      <c r="J16" s="72">
        <v>0.18</v>
      </c>
      <c r="K16" s="72">
        <v>0.19</v>
      </c>
      <c r="L16" s="72">
        <v>0.21</v>
      </c>
      <c r="N16" s="35" t="s">
        <v>101</v>
      </c>
      <c r="O16" s="35"/>
      <c r="P16" s="35"/>
      <c r="Q16" s="36">
        <v>0.12479999999999999</v>
      </c>
      <c r="R16" s="78"/>
    </row>
    <row r="17" spans="2:18">
      <c r="B17" s="66" t="s">
        <v>22</v>
      </c>
      <c r="C17" s="66"/>
      <c r="D17" s="66"/>
      <c r="F17" s="79" t="s">
        <v>118</v>
      </c>
      <c r="G17" s="75">
        <f>(C41-C64)/G11</f>
        <v>-2.5686992473779004E-2</v>
      </c>
      <c r="H17" s="110">
        <v>-0.03</v>
      </c>
      <c r="I17" s="110">
        <v>-0.04</v>
      </c>
      <c r="J17" s="110">
        <v>-0.04</v>
      </c>
      <c r="K17" s="110">
        <v>-0.05</v>
      </c>
      <c r="L17" s="110">
        <v>-0.05</v>
      </c>
      <c r="N17" s="14" t="s">
        <v>92</v>
      </c>
      <c r="O17" s="14"/>
      <c r="P17" s="14"/>
      <c r="Q17" s="40">
        <f>Q15*(1-Q11)*Q12/Q14+Q16*Q13/Q14</f>
        <v>9.4079220173007683E-2</v>
      </c>
      <c r="R17" s="74"/>
    </row>
    <row r="18" spans="2:18">
      <c r="B18" s="66" t="s">
        <v>24</v>
      </c>
      <c r="C18" s="71">
        <v>28</v>
      </c>
      <c r="D18" s="71">
        <v>10</v>
      </c>
      <c r="F18" s="63"/>
      <c r="G18" s="108"/>
      <c r="H18" s="108"/>
      <c r="I18" s="108"/>
      <c r="J18" s="108"/>
      <c r="K18" s="108"/>
      <c r="L18" s="108"/>
      <c r="N18" s="79"/>
      <c r="R18" s="80"/>
    </row>
    <row r="19" spans="2:18">
      <c r="B19" s="66" t="s">
        <v>26</v>
      </c>
      <c r="C19" s="71">
        <v>-35</v>
      </c>
      <c r="D19" s="71">
        <v>-25</v>
      </c>
      <c r="N19" s="81"/>
      <c r="O19" s="82"/>
      <c r="P19" s="82"/>
      <c r="R19" s="83"/>
    </row>
    <row r="20" spans="2:18">
      <c r="B20" s="66" t="s">
        <v>28</v>
      </c>
      <c r="C20" s="66"/>
      <c r="D20" s="66"/>
    </row>
    <row r="21" spans="2:18" ht="19.5">
      <c r="B21" s="66" t="s">
        <v>30</v>
      </c>
      <c r="C21" s="71">
        <v>1788</v>
      </c>
      <c r="D21" s="71">
        <v>3024</v>
      </c>
      <c r="F21" s="84" t="s">
        <v>119</v>
      </c>
      <c r="G21" s="61">
        <v>0</v>
      </c>
      <c r="H21" s="61">
        <v>1</v>
      </c>
      <c r="I21" s="61">
        <v>2</v>
      </c>
      <c r="J21" s="61">
        <v>3</v>
      </c>
      <c r="K21" s="61">
        <v>4</v>
      </c>
      <c r="L21" s="61">
        <v>5</v>
      </c>
      <c r="N21" s="85" t="s">
        <v>120</v>
      </c>
      <c r="P21" s="86"/>
      <c r="Q21" s="85"/>
      <c r="R21" s="85"/>
    </row>
    <row r="22" spans="2:18">
      <c r="B22" s="66" t="s">
        <v>32</v>
      </c>
      <c r="C22" s="71">
        <v>370</v>
      </c>
      <c r="D22" s="71">
        <v>574</v>
      </c>
      <c r="E22" s="87" t="s">
        <v>121</v>
      </c>
      <c r="F22" s="53" t="s">
        <v>122</v>
      </c>
      <c r="G22" s="99">
        <f>G8</f>
        <v>2352</v>
      </c>
      <c r="H22" s="99">
        <v>0</v>
      </c>
      <c r="I22" s="99">
        <f t="shared" ref="I22:L22" si="0">H22*(1+I12)</f>
        <v>0</v>
      </c>
      <c r="J22" s="99">
        <f t="shared" si="0"/>
        <v>0</v>
      </c>
      <c r="K22" s="99">
        <f t="shared" si="0"/>
        <v>0</v>
      </c>
      <c r="L22" s="99">
        <f t="shared" si="0"/>
        <v>0</v>
      </c>
      <c r="N22" s="15" t="s">
        <v>76</v>
      </c>
      <c r="O22" s="112" t="s">
        <v>77</v>
      </c>
      <c r="P22" s="113"/>
      <c r="Q22" s="112" t="s">
        <v>78</v>
      </c>
      <c r="R22" s="113"/>
    </row>
    <row r="23" spans="2:18" ht="16.5" thickBot="1">
      <c r="B23" s="66" t="s">
        <v>34</v>
      </c>
      <c r="C23" s="71">
        <v>1</v>
      </c>
      <c r="D23" s="71">
        <v>4</v>
      </c>
      <c r="E23" s="54" t="s">
        <v>123</v>
      </c>
      <c r="F23" s="53" t="s">
        <v>124</v>
      </c>
      <c r="G23" s="64">
        <f>-G22</f>
        <v>-2352</v>
      </c>
      <c r="H23" s="64">
        <f t="shared" ref="H23:L23" si="1">-H22</f>
        <v>0</v>
      </c>
      <c r="I23" s="64">
        <f t="shared" si="1"/>
        <v>0</v>
      </c>
      <c r="J23" s="64">
        <f t="shared" si="1"/>
        <v>0</v>
      </c>
      <c r="K23" s="64">
        <f t="shared" si="1"/>
        <v>0</v>
      </c>
      <c r="L23" s="64">
        <f t="shared" si="1"/>
        <v>0</v>
      </c>
      <c r="N23" s="38" t="s">
        <v>81</v>
      </c>
      <c r="O23" s="39" t="s">
        <v>82</v>
      </c>
      <c r="P23" s="38" t="s">
        <v>83</v>
      </c>
      <c r="Q23" s="39" t="s">
        <v>82</v>
      </c>
      <c r="R23" s="38" t="s">
        <v>83</v>
      </c>
    </row>
    <row r="24" spans="2:18">
      <c r="B24" s="66" t="s">
        <v>36</v>
      </c>
      <c r="C24" s="68">
        <v>1419</v>
      </c>
      <c r="D24" s="68">
        <v>2454</v>
      </c>
      <c r="E24" s="54"/>
      <c r="N24" s="16">
        <v>43525</v>
      </c>
      <c r="O24" s="17">
        <v>260.32409699999999</v>
      </c>
      <c r="P24" s="15">
        <v>0</v>
      </c>
      <c r="Q24" s="17">
        <v>59.751282000000003</v>
      </c>
      <c r="R24" s="15">
        <v>0</v>
      </c>
    </row>
    <row r="25" spans="2:18">
      <c r="B25" s="88"/>
      <c r="C25" s="89"/>
      <c r="D25" s="89"/>
      <c r="N25" s="16">
        <v>43556</v>
      </c>
      <c r="O25" s="17">
        <v>272.15237400000001</v>
      </c>
      <c r="P25" s="18">
        <f>O25/O24-1</f>
        <v>4.5436734963494319E-2</v>
      </c>
      <c r="Q25" s="17">
        <v>63.016758000000003</v>
      </c>
      <c r="R25" s="18">
        <f>Q25/Q24-1</f>
        <v>5.4651145392997647E-2</v>
      </c>
    </row>
    <row r="26" spans="2:18" ht="19.5">
      <c r="B26" s="90"/>
      <c r="C26" s="91"/>
      <c r="D26" s="91"/>
      <c r="E26" s="54"/>
      <c r="F26" s="92" t="s">
        <v>125</v>
      </c>
      <c r="G26" s="61">
        <v>0</v>
      </c>
      <c r="H26" s="61">
        <v>1</v>
      </c>
      <c r="I26" s="61">
        <v>2</v>
      </c>
      <c r="J26" s="61">
        <v>3</v>
      </c>
      <c r="K26" s="61">
        <v>4</v>
      </c>
      <c r="L26" s="61">
        <v>5</v>
      </c>
      <c r="N26" s="16">
        <v>43586</v>
      </c>
      <c r="O26" s="17">
        <v>254.79695100000001</v>
      </c>
      <c r="P26" s="18">
        <f t="shared" ref="P26:P83" si="2">O26/O25-1</f>
        <v>-6.3770977797900863E-2</v>
      </c>
      <c r="Q26" s="17">
        <v>53.074306</v>
      </c>
      <c r="R26" s="18">
        <f t="shared" ref="R26:R83" si="3">Q26/Q25-1</f>
        <v>-0.15777473033442946</v>
      </c>
    </row>
    <row r="27" spans="2:18">
      <c r="B27" s="90"/>
      <c r="C27" s="91"/>
      <c r="D27" s="91"/>
      <c r="E27" s="54" t="s">
        <v>126</v>
      </c>
      <c r="F27" s="53" t="s">
        <v>127</v>
      </c>
      <c r="G27" s="64">
        <f>G11</f>
        <v>6890.6470923242423</v>
      </c>
      <c r="H27" s="64">
        <f>G27*(1+H12)</f>
        <v>7304.0859178636974</v>
      </c>
      <c r="I27" s="64">
        <f t="shared" ref="I27:L27" si="4">H27*(1+I12)</f>
        <v>7888.4127912927934</v>
      </c>
      <c r="J27" s="64">
        <f t="shared" si="4"/>
        <v>8835.0223262479303</v>
      </c>
      <c r="K27" s="64">
        <f t="shared" si="4"/>
        <v>10160.275675185119</v>
      </c>
      <c r="L27" s="64">
        <f t="shared" si="4"/>
        <v>12192.330810222144</v>
      </c>
      <c r="N27" s="16">
        <v>43617</v>
      </c>
      <c r="O27" s="17">
        <v>271.20825200000002</v>
      </c>
      <c r="P27" s="18">
        <f t="shared" si="2"/>
        <v>6.4409330392654507E-2</v>
      </c>
      <c r="Q27" s="17">
        <v>59.053336999999999</v>
      </c>
      <c r="R27" s="18">
        <f t="shared" si="3"/>
        <v>0.11265396480172529</v>
      </c>
    </row>
    <row r="28" spans="2:18">
      <c r="B28" s="90"/>
      <c r="C28" s="91"/>
      <c r="D28" s="91"/>
      <c r="E28" s="54" t="s">
        <v>121</v>
      </c>
      <c r="F28" s="93" t="s">
        <v>128</v>
      </c>
      <c r="G28" s="94">
        <f>$G$13*G27</f>
        <v>5415.4193507561858</v>
      </c>
      <c r="H28" s="94">
        <f>H13*H27</f>
        <v>5843.2687342909585</v>
      </c>
      <c r="I28" s="94">
        <f t="shared" ref="I28:L28" si="5">I13*I27</f>
        <v>6310.7302330342354</v>
      </c>
      <c r="J28" s="94">
        <f t="shared" si="5"/>
        <v>7509.7689773107404</v>
      </c>
      <c r="K28" s="94">
        <f t="shared" si="5"/>
        <v>8128.220540148096</v>
      </c>
      <c r="L28" s="94">
        <f t="shared" si="5"/>
        <v>9875.7879562799371</v>
      </c>
      <c r="N28" s="16">
        <v>43647</v>
      </c>
      <c r="O28" s="17">
        <v>276.64779700000003</v>
      </c>
      <c r="P28" s="18">
        <f t="shared" si="2"/>
        <v>2.0056709041434306E-2</v>
      </c>
      <c r="Q28" s="17">
        <v>65.310547</v>
      </c>
      <c r="R28" s="18">
        <f t="shared" si="3"/>
        <v>0.10595861839272525</v>
      </c>
    </row>
    <row r="29" spans="2:18">
      <c r="B29" s="90"/>
      <c r="C29" s="91"/>
      <c r="D29" s="91"/>
      <c r="E29" s="54" t="s">
        <v>123</v>
      </c>
      <c r="F29" s="53" t="s">
        <v>129</v>
      </c>
      <c r="G29" s="64">
        <f>G27-G28</f>
        <v>1475.2277415680564</v>
      </c>
      <c r="H29" s="64">
        <f t="shared" ref="H29:L29" si="6">H27-H28</f>
        <v>1460.8171835727389</v>
      </c>
      <c r="I29" s="64">
        <f t="shared" si="6"/>
        <v>1577.6825582585579</v>
      </c>
      <c r="J29" s="64">
        <f t="shared" si="6"/>
        <v>1325.2533489371899</v>
      </c>
      <c r="K29" s="64">
        <f t="shared" si="6"/>
        <v>2032.0551350370233</v>
      </c>
      <c r="L29" s="64">
        <f t="shared" si="6"/>
        <v>2316.5428539422064</v>
      </c>
      <c r="N29" s="16">
        <v>43678</v>
      </c>
      <c r="O29" s="17">
        <v>272.01580799999999</v>
      </c>
      <c r="P29" s="18">
        <f t="shared" si="2"/>
        <v>-1.6743270867253801E-2</v>
      </c>
      <c r="Q29" s="17">
        <v>54.318787</v>
      </c>
      <c r="R29" s="18">
        <f t="shared" si="3"/>
        <v>-0.16829992252246795</v>
      </c>
    </row>
    <row r="30" spans="2:18">
      <c r="B30" s="90"/>
      <c r="C30" s="95"/>
      <c r="D30" s="95"/>
      <c r="E30" s="54" t="s">
        <v>121</v>
      </c>
      <c r="F30" s="53" t="s">
        <v>130</v>
      </c>
      <c r="G30" s="64">
        <f>G14*G27</f>
        <v>0</v>
      </c>
      <c r="H30" s="64">
        <f t="shared" ref="H30:L30" si="7">H14*H27</f>
        <v>0</v>
      </c>
      <c r="I30" s="64">
        <f t="shared" si="7"/>
        <v>0</v>
      </c>
      <c r="J30" s="64">
        <f t="shared" si="7"/>
        <v>0</v>
      </c>
      <c r="K30" s="64">
        <f t="shared" si="7"/>
        <v>0</v>
      </c>
      <c r="L30" s="64">
        <f t="shared" si="7"/>
        <v>0</v>
      </c>
      <c r="N30" s="16">
        <v>43709</v>
      </c>
      <c r="O30" s="17">
        <v>276.033905</v>
      </c>
      <c r="P30" s="18">
        <f t="shared" si="2"/>
        <v>1.4771556953043108E-2</v>
      </c>
      <c r="Q30" s="17">
        <v>58.875923</v>
      </c>
      <c r="R30" s="18">
        <f t="shared" si="3"/>
        <v>8.3896129712911272E-2</v>
      </c>
    </row>
    <row r="31" spans="2:18">
      <c r="E31" s="54" t="s">
        <v>131</v>
      </c>
      <c r="F31" s="93" t="s">
        <v>132</v>
      </c>
      <c r="G31" s="94">
        <f>G15*G27</f>
        <v>1186.1950262608366</v>
      </c>
      <c r="H31" s="94">
        <f t="shared" ref="H31:L31" si="8">H15*H27</f>
        <v>1314.7354652154654</v>
      </c>
      <c r="I31" s="94">
        <f t="shared" si="8"/>
        <v>1341.0301745197751</v>
      </c>
      <c r="J31" s="94">
        <f t="shared" si="8"/>
        <v>1413.6035721996689</v>
      </c>
      <c r="K31" s="94">
        <f t="shared" si="8"/>
        <v>1625.644108029619</v>
      </c>
      <c r="L31" s="94">
        <f t="shared" si="8"/>
        <v>2194.6195458399857</v>
      </c>
      <c r="N31" s="16">
        <v>43739</v>
      </c>
      <c r="O31" s="17">
        <v>283.43847699999998</v>
      </c>
      <c r="P31" s="18">
        <f t="shared" si="2"/>
        <v>2.6824864141236526E-2</v>
      </c>
      <c r="Q31" s="17">
        <v>61.750847</v>
      </c>
      <c r="R31" s="18">
        <f t="shared" si="3"/>
        <v>4.8830215366644891E-2</v>
      </c>
    </row>
    <row r="32" spans="2:18">
      <c r="E32" s="54" t="s">
        <v>123</v>
      </c>
      <c r="F32" s="53" t="s">
        <v>133</v>
      </c>
      <c r="G32" s="64">
        <f>G29-G30-G31</f>
        <v>289.03271530721986</v>
      </c>
      <c r="H32" s="64">
        <f t="shared" ref="H32:L32" si="9">H29-H30-H31</f>
        <v>146.08171835727353</v>
      </c>
      <c r="I32" s="64">
        <f t="shared" si="9"/>
        <v>236.65238373878287</v>
      </c>
      <c r="J32" s="64">
        <f t="shared" si="9"/>
        <v>-88.350223262478949</v>
      </c>
      <c r="K32" s="64">
        <f t="shared" si="9"/>
        <v>406.4110270074043</v>
      </c>
      <c r="L32" s="64">
        <f t="shared" si="9"/>
        <v>121.92330810222074</v>
      </c>
      <c r="N32" s="16">
        <v>43770</v>
      </c>
      <c r="O32" s="17">
        <v>293.69842499999999</v>
      </c>
      <c r="P32" s="18">
        <f t="shared" si="2"/>
        <v>3.6198148214012571E-2</v>
      </c>
      <c r="Q32" s="17">
        <v>69.324623000000003</v>
      </c>
      <c r="R32" s="18">
        <f t="shared" si="3"/>
        <v>0.12265056056640011</v>
      </c>
    </row>
    <row r="33" spans="2:18">
      <c r="B33" s="96" t="s">
        <v>134</v>
      </c>
      <c r="C33" s="97"/>
      <c r="D33" s="98"/>
      <c r="E33" s="54" t="s">
        <v>121</v>
      </c>
      <c r="F33" s="53" t="s">
        <v>135</v>
      </c>
      <c r="G33" s="99"/>
      <c r="H33" s="64">
        <f>H32*H16</f>
        <v>27.755526487881973</v>
      </c>
      <c r="I33" s="64">
        <f t="shared" ref="I33:L33" si="10">I32*I16</f>
        <v>42.597429072980916</v>
      </c>
      <c r="J33" s="64">
        <f t="shared" si="10"/>
        <v>-15.90304018724621</v>
      </c>
      <c r="K33" s="64">
        <f t="shared" si="10"/>
        <v>77.218095131406812</v>
      </c>
      <c r="L33" s="64">
        <f t="shared" si="10"/>
        <v>25.603894701466356</v>
      </c>
      <c r="N33" s="16">
        <v>43800</v>
      </c>
      <c r="O33" s="17">
        <v>300.753265</v>
      </c>
      <c r="P33" s="18">
        <f t="shared" si="2"/>
        <v>2.4020694016319677E-2</v>
      </c>
      <c r="Q33" s="17">
        <v>75.479934999999998</v>
      </c>
      <c r="R33" s="18">
        <f t="shared" si="3"/>
        <v>8.8789693093606736E-2</v>
      </c>
    </row>
    <row r="34" spans="2:18">
      <c r="B34" s="66" t="s">
        <v>9</v>
      </c>
      <c r="C34" s="66" t="s">
        <v>4</v>
      </c>
      <c r="D34" s="66" t="s">
        <v>5</v>
      </c>
      <c r="E34" s="54" t="s">
        <v>126</v>
      </c>
      <c r="F34" s="62" t="s">
        <v>136</v>
      </c>
      <c r="G34" s="100"/>
      <c r="H34" s="101">
        <f>$G$10</f>
        <v>470.4</v>
      </c>
      <c r="I34" s="101">
        <f t="shared" ref="I34:L34" si="11">$G$10</f>
        <v>470.4</v>
      </c>
      <c r="J34" s="101">
        <f t="shared" si="11"/>
        <v>470.4</v>
      </c>
      <c r="K34" s="101">
        <f t="shared" si="11"/>
        <v>470.4</v>
      </c>
      <c r="L34" s="101">
        <f t="shared" si="11"/>
        <v>470.4</v>
      </c>
      <c r="N34" s="16">
        <v>43831</v>
      </c>
      <c r="O34" s="17">
        <v>302.10992399999998</v>
      </c>
      <c r="P34" s="18">
        <f t="shared" si="2"/>
        <v>4.5108703973670838E-3</v>
      </c>
      <c r="Q34" s="17">
        <v>73.238213000000002</v>
      </c>
      <c r="R34" s="18">
        <f t="shared" si="3"/>
        <v>-2.9699575125495259E-2</v>
      </c>
    </row>
    <row r="35" spans="2:18">
      <c r="B35" s="66" t="s">
        <v>11</v>
      </c>
      <c r="C35" s="66"/>
      <c r="D35" s="66"/>
      <c r="E35" s="54" t="s">
        <v>123</v>
      </c>
      <c r="F35" s="53" t="s">
        <v>137</v>
      </c>
      <c r="G35" s="99"/>
      <c r="H35" s="64">
        <f>H32-H33+H34</f>
        <v>588.72619186939153</v>
      </c>
      <c r="I35" s="64">
        <f t="shared" ref="I35:L35" si="12">I32-I33+I34</f>
        <v>664.45495466580201</v>
      </c>
      <c r="J35" s="64">
        <f t="shared" si="12"/>
        <v>397.95281692476726</v>
      </c>
      <c r="K35" s="64">
        <f t="shared" si="12"/>
        <v>799.59293187599746</v>
      </c>
      <c r="L35" s="64">
        <f t="shared" si="12"/>
        <v>566.71941340075432</v>
      </c>
      <c r="N35" s="16">
        <v>43862</v>
      </c>
      <c r="O35" s="17">
        <v>278.193085</v>
      </c>
      <c r="P35" s="18">
        <f t="shared" si="2"/>
        <v>-7.9166015744653206E-2</v>
      </c>
      <c r="Q35" s="17">
        <v>65.420608999999999</v>
      </c>
      <c r="R35" s="18">
        <f t="shared" si="3"/>
        <v>-0.10674214566103635</v>
      </c>
    </row>
    <row r="36" spans="2:18">
      <c r="B36" s="66" t="s">
        <v>13</v>
      </c>
      <c r="C36" s="66"/>
      <c r="D36" s="66"/>
      <c r="N36" s="16">
        <v>43891</v>
      </c>
      <c r="O36" s="17">
        <v>242.031586</v>
      </c>
      <c r="P36" s="18">
        <f t="shared" si="2"/>
        <v>-0.12998705197866434</v>
      </c>
      <c r="Q36" s="17">
        <v>49.292445999999998</v>
      </c>
      <c r="R36" s="18">
        <f t="shared" si="3"/>
        <v>-0.24653030973771584</v>
      </c>
    </row>
    <row r="37" spans="2:18">
      <c r="B37" s="66" t="s">
        <v>15</v>
      </c>
      <c r="C37" s="68">
        <v>1874</v>
      </c>
      <c r="D37" s="68">
        <v>2936</v>
      </c>
      <c r="N37" s="16">
        <v>43922</v>
      </c>
      <c r="O37" s="17">
        <v>274.36956800000002</v>
      </c>
      <c r="P37" s="18">
        <f t="shared" si="2"/>
        <v>0.13361058585138563</v>
      </c>
      <c r="Q37" s="17">
        <v>66.965164000000001</v>
      </c>
      <c r="R37" s="18">
        <f t="shared" si="3"/>
        <v>0.35852791723908384</v>
      </c>
    </row>
    <row r="38" spans="2:18" ht="19.5">
      <c r="B38" s="66" t="s">
        <v>17</v>
      </c>
      <c r="C38" s="71">
        <v>1141</v>
      </c>
      <c r="D38" s="71">
        <v>1042</v>
      </c>
      <c r="E38" s="54"/>
      <c r="F38" s="92" t="s">
        <v>138</v>
      </c>
      <c r="G38" s="61">
        <v>0</v>
      </c>
      <c r="H38" s="61">
        <v>1</v>
      </c>
      <c r="I38" s="61">
        <v>2</v>
      </c>
      <c r="J38" s="61">
        <v>3</v>
      </c>
      <c r="K38" s="61">
        <v>4</v>
      </c>
      <c r="L38" s="61">
        <v>5</v>
      </c>
      <c r="N38" s="16">
        <v>43952</v>
      </c>
      <c r="O38" s="17">
        <v>287.44201700000002</v>
      </c>
      <c r="P38" s="18">
        <f t="shared" si="2"/>
        <v>4.7645404318309881E-2</v>
      </c>
      <c r="Q38" s="17">
        <v>68.152068999999997</v>
      </c>
      <c r="R38" s="18">
        <f t="shared" si="3"/>
        <v>1.7724215533915455E-2</v>
      </c>
    </row>
    <row r="39" spans="2:18">
      <c r="B39" s="66" t="s">
        <v>19</v>
      </c>
      <c r="C39" s="71">
        <v>5140</v>
      </c>
      <c r="D39" s="71">
        <v>5965</v>
      </c>
      <c r="E39" s="87" t="s">
        <v>121</v>
      </c>
      <c r="F39" s="102" t="s">
        <v>139</v>
      </c>
      <c r="G39" s="103">
        <f>G17*G27</f>
        <v>-177</v>
      </c>
      <c r="H39" s="103">
        <f t="shared" ref="H39:K39" si="13">H17*H27</f>
        <v>-219.12257753591092</v>
      </c>
      <c r="I39" s="103">
        <f t="shared" si="13"/>
        <v>-315.53651165171175</v>
      </c>
      <c r="J39" s="103">
        <f t="shared" si="13"/>
        <v>-353.40089304991722</v>
      </c>
      <c r="K39" s="103">
        <f t="shared" si="13"/>
        <v>-508.013783759256</v>
      </c>
      <c r="L39" s="103">
        <v>0</v>
      </c>
      <c r="N39" s="16">
        <v>43983</v>
      </c>
      <c r="O39" s="17">
        <v>291.25787400000002</v>
      </c>
      <c r="P39" s="18">
        <f t="shared" si="2"/>
        <v>1.3275223434018768E-2</v>
      </c>
      <c r="Q39" s="17">
        <v>76.163803000000001</v>
      </c>
      <c r="R39" s="18">
        <f t="shared" si="3"/>
        <v>0.11755672450677923</v>
      </c>
    </row>
    <row r="40" spans="2:18">
      <c r="B40" s="66" t="s">
        <v>21</v>
      </c>
      <c r="C40" s="71">
        <v>647</v>
      </c>
      <c r="D40" s="71">
        <v>596</v>
      </c>
      <c r="E40" s="54" t="s">
        <v>123</v>
      </c>
      <c r="F40" s="53" t="s">
        <v>140</v>
      </c>
      <c r="G40" s="69">
        <f>-G39</f>
        <v>177</v>
      </c>
      <c r="H40" s="69">
        <f>G39-H39</f>
        <v>42.122577535910921</v>
      </c>
      <c r="I40" s="69">
        <f t="shared" ref="I40:L40" si="14">H39-I39</f>
        <v>96.413934115800828</v>
      </c>
      <c r="J40" s="69">
        <f t="shared" si="14"/>
        <v>37.864381398205467</v>
      </c>
      <c r="K40" s="69">
        <f t="shared" si="14"/>
        <v>154.61289070933879</v>
      </c>
      <c r="L40" s="69">
        <f t="shared" si="14"/>
        <v>-508.013783759256</v>
      </c>
      <c r="N40" s="16">
        <v>44013</v>
      </c>
      <c r="O40" s="17">
        <v>309.767944</v>
      </c>
      <c r="P40" s="18">
        <f t="shared" si="2"/>
        <v>6.3552170266820029E-2</v>
      </c>
      <c r="Q40" s="17">
        <v>87.505591999999993</v>
      </c>
      <c r="R40" s="18">
        <f t="shared" si="3"/>
        <v>0.14891311296522303</v>
      </c>
    </row>
    <row r="41" spans="2:18">
      <c r="B41" s="66" t="s">
        <v>23</v>
      </c>
      <c r="C41" s="71">
        <v>8802</v>
      </c>
      <c r="D41" s="71">
        <v>10539</v>
      </c>
      <c r="N41" s="16">
        <v>44044</v>
      </c>
      <c r="O41" s="17">
        <v>331.388733</v>
      </c>
      <c r="P41" s="18">
        <f t="shared" si="2"/>
        <v>6.9796728224402749E-2</v>
      </c>
      <c r="Q41" s="17">
        <v>97.451995999999994</v>
      </c>
      <c r="R41" s="18">
        <f t="shared" si="3"/>
        <v>0.11366592434458367</v>
      </c>
    </row>
    <row r="42" spans="2:18">
      <c r="B42" s="66" t="s">
        <v>25</v>
      </c>
      <c r="C42" s="66"/>
      <c r="D42" s="66"/>
      <c r="N42" s="16">
        <v>44075</v>
      </c>
      <c r="O42" s="17">
        <v>317.70849600000003</v>
      </c>
      <c r="P42" s="18">
        <f t="shared" si="2"/>
        <v>-4.1281539285163205E-2</v>
      </c>
      <c r="Q42" s="17">
        <v>97.785888999999997</v>
      </c>
      <c r="R42" s="18">
        <f t="shared" si="3"/>
        <v>3.4262304899328466E-3</v>
      </c>
    </row>
    <row r="43" spans="2:18" ht="19.5">
      <c r="B43" s="66" t="s">
        <v>27</v>
      </c>
      <c r="C43" s="71">
        <v>688</v>
      </c>
      <c r="D43" s="71">
        <v>671</v>
      </c>
      <c r="F43" s="92" t="s">
        <v>141</v>
      </c>
      <c r="G43" s="61">
        <v>0</v>
      </c>
      <c r="H43" s="61">
        <v>1</v>
      </c>
      <c r="I43" s="61">
        <v>2</v>
      </c>
      <c r="J43" s="61">
        <v>3</v>
      </c>
      <c r="K43" s="61">
        <v>4</v>
      </c>
      <c r="L43" s="61">
        <v>5</v>
      </c>
      <c r="N43" s="16">
        <v>44105</v>
      </c>
      <c r="O43" s="17">
        <v>311.02700800000002</v>
      </c>
      <c r="P43" s="18">
        <f t="shared" si="2"/>
        <v>-2.1030246543989217E-2</v>
      </c>
      <c r="Q43" s="17">
        <v>98.520240999999999</v>
      </c>
      <c r="R43" s="18">
        <f t="shared" si="3"/>
        <v>7.5097952016369707E-3</v>
      </c>
    </row>
    <row r="44" spans="2:18">
      <c r="B44" s="66" t="s">
        <v>29</v>
      </c>
      <c r="C44" s="71">
        <v>2260</v>
      </c>
      <c r="D44" s="71">
        <v>2160</v>
      </c>
      <c r="F44" s="53" t="s">
        <v>142</v>
      </c>
      <c r="G44" s="69">
        <f>G23+G35+G40</f>
        <v>-2175</v>
      </c>
      <c r="H44" s="69">
        <f t="shared" ref="H44:L44" si="15">H23+H35+H40</f>
        <v>630.84876940530239</v>
      </c>
      <c r="I44" s="69">
        <f>I23+I35+I40</f>
        <v>760.86888878160289</v>
      </c>
      <c r="J44" s="69">
        <f t="shared" si="15"/>
        <v>435.81719832297273</v>
      </c>
      <c r="K44" s="69">
        <f t="shared" si="15"/>
        <v>954.20582258533625</v>
      </c>
      <c r="L44" s="69">
        <f t="shared" si="15"/>
        <v>58.705629641498319</v>
      </c>
      <c r="N44" s="16">
        <v>44136</v>
      </c>
      <c r="O44" s="17">
        <v>344.85952800000001</v>
      </c>
      <c r="P44" s="18">
        <f t="shared" si="2"/>
        <v>0.1087767914997273</v>
      </c>
      <c r="Q44" s="17">
        <v>96.091453999999999</v>
      </c>
      <c r="R44" s="18">
        <f t="shared" si="3"/>
        <v>-2.4652670104613361E-2</v>
      </c>
    </row>
    <row r="45" spans="2:18">
      <c r="B45" s="66" t="s">
        <v>31</v>
      </c>
      <c r="C45" s="71">
        <v>3928</v>
      </c>
      <c r="D45" s="71">
        <v>5419</v>
      </c>
      <c r="F45" s="53" t="s">
        <v>143</v>
      </c>
      <c r="G45" s="69">
        <f>G44/(1+$Q$17)^G43</f>
        <v>-2175</v>
      </c>
      <c r="H45" s="69">
        <f t="shared" ref="H45:L45" si="16">H44/(1+$Q$17)^H43</f>
        <v>576.60245965145532</v>
      </c>
      <c r="I45" s="69">
        <f t="shared" si="16"/>
        <v>635.64156380973986</v>
      </c>
      <c r="J45" s="69">
        <f t="shared" si="16"/>
        <v>332.78064241419901</v>
      </c>
      <c r="K45" s="69">
        <f t="shared" si="16"/>
        <v>665.95822032465753</v>
      </c>
      <c r="L45" s="69">
        <f t="shared" si="16"/>
        <v>37.448627261113714</v>
      </c>
      <c r="N45" s="16">
        <v>44166</v>
      </c>
      <c r="O45" s="17">
        <v>356.11801100000002</v>
      </c>
      <c r="P45" s="18">
        <f t="shared" si="2"/>
        <v>3.2646576608432953E-2</v>
      </c>
      <c r="Q45" s="17">
        <v>88.133881000000002</v>
      </c>
      <c r="R45" s="18">
        <f t="shared" si="3"/>
        <v>-8.2812494438891493E-2</v>
      </c>
    </row>
    <row r="46" spans="2:18">
      <c r="B46" s="66" t="s">
        <v>33</v>
      </c>
      <c r="C46" s="71">
        <v>100</v>
      </c>
      <c r="D46" s="71">
        <v>91</v>
      </c>
      <c r="E46" s="54"/>
      <c r="F46" s="53" t="s">
        <v>144</v>
      </c>
      <c r="G46" s="69">
        <f>G45</f>
        <v>-2175</v>
      </c>
      <c r="H46" s="69">
        <f>G46+H45</f>
        <v>-1598.3975403485447</v>
      </c>
      <c r="I46" s="69">
        <f t="shared" ref="I46:L46" si="17">H46+I45</f>
        <v>-962.75597653880482</v>
      </c>
      <c r="J46" s="69">
        <f t="shared" si="17"/>
        <v>-629.97533412460575</v>
      </c>
      <c r="K46" s="69">
        <f t="shared" si="17"/>
        <v>35.98288620005178</v>
      </c>
      <c r="L46" s="69">
        <f t="shared" si="17"/>
        <v>73.431513461165494</v>
      </c>
      <c r="N46" s="16">
        <v>44197</v>
      </c>
      <c r="O46" s="17">
        <v>353.99154700000003</v>
      </c>
      <c r="P46" s="18">
        <f t="shared" si="2"/>
        <v>-5.9712340693715005E-3</v>
      </c>
      <c r="Q46" s="17">
        <v>96.637450999999999</v>
      </c>
      <c r="R46" s="18">
        <f t="shared" si="3"/>
        <v>9.6484687880702635E-2</v>
      </c>
    </row>
    <row r="47" spans="2:18">
      <c r="B47" s="66" t="s">
        <v>35</v>
      </c>
      <c r="C47" s="71">
        <v>6976</v>
      </c>
      <c r="D47" s="71">
        <v>8341</v>
      </c>
      <c r="E47" s="54"/>
      <c r="N47" s="16">
        <v>44228</v>
      </c>
      <c r="O47" s="17">
        <v>363.83444200000002</v>
      </c>
      <c r="P47" s="18">
        <f t="shared" si="2"/>
        <v>2.7805452088945026E-2</v>
      </c>
      <c r="Q47" s="17">
        <v>89.115668999999997</v>
      </c>
      <c r="R47" s="18">
        <f t="shared" si="3"/>
        <v>-7.7835062102372676E-2</v>
      </c>
    </row>
    <row r="48" spans="2:18">
      <c r="B48" s="66" t="s">
        <v>37</v>
      </c>
      <c r="C48" s="71">
        <v>4624</v>
      </c>
      <c r="D48" s="71">
        <v>6091</v>
      </c>
      <c r="N48" s="16">
        <v>44256</v>
      </c>
      <c r="O48" s="17">
        <v>379.110657</v>
      </c>
      <c r="P48" s="18">
        <f t="shared" si="2"/>
        <v>4.1986720432586111E-2</v>
      </c>
      <c r="Q48" s="17">
        <v>101.956863</v>
      </c>
      <c r="R48" s="18">
        <f t="shared" si="3"/>
        <v>0.14409580429677304</v>
      </c>
    </row>
    <row r="49" spans="2:18" ht="19.5">
      <c r="B49" s="66" t="s">
        <v>38</v>
      </c>
      <c r="C49" s="71">
        <v>2352</v>
      </c>
      <c r="D49" s="71">
        <v>2250</v>
      </c>
      <c r="E49" s="54"/>
      <c r="F49" s="92" t="s">
        <v>145</v>
      </c>
      <c r="G49" s="104"/>
      <c r="N49" s="16">
        <v>44287</v>
      </c>
      <c r="O49" s="17">
        <v>400.47689800000001</v>
      </c>
      <c r="P49" s="18">
        <f t="shared" si="2"/>
        <v>5.6358850919878023E-2</v>
      </c>
      <c r="Q49" s="17">
        <v>103.894447</v>
      </c>
      <c r="R49" s="18">
        <f t="shared" si="3"/>
        <v>1.9003958566281121E-2</v>
      </c>
    </row>
    <row r="50" spans="2:18">
      <c r="B50" s="66" t="s">
        <v>40</v>
      </c>
      <c r="C50" s="71">
        <v>2746</v>
      </c>
      <c r="D50" s="71">
        <v>2654</v>
      </c>
      <c r="E50" s="54"/>
      <c r="F50" s="82" t="s">
        <v>146</v>
      </c>
      <c r="G50" s="77">
        <f>J43+-J46/K45</f>
        <v>3.9459682528094482</v>
      </c>
      <c r="H50" s="65" t="str">
        <f ca="1">_xlfn.FORMULATEXT(G50)</f>
        <v>=J43+-J46/K45</v>
      </c>
      <c r="N50" s="16">
        <v>44317</v>
      </c>
      <c r="O50" s="17">
        <v>403.10644500000001</v>
      </c>
      <c r="P50" s="18">
        <f t="shared" si="2"/>
        <v>6.5660391726265477E-3</v>
      </c>
      <c r="Q50" s="17">
        <v>103.867645</v>
      </c>
      <c r="R50" s="18">
        <f t="shared" si="3"/>
        <v>-2.579733640625248E-4</v>
      </c>
    </row>
    <row r="51" spans="2:18">
      <c r="B51" s="66" t="s">
        <v>42</v>
      </c>
      <c r="C51" s="71">
        <v>1383</v>
      </c>
      <c r="D51" s="71">
        <v>1384</v>
      </c>
      <c r="F51" s="82" t="s">
        <v>147</v>
      </c>
      <c r="G51" s="77">
        <f>NPV(Q17,H44:L44)+G44</f>
        <v>73.43151346116565</v>
      </c>
      <c r="H51" s="65" t="str">
        <f t="shared" ref="H51:H53" ca="1" si="18">_xlfn.FORMULATEXT(G51)</f>
        <v>=NPV(Q17,H44:L44)+G44</v>
      </c>
      <c r="N51" s="16">
        <v>44348</v>
      </c>
      <c r="O51" s="17">
        <v>410.80310100000003</v>
      </c>
      <c r="P51" s="18">
        <f t="shared" si="2"/>
        <v>1.9093358827344087E-2</v>
      </c>
      <c r="Q51" s="17">
        <v>102.74176799999999</v>
      </c>
      <c r="R51" s="18">
        <f t="shared" si="3"/>
        <v>-1.0839535256623956E-2</v>
      </c>
    </row>
    <row r="52" spans="2:18">
      <c r="B52" s="66" t="s">
        <v>43</v>
      </c>
      <c r="C52" s="71">
        <v>520</v>
      </c>
      <c r="D52" s="71">
        <v>677</v>
      </c>
      <c r="F52" s="82" t="s">
        <v>148</v>
      </c>
      <c r="G52" s="74">
        <f>IRR(G44:L44)</f>
        <v>0.10856535391599764</v>
      </c>
      <c r="H52" s="65" t="str">
        <f t="shared" ca="1" si="18"/>
        <v>=IRR(G44:L44)</v>
      </c>
      <c r="N52" s="16">
        <v>44378</v>
      </c>
      <c r="O52" s="17">
        <v>422.208618</v>
      </c>
      <c r="P52" s="18">
        <f t="shared" si="2"/>
        <v>2.7763950593936659E-2</v>
      </c>
      <c r="Q52" s="17">
        <v>101.016006</v>
      </c>
      <c r="R52" s="18">
        <f t="shared" si="3"/>
        <v>-1.6797082954616793E-2</v>
      </c>
    </row>
    <row r="53" spans="2:18">
      <c r="B53" s="66" t="s">
        <v>45</v>
      </c>
      <c r="C53" s="68">
        <v>15803</v>
      </c>
      <c r="D53" s="68">
        <v>17504</v>
      </c>
      <c r="F53" s="57" t="s">
        <v>149</v>
      </c>
      <c r="G53" s="105">
        <f>NPV(Q17,H44:L44)/-G44</f>
        <v>1.033761615384444</v>
      </c>
      <c r="H53" s="65" t="str">
        <f t="shared" ca="1" si="18"/>
        <v>=NPV(Q17,H44:L44)/-G44</v>
      </c>
      <c r="N53" s="16">
        <v>44409</v>
      </c>
      <c r="O53" s="17">
        <v>434.77349900000002</v>
      </c>
      <c r="P53" s="18">
        <f t="shared" si="2"/>
        <v>2.9759887563451048E-2</v>
      </c>
      <c r="Q53" s="17">
        <v>104.756355</v>
      </c>
      <c r="R53" s="18">
        <f t="shared" si="3"/>
        <v>3.7027290506813193E-2</v>
      </c>
    </row>
    <row r="54" spans="2:18">
      <c r="B54"/>
      <c r="C54"/>
      <c r="D54"/>
      <c r="N54" s="16">
        <v>44440</v>
      </c>
      <c r="O54" s="17">
        <v>413.186981</v>
      </c>
      <c r="P54" s="18">
        <f t="shared" si="2"/>
        <v>-4.9650031682358819E-2</v>
      </c>
      <c r="Q54" s="17">
        <v>95.045867999999999</v>
      </c>
      <c r="R54" s="18">
        <f t="shared" si="3"/>
        <v>-9.2695922839239664E-2</v>
      </c>
    </row>
    <row r="55" spans="2:18">
      <c r="B55" s="66" t="s">
        <v>48</v>
      </c>
      <c r="C55" s="66"/>
      <c r="D55" s="66"/>
      <c r="G55" s="109"/>
      <c r="N55" s="16">
        <v>44470</v>
      </c>
      <c r="O55" s="17">
        <v>443.59423800000002</v>
      </c>
      <c r="P55" s="18">
        <f t="shared" si="2"/>
        <v>7.359200168022717E-2</v>
      </c>
      <c r="Q55" s="17">
        <v>110.6036</v>
      </c>
      <c r="R55" s="18">
        <f t="shared" si="3"/>
        <v>0.16368656867860887</v>
      </c>
    </row>
    <row r="56" spans="2:18">
      <c r="B56" s="66" t="s">
        <v>50</v>
      </c>
      <c r="C56" s="66"/>
      <c r="D56" s="66"/>
      <c r="N56" s="16">
        <v>44501</v>
      </c>
      <c r="O56" s="17">
        <v>440.02999899999998</v>
      </c>
      <c r="P56" s="18">
        <f t="shared" si="2"/>
        <v>-8.0349082442320308E-3</v>
      </c>
      <c r="Q56" s="17">
        <v>96.687683000000007</v>
      </c>
      <c r="R56" s="18">
        <f t="shared" si="3"/>
        <v>-0.12581793901825977</v>
      </c>
    </row>
    <row r="57" spans="2:18">
      <c r="B57" s="66" t="s">
        <v>51</v>
      </c>
      <c r="C57" s="68">
        <v>5687</v>
      </c>
      <c r="D57" s="68">
        <v>6803</v>
      </c>
      <c r="N57" s="16">
        <v>44531</v>
      </c>
      <c r="O57" s="17">
        <v>458.76867700000003</v>
      </c>
      <c r="P57" s="18">
        <f t="shared" si="2"/>
        <v>4.2585001119435084E-2</v>
      </c>
      <c r="Q57" s="17">
        <v>91.928391000000005</v>
      </c>
      <c r="R57" s="18">
        <f t="shared" si="3"/>
        <v>-4.9223353506154477E-2</v>
      </c>
    </row>
    <row r="58" spans="2:18">
      <c r="B58" s="66" t="s">
        <v>52</v>
      </c>
      <c r="C58" s="71">
        <v>274</v>
      </c>
      <c r="D58" s="71">
        <v>316</v>
      </c>
      <c r="N58" s="16">
        <v>44562</v>
      </c>
      <c r="O58" s="17">
        <v>436.09936499999998</v>
      </c>
      <c r="P58" s="18">
        <f t="shared" si="2"/>
        <v>-4.9413382247977755E-2</v>
      </c>
      <c r="Q58" s="17">
        <v>90.439018000000004</v>
      </c>
      <c r="R58" s="18">
        <f t="shared" si="3"/>
        <v>-1.6201447494060939E-2</v>
      </c>
    </row>
    <row r="59" spans="2:18">
      <c r="B59" s="66" t="s">
        <v>53</v>
      </c>
      <c r="C59" s="71">
        <v>1116</v>
      </c>
      <c r="D59" s="71">
        <v>1103</v>
      </c>
      <c r="N59" s="16">
        <v>44593</v>
      </c>
      <c r="O59" s="17">
        <v>423.22701999999998</v>
      </c>
      <c r="P59" s="18">
        <f t="shared" si="2"/>
        <v>-2.9517000099277824E-2</v>
      </c>
      <c r="Q59" s="17">
        <v>88.034119000000004</v>
      </c>
      <c r="R59" s="18">
        <f t="shared" si="3"/>
        <v>-2.6591387801225386E-2</v>
      </c>
    </row>
    <row r="60" spans="2:18">
      <c r="B60" s="66" t="s">
        <v>54</v>
      </c>
      <c r="C60" s="71">
        <v>405</v>
      </c>
      <c r="D60" s="71">
        <v>845</v>
      </c>
      <c r="N60" s="16">
        <v>44621</v>
      </c>
      <c r="O60" s="17">
        <v>437.77630599999998</v>
      </c>
      <c r="P60" s="18">
        <f t="shared" si="2"/>
        <v>3.4377025360998958E-2</v>
      </c>
      <c r="Q60" s="17">
        <v>82.805267000000001</v>
      </c>
      <c r="R60" s="18">
        <f t="shared" si="3"/>
        <v>-5.9395744052371358E-2</v>
      </c>
    </row>
    <row r="61" spans="2:18">
      <c r="B61" s="66" t="s">
        <v>55</v>
      </c>
      <c r="C61" s="71">
        <v>843</v>
      </c>
      <c r="D61" s="71">
        <v>946</v>
      </c>
      <c r="N61" s="16">
        <v>44652</v>
      </c>
      <c r="O61" s="17">
        <v>400.59371900000002</v>
      </c>
      <c r="P61" s="18">
        <f t="shared" si="2"/>
        <v>-8.4935128946882599E-2</v>
      </c>
      <c r="Q61" s="17">
        <v>82.654128999999998</v>
      </c>
      <c r="R61" s="18">
        <f t="shared" si="3"/>
        <v>-1.8252220598480307E-3</v>
      </c>
    </row>
    <row r="62" spans="2:18">
      <c r="B62" s="66" t="s">
        <v>56</v>
      </c>
      <c r="C62" s="71">
        <v>638</v>
      </c>
      <c r="D62" s="71">
        <v>648</v>
      </c>
      <c r="N62" s="16">
        <v>44682</v>
      </c>
      <c r="O62" s="17">
        <v>401.49798600000003</v>
      </c>
      <c r="P62" s="18">
        <f t="shared" si="2"/>
        <v>2.2573169700645934E-3</v>
      </c>
      <c r="Q62" s="17">
        <v>75.420860000000005</v>
      </c>
      <c r="R62" s="18">
        <f t="shared" si="3"/>
        <v>-8.7512494384884176E-2</v>
      </c>
    </row>
    <row r="63" spans="2:18">
      <c r="B63" s="66" t="s">
        <v>57</v>
      </c>
      <c r="C63" s="71">
        <v>16</v>
      </c>
      <c r="D63" s="71">
        <v>13</v>
      </c>
      <c r="N63" s="16">
        <v>44713</v>
      </c>
      <c r="O63" s="17">
        <v>366.80575599999997</v>
      </c>
      <c r="P63" s="18">
        <f t="shared" si="2"/>
        <v>-8.6406983869652731E-2</v>
      </c>
      <c r="Q63" s="17">
        <v>59.915751999999998</v>
      </c>
      <c r="R63" s="18">
        <f t="shared" si="3"/>
        <v>-0.20558116149829109</v>
      </c>
    </row>
    <row r="64" spans="2:18">
      <c r="B64" s="66" t="s">
        <v>58</v>
      </c>
      <c r="C64" s="71">
        <v>8979</v>
      </c>
      <c r="D64" s="71">
        <v>10674</v>
      </c>
      <c r="N64" s="16">
        <v>44743</v>
      </c>
      <c r="O64" s="17">
        <v>402.314392</v>
      </c>
      <c r="P64" s="18">
        <f t="shared" si="2"/>
        <v>9.6805013059827916E-2</v>
      </c>
      <c r="Q64" s="17">
        <v>71.629279999999994</v>
      </c>
      <c r="R64" s="18">
        <f t="shared" si="3"/>
        <v>0.19549997469780567</v>
      </c>
    </row>
    <row r="65" spans="2:18">
      <c r="B65" s="66" t="s">
        <v>59</v>
      </c>
      <c r="C65" s="71">
        <v>2164</v>
      </c>
      <c r="D65" s="71">
        <v>2061</v>
      </c>
      <c r="N65" s="16">
        <v>44774</v>
      </c>
      <c r="O65" s="17">
        <v>385.89917000000003</v>
      </c>
      <c r="P65" s="18">
        <f t="shared" si="2"/>
        <v>-4.0801975585302852E-2</v>
      </c>
      <c r="Q65" s="17">
        <v>65.767951999999994</v>
      </c>
      <c r="R65" s="18">
        <f t="shared" si="3"/>
        <v>-8.1828660011660004E-2</v>
      </c>
    </row>
    <row r="66" spans="2:18">
      <c r="B66" s="66" t="s">
        <v>60</v>
      </c>
      <c r="C66" s="71">
        <v>705</v>
      </c>
      <c r="D66" s="71">
        <v>533</v>
      </c>
      <c r="N66" s="16">
        <v>44805</v>
      </c>
      <c r="O66" s="17">
        <v>348.79159499999997</v>
      </c>
      <c r="P66" s="18">
        <f t="shared" si="2"/>
        <v>-9.6158732344513886E-2</v>
      </c>
      <c r="Q66" s="17">
        <v>58.929718000000001</v>
      </c>
      <c r="R66" s="18">
        <f t="shared" si="3"/>
        <v>-0.10397517015582292</v>
      </c>
    </row>
    <row r="67" spans="2:18">
      <c r="B67" s="66" t="s">
        <v>61</v>
      </c>
      <c r="C67" s="71">
        <v>1160</v>
      </c>
      <c r="D67" s="71">
        <v>1216</v>
      </c>
      <c r="N67" s="16">
        <v>44835</v>
      </c>
      <c r="O67" s="17">
        <v>378.68905599999999</v>
      </c>
      <c r="P67" s="18">
        <f t="shared" si="2"/>
        <v>8.5717263341738459E-2</v>
      </c>
      <c r="Q67" s="17">
        <v>64.427322000000004</v>
      </c>
      <c r="R67" s="18">
        <f t="shared" si="3"/>
        <v>9.3290858781981623E-2</v>
      </c>
    </row>
    <row r="68" spans="2:18">
      <c r="B68" s="66" t="s">
        <v>62</v>
      </c>
      <c r="C68" s="66"/>
      <c r="D68" s="66"/>
      <c r="N68" s="16">
        <v>44866</v>
      </c>
      <c r="O68" s="17">
        <v>399.74093599999998</v>
      </c>
      <c r="P68" s="18">
        <f t="shared" si="2"/>
        <v>5.5591466577793014E-2</v>
      </c>
      <c r="Q68" s="17">
        <v>80.334023000000002</v>
      </c>
      <c r="R68" s="18">
        <f t="shared" si="3"/>
        <v>0.24689371692338846</v>
      </c>
    </row>
    <row r="69" spans="2:18">
      <c r="B69" s="66" t="s">
        <v>63</v>
      </c>
      <c r="C69" s="66"/>
      <c r="D69" s="66"/>
      <c r="N69" s="16">
        <v>44896</v>
      </c>
      <c r="O69" s="17">
        <v>374.98266599999999</v>
      </c>
      <c r="P69" s="18">
        <f t="shared" si="2"/>
        <v>-6.1935788332671549E-2</v>
      </c>
      <c r="Q69" s="17">
        <v>75.540344000000005</v>
      </c>
      <c r="R69" s="18">
        <f t="shared" si="3"/>
        <v>-5.9671840410631449E-2</v>
      </c>
    </row>
    <row r="70" spans="2:18">
      <c r="B70" s="66" t="s">
        <v>64</v>
      </c>
      <c r="C70" s="66"/>
      <c r="D70" s="66"/>
      <c r="N70" s="16">
        <v>44927</v>
      </c>
      <c r="O70" s="17">
        <v>400.39456200000001</v>
      </c>
      <c r="P70" s="18">
        <f t="shared" si="2"/>
        <v>6.7768188516746042E-2</v>
      </c>
      <c r="Q70" s="17">
        <v>84.463454999999996</v>
      </c>
      <c r="R70" s="18">
        <f t="shared" si="3"/>
        <v>0.11812378032061899</v>
      </c>
    </row>
    <row r="71" spans="2:18">
      <c r="B71" s="66" t="s">
        <v>65</v>
      </c>
      <c r="C71" s="66"/>
      <c r="D71" s="66"/>
      <c r="N71" s="16">
        <v>44958</v>
      </c>
      <c r="O71" s="17">
        <v>390.32754499999999</v>
      </c>
      <c r="P71" s="18">
        <f t="shared" si="2"/>
        <v>-2.5142741573997762E-2</v>
      </c>
      <c r="Q71" s="17">
        <v>79.122603999999995</v>
      </c>
      <c r="R71" s="18">
        <f t="shared" si="3"/>
        <v>-6.3232684478748857E-2</v>
      </c>
    </row>
    <row r="72" spans="2:18">
      <c r="B72" s="66" t="s">
        <v>66</v>
      </c>
      <c r="C72" s="106">
        <v>0</v>
      </c>
      <c r="D72" s="106">
        <v>0</v>
      </c>
      <c r="N72" s="16">
        <v>44986</v>
      </c>
      <c r="O72" s="17">
        <v>403.260986</v>
      </c>
      <c r="P72" s="18">
        <f t="shared" si="2"/>
        <v>3.3134840637495833E-2</v>
      </c>
      <c r="Q72" s="17">
        <v>74.514801000000006</v>
      </c>
      <c r="R72" s="18">
        <f t="shared" si="3"/>
        <v>-5.8236240556491126E-2</v>
      </c>
    </row>
    <row r="73" spans="2:18">
      <c r="B73" s="66" t="s">
        <v>67</v>
      </c>
      <c r="C73" s="66"/>
      <c r="D73" s="66"/>
      <c r="N73" s="16">
        <v>45017</v>
      </c>
      <c r="O73" s="17">
        <v>411.26669299999998</v>
      </c>
      <c r="P73" s="18">
        <f t="shared" si="2"/>
        <v>1.9852421329942249E-2</v>
      </c>
      <c r="Q73" s="17">
        <v>71.794028999999995</v>
      </c>
      <c r="R73" s="18">
        <f t="shared" si="3"/>
        <v>-3.6513175415982313E-2</v>
      </c>
    </row>
    <row r="74" spans="2:18">
      <c r="B74" s="66" t="s">
        <v>68</v>
      </c>
      <c r="C74" s="66"/>
      <c r="D74" s="66"/>
      <c r="N74" s="16">
        <v>45047</v>
      </c>
      <c r="O74" s="17">
        <v>413.16519199999999</v>
      </c>
      <c r="P74" s="18">
        <f t="shared" si="2"/>
        <v>4.6162235656657113E-3</v>
      </c>
      <c r="Q74" s="17">
        <v>70.011702999999997</v>
      </c>
      <c r="R74" s="18">
        <f t="shared" si="3"/>
        <v>-2.4825546425316203E-2</v>
      </c>
    </row>
    <row r="75" spans="2:18">
      <c r="B75" s="66" t="s">
        <v>69</v>
      </c>
      <c r="C75" s="71">
        <v>22</v>
      </c>
      <c r="D75" s="71">
        <v>23</v>
      </c>
      <c r="N75" s="16">
        <v>45078</v>
      </c>
      <c r="O75" s="17">
        <v>438.31005900000002</v>
      </c>
      <c r="P75" s="18">
        <f t="shared" si="2"/>
        <v>6.0859112739584331E-2</v>
      </c>
      <c r="Q75" s="17">
        <v>78.952240000000003</v>
      </c>
      <c r="R75" s="18">
        <f t="shared" si="3"/>
        <v>0.12770060742558997</v>
      </c>
    </row>
    <row r="76" spans="2:18">
      <c r="B76" s="66" t="s">
        <v>70</v>
      </c>
      <c r="C76" s="71">
        <v>21</v>
      </c>
      <c r="D76" s="106">
        <v>0</v>
      </c>
      <c r="N76" s="16">
        <v>45108</v>
      </c>
      <c r="O76" s="17">
        <v>454.33883700000001</v>
      </c>
      <c r="P76" s="18">
        <f t="shared" si="2"/>
        <v>3.6569496115534061E-2</v>
      </c>
      <c r="Q76" s="17">
        <v>80.974991000000003</v>
      </c>
      <c r="R76" s="18">
        <f t="shared" si="3"/>
        <v>2.561993174607835E-2</v>
      </c>
    </row>
    <row r="77" spans="2:18">
      <c r="B77" s="66" t="s">
        <v>71</v>
      </c>
      <c r="C77" s="71">
        <v>2430</v>
      </c>
      <c r="D77" s="71">
        <v>2668</v>
      </c>
      <c r="N77" s="16">
        <v>45139</v>
      </c>
      <c r="O77" s="17">
        <v>446.954926</v>
      </c>
      <c r="P77" s="18">
        <f t="shared" si="2"/>
        <v>-1.6251991682586509E-2</v>
      </c>
      <c r="Q77" s="17">
        <v>74.539885999999996</v>
      </c>
      <c r="R77" s="18">
        <f t="shared" si="3"/>
        <v>-7.9470277434177228E-2</v>
      </c>
    </row>
    <row r="78" spans="2:18">
      <c r="B78" s="66" t="s">
        <v>72</v>
      </c>
      <c r="C78" s="71">
        <v>322</v>
      </c>
      <c r="D78" s="71">
        <v>329</v>
      </c>
      <c r="N78" s="16">
        <v>45170</v>
      </c>
      <c r="O78" s="17">
        <v>424.25732399999998</v>
      </c>
      <c r="P78" s="18">
        <f t="shared" si="2"/>
        <v>-5.0782753874380693E-2</v>
      </c>
      <c r="Q78" s="17">
        <v>67.734290999999999</v>
      </c>
      <c r="R78" s="18">
        <f t="shared" si="3"/>
        <v>-9.1301387286801039E-2</v>
      </c>
    </row>
    <row r="79" spans="2:18">
      <c r="B79" s="66" t="s">
        <v>73</v>
      </c>
      <c r="C79" s="71">
        <v>2795</v>
      </c>
      <c r="D79" s="71">
        <v>3020</v>
      </c>
      <c r="N79" s="16">
        <v>45200</v>
      </c>
      <c r="O79" s="17">
        <v>416.51129200000003</v>
      </c>
      <c r="P79" s="18">
        <f t="shared" si="2"/>
        <v>-1.8257862768209843E-2</v>
      </c>
      <c r="Q79" s="17">
        <v>65.989151000000007</v>
      </c>
      <c r="R79" s="18">
        <f t="shared" si="3"/>
        <v>-2.5764497926168528E-2</v>
      </c>
    </row>
    <row r="80" spans="2:18">
      <c r="B80" s="66" t="s">
        <v>74</v>
      </c>
      <c r="C80" s="68">
        <v>15803</v>
      </c>
      <c r="D80" s="68">
        <v>17504</v>
      </c>
      <c r="N80" s="16">
        <v>45231</v>
      </c>
      <c r="O80" s="17">
        <v>454.55703699999998</v>
      </c>
      <c r="P80" s="18">
        <f t="shared" si="2"/>
        <v>9.13438500486079E-2</v>
      </c>
      <c r="Q80" s="17">
        <v>70.057922000000005</v>
      </c>
      <c r="R80" s="18">
        <f t="shared" si="3"/>
        <v>6.1658180751560154E-2</v>
      </c>
    </row>
    <row r="81" spans="14:18">
      <c r="N81" s="16">
        <v>45261</v>
      </c>
      <c r="O81" s="17">
        <v>473.39068600000002</v>
      </c>
      <c r="P81" s="18">
        <f t="shared" si="2"/>
        <v>4.1432972029866511E-2</v>
      </c>
      <c r="Q81" s="17">
        <v>77.306656000000004</v>
      </c>
      <c r="R81" s="18">
        <f t="shared" si="3"/>
        <v>0.10346772774676349</v>
      </c>
    </row>
    <row r="82" spans="14:18">
      <c r="N82" s="16">
        <v>45292</v>
      </c>
      <c r="O82" s="17">
        <v>482.88000499999998</v>
      </c>
      <c r="P82" s="18">
        <f t="shared" si="2"/>
        <v>2.0045428185716307E-2</v>
      </c>
      <c r="Q82" s="17">
        <v>72.489998</v>
      </c>
      <c r="R82" s="18">
        <f t="shared" si="3"/>
        <v>-6.2305864064279293E-2</v>
      </c>
    </row>
    <row r="83" spans="14:18">
      <c r="N83" s="16">
        <v>45323</v>
      </c>
      <c r="O83" s="17">
        <v>500.98001099999999</v>
      </c>
      <c r="P83" s="18">
        <f t="shared" si="2"/>
        <v>3.7483444774235375E-2</v>
      </c>
      <c r="Q83" s="17">
        <v>75.919998000000007</v>
      </c>
      <c r="R83" s="18">
        <f t="shared" si="3"/>
        <v>4.7316872598065274E-2</v>
      </c>
    </row>
    <row r="84" spans="14:18">
      <c r="N84" s="17"/>
      <c r="O84" s="18"/>
      <c r="P84" s="17"/>
      <c r="Q84" s="18"/>
      <c r="R84" s="56"/>
    </row>
    <row r="85" spans="14:18">
      <c r="N85" s="17"/>
      <c r="O85" s="18"/>
      <c r="P85" s="17"/>
      <c r="Q85" s="18"/>
      <c r="R85" s="56"/>
    </row>
    <row r="86" spans="14:18">
      <c r="N86" s="55" t="s">
        <v>150</v>
      </c>
      <c r="O86" s="56"/>
      <c r="P86" s="56"/>
      <c r="Q86" s="56"/>
      <c r="R86" s="56"/>
    </row>
    <row r="87" spans="14:18">
      <c r="N87" s="55" t="s">
        <v>151</v>
      </c>
      <c r="O87" s="56"/>
      <c r="P87" s="56"/>
      <c r="Q87" s="56"/>
      <c r="R87" s="56"/>
    </row>
    <row r="88" spans="14:18">
      <c r="N88" s="55" t="s">
        <v>152</v>
      </c>
      <c r="O88" s="56"/>
      <c r="P88" s="56"/>
      <c r="Q88" s="56"/>
      <c r="R88" s="56"/>
    </row>
    <row r="89" spans="14:18">
      <c r="N89" s="55" t="s">
        <v>153</v>
      </c>
      <c r="O89" s="56"/>
      <c r="P89" s="56"/>
      <c r="Q89" s="56"/>
      <c r="R89" s="56"/>
    </row>
    <row r="90" spans="14:18">
      <c r="N90" s="55" t="s">
        <v>154</v>
      </c>
      <c r="O90" s="56"/>
      <c r="P90" s="56"/>
      <c r="Q90" s="56"/>
      <c r="R90" s="56"/>
    </row>
  </sheetData>
  <mergeCells count="2">
    <mergeCell ref="O22:P22"/>
    <mergeCell ref="Q22:R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fb58974-aff0-4093-bc6e-25195000061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9B844C75BAB649892791B78A5DB014" ma:contentTypeVersion="14" ma:contentTypeDescription="Create a new document." ma:contentTypeScope="" ma:versionID="b149a5971ef29d14623388904a2963dd">
  <xsd:schema xmlns:xsd="http://www.w3.org/2001/XMLSchema" xmlns:xs="http://www.w3.org/2001/XMLSchema" xmlns:p="http://schemas.microsoft.com/office/2006/metadata/properties" xmlns:ns3="3fb58974-aff0-4093-bc6e-251950000619" xmlns:ns4="a2565db3-4a29-46a5-ae76-50b047738c24" targetNamespace="http://schemas.microsoft.com/office/2006/metadata/properties" ma:root="true" ma:fieldsID="5e4c033dd4c0ab7012dbec771d1c3363" ns3:_="" ns4:_="">
    <xsd:import namespace="3fb58974-aff0-4093-bc6e-251950000619"/>
    <xsd:import namespace="a2565db3-4a29-46a5-ae76-50b047738c2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b58974-aff0-4093-bc6e-251950000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2565db3-4a29-46a5-ae76-50b047738c2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82464D-0AF5-4027-912B-AF9129D063C5}"/>
</file>

<file path=customXml/itemProps2.xml><?xml version="1.0" encoding="utf-8"?>
<ds:datastoreItem xmlns:ds="http://schemas.openxmlformats.org/officeDocument/2006/customXml" ds:itemID="{017B3285-6A15-47AF-8AFE-144211E5531A}"/>
</file>

<file path=customXml/itemProps3.xml><?xml version="1.0" encoding="utf-8"?>
<ds:datastoreItem xmlns:ds="http://schemas.openxmlformats.org/officeDocument/2006/customXml" ds:itemID="{29617D0D-A011-473F-8385-C58AC6BDF8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Melvin Vallejo</dc:creator>
  <cp:keywords/>
  <dc:description/>
  <cp:lastModifiedBy/>
  <cp:revision/>
  <dcterms:created xsi:type="dcterms:W3CDTF">2024-02-22T21:42:04Z</dcterms:created>
  <dcterms:modified xsi:type="dcterms:W3CDTF">2024-03-04T16:04:06Z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0x010100F39B844C75BAB649892791B78A5DB014</vt:lpwstr>
  </property>
</Properties>
</file>