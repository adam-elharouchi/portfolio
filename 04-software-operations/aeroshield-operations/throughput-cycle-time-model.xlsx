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. Key Assumptions" sheetId="1" state="visible" r:id="rId3"/>
    <sheet name="2. Throughput Time" sheetId="2" state="visible" r:id="rId4"/>
    <sheet name="3. Cycle Time Calculations" sheetId="3" state="visible" r:id="rId5"/>
    <sheet name="4. P1 vs P1.1 Comparison" sheetId="4" state="visible" r:id="rId6"/>
    <sheet name="5. Delivery Strategy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<sst xmlns="http://schemas.openxmlformats.org/spreadsheetml/2006/main" count="494" uniqueCount="301">
  <si>
    <t xml:space="preserve">AEROSHIELD  |  THROUGHPUT &amp; CYCLE TIME ANALYSIS  |  Key Assumptions &amp; Shift Structure</t>
  </si>
  <si>
    <t xml:space="preserve">Operations Management · Hult International Business School · Spring 2026</t>
  </si>
  <si>
    <t xml:space="preserve">SECTION A  |  KEY ASSUMPTIONS &amp; SHIFT STRUCTURE</t>
  </si>
  <si>
    <t xml:space="preserve">Parameter</t>
  </si>
  <si>
    <t xml:space="preserve">Molding</t>
  </si>
  <si>
    <t xml:space="preserve">Vessel (Solvex+CPD)</t>
  </si>
  <si>
    <t xml:space="preserve">Annealing Oven</t>
  </si>
  <si>
    <t xml:space="preserve">Composite + IGU Line</t>
  </si>
  <si>
    <t xml:space="preserve">Operating Phase</t>
  </si>
  <si>
    <t xml:space="preserve">Phase 1 &amp; 1.1</t>
  </si>
  <si>
    <t xml:space="preserve">Shifts per week (Phase 1)</t>
  </si>
  <si>
    <t xml:space="preserve">Shifts per week (Phase 1.1)</t>
  </si>
  <si>
    <t xml:space="preserve">Working hours per shift (h)</t>
  </si>
  <si>
    <t xml:space="preserve">N/A (continuous)</t>
  </si>
  <si>
    <t xml:space="preserve">Total working hrs/week – P1 (h)</t>
  </si>
  <si>
    <t xml:space="preserve">88 (4×22h)</t>
  </si>
  <si>
    <t xml:space="preserve">Total working hrs/week – P1.1 (h)</t>
  </si>
  <si>
    <t xml:space="preserve">Vessel / Equipment</t>
  </si>
  <si>
    <t xml:space="preserve">New cassette system</t>
  </si>
  <si>
    <t xml:space="preserve">60" vessel</t>
  </si>
  <si>
    <t xml:space="preserve">Annealing oven</t>
  </si>
  <si>
    <t xml:space="preserve">Composite+IGU line</t>
  </si>
  <si>
    <t xml:space="preserve">Units per shift (output)</t>
  </si>
  <si>
    <t xml:space="preserve">120 IGUs / 5 shifts</t>
  </si>
  <si>
    <t xml:space="preserve">Units per week – Phase 1</t>
  </si>
  <si>
    <t xml:space="preserve">600 IGUs</t>
  </si>
  <si>
    <t xml:space="preserve">Units per week – Phase 1.1</t>
  </si>
  <si>
    <t xml:space="preserve">Yield adj. (10% loss – Molding)</t>
  </si>
  <si>
    <t xml:space="preserve">×1.1 factor applied</t>
  </si>
  <si>
    <t xml:space="preserve">—</t>
  </si>
  <si>
    <t xml:space="preserve">Assumption: IGUs per aerogel</t>
  </si>
  <si>
    <t xml:space="preserve">2 IGUs per aerogel</t>
  </si>
  <si>
    <t xml:space="preserve">LEGEND:  Gold/Blue cells = Hardcoded input assumptions  |  Black cells = Formulas (auto-calculate)  |  Do not edit formula cells</t>
  </si>
  <si>
    <t xml:space="preserve">AEROSHIELD  |  THROUGHPUT TIME ANALYSIS  |  Phase 1 &amp; Phase 1.1</t>
  </si>
  <si>
    <t xml:space="preserve">Throughput Time = total elapsed time for one unit/batch to pass through each process stage  |  Critical path = longest sequential chain</t>
  </si>
  <si>
    <t xml:space="preserve">KEY CONCEPT:  Critical path (aerogel route) drives total throughput time.  Glass washing is PARALLEL and does NOT add to total throughput time.</t>
  </si>
  <si>
    <t xml:space="preserve">SECTION B  |  PROCESS DURATION (THROUGHPUT TIME)  —  Phase 1 &amp; Phase 1.1</t>
  </si>
  <si>
    <t xml:space="preserve">Sub-Process</t>
  </si>
  <si>
    <t xml:space="preserve">Unit of Measure</t>
  </si>
  <si>
    <t xml:space="preserve">Duration (min)</t>
  </si>
  <si>
    <t xml:space="preserve">Duration (hrs)</t>
  </si>
  <si>
    <t xml:space="preserve">Sequential / Parallel?</t>
  </si>
  <si>
    <t xml:space="preserve">Bottleneck?</t>
  </si>
  <si>
    <t xml:space="preserve">Notes / Source</t>
  </si>
  <si>
    <t xml:space="preserve">Phase 1.1 Change</t>
  </si>
  <si>
    <t xml:space="preserve">▶  AEROGEL CRITICAL PATH  (Sequential — drives total throughput time)</t>
  </si>
  <si>
    <t xml:space="preserve">1.  Chemical Dosing</t>
  </si>
  <si>
    <t xml:space="preserve">Per batch</t>
  </si>
  <si>
    <t xml:space="preserve">Sequential</t>
  </si>
  <si>
    <t xml:space="preserve">No</t>
  </si>
  <si>
    <t xml:space="preserve">~30 min/batch setup; feeds gel casting</t>
  </si>
  <si>
    <t xml:space="preserve">No change</t>
  </si>
  <si>
    <t xml:space="preserve">2.  Gel Casting into Molds</t>
  </si>
  <si>
    <t xml:space="preserve">Per shift</t>
  </si>
  <si>
    <t xml:space="preserve">12h shift = 720 min; ~65–75 gels/day @ ~10 min/gel</t>
  </si>
  <si>
    <t xml:space="preserve">3.  Gel Initial Curing (in-mold)</t>
  </si>
  <si>
    <t xml:space="preserve">Aging dwell inside mold before demolding; ~1h est.</t>
  </si>
  <si>
    <t xml:space="preserve">4.  Demolding &amp; Transfer to Methanol</t>
  </si>
  <si>
    <t xml:space="preserve">~20 min per batch; move to methanol environment</t>
  </si>
  <si>
    <t xml:space="preserve">5.  Gel Aging Process (pre-vessel)</t>
  </si>
  <si>
    <t xml:space="preserve">WIP wait before vessel loading; ensures gel maturity</t>
  </si>
  <si>
    <t xml:space="preserve">6.  Load Gels into Vessel</t>
  </si>
  <si>
    <t xml:space="preserve">~30 min to load 60-gel batch into 60" vessel</t>
  </si>
  <si>
    <t xml:space="preserve">7.  Solvent Exchange — Solvex</t>
  </si>
  <si>
    <t xml:space="preserve">Per vessel run</t>
  </si>
  <si>
    <t xml:space="preserve">15h sub-stage (part of 30h lid-to-lid vessel run)</t>
  </si>
  <si>
    <t xml:space="preserve">8.  Critical Point Drying — CPD</t>
  </si>
  <si>
    <t xml:space="preserve">YES ← BOTTLENECK</t>
  </si>
  <si>
    <t xml:space="preserve">15h sub-stage; rate-limiting capital step; pressure+temperature controlled</t>
  </si>
  <si>
    <t xml:space="preserve">9.  Depressurization Wait</t>
  </si>
  <si>
    <t xml:space="preserve">~30 min controlled pressure release after CPD</t>
  </si>
  <si>
    <t xml:space="preserve">10. Unload Aerogels from Vessel</t>
  </si>
  <si>
    <t xml:space="preserve">~20 min unload + visual check</t>
  </si>
  <si>
    <t xml:space="preserve">11. Quality Grading / QC (post-vessel)</t>
  </si>
  <si>
    <t xml:space="preserve">2h grading; Thursday 8am–12pm in pilot</t>
  </si>
  <si>
    <t xml:space="preserve">12. Load into Annealing Oven</t>
  </si>
  <si>
    <t xml:space="preserve">~15 min load time per batch</t>
  </si>
  <si>
    <t xml:space="preserve">13. Thermal Curing — Annealing</t>
  </si>
  <si>
    <t xml:space="preserve">22h oven curing; Thurs 1pm–Fri 8am in pilot</t>
  </si>
  <si>
    <t xml:space="preserve">14. Unload from Oven + QC</t>
  </si>
  <si>
    <t xml:space="preserve">~30 min unload + secondary quality inspection</t>
  </si>
  <si>
    <t xml:space="preserve">15. Finished Aerogel Storage (buffer)</t>
  </si>
  <si>
    <t xml:space="preserve">~30 min inspection + transfer to dry-room storage</t>
  </si>
  <si>
    <t xml:space="preserve">AEROGEL PATH TOTAL  (Critical Chain)</t>
  </si>
  <si>
    <t xml:space="preserve">Vessel CPD = bottleneck</t>
  </si>
  <si>
    <t xml:space="preserve">SUM of all 15 aerogel sub-process stages</t>
  </si>
  <si>
    <t xml:space="preserve">Same in P1.1</t>
  </si>
  <si>
    <t xml:space="preserve">▶  COMPOSITE + IGU PATH  (Begins after aerogel is ready — sequential downstream)</t>
  </si>
  <si>
    <t xml:space="preserve">16. Glass Washing (Glass 1 &amp; 2)</t>
  </si>
  <si>
    <t xml:space="preserve">Per glass sheet</t>
  </si>
  <si>
    <t xml:space="preserve">PARALLEL — does not add to critical path</t>
  </si>
  <si>
    <t xml:space="preserve">~7 min per sheet; runs concurrently with aerogel stages</t>
  </si>
  <si>
    <t xml:space="preserve">17. Transfer Aerogel to Dry Room</t>
  </si>
  <si>
    <t xml:space="preserve">~10 min transfer from storage to composite room</t>
  </si>
  <si>
    <t xml:space="preserve">18. Laser Cutting to Window Size</t>
  </si>
  <si>
    <t xml:space="preserve">Per aerogel</t>
  </si>
  <si>
    <t xml:space="preserve">10–15 min per aerogel; midpoint ~12.5 min used</t>
  </si>
  <si>
    <t xml:space="preserve">19. Apply Adhesive (Spray)</t>
  </si>
  <si>
    <t xml:space="preserve">Per unit</t>
  </si>
  <si>
    <t xml:space="preserve">~5 min adhesive spray application per composite unit</t>
  </si>
  <si>
    <t xml:space="preserve">20. Composite Formation (Vacuum Press)</t>
  </si>
  <si>
    <t xml:space="preserve">Per composite</t>
  </si>
  <si>
    <t xml:space="preserve">25 min incl. press + adhesive; Phase 1 slide data</t>
  </si>
  <si>
    <t xml:space="preserve">21. Composite Curing Wait</t>
  </si>
  <si>
    <t xml:space="preserve">30 min oven curing cycle; Phase 1 slide data</t>
  </si>
  <si>
    <t xml:space="preserve">22. Composite Storage (WIP buffer)</t>
  </si>
  <si>
    <t xml:space="preserve">~10 min move + staging before IGU assembly</t>
  </si>
  <si>
    <t xml:space="preserve">23. Mark &amp; Wash Glass 2</t>
  </si>
  <si>
    <t xml:space="preserve">Per sheet</t>
  </si>
  <si>
    <t xml:space="preserve">~7 min; marking + secondary glass wash</t>
  </si>
  <si>
    <t xml:space="preserve">24. Add Spacer</t>
  </si>
  <si>
    <t xml:space="preserve">~5 min per unit; spacer placement on glass 2</t>
  </si>
  <si>
    <t xml:space="preserve">25. IGU Assembly — Composite + Glass 2</t>
  </si>
  <si>
    <t xml:space="preserve">Per IGU</t>
  </si>
  <si>
    <t xml:space="preserve">20 min per IGU; Phase 1 slide data</t>
  </si>
  <si>
    <t xml:space="preserve">26. Argon Gas Fill</t>
  </si>
  <si>
    <t xml:space="preserve">~10 min argon fill; simultaneous multi-station fill</t>
  </si>
  <si>
    <t xml:space="preserve">27. Edge Sealing</t>
  </si>
  <si>
    <t xml:space="preserve">~8 min per IGU sealing</t>
  </si>
  <si>
    <t xml:space="preserve">28. Final Product Quality Inspection</t>
  </si>
  <si>
    <t xml:space="preserve">~10 min final QC; pass → shipping; fail → scrap/rework</t>
  </si>
  <si>
    <t xml:space="preserve">COMPOSITE + IGU PATH TOTAL  (sequential steps only; glass wash excluded)</t>
  </si>
  <si>
    <t xml:space="preserve">No additional bottleneck</t>
  </si>
  <si>
    <t xml:space="preserve">Steps 17–28 summed (glass wash runs in parallel)</t>
  </si>
  <si>
    <t xml:space="preserve">★  TOTAL END-TO-END THROUGHPUT TIME  (Critical Path)</t>
  </si>
  <si>
    <t xml:space="preserve">Per unit (batch)</t>
  </si>
  <si>
    <t xml:space="preserve">Aerogel path is critical chain</t>
  </si>
  <si>
    <t xml:space="preserve">Vessel CPD = system bottleneck</t>
  </si>
  <si>
    <t xml:space="preserve">Aerogel path + Composite path (sequential, downstream stages)</t>
  </si>
  <si>
    <t xml:space="preserve">Same per-unit time in P1.1 — only volume changes</t>
  </si>
  <si>
    <t xml:space="preserve">★  INSIGHT:  The Vessel CPD stage (30h lid-to-lid = steps 7+8) drives the entire production schedule. All other steps are secondary. Glass washing is parallel and irrelevant to critical path. Phase 1.1 adds a 5th vessel run per week — it does NOT shorten per-unit throughput time; it increases weekly VOLUME.</t>
  </si>
  <si>
    <t xml:space="preserve">AEROSHIELD  |  CYCLE TIME CALCULATIONS  |  Phase 1 &amp; Phase 1.1</t>
  </si>
  <si>
    <t xml:space="preserve">Cycle Time = Available Time (min/week) ÷ Units Produced per Week  |  Lower cycle time = higher throughput rate  |  Bottleneck = highest cycle time</t>
  </si>
  <si>
    <t xml:space="preserve">FORMULA:   Cycle Time (min/unit) = [Shifts per week × Hours per shift × 60] ÷ Units per week   |   Gold/Blue cells = INPUT assumptions</t>
  </si>
  <si>
    <t xml:space="preserve">PHASE 1  |  60" Vessel Commissioning — 4 vessel runs/week</t>
  </si>
  <si>
    <t xml:space="preserve">Process / Station</t>
  </si>
  <si>
    <t xml:space="preserve">Shifts or
Runs / Week</t>
  </si>
  <si>
    <t xml:space="preserve">Working Hours
/ Shift</t>
  </si>
  <si>
    <t xml:space="preserve">Available Time
(min / week)</t>
  </si>
  <si>
    <t xml:space="preserve">Units / Week</t>
  </si>
  <si>
    <t xml:space="preserve">Cycle Time
(min / unit)</t>
  </si>
  <si>
    <t xml:space="preserve">Cycle Time
(hrs / unit)</t>
  </si>
  <si>
    <t xml:space="preserve">Bottleneck Status</t>
  </si>
  <si>
    <t xml:space="preserve">Notes</t>
  </si>
  <si>
    <t xml:space="preserve">Gel Casting / Molding</t>
  </si>
  <si>
    <t xml:space="preserve">12h shift; cassette system ~65-75 gels/day</t>
  </si>
  <si>
    <t xml:space="preserve">Vessel — Solvex + CPD</t>
  </si>
  <si>
    <t xml:space="preserve">YES ← SYSTEM BOTTLENECK</t>
  </si>
  <si>
    <t xml:space="preserve">30h lid-to-lid per run (Solvex 15h + CPD 15h)</t>
  </si>
  <si>
    <t xml:space="preserve">Grading / QC (post-vessel)</t>
  </si>
  <si>
    <t xml:space="preserve">2h grading session per vessel batch</t>
  </si>
  <si>
    <t xml:space="preserve">Annealing — Thermal Curing</t>
  </si>
  <si>
    <t xml:space="preserve">No  (tied to vessel batch rate)</t>
  </si>
  <si>
    <t xml:space="preserve">22h oven curing cycle per batch</t>
  </si>
  <si>
    <t xml:space="preserve">Glass Washing (offline/parallel)</t>
  </si>
  <si>
    <t xml:space="preserve">No  (PARALLEL — does not constrain)</t>
  </si>
  <si>
    <t xml:space="preserve">Parallel to aerogel line; 7 min/sheet</t>
  </si>
  <si>
    <t xml:space="preserve">Aerogel Laser Cutting</t>
  </si>
  <si>
    <t xml:space="preserve">10-15 min per aerogel; midpoint used</t>
  </si>
  <si>
    <t xml:space="preserve">Composite Formation (press)</t>
  </si>
  <si>
    <t xml:space="preserve">25 min vacuum press + adhesive</t>
  </si>
  <si>
    <t xml:space="preserve">Composite Curing</t>
  </si>
  <si>
    <t xml:space="preserve">30 min oven curing cycle</t>
  </si>
  <si>
    <t xml:space="preserve">IGU Assembly + Argon Fill</t>
  </si>
  <si>
    <t xml:space="preserve">20 min per IGU assembly + argon fill</t>
  </si>
  <si>
    <t xml:space="preserve">Edge Sealing + Final QC</t>
  </si>
  <si>
    <t xml:space="preserve">~8 min sealing + ~10 min QC</t>
  </si>
  <si>
    <t xml:space="preserve">Phase 1 Bottleneck: Vessel (Solvex+CPD)  —  Cycle time = 4 runs × 24h × 60 ÷ 240 units =</t>
  </si>
  <si>
    <t xml:space="preserve">min/unit</t>
  </si>
  <si>
    <t xml:space="preserve">(highest in system)</t>
  </si>
  <si>
    <t xml:space="preserve">PHASE 1.1  |  60" Vessel Operational — 5 vessel runs/week  (Δ from Phase 1 highlighted in orange)</t>
  </si>
  <si>
    <t xml:space="preserve">Δ vs Phase 1</t>
  </si>
  <si>
    <t xml:space="preserve">↑ +1 shift/week vs Phase 1</t>
  </si>
  <si>
    <t xml:space="preserve">↑ +1 run = +60 aerogels/week</t>
  </si>
  <si>
    <t xml:space="preserve">⚠ Monitor — may need +1 run</t>
  </si>
  <si>
    <t xml:space="preserve">Unchanged; monitor at P1.1 volumes</t>
  </si>
  <si>
    <t xml:space="preserve">No  (PARALLEL)</t>
  </si>
  <si>
    <t xml:space="preserve">CT improves due to higher volume</t>
  </si>
  <si>
    <t xml:space="preserve">Phase 1.1 Bottleneck: Vessel (Solvex+CPD)  —  Cycle time = 5 runs × 24h × 60 ÷ 300 units =</t>
  </si>
  <si>
    <t xml:space="preserve">Same per-unit CT — more volume, same rate</t>
  </si>
  <si>
    <t xml:space="preserve">★  CYCLE TIME FINDING:  The Vessel (CPD) cycle time is 24.0 min/unit in BOTH phases — the bottleneck is NOT removed by Phase 1.1. Phase 1.1 increases total weekly output from 240 → 300 aerogels (+25%) by adding a 5th run, not by speeding up any process. The annealing oven remains at 4 runs/week and must be tracked as a secondary constraint at P1.1 volumes.</t>
  </si>
  <si>
    <t xml:space="preserve">AEROSHIELD  |  PHASE 1 vs. PHASE 1.1  —  CYCLE TIME &amp; OUTPUT COMPARISON</t>
  </si>
  <si>
    <t xml:space="preserve">Side-by-side comparison highlighting changes in volume, cycle time, and bottleneck status across phases</t>
  </si>
  <si>
    <t xml:space="preserve">SECTION A  |  PRODUCTION OUTPUT METRICS</t>
  </si>
  <si>
    <t xml:space="preserve">KPI</t>
  </si>
  <si>
    <t xml:space="preserve">Phase 1 (4 runs/wk)</t>
  </si>
  <si>
    <t xml:space="preserve">Phase 1.1 (5 runs/wk)</t>
  </si>
  <si>
    <t xml:space="preserve">Change</t>
  </si>
  <si>
    <t xml:space="preserve">Status</t>
  </si>
  <si>
    <t xml:space="preserve">Weekly Aerogel Output</t>
  </si>
  <si>
    <t xml:space="preserve">240 units</t>
  </si>
  <si>
    <t xml:space="preserve">300 units</t>
  </si>
  <si>
    <t xml:space="preserve">+60  (+25%)</t>
  </si>
  <si>
    <t xml:space="preserve">↑ Improving</t>
  </si>
  <si>
    <t xml:space="preserve">Need 373 aerogels/wk for 5,600 sqft target</t>
  </si>
  <si>
    <t xml:space="preserve">Weekly IGU Output</t>
  </si>
  <si>
    <t xml:space="preserve">480 IGUs</t>
  </si>
  <si>
    <t xml:space="preserve">+120  (+25%)</t>
  </si>
  <si>
    <t xml:space="preserve">2 IGUs per aerogel; aligns to scaleup demand</t>
  </si>
  <si>
    <t xml:space="preserve">End-to-End Throughput Time</t>
  </si>
  <si>
    <t xml:space="preserve">~74 hrs</t>
  </si>
  <si>
    <t xml:space="preserve">Unchanged</t>
  </si>
  <si>
    <t xml:space="preserve">→ Neutral</t>
  </si>
  <si>
    <t xml:space="preserve">Same per-unit time; only volume increases</t>
  </si>
  <si>
    <t xml:space="preserve">Vessel CT (min/unit)</t>
  </si>
  <si>
    <t xml:space="preserve">24.0 min/unit</t>
  </si>
  <si>
    <t xml:space="preserve">30h run ÷ 60 units; scheduling CT = 24 min</t>
  </si>
  <si>
    <t xml:space="preserve">Vessel Utilisation</t>
  </si>
  <si>
    <t xml:space="preserve">~71%</t>
  </si>
  <si>
    <t xml:space="preserve">~89%</t>
  </si>
  <si>
    <t xml:space="preserve">+18 pp</t>
  </si>
  <si>
    <t xml:space="preserve">Target ≤90%; leave ≥10% for maintenance</t>
  </si>
  <si>
    <t xml:space="preserve">Aerogel Yield (post-CPD)</t>
  </si>
  <si>
    <t xml:space="preserve">~90%</t>
  </si>
  <si>
    <t xml:space="preserve">~90% (target)</t>
  </si>
  <si>
    <t xml:space="preserve">Maintain</t>
  </si>
  <si>
    <t xml:space="preserve">→ Hold</t>
  </si>
  <si>
    <t xml:space="preserve">Improve to 95%+ via in-process QC controls</t>
  </si>
  <si>
    <t xml:space="preserve">Molding Cycle Time</t>
  </si>
  <si>
    <t xml:space="preserve">10.9 min/gel</t>
  </si>
  <si>
    <t xml:space="preserve">Target ≤10 min/gel per design spec</t>
  </si>
  <si>
    <t xml:space="preserve">SECTION B  |  CYCLE TIME BY PROCESS  —  Phase 1 vs. Phase 1.1</t>
  </si>
  <si>
    <t xml:space="preserve">P1 CT (min/unit)</t>
  </si>
  <si>
    <t xml:space="preserve">P1.1 CT (min/unit)</t>
  </si>
  <si>
    <t xml:space="preserve">Δ CT (min/unit)</t>
  </si>
  <si>
    <t xml:space="preserve">P1 Output (units/wk)</t>
  </si>
  <si>
    <t xml:space="preserve">P1.1 Output (units/wk)</t>
  </si>
  <si>
    <t xml:space="preserve">Δ Weekly Output</t>
  </si>
  <si>
    <t xml:space="preserve">Key Insight</t>
  </si>
  <si>
    <t xml:space="preserve">10.9</t>
  </si>
  <si>
    <t xml:space="preserve">0</t>
  </si>
  <si>
    <t xml:space="preserve">264</t>
  </si>
  <si>
    <t xml:space="preserve">330</t>
  </si>
  <si>
    <t xml:space="preserve">+66 units/wk</t>
  </si>
  <si>
    <t xml:space="preserve">+1 shift → +66 gels/wk; CT unchanged per unit</t>
  </si>
  <si>
    <t xml:space="preserve">Vessel — Solvex + CPD  ★</t>
  </si>
  <si>
    <t xml:space="preserve">24.0</t>
  </si>
  <si>
    <t xml:space="preserve">240</t>
  </si>
  <si>
    <t xml:space="preserve">300</t>
  </si>
  <si>
    <t xml:space="preserve">+60 units/wk</t>
  </si>
  <si>
    <t xml:space="preserve">Bottleneck both phases; +1 run → +60 aerogels/wk, CT unchanged</t>
  </si>
  <si>
    <t xml:space="preserve">22.0</t>
  </si>
  <si>
    <t xml:space="preserve">Oven runs unchanged; monitor if volume rises further</t>
  </si>
  <si>
    <t xml:space="preserve">8.75</t>
  </si>
  <si>
    <t xml:space="preserve">7.0</t>
  </si>
  <si>
    <t xml:space="preserve">−1.75</t>
  </si>
  <si>
    <t xml:space="preserve">+1 downstream shift absorbs higher aerogel volume</t>
  </si>
  <si>
    <t xml:space="preserve">Higher IGU rate; same per-unit assembly time</t>
  </si>
  <si>
    <t xml:space="preserve">CT improves with +1 shift; no structural change</t>
  </si>
  <si>
    <t xml:space="preserve">★  KEY INSIGHT:  The Vessel (CPD) cycle time is 24.0 min/unit in BOTH phases. Phase 1.1 is a volume strategy, not a speed strategy. The per-unit throughput time (~74 hours) does not change. The only way to reduce the bottleneck cycle time is to add a second CPD vessel or reduce the lid-to-lid cycle time through process engineering. All downstream processes (composite, IGU assembly) can handle higher volumes by adding one extra shift — this is a low-cost, high-impact lever.</t>
  </si>
  <si>
    <t xml:space="preserve">AEROSHIELD  |  PRODUCT DELIVERY STRATEGY  |  Phase 1 &amp; Phase 1.1</t>
  </si>
  <si>
    <t xml:space="preserve">Make-to-Order batch manufacturing  |  Long-cycle supercritical drying drives scheduling logic</t>
  </si>
  <si>
    <t xml:space="preserve">DELIVERY STRATEGY DIMENSIONS  |  Phase 1 vs. Phase 1.1</t>
  </si>
  <si>
    <t xml:space="preserve">Dimension</t>
  </si>
  <si>
    <t xml:space="preserve">Phase 1 State
(4 runs/week)</t>
  </si>
  <si>
    <t xml:space="preserve">Phase 1.1 State
(5 runs/week)</t>
  </si>
  <si>
    <t xml:space="preserve">Operational Implication</t>
  </si>
  <si>
    <t xml:space="preserve">Key Risk / Constraint</t>
  </si>
  <si>
    <t xml:space="preserve">Recommendation</t>
  </si>
  <si>
    <t xml:space="preserve">Production Strategy</t>
  </si>
  <si>
    <t xml:space="preserve">Make-to-Order (MTO)
Customer order triggers production</t>
  </si>
  <si>
    <t xml:space="preserve">Make-to-Order (MTO)
No change to trigger logic</t>
  </si>
  <si>
    <t xml:space="preserve">Units only produced against confirmed orders; no speculative inventory</t>
  </si>
  <si>
    <t xml:space="preserve">Long lead times (56h+) may lose time-sensitive customers</t>
  </si>
  <si>
    <t xml:space="preserve">Explore MTO/MTS hybrid for standard IGU sizes to reduce lead time</t>
  </si>
  <si>
    <t xml:space="preserve">Batch Size</t>
  </si>
  <si>
    <t xml:space="preserve">60 aerogels / vessel run
66 gels cast (10% buffer)</t>
  </si>
  <si>
    <t xml:space="preserve">60 aerogels / vessel run
5 runs/week</t>
  </si>
  <si>
    <t xml:space="preserve">Batch size fixed by CPD vessel capacity (60" vessel holds 60 patio gels)</t>
  </si>
  <si>
    <t xml:space="preserve">Single batch failure = 60 aerogel loss (entire run gone)</t>
  </si>
  <si>
    <t xml:space="preserve">In-process QC at grading stage to catch defects early; reduce re-run cost</t>
  </si>
  <si>
    <t xml:space="preserve">End-to-End Lead Time</t>
  </si>
  <si>
    <t xml:space="preserve">~56 hours
(Casting → Ship)</t>
  </si>
  <si>
    <t xml:space="preserve">~56 hours per unit
Higher weekly volume throughput</t>
  </si>
  <si>
    <t xml:space="preserve">Customer waits ~56h from confirmed order to dispatch</t>
  </si>
  <si>
    <t xml:space="preserve">Competitor alternatives may offer faster delivery windows</t>
  </si>
  <si>
    <t xml:space="preserve">Pre-position finished aerogel WIP buffer for priority / repeat orders</t>
  </si>
  <si>
    <t xml:space="preserve">WIP Buffer Points</t>
  </si>
  <si>
    <t xml:space="preserve">3 decoupling buffers:
1) Pre-vessel gel store
2) Post-CPD aerogel store
3) Composite WIP</t>
  </si>
  <si>
    <t xml:space="preserve">Same 3 buffers
at higher volume</t>
  </si>
  <si>
    <t xml:space="preserve">Buffers decouple capital steps from assembly; protect throughput</t>
  </si>
  <si>
    <t xml:space="preserve">Larger WIP at P1.1 volumes; floor space + inventory carrying cost</t>
  </si>
  <si>
    <t xml:space="preserve">Size each buffer to hold ≥1 full vessel run (60 aerogels minimum)</t>
  </si>
  <si>
    <t xml:space="preserve">Delivery Frequency</t>
  </si>
  <si>
    <t xml:space="preserve">1 batch/week aligns
to 1 vessel run/week</t>
  </si>
  <si>
    <t xml:space="preserve">4–5 batches/week
possible at P1.1</t>
  </si>
  <si>
    <t xml:space="preserve">Phase 1.1 enables smaller, more frequent deliveries per customer</t>
  </si>
  <si>
    <t xml:space="preserve">Logistics coordination complexity rises with delivery frequency</t>
  </si>
  <si>
    <t xml:space="preserve">Align IGU completion schedule to weekly delivery windows per customer</t>
  </si>
  <si>
    <t xml:space="preserve">Quality Gate Logic</t>
  </si>
  <si>
    <t xml:space="preserve">2 gates: post-CPD
grading + final IGU QC</t>
  </si>
  <si>
    <t xml:space="preserve">Same gates at
higher volume per gate</t>
  </si>
  <si>
    <t xml:space="preserve">Pass/fail decisions critical; failed units go to scrap or rework</t>
  </si>
  <si>
    <t xml:space="preserve">High scrap cost per vessel run; yield directly impacts weekly capacity</t>
  </si>
  <si>
    <t xml:space="preserve">Implement SPC charts + statistical sampling at both gates</t>
  </si>
  <si>
    <t xml:space="preserve">Capacity Utilisation</t>
  </si>
  <si>
    <t xml:space="preserve">Vessel: ~71%
(30h run in 42h available window)</t>
  </si>
  <si>
    <t xml:space="preserve">Vessel: ~89%
(5 × 30h in ~168h week)</t>
  </si>
  <si>
    <t xml:space="preserve">Asset utilisation improves significantly in Phase 1.1</t>
  </si>
  <si>
    <t xml:space="preserve">Very limited slack for maintenance or emergency rework at P1.1</t>
  </si>
  <si>
    <t xml:space="preserve">Schedule preventive maintenance within planned downtime; protect ≥10% slack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</si>
</sst>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3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Calibri"/>
      <family val="0"/>
      <charset val="1"/>
    </font>
    <font>
      <sz val="10"/>
      <color rgb="FFB8D4F0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sz val="11"/>
      <color rgb="FF000000"/>
      <name val="Calibri"/>
      <family val="0"/>
      <charset val="1"/>
    </font>
    <font>
      <b val="true"/>
      <sz val="11"/>
      <color rgb="FF0000CC"/>
      <name val="Calibri"/>
      <family val="0"/>
      <charset val="1"/>
    </font>
    <font>
      <sz val="9"/>
      <color rgb="FF0B1F3A"/>
      <name val="Calibri"/>
      <family val="0"/>
      <charset val="1"/>
    </font>
    <font>
      <sz val="9"/>
      <color rgb="FFB8D4F0"/>
      <name val="Calibri"/>
      <family val="0"/>
      <charset val="1"/>
    </font>
    <font>
      <sz val="9"/>
      <color rgb="FFFFFFFF"/>
      <name val="Calibri"/>
      <family val="0"/>
      <charset val="1"/>
    </font>
    <font>
      <b val="true"/>
      <sz val="10"/>
      <color rgb="FF000000"/>
      <name val="Calibri"/>
      <family val="0"/>
      <charset val="1"/>
    </font>
    <font>
      <sz val="10"/>
      <color rgb="FF000000"/>
      <name val="Calibri"/>
      <family val="0"/>
      <charset val="1"/>
    </font>
    <font>
      <sz val="10"/>
      <color rgb="FFE05252"/>
      <name val="Calibri"/>
      <family val="0"/>
      <charset val="1"/>
    </font>
    <font>
      <b val="true"/>
      <sz val="10"/>
      <color rgb="FFF2A71B"/>
      <name val="Calibri"/>
      <family val="0"/>
      <charset val="1"/>
    </font>
    <font>
      <b val="true"/>
      <sz val="10"/>
      <color rgb="FF4A90C4"/>
      <name val="Calibri"/>
      <family val="0"/>
      <charset val="1"/>
    </font>
    <font>
      <sz val="10"/>
      <color rgb="FF4A90C4"/>
      <name val="Calibri"/>
      <family val="0"/>
      <charset val="1"/>
    </font>
    <font>
      <b val="true"/>
      <sz val="10"/>
      <color rgb="FFFFF2CC"/>
      <name val="Calibri"/>
      <family val="0"/>
      <charset val="1"/>
    </font>
    <font>
      <b val="true"/>
      <sz val="11"/>
      <color rgb="FF0B1F3A"/>
      <name val="Calibri"/>
      <family val="0"/>
      <charset val="1"/>
    </font>
    <font>
      <sz val="10"/>
      <color rgb="FF0000CC"/>
      <name val="Calibri"/>
      <family val="0"/>
      <charset val="1"/>
    </font>
    <font>
      <b val="true"/>
      <sz val="10"/>
      <color rgb="FF0000CC"/>
      <name val="Calibri"/>
      <family val="0"/>
      <charset val="1"/>
    </font>
    <font>
      <b val="true"/>
      <sz val="10"/>
      <color rgb="FFE05252"/>
      <name val="Calibri"/>
      <family val="0"/>
      <charset val="1"/>
    </font>
    <font>
      <b val="true"/>
      <sz val="11"/>
      <color rgb="FFE05252"/>
      <name val="Calibri"/>
      <family val="0"/>
      <charset val="1"/>
    </font>
    <font>
      <b val="true"/>
      <sz val="9"/>
      <color rgb="FF0B1F3A"/>
      <name val="Calibri"/>
      <family val="0"/>
      <charset val="1"/>
    </font>
    <font>
      <b val="true"/>
      <sz val="11"/>
      <color rgb="FFF2A71B"/>
      <name val="Calibri"/>
      <family val="0"/>
      <charset val="1"/>
    </font>
    <font>
      <sz val="10"/>
      <color rgb="FFB08000"/>
      <name val="Calibri"/>
      <family val="0"/>
      <charset val="1"/>
    </font>
    <font>
      <b val="true"/>
      <sz val="10"/>
      <color rgb="FF0B1F3A"/>
      <name val="Calibri"/>
      <family val="0"/>
      <charset val="1"/>
    </font>
    <font>
      <sz val="10"/>
      <color rgb="FF0B1F3A"/>
      <name val="Calibri"/>
      <family val="0"/>
      <charset val="1"/>
    </font>
    <font>
      <sz val="10"/>
      <color rgb="FF2EAD6B"/>
      <name val="Calibri"/>
      <family val="0"/>
      <charset val="1"/>
    </font>
    <font>
      <sz val="9"/>
      <color rgb="FFF2A71B"/>
      <name val="Calibri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0B1F3A"/>
        <bgColor rgb="FF1A3A5C"/>
      </patternFill>
    </fill>
    <fill>
      <patternFill patternType="solid">
        <fgColor rgb="FF1A3A5C"/>
        <bgColor rgb="FF333333"/>
      </patternFill>
    </fill>
    <fill>
      <patternFill patternType="solid">
        <fgColor rgb="FF2B5F8E"/>
        <bgColor rgb="FF0D7A7A"/>
      </patternFill>
    </fill>
    <fill>
      <patternFill patternType="solid">
        <fgColor rgb="FFF4F7FC"/>
        <bgColor rgb="FFEAF6FF"/>
      </patternFill>
    </fill>
    <fill>
      <patternFill patternType="solid">
        <fgColor rgb="FFFFF2CC"/>
        <bgColor rgb="FFFFF0F0"/>
      </patternFill>
    </fill>
    <fill>
      <patternFill patternType="solid">
        <fgColor rgb="FFFFFFFF"/>
        <bgColor rgb="FFFFFBEA"/>
      </patternFill>
    </fill>
    <fill>
      <patternFill patternType="solid">
        <fgColor rgb="FFF2A71B"/>
        <bgColor rgb="FFFFCC00"/>
      </patternFill>
    </fill>
    <fill>
      <patternFill patternType="solid">
        <fgColor rgb="FF4A90C4"/>
        <bgColor rgb="FF808080"/>
      </patternFill>
    </fill>
    <fill>
      <patternFill patternType="solid">
        <fgColor rgb="FFFFF0F0"/>
        <bgColor rgb="FFFFFBEA"/>
      </patternFill>
    </fill>
    <fill>
      <patternFill patternType="solid">
        <fgColor rgb="FF0D7A7A"/>
        <bgColor rgb="FF008080"/>
      </patternFill>
    </fill>
    <fill>
      <patternFill patternType="solid">
        <fgColor rgb="FFEAF6FF"/>
        <bgColor rgb="FFF4F7FC"/>
      </patternFill>
    </fill>
    <fill>
      <patternFill patternType="solid">
        <fgColor rgb="FFFFFBEA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2B5F8E"/>
      </left>
      <right style="thin">
        <color rgb="FF2B5F8E"/>
      </right>
      <top style="thin">
        <color rgb="FF2B5F8E"/>
      </top>
      <bottom style="thin">
        <color rgb="FF2B5F8E"/>
      </bottom>
      <diagonal/>
    </border>
    <border diagonalUp="false" diagonalDown="false">
      <left style="thin">
        <color rgb="FFD0DFF0"/>
      </left>
      <right style="thin">
        <color rgb="FFD0DFF0"/>
      </right>
      <top style="thin">
        <color rgb="FFD0DFF0"/>
      </top>
      <bottom style="thin">
        <color rgb="FFD0DFF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1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1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4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1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5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25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1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5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1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1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9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0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9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0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2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CC"/>
      <rgbColor rgb="FFFFFF00"/>
      <rgbColor rgb="FFFF00FF"/>
      <rgbColor rgb="FF00FFFF"/>
      <rgbColor rgb="FF800000"/>
      <rgbColor rgb="FF008000"/>
      <rgbColor rgb="FF000080"/>
      <rgbColor rgb="FFB08000"/>
      <rgbColor rgb="FF800080"/>
      <rgbColor rgb="FF0D7A7A"/>
      <rgbColor rgb="FFC0C0C0"/>
      <rgbColor rgb="FF808080"/>
      <rgbColor rgb="FF9999FF"/>
      <rgbColor rgb="FF993366"/>
      <rgbColor rgb="FFFFF2CC"/>
      <rgbColor rgb="FFEAF6FF"/>
      <rgbColor rgb="FF660066"/>
      <rgbColor rgb="FFFF8080"/>
      <rgbColor rgb="FF2B5F8E"/>
      <rgbColor rgb="FFB8D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4F7FC"/>
      <rgbColor rgb="FFD0DFF0"/>
      <rgbColor rgb="FFFFFBEA"/>
      <rgbColor rgb="FF99CCFF"/>
      <rgbColor rgb="FFFF99CC"/>
      <rgbColor rgb="FFCC99FF"/>
      <rgbColor rgb="FFFFF0F0"/>
      <rgbColor rgb="FF3366FF"/>
      <rgbColor rgb="FF33CCCC"/>
      <rgbColor rgb="FF99CC00"/>
      <rgbColor rgb="FFFFCC00"/>
      <rgbColor rgb="FFF2A71B"/>
      <rgbColor rgb="FFE05252"/>
      <rgbColor rgb="FF4A90C4"/>
      <rgbColor rgb="FF969696"/>
      <rgbColor rgb="FF1A3A5C"/>
      <rgbColor rgb="FF2EAD6B"/>
      <rgbColor rgb="FF0B1F3A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0"/>
    <col collapsed="false" customWidth="true" hidden="false" outlineLevel="0" max="4" min="3" style="0" width="22"/>
    <col collapsed="false" customWidth="true" hidden="false" outlineLevel="0" max="5" min="5" style="0" width="24"/>
    <col collapsed="false" customWidth="true" hidden="false" outlineLevel="0" max="9" min="6" style="0" width="5"/>
  </cols>
  <sheetData>
    <row r="1" customFormat="false" ht="34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4" customFormat="false" ht="15" hidden="false" customHeight="true" outlineLevel="0" collapsed="false">
      <c r="A4" s="3" t="s">
        <v>2</v>
      </c>
      <c r="B4" s="3"/>
      <c r="C4" s="3"/>
      <c r="D4" s="3"/>
      <c r="E4" s="3"/>
      <c r="F4" s="3"/>
      <c r="G4" s="3"/>
      <c r="H4" s="3"/>
      <c r="I4" s="3"/>
    </row>
    <row r="5" customFormat="false" ht="15" hidden="false" customHeight="fals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customFormat="false" ht="15" hidden="false" customHeight="false" outlineLevel="0" collapsed="false">
      <c r="A6" s="5" t="s">
        <v>8</v>
      </c>
      <c r="B6" s="6" t="s">
        <v>9</v>
      </c>
      <c r="C6" s="6" t="s">
        <v>9</v>
      </c>
      <c r="D6" s="6" t="s">
        <v>9</v>
      </c>
      <c r="E6" s="6" t="s">
        <v>9</v>
      </c>
    </row>
    <row r="7" customFormat="false" ht="15" hidden="false" customHeight="false" outlineLevel="0" collapsed="false">
      <c r="A7" s="5" t="s">
        <v>10</v>
      </c>
      <c r="B7" s="7" t="n">
        <v>4</v>
      </c>
      <c r="C7" s="7" t="n">
        <v>4</v>
      </c>
      <c r="D7" s="7" t="n">
        <v>4</v>
      </c>
      <c r="E7" s="7" t="n">
        <v>5</v>
      </c>
    </row>
    <row r="8" customFormat="false" ht="15" hidden="false" customHeight="false" outlineLevel="0" collapsed="false">
      <c r="A8" s="5" t="s">
        <v>11</v>
      </c>
      <c r="B8" s="7" t="n">
        <v>5</v>
      </c>
      <c r="C8" s="7" t="n">
        <v>5</v>
      </c>
      <c r="D8" s="7" t="n">
        <v>4</v>
      </c>
      <c r="E8" s="7" t="n">
        <v>5</v>
      </c>
    </row>
    <row r="9" customFormat="false" ht="15" hidden="false" customHeight="false" outlineLevel="0" collapsed="false">
      <c r="A9" s="5" t="s">
        <v>12</v>
      </c>
      <c r="B9" s="7" t="n">
        <v>12</v>
      </c>
      <c r="C9" s="7" t="n">
        <v>24</v>
      </c>
      <c r="D9" s="6" t="s">
        <v>13</v>
      </c>
      <c r="E9" s="7" t="n">
        <v>7</v>
      </c>
    </row>
    <row r="10" customFormat="false" ht="15" hidden="false" customHeight="false" outlineLevel="0" collapsed="false">
      <c r="A10" s="5" t="s">
        <v>14</v>
      </c>
      <c r="B10" s="8" t="n">
        <f aca="false">B7*B9</f>
        <v>48</v>
      </c>
      <c r="C10" s="8" t="n">
        <f aca="false">C7*C9</f>
        <v>96</v>
      </c>
      <c r="D10" s="6" t="s">
        <v>15</v>
      </c>
      <c r="E10" s="8" t="n">
        <f aca="false">E7*E9</f>
        <v>35</v>
      </c>
    </row>
    <row r="11" customFormat="false" ht="15" hidden="false" customHeight="false" outlineLevel="0" collapsed="false">
      <c r="A11" s="5" t="s">
        <v>16</v>
      </c>
      <c r="B11" s="8" t="n">
        <f aca="false">B8*B9</f>
        <v>60</v>
      </c>
      <c r="C11" s="8" t="n">
        <f aca="false">C8*C9</f>
        <v>120</v>
      </c>
      <c r="D11" s="6" t="s">
        <v>15</v>
      </c>
      <c r="E11" s="8" t="n">
        <f aca="false">E8*E9</f>
        <v>35</v>
      </c>
    </row>
    <row r="12" customFormat="false" ht="15" hidden="false" customHeight="false" outlineLevel="0" collapsed="false">
      <c r="A12" s="5" t="s">
        <v>17</v>
      </c>
      <c r="B12" s="6" t="s">
        <v>18</v>
      </c>
      <c r="C12" s="6" t="s">
        <v>19</v>
      </c>
      <c r="D12" s="6" t="s">
        <v>20</v>
      </c>
      <c r="E12" s="6" t="s">
        <v>21</v>
      </c>
    </row>
    <row r="13" customFormat="false" ht="15" hidden="false" customHeight="false" outlineLevel="0" collapsed="false">
      <c r="A13" s="5" t="s">
        <v>22</v>
      </c>
      <c r="B13" s="7" t="n">
        <v>66</v>
      </c>
      <c r="C13" s="7" t="n">
        <v>60</v>
      </c>
      <c r="D13" s="7" t="n">
        <v>60</v>
      </c>
      <c r="E13" s="6" t="s">
        <v>23</v>
      </c>
    </row>
    <row r="14" customFormat="false" ht="15" hidden="false" customHeight="false" outlineLevel="0" collapsed="false">
      <c r="A14" s="5" t="s">
        <v>24</v>
      </c>
      <c r="B14" s="8" t="n">
        <f aca="false">B7*B13</f>
        <v>264</v>
      </c>
      <c r="C14" s="8" t="n">
        <f aca="false">C7*C13</f>
        <v>240</v>
      </c>
      <c r="D14" s="7" t="n">
        <v>240</v>
      </c>
      <c r="E14" s="6" t="s">
        <v>25</v>
      </c>
    </row>
    <row r="15" customFormat="false" ht="15" hidden="false" customHeight="false" outlineLevel="0" collapsed="false">
      <c r="A15" s="5" t="s">
        <v>26</v>
      </c>
      <c r="B15" s="8" t="n">
        <f aca="false">B8*B13</f>
        <v>330</v>
      </c>
      <c r="C15" s="8" t="n">
        <f aca="false">C8*C13</f>
        <v>300</v>
      </c>
      <c r="D15" s="7" t="n">
        <v>240</v>
      </c>
      <c r="E15" s="6" t="s">
        <v>25</v>
      </c>
    </row>
    <row r="16" customFormat="false" ht="15" hidden="false" customHeight="false" outlineLevel="0" collapsed="false">
      <c r="A16" s="5" t="s">
        <v>27</v>
      </c>
      <c r="B16" s="6" t="s">
        <v>28</v>
      </c>
      <c r="C16" s="6" t="s">
        <v>29</v>
      </c>
      <c r="D16" s="6" t="s">
        <v>29</v>
      </c>
      <c r="E16" s="6" t="s">
        <v>29</v>
      </c>
    </row>
    <row r="17" customFormat="false" ht="15" hidden="false" customHeight="false" outlineLevel="0" collapsed="false">
      <c r="A17" s="5" t="s">
        <v>30</v>
      </c>
      <c r="B17" s="6" t="s">
        <v>29</v>
      </c>
      <c r="C17" s="6" t="s">
        <v>29</v>
      </c>
      <c r="D17" s="6" t="s">
        <v>29</v>
      </c>
      <c r="E17" s="6" t="s">
        <v>31</v>
      </c>
    </row>
    <row r="19" customFormat="false" ht="15" hidden="false" customHeight="true" outlineLevel="0" collapsed="false">
      <c r="A19" s="9" t="s">
        <v>32</v>
      </c>
      <c r="B19" s="9"/>
      <c r="C19" s="9"/>
      <c r="D19" s="9"/>
      <c r="E19" s="9"/>
      <c r="F19" s="9"/>
      <c r="G19" s="9"/>
      <c r="H19" s="9"/>
      <c r="I19" s="9"/>
    </row>
  </sheetData>
  <mergeCells count="4">
    <mergeCell ref="A1:I1"/>
    <mergeCell ref="A2:I2"/>
    <mergeCell ref="A4:I4"/>
    <mergeCell ref="A19:I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8"/>
    <col collapsed="false" customWidth="true" hidden="false" outlineLevel="0" max="4" min="3" style="0" width="14"/>
    <col collapsed="false" customWidth="true" hidden="false" outlineLevel="0" max="5" min="5" style="0" width="26"/>
    <col collapsed="false" customWidth="true" hidden="false" outlineLevel="0" max="6" min="6" style="0" width="22"/>
    <col collapsed="false" customWidth="true" hidden="false" outlineLevel="0" max="7" min="7" style="0" width="50"/>
    <col collapsed="false" customWidth="true" hidden="false" outlineLevel="0" max="8" min="8" style="0" width="30"/>
  </cols>
  <sheetData>
    <row r="1" customFormat="false" ht="34.5" hidden="false" customHeight="true" outlineLevel="0" collapsed="false">
      <c r="A1" s="1" t="s">
        <v>33</v>
      </c>
      <c r="B1" s="1"/>
      <c r="C1" s="1"/>
      <c r="D1" s="1"/>
      <c r="E1" s="1"/>
      <c r="F1" s="1"/>
      <c r="G1" s="1"/>
      <c r="H1" s="1"/>
    </row>
    <row r="2" customFormat="false" ht="18" hidden="false" customHeight="true" outlineLevel="0" collapsed="false">
      <c r="A2" s="10" t="s">
        <v>34</v>
      </c>
      <c r="B2" s="10"/>
      <c r="C2" s="10"/>
      <c r="D2" s="10"/>
      <c r="E2" s="10"/>
      <c r="F2" s="10"/>
      <c r="G2" s="10"/>
      <c r="H2" s="10"/>
    </row>
    <row r="3" customFormat="false" ht="15" hidden="false" customHeight="true" outlineLevel="0" collapsed="false">
      <c r="A3" s="11" t="s">
        <v>35</v>
      </c>
      <c r="B3" s="11"/>
      <c r="C3" s="11"/>
      <c r="D3" s="11"/>
      <c r="E3" s="11"/>
      <c r="F3" s="11"/>
      <c r="G3" s="11"/>
      <c r="H3" s="11"/>
    </row>
    <row r="5" customFormat="false" ht="15" hidden="false" customHeight="true" outlineLevel="0" collapsed="false">
      <c r="A5" s="3" t="s">
        <v>36</v>
      </c>
      <c r="B5" s="3"/>
      <c r="C5" s="3"/>
      <c r="D5" s="3"/>
      <c r="E5" s="3"/>
      <c r="F5" s="3"/>
      <c r="G5" s="3"/>
      <c r="H5" s="3"/>
    </row>
    <row r="6" customFormat="false" ht="15" hidden="false" customHeight="false" outlineLevel="0" collapsed="false">
      <c r="A6" s="12" t="s">
        <v>37</v>
      </c>
      <c r="B6" s="12" t="s">
        <v>38</v>
      </c>
      <c r="C6" s="12" t="s">
        <v>39</v>
      </c>
      <c r="D6" s="12" t="s">
        <v>40</v>
      </c>
      <c r="E6" s="12" t="s">
        <v>41</v>
      </c>
      <c r="F6" s="12" t="s">
        <v>42</v>
      </c>
      <c r="G6" s="12" t="s">
        <v>43</v>
      </c>
      <c r="H6" s="12" t="s">
        <v>44</v>
      </c>
    </row>
    <row r="7" customFormat="false" ht="15" hidden="false" customHeight="true" outlineLevel="0" collapsed="false">
      <c r="A7" s="13" t="s">
        <v>45</v>
      </c>
      <c r="B7" s="13"/>
      <c r="C7" s="13"/>
      <c r="D7" s="13"/>
      <c r="E7" s="13"/>
      <c r="F7" s="13"/>
      <c r="G7" s="13"/>
      <c r="H7" s="13"/>
    </row>
    <row r="8" customFormat="false" ht="18" hidden="false" customHeight="true" outlineLevel="0" collapsed="false">
      <c r="A8" s="14" t="s">
        <v>46</v>
      </c>
      <c r="B8" s="15" t="s">
        <v>47</v>
      </c>
      <c r="C8" s="15" t="n">
        <v>30</v>
      </c>
      <c r="D8" s="15" t="n">
        <f aca="false">C9/60</f>
        <v>12</v>
      </c>
      <c r="E8" s="15" t="s">
        <v>48</v>
      </c>
      <c r="F8" s="15" t="s">
        <v>49</v>
      </c>
      <c r="G8" s="16" t="s">
        <v>50</v>
      </c>
      <c r="H8" s="16" t="s">
        <v>51</v>
      </c>
    </row>
    <row r="9" customFormat="false" ht="18" hidden="false" customHeight="true" outlineLevel="0" collapsed="false">
      <c r="A9" s="17" t="s">
        <v>52</v>
      </c>
      <c r="B9" s="18" t="s">
        <v>53</v>
      </c>
      <c r="C9" s="18" t="n">
        <v>720</v>
      </c>
      <c r="D9" s="18" t="n">
        <f aca="false">C10/60</f>
        <v>1</v>
      </c>
      <c r="E9" s="18" t="s">
        <v>48</v>
      </c>
      <c r="F9" s="18" t="s">
        <v>49</v>
      </c>
      <c r="G9" s="19" t="s">
        <v>54</v>
      </c>
      <c r="H9" s="19" t="s">
        <v>51</v>
      </c>
    </row>
    <row r="10" customFormat="false" ht="18" hidden="false" customHeight="true" outlineLevel="0" collapsed="false">
      <c r="A10" s="14" t="s">
        <v>55</v>
      </c>
      <c r="B10" s="15" t="s">
        <v>47</v>
      </c>
      <c r="C10" s="15" t="n">
        <v>60</v>
      </c>
      <c r="D10" s="15" t="n">
        <f aca="false">C11/60</f>
        <v>0.333333333333333</v>
      </c>
      <c r="E10" s="15" t="s">
        <v>48</v>
      </c>
      <c r="F10" s="15" t="s">
        <v>49</v>
      </c>
      <c r="G10" s="16" t="s">
        <v>56</v>
      </c>
      <c r="H10" s="16" t="s">
        <v>51</v>
      </c>
    </row>
    <row r="11" customFormat="false" ht="18" hidden="false" customHeight="true" outlineLevel="0" collapsed="false">
      <c r="A11" s="17" t="s">
        <v>57</v>
      </c>
      <c r="B11" s="18" t="s">
        <v>47</v>
      </c>
      <c r="C11" s="18" t="n">
        <v>20</v>
      </c>
      <c r="D11" s="18" t="n">
        <f aca="false">C12/60</f>
        <v>1</v>
      </c>
      <c r="E11" s="18" t="s">
        <v>48</v>
      </c>
      <c r="F11" s="18" t="s">
        <v>49</v>
      </c>
      <c r="G11" s="19" t="s">
        <v>58</v>
      </c>
      <c r="H11" s="19" t="s">
        <v>51</v>
      </c>
    </row>
    <row r="12" customFormat="false" ht="18" hidden="false" customHeight="true" outlineLevel="0" collapsed="false">
      <c r="A12" s="14" t="s">
        <v>59</v>
      </c>
      <c r="B12" s="15" t="s">
        <v>47</v>
      </c>
      <c r="C12" s="15" t="n">
        <v>60</v>
      </c>
      <c r="D12" s="15" t="n">
        <f aca="false">C13/60</f>
        <v>0.5</v>
      </c>
      <c r="E12" s="15" t="s">
        <v>48</v>
      </c>
      <c r="F12" s="15" t="s">
        <v>49</v>
      </c>
      <c r="G12" s="16" t="s">
        <v>60</v>
      </c>
      <c r="H12" s="16" t="s">
        <v>51</v>
      </c>
    </row>
    <row r="13" customFormat="false" ht="18" hidden="false" customHeight="true" outlineLevel="0" collapsed="false">
      <c r="A13" s="17" t="s">
        <v>61</v>
      </c>
      <c r="B13" s="18" t="s">
        <v>47</v>
      </c>
      <c r="C13" s="18" t="n">
        <v>30</v>
      </c>
      <c r="D13" s="18" t="n">
        <f aca="false">C14/60</f>
        <v>15</v>
      </c>
      <c r="E13" s="18" t="s">
        <v>48</v>
      </c>
      <c r="F13" s="18" t="s">
        <v>49</v>
      </c>
      <c r="G13" s="19" t="s">
        <v>62</v>
      </c>
      <c r="H13" s="19" t="s">
        <v>51</v>
      </c>
    </row>
    <row r="14" customFormat="false" ht="18" hidden="false" customHeight="true" outlineLevel="0" collapsed="false">
      <c r="A14" s="14" t="s">
        <v>63</v>
      </c>
      <c r="B14" s="15" t="s">
        <v>64</v>
      </c>
      <c r="C14" s="15" t="n">
        <v>900</v>
      </c>
      <c r="D14" s="15" t="n">
        <f aca="false">C15/60</f>
        <v>15</v>
      </c>
      <c r="E14" s="15" t="s">
        <v>48</v>
      </c>
      <c r="F14" s="15" t="s">
        <v>49</v>
      </c>
      <c r="G14" s="16" t="s">
        <v>65</v>
      </c>
      <c r="H14" s="16" t="s">
        <v>51</v>
      </c>
    </row>
    <row r="15" customFormat="false" ht="18" hidden="false" customHeight="true" outlineLevel="0" collapsed="false">
      <c r="A15" s="20" t="s">
        <v>66</v>
      </c>
      <c r="B15" s="21" t="s">
        <v>64</v>
      </c>
      <c r="C15" s="21" t="n">
        <v>900</v>
      </c>
      <c r="D15" s="21" t="n">
        <f aca="false">C16/60</f>
        <v>0.5</v>
      </c>
      <c r="E15" s="21" t="s">
        <v>48</v>
      </c>
      <c r="F15" s="22" t="s">
        <v>67</v>
      </c>
      <c r="G15" s="23" t="s">
        <v>68</v>
      </c>
      <c r="H15" s="23" t="s">
        <v>51</v>
      </c>
    </row>
    <row r="16" customFormat="false" ht="18" hidden="false" customHeight="true" outlineLevel="0" collapsed="false">
      <c r="A16" s="14" t="s">
        <v>69</v>
      </c>
      <c r="B16" s="15" t="s">
        <v>64</v>
      </c>
      <c r="C16" s="15" t="n">
        <v>30</v>
      </c>
      <c r="D16" s="15" t="n">
        <f aca="false">C17/60</f>
        <v>0.333333333333333</v>
      </c>
      <c r="E16" s="15" t="s">
        <v>48</v>
      </c>
      <c r="F16" s="15" t="s">
        <v>49</v>
      </c>
      <c r="G16" s="16" t="s">
        <v>70</v>
      </c>
      <c r="H16" s="16" t="s">
        <v>51</v>
      </c>
    </row>
    <row r="17" customFormat="false" ht="18" hidden="false" customHeight="true" outlineLevel="0" collapsed="false">
      <c r="A17" s="17" t="s">
        <v>71</v>
      </c>
      <c r="B17" s="18" t="s">
        <v>47</v>
      </c>
      <c r="C17" s="18" t="n">
        <v>20</v>
      </c>
      <c r="D17" s="18" t="n">
        <f aca="false">C18/60</f>
        <v>2</v>
      </c>
      <c r="E17" s="18" t="s">
        <v>48</v>
      </c>
      <c r="F17" s="18" t="s">
        <v>49</v>
      </c>
      <c r="G17" s="19" t="s">
        <v>72</v>
      </c>
      <c r="H17" s="19" t="s">
        <v>51</v>
      </c>
    </row>
    <row r="18" customFormat="false" ht="18" hidden="false" customHeight="true" outlineLevel="0" collapsed="false">
      <c r="A18" s="14" t="s">
        <v>73</v>
      </c>
      <c r="B18" s="15" t="s">
        <v>47</v>
      </c>
      <c r="C18" s="15" t="n">
        <v>120</v>
      </c>
      <c r="D18" s="15" t="n">
        <f aca="false">C19/60</f>
        <v>0.25</v>
      </c>
      <c r="E18" s="15" t="s">
        <v>48</v>
      </c>
      <c r="F18" s="15" t="s">
        <v>49</v>
      </c>
      <c r="G18" s="16" t="s">
        <v>74</v>
      </c>
      <c r="H18" s="16" t="s">
        <v>51</v>
      </c>
    </row>
    <row r="19" customFormat="false" ht="18" hidden="false" customHeight="true" outlineLevel="0" collapsed="false">
      <c r="A19" s="17" t="s">
        <v>75</v>
      </c>
      <c r="B19" s="18" t="s">
        <v>47</v>
      </c>
      <c r="C19" s="18" t="n">
        <v>15</v>
      </c>
      <c r="D19" s="18" t="n">
        <f aca="false">C20/60</f>
        <v>22</v>
      </c>
      <c r="E19" s="18" t="s">
        <v>48</v>
      </c>
      <c r="F19" s="18" t="s">
        <v>49</v>
      </c>
      <c r="G19" s="19" t="s">
        <v>76</v>
      </c>
      <c r="H19" s="19" t="s">
        <v>51</v>
      </c>
    </row>
    <row r="20" customFormat="false" ht="18" hidden="false" customHeight="true" outlineLevel="0" collapsed="false">
      <c r="A20" s="14" t="s">
        <v>77</v>
      </c>
      <c r="B20" s="15" t="s">
        <v>47</v>
      </c>
      <c r="C20" s="15" t="n">
        <v>1320</v>
      </c>
      <c r="D20" s="15" t="n">
        <f aca="false">C21/60</f>
        <v>0.5</v>
      </c>
      <c r="E20" s="15" t="s">
        <v>48</v>
      </c>
      <c r="F20" s="15" t="s">
        <v>49</v>
      </c>
      <c r="G20" s="16" t="s">
        <v>78</v>
      </c>
      <c r="H20" s="16" t="s">
        <v>51</v>
      </c>
    </row>
    <row r="21" customFormat="false" ht="18" hidden="false" customHeight="true" outlineLevel="0" collapsed="false">
      <c r="A21" s="17" t="s">
        <v>79</v>
      </c>
      <c r="B21" s="18" t="s">
        <v>47</v>
      </c>
      <c r="C21" s="18" t="n">
        <v>30</v>
      </c>
      <c r="D21" s="18" t="n">
        <f aca="false">C22/60</f>
        <v>0.5</v>
      </c>
      <c r="E21" s="18" t="s">
        <v>48</v>
      </c>
      <c r="F21" s="18" t="s">
        <v>49</v>
      </c>
      <c r="G21" s="19" t="s">
        <v>80</v>
      </c>
      <c r="H21" s="19" t="s">
        <v>51</v>
      </c>
    </row>
    <row r="22" customFormat="false" ht="18" hidden="false" customHeight="true" outlineLevel="0" collapsed="false">
      <c r="A22" s="14" t="s">
        <v>81</v>
      </c>
      <c r="B22" s="15" t="s">
        <v>47</v>
      </c>
      <c r="C22" s="15" t="n">
        <v>30</v>
      </c>
      <c r="D22" s="15" t="n">
        <f aca="false">C22/60</f>
        <v>0.5</v>
      </c>
      <c r="E22" s="15" t="s">
        <v>48</v>
      </c>
      <c r="F22" s="15" t="s">
        <v>49</v>
      </c>
      <c r="G22" s="16" t="s">
        <v>82</v>
      </c>
      <c r="H22" s="16" t="s">
        <v>51</v>
      </c>
    </row>
    <row r="23" customFormat="false" ht="21.75" hidden="false" customHeight="true" outlineLevel="0" collapsed="false">
      <c r="A23" s="24" t="s">
        <v>83</v>
      </c>
      <c r="C23" s="25" t="s">
        <v>47</v>
      </c>
      <c r="D23" s="25" t="n">
        <f aca="false">SUM(C8:C22)</f>
        <v>4285</v>
      </c>
      <c r="E23" s="12" t="n">
        <f aca="false">D23/60</f>
        <v>71.4166666666667</v>
      </c>
      <c r="F23" s="12" t="s">
        <v>48</v>
      </c>
      <c r="G23" s="12" t="s">
        <v>84</v>
      </c>
      <c r="H23" s="12" t="s">
        <v>85</v>
      </c>
      <c r="I23" s="12" t="s">
        <v>86</v>
      </c>
    </row>
    <row r="25" customFormat="false" ht="15" hidden="false" customHeight="true" outlineLevel="0" collapsed="false">
      <c r="A25" s="26" t="s">
        <v>87</v>
      </c>
      <c r="B25" s="26"/>
      <c r="C25" s="26"/>
      <c r="D25" s="26"/>
      <c r="E25" s="26"/>
      <c r="F25" s="26"/>
      <c r="G25" s="26"/>
      <c r="H25" s="26"/>
    </row>
    <row r="26" customFormat="false" ht="18" hidden="false" customHeight="true" outlineLevel="0" collapsed="false">
      <c r="A26" s="27" t="s">
        <v>88</v>
      </c>
      <c r="B26" s="28" t="s">
        <v>89</v>
      </c>
      <c r="C26" s="28" t="n">
        <v>7</v>
      </c>
      <c r="D26" s="28" t="n">
        <f aca="false">C26/60</f>
        <v>0.116666666666667</v>
      </c>
      <c r="E26" s="28" t="s">
        <v>90</v>
      </c>
      <c r="F26" s="28" t="s">
        <v>49</v>
      </c>
      <c r="G26" s="29" t="s">
        <v>91</v>
      </c>
      <c r="H26" s="29" t="s">
        <v>51</v>
      </c>
    </row>
    <row r="27" customFormat="false" ht="18" hidden="false" customHeight="true" outlineLevel="0" collapsed="false">
      <c r="A27" s="17" t="s">
        <v>92</v>
      </c>
      <c r="B27" s="18" t="s">
        <v>47</v>
      </c>
      <c r="C27" s="18" t="n">
        <v>10</v>
      </c>
      <c r="D27" s="18" t="n">
        <f aca="false">C27/60</f>
        <v>0.166666666666667</v>
      </c>
      <c r="E27" s="18" t="s">
        <v>48</v>
      </c>
      <c r="F27" s="18" t="s">
        <v>49</v>
      </c>
      <c r="G27" s="19" t="s">
        <v>93</v>
      </c>
      <c r="H27" s="19" t="s">
        <v>51</v>
      </c>
    </row>
    <row r="28" customFormat="false" ht="18" hidden="false" customHeight="true" outlineLevel="0" collapsed="false">
      <c r="A28" s="14" t="s">
        <v>94</v>
      </c>
      <c r="B28" s="15" t="s">
        <v>95</v>
      </c>
      <c r="C28" s="15" t="n">
        <v>13</v>
      </c>
      <c r="D28" s="15" t="n">
        <f aca="false">C28/60</f>
        <v>0.216666666666667</v>
      </c>
      <c r="E28" s="15" t="s">
        <v>48</v>
      </c>
      <c r="F28" s="15" t="s">
        <v>49</v>
      </c>
      <c r="G28" s="16" t="s">
        <v>96</v>
      </c>
      <c r="H28" s="16" t="s">
        <v>51</v>
      </c>
    </row>
    <row r="29" customFormat="false" ht="18" hidden="false" customHeight="true" outlineLevel="0" collapsed="false">
      <c r="A29" s="17" t="s">
        <v>97</v>
      </c>
      <c r="B29" s="18" t="s">
        <v>98</v>
      </c>
      <c r="C29" s="18" t="n">
        <v>5</v>
      </c>
      <c r="D29" s="18" t="n">
        <f aca="false">C29/60</f>
        <v>0.0833333333333333</v>
      </c>
      <c r="E29" s="18" t="s">
        <v>48</v>
      </c>
      <c r="F29" s="18" t="s">
        <v>49</v>
      </c>
      <c r="G29" s="19" t="s">
        <v>99</v>
      </c>
      <c r="H29" s="19" t="s">
        <v>51</v>
      </c>
    </row>
    <row r="30" customFormat="false" ht="18" hidden="false" customHeight="true" outlineLevel="0" collapsed="false">
      <c r="A30" s="14" t="s">
        <v>100</v>
      </c>
      <c r="B30" s="15" t="s">
        <v>101</v>
      </c>
      <c r="C30" s="15" t="n">
        <v>25</v>
      </c>
      <c r="D30" s="15" t="n">
        <f aca="false">C30/60</f>
        <v>0.416666666666667</v>
      </c>
      <c r="E30" s="15" t="s">
        <v>48</v>
      </c>
      <c r="F30" s="15" t="s">
        <v>49</v>
      </c>
      <c r="G30" s="16" t="s">
        <v>102</v>
      </c>
      <c r="H30" s="16" t="s">
        <v>51</v>
      </c>
    </row>
    <row r="31" customFormat="false" ht="18" hidden="false" customHeight="true" outlineLevel="0" collapsed="false">
      <c r="A31" s="17" t="s">
        <v>103</v>
      </c>
      <c r="B31" s="18" t="s">
        <v>101</v>
      </c>
      <c r="C31" s="18" t="n">
        <v>30</v>
      </c>
      <c r="D31" s="18" t="n">
        <f aca="false">C31/60</f>
        <v>0.5</v>
      </c>
      <c r="E31" s="18" t="s">
        <v>48</v>
      </c>
      <c r="F31" s="18" t="s">
        <v>49</v>
      </c>
      <c r="G31" s="19" t="s">
        <v>104</v>
      </c>
      <c r="H31" s="19" t="s">
        <v>51</v>
      </c>
    </row>
    <row r="32" customFormat="false" ht="18" hidden="false" customHeight="true" outlineLevel="0" collapsed="false">
      <c r="A32" s="14" t="s">
        <v>105</v>
      </c>
      <c r="B32" s="15" t="s">
        <v>101</v>
      </c>
      <c r="C32" s="15" t="n">
        <v>10</v>
      </c>
      <c r="D32" s="15" t="n">
        <f aca="false">C32/60</f>
        <v>0.166666666666667</v>
      </c>
      <c r="E32" s="15" t="s">
        <v>48</v>
      </c>
      <c r="F32" s="15" t="s">
        <v>49</v>
      </c>
      <c r="G32" s="16" t="s">
        <v>106</v>
      </c>
      <c r="H32" s="16" t="s">
        <v>51</v>
      </c>
    </row>
    <row r="33" customFormat="false" ht="18" hidden="false" customHeight="true" outlineLevel="0" collapsed="false">
      <c r="A33" s="17" t="s">
        <v>107</v>
      </c>
      <c r="B33" s="18" t="s">
        <v>108</v>
      </c>
      <c r="C33" s="18" t="n">
        <v>7</v>
      </c>
      <c r="D33" s="18" t="n">
        <f aca="false">C33/60</f>
        <v>0.116666666666667</v>
      </c>
      <c r="E33" s="18" t="s">
        <v>48</v>
      </c>
      <c r="F33" s="18" t="s">
        <v>49</v>
      </c>
      <c r="G33" s="19" t="s">
        <v>109</v>
      </c>
      <c r="H33" s="19" t="s">
        <v>51</v>
      </c>
    </row>
    <row r="34" customFormat="false" ht="18" hidden="false" customHeight="true" outlineLevel="0" collapsed="false">
      <c r="A34" s="14" t="s">
        <v>110</v>
      </c>
      <c r="B34" s="15" t="s">
        <v>98</v>
      </c>
      <c r="C34" s="15" t="n">
        <v>5</v>
      </c>
      <c r="D34" s="15" t="n">
        <f aca="false">C34/60</f>
        <v>0.0833333333333333</v>
      </c>
      <c r="E34" s="15" t="s">
        <v>48</v>
      </c>
      <c r="F34" s="15" t="s">
        <v>49</v>
      </c>
      <c r="G34" s="16" t="s">
        <v>111</v>
      </c>
      <c r="H34" s="16" t="s">
        <v>51</v>
      </c>
    </row>
    <row r="35" customFormat="false" ht="18" hidden="false" customHeight="true" outlineLevel="0" collapsed="false">
      <c r="A35" s="17" t="s">
        <v>112</v>
      </c>
      <c r="B35" s="18" t="s">
        <v>113</v>
      </c>
      <c r="C35" s="18" t="n">
        <v>20</v>
      </c>
      <c r="D35" s="18" t="n">
        <f aca="false">C35/60</f>
        <v>0.333333333333333</v>
      </c>
      <c r="E35" s="18" t="s">
        <v>48</v>
      </c>
      <c r="F35" s="18" t="s">
        <v>49</v>
      </c>
      <c r="G35" s="19" t="s">
        <v>114</v>
      </c>
      <c r="H35" s="19" t="s">
        <v>51</v>
      </c>
    </row>
    <row r="36" customFormat="false" ht="18" hidden="false" customHeight="true" outlineLevel="0" collapsed="false">
      <c r="A36" s="14" t="s">
        <v>115</v>
      </c>
      <c r="B36" s="15" t="s">
        <v>113</v>
      </c>
      <c r="C36" s="15" t="n">
        <v>10</v>
      </c>
      <c r="D36" s="15" t="n">
        <f aca="false">C36/60</f>
        <v>0.166666666666667</v>
      </c>
      <c r="E36" s="15" t="s">
        <v>48</v>
      </c>
      <c r="F36" s="15" t="s">
        <v>49</v>
      </c>
      <c r="G36" s="16" t="s">
        <v>116</v>
      </c>
      <c r="H36" s="16" t="s">
        <v>51</v>
      </c>
    </row>
    <row r="37" customFormat="false" ht="18" hidden="false" customHeight="true" outlineLevel="0" collapsed="false">
      <c r="A37" s="17" t="s">
        <v>117</v>
      </c>
      <c r="B37" s="18" t="s">
        <v>113</v>
      </c>
      <c r="C37" s="18" t="n">
        <v>8</v>
      </c>
      <c r="D37" s="18" t="n">
        <f aca="false">C37/60</f>
        <v>0.133333333333333</v>
      </c>
      <c r="E37" s="18" t="s">
        <v>48</v>
      </c>
      <c r="F37" s="18" t="s">
        <v>49</v>
      </c>
      <c r="G37" s="19" t="s">
        <v>118</v>
      </c>
      <c r="H37" s="19" t="s">
        <v>51</v>
      </c>
    </row>
    <row r="38" customFormat="false" ht="18" hidden="false" customHeight="true" outlineLevel="0" collapsed="false">
      <c r="A38" s="14" t="s">
        <v>119</v>
      </c>
      <c r="B38" s="15" t="s">
        <v>47</v>
      </c>
      <c r="C38" s="15" t="n">
        <v>10</v>
      </c>
      <c r="D38" s="15" t="n">
        <f aca="false">C38/60</f>
        <v>0.166666666666667</v>
      </c>
      <c r="E38" s="15" t="s">
        <v>48</v>
      </c>
      <c r="F38" s="15" t="s">
        <v>49</v>
      </c>
      <c r="G38" s="16" t="s">
        <v>120</v>
      </c>
      <c r="H38" s="16" t="s">
        <v>51</v>
      </c>
    </row>
    <row r="39" customFormat="false" ht="21.75" hidden="false" customHeight="true" outlineLevel="0" collapsed="false">
      <c r="A39" s="26" t="s">
        <v>121</v>
      </c>
      <c r="C39" s="30" t="s">
        <v>47</v>
      </c>
      <c r="D39" s="30" t="n">
        <f aca="false">SUM(C27:C38)</f>
        <v>153</v>
      </c>
      <c r="E39" s="31" t="n">
        <f aca="false">D39/60</f>
        <v>2.55</v>
      </c>
      <c r="F39" s="31" t="s">
        <v>48</v>
      </c>
      <c r="G39" s="31" t="s">
        <v>122</v>
      </c>
      <c r="H39" s="31" t="s">
        <v>123</v>
      </c>
      <c r="I39" s="31" t="s">
        <v>86</v>
      </c>
    </row>
    <row r="41" customFormat="false" ht="27.75" hidden="false" customHeight="true" outlineLevel="0" collapsed="false">
      <c r="A41" s="32" t="s">
        <v>124</v>
      </c>
      <c r="B41" s="33" t="s">
        <v>125</v>
      </c>
      <c r="C41" s="33" t="n">
        <f aca="false">D23+D39</f>
        <v>4438</v>
      </c>
      <c r="D41" s="33" t="n">
        <f aca="false">C41/60</f>
        <v>73.9666666666667</v>
      </c>
      <c r="E41" s="33" t="s">
        <v>126</v>
      </c>
      <c r="F41" s="33" t="s">
        <v>127</v>
      </c>
      <c r="G41" s="33" t="s">
        <v>128</v>
      </c>
      <c r="H41" s="33" t="s">
        <v>129</v>
      </c>
    </row>
    <row r="42" customFormat="false" ht="39.75" hidden="false" customHeight="true" outlineLevel="0" collapsed="false">
      <c r="A42" s="34" t="s">
        <v>130</v>
      </c>
      <c r="B42" s="34"/>
      <c r="C42" s="34"/>
      <c r="D42" s="34"/>
      <c r="E42" s="34"/>
      <c r="F42" s="34"/>
      <c r="G42" s="34"/>
      <c r="H42" s="34"/>
    </row>
  </sheetData>
  <mergeCells count="7">
    <mergeCell ref="A1:H1"/>
    <mergeCell ref="A2:H2"/>
    <mergeCell ref="A3:H3"/>
    <mergeCell ref="A5:H5"/>
    <mergeCell ref="A7:H7"/>
    <mergeCell ref="A25:H25"/>
    <mergeCell ref="A42:H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3" min="2" style="0" width="12"/>
    <col collapsed="false" customWidth="true" hidden="false" outlineLevel="0" max="4" min="4" style="0" width="18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7" min="7" style="0" width="14"/>
    <col collapsed="false" customWidth="true" hidden="false" outlineLevel="0" max="8" min="8" style="0" width="35"/>
    <col collapsed="false" customWidth="true" hidden="false" outlineLevel="0" max="9" min="9" style="0" width="38"/>
  </cols>
  <sheetData>
    <row r="1" customFormat="false" ht="34.5" hidden="false" customHeight="true" outlineLevel="0" collapsed="false">
      <c r="A1" s="1" t="s">
        <v>131</v>
      </c>
      <c r="B1" s="1"/>
      <c r="C1" s="1"/>
      <c r="D1" s="1"/>
      <c r="E1" s="1"/>
      <c r="F1" s="1"/>
      <c r="G1" s="1"/>
      <c r="H1" s="1"/>
      <c r="I1" s="1"/>
    </row>
    <row r="2" customFormat="false" ht="18" hidden="false" customHeight="true" outlineLevel="0" collapsed="false">
      <c r="A2" s="10" t="s">
        <v>132</v>
      </c>
      <c r="B2" s="10"/>
      <c r="C2" s="10"/>
      <c r="D2" s="10"/>
      <c r="E2" s="10"/>
      <c r="F2" s="10"/>
      <c r="G2" s="10"/>
      <c r="H2" s="10"/>
      <c r="I2" s="10"/>
    </row>
    <row r="3" customFormat="false" ht="15" hidden="false" customHeight="true" outlineLevel="0" collapsed="false">
      <c r="A3" s="11" t="s">
        <v>133</v>
      </c>
      <c r="B3" s="11"/>
      <c r="C3" s="11"/>
      <c r="D3" s="11"/>
      <c r="E3" s="11"/>
      <c r="F3" s="11"/>
      <c r="G3" s="11"/>
      <c r="H3" s="11"/>
      <c r="I3" s="11"/>
    </row>
    <row r="5" customFormat="false" ht="15" hidden="false" customHeight="true" outlineLevel="0" collapsed="false">
      <c r="A5" s="35" t="s">
        <v>134</v>
      </c>
      <c r="B5" s="35"/>
      <c r="C5" s="35"/>
      <c r="D5" s="35"/>
      <c r="E5" s="35"/>
      <c r="F5" s="35"/>
      <c r="G5" s="35"/>
      <c r="H5" s="35"/>
      <c r="I5" s="35"/>
    </row>
    <row r="6" customFormat="false" ht="30" hidden="false" customHeight="true" outlineLevel="0" collapsed="false">
      <c r="A6" s="36" t="s">
        <v>135</v>
      </c>
      <c r="B6" s="36" t="s">
        <v>136</v>
      </c>
      <c r="C6" s="36" t="s">
        <v>137</v>
      </c>
      <c r="D6" s="36" t="s">
        <v>138</v>
      </c>
      <c r="E6" s="36" t="s">
        <v>139</v>
      </c>
      <c r="F6" s="36" t="s">
        <v>140</v>
      </c>
      <c r="G6" s="36" t="s">
        <v>141</v>
      </c>
      <c r="H6" s="36" t="s">
        <v>142</v>
      </c>
      <c r="I6" s="36" t="s">
        <v>143</v>
      </c>
    </row>
    <row r="7" customFormat="false" ht="18" hidden="false" customHeight="true" outlineLevel="0" collapsed="false">
      <c r="A7" s="14" t="s">
        <v>144</v>
      </c>
      <c r="B7" s="37" t="n">
        <v>4</v>
      </c>
      <c r="C7" s="37" t="n">
        <v>12</v>
      </c>
      <c r="D7" s="15" t="n">
        <f aca="false">B7*C7*60</f>
        <v>2880</v>
      </c>
      <c r="E7" s="37" t="n">
        <v>264</v>
      </c>
      <c r="F7" s="15" t="n">
        <f aca="false">D7/E7</f>
        <v>10.9090909090909</v>
      </c>
      <c r="G7" s="15" t="n">
        <f aca="false">F7/60</f>
        <v>0.181818181818182</v>
      </c>
      <c r="H7" s="16" t="s">
        <v>49</v>
      </c>
      <c r="I7" s="16" t="s">
        <v>145</v>
      </c>
    </row>
    <row r="8" customFormat="false" ht="18" hidden="false" customHeight="true" outlineLevel="0" collapsed="false">
      <c r="A8" s="20" t="s">
        <v>146</v>
      </c>
      <c r="B8" s="38" t="n">
        <v>4</v>
      </c>
      <c r="C8" s="38" t="n">
        <v>24</v>
      </c>
      <c r="D8" s="39" t="n">
        <f aca="false">B8*C8*60</f>
        <v>5760</v>
      </c>
      <c r="E8" s="38" t="n">
        <v>240</v>
      </c>
      <c r="F8" s="39" t="n">
        <f aca="false">D8/E8</f>
        <v>24</v>
      </c>
      <c r="G8" s="39" t="n">
        <f aca="false">F8/60</f>
        <v>0.4</v>
      </c>
      <c r="H8" s="40" t="s">
        <v>147</v>
      </c>
      <c r="I8" s="20" t="s">
        <v>148</v>
      </c>
    </row>
    <row r="9" customFormat="false" ht="18" hidden="false" customHeight="true" outlineLevel="0" collapsed="false">
      <c r="A9" s="14" t="s">
        <v>149</v>
      </c>
      <c r="B9" s="37" t="n">
        <v>4</v>
      </c>
      <c r="C9" s="37" t="n">
        <v>2</v>
      </c>
      <c r="D9" s="15" t="n">
        <f aca="false">B9*C9*60</f>
        <v>480</v>
      </c>
      <c r="E9" s="37" t="n">
        <v>240</v>
      </c>
      <c r="F9" s="15" t="n">
        <f aca="false">D9/E9</f>
        <v>2</v>
      </c>
      <c r="G9" s="15" t="n">
        <f aca="false">F9/60</f>
        <v>0.0333333333333333</v>
      </c>
      <c r="H9" s="16" t="s">
        <v>49</v>
      </c>
      <c r="I9" s="16" t="s">
        <v>150</v>
      </c>
    </row>
    <row r="10" customFormat="false" ht="18" hidden="false" customHeight="true" outlineLevel="0" collapsed="false">
      <c r="A10" s="17" t="s">
        <v>151</v>
      </c>
      <c r="B10" s="37" t="n">
        <v>4</v>
      </c>
      <c r="C10" s="37" t="n">
        <v>22</v>
      </c>
      <c r="D10" s="18" t="n">
        <f aca="false">B10*C10*60</f>
        <v>5280</v>
      </c>
      <c r="E10" s="37" t="n">
        <v>240</v>
      </c>
      <c r="F10" s="18" t="n">
        <f aca="false">D10/E10</f>
        <v>22</v>
      </c>
      <c r="G10" s="18" t="n">
        <f aca="false">F10/60</f>
        <v>0.366666666666667</v>
      </c>
      <c r="H10" s="19" t="s">
        <v>152</v>
      </c>
      <c r="I10" s="19" t="s">
        <v>153</v>
      </c>
    </row>
    <row r="11" customFormat="false" ht="18" hidden="false" customHeight="true" outlineLevel="0" collapsed="false">
      <c r="A11" s="41" t="s">
        <v>154</v>
      </c>
      <c r="B11" s="37" t="n">
        <v>5</v>
      </c>
      <c r="C11" s="37" t="n">
        <v>7</v>
      </c>
      <c r="D11" s="42" t="n">
        <f aca="false">B11*C11*60</f>
        <v>2100</v>
      </c>
      <c r="E11" s="37" t="n">
        <v>300</v>
      </c>
      <c r="F11" s="42" t="n">
        <f aca="false">D11/E11</f>
        <v>7</v>
      </c>
      <c r="G11" s="42" t="n">
        <f aca="false">F11/60</f>
        <v>0.116666666666667</v>
      </c>
      <c r="H11" s="43" t="s">
        <v>155</v>
      </c>
      <c r="I11" s="43" t="s">
        <v>156</v>
      </c>
    </row>
    <row r="12" customFormat="false" ht="18" hidden="false" customHeight="true" outlineLevel="0" collapsed="false">
      <c r="A12" s="17" t="s">
        <v>157</v>
      </c>
      <c r="B12" s="37" t="n">
        <v>5</v>
      </c>
      <c r="C12" s="37" t="n">
        <v>7</v>
      </c>
      <c r="D12" s="18" t="n">
        <f aca="false">B12*C12*60</f>
        <v>2100</v>
      </c>
      <c r="E12" s="37" t="n">
        <v>240</v>
      </c>
      <c r="F12" s="18" t="n">
        <f aca="false">D12/E12</f>
        <v>8.75</v>
      </c>
      <c r="G12" s="18" t="n">
        <f aca="false">F12/60</f>
        <v>0.145833333333333</v>
      </c>
      <c r="H12" s="19" t="s">
        <v>49</v>
      </c>
      <c r="I12" s="19" t="s">
        <v>158</v>
      </c>
    </row>
    <row r="13" customFormat="false" ht="18" hidden="false" customHeight="true" outlineLevel="0" collapsed="false">
      <c r="A13" s="14" t="s">
        <v>159</v>
      </c>
      <c r="B13" s="37" t="n">
        <v>5</v>
      </c>
      <c r="C13" s="37" t="n">
        <v>7</v>
      </c>
      <c r="D13" s="15" t="n">
        <f aca="false">B13*C13*60</f>
        <v>2100</v>
      </c>
      <c r="E13" s="37" t="n">
        <v>240</v>
      </c>
      <c r="F13" s="15" t="n">
        <f aca="false">D13/E13</f>
        <v>8.75</v>
      </c>
      <c r="G13" s="15" t="n">
        <f aca="false">F13/60</f>
        <v>0.145833333333333</v>
      </c>
      <c r="H13" s="16" t="s">
        <v>49</v>
      </c>
      <c r="I13" s="16" t="s">
        <v>160</v>
      </c>
    </row>
    <row r="14" customFormat="false" ht="18" hidden="false" customHeight="true" outlineLevel="0" collapsed="false">
      <c r="A14" s="17" t="s">
        <v>161</v>
      </c>
      <c r="B14" s="37" t="n">
        <v>5</v>
      </c>
      <c r="C14" s="37" t="n">
        <v>7</v>
      </c>
      <c r="D14" s="18" t="n">
        <f aca="false">B14*C14*60</f>
        <v>2100</v>
      </c>
      <c r="E14" s="37" t="n">
        <v>240</v>
      </c>
      <c r="F14" s="18" t="n">
        <f aca="false">D14/E14</f>
        <v>8.75</v>
      </c>
      <c r="G14" s="18" t="n">
        <f aca="false">F14/60</f>
        <v>0.145833333333333</v>
      </c>
      <c r="H14" s="19" t="s">
        <v>49</v>
      </c>
      <c r="I14" s="19" t="s">
        <v>162</v>
      </c>
    </row>
    <row r="15" customFormat="false" ht="18" hidden="false" customHeight="true" outlineLevel="0" collapsed="false">
      <c r="A15" s="14" t="s">
        <v>163</v>
      </c>
      <c r="B15" s="37" t="n">
        <v>5</v>
      </c>
      <c r="C15" s="37" t="n">
        <v>7</v>
      </c>
      <c r="D15" s="15" t="n">
        <f aca="false">B15*C15*60</f>
        <v>2100</v>
      </c>
      <c r="E15" s="37" t="n">
        <v>240</v>
      </c>
      <c r="F15" s="15" t="n">
        <f aca="false">D15/E15</f>
        <v>8.75</v>
      </c>
      <c r="G15" s="15" t="n">
        <f aca="false">F15/60</f>
        <v>0.145833333333333</v>
      </c>
      <c r="H15" s="16" t="s">
        <v>49</v>
      </c>
      <c r="I15" s="16" t="s">
        <v>164</v>
      </c>
    </row>
    <row r="16" customFormat="false" ht="18" hidden="false" customHeight="true" outlineLevel="0" collapsed="false">
      <c r="A16" s="17" t="s">
        <v>165</v>
      </c>
      <c r="B16" s="37" t="n">
        <v>5</v>
      </c>
      <c r="C16" s="37" t="n">
        <v>7</v>
      </c>
      <c r="D16" s="18" t="n">
        <f aca="false">B16*C16*60</f>
        <v>2100</v>
      </c>
      <c r="E16" s="37" t="n">
        <v>240</v>
      </c>
      <c r="F16" s="18" t="n">
        <f aca="false">D16/E16</f>
        <v>8.75</v>
      </c>
      <c r="G16" s="18" t="n">
        <f aca="false">F16/60</f>
        <v>0.145833333333333</v>
      </c>
      <c r="H16" s="19" t="s">
        <v>49</v>
      </c>
      <c r="I16" s="19" t="s">
        <v>166</v>
      </c>
    </row>
    <row r="17" customFormat="false" ht="19.5" hidden="false" customHeight="true" outlineLevel="0" collapsed="false">
      <c r="A17" s="9" t="s">
        <v>167</v>
      </c>
      <c r="B17" s="9"/>
      <c r="C17" s="9"/>
      <c r="D17" s="9"/>
      <c r="E17" s="9"/>
      <c r="F17" s="44" t="n">
        <f aca="false">D8/E8</f>
        <v>24</v>
      </c>
      <c r="G17" s="45" t="s">
        <v>168</v>
      </c>
      <c r="H17" s="45" t="s">
        <v>169</v>
      </c>
      <c r="I17" s="45"/>
    </row>
    <row r="19" customFormat="false" ht="15" hidden="false" customHeight="true" outlineLevel="0" collapsed="false">
      <c r="A19" s="46" t="s">
        <v>170</v>
      </c>
      <c r="B19" s="46"/>
      <c r="C19" s="46"/>
      <c r="D19" s="46"/>
      <c r="E19" s="46"/>
      <c r="F19" s="46"/>
      <c r="G19" s="46"/>
      <c r="H19" s="46"/>
      <c r="I19" s="46"/>
    </row>
    <row r="20" customFormat="false" ht="30" hidden="false" customHeight="true" outlineLevel="0" collapsed="false">
      <c r="A20" s="36" t="s">
        <v>135</v>
      </c>
      <c r="B20" s="36" t="s">
        <v>136</v>
      </c>
      <c r="C20" s="36" t="s">
        <v>137</v>
      </c>
      <c r="D20" s="36" t="s">
        <v>138</v>
      </c>
      <c r="E20" s="36" t="s">
        <v>139</v>
      </c>
      <c r="F20" s="36" t="s">
        <v>140</v>
      </c>
      <c r="G20" s="36" t="s">
        <v>141</v>
      </c>
      <c r="H20" s="36" t="s">
        <v>142</v>
      </c>
      <c r="I20" s="36" t="s">
        <v>171</v>
      </c>
    </row>
    <row r="21" customFormat="false" ht="18" hidden="false" customHeight="true" outlineLevel="0" collapsed="false">
      <c r="A21" s="14" t="s">
        <v>144</v>
      </c>
      <c r="B21" s="37" t="n">
        <v>5</v>
      </c>
      <c r="C21" s="37" t="n">
        <v>12</v>
      </c>
      <c r="D21" s="15" t="n">
        <f aca="false">B21*C21*60</f>
        <v>3600</v>
      </c>
      <c r="E21" s="37" t="n">
        <v>330</v>
      </c>
      <c r="F21" s="15" t="n">
        <f aca="false">D21/E21</f>
        <v>10.9090909090909</v>
      </c>
      <c r="G21" s="15" t="n">
        <f aca="false">F21/60</f>
        <v>0.181818181818182</v>
      </c>
      <c r="H21" s="16" t="s">
        <v>49</v>
      </c>
      <c r="I21" s="16" t="s">
        <v>172</v>
      </c>
    </row>
    <row r="22" customFormat="false" ht="18" hidden="false" customHeight="true" outlineLevel="0" collapsed="false">
      <c r="A22" s="20" t="s">
        <v>146</v>
      </c>
      <c r="B22" s="38" t="n">
        <v>5</v>
      </c>
      <c r="C22" s="38" t="n">
        <v>24</v>
      </c>
      <c r="D22" s="39" t="n">
        <f aca="false">B22*C22*60</f>
        <v>7200</v>
      </c>
      <c r="E22" s="38" t="n">
        <v>300</v>
      </c>
      <c r="F22" s="39" t="n">
        <f aca="false">D22/E22</f>
        <v>24</v>
      </c>
      <c r="G22" s="39" t="n">
        <f aca="false">F22/60</f>
        <v>0.4</v>
      </c>
      <c r="H22" s="40" t="s">
        <v>147</v>
      </c>
      <c r="I22" s="20" t="s">
        <v>173</v>
      </c>
    </row>
    <row r="23" customFormat="false" ht="18" hidden="false" customHeight="true" outlineLevel="0" collapsed="false">
      <c r="A23" s="14" t="s">
        <v>149</v>
      </c>
      <c r="B23" s="37" t="n">
        <v>5</v>
      </c>
      <c r="C23" s="37" t="n">
        <v>2</v>
      </c>
      <c r="D23" s="15" t="n">
        <f aca="false">B23*C23*60</f>
        <v>600</v>
      </c>
      <c r="E23" s="37" t="n">
        <v>300</v>
      </c>
      <c r="F23" s="15" t="n">
        <f aca="false">D23/E23</f>
        <v>2</v>
      </c>
      <c r="G23" s="15" t="n">
        <f aca="false">F23/60</f>
        <v>0.0333333333333333</v>
      </c>
      <c r="H23" s="16" t="s">
        <v>49</v>
      </c>
      <c r="I23" s="16" t="s">
        <v>51</v>
      </c>
    </row>
    <row r="24" customFormat="false" ht="18" hidden="false" customHeight="true" outlineLevel="0" collapsed="false">
      <c r="A24" s="47" t="s">
        <v>151</v>
      </c>
      <c r="B24" s="37" t="n">
        <v>4</v>
      </c>
      <c r="C24" s="37" t="n">
        <v>22</v>
      </c>
      <c r="D24" s="48" t="n">
        <f aca="false">B24*C24*60</f>
        <v>5280</v>
      </c>
      <c r="E24" s="37" t="n">
        <v>240</v>
      </c>
      <c r="F24" s="48" t="n">
        <f aca="false">D24/E24</f>
        <v>22</v>
      </c>
      <c r="G24" s="48" t="n">
        <f aca="false">F24/60</f>
        <v>0.366666666666667</v>
      </c>
      <c r="H24" s="49" t="s">
        <v>174</v>
      </c>
      <c r="I24" s="50" t="s">
        <v>175</v>
      </c>
    </row>
    <row r="25" customFormat="false" ht="18" hidden="false" customHeight="true" outlineLevel="0" collapsed="false">
      <c r="A25" s="41" t="s">
        <v>154</v>
      </c>
      <c r="B25" s="37" t="n">
        <v>5</v>
      </c>
      <c r="C25" s="37" t="n">
        <v>7</v>
      </c>
      <c r="D25" s="42" t="n">
        <f aca="false">B25*C25*60</f>
        <v>2100</v>
      </c>
      <c r="E25" s="37" t="n">
        <v>300</v>
      </c>
      <c r="F25" s="42" t="n">
        <f aca="false">D25/E25</f>
        <v>7</v>
      </c>
      <c r="G25" s="42" t="n">
        <f aca="false">F25/60</f>
        <v>0.116666666666667</v>
      </c>
      <c r="H25" s="43" t="s">
        <v>176</v>
      </c>
      <c r="I25" s="43" t="s">
        <v>51</v>
      </c>
    </row>
    <row r="26" customFormat="false" ht="18" hidden="false" customHeight="true" outlineLevel="0" collapsed="false">
      <c r="A26" s="17" t="s">
        <v>157</v>
      </c>
      <c r="B26" s="37" t="n">
        <v>5</v>
      </c>
      <c r="C26" s="37" t="n">
        <v>7</v>
      </c>
      <c r="D26" s="18" t="n">
        <f aca="false">B26*C26*60</f>
        <v>2100</v>
      </c>
      <c r="E26" s="37" t="n">
        <v>300</v>
      </c>
      <c r="F26" s="18" t="n">
        <f aca="false">D26/E26</f>
        <v>7</v>
      </c>
      <c r="G26" s="18" t="n">
        <f aca="false">F26/60</f>
        <v>0.116666666666667</v>
      </c>
      <c r="H26" s="19" t="s">
        <v>49</v>
      </c>
      <c r="I26" s="19" t="s">
        <v>177</v>
      </c>
    </row>
    <row r="27" customFormat="false" ht="18" hidden="false" customHeight="true" outlineLevel="0" collapsed="false">
      <c r="A27" s="14" t="s">
        <v>159</v>
      </c>
      <c r="B27" s="37" t="n">
        <v>5</v>
      </c>
      <c r="C27" s="37" t="n">
        <v>7</v>
      </c>
      <c r="D27" s="15" t="n">
        <f aca="false">B27*C27*60</f>
        <v>2100</v>
      </c>
      <c r="E27" s="37" t="n">
        <v>300</v>
      </c>
      <c r="F27" s="15" t="n">
        <f aca="false">D27/E27</f>
        <v>7</v>
      </c>
      <c r="G27" s="15" t="n">
        <f aca="false">F27/60</f>
        <v>0.116666666666667</v>
      </c>
      <c r="H27" s="16" t="s">
        <v>49</v>
      </c>
      <c r="I27" s="16" t="s">
        <v>177</v>
      </c>
    </row>
    <row r="28" customFormat="false" ht="18" hidden="false" customHeight="true" outlineLevel="0" collapsed="false">
      <c r="A28" s="17" t="s">
        <v>161</v>
      </c>
      <c r="B28" s="37" t="n">
        <v>5</v>
      </c>
      <c r="C28" s="37" t="n">
        <v>7</v>
      </c>
      <c r="D28" s="18" t="n">
        <f aca="false">B28*C28*60</f>
        <v>2100</v>
      </c>
      <c r="E28" s="37" t="n">
        <v>300</v>
      </c>
      <c r="F28" s="18" t="n">
        <f aca="false">D28/E28</f>
        <v>7</v>
      </c>
      <c r="G28" s="18" t="n">
        <f aca="false">F28/60</f>
        <v>0.116666666666667</v>
      </c>
      <c r="H28" s="19" t="s">
        <v>49</v>
      </c>
      <c r="I28" s="19" t="s">
        <v>177</v>
      </c>
    </row>
    <row r="29" customFormat="false" ht="18" hidden="false" customHeight="true" outlineLevel="0" collapsed="false">
      <c r="A29" s="14" t="s">
        <v>163</v>
      </c>
      <c r="B29" s="37" t="n">
        <v>5</v>
      </c>
      <c r="C29" s="37" t="n">
        <v>7</v>
      </c>
      <c r="D29" s="15" t="n">
        <f aca="false">B29*C29*60</f>
        <v>2100</v>
      </c>
      <c r="E29" s="37" t="n">
        <v>300</v>
      </c>
      <c r="F29" s="15" t="n">
        <f aca="false">D29/E29</f>
        <v>7</v>
      </c>
      <c r="G29" s="15" t="n">
        <f aca="false">F29/60</f>
        <v>0.116666666666667</v>
      </c>
      <c r="H29" s="16" t="s">
        <v>49</v>
      </c>
      <c r="I29" s="16" t="s">
        <v>177</v>
      </c>
    </row>
    <row r="30" customFormat="false" ht="18" hidden="false" customHeight="true" outlineLevel="0" collapsed="false">
      <c r="A30" s="17" t="s">
        <v>165</v>
      </c>
      <c r="B30" s="37" t="n">
        <v>5</v>
      </c>
      <c r="C30" s="37" t="n">
        <v>7</v>
      </c>
      <c r="D30" s="18" t="n">
        <f aca="false">B30*C30*60</f>
        <v>2100</v>
      </c>
      <c r="E30" s="37" t="n">
        <v>300</v>
      </c>
      <c r="F30" s="18" t="n">
        <f aca="false">D30/E30</f>
        <v>7</v>
      </c>
      <c r="G30" s="18" t="n">
        <f aca="false">F30/60</f>
        <v>0.116666666666667</v>
      </c>
      <c r="H30" s="19" t="s">
        <v>49</v>
      </c>
      <c r="I30" s="19" t="s">
        <v>177</v>
      </c>
    </row>
    <row r="31" customFormat="false" ht="19.5" hidden="false" customHeight="true" outlineLevel="0" collapsed="false">
      <c r="A31" s="9" t="s">
        <v>178</v>
      </c>
      <c r="B31" s="9"/>
      <c r="C31" s="9"/>
      <c r="D31" s="9"/>
      <c r="E31" s="9"/>
      <c r="F31" s="44" t="n">
        <f aca="false">D22/E22</f>
        <v>24</v>
      </c>
      <c r="G31" s="45" t="s">
        <v>168</v>
      </c>
      <c r="H31" s="45" t="s">
        <v>179</v>
      </c>
      <c r="I31" s="45"/>
    </row>
    <row r="32" customFormat="false" ht="39.75" hidden="false" customHeight="true" outlineLevel="0" collapsed="false">
      <c r="A32" s="34" t="s">
        <v>180</v>
      </c>
      <c r="B32" s="34"/>
      <c r="C32" s="34"/>
      <c r="D32" s="34"/>
      <c r="E32" s="34"/>
      <c r="F32" s="34"/>
      <c r="G32" s="34"/>
      <c r="H32" s="34"/>
      <c r="I32" s="34"/>
    </row>
  </sheetData>
  <mergeCells count="8">
    <mergeCell ref="A1:I1"/>
    <mergeCell ref="A2:I2"/>
    <mergeCell ref="A3:I3"/>
    <mergeCell ref="A5:I5"/>
    <mergeCell ref="A17:E17"/>
    <mergeCell ref="A19:I19"/>
    <mergeCell ref="A31:E31"/>
    <mergeCell ref="A32:I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3" min="2" style="0" width="16"/>
    <col collapsed="false" customWidth="true" hidden="false" outlineLevel="0" max="4" min="4" style="0" width="14"/>
    <col collapsed="false" customWidth="true" hidden="false" outlineLevel="0" max="6" min="5" style="0" width="16"/>
    <col collapsed="false" customWidth="true" hidden="false" outlineLevel="0" max="7" min="7" style="0" width="15"/>
    <col collapsed="false" customWidth="true" hidden="false" outlineLevel="0" max="8" min="8" style="0" width="50"/>
  </cols>
  <sheetData>
    <row r="1" customFormat="false" ht="34.5" hidden="false" customHeight="true" outlineLevel="0" collapsed="false">
      <c r="A1" s="1" t="s">
        <v>181</v>
      </c>
      <c r="B1" s="1"/>
      <c r="C1" s="1"/>
      <c r="D1" s="1"/>
      <c r="E1" s="1"/>
      <c r="F1" s="1"/>
      <c r="G1" s="1"/>
      <c r="H1" s="1"/>
    </row>
    <row r="2" customFormat="false" ht="18" hidden="false" customHeight="true" outlineLevel="0" collapsed="false">
      <c r="A2" s="10" t="s">
        <v>182</v>
      </c>
      <c r="B2" s="10"/>
      <c r="C2" s="10"/>
      <c r="D2" s="10"/>
      <c r="E2" s="10"/>
      <c r="F2" s="10"/>
      <c r="G2" s="10"/>
      <c r="H2" s="10"/>
    </row>
    <row r="4" customFormat="false" ht="15" hidden="false" customHeight="true" outlineLevel="0" collapsed="false">
      <c r="A4" s="3" t="s">
        <v>183</v>
      </c>
      <c r="B4" s="3"/>
      <c r="C4" s="3"/>
      <c r="D4" s="3"/>
      <c r="E4" s="3"/>
      <c r="F4" s="3"/>
      <c r="G4" s="3"/>
      <c r="H4" s="3"/>
    </row>
    <row r="5" customFormat="false" ht="24" hidden="false" customHeight="true" outlineLevel="0" collapsed="false">
      <c r="A5" s="36" t="s">
        <v>184</v>
      </c>
      <c r="B5" s="36" t="s">
        <v>185</v>
      </c>
      <c r="C5" s="36" t="s">
        <v>186</v>
      </c>
      <c r="D5" s="36" t="s">
        <v>187</v>
      </c>
      <c r="E5" s="36" t="s">
        <v>188</v>
      </c>
      <c r="F5" s="36" t="s">
        <v>143</v>
      </c>
    </row>
    <row r="6" customFormat="false" ht="18" hidden="false" customHeight="true" outlineLevel="0" collapsed="false">
      <c r="A6" s="51" t="s">
        <v>189</v>
      </c>
      <c r="B6" s="52" t="s">
        <v>190</v>
      </c>
      <c r="C6" s="52" t="s">
        <v>191</v>
      </c>
      <c r="D6" s="52" t="s">
        <v>192</v>
      </c>
      <c r="E6" s="53" t="s">
        <v>193</v>
      </c>
      <c r="F6" s="54" t="s">
        <v>194</v>
      </c>
    </row>
    <row r="7" customFormat="false" ht="18" hidden="false" customHeight="true" outlineLevel="0" collapsed="false">
      <c r="A7" s="55" t="s">
        <v>195</v>
      </c>
      <c r="B7" s="56" t="s">
        <v>196</v>
      </c>
      <c r="C7" s="56" t="s">
        <v>25</v>
      </c>
      <c r="D7" s="56" t="s">
        <v>197</v>
      </c>
      <c r="E7" s="57" t="s">
        <v>193</v>
      </c>
      <c r="F7" s="58" t="s">
        <v>198</v>
      </c>
    </row>
    <row r="8" customFormat="false" ht="18" hidden="false" customHeight="true" outlineLevel="0" collapsed="false">
      <c r="A8" s="51" t="s">
        <v>199</v>
      </c>
      <c r="B8" s="52" t="s">
        <v>200</v>
      </c>
      <c r="C8" s="52" t="s">
        <v>200</v>
      </c>
      <c r="D8" s="52" t="s">
        <v>201</v>
      </c>
      <c r="E8" s="52" t="s">
        <v>202</v>
      </c>
      <c r="F8" s="54" t="s">
        <v>203</v>
      </c>
    </row>
    <row r="9" customFormat="false" ht="18" hidden="false" customHeight="true" outlineLevel="0" collapsed="false">
      <c r="A9" s="55" t="s">
        <v>204</v>
      </c>
      <c r="B9" s="56" t="s">
        <v>205</v>
      </c>
      <c r="C9" s="56" t="s">
        <v>205</v>
      </c>
      <c r="D9" s="56" t="s">
        <v>201</v>
      </c>
      <c r="E9" s="56" t="s">
        <v>202</v>
      </c>
      <c r="F9" s="58" t="s">
        <v>206</v>
      </c>
    </row>
    <row r="10" customFormat="false" ht="18" hidden="false" customHeight="true" outlineLevel="0" collapsed="false">
      <c r="A10" s="51" t="s">
        <v>207</v>
      </c>
      <c r="B10" s="52" t="s">
        <v>208</v>
      </c>
      <c r="C10" s="52" t="s">
        <v>209</v>
      </c>
      <c r="D10" s="52" t="s">
        <v>210</v>
      </c>
      <c r="E10" s="53" t="s">
        <v>193</v>
      </c>
      <c r="F10" s="54" t="s">
        <v>211</v>
      </c>
    </row>
    <row r="11" customFormat="false" ht="18" hidden="false" customHeight="true" outlineLevel="0" collapsed="false">
      <c r="A11" s="55" t="s">
        <v>212</v>
      </c>
      <c r="B11" s="56" t="s">
        <v>213</v>
      </c>
      <c r="C11" s="56" t="s">
        <v>214</v>
      </c>
      <c r="D11" s="56" t="s">
        <v>215</v>
      </c>
      <c r="E11" s="56" t="s">
        <v>216</v>
      </c>
      <c r="F11" s="58" t="s">
        <v>217</v>
      </c>
    </row>
    <row r="12" customFormat="false" ht="18" hidden="false" customHeight="true" outlineLevel="0" collapsed="false">
      <c r="A12" s="51" t="s">
        <v>218</v>
      </c>
      <c r="B12" s="52" t="s">
        <v>219</v>
      </c>
      <c r="C12" s="52" t="s">
        <v>219</v>
      </c>
      <c r="D12" s="52" t="s">
        <v>201</v>
      </c>
      <c r="E12" s="52" t="s">
        <v>202</v>
      </c>
      <c r="F12" s="54" t="s">
        <v>220</v>
      </c>
    </row>
    <row r="14" customFormat="false" ht="15" hidden="false" customHeight="true" outlineLevel="0" collapsed="false">
      <c r="A14" s="3" t="s">
        <v>221</v>
      </c>
      <c r="B14" s="3"/>
      <c r="C14" s="3"/>
      <c r="D14" s="3"/>
      <c r="E14" s="3"/>
      <c r="F14" s="3"/>
      <c r="G14" s="3"/>
      <c r="H14" s="3"/>
    </row>
    <row r="15" customFormat="false" ht="24" hidden="false" customHeight="true" outlineLevel="0" collapsed="false">
      <c r="A15" s="36" t="s">
        <v>135</v>
      </c>
      <c r="B15" s="36" t="s">
        <v>222</v>
      </c>
      <c r="C15" s="36" t="s">
        <v>223</v>
      </c>
      <c r="D15" s="36" t="s">
        <v>224</v>
      </c>
      <c r="E15" s="36" t="s">
        <v>225</v>
      </c>
      <c r="F15" s="36" t="s">
        <v>226</v>
      </c>
      <c r="G15" s="36" t="s">
        <v>227</v>
      </c>
      <c r="H15" s="36" t="s">
        <v>228</v>
      </c>
    </row>
    <row r="16" customFormat="false" ht="18" hidden="false" customHeight="true" outlineLevel="0" collapsed="false">
      <c r="A16" s="14" t="s">
        <v>144</v>
      </c>
      <c r="B16" s="15" t="s">
        <v>229</v>
      </c>
      <c r="C16" s="15" t="s">
        <v>229</v>
      </c>
      <c r="D16" s="15" t="s">
        <v>230</v>
      </c>
      <c r="E16" s="15" t="s">
        <v>231</v>
      </c>
      <c r="F16" s="15" t="s">
        <v>232</v>
      </c>
      <c r="G16" s="15" t="s">
        <v>233</v>
      </c>
      <c r="H16" s="16" t="s">
        <v>234</v>
      </c>
    </row>
    <row r="17" customFormat="false" ht="18" hidden="false" customHeight="true" outlineLevel="0" collapsed="false">
      <c r="A17" s="40" t="s">
        <v>235</v>
      </c>
      <c r="B17" s="39" t="s">
        <v>236</v>
      </c>
      <c r="C17" s="39" t="s">
        <v>236</v>
      </c>
      <c r="D17" s="39" t="s">
        <v>230</v>
      </c>
      <c r="E17" s="39" t="s">
        <v>237</v>
      </c>
      <c r="F17" s="39" t="s">
        <v>238</v>
      </c>
      <c r="G17" s="39" t="s">
        <v>239</v>
      </c>
      <c r="H17" s="20" t="s">
        <v>240</v>
      </c>
    </row>
    <row r="18" customFormat="false" ht="18" hidden="false" customHeight="true" outlineLevel="0" collapsed="false">
      <c r="A18" s="14" t="s">
        <v>151</v>
      </c>
      <c r="B18" s="15" t="s">
        <v>241</v>
      </c>
      <c r="C18" s="15" t="s">
        <v>241</v>
      </c>
      <c r="D18" s="15" t="s">
        <v>230</v>
      </c>
      <c r="E18" s="15" t="s">
        <v>237</v>
      </c>
      <c r="F18" s="15" t="s">
        <v>237</v>
      </c>
      <c r="G18" s="15" t="s">
        <v>201</v>
      </c>
      <c r="H18" s="16" t="s">
        <v>242</v>
      </c>
    </row>
    <row r="19" customFormat="false" ht="18" hidden="false" customHeight="true" outlineLevel="0" collapsed="false">
      <c r="A19" s="17" t="s">
        <v>159</v>
      </c>
      <c r="B19" s="18" t="s">
        <v>243</v>
      </c>
      <c r="C19" s="18" t="s">
        <v>244</v>
      </c>
      <c r="D19" s="18" t="s">
        <v>245</v>
      </c>
      <c r="E19" s="18" t="s">
        <v>237</v>
      </c>
      <c r="F19" s="18" t="s">
        <v>238</v>
      </c>
      <c r="G19" s="18" t="s">
        <v>239</v>
      </c>
      <c r="H19" s="19" t="s">
        <v>246</v>
      </c>
    </row>
    <row r="20" customFormat="false" ht="18" hidden="false" customHeight="true" outlineLevel="0" collapsed="false">
      <c r="A20" s="14" t="s">
        <v>163</v>
      </c>
      <c r="B20" s="15" t="s">
        <v>243</v>
      </c>
      <c r="C20" s="15" t="s">
        <v>244</v>
      </c>
      <c r="D20" s="15" t="s">
        <v>245</v>
      </c>
      <c r="E20" s="15" t="s">
        <v>237</v>
      </c>
      <c r="F20" s="15" t="s">
        <v>238</v>
      </c>
      <c r="G20" s="15" t="s">
        <v>239</v>
      </c>
      <c r="H20" s="16" t="s">
        <v>247</v>
      </c>
    </row>
    <row r="21" customFormat="false" ht="18" hidden="false" customHeight="true" outlineLevel="0" collapsed="false">
      <c r="A21" s="17" t="s">
        <v>165</v>
      </c>
      <c r="B21" s="18" t="s">
        <v>243</v>
      </c>
      <c r="C21" s="18" t="s">
        <v>244</v>
      </c>
      <c r="D21" s="18" t="s">
        <v>245</v>
      </c>
      <c r="E21" s="18" t="s">
        <v>237</v>
      </c>
      <c r="F21" s="18" t="s">
        <v>238</v>
      </c>
      <c r="G21" s="18" t="s">
        <v>239</v>
      </c>
      <c r="H21" s="19" t="s">
        <v>248</v>
      </c>
    </row>
    <row r="22" customFormat="false" ht="45" hidden="false" customHeight="true" outlineLevel="0" collapsed="false">
      <c r="A22" s="59" t="s">
        <v>249</v>
      </c>
      <c r="B22" s="59"/>
      <c r="C22" s="59"/>
      <c r="D22" s="59"/>
      <c r="E22" s="59"/>
      <c r="F22" s="59"/>
      <c r="G22" s="59"/>
      <c r="H22" s="59"/>
    </row>
  </sheetData>
  <mergeCells count="5">
    <mergeCell ref="A1:H1"/>
    <mergeCell ref="A2:H2"/>
    <mergeCell ref="A4:H4"/>
    <mergeCell ref="A14:H14"/>
    <mergeCell ref="A22:H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8"/>
    <col collapsed="false" customWidth="true" hidden="false" outlineLevel="0" max="3" min="3" style="0" width="26"/>
    <col collapsed="false" customWidth="true" hidden="false" outlineLevel="0" max="4" min="4" style="0" width="40"/>
    <col collapsed="false" customWidth="true" hidden="false" outlineLevel="0" max="5" min="5" style="0" width="38"/>
    <col collapsed="false" customWidth="true" hidden="false" outlineLevel="0" max="6" min="6" style="0" width="40"/>
  </cols>
  <sheetData>
    <row r="1" customFormat="false" ht="34.5" hidden="false" customHeight="true" outlineLevel="0" collapsed="false">
      <c r="A1" s="1" t="s">
        <v>250</v>
      </c>
      <c r="B1" s="1"/>
      <c r="C1" s="1"/>
      <c r="D1" s="1"/>
      <c r="E1" s="1"/>
      <c r="F1" s="1"/>
      <c r="G1" s="1"/>
    </row>
    <row r="2" customFormat="false" ht="15" hidden="false" customHeight="true" outlineLevel="0" collapsed="false">
      <c r="A2" s="10" t="s">
        <v>251</v>
      </c>
      <c r="B2" s="10"/>
      <c r="C2" s="10"/>
      <c r="D2" s="10"/>
      <c r="E2" s="10"/>
      <c r="F2" s="10"/>
      <c r="G2" s="10"/>
    </row>
    <row r="4" customFormat="false" ht="15" hidden="false" customHeight="true" outlineLevel="0" collapsed="false">
      <c r="A4" s="3" t="s">
        <v>252</v>
      </c>
      <c r="B4" s="3"/>
      <c r="C4" s="3"/>
      <c r="D4" s="3"/>
      <c r="E4" s="3"/>
      <c r="F4" s="3"/>
      <c r="G4" s="3"/>
    </row>
    <row r="5" customFormat="false" ht="36" hidden="false" customHeight="true" outlineLevel="0" collapsed="false">
      <c r="A5" s="36" t="s">
        <v>253</v>
      </c>
      <c r="B5" s="36" t="s">
        <v>254</v>
      </c>
      <c r="C5" s="36" t="s">
        <v>255</v>
      </c>
      <c r="D5" s="36" t="s">
        <v>256</v>
      </c>
      <c r="E5" s="36" t="s">
        <v>257</v>
      </c>
      <c r="F5" s="36" t="s">
        <v>258</v>
      </c>
    </row>
    <row r="6" customFormat="false" ht="54.75" hidden="false" customHeight="true" outlineLevel="0" collapsed="false">
      <c r="A6" s="14" t="s">
        <v>259</v>
      </c>
      <c r="B6" s="15" t="s">
        <v>260</v>
      </c>
      <c r="C6" s="15" t="s">
        <v>261</v>
      </c>
      <c r="D6" s="16" t="s">
        <v>262</v>
      </c>
      <c r="E6" s="16" t="s">
        <v>263</v>
      </c>
      <c r="F6" s="16" t="s">
        <v>264</v>
      </c>
    </row>
    <row r="7" customFormat="false" ht="54.75" hidden="false" customHeight="true" outlineLevel="0" collapsed="false">
      <c r="A7" s="17" t="s">
        <v>265</v>
      </c>
      <c r="B7" s="18" t="s">
        <v>266</v>
      </c>
      <c r="C7" s="18" t="s">
        <v>267</v>
      </c>
      <c r="D7" s="19" t="s">
        <v>268</v>
      </c>
      <c r="E7" s="19" t="s">
        <v>269</v>
      </c>
      <c r="F7" s="19" t="s">
        <v>270</v>
      </c>
    </row>
    <row r="8" customFormat="false" ht="54.75" hidden="false" customHeight="true" outlineLevel="0" collapsed="false">
      <c r="A8" s="14" t="s">
        <v>271</v>
      </c>
      <c r="B8" s="15" t="s">
        <v>272</v>
      </c>
      <c r="C8" s="15" t="s">
        <v>273</v>
      </c>
      <c r="D8" s="16" t="s">
        <v>274</v>
      </c>
      <c r="E8" s="16" t="s">
        <v>275</v>
      </c>
      <c r="F8" s="16" t="s">
        <v>276</v>
      </c>
    </row>
    <row r="9" customFormat="false" ht="54.75" hidden="false" customHeight="true" outlineLevel="0" collapsed="false">
      <c r="A9" s="17" t="s">
        <v>277</v>
      </c>
      <c r="B9" s="18" t="s">
        <v>278</v>
      </c>
      <c r="C9" s="18" t="s">
        <v>279</v>
      </c>
      <c r="D9" s="19" t="s">
        <v>280</v>
      </c>
      <c r="E9" s="19" t="s">
        <v>281</v>
      </c>
      <c r="F9" s="19" t="s">
        <v>282</v>
      </c>
    </row>
    <row r="10" customFormat="false" ht="54.75" hidden="false" customHeight="true" outlineLevel="0" collapsed="false">
      <c r="A10" s="14" t="s">
        <v>283</v>
      </c>
      <c r="B10" s="15" t="s">
        <v>284</v>
      </c>
      <c r="C10" s="15" t="s">
        <v>285</v>
      </c>
      <c r="D10" s="16" t="s">
        <v>286</v>
      </c>
      <c r="E10" s="16" t="s">
        <v>287</v>
      </c>
      <c r="F10" s="16" t="s">
        <v>288</v>
      </c>
    </row>
    <row r="11" customFormat="false" ht="54.75" hidden="false" customHeight="true" outlineLevel="0" collapsed="false">
      <c r="A11" s="17" t="s">
        <v>289</v>
      </c>
      <c r="B11" s="18" t="s">
        <v>290</v>
      </c>
      <c r="C11" s="18" t="s">
        <v>291</v>
      </c>
      <c r="D11" s="19" t="s">
        <v>292</v>
      </c>
      <c r="E11" s="19" t="s">
        <v>293</v>
      </c>
      <c r="F11" s="19" t="s">
        <v>294</v>
      </c>
    </row>
    <row r="12" customFormat="false" ht="54.75" hidden="false" customHeight="true" outlineLevel="0" collapsed="false">
      <c r="A12" s="14" t="s">
        <v>295</v>
      </c>
      <c r="B12" s="15" t="s">
        <v>296</v>
      </c>
      <c r="C12" s="15" t="s">
        <v>297</v>
      </c>
      <c r="D12" s="16" t="s">
        <v>298</v>
      </c>
      <c r="E12" s="16" t="s">
        <v>299</v>
      </c>
      <c r="F12" s="16" t="s">
        <v>300</v>
      </c>
    </row>
  </sheetData>
  <mergeCells count="3">
    <mergeCell ref="A1:G1"/>
    <mergeCell ref="A2:G2"/>
    <mergeCell ref="A4:G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2026-03-17T16:23:47Z</dcterms:created>
  <dc:creator>openpyxl</dc:creator>
  <dc:description/>
  <dc:language>en-US</dc:language>
  <cp:lastModifiedBy/>
  <dcterms:modified xsi:type="dcterms:W3CDTF">2026-03-17T16:23:48Z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