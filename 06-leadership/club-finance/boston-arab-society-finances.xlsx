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elharouchi/Documents/"/>
    </mc:Choice>
  </mc:AlternateContent>
  <xr:revisionPtr revIDLastSave="0" documentId="13_ncr:1_{1350F076-E211-4445-882A-64504214B1F0}" xr6:coauthVersionLast="47" xr6:coauthVersionMax="47" xr10:uidLastSave="{00000000-0000-0000-0000-000000000000}"/>
  <bookViews>
    <workbookView xWindow="0" yWindow="760" windowWidth="28800" windowHeight="17500" activeTab="2" xr2:uid="{99A5550F-7731-9243-B3A5-81009ECDDA0B}"/>
  </bookViews>
  <sheets>
    <sheet name="Budget Tracker" sheetId="1" r:id="rId1"/>
    <sheet name="Income Tracker" sheetId="8" r:id="rId2"/>
    <sheet name="Bank Statment" sheetId="2" r:id="rId3"/>
    <sheet name="Tasty Event" sheetId="3" r:id="rId4"/>
    <sheet name="Football" sheetId="4" r:id="rId5"/>
    <sheet name="Puppy Yoga" sheetId="5" r:id="rId6"/>
    <sheet name="Eid Event" sheetId="6" r:id="rId7"/>
    <sheet name="Padel" sheetId="7" r:id="rId8"/>
  </sheets>
  <definedNames>
    <definedName name="_xlnm._FilterDatabase" localSheetId="1" hidden="1">'Income Tracker'!$C$8:$C$12031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H5" i="8"/>
  <c r="L25" i="1"/>
  <c r="G10" i="1" s="1"/>
  <c r="L26" i="1"/>
  <c r="M10" i="1" s="1"/>
  <c r="L24" i="1"/>
  <c r="L10" i="1" s="1"/>
  <c r="L23" i="1"/>
  <c r="K10" i="1" s="1"/>
  <c r="L22" i="1"/>
  <c r="J10" i="1" s="1"/>
  <c r="L21" i="1"/>
  <c r="I10" i="1" s="1"/>
  <c r="G5" i="8"/>
  <c r="H10" i="1"/>
  <c r="H11" i="1" s="1"/>
  <c r="H9" i="1"/>
  <c r="D25" i="1"/>
  <c r="G9" i="1" s="1"/>
  <c r="D26" i="1"/>
  <c r="M9" i="1" s="1"/>
  <c r="J33" i="1"/>
  <c r="J22" i="1"/>
  <c r="J23" i="1"/>
  <c r="J24" i="1"/>
  <c r="J25" i="1"/>
  <c r="J26" i="1"/>
  <c r="J27" i="1"/>
  <c r="J28" i="1"/>
  <c r="J29" i="1"/>
  <c r="J30" i="1"/>
  <c r="J31" i="1"/>
  <c r="J32" i="1"/>
  <c r="J21" i="1"/>
  <c r="J20" i="1"/>
  <c r="D24" i="1"/>
  <c r="L9" i="1" s="1"/>
  <c r="D23" i="1"/>
  <c r="K9" i="1" s="1"/>
  <c r="D22" i="1"/>
  <c r="J9" i="1" s="1"/>
  <c r="I9" i="1"/>
  <c r="M11" i="1" l="1"/>
  <c r="K11" i="1"/>
  <c r="I11" i="1"/>
  <c r="J11" i="1"/>
  <c r="G11" i="1"/>
  <c r="L11" i="1"/>
  <c r="L34" i="1"/>
  <c r="D34" i="1"/>
  <c r="D7" i="1" s="1"/>
  <c r="D10" i="1" l="1"/>
  <c r="D13" i="1" s="1"/>
</calcChain>
</file>

<file path=xl/sharedStrings.xml><?xml version="1.0" encoding="utf-8"?>
<sst xmlns="http://schemas.openxmlformats.org/spreadsheetml/2006/main" count="212" uniqueCount="69">
  <si>
    <t>Summary:</t>
  </si>
  <si>
    <t>Total Income:</t>
  </si>
  <si>
    <t>Income:</t>
  </si>
  <si>
    <t>ITEM:</t>
  </si>
  <si>
    <t>Amount:</t>
  </si>
  <si>
    <t>Unkown</t>
  </si>
  <si>
    <t>Tasty Event</t>
  </si>
  <si>
    <t>Football</t>
  </si>
  <si>
    <t>Puppy Yoga</t>
  </si>
  <si>
    <t>Eid Event</t>
  </si>
  <si>
    <t>Padel</t>
  </si>
  <si>
    <t>Bank Statement</t>
  </si>
  <si>
    <t>Due Date:</t>
  </si>
  <si>
    <t>BOFA statment for BAS account</t>
  </si>
  <si>
    <t>IN</t>
  </si>
  <si>
    <t>OUT</t>
  </si>
  <si>
    <t>This is the copy of our statment of accounts from BOFA</t>
  </si>
  <si>
    <t>In and Out are not explicitly expenses and revenues</t>
  </si>
  <si>
    <t>They are also transfers from personal to BAS accounts, zelles...</t>
  </si>
  <si>
    <t>Sources are lost! not sure how this can help you - but incase you want to use</t>
  </si>
  <si>
    <t>*the next pages are some of our events in specific if you'd like to use that</t>
  </si>
  <si>
    <t>Space rental, Drinks, and liquor lincense</t>
  </si>
  <si>
    <t>Ticket revenue</t>
  </si>
  <si>
    <t>Not yet recieved by portalys</t>
  </si>
  <si>
    <t>Merch</t>
  </si>
  <si>
    <t>Drink Revenue</t>
  </si>
  <si>
    <t>DJ set</t>
  </si>
  <si>
    <t>Posters</t>
  </si>
  <si>
    <t>Neon Light</t>
  </si>
  <si>
    <t>Bar tender</t>
  </si>
  <si>
    <t>not sure about player number, it added overtime</t>
  </si>
  <si>
    <t>Ticket</t>
  </si>
  <si>
    <t>Players</t>
  </si>
  <si>
    <t>Ticket Revenue</t>
  </si>
  <si>
    <t>Pitch Rental</t>
  </si>
  <si>
    <t>Bibs and Trophy and snacks</t>
  </si>
  <si>
    <t>200-300</t>
  </si>
  <si>
    <t>max 200</t>
  </si>
  <si>
    <t>not so sure about the numbers here</t>
  </si>
  <si>
    <t>Stickers+Enevelopes and Printing + Poster</t>
  </si>
  <si>
    <t>Rental</t>
  </si>
  <si>
    <t>Puupy Yoga Profit</t>
  </si>
  <si>
    <t>Ammount</t>
  </si>
  <si>
    <t>Outlet</t>
  </si>
  <si>
    <t>Catering SAJ</t>
  </si>
  <si>
    <t>Rental roof</t>
  </si>
  <si>
    <t>Saxophonist</t>
  </si>
  <si>
    <t>Speakers</t>
  </si>
  <si>
    <t>Drinks</t>
  </si>
  <si>
    <t>LOSS EVENT</t>
  </si>
  <si>
    <t>Courts Rental</t>
  </si>
  <si>
    <t>Rackets and Balls</t>
  </si>
  <si>
    <t>Snacks</t>
  </si>
  <si>
    <t>N/A</t>
  </si>
  <si>
    <t>Sources:</t>
  </si>
  <si>
    <t>Total</t>
  </si>
  <si>
    <t>Ticket Revenue Estimate</t>
  </si>
  <si>
    <t>BAS BUDGET TRACKER 24-25</t>
  </si>
  <si>
    <t>Total Expenses:</t>
  </si>
  <si>
    <t>Cash Balance:</t>
  </si>
  <si>
    <t>EXPENSES:</t>
  </si>
  <si>
    <t>P&amp;L:</t>
  </si>
  <si>
    <t>*</t>
  </si>
  <si>
    <t>All these are estimates based off the excel shared</t>
  </si>
  <si>
    <t>BAS INCOME TRACKER 24-25</t>
  </si>
  <si>
    <t>Item</t>
  </si>
  <si>
    <t>Description</t>
  </si>
  <si>
    <t>Incoming</t>
  </si>
  <si>
    <t>Outgoing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</si>
</sst>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30"/>
      <color theme="0"/>
      <name val="Aptos Narrow"/>
      <family val="2"/>
      <scheme val="minor"/>
    </font>
    <font>
      <u/>
      <sz val="12"/>
      <color theme="0"/>
      <name val="Aptos Narrow"/>
      <family val="2"/>
      <scheme val="minor"/>
    </font>
    <font>
      <b/>
      <u/>
      <sz val="12"/>
      <color theme="0"/>
      <name val="Aptos Narrow"/>
      <scheme val="minor"/>
    </font>
    <font>
      <b/>
      <sz val="12"/>
      <color theme="0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FFFFFF"/>
      <name val="Aptos Narrow"/>
      <family val="2"/>
      <scheme val="minor"/>
    </font>
    <font>
      <sz val="8"/>
      <name val="Aptos Narrow"/>
      <family val="2"/>
      <scheme val="minor"/>
    </font>
    <font>
      <sz val="24"/>
      <color theme="0"/>
      <name val="Aptos Narrow"/>
      <family val="2"/>
      <scheme val="minor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56082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2" borderId="0" xfId="0" applyFill="1"/>
    <xf numFmtId="0" fontId="2" fillId="2" borderId="0" xfId="0" applyFont="1" applyFill="1"/>
    <xf numFmtId="0" fontId="4" fillId="2" borderId="0" xfId="0" applyFont="1" applyFill="1"/>
    <xf numFmtId="0" fontId="2" fillId="2" borderId="2" xfId="0" applyFont="1" applyFill="1" applyBorder="1"/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" fillId="2" borderId="12" xfId="0" applyFont="1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3" fontId="8" fillId="0" borderId="0" xfId="0" applyNumberFormat="1" applyFont="1"/>
    <xf numFmtId="0" fontId="10" fillId="0" borderId="0" xfId="0" applyFont="1"/>
    <xf numFmtId="0" fontId="11" fillId="0" borderId="0" xfId="0" applyFont="1"/>
    <xf numFmtId="3" fontId="7" fillId="0" borderId="0" xfId="0" applyNumberFormat="1" applyFont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8" xfId="0" applyFont="1" applyFill="1" applyBorder="1" applyAlignment="1">
      <alignment horizontal="center"/>
    </xf>
    <xf numFmtId="44" fontId="8" fillId="0" borderId="0" xfId="1" applyFont="1"/>
    <xf numFmtId="0" fontId="2" fillId="2" borderId="11" xfId="0" applyFont="1" applyFill="1" applyBorder="1" applyAlignment="1">
      <alignment horizontal="center"/>
    </xf>
    <xf numFmtId="44" fontId="2" fillId="2" borderId="0" xfId="1" applyFont="1" applyFill="1" applyBorder="1" applyAlignment="1">
      <alignment horizontal="center"/>
    </xf>
    <xf numFmtId="44" fontId="2" fillId="2" borderId="0" xfId="0" applyNumberFormat="1" applyFont="1" applyFill="1"/>
    <xf numFmtId="44" fontId="14" fillId="2" borderId="0" xfId="0" applyNumberFormat="1" applyFont="1" applyFill="1"/>
    <xf numFmtId="0" fontId="2" fillId="2" borderId="1" xfId="0" applyFont="1" applyFill="1" applyBorder="1"/>
    <xf numFmtId="9" fontId="2" fillId="2" borderId="0" xfId="2" applyFont="1" applyFill="1"/>
    <xf numFmtId="0" fontId="5" fillId="2" borderId="0" xfId="0" applyFont="1" applyFill="1" applyAlignment="1">
      <alignment horizontal="center"/>
    </xf>
    <xf numFmtId="0" fontId="2" fillId="2" borderId="11" xfId="0" applyFont="1" applyFill="1" applyBorder="1"/>
    <xf numFmtId="44" fontId="2" fillId="2" borderId="4" xfId="0" applyNumberFormat="1" applyFont="1" applyFill="1" applyBorder="1"/>
    <xf numFmtId="44" fontId="2" fillId="2" borderId="1" xfId="0" applyNumberFormat="1" applyFont="1" applyFill="1" applyBorder="1"/>
    <xf numFmtId="44" fontId="2" fillId="2" borderId="11" xfId="0" applyNumberFormat="1" applyFont="1" applyFill="1" applyBorder="1"/>
    <xf numFmtId="44" fontId="2" fillId="2" borderId="14" xfId="0" applyNumberFormat="1" applyFont="1" applyFill="1" applyBorder="1"/>
    <xf numFmtId="44" fontId="2" fillId="2" borderId="2" xfId="0" applyNumberFormat="1" applyFont="1" applyFill="1" applyBorder="1"/>
    <xf numFmtId="44" fontId="2" fillId="2" borderId="13" xfId="0" applyNumberFormat="1" applyFont="1" applyFill="1" applyBorder="1"/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right" vertical="top"/>
    </xf>
    <xf numFmtId="44" fontId="14" fillId="2" borderId="0" xfId="1" applyFont="1" applyFill="1"/>
    <xf numFmtId="0" fontId="6" fillId="2" borderId="1" xfId="0" applyFont="1" applyFill="1" applyBorder="1" applyAlignment="1">
      <alignment horizontal="center"/>
    </xf>
    <xf numFmtId="0" fontId="2" fillId="2" borderId="9" xfId="0" applyFont="1" applyFill="1" applyBorder="1"/>
    <xf numFmtId="0" fontId="4" fillId="2" borderId="11" xfId="0" applyFont="1" applyFill="1" applyBorder="1"/>
    <xf numFmtId="0" fontId="15" fillId="2" borderId="9" xfId="0" applyFont="1" applyFill="1" applyBorder="1"/>
    <xf numFmtId="3" fontId="15" fillId="2" borderId="9" xfId="0" applyNumberFormat="1" applyFont="1" applyFill="1" applyBorder="1"/>
    <xf numFmtId="0" fontId="2" fillId="2" borderId="9" xfId="1" applyNumberFormat="1" applyFont="1" applyFill="1" applyBorder="1" applyAlignment="1"/>
    <xf numFmtId="44" fontId="14" fillId="2" borderId="4" xfId="0" applyNumberFormat="1" applyFont="1" applyFill="1" applyBorder="1"/>
    <xf numFmtId="0" fontId="12" fillId="4" borderId="9" xfId="0" applyFont="1" applyFill="1" applyBorder="1" applyAlignment="1">
      <alignment horizontal="center"/>
    </xf>
    <xf numFmtId="44" fontId="2" fillId="2" borderId="8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44" fontId="2" fillId="2" borderId="4" xfId="1" applyFont="1" applyFill="1" applyBorder="1" applyAlignment="1">
      <alignment horizontal="center"/>
    </xf>
    <xf numFmtId="44" fontId="2" fillId="2" borderId="5" xfId="1" applyFont="1" applyFill="1" applyBorder="1" applyAlignment="1">
      <alignment horizontal="center"/>
    </xf>
    <xf numFmtId="44" fontId="2" fillId="2" borderId="2" xfId="1" applyFont="1" applyFill="1" applyBorder="1" applyAlignment="1">
      <alignment horizontal="center"/>
    </xf>
    <xf numFmtId="44" fontId="2" fillId="2" borderId="3" xfId="1" applyFont="1" applyFill="1" applyBorder="1" applyAlignment="1">
      <alignment horizontal="center"/>
    </xf>
    <xf numFmtId="44" fontId="2" fillId="2" borderId="0" xfId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44" fontId="2" fillId="2" borderId="8" xfId="1" applyFont="1" applyFill="1" applyBorder="1" applyAlignment="1">
      <alignment horizontal="center"/>
    </xf>
    <xf numFmtId="44" fontId="2" fillId="2" borderId="7" xfId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</a:t>
            </a:r>
            <a:r>
              <a:rPr lang="en-US" baseline="0"/>
              <a:t>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90-F24E-ABB7-833F698F3B80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B90-F24E-ABB7-833F698F3B80}"/>
              </c:ext>
            </c:extLst>
          </c:dPt>
          <c:dLbls>
            <c:dLbl>
              <c:idx val="0"/>
              <c:layout>
                <c:manualLayout>
                  <c:x val="0.12946604036667306"/>
                  <c:y val="-0.1961819909787179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Income</a:t>
                    </a:r>
                  </a:p>
                  <a:p>
                    <a:pPr>
                      <a:defRPr/>
                    </a:pPr>
                    <a:fld id="{B0D7DC21-1453-9B47-93AB-FCEBEC119748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B90-F24E-ABB7-833F698F3B80}"/>
                </c:ext>
              </c:extLst>
            </c:dLbl>
            <c:dLbl>
              <c:idx val="1"/>
              <c:layout>
                <c:manualLayout>
                  <c:x val="-0.19060278165093555"/>
                  <c:y val="-0.2382209890455860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Expenses</a:t>
                    </a:r>
                    <a:r>
                      <a:rPr lang="en-US" baseline="0"/>
                      <a:t>
</a:t>
                    </a:r>
                    <a:fld id="{73AFDB59-834E-0C4E-9E4B-7B90359387A9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B90-F24E-ABB7-833F698F3B80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('Budget Tracker'!$D$7,'Budget Tracker'!$D$10)</c:f>
              <c:numCache>
                <c:formatCode>_("$"* #,##0.00_);_("$"* \(#,##0.00\);_("$"* "-"??_);_(@_)</c:formatCode>
                <c:ptCount val="2"/>
                <c:pt idx="0">
                  <c:v>11064</c:v>
                </c:pt>
                <c:pt idx="1">
                  <c:v>-13071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0-F24E-ABB7-833F698F3B8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19050</xdr:rowOff>
    </xdr:from>
    <xdr:to>
      <xdr:col>2</xdr:col>
      <xdr:colOff>1631950</xdr:colOff>
      <xdr:row>13</xdr:row>
      <xdr:rowOff>120650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0DDA81F-91BF-F4A0-29C1-3357F7E91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5C6F-8C20-CF40-A860-00A3CE0BC071}">
  <dimension ref="A1:W67"/>
  <sheetViews>
    <sheetView zoomScale="83" zoomScaleNormal="100" workbookViewId="0">
      <selection activeCell="D22" sqref="D22:E22"/>
    </sheetView>
  </sheetViews>
  <sheetFormatPr baseColWidth="10" defaultColWidth="0" defaultRowHeight="16" zeroHeight="1" x14ac:dyDescent="0.2"/>
  <cols>
    <col min="1" max="1" width="10.83203125" style="2" customWidth="1"/>
    <col min="2" max="2" width="14" style="2" bestFit="1" customWidth="1"/>
    <col min="3" max="3" width="22.6640625" style="2" customWidth="1"/>
    <col min="4" max="4" width="23.83203125" style="2" customWidth="1"/>
    <col min="5" max="5" width="14" style="2" bestFit="1" customWidth="1"/>
    <col min="6" max="6" width="3" style="2" customWidth="1"/>
    <col min="7" max="7" width="14" style="2" customWidth="1"/>
    <col min="8" max="8" width="7.5" style="2" bestFit="1" customWidth="1"/>
    <col min="9" max="9" width="11.1640625" style="2" bestFit="1" customWidth="1"/>
    <col min="10" max="12" width="10.5" style="2" bestFit="1" customWidth="1"/>
    <col min="13" max="14" width="10.83203125" style="2" customWidth="1"/>
    <col min="15" max="23" width="0" hidden="1" customWidth="1"/>
    <col min="24" max="16384" width="10.83203125" hidden="1"/>
  </cols>
  <sheetData>
    <row r="1" spans="1:14" ht="16" customHeight="1" x14ac:dyDescent="0.2">
      <c r="A1" s="69" t="s">
        <v>57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16" customHeight="1" x14ac:dyDescent="0.2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x14ac:dyDescent="0.2"/>
    <row r="4" spans="1:14" x14ac:dyDescent="0.2">
      <c r="F4" s="3"/>
    </row>
    <row r="5" spans="1:14" x14ac:dyDescent="0.2">
      <c r="D5" s="3" t="s">
        <v>0</v>
      </c>
      <c r="E5" s="3"/>
    </row>
    <row r="6" spans="1:14" x14ac:dyDescent="0.2">
      <c r="D6" s="23" t="s">
        <v>1</v>
      </c>
    </row>
    <row r="7" spans="1:14" ht="32" x14ac:dyDescent="0.4">
      <c r="D7" s="22">
        <f>D34</f>
        <v>11064</v>
      </c>
      <c r="E7" s="33" t="s">
        <v>62</v>
      </c>
      <c r="G7" s="3" t="s">
        <v>61</v>
      </c>
    </row>
    <row r="8" spans="1:14" x14ac:dyDescent="0.2">
      <c r="E8" s="24"/>
      <c r="G8" s="23" t="s">
        <v>11</v>
      </c>
      <c r="H8" s="26" t="s">
        <v>5</v>
      </c>
      <c r="I8" s="26" t="s">
        <v>6</v>
      </c>
      <c r="J8" s="26" t="s">
        <v>7</v>
      </c>
      <c r="K8" s="16" t="s">
        <v>8</v>
      </c>
      <c r="L8" s="26" t="s">
        <v>10</v>
      </c>
      <c r="M8" s="26" t="s">
        <v>9</v>
      </c>
    </row>
    <row r="9" spans="1:14" x14ac:dyDescent="0.2">
      <c r="D9" s="23" t="s">
        <v>58</v>
      </c>
      <c r="G9" s="21">
        <f>D25</f>
        <v>5084</v>
      </c>
      <c r="H9" s="27">
        <f>D20</f>
        <v>0</v>
      </c>
      <c r="I9" s="27">
        <f>D21</f>
        <v>2100</v>
      </c>
      <c r="J9" s="27">
        <f>D22</f>
        <v>1560</v>
      </c>
      <c r="K9" s="32">
        <f>D23</f>
        <v>220</v>
      </c>
      <c r="L9" s="27">
        <f>D24</f>
        <v>600</v>
      </c>
      <c r="M9" s="27">
        <f>D26</f>
        <v>1500</v>
      </c>
    </row>
    <row r="10" spans="1:14" ht="32" x14ac:dyDescent="0.4">
      <c r="D10" s="22">
        <f>L34</f>
        <v>-13071</v>
      </c>
      <c r="E10" s="33" t="s">
        <v>62</v>
      </c>
      <c r="G10" s="28">
        <f>L25</f>
        <v>6771</v>
      </c>
      <c r="H10" s="29">
        <f>L20</f>
        <v>0</v>
      </c>
      <c r="I10" s="29">
        <f>L21</f>
        <v>1460</v>
      </c>
      <c r="J10" s="29">
        <f>L22</f>
        <v>500</v>
      </c>
      <c r="K10" s="30">
        <f>L23</f>
        <v>1190</v>
      </c>
      <c r="L10" s="29">
        <f>L24</f>
        <v>1080</v>
      </c>
      <c r="M10" s="29">
        <f>L26</f>
        <v>2070</v>
      </c>
    </row>
    <row r="11" spans="1:14" x14ac:dyDescent="0.2">
      <c r="G11" s="21">
        <f>G9-G10</f>
        <v>-1687</v>
      </c>
      <c r="H11" s="31">
        <f t="shared" ref="H11:M11" si="0">H9-H10</f>
        <v>0</v>
      </c>
      <c r="I11" s="31">
        <f t="shared" si="0"/>
        <v>640</v>
      </c>
      <c r="J11" s="31">
        <f t="shared" si="0"/>
        <v>1060</v>
      </c>
      <c r="K11" s="31">
        <f t="shared" si="0"/>
        <v>-970</v>
      </c>
      <c r="L11" s="31">
        <f t="shared" si="0"/>
        <v>-480</v>
      </c>
      <c r="M11" s="31">
        <f t="shared" si="0"/>
        <v>-570</v>
      </c>
    </row>
    <row r="12" spans="1:14" x14ac:dyDescent="0.2">
      <c r="D12" s="23" t="s">
        <v>59</v>
      </c>
    </row>
    <row r="13" spans="1:14" ht="32" x14ac:dyDescent="0.4">
      <c r="D13" s="22">
        <f>D10+D7</f>
        <v>-2007</v>
      </c>
      <c r="E13" s="33" t="s">
        <v>62</v>
      </c>
    </row>
    <row r="14" spans="1:14" x14ac:dyDescent="0.2"/>
    <row r="15" spans="1:14" x14ac:dyDescent="0.2">
      <c r="C15" s="34" t="s">
        <v>62</v>
      </c>
      <c r="D15" s="2" t="s">
        <v>63</v>
      </c>
    </row>
    <row r="16" spans="1:14" x14ac:dyDescent="0.2"/>
    <row r="17" spans="2:13" x14ac:dyDescent="0.2"/>
    <row r="18" spans="2:13" x14ac:dyDescent="0.2">
      <c r="B18" s="70" t="s">
        <v>2</v>
      </c>
      <c r="C18" s="71"/>
      <c r="D18" s="71"/>
      <c r="E18" s="72"/>
      <c r="F18" s="25"/>
      <c r="H18" s="70" t="s">
        <v>60</v>
      </c>
      <c r="I18" s="71"/>
      <c r="J18" s="71"/>
      <c r="K18" s="71"/>
      <c r="L18" s="71"/>
      <c r="M18" s="72"/>
    </row>
    <row r="19" spans="2:13" x14ac:dyDescent="0.2">
      <c r="B19" s="63" t="s">
        <v>3</v>
      </c>
      <c r="C19" s="64"/>
      <c r="D19" s="63" t="s">
        <v>4</v>
      </c>
      <c r="E19" s="64"/>
      <c r="F19" s="6"/>
      <c r="H19" s="65" t="s">
        <v>3</v>
      </c>
      <c r="I19" s="66"/>
      <c r="J19" s="63" t="s">
        <v>12</v>
      </c>
      <c r="K19" s="67"/>
      <c r="L19" s="63" t="s">
        <v>4</v>
      </c>
      <c r="M19" s="64"/>
    </row>
    <row r="20" spans="2:13" x14ac:dyDescent="0.2">
      <c r="B20" s="68" t="s">
        <v>5</v>
      </c>
      <c r="C20" s="61"/>
      <c r="D20" s="51">
        <v>0</v>
      </c>
      <c r="E20" s="52"/>
      <c r="F20" s="20"/>
      <c r="H20" s="68" t="s">
        <v>5</v>
      </c>
      <c r="I20" s="61"/>
      <c r="J20" s="60">
        <f ca="1">TODAY()</f>
        <v>45894</v>
      </c>
      <c r="K20" s="61"/>
      <c r="L20" s="51">
        <v>0</v>
      </c>
      <c r="M20" s="52"/>
    </row>
    <row r="21" spans="2:13" x14ac:dyDescent="0.2">
      <c r="B21" s="46" t="s">
        <v>6</v>
      </c>
      <c r="C21" s="47"/>
      <c r="D21" s="53">
        <f>SUM('Tasty Event'!D2:D3)</f>
        <v>2100</v>
      </c>
      <c r="E21" s="54"/>
      <c r="F21" s="20"/>
      <c r="H21" s="46" t="s">
        <v>6</v>
      </c>
      <c r="I21" s="47"/>
      <c r="J21" s="56">
        <f ca="1">TODAY()</f>
        <v>45894</v>
      </c>
      <c r="K21" s="57"/>
      <c r="L21" s="53">
        <f>SUM('Income Tracker'!H60:H65)</f>
        <v>1460</v>
      </c>
      <c r="M21" s="54"/>
    </row>
    <row r="22" spans="2:13" x14ac:dyDescent="0.2">
      <c r="B22" s="46" t="s">
        <v>7</v>
      </c>
      <c r="C22" s="47"/>
      <c r="D22" s="53">
        <f>Football!D3</f>
        <v>1560</v>
      </c>
      <c r="E22" s="54"/>
      <c r="F22" s="20"/>
      <c r="H22" s="46" t="s">
        <v>7</v>
      </c>
      <c r="I22" s="47"/>
      <c r="J22" s="56">
        <f t="shared" ref="J22:J33" ca="1" si="1">TODAY()</f>
        <v>45894</v>
      </c>
      <c r="K22" s="57"/>
      <c r="L22" s="53">
        <f>SUM('Income Tracker'!H69)</f>
        <v>500</v>
      </c>
      <c r="M22" s="54"/>
    </row>
    <row r="23" spans="2:13" x14ac:dyDescent="0.2">
      <c r="B23" s="46" t="s">
        <v>8</v>
      </c>
      <c r="C23" s="47"/>
      <c r="D23" s="53">
        <f>'Puppy Yoga'!C5</f>
        <v>220</v>
      </c>
      <c r="E23" s="54"/>
      <c r="F23" s="20"/>
      <c r="H23" s="46" t="s">
        <v>8</v>
      </c>
      <c r="I23" s="62"/>
      <c r="J23" s="56">
        <f t="shared" ca="1" si="1"/>
        <v>45894</v>
      </c>
      <c r="K23" s="57"/>
      <c r="L23" s="55">
        <f>SUM('Income Tracker'!H70:H71)</f>
        <v>1190</v>
      </c>
      <c r="M23" s="54"/>
    </row>
    <row r="24" spans="2:13" x14ac:dyDescent="0.2">
      <c r="B24" s="46" t="s">
        <v>10</v>
      </c>
      <c r="C24" s="47"/>
      <c r="D24" s="53">
        <f>Padel!D2</f>
        <v>600</v>
      </c>
      <c r="E24" s="54"/>
      <c r="F24" s="20"/>
      <c r="H24" s="46" t="s">
        <v>10</v>
      </c>
      <c r="I24" s="47"/>
      <c r="J24" s="56">
        <f t="shared" ca="1" si="1"/>
        <v>45894</v>
      </c>
      <c r="K24" s="57"/>
      <c r="L24" s="53">
        <f>SUM('Income Tracker'!H80:H83)</f>
        <v>1080</v>
      </c>
      <c r="M24" s="54"/>
    </row>
    <row r="25" spans="2:13" x14ac:dyDescent="0.2">
      <c r="B25" s="46" t="s">
        <v>11</v>
      </c>
      <c r="C25" s="47"/>
      <c r="D25" s="53">
        <f>SUM('Bank Statment'!B2:B21)</f>
        <v>5084</v>
      </c>
      <c r="E25" s="54"/>
      <c r="F25" s="20"/>
      <c r="H25" s="46" t="s">
        <v>11</v>
      </c>
      <c r="I25" s="47"/>
      <c r="J25" s="56">
        <f t="shared" ca="1" si="1"/>
        <v>45894</v>
      </c>
      <c r="K25" s="57"/>
      <c r="L25" s="53">
        <f>SUM('Income Tracker'!H29:H59)</f>
        <v>6771</v>
      </c>
      <c r="M25" s="54"/>
    </row>
    <row r="26" spans="2:13" x14ac:dyDescent="0.2">
      <c r="B26" s="46" t="s">
        <v>9</v>
      </c>
      <c r="C26" s="47"/>
      <c r="D26" s="53">
        <f>'Eid Event'!C8</f>
        <v>1500</v>
      </c>
      <c r="E26" s="54"/>
      <c r="F26" s="20"/>
      <c r="H26" s="46" t="s">
        <v>9</v>
      </c>
      <c r="I26" s="47"/>
      <c r="J26" s="56">
        <f t="shared" ca="1" si="1"/>
        <v>45894</v>
      </c>
      <c r="K26" s="57"/>
      <c r="L26" s="53">
        <f>SUM('Income Tracker'!H73:H78)</f>
        <v>2070</v>
      </c>
      <c r="M26" s="54"/>
    </row>
    <row r="27" spans="2:13" x14ac:dyDescent="0.2">
      <c r="B27" s="46" t="s">
        <v>53</v>
      </c>
      <c r="C27" s="47"/>
      <c r="D27" s="53">
        <v>0</v>
      </c>
      <c r="E27" s="54"/>
      <c r="F27" s="20"/>
      <c r="H27" s="46" t="s">
        <v>53</v>
      </c>
      <c r="I27" s="47"/>
      <c r="J27" s="56">
        <f t="shared" ca="1" si="1"/>
        <v>45894</v>
      </c>
      <c r="K27" s="57"/>
      <c r="L27" s="53">
        <v>0</v>
      </c>
      <c r="M27" s="54"/>
    </row>
    <row r="28" spans="2:13" x14ac:dyDescent="0.2">
      <c r="B28" s="46" t="s">
        <v>53</v>
      </c>
      <c r="C28" s="47"/>
      <c r="D28" s="53">
        <v>0</v>
      </c>
      <c r="E28" s="54"/>
      <c r="F28" s="20"/>
      <c r="H28" s="46" t="s">
        <v>53</v>
      </c>
      <c r="I28" s="47"/>
      <c r="J28" s="56">
        <f t="shared" ca="1" si="1"/>
        <v>45894</v>
      </c>
      <c r="K28" s="57"/>
      <c r="L28" s="53">
        <v>0</v>
      </c>
      <c r="M28" s="54"/>
    </row>
    <row r="29" spans="2:13" x14ac:dyDescent="0.2">
      <c r="B29" s="46" t="s">
        <v>53</v>
      </c>
      <c r="C29" s="47"/>
      <c r="D29" s="53">
        <v>0</v>
      </c>
      <c r="E29" s="54"/>
      <c r="F29" s="20"/>
      <c r="H29" s="46" t="s">
        <v>53</v>
      </c>
      <c r="I29" s="47"/>
      <c r="J29" s="56">
        <f t="shared" ca="1" si="1"/>
        <v>45894</v>
      </c>
      <c r="K29" s="57"/>
      <c r="L29" s="53">
        <v>0</v>
      </c>
      <c r="M29" s="54"/>
    </row>
    <row r="30" spans="2:13" x14ac:dyDescent="0.2">
      <c r="B30" s="46" t="s">
        <v>53</v>
      </c>
      <c r="C30" s="47"/>
      <c r="D30" s="53">
        <v>0</v>
      </c>
      <c r="E30" s="54"/>
      <c r="F30" s="20"/>
      <c r="H30" s="46" t="s">
        <v>53</v>
      </c>
      <c r="I30" s="47"/>
      <c r="J30" s="56">
        <f t="shared" ca="1" si="1"/>
        <v>45894</v>
      </c>
      <c r="K30" s="57"/>
      <c r="L30" s="53">
        <v>0</v>
      </c>
      <c r="M30" s="54"/>
    </row>
    <row r="31" spans="2:13" x14ac:dyDescent="0.2">
      <c r="B31" s="46" t="s">
        <v>53</v>
      </c>
      <c r="C31" s="47"/>
      <c r="D31" s="53">
        <v>0</v>
      </c>
      <c r="E31" s="54"/>
      <c r="F31" s="20"/>
      <c r="H31" s="46" t="s">
        <v>53</v>
      </c>
      <c r="I31" s="47"/>
      <c r="J31" s="56">
        <f t="shared" ca="1" si="1"/>
        <v>45894</v>
      </c>
      <c r="K31" s="57"/>
      <c r="L31" s="53">
        <v>0</v>
      </c>
      <c r="M31" s="54"/>
    </row>
    <row r="32" spans="2:13" x14ac:dyDescent="0.2">
      <c r="B32" s="46" t="s">
        <v>53</v>
      </c>
      <c r="C32" s="47"/>
      <c r="D32" s="53">
        <v>0</v>
      </c>
      <c r="E32" s="54"/>
      <c r="F32" s="20"/>
      <c r="H32" s="46" t="s">
        <v>53</v>
      </c>
      <c r="I32" s="47"/>
      <c r="J32" s="56">
        <f t="shared" ca="1" si="1"/>
        <v>45894</v>
      </c>
      <c r="K32" s="57"/>
      <c r="L32" s="53">
        <v>0</v>
      </c>
      <c r="M32" s="54"/>
    </row>
    <row r="33" spans="1:14" x14ac:dyDescent="0.2">
      <c r="B33" s="46" t="s">
        <v>53</v>
      </c>
      <c r="C33" s="47"/>
      <c r="D33" s="53">
        <v>0</v>
      </c>
      <c r="E33" s="54"/>
      <c r="F33" s="20"/>
      <c r="H33" s="48" t="s">
        <v>53</v>
      </c>
      <c r="I33" s="49"/>
      <c r="J33" s="56">
        <f t="shared" ca="1" si="1"/>
        <v>45894</v>
      </c>
      <c r="K33" s="57"/>
      <c r="L33" s="53">
        <v>0</v>
      </c>
      <c r="M33" s="54"/>
    </row>
    <row r="34" spans="1:14" x14ac:dyDescent="0.2">
      <c r="B34" s="50" t="s">
        <v>55</v>
      </c>
      <c r="C34" s="45"/>
      <c r="D34" s="58">
        <f>SUM(D20:E33)</f>
        <v>11064</v>
      </c>
      <c r="E34" s="59"/>
      <c r="F34" s="20"/>
      <c r="H34" s="48" t="s">
        <v>55</v>
      </c>
      <c r="I34" s="49"/>
      <c r="J34" s="50"/>
      <c r="K34" s="45"/>
      <c r="L34" s="44">
        <f>-SUM(L20:M33)</f>
        <v>-13071</v>
      </c>
      <c r="M34" s="45"/>
    </row>
    <row r="35" spans="1:1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">
      <c r="A37" s="1"/>
      <c r="B37" s="62"/>
      <c r="C37" s="6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">
      <c r="A38" s="1"/>
      <c r="B38" s="62"/>
      <c r="C38" s="6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1"/>
      <c r="B39" s="62"/>
      <c r="C39" s="6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1"/>
      <c r="B40" s="3" t="s">
        <v>54</v>
      </c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1"/>
      <c r="B41" s="15" t="s">
        <v>5</v>
      </c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1"/>
      <c r="B42" s="7" t="s">
        <v>6</v>
      </c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1"/>
      <c r="B43" s="7" t="s">
        <v>7</v>
      </c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1"/>
      <c r="B44" s="7" t="s">
        <v>8</v>
      </c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">
      <c r="A45" s="1"/>
      <c r="B45" s="7" t="s">
        <v>9</v>
      </c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1"/>
      <c r="B46" s="7" t="s">
        <v>10</v>
      </c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1"/>
      <c r="B47" s="7" t="s">
        <v>11</v>
      </c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">
      <c r="A48" s="1"/>
      <c r="B48" s="16" t="s">
        <v>53</v>
      </c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1"/>
      <c r="B49" s="62"/>
      <c r="C49" s="6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idden="1" x14ac:dyDescent="0.2">
      <c r="A50" s="1"/>
      <c r="B50" s="62"/>
      <c r="C50" s="6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idden="1" x14ac:dyDescent="0.2">
      <c r="A51" s="1"/>
      <c r="B51" s="62"/>
      <c r="C51" s="6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idden="1" x14ac:dyDescent="0.2">
      <c r="A52" s="1"/>
      <c r="B52" s="62"/>
      <c r="C52" s="6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idden="1" x14ac:dyDescent="0.2">
      <c r="A53" s="1"/>
      <c r="B53" s="62"/>
      <c r="C53" s="6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idden="1" x14ac:dyDescent="0.2">
      <c r="A54" s="1"/>
      <c r="B54" s="62"/>
      <c r="C54" s="6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idden="1" x14ac:dyDescent="0.2">
      <c r="A55" s="1"/>
      <c r="B55" s="62"/>
      <c r="C55" s="6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idden="1" x14ac:dyDescent="0.2">
      <c r="A56" s="1"/>
      <c r="B56" s="62"/>
      <c r="C56" s="6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idden="1" x14ac:dyDescent="0.2">
      <c r="A57" s="1"/>
      <c r="B57" s="62"/>
      <c r="C57" s="6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idden="1" x14ac:dyDescent="0.2">
      <c r="A58" s="1"/>
      <c r="B58" s="62"/>
      <c r="C58" s="6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idden="1" x14ac:dyDescent="0.2">
      <c r="A59" s="1"/>
      <c r="B59" s="62"/>
      <c r="C59" s="6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idden="1" x14ac:dyDescent="0.2">
      <c r="A60" s="1"/>
      <c r="B60" s="62"/>
      <c r="C60" s="6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idden="1" x14ac:dyDescent="0.2">
      <c r="A61" s="1"/>
      <c r="B61" s="62"/>
      <c r="C61" s="6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idden="1" x14ac:dyDescent="0.2">
      <c r="A62" s="1"/>
      <c r="B62" s="62"/>
      <c r="C62" s="6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idden="1" x14ac:dyDescent="0.2">
      <c r="A63" s="1"/>
      <c r="B63" s="62"/>
      <c r="C63" s="6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idden="1" x14ac:dyDescent="0.2">
      <c r="A64" s="1"/>
      <c r="B64" s="62"/>
      <c r="C64" s="6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2:3" hidden="1" x14ac:dyDescent="0.2">
      <c r="B65" s="62"/>
      <c r="C65" s="62"/>
    </row>
    <row r="66" spans="2:3" hidden="1" x14ac:dyDescent="0.2">
      <c r="B66" s="62"/>
      <c r="C66" s="62"/>
    </row>
    <row r="67" spans="2:3" hidden="1" x14ac:dyDescent="0.2">
      <c r="B67" s="62"/>
      <c r="C67" s="62"/>
    </row>
  </sheetData>
  <mergeCells count="105">
    <mergeCell ref="A1:N2"/>
    <mergeCell ref="B23:C23"/>
    <mergeCell ref="B24:C24"/>
    <mergeCell ref="B25:C25"/>
    <mergeCell ref="B26:C26"/>
    <mergeCell ref="B27:C27"/>
    <mergeCell ref="B18:E18"/>
    <mergeCell ref="B19:C19"/>
    <mergeCell ref="D19:E19"/>
    <mergeCell ref="B20:C20"/>
    <mergeCell ref="B21:C21"/>
    <mergeCell ref="D20:E20"/>
    <mergeCell ref="D21:E21"/>
    <mergeCell ref="H18:M18"/>
    <mergeCell ref="B39:C39"/>
    <mergeCell ref="H28:I28"/>
    <mergeCell ref="H29:I29"/>
    <mergeCell ref="H30:I30"/>
    <mergeCell ref="H31:I31"/>
    <mergeCell ref="L19:M19"/>
    <mergeCell ref="J30:K30"/>
    <mergeCell ref="J31:K31"/>
    <mergeCell ref="J32:K32"/>
    <mergeCell ref="J33:K33"/>
    <mergeCell ref="H22:I22"/>
    <mergeCell ref="H23:I23"/>
    <mergeCell ref="H24:I24"/>
    <mergeCell ref="H25:I25"/>
    <mergeCell ref="H26:I26"/>
    <mergeCell ref="H27:I27"/>
    <mergeCell ref="B28:C28"/>
    <mergeCell ref="B29:C29"/>
    <mergeCell ref="B30:C30"/>
    <mergeCell ref="B31:C31"/>
    <mergeCell ref="H19:I19"/>
    <mergeCell ref="J19:K19"/>
    <mergeCell ref="H20:I20"/>
    <mergeCell ref="B22:C22"/>
    <mergeCell ref="B62:C62"/>
    <mergeCell ref="B63:C63"/>
    <mergeCell ref="B64:C64"/>
    <mergeCell ref="B65:C65"/>
    <mergeCell ref="B66:C66"/>
    <mergeCell ref="B67:C67"/>
    <mergeCell ref="B32:C32"/>
    <mergeCell ref="B33:C33"/>
    <mergeCell ref="B49:C49"/>
    <mergeCell ref="B34:C34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37:C37"/>
    <mergeCell ref="B38:C38"/>
    <mergeCell ref="D34:E34"/>
    <mergeCell ref="J20:K20"/>
    <mergeCell ref="J21:K21"/>
    <mergeCell ref="J22:K22"/>
    <mergeCell ref="J23:K23"/>
    <mergeCell ref="J24:K24"/>
    <mergeCell ref="J27:K27"/>
    <mergeCell ref="J28:K28"/>
    <mergeCell ref="J29:K29"/>
    <mergeCell ref="D28:E28"/>
    <mergeCell ref="D29:E29"/>
    <mergeCell ref="D30:E30"/>
    <mergeCell ref="D31:E31"/>
    <mergeCell ref="D32:E32"/>
    <mergeCell ref="D33:E33"/>
    <mergeCell ref="D22:E22"/>
    <mergeCell ref="D23:E23"/>
    <mergeCell ref="D24:E24"/>
    <mergeCell ref="D25:E25"/>
    <mergeCell ref="D26:E26"/>
    <mergeCell ref="D27:E27"/>
    <mergeCell ref="H21:I21"/>
    <mergeCell ref="L34:M34"/>
    <mergeCell ref="H32:I32"/>
    <mergeCell ref="H33:I33"/>
    <mergeCell ref="H34:I34"/>
    <mergeCell ref="J34:K34"/>
    <mergeCell ref="L20:M20"/>
    <mergeCell ref="L21:M21"/>
    <mergeCell ref="L22:M22"/>
    <mergeCell ref="L23:M23"/>
    <mergeCell ref="L24:M24"/>
    <mergeCell ref="L27:M27"/>
    <mergeCell ref="L28:M28"/>
    <mergeCell ref="L29:M29"/>
    <mergeCell ref="L25:M25"/>
    <mergeCell ref="L26:M26"/>
    <mergeCell ref="J26:K26"/>
    <mergeCell ref="J25:K25"/>
    <mergeCell ref="L30:M30"/>
    <mergeCell ref="L31:M31"/>
    <mergeCell ref="L32:M32"/>
    <mergeCell ref="L33:M33"/>
  </mergeCells>
  <phoneticPr fontId="13" type="noConversion"/>
  <dataValidations count="2">
    <dataValidation type="list" allowBlank="1" showInputMessage="1" showErrorMessage="1" sqref="B37:C39 B49:C67 C40:C48" xr:uid="{08DD4E3D-86E0-464D-B2F0-4D9A7F2877FD}">
      <formula1>$B$41:$B$47</formula1>
    </dataValidation>
    <dataValidation type="list" allowBlank="1" showInputMessage="1" showErrorMessage="1" sqref="B20:C33 H20:I33" xr:uid="{C11245B2-FE5F-D34B-B048-4838EA938576}">
      <formula1>$B$41:$B$48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26F1-D221-6842-9E02-A2FFBAD8350A}">
  <dimension ref="A1:M12031"/>
  <sheetViews>
    <sheetView zoomScale="93" workbookViewId="0">
      <selection activeCell="C9" sqref="C9"/>
    </sheetView>
  </sheetViews>
  <sheetFormatPr baseColWidth="10" defaultColWidth="16.33203125" defaultRowHeight="16" x14ac:dyDescent="0.2"/>
  <cols>
    <col min="1" max="1" width="16.33203125" style="3"/>
    <col min="2" max="2" width="9.5" style="3" customWidth="1"/>
    <col min="3" max="6" width="16.33203125" style="37"/>
    <col min="7" max="7" width="22.1640625" style="37" bestFit="1" customWidth="1"/>
    <col min="8" max="8" width="23.6640625" style="37" bestFit="1" customWidth="1"/>
    <col min="9" max="9" width="16.33203125" style="3"/>
  </cols>
  <sheetData>
    <row r="1" spans="1:9" ht="16" customHeight="1" x14ac:dyDescent="0.2">
      <c r="A1" s="69" t="s">
        <v>64</v>
      </c>
      <c r="B1" s="69"/>
      <c r="C1" s="69"/>
      <c r="D1" s="69"/>
      <c r="E1" s="69"/>
      <c r="F1" s="69"/>
      <c r="G1" s="69"/>
      <c r="H1" s="69"/>
      <c r="I1" s="69"/>
    </row>
    <row r="2" spans="1:9" ht="16" customHeight="1" x14ac:dyDescent="0.2">
      <c r="A2" s="69"/>
      <c r="B2" s="69"/>
      <c r="C2" s="69"/>
      <c r="D2" s="69"/>
      <c r="E2" s="69"/>
      <c r="F2" s="69"/>
      <c r="G2" s="69"/>
      <c r="H2" s="69"/>
      <c r="I2" s="69"/>
    </row>
    <row r="3" spans="1:9" x14ac:dyDescent="0.2">
      <c r="A3" s="3" t="s">
        <v>54</v>
      </c>
      <c r="C3" s="2"/>
      <c r="D3" s="2"/>
      <c r="E3" s="2"/>
      <c r="F3" s="2"/>
      <c r="G3" s="2"/>
      <c r="H3" s="2"/>
      <c r="I3" s="2"/>
    </row>
    <row r="4" spans="1:9" x14ac:dyDescent="0.2">
      <c r="A4" s="15" t="s">
        <v>5</v>
      </c>
      <c r="B4" s="2"/>
      <c r="C4" s="2"/>
      <c r="D4" s="2"/>
      <c r="E4" s="2"/>
      <c r="F4" s="2"/>
      <c r="G4" s="36" t="s">
        <v>1</v>
      </c>
      <c r="H4" s="19" t="s">
        <v>58</v>
      </c>
      <c r="I4" s="2"/>
    </row>
    <row r="5" spans="1:9" ht="32" x14ac:dyDescent="0.4">
      <c r="A5" s="7" t="s">
        <v>6</v>
      </c>
      <c r="B5" s="2"/>
      <c r="C5" s="2"/>
      <c r="D5" s="2"/>
      <c r="E5" s="2"/>
      <c r="F5" s="2"/>
      <c r="G5" s="35">
        <f>SUM(G9:G1048576)</f>
        <v>11064</v>
      </c>
      <c r="H5" s="42">
        <f>-SUM(H29:H1048576)</f>
        <v>-13071</v>
      </c>
      <c r="I5" s="2"/>
    </row>
    <row r="6" spans="1:9" x14ac:dyDescent="0.2">
      <c r="A6" s="7" t="s">
        <v>7</v>
      </c>
      <c r="B6" s="2"/>
      <c r="C6" s="2"/>
      <c r="D6" s="2"/>
      <c r="E6" s="2"/>
      <c r="F6" s="2"/>
      <c r="G6" s="2"/>
      <c r="H6" s="4"/>
      <c r="I6" s="2"/>
    </row>
    <row r="7" spans="1:9" x14ac:dyDescent="0.2">
      <c r="A7" s="7" t="s">
        <v>8</v>
      </c>
      <c r="B7" s="2"/>
      <c r="C7" s="3"/>
      <c r="D7" s="3"/>
      <c r="E7" s="3"/>
      <c r="F7" s="3"/>
      <c r="G7" s="3"/>
      <c r="H7" s="38"/>
    </row>
    <row r="8" spans="1:9" x14ac:dyDescent="0.2">
      <c r="A8" s="7" t="s">
        <v>9</v>
      </c>
      <c r="B8" s="4"/>
      <c r="C8" s="17" t="s">
        <v>65</v>
      </c>
      <c r="D8" s="50" t="s">
        <v>66</v>
      </c>
      <c r="E8" s="73"/>
      <c r="F8" s="45"/>
      <c r="G8" s="17" t="s">
        <v>67</v>
      </c>
      <c r="H8" s="43" t="s">
        <v>68</v>
      </c>
    </row>
    <row r="9" spans="1:9" x14ac:dyDescent="0.2">
      <c r="A9" s="7" t="s">
        <v>10</v>
      </c>
      <c r="B9" s="7"/>
      <c r="C9" s="37" t="s">
        <v>11</v>
      </c>
      <c r="D9" s="50"/>
      <c r="E9" s="73"/>
      <c r="F9" s="45"/>
      <c r="G9" s="37">
        <v>300</v>
      </c>
      <c r="H9" s="37">
        <v>0</v>
      </c>
    </row>
    <row r="10" spans="1:9" x14ac:dyDescent="0.2">
      <c r="A10" s="7" t="s">
        <v>11</v>
      </c>
      <c r="B10" s="7"/>
      <c r="C10" s="37" t="s">
        <v>11</v>
      </c>
      <c r="D10" s="50"/>
      <c r="E10" s="73"/>
      <c r="F10" s="45"/>
      <c r="G10" s="37">
        <v>220</v>
      </c>
      <c r="H10" s="37">
        <v>0</v>
      </c>
    </row>
    <row r="11" spans="1:9" x14ac:dyDescent="0.2">
      <c r="A11" s="16" t="s">
        <v>53</v>
      </c>
      <c r="B11" s="2"/>
      <c r="C11" s="37" t="s">
        <v>11</v>
      </c>
      <c r="D11" s="50"/>
      <c r="E11" s="73"/>
      <c r="F11" s="45"/>
      <c r="G11" s="37">
        <v>120</v>
      </c>
      <c r="H11" s="37">
        <v>0</v>
      </c>
    </row>
    <row r="12" spans="1:9" x14ac:dyDescent="0.2">
      <c r="C12" s="37" t="s">
        <v>11</v>
      </c>
      <c r="D12" s="50"/>
      <c r="E12" s="73"/>
      <c r="F12" s="45"/>
      <c r="G12" s="37">
        <v>120</v>
      </c>
      <c r="H12" s="37">
        <v>0</v>
      </c>
    </row>
    <row r="13" spans="1:9" x14ac:dyDescent="0.2">
      <c r="C13" s="37" t="s">
        <v>11</v>
      </c>
      <c r="D13" s="50"/>
      <c r="E13" s="73"/>
      <c r="F13" s="45"/>
      <c r="G13" s="37">
        <v>640</v>
      </c>
      <c r="H13" s="37">
        <v>0</v>
      </c>
    </row>
    <row r="14" spans="1:9" x14ac:dyDescent="0.2">
      <c r="C14" s="37" t="s">
        <v>11</v>
      </c>
      <c r="D14" s="50"/>
      <c r="E14" s="73"/>
      <c r="F14" s="45"/>
      <c r="G14" s="37">
        <v>200</v>
      </c>
      <c r="H14" s="37">
        <v>0</v>
      </c>
    </row>
    <row r="15" spans="1:9" x14ac:dyDescent="0.2">
      <c r="C15" s="37" t="s">
        <v>11</v>
      </c>
      <c r="D15" s="50"/>
      <c r="E15" s="73"/>
      <c r="F15" s="45"/>
      <c r="G15" s="37">
        <v>75</v>
      </c>
      <c r="H15" s="37">
        <v>0</v>
      </c>
    </row>
    <row r="16" spans="1:9" x14ac:dyDescent="0.2">
      <c r="C16" s="37" t="s">
        <v>11</v>
      </c>
      <c r="D16" s="50"/>
      <c r="E16" s="73"/>
      <c r="F16" s="45"/>
      <c r="G16" s="37">
        <v>50</v>
      </c>
      <c r="H16" s="37">
        <v>0</v>
      </c>
    </row>
    <row r="17" spans="3:8" x14ac:dyDescent="0.2">
      <c r="C17" s="37" t="s">
        <v>11</v>
      </c>
      <c r="D17" s="50"/>
      <c r="E17" s="73"/>
      <c r="F17" s="45"/>
      <c r="G17" s="37">
        <v>200</v>
      </c>
      <c r="H17" s="37">
        <v>0</v>
      </c>
    </row>
    <row r="18" spans="3:8" x14ac:dyDescent="0.2">
      <c r="C18" s="37" t="s">
        <v>11</v>
      </c>
      <c r="D18" s="50"/>
      <c r="E18" s="73"/>
      <c r="F18" s="45"/>
      <c r="G18" s="37">
        <v>300</v>
      </c>
      <c r="H18" s="37">
        <v>0</v>
      </c>
    </row>
    <row r="19" spans="3:8" x14ac:dyDescent="0.2">
      <c r="C19" s="37" t="s">
        <v>11</v>
      </c>
      <c r="D19" s="50"/>
      <c r="E19" s="73"/>
      <c r="F19" s="45"/>
      <c r="G19" s="37">
        <v>60</v>
      </c>
      <c r="H19" s="37">
        <v>0</v>
      </c>
    </row>
    <row r="20" spans="3:8" x14ac:dyDescent="0.2">
      <c r="C20" s="37" t="s">
        <v>11</v>
      </c>
      <c r="D20" s="50"/>
      <c r="E20" s="73"/>
      <c r="F20" s="45"/>
      <c r="G20" s="37">
        <v>90</v>
      </c>
      <c r="H20" s="37">
        <v>0</v>
      </c>
    </row>
    <row r="21" spans="3:8" x14ac:dyDescent="0.2">
      <c r="C21" s="37" t="s">
        <v>11</v>
      </c>
      <c r="D21" s="50"/>
      <c r="E21" s="73"/>
      <c r="F21" s="45"/>
      <c r="G21" s="37">
        <v>180</v>
      </c>
      <c r="H21" s="37">
        <v>0</v>
      </c>
    </row>
    <row r="22" spans="3:8" x14ac:dyDescent="0.2">
      <c r="C22" s="37" t="s">
        <v>11</v>
      </c>
      <c r="D22" s="50"/>
      <c r="E22" s="73"/>
      <c r="F22" s="45"/>
      <c r="G22" s="37">
        <v>859</v>
      </c>
      <c r="H22" s="37">
        <v>0</v>
      </c>
    </row>
    <row r="23" spans="3:8" x14ac:dyDescent="0.2">
      <c r="C23" s="37" t="s">
        <v>11</v>
      </c>
      <c r="D23" s="50"/>
      <c r="E23" s="73"/>
      <c r="F23" s="45"/>
      <c r="G23" s="37">
        <v>100</v>
      </c>
      <c r="H23" s="37">
        <v>0</v>
      </c>
    </row>
    <row r="24" spans="3:8" x14ac:dyDescent="0.2">
      <c r="C24" s="37" t="s">
        <v>11</v>
      </c>
      <c r="D24" s="50"/>
      <c r="E24" s="73"/>
      <c r="F24" s="45"/>
      <c r="G24" s="37">
        <v>60</v>
      </c>
      <c r="H24" s="37">
        <v>0</v>
      </c>
    </row>
    <row r="25" spans="3:8" x14ac:dyDescent="0.2">
      <c r="C25" s="37" t="s">
        <v>11</v>
      </c>
      <c r="D25" s="50"/>
      <c r="E25" s="73"/>
      <c r="F25" s="45"/>
      <c r="G25" s="37">
        <v>638</v>
      </c>
      <c r="H25" s="37">
        <v>0</v>
      </c>
    </row>
    <row r="26" spans="3:8" x14ac:dyDescent="0.2">
      <c r="C26" s="37" t="s">
        <v>11</v>
      </c>
      <c r="D26" s="50"/>
      <c r="E26" s="73"/>
      <c r="F26" s="45"/>
      <c r="G26" s="37">
        <v>392</v>
      </c>
      <c r="H26" s="37">
        <v>0</v>
      </c>
    </row>
    <row r="27" spans="3:8" x14ac:dyDescent="0.2">
      <c r="C27" s="37" t="s">
        <v>11</v>
      </c>
      <c r="D27" s="50"/>
      <c r="E27" s="73"/>
      <c r="F27" s="45"/>
      <c r="G27" s="37">
        <v>280</v>
      </c>
      <c r="H27" s="37">
        <v>0</v>
      </c>
    </row>
    <row r="28" spans="3:8" x14ac:dyDescent="0.2">
      <c r="C28" s="37" t="s">
        <v>11</v>
      </c>
      <c r="D28" s="50"/>
      <c r="E28" s="73"/>
      <c r="F28" s="45"/>
      <c r="G28" s="37">
        <v>200</v>
      </c>
      <c r="H28" s="37">
        <v>0</v>
      </c>
    </row>
    <row r="29" spans="3:8" x14ac:dyDescent="0.2">
      <c r="C29" s="37" t="s">
        <v>11</v>
      </c>
      <c r="D29" s="50"/>
      <c r="E29" s="73"/>
      <c r="F29" s="45"/>
      <c r="G29" s="37">
        <v>0</v>
      </c>
      <c r="H29" s="39">
        <v>70</v>
      </c>
    </row>
    <row r="30" spans="3:8" x14ac:dyDescent="0.2">
      <c r="C30" s="37" t="s">
        <v>11</v>
      </c>
      <c r="D30" s="50"/>
      <c r="E30" s="73"/>
      <c r="F30" s="45"/>
      <c r="G30" s="37">
        <v>0</v>
      </c>
      <c r="H30" s="39">
        <v>3</v>
      </c>
    </row>
    <row r="31" spans="3:8" x14ac:dyDescent="0.2">
      <c r="C31" s="37" t="s">
        <v>11</v>
      </c>
      <c r="D31" s="50"/>
      <c r="E31" s="73"/>
      <c r="F31" s="45"/>
      <c r="G31" s="37">
        <v>0</v>
      </c>
      <c r="H31" s="39">
        <v>20</v>
      </c>
    </row>
    <row r="32" spans="3:8" x14ac:dyDescent="0.2">
      <c r="C32" s="37" t="s">
        <v>11</v>
      </c>
      <c r="D32" s="50"/>
      <c r="E32" s="73"/>
      <c r="F32" s="45"/>
      <c r="G32" s="37">
        <v>0</v>
      </c>
      <c r="H32" s="39">
        <v>800</v>
      </c>
    </row>
    <row r="33" spans="3:8" x14ac:dyDescent="0.2">
      <c r="C33" s="37" t="s">
        <v>11</v>
      </c>
      <c r="D33" s="50"/>
      <c r="E33" s="73"/>
      <c r="F33" s="45"/>
      <c r="G33" s="37">
        <v>0</v>
      </c>
      <c r="H33" s="39">
        <v>66</v>
      </c>
    </row>
    <row r="34" spans="3:8" x14ac:dyDescent="0.2">
      <c r="C34" s="37" t="s">
        <v>11</v>
      </c>
      <c r="D34" s="50"/>
      <c r="E34" s="73"/>
      <c r="F34" s="45"/>
      <c r="G34" s="37">
        <v>0</v>
      </c>
      <c r="H34" s="39">
        <v>29</v>
      </c>
    </row>
    <row r="35" spans="3:8" x14ac:dyDescent="0.2">
      <c r="C35" s="37" t="s">
        <v>11</v>
      </c>
      <c r="D35" s="50"/>
      <c r="E35" s="73"/>
      <c r="F35" s="45"/>
      <c r="G35" s="37">
        <v>0</v>
      </c>
      <c r="H35" s="39">
        <v>200</v>
      </c>
    </row>
    <row r="36" spans="3:8" x14ac:dyDescent="0.2">
      <c r="C36" s="37" t="s">
        <v>11</v>
      </c>
      <c r="D36" s="50"/>
      <c r="E36" s="73"/>
      <c r="F36" s="45"/>
      <c r="G36" s="37">
        <v>0</v>
      </c>
      <c r="H36" s="39">
        <v>100</v>
      </c>
    </row>
    <row r="37" spans="3:8" x14ac:dyDescent="0.2">
      <c r="C37" s="37" t="s">
        <v>11</v>
      </c>
      <c r="D37" s="50"/>
      <c r="E37" s="73"/>
      <c r="F37" s="45"/>
      <c r="G37" s="37">
        <v>0</v>
      </c>
      <c r="H37" s="39">
        <v>200</v>
      </c>
    </row>
    <row r="38" spans="3:8" x14ac:dyDescent="0.2">
      <c r="C38" s="37" t="s">
        <v>11</v>
      </c>
      <c r="D38" s="50"/>
      <c r="E38" s="73"/>
      <c r="F38" s="45"/>
      <c r="G38" s="37">
        <v>0</v>
      </c>
      <c r="H38" s="39">
        <v>90</v>
      </c>
    </row>
    <row r="39" spans="3:8" x14ac:dyDescent="0.2">
      <c r="C39" s="37" t="s">
        <v>11</v>
      </c>
      <c r="D39" s="50"/>
      <c r="E39" s="73"/>
      <c r="F39" s="45"/>
      <c r="G39" s="37">
        <v>0</v>
      </c>
      <c r="H39" s="39">
        <v>156</v>
      </c>
    </row>
    <row r="40" spans="3:8" x14ac:dyDescent="0.2">
      <c r="C40" s="37" t="s">
        <v>11</v>
      </c>
      <c r="D40" s="50"/>
      <c r="E40" s="73"/>
      <c r="F40" s="45"/>
      <c r="G40" s="37">
        <v>0</v>
      </c>
      <c r="H40" s="39">
        <v>40</v>
      </c>
    </row>
    <row r="41" spans="3:8" x14ac:dyDescent="0.2">
      <c r="C41" s="37" t="s">
        <v>11</v>
      </c>
      <c r="D41" s="50"/>
      <c r="E41" s="73"/>
      <c r="F41" s="45"/>
      <c r="G41" s="37">
        <v>0</v>
      </c>
      <c r="H41" s="39">
        <v>100</v>
      </c>
    </row>
    <row r="42" spans="3:8" x14ac:dyDescent="0.2">
      <c r="C42" s="37" t="s">
        <v>11</v>
      </c>
      <c r="D42" s="50"/>
      <c r="E42" s="73"/>
      <c r="F42" s="45"/>
      <c r="G42" s="37">
        <v>0</v>
      </c>
      <c r="H42" s="39">
        <v>205</v>
      </c>
    </row>
    <row r="43" spans="3:8" x14ac:dyDescent="0.2">
      <c r="C43" s="37" t="s">
        <v>11</v>
      </c>
      <c r="D43" s="50"/>
      <c r="E43" s="73"/>
      <c r="F43" s="45"/>
      <c r="G43" s="37">
        <v>0</v>
      </c>
      <c r="H43" s="39">
        <v>300</v>
      </c>
    </row>
    <row r="44" spans="3:8" x14ac:dyDescent="0.2">
      <c r="C44" s="37" t="s">
        <v>11</v>
      </c>
      <c r="D44" s="50"/>
      <c r="E44" s="73"/>
      <c r="F44" s="45"/>
      <c r="G44" s="37">
        <v>0</v>
      </c>
      <c r="H44" s="39">
        <v>215</v>
      </c>
    </row>
    <row r="45" spans="3:8" x14ac:dyDescent="0.2">
      <c r="C45" s="37" t="s">
        <v>11</v>
      </c>
      <c r="D45" s="50"/>
      <c r="E45" s="73"/>
      <c r="F45" s="45"/>
      <c r="G45" s="37">
        <v>0</v>
      </c>
      <c r="H45" s="39">
        <v>500</v>
      </c>
    </row>
    <row r="46" spans="3:8" x14ac:dyDescent="0.2">
      <c r="C46" s="37" t="s">
        <v>11</v>
      </c>
      <c r="D46" s="50"/>
      <c r="E46" s="73"/>
      <c r="F46" s="45"/>
      <c r="G46" s="37">
        <v>0</v>
      </c>
      <c r="H46" s="39">
        <v>100</v>
      </c>
    </row>
    <row r="47" spans="3:8" x14ac:dyDescent="0.2">
      <c r="C47" s="37" t="s">
        <v>11</v>
      </c>
      <c r="D47" s="50"/>
      <c r="E47" s="73"/>
      <c r="F47" s="45"/>
      <c r="G47" s="37">
        <v>0</v>
      </c>
      <c r="H47" s="39">
        <v>210</v>
      </c>
    </row>
    <row r="48" spans="3:8" x14ac:dyDescent="0.2">
      <c r="C48" s="37" t="s">
        <v>11</v>
      </c>
      <c r="D48" s="50"/>
      <c r="E48" s="73"/>
      <c r="F48" s="45"/>
      <c r="G48" s="37">
        <v>0</v>
      </c>
      <c r="H48" s="39">
        <v>50</v>
      </c>
    </row>
    <row r="49" spans="3:8" x14ac:dyDescent="0.2">
      <c r="C49" s="37" t="s">
        <v>11</v>
      </c>
      <c r="D49" s="50"/>
      <c r="E49" s="73"/>
      <c r="F49" s="45"/>
      <c r="G49" s="37">
        <v>0</v>
      </c>
      <c r="H49" s="39">
        <v>10</v>
      </c>
    </row>
    <row r="50" spans="3:8" x14ac:dyDescent="0.2">
      <c r="C50" s="37" t="s">
        <v>11</v>
      </c>
      <c r="D50" s="50"/>
      <c r="E50" s="73"/>
      <c r="F50" s="45"/>
      <c r="G50" s="37">
        <v>0</v>
      </c>
      <c r="H50" s="39">
        <v>200</v>
      </c>
    </row>
    <row r="51" spans="3:8" x14ac:dyDescent="0.2">
      <c r="C51" s="37" t="s">
        <v>11</v>
      </c>
      <c r="D51" s="50"/>
      <c r="E51" s="73"/>
      <c r="F51" s="45"/>
      <c r="G51" s="37">
        <v>0</v>
      </c>
      <c r="H51" s="39">
        <v>40</v>
      </c>
    </row>
    <row r="52" spans="3:8" x14ac:dyDescent="0.2">
      <c r="C52" s="37" t="s">
        <v>11</v>
      </c>
      <c r="D52" s="50"/>
      <c r="E52" s="73"/>
      <c r="F52" s="45"/>
      <c r="G52" s="37">
        <v>0</v>
      </c>
      <c r="H52" s="39">
        <v>877</v>
      </c>
    </row>
    <row r="53" spans="3:8" x14ac:dyDescent="0.2">
      <c r="C53" s="37" t="s">
        <v>11</v>
      </c>
      <c r="D53" s="50"/>
      <c r="E53" s="73"/>
      <c r="F53" s="45"/>
      <c r="G53" s="37">
        <v>0</v>
      </c>
      <c r="H53" s="39">
        <v>250</v>
      </c>
    </row>
    <row r="54" spans="3:8" x14ac:dyDescent="0.2">
      <c r="C54" s="37" t="s">
        <v>11</v>
      </c>
      <c r="D54" s="50"/>
      <c r="E54" s="73"/>
      <c r="F54" s="45"/>
      <c r="G54" s="37">
        <v>0</v>
      </c>
      <c r="H54" s="39">
        <v>20</v>
      </c>
    </row>
    <row r="55" spans="3:8" x14ac:dyDescent="0.2">
      <c r="C55" s="37" t="s">
        <v>11</v>
      </c>
      <c r="D55" s="50"/>
      <c r="E55" s="73"/>
      <c r="F55" s="45"/>
      <c r="G55" s="37">
        <v>0</v>
      </c>
      <c r="H55" s="39">
        <v>10</v>
      </c>
    </row>
    <row r="56" spans="3:8" x14ac:dyDescent="0.2">
      <c r="C56" s="37" t="s">
        <v>11</v>
      </c>
      <c r="D56" s="50"/>
      <c r="E56" s="73"/>
      <c r="F56" s="45"/>
      <c r="G56" s="37">
        <v>0</v>
      </c>
      <c r="H56" s="39">
        <v>10</v>
      </c>
    </row>
    <row r="57" spans="3:8" x14ac:dyDescent="0.2">
      <c r="C57" s="37" t="s">
        <v>11</v>
      </c>
      <c r="D57" s="50"/>
      <c r="E57" s="73"/>
      <c r="F57" s="45"/>
      <c r="G57" s="37">
        <v>0</v>
      </c>
      <c r="H57" s="39">
        <v>80</v>
      </c>
    </row>
    <row r="58" spans="3:8" x14ac:dyDescent="0.2">
      <c r="C58" s="37" t="s">
        <v>11</v>
      </c>
      <c r="D58" s="50"/>
      <c r="E58" s="73"/>
      <c r="F58" s="45"/>
      <c r="G58" s="37">
        <v>0</v>
      </c>
      <c r="H58" s="39">
        <v>520</v>
      </c>
    </row>
    <row r="59" spans="3:8" x14ac:dyDescent="0.2">
      <c r="C59" s="37" t="s">
        <v>11</v>
      </c>
      <c r="D59" s="50"/>
      <c r="E59" s="73"/>
      <c r="F59" s="45"/>
      <c r="G59" s="37">
        <v>0</v>
      </c>
      <c r="H59" s="40">
        <v>1300</v>
      </c>
    </row>
    <row r="60" spans="3:8" x14ac:dyDescent="0.2">
      <c r="C60" s="37" t="s">
        <v>6</v>
      </c>
      <c r="D60" s="50"/>
      <c r="E60" s="73"/>
      <c r="F60" s="45"/>
      <c r="G60" s="37">
        <v>0</v>
      </c>
      <c r="H60" s="37">
        <v>520</v>
      </c>
    </row>
    <row r="61" spans="3:8" x14ac:dyDescent="0.2">
      <c r="C61" s="37" t="s">
        <v>6</v>
      </c>
      <c r="D61" s="50"/>
      <c r="E61" s="73"/>
      <c r="F61" s="45"/>
      <c r="G61" s="37">
        <v>0</v>
      </c>
      <c r="H61" s="37">
        <v>160</v>
      </c>
    </row>
    <row r="62" spans="3:8" x14ac:dyDescent="0.2">
      <c r="C62" s="37" t="s">
        <v>6</v>
      </c>
      <c r="D62" s="50"/>
      <c r="E62" s="73"/>
      <c r="F62" s="45"/>
      <c r="G62" s="37">
        <v>0</v>
      </c>
      <c r="H62" s="37">
        <v>250</v>
      </c>
    </row>
    <row r="63" spans="3:8" x14ac:dyDescent="0.2">
      <c r="C63" s="37" t="s">
        <v>6</v>
      </c>
      <c r="D63" s="50"/>
      <c r="E63" s="73"/>
      <c r="F63" s="45"/>
      <c r="G63" s="37">
        <v>0</v>
      </c>
      <c r="H63" s="37">
        <v>100</v>
      </c>
    </row>
    <row r="64" spans="3:8" x14ac:dyDescent="0.2">
      <c r="C64" s="37" t="s">
        <v>6</v>
      </c>
      <c r="D64" s="50"/>
      <c r="E64" s="73"/>
      <c r="F64" s="45"/>
      <c r="G64" s="37">
        <v>0</v>
      </c>
      <c r="H64" s="37">
        <v>230</v>
      </c>
    </row>
    <row r="65" spans="3:13" x14ac:dyDescent="0.2">
      <c r="C65" s="37" t="s">
        <v>6</v>
      </c>
      <c r="D65" s="50"/>
      <c r="E65" s="73"/>
      <c r="F65" s="45"/>
      <c r="G65" s="37">
        <v>0</v>
      </c>
      <c r="H65" s="37">
        <v>200</v>
      </c>
    </row>
    <row r="66" spans="3:13" x14ac:dyDescent="0.2">
      <c r="C66" s="37" t="s">
        <v>6</v>
      </c>
      <c r="D66" s="50"/>
      <c r="E66" s="73"/>
      <c r="F66" s="45"/>
      <c r="G66" s="41">
        <v>1500</v>
      </c>
      <c r="H66" s="37">
        <v>0</v>
      </c>
    </row>
    <row r="67" spans="3:13" x14ac:dyDescent="0.2">
      <c r="C67" s="37" t="s">
        <v>6</v>
      </c>
      <c r="D67" s="50"/>
      <c r="E67" s="73"/>
      <c r="F67" s="45"/>
      <c r="G67" s="41">
        <v>600</v>
      </c>
      <c r="H67" s="37">
        <v>0</v>
      </c>
      <c r="M67" s="12">
        <v>1560</v>
      </c>
    </row>
    <row r="68" spans="3:13" x14ac:dyDescent="0.2">
      <c r="C68" s="37" t="s">
        <v>7</v>
      </c>
      <c r="D68" s="50"/>
      <c r="E68" s="73"/>
      <c r="F68" s="45"/>
      <c r="G68" s="37">
        <v>1560</v>
      </c>
      <c r="H68" s="37">
        <v>0</v>
      </c>
    </row>
    <row r="69" spans="3:13" x14ac:dyDescent="0.2">
      <c r="C69" s="37" t="s">
        <v>7</v>
      </c>
      <c r="D69" s="50"/>
      <c r="E69" s="73"/>
      <c r="F69" s="45"/>
      <c r="G69" s="37">
        <v>0</v>
      </c>
      <c r="H69" s="37">
        <v>500</v>
      </c>
    </row>
    <row r="70" spans="3:13" x14ac:dyDescent="0.2">
      <c r="C70" s="37" t="s">
        <v>8</v>
      </c>
      <c r="D70" s="50"/>
      <c r="E70" s="73"/>
      <c r="F70" s="45"/>
      <c r="G70" s="37">
        <v>0</v>
      </c>
      <c r="H70" s="37">
        <v>990</v>
      </c>
    </row>
    <row r="71" spans="3:13" x14ac:dyDescent="0.2">
      <c r="C71" s="37" t="s">
        <v>8</v>
      </c>
      <c r="D71" s="50"/>
      <c r="E71" s="73"/>
      <c r="F71" s="45"/>
      <c r="G71" s="37">
        <v>0</v>
      </c>
      <c r="H71" s="37">
        <v>200</v>
      </c>
    </row>
    <row r="72" spans="3:13" x14ac:dyDescent="0.2">
      <c r="C72" s="37" t="s">
        <v>8</v>
      </c>
      <c r="D72" s="50"/>
      <c r="E72" s="73"/>
      <c r="F72" s="45"/>
      <c r="G72" s="37">
        <v>220</v>
      </c>
      <c r="H72" s="37">
        <v>0</v>
      </c>
    </row>
    <row r="73" spans="3:13" x14ac:dyDescent="0.2">
      <c r="C73" s="37" t="s">
        <v>9</v>
      </c>
      <c r="D73" s="50"/>
      <c r="E73" s="73"/>
      <c r="F73" s="45"/>
      <c r="G73" s="37">
        <v>0</v>
      </c>
      <c r="H73" s="37">
        <v>1000</v>
      </c>
    </row>
    <row r="74" spans="3:13" x14ac:dyDescent="0.2">
      <c r="C74" s="37" t="s">
        <v>9</v>
      </c>
      <c r="D74" s="50"/>
      <c r="E74" s="73"/>
      <c r="F74" s="45"/>
      <c r="G74" s="37">
        <v>0</v>
      </c>
      <c r="H74" s="37">
        <v>520</v>
      </c>
    </row>
    <row r="75" spans="3:13" x14ac:dyDescent="0.2">
      <c r="C75" s="37" t="s">
        <v>9</v>
      </c>
      <c r="D75" s="50"/>
      <c r="E75" s="73"/>
      <c r="F75" s="45"/>
      <c r="G75" s="37">
        <v>0</v>
      </c>
      <c r="H75" s="37">
        <v>200</v>
      </c>
    </row>
    <row r="76" spans="3:13" x14ac:dyDescent="0.2">
      <c r="C76" s="37" t="s">
        <v>9</v>
      </c>
      <c r="D76" s="50"/>
      <c r="E76" s="73"/>
      <c r="F76" s="45"/>
      <c r="G76" s="37">
        <v>0</v>
      </c>
      <c r="H76" s="37">
        <v>150</v>
      </c>
    </row>
    <row r="77" spans="3:13" x14ac:dyDescent="0.2">
      <c r="C77" s="37" t="s">
        <v>9</v>
      </c>
      <c r="D77" s="50"/>
      <c r="E77" s="73"/>
      <c r="F77" s="45"/>
      <c r="G77" s="37">
        <v>0</v>
      </c>
      <c r="H77" s="37">
        <v>150</v>
      </c>
    </row>
    <row r="78" spans="3:13" x14ac:dyDescent="0.2">
      <c r="C78" s="37" t="s">
        <v>9</v>
      </c>
      <c r="D78" s="50"/>
      <c r="E78" s="73"/>
      <c r="F78" s="45"/>
      <c r="G78" s="37">
        <v>0</v>
      </c>
      <c r="H78" s="37">
        <v>50</v>
      </c>
    </row>
    <row r="79" spans="3:13" x14ac:dyDescent="0.2">
      <c r="C79" s="37" t="s">
        <v>9</v>
      </c>
      <c r="D79" s="50"/>
      <c r="E79" s="73"/>
      <c r="F79" s="45"/>
      <c r="G79" s="37">
        <v>1500</v>
      </c>
      <c r="H79" s="37">
        <v>0</v>
      </c>
    </row>
    <row r="80" spans="3:13" x14ac:dyDescent="0.2">
      <c r="C80" s="37" t="s">
        <v>10</v>
      </c>
      <c r="D80" s="50"/>
      <c r="E80" s="73"/>
      <c r="F80" s="45"/>
      <c r="G80" s="37">
        <v>0</v>
      </c>
      <c r="H80" s="37">
        <v>800</v>
      </c>
    </row>
    <row r="81" spans="3:8" x14ac:dyDescent="0.2">
      <c r="C81" s="37" t="s">
        <v>10</v>
      </c>
      <c r="D81" s="50"/>
      <c r="E81" s="73"/>
      <c r="F81" s="45"/>
      <c r="G81" s="37">
        <v>0</v>
      </c>
      <c r="H81" s="37">
        <v>80</v>
      </c>
    </row>
    <row r="82" spans="3:8" x14ac:dyDescent="0.2">
      <c r="C82" s="37" t="s">
        <v>10</v>
      </c>
      <c r="D82" s="50"/>
      <c r="E82" s="73"/>
      <c r="F82" s="45"/>
      <c r="G82" s="37">
        <v>0</v>
      </c>
      <c r="H82" s="37">
        <v>100</v>
      </c>
    </row>
    <row r="83" spans="3:8" x14ac:dyDescent="0.2">
      <c r="C83" s="37" t="s">
        <v>10</v>
      </c>
      <c r="D83" s="50"/>
      <c r="E83" s="73"/>
      <c r="F83" s="45"/>
      <c r="G83" s="37">
        <v>0</v>
      </c>
      <c r="H83" s="37">
        <v>100</v>
      </c>
    </row>
    <row r="84" spans="3:8" x14ac:dyDescent="0.2">
      <c r="C84" s="37" t="s">
        <v>10</v>
      </c>
      <c r="D84" s="50"/>
      <c r="E84" s="73"/>
      <c r="F84" s="45"/>
      <c r="G84" s="37">
        <v>600</v>
      </c>
      <c r="H84" s="37">
        <v>0</v>
      </c>
    </row>
    <row r="85" spans="3:8" x14ac:dyDescent="0.2">
      <c r="D85" s="50"/>
      <c r="E85" s="73"/>
      <c r="F85" s="45"/>
    </row>
    <row r="86" spans="3:8" x14ac:dyDescent="0.2">
      <c r="D86" s="50"/>
      <c r="E86" s="73"/>
      <c r="F86" s="45"/>
    </row>
    <row r="87" spans="3:8" x14ac:dyDescent="0.2">
      <c r="D87" s="50"/>
      <c r="E87" s="73"/>
      <c r="F87" s="45"/>
    </row>
    <row r="88" spans="3:8" x14ac:dyDescent="0.2">
      <c r="D88" s="50"/>
      <c r="E88" s="73"/>
      <c r="F88" s="45"/>
    </row>
    <row r="89" spans="3:8" x14ac:dyDescent="0.2">
      <c r="D89" s="50"/>
      <c r="E89" s="73"/>
      <c r="F89" s="45"/>
    </row>
    <row r="90" spans="3:8" x14ac:dyDescent="0.2">
      <c r="D90" s="50"/>
      <c r="E90" s="73"/>
      <c r="F90" s="45"/>
    </row>
    <row r="91" spans="3:8" x14ac:dyDescent="0.2">
      <c r="D91" s="50"/>
      <c r="E91" s="73"/>
      <c r="F91" s="45"/>
    </row>
    <row r="92" spans="3:8" x14ac:dyDescent="0.2">
      <c r="D92" s="50"/>
      <c r="E92" s="73"/>
      <c r="F92" s="45"/>
    </row>
    <row r="93" spans="3:8" x14ac:dyDescent="0.2">
      <c r="D93" s="50"/>
      <c r="E93" s="73"/>
      <c r="F93" s="45"/>
    </row>
    <row r="94" spans="3:8" x14ac:dyDescent="0.2">
      <c r="D94" s="50"/>
      <c r="E94" s="73"/>
      <c r="F94" s="45"/>
    </row>
    <row r="95" spans="3:8" x14ac:dyDescent="0.2">
      <c r="D95" s="50"/>
      <c r="E95" s="73"/>
      <c r="F95" s="45"/>
    </row>
    <row r="96" spans="3:8" x14ac:dyDescent="0.2">
      <c r="D96" s="50"/>
      <c r="E96" s="73"/>
      <c r="F96" s="45"/>
    </row>
    <row r="97" spans="4:6" x14ac:dyDescent="0.2">
      <c r="D97" s="50"/>
      <c r="E97" s="73"/>
      <c r="F97" s="45"/>
    </row>
    <row r="98" spans="4:6" x14ac:dyDescent="0.2">
      <c r="D98" s="50"/>
      <c r="E98" s="73"/>
      <c r="F98" s="45"/>
    </row>
    <row r="99" spans="4:6" x14ac:dyDescent="0.2">
      <c r="D99" s="50"/>
      <c r="E99" s="73"/>
      <c r="F99" s="45"/>
    </row>
    <row r="100" spans="4:6" x14ac:dyDescent="0.2">
      <c r="D100" s="50"/>
      <c r="E100" s="73"/>
      <c r="F100" s="45"/>
    </row>
    <row r="101" spans="4:6" x14ac:dyDescent="0.2">
      <c r="D101" s="50"/>
      <c r="E101" s="73"/>
      <c r="F101" s="45"/>
    </row>
    <row r="102" spans="4:6" x14ac:dyDescent="0.2">
      <c r="D102" s="50"/>
      <c r="E102" s="73"/>
      <c r="F102" s="45"/>
    </row>
    <row r="103" spans="4:6" x14ac:dyDescent="0.2">
      <c r="D103" s="50"/>
      <c r="E103" s="73"/>
      <c r="F103" s="45"/>
    </row>
    <row r="104" spans="4:6" x14ac:dyDescent="0.2">
      <c r="D104" s="50"/>
      <c r="E104" s="73"/>
      <c r="F104" s="45"/>
    </row>
    <row r="105" spans="4:6" x14ac:dyDescent="0.2">
      <c r="D105" s="50"/>
      <c r="E105" s="73"/>
      <c r="F105" s="45"/>
    </row>
    <row r="106" spans="4:6" x14ac:dyDescent="0.2">
      <c r="D106" s="50"/>
      <c r="E106" s="73"/>
      <c r="F106" s="45"/>
    </row>
    <row r="107" spans="4:6" x14ac:dyDescent="0.2">
      <c r="D107" s="50"/>
      <c r="E107" s="73"/>
      <c r="F107" s="45"/>
    </row>
    <row r="108" spans="4:6" x14ac:dyDescent="0.2">
      <c r="D108" s="50"/>
      <c r="E108" s="73"/>
      <c r="F108" s="45"/>
    </row>
    <row r="109" spans="4:6" x14ac:dyDescent="0.2">
      <c r="D109" s="50"/>
      <c r="E109" s="73"/>
      <c r="F109" s="45"/>
    </row>
    <row r="110" spans="4:6" x14ac:dyDescent="0.2">
      <c r="D110" s="50"/>
      <c r="E110" s="73"/>
      <c r="F110" s="45"/>
    </row>
    <row r="111" spans="4:6" x14ac:dyDescent="0.2">
      <c r="D111" s="50"/>
      <c r="E111" s="73"/>
      <c r="F111" s="45"/>
    </row>
    <row r="112" spans="4:6" x14ac:dyDescent="0.2">
      <c r="D112" s="50"/>
      <c r="E112" s="73"/>
      <c r="F112" s="45"/>
    </row>
    <row r="113" spans="4:6" x14ac:dyDescent="0.2">
      <c r="D113" s="50"/>
      <c r="E113" s="73"/>
      <c r="F113" s="45"/>
    </row>
    <row r="114" spans="4:6" x14ac:dyDescent="0.2">
      <c r="D114" s="50"/>
      <c r="E114" s="73"/>
      <c r="F114" s="45"/>
    </row>
    <row r="115" spans="4:6" x14ac:dyDescent="0.2">
      <c r="D115" s="50"/>
      <c r="E115" s="73"/>
      <c r="F115" s="45"/>
    </row>
    <row r="116" spans="4:6" x14ac:dyDescent="0.2">
      <c r="D116" s="50"/>
      <c r="E116" s="73"/>
      <c r="F116" s="45"/>
    </row>
    <row r="117" spans="4:6" x14ac:dyDescent="0.2">
      <c r="D117" s="50"/>
      <c r="E117" s="73"/>
      <c r="F117" s="45"/>
    </row>
    <row r="118" spans="4:6" x14ac:dyDescent="0.2">
      <c r="D118" s="50"/>
      <c r="E118" s="73"/>
      <c r="F118" s="45"/>
    </row>
    <row r="119" spans="4:6" x14ac:dyDescent="0.2">
      <c r="D119" s="50"/>
      <c r="E119" s="73"/>
      <c r="F119" s="45"/>
    </row>
    <row r="120" spans="4:6" x14ac:dyDescent="0.2">
      <c r="D120" s="50"/>
      <c r="E120" s="73"/>
      <c r="F120" s="45"/>
    </row>
    <row r="121" spans="4:6" x14ac:dyDescent="0.2">
      <c r="D121" s="50"/>
      <c r="E121" s="73"/>
      <c r="F121" s="45"/>
    </row>
    <row r="122" spans="4:6" x14ac:dyDescent="0.2">
      <c r="D122" s="50"/>
      <c r="E122" s="73"/>
      <c r="F122" s="45"/>
    </row>
    <row r="123" spans="4:6" x14ac:dyDescent="0.2">
      <c r="D123" s="50"/>
      <c r="E123" s="73"/>
      <c r="F123" s="45"/>
    </row>
    <row r="124" spans="4:6" x14ac:dyDescent="0.2">
      <c r="D124" s="50"/>
      <c r="E124" s="73"/>
      <c r="F124" s="45"/>
    </row>
    <row r="125" spans="4:6" x14ac:dyDescent="0.2">
      <c r="D125" s="50"/>
      <c r="E125" s="73"/>
      <c r="F125" s="45"/>
    </row>
    <row r="126" spans="4:6" x14ac:dyDescent="0.2">
      <c r="D126" s="50"/>
      <c r="E126" s="73"/>
      <c r="F126" s="45"/>
    </row>
    <row r="127" spans="4:6" x14ac:dyDescent="0.2">
      <c r="D127" s="50"/>
      <c r="E127" s="73"/>
      <c r="F127" s="45"/>
    </row>
    <row r="128" spans="4:6" x14ac:dyDescent="0.2">
      <c r="D128" s="50"/>
      <c r="E128" s="73"/>
      <c r="F128" s="45"/>
    </row>
    <row r="129" spans="4:6" x14ac:dyDescent="0.2">
      <c r="D129" s="50"/>
      <c r="E129" s="73"/>
      <c r="F129" s="45"/>
    </row>
    <row r="130" spans="4:6" x14ac:dyDescent="0.2">
      <c r="D130" s="50"/>
      <c r="E130" s="73"/>
      <c r="F130" s="45"/>
    </row>
    <row r="131" spans="4:6" x14ac:dyDescent="0.2">
      <c r="D131" s="50"/>
      <c r="E131" s="73"/>
      <c r="F131" s="45"/>
    </row>
    <row r="132" spans="4:6" x14ac:dyDescent="0.2">
      <c r="D132" s="50"/>
      <c r="E132" s="73"/>
      <c r="F132" s="45"/>
    </row>
    <row r="133" spans="4:6" x14ac:dyDescent="0.2">
      <c r="D133" s="50"/>
      <c r="E133" s="73"/>
      <c r="F133" s="45"/>
    </row>
    <row r="134" spans="4:6" x14ac:dyDescent="0.2">
      <c r="D134" s="50"/>
      <c r="E134" s="73"/>
      <c r="F134" s="45"/>
    </row>
    <row r="135" spans="4:6" x14ac:dyDescent="0.2">
      <c r="D135" s="50"/>
      <c r="E135" s="73"/>
      <c r="F135" s="45"/>
    </row>
    <row r="136" spans="4:6" x14ac:dyDescent="0.2">
      <c r="D136" s="50"/>
      <c r="E136" s="73"/>
      <c r="F136" s="45"/>
    </row>
    <row r="137" spans="4:6" x14ac:dyDescent="0.2">
      <c r="D137" s="50"/>
      <c r="E137" s="73"/>
      <c r="F137" s="45"/>
    </row>
    <row r="138" spans="4:6" x14ac:dyDescent="0.2">
      <c r="D138" s="50"/>
      <c r="E138" s="73"/>
      <c r="F138" s="45"/>
    </row>
    <row r="139" spans="4:6" x14ac:dyDescent="0.2">
      <c r="D139" s="50"/>
      <c r="E139" s="73"/>
      <c r="F139" s="45"/>
    </row>
    <row r="140" spans="4:6" x14ac:dyDescent="0.2">
      <c r="D140" s="50"/>
      <c r="E140" s="73"/>
      <c r="F140" s="45"/>
    </row>
    <row r="141" spans="4:6" x14ac:dyDescent="0.2">
      <c r="D141" s="50"/>
      <c r="E141" s="73"/>
      <c r="F141" s="45"/>
    </row>
    <row r="142" spans="4:6" x14ac:dyDescent="0.2">
      <c r="D142" s="50"/>
      <c r="E142" s="73"/>
      <c r="F142" s="45"/>
    </row>
    <row r="143" spans="4:6" x14ac:dyDescent="0.2">
      <c r="D143" s="50"/>
      <c r="E143" s="73"/>
      <c r="F143" s="45"/>
    </row>
    <row r="144" spans="4:6" x14ac:dyDescent="0.2">
      <c r="D144" s="50"/>
      <c r="E144" s="73"/>
      <c r="F144" s="45"/>
    </row>
    <row r="145" spans="4:6" x14ac:dyDescent="0.2">
      <c r="D145" s="50"/>
      <c r="E145" s="73"/>
      <c r="F145" s="45"/>
    </row>
    <row r="146" spans="4:6" x14ac:dyDescent="0.2">
      <c r="D146" s="50"/>
      <c r="E146" s="73"/>
      <c r="F146" s="45"/>
    </row>
    <row r="147" spans="4:6" x14ac:dyDescent="0.2">
      <c r="D147" s="50"/>
      <c r="E147" s="73"/>
      <c r="F147" s="45"/>
    </row>
    <row r="148" spans="4:6" x14ac:dyDescent="0.2">
      <c r="D148" s="50"/>
      <c r="E148" s="73"/>
      <c r="F148" s="45"/>
    </row>
    <row r="149" spans="4:6" x14ac:dyDescent="0.2">
      <c r="D149" s="50"/>
      <c r="E149" s="73"/>
      <c r="F149" s="45"/>
    </row>
    <row r="150" spans="4:6" x14ac:dyDescent="0.2">
      <c r="D150" s="50"/>
      <c r="E150" s="73"/>
      <c r="F150" s="45"/>
    </row>
    <row r="151" spans="4:6" x14ac:dyDescent="0.2">
      <c r="D151" s="50"/>
      <c r="E151" s="73"/>
      <c r="F151" s="45"/>
    </row>
    <row r="152" spans="4:6" x14ac:dyDescent="0.2">
      <c r="D152" s="50"/>
      <c r="E152" s="73"/>
      <c r="F152" s="45"/>
    </row>
    <row r="153" spans="4:6" x14ac:dyDescent="0.2">
      <c r="D153" s="50"/>
      <c r="E153" s="73"/>
      <c r="F153" s="45"/>
    </row>
    <row r="154" spans="4:6" x14ac:dyDescent="0.2">
      <c r="D154" s="50"/>
      <c r="E154" s="73"/>
      <c r="F154" s="45"/>
    </row>
    <row r="155" spans="4:6" x14ac:dyDescent="0.2">
      <c r="D155" s="50"/>
      <c r="E155" s="73"/>
      <c r="F155" s="45"/>
    </row>
    <row r="156" spans="4:6" x14ac:dyDescent="0.2">
      <c r="D156" s="50"/>
      <c r="E156" s="73"/>
      <c r="F156" s="45"/>
    </row>
    <row r="157" spans="4:6" x14ac:dyDescent="0.2">
      <c r="D157" s="50"/>
      <c r="E157" s="73"/>
      <c r="F157" s="45"/>
    </row>
    <row r="158" spans="4:6" x14ac:dyDescent="0.2">
      <c r="D158" s="50"/>
      <c r="E158" s="73"/>
      <c r="F158" s="45"/>
    </row>
    <row r="159" spans="4:6" x14ac:dyDescent="0.2">
      <c r="D159" s="50"/>
      <c r="E159" s="73"/>
      <c r="F159" s="45"/>
    </row>
    <row r="160" spans="4:6" x14ac:dyDescent="0.2">
      <c r="D160" s="50"/>
      <c r="E160" s="73"/>
      <c r="F160" s="45"/>
    </row>
    <row r="161" spans="4:6" x14ac:dyDescent="0.2">
      <c r="D161" s="50"/>
      <c r="E161" s="73"/>
      <c r="F161" s="45"/>
    </row>
    <row r="162" spans="4:6" x14ac:dyDescent="0.2">
      <c r="D162" s="50"/>
      <c r="E162" s="73"/>
      <c r="F162" s="45"/>
    </row>
    <row r="163" spans="4:6" x14ac:dyDescent="0.2">
      <c r="D163" s="50"/>
      <c r="E163" s="73"/>
      <c r="F163" s="45"/>
    </row>
    <row r="164" spans="4:6" x14ac:dyDescent="0.2">
      <c r="D164" s="50"/>
      <c r="E164" s="73"/>
      <c r="F164" s="45"/>
    </row>
    <row r="165" spans="4:6" x14ac:dyDescent="0.2">
      <c r="D165" s="50"/>
      <c r="E165" s="73"/>
      <c r="F165" s="45"/>
    </row>
    <row r="166" spans="4:6" x14ac:dyDescent="0.2">
      <c r="D166" s="50"/>
      <c r="E166" s="73"/>
      <c r="F166" s="45"/>
    </row>
    <row r="167" spans="4:6" x14ac:dyDescent="0.2">
      <c r="D167" s="50"/>
      <c r="E167" s="73"/>
      <c r="F167" s="45"/>
    </row>
    <row r="168" spans="4:6" x14ac:dyDescent="0.2">
      <c r="D168" s="50"/>
      <c r="E168" s="73"/>
      <c r="F168" s="45"/>
    </row>
    <row r="169" spans="4:6" x14ac:dyDescent="0.2">
      <c r="D169" s="50"/>
      <c r="E169" s="73"/>
      <c r="F169" s="45"/>
    </row>
    <row r="170" spans="4:6" x14ac:dyDescent="0.2">
      <c r="D170" s="50"/>
      <c r="E170" s="73"/>
      <c r="F170" s="45"/>
    </row>
    <row r="171" spans="4:6" x14ac:dyDescent="0.2">
      <c r="D171" s="50"/>
      <c r="E171" s="73"/>
      <c r="F171" s="45"/>
    </row>
    <row r="172" spans="4:6" x14ac:dyDescent="0.2">
      <c r="D172" s="50"/>
      <c r="E172" s="73"/>
      <c r="F172" s="45"/>
    </row>
    <row r="173" spans="4:6" x14ac:dyDescent="0.2">
      <c r="D173" s="50"/>
      <c r="E173" s="73"/>
      <c r="F173" s="45"/>
    </row>
    <row r="174" spans="4:6" x14ac:dyDescent="0.2">
      <c r="D174" s="50"/>
      <c r="E174" s="73"/>
      <c r="F174" s="45"/>
    </row>
    <row r="175" spans="4:6" x14ac:dyDescent="0.2">
      <c r="D175" s="50"/>
      <c r="E175" s="73"/>
      <c r="F175" s="45"/>
    </row>
    <row r="176" spans="4:6" x14ac:dyDescent="0.2">
      <c r="D176" s="50"/>
      <c r="E176" s="73"/>
      <c r="F176" s="45"/>
    </row>
    <row r="177" spans="4:6" x14ac:dyDescent="0.2">
      <c r="D177" s="50"/>
      <c r="E177" s="73"/>
      <c r="F177" s="45"/>
    </row>
    <row r="178" spans="4:6" x14ac:dyDescent="0.2">
      <c r="D178" s="50"/>
      <c r="E178" s="73"/>
      <c r="F178" s="45"/>
    </row>
    <row r="179" spans="4:6" x14ac:dyDescent="0.2">
      <c r="D179" s="50"/>
      <c r="E179" s="73"/>
      <c r="F179" s="45"/>
    </row>
    <row r="180" spans="4:6" x14ac:dyDescent="0.2">
      <c r="D180" s="50"/>
      <c r="E180" s="73"/>
      <c r="F180" s="45"/>
    </row>
    <row r="181" spans="4:6" x14ac:dyDescent="0.2">
      <c r="D181" s="50"/>
      <c r="E181" s="73"/>
      <c r="F181" s="45"/>
    </row>
    <row r="182" spans="4:6" x14ac:dyDescent="0.2">
      <c r="D182" s="50"/>
      <c r="E182" s="73"/>
      <c r="F182" s="45"/>
    </row>
    <row r="183" spans="4:6" x14ac:dyDescent="0.2">
      <c r="D183" s="50"/>
      <c r="E183" s="73"/>
      <c r="F183" s="45"/>
    </row>
    <row r="184" spans="4:6" x14ac:dyDescent="0.2">
      <c r="D184" s="50"/>
      <c r="E184" s="73"/>
      <c r="F184" s="45"/>
    </row>
    <row r="185" spans="4:6" x14ac:dyDescent="0.2">
      <c r="D185" s="50"/>
      <c r="E185" s="73"/>
      <c r="F185" s="45"/>
    </row>
    <row r="186" spans="4:6" x14ac:dyDescent="0.2">
      <c r="D186" s="50"/>
      <c r="E186" s="73"/>
      <c r="F186" s="45"/>
    </row>
    <row r="187" spans="4:6" x14ac:dyDescent="0.2">
      <c r="D187" s="50"/>
      <c r="E187" s="73"/>
      <c r="F187" s="45"/>
    </row>
    <row r="188" spans="4:6" x14ac:dyDescent="0.2">
      <c r="D188" s="50"/>
      <c r="E188" s="73"/>
      <c r="F188" s="45"/>
    </row>
    <row r="189" spans="4:6" x14ac:dyDescent="0.2">
      <c r="D189" s="50"/>
      <c r="E189" s="73"/>
      <c r="F189" s="45"/>
    </row>
    <row r="190" spans="4:6" x14ac:dyDescent="0.2">
      <c r="D190" s="50"/>
      <c r="E190" s="73"/>
      <c r="F190" s="45"/>
    </row>
    <row r="191" spans="4:6" x14ac:dyDescent="0.2">
      <c r="D191" s="50"/>
      <c r="E191" s="73"/>
      <c r="F191" s="45"/>
    </row>
    <row r="192" spans="4:6" x14ac:dyDescent="0.2">
      <c r="D192" s="50"/>
      <c r="E192" s="73"/>
      <c r="F192" s="45"/>
    </row>
    <row r="193" spans="4:6" x14ac:dyDescent="0.2">
      <c r="D193" s="50"/>
      <c r="E193" s="73"/>
      <c r="F193" s="45"/>
    </row>
    <row r="194" spans="4:6" x14ac:dyDescent="0.2">
      <c r="D194" s="50"/>
      <c r="E194" s="73"/>
      <c r="F194" s="45"/>
    </row>
    <row r="195" spans="4:6" x14ac:dyDescent="0.2">
      <c r="D195" s="50"/>
      <c r="E195" s="73"/>
      <c r="F195" s="45"/>
    </row>
    <row r="196" spans="4:6" x14ac:dyDescent="0.2">
      <c r="D196" s="50"/>
      <c r="E196" s="73"/>
      <c r="F196" s="45"/>
    </row>
    <row r="197" spans="4:6" x14ac:dyDescent="0.2">
      <c r="D197" s="50"/>
      <c r="E197" s="73"/>
      <c r="F197" s="45"/>
    </row>
    <row r="198" spans="4:6" x14ac:dyDescent="0.2">
      <c r="D198" s="50"/>
      <c r="E198" s="73"/>
      <c r="F198" s="45"/>
    </row>
    <row r="199" spans="4:6" x14ac:dyDescent="0.2">
      <c r="D199" s="50"/>
      <c r="E199" s="73"/>
      <c r="F199" s="45"/>
    </row>
    <row r="200" spans="4:6" x14ac:dyDescent="0.2">
      <c r="D200" s="50"/>
      <c r="E200" s="73"/>
      <c r="F200" s="45"/>
    </row>
    <row r="201" spans="4:6" x14ac:dyDescent="0.2">
      <c r="D201" s="50"/>
      <c r="E201" s="73"/>
      <c r="F201" s="45"/>
    </row>
    <row r="202" spans="4:6" x14ac:dyDescent="0.2">
      <c r="D202" s="50"/>
      <c r="E202" s="73"/>
      <c r="F202" s="45"/>
    </row>
    <row r="203" spans="4:6" x14ac:dyDescent="0.2">
      <c r="D203" s="50"/>
      <c r="E203" s="73"/>
      <c r="F203" s="45"/>
    </row>
    <row r="204" spans="4:6" x14ac:dyDescent="0.2">
      <c r="D204" s="50"/>
      <c r="E204" s="73"/>
      <c r="F204" s="45"/>
    </row>
    <row r="205" spans="4:6" x14ac:dyDescent="0.2">
      <c r="D205" s="50"/>
      <c r="E205" s="73"/>
      <c r="F205" s="45"/>
    </row>
    <row r="206" spans="4:6" x14ac:dyDescent="0.2">
      <c r="D206" s="50"/>
      <c r="E206" s="73"/>
      <c r="F206" s="45"/>
    </row>
    <row r="207" spans="4:6" x14ac:dyDescent="0.2">
      <c r="D207" s="50"/>
      <c r="E207" s="73"/>
      <c r="F207" s="45"/>
    </row>
    <row r="208" spans="4:6" x14ac:dyDescent="0.2">
      <c r="D208" s="50"/>
      <c r="E208" s="73"/>
      <c r="F208" s="45"/>
    </row>
    <row r="209" spans="4:6" x14ac:dyDescent="0.2">
      <c r="D209" s="50"/>
      <c r="E209" s="73"/>
      <c r="F209" s="45"/>
    </row>
    <row r="210" spans="4:6" x14ac:dyDescent="0.2">
      <c r="D210" s="50"/>
      <c r="E210" s="73"/>
      <c r="F210" s="45"/>
    </row>
    <row r="211" spans="4:6" x14ac:dyDescent="0.2">
      <c r="D211" s="50"/>
      <c r="E211" s="73"/>
      <c r="F211" s="45"/>
    </row>
    <row r="212" spans="4:6" x14ac:dyDescent="0.2">
      <c r="D212" s="50"/>
      <c r="E212" s="73"/>
      <c r="F212" s="45"/>
    </row>
    <row r="213" spans="4:6" x14ac:dyDescent="0.2">
      <c r="D213" s="50"/>
      <c r="E213" s="73"/>
      <c r="F213" s="45"/>
    </row>
    <row r="214" spans="4:6" x14ac:dyDescent="0.2">
      <c r="D214" s="50"/>
      <c r="E214" s="73"/>
      <c r="F214" s="45"/>
    </row>
    <row r="215" spans="4:6" x14ac:dyDescent="0.2">
      <c r="D215" s="50"/>
      <c r="E215" s="73"/>
      <c r="F215" s="45"/>
    </row>
    <row r="216" spans="4:6" x14ac:dyDescent="0.2">
      <c r="D216" s="50"/>
      <c r="E216" s="73"/>
      <c r="F216" s="45"/>
    </row>
    <row r="217" spans="4:6" x14ac:dyDescent="0.2">
      <c r="D217" s="50"/>
      <c r="E217" s="73"/>
      <c r="F217" s="45"/>
    </row>
    <row r="218" spans="4:6" x14ac:dyDescent="0.2">
      <c r="D218" s="50"/>
      <c r="E218" s="73"/>
      <c r="F218" s="45"/>
    </row>
    <row r="219" spans="4:6" x14ac:dyDescent="0.2">
      <c r="D219" s="50"/>
      <c r="E219" s="73"/>
      <c r="F219" s="45"/>
    </row>
    <row r="220" spans="4:6" x14ac:dyDescent="0.2">
      <c r="D220" s="50"/>
      <c r="E220" s="73"/>
      <c r="F220" s="45"/>
    </row>
    <row r="221" spans="4:6" x14ac:dyDescent="0.2">
      <c r="D221" s="50"/>
      <c r="E221" s="73"/>
      <c r="F221" s="45"/>
    </row>
    <row r="222" spans="4:6" x14ac:dyDescent="0.2">
      <c r="D222" s="50"/>
      <c r="E222" s="73"/>
      <c r="F222" s="45"/>
    </row>
    <row r="223" spans="4:6" x14ac:dyDescent="0.2">
      <c r="D223" s="50"/>
      <c r="E223" s="73"/>
      <c r="F223" s="45"/>
    </row>
    <row r="224" spans="4:6" x14ac:dyDescent="0.2">
      <c r="D224" s="50"/>
      <c r="E224" s="73"/>
      <c r="F224" s="45"/>
    </row>
    <row r="225" spans="4:6" x14ac:dyDescent="0.2">
      <c r="D225" s="50"/>
      <c r="E225" s="73"/>
      <c r="F225" s="45"/>
    </row>
    <row r="226" spans="4:6" x14ac:dyDescent="0.2">
      <c r="D226" s="50"/>
      <c r="E226" s="73"/>
      <c r="F226" s="45"/>
    </row>
    <row r="227" spans="4:6" x14ac:dyDescent="0.2">
      <c r="D227" s="50"/>
      <c r="E227" s="73"/>
      <c r="F227" s="45"/>
    </row>
    <row r="228" spans="4:6" x14ac:dyDescent="0.2">
      <c r="D228" s="50"/>
      <c r="E228" s="73"/>
      <c r="F228" s="45"/>
    </row>
    <row r="229" spans="4:6" x14ac:dyDescent="0.2">
      <c r="D229" s="50"/>
      <c r="E229" s="73"/>
      <c r="F229" s="45"/>
    </row>
    <row r="230" spans="4:6" x14ac:dyDescent="0.2">
      <c r="D230" s="50"/>
      <c r="E230" s="73"/>
      <c r="F230" s="45"/>
    </row>
    <row r="231" spans="4:6" x14ac:dyDescent="0.2">
      <c r="D231" s="50"/>
      <c r="E231" s="73"/>
      <c r="F231" s="45"/>
    </row>
    <row r="232" spans="4:6" x14ac:dyDescent="0.2">
      <c r="D232" s="50"/>
      <c r="E232" s="73"/>
      <c r="F232" s="45"/>
    </row>
    <row r="233" spans="4:6" x14ac:dyDescent="0.2">
      <c r="D233" s="50"/>
      <c r="E233" s="73"/>
      <c r="F233" s="45"/>
    </row>
    <row r="234" spans="4:6" x14ac:dyDescent="0.2">
      <c r="D234" s="50"/>
      <c r="E234" s="73"/>
      <c r="F234" s="45"/>
    </row>
    <row r="235" spans="4:6" x14ac:dyDescent="0.2">
      <c r="D235" s="50"/>
      <c r="E235" s="73"/>
      <c r="F235" s="45"/>
    </row>
    <row r="236" spans="4:6" x14ac:dyDescent="0.2">
      <c r="D236" s="50"/>
      <c r="E236" s="73"/>
      <c r="F236" s="45"/>
    </row>
    <row r="237" spans="4:6" x14ac:dyDescent="0.2">
      <c r="D237" s="50"/>
      <c r="E237" s="73"/>
      <c r="F237" s="45"/>
    </row>
    <row r="238" spans="4:6" x14ac:dyDescent="0.2">
      <c r="D238" s="50"/>
      <c r="E238" s="73"/>
      <c r="F238" s="45"/>
    </row>
    <row r="239" spans="4:6" x14ac:dyDescent="0.2">
      <c r="D239" s="50"/>
      <c r="E239" s="73"/>
      <c r="F239" s="45"/>
    </row>
    <row r="240" spans="4:6" x14ac:dyDescent="0.2">
      <c r="D240" s="50"/>
      <c r="E240" s="73"/>
      <c r="F240" s="45"/>
    </row>
    <row r="241" spans="4:6" x14ac:dyDescent="0.2">
      <c r="D241" s="50"/>
      <c r="E241" s="73"/>
      <c r="F241" s="45"/>
    </row>
    <row r="242" spans="4:6" x14ac:dyDescent="0.2">
      <c r="D242" s="50"/>
      <c r="E242" s="73"/>
      <c r="F242" s="45"/>
    </row>
    <row r="243" spans="4:6" x14ac:dyDescent="0.2">
      <c r="D243" s="50"/>
      <c r="E243" s="73"/>
      <c r="F243" s="45"/>
    </row>
    <row r="244" spans="4:6" x14ac:dyDescent="0.2">
      <c r="D244" s="50"/>
      <c r="E244" s="73"/>
      <c r="F244" s="45"/>
    </row>
    <row r="245" spans="4:6" x14ac:dyDescent="0.2">
      <c r="D245" s="50"/>
      <c r="E245" s="73"/>
      <c r="F245" s="45"/>
    </row>
    <row r="246" spans="4:6" x14ac:dyDescent="0.2">
      <c r="D246" s="50"/>
      <c r="E246" s="73"/>
      <c r="F246" s="45"/>
    </row>
    <row r="247" spans="4:6" x14ac:dyDescent="0.2">
      <c r="D247" s="50"/>
      <c r="E247" s="73"/>
      <c r="F247" s="45"/>
    </row>
    <row r="248" spans="4:6" x14ac:dyDescent="0.2">
      <c r="D248" s="50"/>
      <c r="E248" s="73"/>
      <c r="F248" s="45"/>
    </row>
    <row r="249" spans="4:6" x14ac:dyDescent="0.2">
      <c r="D249" s="50"/>
      <c r="E249" s="73"/>
      <c r="F249" s="45"/>
    </row>
    <row r="250" spans="4:6" x14ac:dyDescent="0.2">
      <c r="D250" s="50"/>
      <c r="E250" s="73"/>
      <c r="F250" s="45"/>
    </row>
    <row r="251" spans="4:6" x14ac:dyDescent="0.2">
      <c r="D251" s="50"/>
      <c r="E251" s="73"/>
      <c r="F251" s="45"/>
    </row>
    <row r="252" spans="4:6" x14ac:dyDescent="0.2">
      <c r="D252" s="50"/>
      <c r="E252" s="73"/>
      <c r="F252" s="45"/>
    </row>
    <row r="253" spans="4:6" x14ac:dyDescent="0.2">
      <c r="D253" s="50"/>
      <c r="E253" s="73"/>
      <c r="F253" s="45"/>
    </row>
    <row r="254" spans="4:6" x14ac:dyDescent="0.2">
      <c r="D254" s="50"/>
      <c r="E254" s="73"/>
      <c r="F254" s="45"/>
    </row>
    <row r="255" spans="4:6" x14ac:dyDescent="0.2">
      <c r="D255" s="50"/>
      <c r="E255" s="73"/>
      <c r="F255" s="45"/>
    </row>
    <row r="256" spans="4:6" x14ac:dyDescent="0.2">
      <c r="D256" s="50"/>
      <c r="E256" s="73"/>
      <c r="F256" s="45"/>
    </row>
    <row r="257" spans="4:6" x14ac:dyDescent="0.2">
      <c r="D257" s="50"/>
      <c r="E257" s="73"/>
      <c r="F257" s="45"/>
    </row>
    <row r="258" spans="4:6" x14ac:dyDescent="0.2">
      <c r="D258" s="50"/>
      <c r="E258" s="73"/>
      <c r="F258" s="45"/>
    </row>
    <row r="259" spans="4:6" x14ac:dyDescent="0.2">
      <c r="D259" s="50"/>
      <c r="E259" s="73"/>
      <c r="F259" s="45"/>
    </row>
    <row r="260" spans="4:6" x14ac:dyDescent="0.2">
      <c r="D260" s="50"/>
      <c r="E260" s="73"/>
      <c r="F260" s="45"/>
    </row>
    <row r="261" spans="4:6" x14ac:dyDescent="0.2">
      <c r="D261" s="50"/>
      <c r="E261" s="73"/>
      <c r="F261" s="45"/>
    </row>
    <row r="262" spans="4:6" x14ac:dyDescent="0.2">
      <c r="D262" s="50"/>
      <c r="E262" s="73"/>
      <c r="F262" s="45"/>
    </row>
    <row r="263" spans="4:6" x14ac:dyDescent="0.2">
      <c r="D263" s="50"/>
      <c r="E263" s="73"/>
      <c r="F263" s="45"/>
    </row>
    <row r="264" spans="4:6" x14ac:dyDescent="0.2">
      <c r="D264" s="50"/>
      <c r="E264" s="73"/>
      <c r="F264" s="45"/>
    </row>
    <row r="265" spans="4:6" x14ac:dyDescent="0.2">
      <c r="D265" s="50"/>
      <c r="E265" s="73"/>
      <c r="F265" s="45"/>
    </row>
    <row r="266" spans="4:6" x14ac:dyDescent="0.2">
      <c r="D266" s="50"/>
      <c r="E266" s="73"/>
      <c r="F266" s="45"/>
    </row>
    <row r="267" spans="4:6" x14ac:dyDescent="0.2">
      <c r="D267" s="50"/>
      <c r="E267" s="73"/>
      <c r="F267" s="45"/>
    </row>
    <row r="268" spans="4:6" x14ac:dyDescent="0.2">
      <c r="D268" s="50"/>
      <c r="E268" s="73"/>
      <c r="F268" s="45"/>
    </row>
    <row r="269" spans="4:6" x14ac:dyDescent="0.2">
      <c r="D269" s="50"/>
      <c r="E269" s="73"/>
      <c r="F269" s="45"/>
    </row>
    <row r="270" spans="4:6" x14ac:dyDescent="0.2">
      <c r="D270" s="50"/>
      <c r="E270" s="73"/>
      <c r="F270" s="45"/>
    </row>
    <row r="271" spans="4:6" x14ac:dyDescent="0.2">
      <c r="D271" s="50"/>
      <c r="E271" s="73"/>
      <c r="F271" s="45"/>
    </row>
    <row r="272" spans="4:6" x14ac:dyDescent="0.2">
      <c r="D272" s="50"/>
      <c r="E272" s="73"/>
      <c r="F272" s="45"/>
    </row>
    <row r="273" spans="4:6" x14ac:dyDescent="0.2">
      <c r="D273" s="50"/>
      <c r="E273" s="73"/>
      <c r="F273" s="45"/>
    </row>
    <row r="274" spans="4:6" x14ac:dyDescent="0.2">
      <c r="D274" s="50"/>
      <c r="E274" s="73"/>
      <c r="F274" s="45"/>
    </row>
    <row r="275" spans="4:6" x14ac:dyDescent="0.2">
      <c r="D275" s="50"/>
      <c r="E275" s="73"/>
      <c r="F275" s="45"/>
    </row>
    <row r="276" spans="4:6" x14ac:dyDescent="0.2">
      <c r="D276" s="50"/>
      <c r="E276" s="73"/>
      <c r="F276" s="45"/>
    </row>
    <row r="277" spans="4:6" x14ac:dyDescent="0.2">
      <c r="D277" s="50"/>
      <c r="E277" s="73"/>
      <c r="F277" s="45"/>
    </row>
    <row r="278" spans="4:6" x14ac:dyDescent="0.2">
      <c r="D278" s="50"/>
      <c r="E278" s="73"/>
      <c r="F278" s="45"/>
    </row>
    <row r="279" spans="4:6" x14ac:dyDescent="0.2">
      <c r="D279" s="50"/>
      <c r="E279" s="73"/>
      <c r="F279" s="45"/>
    </row>
    <row r="280" spans="4:6" x14ac:dyDescent="0.2">
      <c r="D280" s="50"/>
      <c r="E280" s="73"/>
      <c r="F280" s="45"/>
    </row>
    <row r="281" spans="4:6" x14ac:dyDescent="0.2">
      <c r="D281" s="50"/>
      <c r="E281" s="73"/>
      <c r="F281" s="45"/>
    </row>
    <row r="282" spans="4:6" x14ac:dyDescent="0.2">
      <c r="D282" s="50"/>
      <c r="E282" s="73"/>
      <c r="F282" s="45"/>
    </row>
    <row r="283" spans="4:6" x14ac:dyDescent="0.2">
      <c r="D283" s="50"/>
      <c r="E283" s="73"/>
      <c r="F283" s="45"/>
    </row>
    <row r="284" spans="4:6" x14ac:dyDescent="0.2">
      <c r="D284" s="50"/>
      <c r="E284" s="73"/>
      <c r="F284" s="45"/>
    </row>
    <row r="285" spans="4:6" x14ac:dyDescent="0.2">
      <c r="D285" s="50"/>
      <c r="E285" s="73"/>
      <c r="F285" s="45"/>
    </row>
    <row r="286" spans="4:6" x14ac:dyDescent="0.2">
      <c r="D286" s="50"/>
      <c r="E286" s="73"/>
      <c r="F286" s="45"/>
    </row>
    <row r="287" spans="4:6" x14ac:dyDescent="0.2">
      <c r="D287" s="50"/>
      <c r="E287" s="73"/>
      <c r="F287" s="45"/>
    </row>
    <row r="288" spans="4:6" x14ac:dyDescent="0.2">
      <c r="D288" s="50"/>
      <c r="E288" s="73"/>
      <c r="F288" s="45"/>
    </row>
    <row r="289" spans="4:6" x14ac:dyDescent="0.2">
      <c r="D289" s="50"/>
      <c r="E289" s="73"/>
      <c r="F289" s="45"/>
    </row>
    <row r="290" spans="4:6" x14ac:dyDescent="0.2">
      <c r="D290" s="50"/>
      <c r="E290" s="73"/>
      <c r="F290" s="45"/>
    </row>
    <row r="291" spans="4:6" x14ac:dyDescent="0.2">
      <c r="D291" s="50"/>
      <c r="E291" s="73"/>
      <c r="F291" s="45"/>
    </row>
    <row r="292" spans="4:6" x14ac:dyDescent="0.2">
      <c r="D292" s="50"/>
      <c r="E292" s="73"/>
      <c r="F292" s="45"/>
    </row>
    <row r="293" spans="4:6" x14ac:dyDescent="0.2">
      <c r="D293" s="50"/>
      <c r="E293" s="73"/>
      <c r="F293" s="45"/>
    </row>
    <row r="294" spans="4:6" x14ac:dyDescent="0.2">
      <c r="D294" s="50"/>
      <c r="E294" s="73"/>
      <c r="F294" s="45"/>
    </row>
    <row r="295" spans="4:6" x14ac:dyDescent="0.2">
      <c r="D295" s="50"/>
      <c r="E295" s="73"/>
      <c r="F295" s="45"/>
    </row>
    <row r="296" spans="4:6" x14ac:dyDescent="0.2">
      <c r="D296" s="50"/>
      <c r="E296" s="73"/>
      <c r="F296" s="45"/>
    </row>
    <row r="297" spans="4:6" x14ac:dyDescent="0.2">
      <c r="D297" s="50"/>
      <c r="E297" s="73"/>
      <c r="F297" s="45"/>
    </row>
    <row r="298" spans="4:6" x14ac:dyDescent="0.2">
      <c r="D298" s="50"/>
      <c r="E298" s="73"/>
      <c r="F298" s="45"/>
    </row>
    <row r="299" spans="4:6" x14ac:dyDescent="0.2">
      <c r="D299" s="50"/>
      <c r="E299" s="73"/>
      <c r="F299" s="45"/>
    </row>
    <row r="300" spans="4:6" x14ac:dyDescent="0.2">
      <c r="D300" s="50"/>
      <c r="E300" s="73"/>
      <c r="F300" s="45"/>
    </row>
    <row r="301" spans="4:6" x14ac:dyDescent="0.2">
      <c r="D301" s="50"/>
      <c r="E301" s="73"/>
      <c r="F301" s="45"/>
    </row>
    <row r="302" spans="4:6" x14ac:dyDescent="0.2">
      <c r="D302" s="50"/>
      <c r="E302" s="73"/>
      <c r="F302" s="45"/>
    </row>
    <row r="303" spans="4:6" x14ac:dyDescent="0.2">
      <c r="D303" s="50"/>
      <c r="E303" s="73"/>
      <c r="F303" s="45"/>
    </row>
    <row r="304" spans="4:6" x14ac:dyDescent="0.2">
      <c r="D304" s="50"/>
      <c r="E304" s="73"/>
      <c r="F304" s="45"/>
    </row>
    <row r="305" spans="4:6" x14ac:dyDescent="0.2">
      <c r="D305" s="50"/>
      <c r="E305" s="73"/>
      <c r="F305" s="45"/>
    </row>
    <row r="306" spans="4:6" x14ac:dyDescent="0.2">
      <c r="D306" s="50"/>
      <c r="E306" s="73"/>
      <c r="F306" s="45"/>
    </row>
    <row r="307" spans="4:6" x14ac:dyDescent="0.2">
      <c r="D307" s="50"/>
      <c r="E307" s="73"/>
      <c r="F307" s="45"/>
    </row>
    <row r="308" spans="4:6" x14ac:dyDescent="0.2">
      <c r="D308" s="50"/>
      <c r="E308" s="73"/>
      <c r="F308" s="45"/>
    </row>
    <row r="309" spans="4:6" x14ac:dyDescent="0.2">
      <c r="D309" s="50"/>
      <c r="E309" s="73"/>
      <c r="F309" s="45"/>
    </row>
    <row r="310" spans="4:6" x14ac:dyDescent="0.2">
      <c r="D310" s="50"/>
      <c r="E310" s="73"/>
      <c r="F310" s="45"/>
    </row>
    <row r="311" spans="4:6" x14ac:dyDescent="0.2">
      <c r="D311" s="50"/>
      <c r="E311" s="73"/>
      <c r="F311" s="45"/>
    </row>
    <row r="312" spans="4:6" x14ac:dyDescent="0.2">
      <c r="D312" s="50"/>
      <c r="E312" s="73"/>
      <c r="F312" s="45"/>
    </row>
    <row r="313" spans="4:6" x14ac:dyDescent="0.2">
      <c r="D313" s="50"/>
      <c r="E313" s="73"/>
      <c r="F313" s="45"/>
    </row>
    <row r="314" spans="4:6" x14ac:dyDescent="0.2">
      <c r="D314" s="50"/>
      <c r="E314" s="73"/>
      <c r="F314" s="45"/>
    </row>
    <row r="315" spans="4:6" x14ac:dyDescent="0.2">
      <c r="D315" s="50"/>
      <c r="E315" s="73"/>
      <c r="F315" s="45"/>
    </row>
    <row r="316" spans="4:6" x14ac:dyDescent="0.2">
      <c r="D316" s="50"/>
      <c r="E316" s="73"/>
      <c r="F316" s="45"/>
    </row>
    <row r="317" spans="4:6" x14ac:dyDescent="0.2">
      <c r="D317" s="50"/>
      <c r="E317" s="73"/>
      <c r="F317" s="45"/>
    </row>
    <row r="318" spans="4:6" x14ac:dyDescent="0.2">
      <c r="D318" s="50"/>
      <c r="E318" s="73"/>
      <c r="F318" s="45"/>
    </row>
    <row r="319" spans="4:6" x14ac:dyDescent="0.2">
      <c r="D319" s="50"/>
      <c r="E319" s="73"/>
      <c r="F319" s="45"/>
    </row>
    <row r="320" spans="4:6" x14ac:dyDescent="0.2">
      <c r="D320" s="50"/>
      <c r="E320" s="73"/>
      <c r="F320" s="45"/>
    </row>
    <row r="321" spans="4:6" x14ac:dyDescent="0.2">
      <c r="D321" s="50"/>
      <c r="E321" s="73"/>
      <c r="F321" s="45"/>
    </row>
    <row r="322" spans="4:6" x14ac:dyDescent="0.2">
      <c r="D322" s="50"/>
      <c r="E322" s="73"/>
      <c r="F322" s="45"/>
    </row>
    <row r="323" spans="4:6" x14ac:dyDescent="0.2">
      <c r="D323" s="50"/>
      <c r="E323" s="73"/>
      <c r="F323" s="45"/>
    </row>
    <row r="324" spans="4:6" x14ac:dyDescent="0.2">
      <c r="D324" s="50"/>
      <c r="E324" s="73"/>
      <c r="F324" s="45"/>
    </row>
    <row r="325" spans="4:6" x14ac:dyDescent="0.2">
      <c r="D325" s="50"/>
      <c r="E325" s="73"/>
      <c r="F325" s="45"/>
    </row>
    <row r="326" spans="4:6" x14ac:dyDescent="0.2">
      <c r="D326" s="50"/>
      <c r="E326" s="73"/>
      <c r="F326" s="45"/>
    </row>
    <row r="327" spans="4:6" x14ac:dyDescent="0.2">
      <c r="D327" s="50"/>
      <c r="E327" s="73"/>
      <c r="F327" s="45"/>
    </row>
    <row r="328" spans="4:6" x14ac:dyDescent="0.2">
      <c r="D328" s="50"/>
      <c r="E328" s="73"/>
      <c r="F328" s="45"/>
    </row>
    <row r="329" spans="4:6" x14ac:dyDescent="0.2">
      <c r="D329" s="50"/>
      <c r="E329" s="73"/>
      <c r="F329" s="45"/>
    </row>
    <row r="330" spans="4:6" x14ac:dyDescent="0.2">
      <c r="D330" s="50"/>
      <c r="E330" s="73"/>
      <c r="F330" s="45"/>
    </row>
    <row r="331" spans="4:6" x14ac:dyDescent="0.2">
      <c r="D331" s="50"/>
      <c r="E331" s="73"/>
      <c r="F331" s="45"/>
    </row>
    <row r="332" spans="4:6" x14ac:dyDescent="0.2">
      <c r="D332" s="50"/>
      <c r="E332" s="73"/>
      <c r="F332" s="45"/>
    </row>
    <row r="333" spans="4:6" x14ac:dyDescent="0.2">
      <c r="D333" s="50"/>
      <c r="E333" s="73"/>
      <c r="F333" s="45"/>
    </row>
    <row r="334" spans="4:6" x14ac:dyDescent="0.2">
      <c r="D334" s="50"/>
      <c r="E334" s="73"/>
      <c r="F334" s="45"/>
    </row>
    <row r="335" spans="4:6" x14ac:dyDescent="0.2">
      <c r="D335" s="50"/>
      <c r="E335" s="73"/>
      <c r="F335" s="45"/>
    </row>
    <row r="336" spans="4:6" x14ac:dyDescent="0.2">
      <c r="D336" s="50"/>
      <c r="E336" s="73"/>
      <c r="F336" s="45"/>
    </row>
    <row r="337" spans="4:6" x14ac:dyDescent="0.2">
      <c r="D337" s="50"/>
      <c r="E337" s="73"/>
      <c r="F337" s="45"/>
    </row>
    <row r="338" spans="4:6" x14ac:dyDescent="0.2">
      <c r="D338" s="50"/>
      <c r="E338" s="73"/>
      <c r="F338" s="45"/>
    </row>
    <row r="339" spans="4:6" x14ac:dyDescent="0.2">
      <c r="D339" s="50"/>
      <c r="E339" s="73"/>
      <c r="F339" s="45"/>
    </row>
    <row r="340" spans="4:6" x14ac:dyDescent="0.2">
      <c r="D340" s="50"/>
      <c r="E340" s="73"/>
      <c r="F340" s="45"/>
    </row>
    <row r="341" spans="4:6" x14ac:dyDescent="0.2">
      <c r="D341" s="50"/>
      <c r="E341" s="73"/>
      <c r="F341" s="45"/>
    </row>
    <row r="342" spans="4:6" x14ac:dyDescent="0.2">
      <c r="D342" s="50"/>
      <c r="E342" s="73"/>
      <c r="F342" s="45"/>
    </row>
    <row r="343" spans="4:6" x14ac:dyDescent="0.2">
      <c r="D343" s="50"/>
      <c r="E343" s="73"/>
      <c r="F343" s="45"/>
    </row>
    <row r="344" spans="4:6" x14ac:dyDescent="0.2">
      <c r="D344" s="50"/>
      <c r="E344" s="73"/>
      <c r="F344" s="45"/>
    </row>
    <row r="345" spans="4:6" x14ac:dyDescent="0.2">
      <c r="D345" s="50"/>
      <c r="E345" s="73"/>
      <c r="F345" s="45"/>
    </row>
    <row r="346" spans="4:6" x14ac:dyDescent="0.2">
      <c r="D346" s="50"/>
      <c r="E346" s="73"/>
      <c r="F346" s="45"/>
    </row>
    <row r="347" spans="4:6" x14ac:dyDescent="0.2">
      <c r="D347" s="50"/>
      <c r="E347" s="73"/>
      <c r="F347" s="45"/>
    </row>
    <row r="348" spans="4:6" x14ac:dyDescent="0.2">
      <c r="D348" s="50"/>
      <c r="E348" s="73"/>
      <c r="F348" s="45"/>
    </row>
    <row r="349" spans="4:6" x14ac:dyDescent="0.2">
      <c r="D349" s="50"/>
      <c r="E349" s="73"/>
      <c r="F349" s="45"/>
    </row>
    <row r="350" spans="4:6" x14ac:dyDescent="0.2">
      <c r="D350" s="50"/>
      <c r="E350" s="73"/>
      <c r="F350" s="45"/>
    </row>
    <row r="351" spans="4:6" x14ac:dyDescent="0.2">
      <c r="D351" s="50"/>
      <c r="E351" s="73"/>
      <c r="F351" s="45"/>
    </row>
    <row r="352" spans="4:6" x14ac:dyDescent="0.2">
      <c r="D352" s="50"/>
      <c r="E352" s="73"/>
      <c r="F352" s="45"/>
    </row>
    <row r="353" spans="4:6" x14ac:dyDescent="0.2">
      <c r="D353" s="50"/>
      <c r="E353" s="73"/>
      <c r="F353" s="45"/>
    </row>
    <row r="354" spans="4:6" x14ac:dyDescent="0.2">
      <c r="D354" s="50"/>
      <c r="E354" s="73"/>
      <c r="F354" s="45"/>
    </row>
    <row r="355" spans="4:6" x14ac:dyDescent="0.2">
      <c r="D355" s="50"/>
      <c r="E355" s="73"/>
      <c r="F355" s="45"/>
    </row>
    <row r="356" spans="4:6" x14ac:dyDescent="0.2">
      <c r="D356" s="50"/>
      <c r="E356" s="73"/>
      <c r="F356" s="45"/>
    </row>
    <row r="357" spans="4:6" x14ac:dyDescent="0.2">
      <c r="D357" s="50"/>
      <c r="E357" s="73"/>
      <c r="F357" s="45"/>
    </row>
    <row r="358" spans="4:6" x14ac:dyDescent="0.2">
      <c r="D358" s="50"/>
      <c r="E358" s="73"/>
      <c r="F358" s="45"/>
    </row>
    <row r="359" spans="4:6" x14ac:dyDescent="0.2">
      <c r="D359" s="50"/>
      <c r="E359" s="73"/>
      <c r="F359" s="45"/>
    </row>
    <row r="360" spans="4:6" x14ac:dyDescent="0.2">
      <c r="D360" s="50"/>
      <c r="E360" s="73"/>
      <c r="F360" s="45"/>
    </row>
    <row r="361" spans="4:6" x14ac:dyDescent="0.2">
      <c r="D361" s="50"/>
      <c r="E361" s="73"/>
      <c r="F361" s="45"/>
    </row>
    <row r="362" spans="4:6" x14ac:dyDescent="0.2">
      <c r="D362" s="50"/>
      <c r="E362" s="73"/>
      <c r="F362" s="45"/>
    </row>
    <row r="363" spans="4:6" x14ac:dyDescent="0.2">
      <c r="D363" s="50"/>
      <c r="E363" s="73"/>
      <c r="F363" s="45"/>
    </row>
    <row r="364" spans="4:6" x14ac:dyDescent="0.2">
      <c r="D364" s="50"/>
      <c r="E364" s="73"/>
      <c r="F364" s="45"/>
    </row>
    <row r="365" spans="4:6" x14ac:dyDescent="0.2">
      <c r="D365" s="50"/>
      <c r="E365" s="73"/>
      <c r="F365" s="45"/>
    </row>
    <row r="366" spans="4:6" x14ac:dyDescent="0.2">
      <c r="D366" s="50"/>
      <c r="E366" s="73"/>
      <c r="F366" s="45"/>
    </row>
    <row r="367" spans="4:6" x14ac:dyDescent="0.2">
      <c r="D367" s="50"/>
      <c r="E367" s="73"/>
      <c r="F367" s="45"/>
    </row>
    <row r="368" spans="4:6" x14ac:dyDescent="0.2">
      <c r="D368" s="50"/>
      <c r="E368" s="73"/>
      <c r="F368" s="45"/>
    </row>
    <row r="369" spans="4:6" x14ac:dyDescent="0.2">
      <c r="D369" s="50"/>
      <c r="E369" s="73"/>
      <c r="F369" s="45"/>
    </row>
    <row r="370" spans="4:6" x14ac:dyDescent="0.2">
      <c r="D370" s="50"/>
      <c r="E370" s="73"/>
      <c r="F370" s="45"/>
    </row>
    <row r="371" spans="4:6" x14ac:dyDescent="0.2">
      <c r="D371" s="50"/>
      <c r="E371" s="73"/>
      <c r="F371" s="45"/>
    </row>
    <row r="372" spans="4:6" x14ac:dyDescent="0.2">
      <c r="D372" s="50"/>
      <c r="E372" s="73"/>
      <c r="F372" s="45"/>
    </row>
    <row r="373" spans="4:6" x14ac:dyDescent="0.2">
      <c r="D373" s="50"/>
      <c r="E373" s="73"/>
      <c r="F373" s="45"/>
    </row>
    <row r="374" spans="4:6" x14ac:dyDescent="0.2">
      <c r="D374" s="50"/>
      <c r="E374" s="73"/>
      <c r="F374" s="45"/>
    </row>
    <row r="375" spans="4:6" x14ac:dyDescent="0.2">
      <c r="D375" s="50"/>
      <c r="E375" s="73"/>
      <c r="F375" s="45"/>
    </row>
    <row r="376" spans="4:6" x14ac:dyDescent="0.2">
      <c r="D376" s="50"/>
      <c r="E376" s="73"/>
      <c r="F376" s="45"/>
    </row>
    <row r="377" spans="4:6" x14ac:dyDescent="0.2">
      <c r="D377" s="50"/>
      <c r="E377" s="73"/>
      <c r="F377" s="45"/>
    </row>
    <row r="378" spans="4:6" x14ac:dyDescent="0.2">
      <c r="D378" s="50"/>
      <c r="E378" s="73"/>
      <c r="F378" s="45"/>
    </row>
    <row r="379" spans="4:6" x14ac:dyDescent="0.2">
      <c r="D379" s="50"/>
      <c r="E379" s="73"/>
      <c r="F379" s="45"/>
    </row>
    <row r="380" spans="4:6" x14ac:dyDescent="0.2">
      <c r="D380" s="50"/>
      <c r="E380" s="73"/>
      <c r="F380" s="45"/>
    </row>
    <row r="381" spans="4:6" x14ac:dyDescent="0.2">
      <c r="D381" s="50"/>
      <c r="E381" s="73"/>
      <c r="F381" s="45"/>
    </row>
    <row r="382" spans="4:6" x14ac:dyDescent="0.2">
      <c r="D382" s="50"/>
      <c r="E382" s="73"/>
      <c r="F382" s="45"/>
    </row>
    <row r="383" spans="4:6" x14ac:dyDescent="0.2">
      <c r="D383" s="50"/>
      <c r="E383" s="73"/>
      <c r="F383" s="45"/>
    </row>
    <row r="384" spans="4:6" x14ac:dyDescent="0.2">
      <c r="D384" s="50"/>
      <c r="E384" s="73"/>
      <c r="F384" s="45"/>
    </row>
    <row r="385" spans="4:6" x14ac:dyDescent="0.2">
      <c r="D385" s="50"/>
      <c r="E385" s="73"/>
      <c r="F385" s="45"/>
    </row>
    <row r="386" spans="4:6" x14ac:dyDescent="0.2">
      <c r="D386" s="50"/>
      <c r="E386" s="73"/>
      <c r="F386" s="45"/>
    </row>
    <row r="387" spans="4:6" x14ac:dyDescent="0.2">
      <c r="D387" s="50"/>
      <c r="E387" s="73"/>
      <c r="F387" s="45"/>
    </row>
    <row r="388" spans="4:6" x14ac:dyDescent="0.2">
      <c r="D388" s="50"/>
      <c r="E388" s="73"/>
      <c r="F388" s="45"/>
    </row>
    <row r="389" spans="4:6" x14ac:dyDescent="0.2">
      <c r="D389" s="50"/>
      <c r="E389" s="73"/>
      <c r="F389" s="45"/>
    </row>
    <row r="390" spans="4:6" x14ac:dyDescent="0.2">
      <c r="D390" s="50"/>
      <c r="E390" s="73"/>
      <c r="F390" s="45"/>
    </row>
    <row r="391" spans="4:6" x14ac:dyDescent="0.2">
      <c r="D391" s="50"/>
      <c r="E391" s="73"/>
      <c r="F391" s="45"/>
    </row>
    <row r="392" spans="4:6" x14ac:dyDescent="0.2">
      <c r="D392" s="50"/>
      <c r="E392" s="73"/>
      <c r="F392" s="45"/>
    </row>
    <row r="393" spans="4:6" x14ac:dyDescent="0.2">
      <c r="D393" s="50"/>
      <c r="E393" s="73"/>
      <c r="F393" s="45"/>
    </row>
    <row r="394" spans="4:6" x14ac:dyDescent="0.2">
      <c r="D394" s="50"/>
      <c r="E394" s="73"/>
      <c r="F394" s="45"/>
    </row>
    <row r="395" spans="4:6" x14ac:dyDescent="0.2">
      <c r="D395" s="50"/>
      <c r="E395" s="73"/>
      <c r="F395" s="45"/>
    </row>
    <row r="396" spans="4:6" x14ac:dyDescent="0.2">
      <c r="D396" s="50"/>
      <c r="E396" s="73"/>
      <c r="F396" s="45"/>
    </row>
    <row r="397" spans="4:6" x14ac:dyDescent="0.2">
      <c r="D397" s="50"/>
      <c r="E397" s="73"/>
      <c r="F397" s="45"/>
    </row>
    <row r="398" spans="4:6" x14ac:dyDescent="0.2">
      <c r="D398" s="50"/>
      <c r="E398" s="73"/>
      <c r="F398" s="45"/>
    </row>
    <row r="399" spans="4:6" x14ac:dyDescent="0.2">
      <c r="D399" s="50"/>
      <c r="E399" s="73"/>
      <c r="F399" s="45"/>
    </row>
    <row r="400" spans="4:6" x14ac:dyDescent="0.2">
      <c r="D400" s="50"/>
      <c r="E400" s="73"/>
      <c r="F400" s="45"/>
    </row>
    <row r="401" spans="4:6" x14ac:dyDescent="0.2">
      <c r="D401" s="50"/>
      <c r="E401" s="73"/>
      <c r="F401" s="45"/>
    </row>
    <row r="402" spans="4:6" x14ac:dyDescent="0.2">
      <c r="D402" s="50"/>
      <c r="E402" s="73"/>
      <c r="F402" s="45"/>
    </row>
    <row r="403" spans="4:6" x14ac:dyDescent="0.2">
      <c r="D403" s="50"/>
      <c r="E403" s="73"/>
      <c r="F403" s="45"/>
    </row>
    <row r="404" spans="4:6" x14ac:dyDescent="0.2">
      <c r="D404" s="50"/>
      <c r="E404" s="73"/>
      <c r="F404" s="45"/>
    </row>
    <row r="405" spans="4:6" x14ac:dyDescent="0.2">
      <c r="D405" s="50"/>
      <c r="E405" s="73"/>
      <c r="F405" s="45"/>
    </row>
    <row r="406" spans="4:6" x14ac:dyDescent="0.2">
      <c r="D406" s="50"/>
      <c r="E406" s="73"/>
      <c r="F406" s="45"/>
    </row>
    <row r="407" spans="4:6" x14ac:dyDescent="0.2">
      <c r="D407" s="50"/>
      <c r="E407" s="73"/>
      <c r="F407" s="45"/>
    </row>
    <row r="408" spans="4:6" x14ac:dyDescent="0.2">
      <c r="D408" s="50"/>
      <c r="E408" s="73"/>
      <c r="F408" s="45"/>
    </row>
    <row r="409" spans="4:6" x14ac:dyDescent="0.2">
      <c r="D409" s="50"/>
      <c r="E409" s="73"/>
      <c r="F409" s="45"/>
    </row>
    <row r="410" spans="4:6" x14ac:dyDescent="0.2">
      <c r="D410" s="50"/>
      <c r="E410" s="73"/>
      <c r="F410" s="45"/>
    </row>
    <row r="411" spans="4:6" x14ac:dyDescent="0.2">
      <c r="D411" s="50"/>
      <c r="E411" s="73"/>
      <c r="F411" s="45"/>
    </row>
    <row r="412" spans="4:6" x14ac:dyDescent="0.2">
      <c r="D412" s="50"/>
      <c r="E412" s="73"/>
      <c r="F412" s="45"/>
    </row>
    <row r="413" spans="4:6" x14ac:dyDescent="0.2">
      <c r="D413" s="50"/>
      <c r="E413" s="73"/>
      <c r="F413" s="45"/>
    </row>
    <row r="414" spans="4:6" x14ac:dyDescent="0.2">
      <c r="D414" s="50"/>
      <c r="E414" s="73"/>
      <c r="F414" s="45"/>
    </row>
    <row r="415" spans="4:6" x14ac:dyDescent="0.2">
      <c r="D415" s="50"/>
      <c r="E415" s="73"/>
      <c r="F415" s="45"/>
    </row>
    <row r="416" spans="4:6" x14ac:dyDescent="0.2">
      <c r="D416" s="50"/>
      <c r="E416" s="73"/>
      <c r="F416" s="45"/>
    </row>
    <row r="417" spans="4:6" x14ac:dyDescent="0.2">
      <c r="D417" s="50"/>
      <c r="E417" s="73"/>
      <c r="F417" s="45"/>
    </row>
    <row r="418" spans="4:6" x14ac:dyDescent="0.2">
      <c r="D418" s="50"/>
      <c r="E418" s="73"/>
      <c r="F418" s="45"/>
    </row>
    <row r="419" spans="4:6" x14ac:dyDescent="0.2">
      <c r="D419" s="50"/>
      <c r="E419" s="73"/>
      <c r="F419" s="45"/>
    </row>
    <row r="420" spans="4:6" x14ac:dyDescent="0.2">
      <c r="D420" s="50"/>
      <c r="E420" s="73"/>
      <c r="F420" s="45"/>
    </row>
    <row r="421" spans="4:6" x14ac:dyDescent="0.2">
      <c r="D421" s="50"/>
      <c r="E421" s="73"/>
      <c r="F421" s="45"/>
    </row>
    <row r="422" spans="4:6" x14ac:dyDescent="0.2">
      <c r="D422" s="50"/>
      <c r="E422" s="73"/>
      <c r="F422" s="45"/>
    </row>
    <row r="423" spans="4:6" x14ac:dyDescent="0.2">
      <c r="D423" s="50"/>
      <c r="E423" s="73"/>
      <c r="F423" s="45"/>
    </row>
    <row r="424" spans="4:6" x14ac:dyDescent="0.2">
      <c r="D424" s="50"/>
      <c r="E424" s="73"/>
      <c r="F424" s="45"/>
    </row>
    <row r="425" spans="4:6" x14ac:dyDescent="0.2">
      <c r="D425" s="50"/>
      <c r="E425" s="73"/>
      <c r="F425" s="45"/>
    </row>
    <row r="426" spans="4:6" x14ac:dyDescent="0.2">
      <c r="D426" s="50"/>
      <c r="E426" s="73"/>
      <c r="F426" s="45"/>
    </row>
    <row r="427" spans="4:6" x14ac:dyDescent="0.2">
      <c r="D427" s="50"/>
      <c r="E427" s="73"/>
      <c r="F427" s="45"/>
    </row>
    <row r="428" spans="4:6" x14ac:dyDescent="0.2">
      <c r="D428" s="50"/>
      <c r="E428" s="73"/>
      <c r="F428" s="45"/>
    </row>
    <row r="429" spans="4:6" x14ac:dyDescent="0.2">
      <c r="D429" s="50"/>
      <c r="E429" s="73"/>
      <c r="F429" s="45"/>
    </row>
    <row r="430" spans="4:6" x14ac:dyDescent="0.2">
      <c r="D430" s="50"/>
      <c r="E430" s="73"/>
      <c r="F430" s="45"/>
    </row>
    <row r="431" spans="4:6" x14ac:dyDescent="0.2">
      <c r="D431" s="50"/>
      <c r="E431" s="73"/>
      <c r="F431" s="45"/>
    </row>
    <row r="432" spans="4:6" x14ac:dyDescent="0.2">
      <c r="D432" s="50"/>
      <c r="E432" s="73"/>
      <c r="F432" s="45"/>
    </row>
    <row r="433" spans="4:6" x14ac:dyDescent="0.2">
      <c r="D433" s="50"/>
      <c r="E433" s="73"/>
      <c r="F433" s="45"/>
    </row>
    <row r="434" spans="4:6" x14ac:dyDescent="0.2">
      <c r="D434" s="50"/>
      <c r="E434" s="73"/>
      <c r="F434" s="45"/>
    </row>
    <row r="435" spans="4:6" x14ac:dyDescent="0.2">
      <c r="D435" s="50"/>
      <c r="E435" s="73"/>
      <c r="F435" s="45"/>
    </row>
    <row r="436" spans="4:6" x14ac:dyDescent="0.2">
      <c r="D436" s="50"/>
      <c r="E436" s="73"/>
      <c r="F436" s="45"/>
    </row>
    <row r="437" spans="4:6" x14ac:dyDescent="0.2">
      <c r="D437" s="50"/>
      <c r="E437" s="73"/>
      <c r="F437" s="45"/>
    </row>
    <row r="438" spans="4:6" x14ac:dyDescent="0.2">
      <c r="D438" s="50"/>
      <c r="E438" s="73"/>
      <c r="F438" s="45"/>
    </row>
    <row r="439" spans="4:6" x14ac:dyDescent="0.2">
      <c r="D439" s="50"/>
      <c r="E439" s="73"/>
      <c r="F439" s="45"/>
    </row>
    <row r="440" spans="4:6" x14ac:dyDescent="0.2">
      <c r="D440" s="50"/>
      <c r="E440" s="73"/>
      <c r="F440" s="45"/>
    </row>
    <row r="441" spans="4:6" x14ac:dyDescent="0.2">
      <c r="D441" s="50"/>
      <c r="E441" s="73"/>
      <c r="F441" s="45"/>
    </row>
    <row r="442" spans="4:6" x14ac:dyDescent="0.2">
      <c r="D442" s="50"/>
      <c r="E442" s="73"/>
      <c r="F442" s="45"/>
    </row>
    <row r="443" spans="4:6" x14ac:dyDescent="0.2">
      <c r="D443" s="50"/>
      <c r="E443" s="73"/>
      <c r="F443" s="45"/>
    </row>
    <row r="444" spans="4:6" x14ac:dyDescent="0.2">
      <c r="D444" s="50"/>
      <c r="E444" s="73"/>
      <c r="F444" s="45"/>
    </row>
    <row r="445" spans="4:6" x14ac:dyDescent="0.2">
      <c r="D445" s="50"/>
      <c r="E445" s="73"/>
      <c r="F445" s="45"/>
    </row>
    <row r="446" spans="4:6" x14ac:dyDescent="0.2">
      <c r="D446" s="50"/>
      <c r="E446" s="73"/>
      <c r="F446" s="45"/>
    </row>
    <row r="447" spans="4:6" x14ac:dyDescent="0.2">
      <c r="D447" s="50"/>
      <c r="E447" s="73"/>
      <c r="F447" s="45"/>
    </row>
    <row r="448" spans="4:6" x14ac:dyDescent="0.2">
      <c r="D448" s="50"/>
      <c r="E448" s="73"/>
      <c r="F448" s="45"/>
    </row>
    <row r="449" spans="4:6" x14ac:dyDescent="0.2">
      <c r="D449" s="50"/>
      <c r="E449" s="73"/>
      <c r="F449" s="45"/>
    </row>
    <row r="450" spans="4:6" x14ac:dyDescent="0.2">
      <c r="D450" s="50"/>
      <c r="E450" s="73"/>
      <c r="F450" s="45"/>
    </row>
    <row r="451" spans="4:6" x14ac:dyDescent="0.2">
      <c r="D451" s="50"/>
      <c r="E451" s="73"/>
      <c r="F451" s="45"/>
    </row>
    <row r="452" spans="4:6" x14ac:dyDescent="0.2">
      <c r="D452" s="50"/>
      <c r="E452" s="73"/>
      <c r="F452" s="45"/>
    </row>
    <row r="453" spans="4:6" x14ac:dyDescent="0.2">
      <c r="D453" s="50"/>
      <c r="E453" s="73"/>
      <c r="F453" s="45"/>
    </row>
    <row r="454" spans="4:6" x14ac:dyDescent="0.2">
      <c r="D454" s="50"/>
      <c r="E454" s="73"/>
      <c r="F454" s="45"/>
    </row>
    <row r="455" spans="4:6" x14ac:dyDescent="0.2">
      <c r="D455" s="50"/>
      <c r="E455" s="73"/>
      <c r="F455" s="45"/>
    </row>
    <row r="456" spans="4:6" x14ac:dyDescent="0.2">
      <c r="D456" s="50"/>
      <c r="E456" s="73"/>
      <c r="F456" s="45"/>
    </row>
    <row r="457" spans="4:6" x14ac:dyDescent="0.2">
      <c r="D457" s="50"/>
      <c r="E457" s="73"/>
      <c r="F457" s="45"/>
    </row>
    <row r="458" spans="4:6" x14ac:dyDescent="0.2">
      <c r="D458" s="50"/>
      <c r="E458" s="73"/>
      <c r="F458" s="45"/>
    </row>
    <row r="459" spans="4:6" x14ac:dyDescent="0.2">
      <c r="D459" s="50"/>
      <c r="E459" s="73"/>
      <c r="F459" s="45"/>
    </row>
    <row r="460" spans="4:6" x14ac:dyDescent="0.2">
      <c r="D460" s="50"/>
      <c r="E460" s="73"/>
      <c r="F460" s="45"/>
    </row>
    <row r="461" spans="4:6" x14ac:dyDescent="0.2">
      <c r="D461" s="50"/>
      <c r="E461" s="73"/>
      <c r="F461" s="45"/>
    </row>
    <row r="462" spans="4:6" x14ac:dyDescent="0.2">
      <c r="D462" s="50"/>
      <c r="E462" s="73"/>
      <c r="F462" s="45"/>
    </row>
    <row r="463" spans="4:6" x14ac:dyDescent="0.2">
      <c r="D463" s="50"/>
      <c r="E463" s="73"/>
      <c r="F463" s="45"/>
    </row>
    <row r="464" spans="4:6" x14ac:dyDescent="0.2">
      <c r="D464" s="50"/>
      <c r="E464" s="73"/>
      <c r="F464" s="45"/>
    </row>
    <row r="465" spans="4:6" x14ac:dyDescent="0.2">
      <c r="D465" s="50"/>
      <c r="E465" s="73"/>
      <c r="F465" s="45"/>
    </row>
    <row r="466" spans="4:6" x14ac:dyDescent="0.2">
      <c r="D466" s="50"/>
      <c r="E466" s="73"/>
      <c r="F466" s="45"/>
    </row>
    <row r="467" spans="4:6" x14ac:dyDescent="0.2">
      <c r="D467" s="50"/>
      <c r="E467" s="73"/>
      <c r="F467" s="45"/>
    </row>
    <row r="468" spans="4:6" x14ac:dyDescent="0.2">
      <c r="D468" s="50"/>
      <c r="E468" s="73"/>
      <c r="F468" s="45"/>
    </row>
    <row r="469" spans="4:6" x14ac:dyDescent="0.2">
      <c r="D469" s="50"/>
      <c r="E469" s="73"/>
      <c r="F469" s="45"/>
    </row>
    <row r="470" spans="4:6" x14ac:dyDescent="0.2">
      <c r="D470" s="50"/>
      <c r="E470" s="73"/>
      <c r="F470" s="45"/>
    </row>
    <row r="471" spans="4:6" x14ac:dyDescent="0.2">
      <c r="D471" s="50"/>
      <c r="E471" s="73"/>
      <c r="F471" s="45"/>
    </row>
    <row r="472" spans="4:6" x14ac:dyDescent="0.2">
      <c r="D472" s="50"/>
      <c r="E472" s="73"/>
      <c r="F472" s="45"/>
    </row>
    <row r="473" spans="4:6" x14ac:dyDescent="0.2">
      <c r="D473" s="50"/>
      <c r="E473" s="73"/>
      <c r="F473" s="45"/>
    </row>
    <row r="474" spans="4:6" x14ac:dyDescent="0.2">
      <c r="D474" s="50"/>
      <c r="E474" s="73"/>
      <c r="F474" s="45"/>
    </row>
    <row r="475" spans="4:6" x14ac:dyDescent="0.2">
      <c r="D475" s="50"/>
      <c r="E475" s="73"/>
      <c r="F475" s="45"/>
    </row>
    <row r="476" spans="4:6" x14ac:dyDescent="0.2">
      <c r="D476" s="50"/>
      <c r="E476" s="73"/>
      <c r="F476" s="45"/>
    </row>
    <row r="477" spans="4:6" x14ac:dyDescent="0.2">
      <c r="D477" s="50"/>
      <c r="E477" s="73"/>
      <c r="F477" s="45"/>
    </row>
    <row r="478" spans="4:6" x14ac:dyDescent="0.2">
      <c r="D478" s="50"/>
      <c r="E478" s="73"/>
      <c r="F478" s="45"/>
    </row>
    <row r="479" spans="4:6" x14ac:dyDescent="0.2">
      <c r="D479" s="50"/>
      <c r="E479" s="73"/>
      <c r="F479" s="45"/>
    </row>
    <row r="480" spans="4:6" x14ac:dyDescent="0.2">
      <c r="D480" s="50"/>
      <c r="E480" s="73"/>
      <c r="F480" s="45"/>
    </row>
    <row r="481" spans="4:6" x14ac:dyDescent="0.2">
      <c r="D481" s="50"/>
      <c r="E481" s="73"/>
      <c r="F481" s="45"/>
    </row>
    <row r="482" spans="4:6" x14ac:dyDescent="0.2">
      <c r="D482" s="50"/>
      <c r="E482" s="73"/>
      <c r="F482" s="45"/>
    </row>
    <row r="483" spans="4:6" x14ac:dyDescent="0.2">
      <c r="D483" s="50"/>
      <c r="E483" s="73"/>
      <c r="F483" s="45"/>
    </row>
    <row r="484" spans="4:6" x14ac:dyDescent="0.2">
      <c r="D484" s="50"/>
      <c r="E484" s="73"/>
      <c r="F484" s="45"/>
    </row>
    <row r="485" spans="4:6" x14ac:dyDescent="0.2">
      <c r="D485" s="50"/>
      <c r="E485" s="73"/>
      <c r="F485" s="45"/>
    </row>
    <row r="486" spans="4:6" x14ac:dyDescent="0.2">
      <c r="D486" s="50"/>
      <c r="E486" s="73"/>
      <c r="F486" s="45"/>
    </row>
    <row r="487" spans="4:6" x14ac:dyDescent="0.2">
      <c r="D487" s="50"/>
      <c r="E487" s="73"/>
      <c r="F487" s="45"/>
    </row>
    <row r="488" spans="4:6" x14ac:dyDescent="0.2">
      <c r="D488" s="50"/>
      <c r="E488" s="73"/>
      <c r="F488" s="45"/>
    </row>
    <row r="489" spans="4:6" x14ac:dyDescent="0.2">
      <c r="D489" s="50"/>
      <c r="E489" s="73"/>
      <c r="F489" s="45"/>
    </row>
    <row r="490" spans="4:6" x14ac:dyDescent="0.2">
      <c r="D490" s="50"/>
      <c r="E490" s="73"/>
      <c r="F490" s="45"/>
    </row>
    <row r="491" spans="4:6" x14ac:dyDescent="0.2">
      <c r="D491" s="50"/>
      <c r="E491" s="73"/>
      <c r="F491" s="45"/>
    </row>
    <row r="492" spans="4:6" x14ac:dyDescent="0.2">
      <c r="D492" s="50"/>
      <c r="E492" s="73"/>
      <c r="F492" s="45"/>
    </row>
    <row r="493" spans="4:6" x14ac:dyDescent="0.2">
      <c r="D493" s="50"/>
      <c r="E493" s="73"/>
      <c r="F493" s="45"/>
    </row>
    <row r="494" spans="4:6" x14ac:dyDescent="0.2">
      <c r="D494" s="50"/>
      <c r="E494" s="73"/>
      <c r="F494" s="45"/>
    </row>
    <row r="495" spans="4:6" x14ac:dyDescent="0.2">
      <c r="D495" s="50"/>
      <c r="E495" s="73"/>
      <c r="F495" s="45"/>
    </row>
    <row r="496" spans="4:6" x14ac:dyDescent="0.2">
      <c r="D496" s="50"/>
      <c r="E496" s="73"/>
      <c r="F496" s="45"/>
    </row>
    <row r="497" spans="4:6" x14ac:dyDescent="0.2">
      <c r="D497" s="50"/>
      <c r="E497" s="73"/>
      <c r="F497" s="45"/>
    </row>
    <row r="498" spans="4:6" x14ac:dyDescent="0.2">
      <c r="D498" s="50"/>
      <c r="E498" s="73"/>
      <c r="F498" s="45"/>
    </row>
    <row r="499" spans="4:6" x14ac:dyDescent="0.2">
      <c r="D499" s="50"/>
      <c r="E499" s="73"/>
      <c r="F499" s="45"/>
    </row>
    <row r="500" spans="4:6" x14ac:dyDescent="0.2">
      <c r="D500" s="50"/>
      <c r="E500" s="73"/>
      <c r="F500" s="45"/>
    </row>
    <row r="501" spans="4:6" x14ac:dyDescent="0.2">
      <c r="D501" s="50"/>
      <c r="E501" s="73"/>
      <c r="F501" s="45"/>
    </row>
    <row r="502" spans="4:6" x14ac:dyDescent="0.2">
      <c r="D502" s="50"/>
      <c r="E502" s="73"/>
      <c r="F502" s="45"/>
    </row>
    <row r="503" spans="4:6" x14ac:dyDescent="0.2">
      <c r="D503" s="50"/>
      <c r="E503" s="73"/>
      <c r="F503" s="45"/>
    </row>
    <row r="504" spans="4:6" x14ac:dyDescent="0.2">
      <c r="D504" s="50"/>
      <c r="E504" s="73"/>
      <c r="F504" s="45"/>
    </row>
    <row r="505" spans="4:6" x14ac:dyDescent="0.2">
      <c r="D505" s="50"/>
      <c r="E505" s="73"/>
      <c r="F505" s="45"/>
    </row>
    <row r="506" spans="4:6" x14ac:dyDescent="0.2">
      <c r="D506" s="50"/>
      <c r="E506" s="73"/>
      <c r="F506" s="45"/>
    </row>
    <row r="507" spans="4:6" x14ac:dyDescent="0.2">
      <c r="D507" s="50"/>
      <c r="E507" s="73"/>
      <c r="F507" s="45"/>
    </row>
    <row r="508" spans="4:6" x14ac:dyDescent="0.2">
      <c r="D508" s="50"/>
      <c r="E508" s="73"/>
      <c r="F508" s="45"/>
    </row>
    <row r="509" spans="4:6" x14ac:dyDescent="0.2">
      <c r="D509" s="50"/>
      <c r="E509" s="73"/>
      <c r="F509" s="45"/>
    </row>
    <row r="510" spans="4:6" x14ac:dyDescent="0.2">
      <c r="D510" s="50"/>
      <c r="E510" s="73"/>
      <c r="F510" s="45"/>
    </row>
    <row r="511" spans="4:6" x14ac:dyDescent="0.2">
      <c r="D511" s="50"/>
      <c r="E511" s="73"/>
      <c r="F511" s="45"/>
    </row>
    <row r="512" spans="4:6" x14ac:dyDescent="0.2">
      <c r="D512" s="50"/>
      <c r="E512" s="73"/>
      <c r="F512" s="45"/>
    </row>
    <row r="513" spans="4:6" x14ac:dyDescent="0.2">
      <c r="D513" s="50"/>
      <c r="E513" s="73"/>
      <c r="F513" s="45"/>
    </row>
    <row r="514" spans="4:6" x14ac:dyDescent="0.2">
      <c r="D514" s="50"/>
      <c r="E514" s="73"/>
      <c r="F514" s="45"/>
    </row>
    <row r="515" spans="4:6" x14ac:dyDescent="0.2">
      <c r="D515" s="50"/>
      <c r="E515" s="73"/>
      <c r="F515" s="45"/>
    </row>
    <row r="516" spans="4:6" x14ac:dyDescent="0.2">
      <c r="D516" s="50"/>
      <c r="E516" s="73"/>
      <c r="F516" s="45"/>
    </row>
    <row r="517" spans="4:6" x14ac:dyDescent="0.2">
      <c r="D517" s="50"/>
      <c r="E517" s="73"/>
      <c r="F517" s="45"/>
    </row>
    <row r="518" spans="4:6" x14ac:dyDescent="0.2">
      <c r="D518" s="50"/>
      <c r="E518" s="73"/>
      <c r="F518" s="45"/>
    </row>
    <row r="519" spans="4:6" x14ac:dyDescent="0.2">
      <c r="D519" s="50"/>
      <c r="E519" s="73"/>
      <c r="F519" s="45"/>
    </row>
    <row r="520" spans="4:6" x14ac:dyDescent="0.2">
      <c r="D520" s="50"/>
      <c r="E520" s="73"/>
      <c r="F520" s="45"/>
    </row>
    <row r="521" spans="4:6" x14ac:dyDescent="0.2">
      <c r="D521" s="50"/>
      <c r="E521" s="73"/>
      <c r="F521" s="45"/>
    </row>
    <row r="522" spans="4:6" x14ac:dyDescent="0.2">
      <c r="D522" s="50"/>
      <c r="E522" s="73"/>
      <c r="F522" s="45"/>
    </row>
    <row r="523" spans="4:6" x14ac:dyDescent="0.2">
      <c r="D523" s="50"/>
      <c r="E523" s="73"/>
      <c r="F523" s="45"/>
    </row>
    <row r="524" spans="4:6" x14ac:dyDescent="0.2">
      <c r="D524" s="50"/>
      <c r="E524" s="73"/>
      <c r="F524" s="45"/>
    </row>
    <row r="525" spans="4:6" x14ac:dyDescent="0.2">
      <c r="D525" s="50"/>
      <c r="E525" s="73"/>
      <c r="F525" s="45"/>
    </row>
    <row r="526" spans="4:6" x14ac:dyDescent="0.2">
      <c r="D526" s="50"/>
      <c r="E526" s="73"/>
      <c r="F526" s="45"/>
    </row>
    <row r="527" spans="4:6" x14ac:dyDescent="0.2">
      <c r="D527" s="50"/>
      <c r="E527" s="73"/>
      <c r="F527" s="45"/>
    </row>
    <row r="528" spans="4:6" x14ac:dyDescent="0.2">
      <c r="D528" s="50"/>
      <c r="E528" s="73"/>
      <c r="F528" s="45"/>
    </row>
    <row r="529" spans="4:6" x14ac:dyDescent="0.2">
      <c r="D529" s="50"/>
      <c r="E529" s="73"/>
      <c r="F529" s="45"/>
    </row>
    <row r="530" spans="4:6" x14ac:dyDescent="0.2">
      <c r="D530" s="50"/>
      <c r="E530" s="73"/>
      <c r="F530" s="45"/>
    </row>
    <row r="531" spans="4:6" x14ac:dyDescent="0.2">
      <c r="D531" s="50"/>
      <c r="E531" s="73"/>
      <c r="F531" s="45"/>
    </row>
    <row r="532" spans="4:6" x14ac:dyDescent="0.2">
      <c r="D532" s="50"/>
      <c r="E532" s="73"/>
      <c r="F532" s="45"/>
    </row>
    <row r="533" spans="4:6" x14ac:dyDescent="0.2">
      <c r="D533" s="50"/>
      <c r="E533" s="73"/>
      <c r="F533" s="45"/>
    </row>
    <row r="534" spans="4:6" x14ac:dyDescent="0.2">
      <c r="D534" s="50"/>
      <c r="E534" s="73"/>
      <c r="F534" s="45"/>
    </row>
    <row r="535" spans="4:6" x14ac:dyDescent="0.2">
      <c r="D535" s="50"/>
      <c r="E535" s="73"/>
      <c r="F535" s="45"/>
    </row>
    <row r="536" spans="4:6" x14ac:dyDescent="0.2">
      <c r="D536" s="50"/>
      <c r="E536" s="73"/>
      <c r="F536" s="45"/>
    </row>
    <row r="537" spans="4:6" x14ac:dyDescent="0.2">
      <c r="D537" s="50"/>
      <c r="E537" s="73"/>
      <c r="F537" s="45"/>
    </row>
    <row r="538" spans="4:6" x14ac:dyDescent="0.2">
      <c r="D538" s="50"/>
      <c r="E538" s="73"/>
      <c r="F538" s="45"/>
    </row>
    <row r="539" spans="4:6" x14ac:dyDescent="0.2">
      <c r="D539" s="50"/>
      <c r="E539" s="73"/>
      <c r="F539" s="45"/>
    </row>
    <row r="540" spans="4:6" x14ac:dyDescent="0.2">
      <c r="D540" s="50"/>
      <c r="E540" s="73"/>
      <c r="F540" s="45"/>
    </row>
    <row r="541" spans="4:6" x14ac:dyDescent="0.2">
      <c r="D541" s="50"/>
      <c r="E541" s="73"/>
      <c r="F541" s="45"/>
    </row>
    <row r="542" spans="4:6" x14ac:dyDescent="0.2">
      <c r="D542" s="50"/>
      <c r="E542" s="73"/>
      <c r="F542" s="45"/>
    </row>
    <row r="543" spans="4:6" x14ac:dyDescent="0.2">
      <c r="D543" s="50"/>
      <c r="E543" s="73"/>
      <c r="F543" s="45"/>
    </row>
    <row r="544" spans="4:6" x14ac:dyDescent="0.2">
      <c r="D544" s="50"/>
      <c r="E544" s="73"/>
      <c r="F544" s="45"/>
    </row>
    <row r="545" spans="4:6" x14ac:dyDescent="0.2">
      <c r="D545" s="50"/>
      <c r="E545" s="73"/>
      <c r="F545" s="45"/>
    </row>
    <row r="546" spans="4:6" x14ac:dyDescent="0.2">
      <c r="D546" s="50"/>
      <c r="E546" s="73"/>
      <c r="F546" s="45"/>
    </row>
    <row r="547" spans="4:6" x14ac:dyDescent="0.2">
      <c r="D547" s="50"/>
      <c r="E547" s="73"/>
      <c r="F547" s="45"/>
    </row>
    <row r="548" spans="4:6" x14ac:dyDescent="0.2">
      <c r="D548" s="50"/>
      <c r="E548" s="73"/>
      <c r="F548" s="45"/>
    </row>
    <row r="549" spans="4:6" x14ac:dyDescent="0.2">
      <c r="D549" s="50"/>
      <c r="E549" s="73"/>
      <c r="F549" s="45"/>
    </row>
    <row r="550" spans="4:6" x14ac:dyDescent="0.2">
      <c r="D550" s="50"/>
      <c r="E550" s="73"/>
      <c r="F550" s="45"/>
    </row>
    <row r="551" spans="4:6" x14ac:dyDescent="0.2">
      <c r="D551" s="50"/>
      <c r="E551" s="73"/>
      <c r="F551" s="45"/>
    </row>
    <row r="552" spans="4:6" x14ac:dyDescent="0.2">
      <c r="D552" s="50"/>
      <c r="E552" s="73"/>
      <c r="F552" s="45"/>
    </row>
    <row r="553" spans="4:6" x14ac:dyDescent="0.2">
      <c r="D553" s="50"/>
      <c r="E553" s="73"/>
      <c r="F553" s="45"/>
    </row>
    <row r="554" spans="4:6" x14ac:dyDescent="0.2">
      <c r="D554" s="50"/>
      <c r="E554" s="73"/>
      <c r="F554" s="45"/>
    </row>
    <row r="555" spans="4:6" x14ac:dyDescent="0.2">
      <c r="D555" s="50"/>
      <c r="E555" s="73"/>
      <c r="F555" s="45"/>
    </row>
    <row r="556" spans="4:6" x14ac:dyDescent="0.2">
      <c r="D556" s="50"/>
      <c r="E556" s="73"/>
      <c r="F556" s="45"/>
    </row>
    <row r="557" spans="4:6" x14ac:dyDescent="0.2">
      <c r="D557" s="50"/>
      <c r="E557" s="73"/>
      <c r="F557" s="45"/>
    </row>
    <row r="558" spans="4:6" x14ac:dyDescent="0.2">
      <c r="D558" s="50"/>
      <c r="E558" s="73"/>
      <c r="F558" s="45"/>
    </row>
    <row r="559" spans="4:6" x14ac:dyDescent="0.2">
      <c r="D559" s="50"/>
      <c r="E559" s="73"/>
      <c r="F559" s="45"/>
    </row>
    <row r="560" spans="4:6" x14ac:dyDescent="0.2">
      <c r="D560" s="50"/>
      <c r="E560" s="73"/>
      <c r="F560" s="45"/>
    </row>
    <row r="561" spans="4:6" x14ac:dyDescent="0.2">
      <c r="D561" s="50"/>
      <c r="E561" s="73"/>
      <c r="F561" s="45"/>
    </row>
    <row r="562" spans="4:6" x14ac:dyDescent="0.2">
      <c r="D562" s="50"/>
      <c r="E562" s="73"/>
      <c r="F562" s="45"/>
    </row>
    <row r="563" spans="4:6" x14ac:dyDescent="0.2">
      <c r="D563" s="50"/>
      <c r="E563" s="73"/>
      <c r="F563" s="45"/>
    </row>
    <row r="564" spans="4:6" x14ac:dyDescent="0.2">
      <c r="D564" s="50"/>
      <c r="E564" s="73"/>
      <c r="F564" s="45"/>
    </row>
    <row r="565" spans="4:6" x14ac:dyDescent="0.2">
      <c r="D565" s="50"/>
      <c r="E565" s="73"/>
      <c r="F565" s="45"/>
    </row>
    <row r="566" spans="4:6" x14ac:dyDescent="0.2">
      <c r="D566" s="50"/>
      <c r="E566" s="73"/>
      <c r="F566" s="45"/>
    </row>
    <row r="567" spans="4:6" x14ac:dyDescent="0.2">
      <c r="D567" s="50"/>
      <c r="E567" s="73"/>
      <c r="F567" s="45"/>
    </row>
    <row r="568" spans="4:6" x14ac:dyDescent="0.2">
      <c r="D568" s="50"/>
      <c r="E568" s="73"/>
      <c r="F568" s="45"/>
    </row>
    <row r="569" spans="4:6" x14ac:dyDescent="0.2">
      <c r="D569" s="50"/>
      <c r="E569" s="73"/>
      <c r="F569" s="45"/>
    </row>
    <row r="570" spans="4:6" x14ac:dyDescent="0.2">
      <c r="D570" s="50"/>
      <c r="E570" s="73"/>
      <c r="F570" s="45"/>
    </row>
    <row r="571" spans="4:6" x14ac:dyDescent="0.2">
      <c r="D571" s="50"/>
      <c r="E571" s="73"/>
      <c r="F571" s="45"/>
    </row>
    <row r="572" spans="4:6" x14ac:dyDescent="0.2">
      <c r="D572" s="50"/>
      <c r="E572" s="73"/>
      <c r="F572" s="45"/>
    </row>
    <row r="573" spans="4:6" x14ac:dyDescent="0.2">
      <c r="D573" s="50"/>
      <c r="E573" s="73"/>
      <c r="F573" s="45"/>
    </row>
    <row r="574" spans="4:6" x14ac:dyDescent="0.2">
      <c r="D574" s="50"/>
      <c r="E574" s="73"/>
      <c r="F574" s="45"/>
    </row>
    <row r="575" spans="4:6" x14ac:dyDescent="0.2">
      <c r="D575" s="50"/>
      <c r="E575" s="73"/>
      <c r="F575" s="45"/>
    </row>
    <row r="576" spans="4:6" x14ac:dyDescent="0.2">
      <c r="D576" s="50"/>
      <c r="E576" s="73"/>
      <c r="F576" s="45"/>
    </row>
    <row r="577" spans="4:6" x14ac:dyDescent="0.2">
      <c r="D577" s="50"/>
      <c r="E577" s="73"/>
      <c r="F577" s="45"/>
    </row>
    <row r="578" spans="4:6" x14ac:dyDescent="0.2">
      <c r="D578" s="50"/>
      <c r="E578" s="73"/>
      <c r="F578" s="45"/>
    </row>
    <row r="579" spans="4:6" x14ac:dyDescent="0.2">
      <c r="D579" s="50"/>
      <c r="E579" s="73"/>
      <c r="F579" s="45"/>
    </row>
    <row r="580" spans="4:6" x14ac:dyDescent="0.2">
      <c r="D580" s="50"/>
      <c r="E580" s="73"/>
      <c r="F580" s="45"/>
    </row>
    <row r="581" spans="4:6" x14ac:dyDescent="0.2">
      <c r="D581" s="50"/>
      <c r="E581" s="73"/>
      <c r="F581" s="45"/>
    </row>
    <row r="582" spans="4:6" x14ac:dyDescent="0.2">
      <c r="D582" s="50"/>
      <c r="E582" s="73"/>
      <c r="F582" s="45"/>
    </row>
    <row r="583" spans="4:6" x14ac:dyDescent="0.2">
      <c r="D583" s="50"/>
      <c r="E583" s="73"/>
      <c r="F583" s="45"/>
    </row>
    <row r="584" spans="4:6" x14ac:dyDescent="0.2">
      <c r="D584" s="50"/>
      <c r="E584" s="73"/>
      <c r="F584" s="45"/>
    </row>
    <row r="585" spans="4:6" x14ac:dyDescent="0.2">
      <c r="D585" s="50"/>
      <c r="E585" s="73"/>
      <c r="F585" s="45"/>
    </row>
    <row r="586" spans="4:6" x14ac:dyDescent="0.2">
      <c r="D586" s="50"/>
      <c r="E586" s="73"/>
      <c r="F586" s="45"/>
    </row>
    <row r="587" spans="4:6" x14ac:dyDescent="0.2">
      <c r="D587" s="50"/>
      <c r="E587" s="73"/>
      <c r="F587" s="45"/>
    </row>
    <row r="588" spans="4:6" x14ac:dyDescent="0.2">
      <c r="D588" s="50"/>
      <c r="E588" s="73"/>
      <c r="F588" s="45"/>
    </row>
    <row r="589" spans="4:6" x14ac:dyDescent="0.2">
      <c r="D589" s="50"/>
      <c r="E589" s="73"/>
      <c r="F589" s="45"/>
    </row>
    <row r="590" spans="4:6" x14ac:dyDescent="0.2">
      <c r="D590" s="50"/>
      <c r="E590" s="73"/>
      <c r="F590" s="45"/>
    </row>
    <row r="591" spans="4:6" x14ac:dyDescent="0.2">
      <c r="D591" s="50"/>
      <c r="E591" s="73"/>
      <c r="F591" s="45"/>
    </row>
    <row r="592" spans="4:6" x14ac:dyDescent="0.2">
      <c r="D592" s="50"/>
      <c r="E592" s="73"/>
      <c r="F592" s="45"/>
    </row>
    <row r="593" spans="4:6" x14ac:dyDescent="0.2">
      <c r="D593" s="50"/>
      <c r="E593" s="73"/>
      <c r="F593" s="45"/>
    </row>
    <row r="594" spans="4:6" x14ac:dyDescent="0.2">
      <c r="D594" s="50"/>
      <c r="E594" s="73"/>
      <c r="F594" s="45"/>
    </row>
    <row r="595" spans="4:6" x14ac:dyDescent="0.2">
      <c r="D595" s="50"/>
      <c r="E595" s="73"/>
      <c r="F595" s="45"/>
    </row>
    <row r="596" spans="4:6" x14ac:dyDescent="0.2">
      <c r="D596" s="50"/>
      <c r="E596" s="73"/>
      <c r="F596" s="45"/>
    </row>
    <row r="597" spans="4:6" x14ac:dyDescent="0.2">
      <c r="D597" s="50"/>
      <c r="E597" s="73"/>
      <c r="F597" s="45"/>
    </row>
    <row r="598" spans="4:6" x14ac:dyDescent="0.2">
      <c r="D598" s="50"/>
      <c r="E598" s="73"/>
      <c r="F598" s="45"/>
    </row>
    <row r="599" spans="4:6" x14ac:dyDescent="0.2">
      <c r="D599" s="50"/>
      <c r="E599" s="73"/>
      <c r="F599" s="45"/>
    </row>
    <row r="600" spans="4:6" x14ac:dyDescent="0.2">
      <c r="D600" s="50"/>
      <c r="E600" s="73"/>
      <c r="F600" s="45"/>
    </row>
    <row r="601" spans="4:6" x14ac:dyDescent="0.2">
      <c r="D601" s="50"/>
      <c r="E601" s="73"/>
      <c r="F601" s="45"/>
    </row>
    <row r="602" spans="4:6" x14ac:dyDescent="0.2">
      <c r="D602" s="50"/>
      <c r="E602" s="73"/>
      <c r="F602" s="45"/>
    </row>
    <row r="603" spans="4:6" x14ac:dyDescent="0.2">
      <c r="D603" s="50"/>
      <c r="E603" s="73"/>
      <c r="F603" s="45"/>
    </row>
    <row r="604" spans="4:6" x14ac:dyDescent="0.2">
      <c r="D604" s="50"/>
      <c r="E604" s="73"/>
      <c r="F604" s="45"/>
    </row>
    <row r="605" spans="4:6" x14ac:dyDescent="0.2">
      <c r="D605" s="50"/>
      <c r="E605" s="73"/>
      <c r="F605" s="45"/>
    </row>
    <row r="606" spans="4:6" x14ac:dyDescent="0.2">
      <c r="D606" s="50"/>
      <c r="E606" s="73"/>
      <c r="F606" s="45"/>
    </row>
    <row r="607" spans="4:6" x14ac:dyDescent="0.2">
      <c r="D607" s="50"/>
      <c r="E607" s="73"/>
      <c r="F607" s="45"/>
    </row>
    <row r="608" spans="4:6" x14ac:dyDescent="0.2">
      <c r="D608" s="50"/>
      <c r="E608" s="73"/>
      <c r="F608" s="45"/>
    </row>
    <row r="609" spans="4:6" x14ac:dyDescent="0.2">
      <c r="D609" s="50"/>
      <c r="E609" s="73"/>
      <c r="F609" s="45"/>
    </row>
    <row r="610" spans="4:6" x14ac:dyDescent="0.2">
      <c r="D610" s="50"/>
      <c r="E610" s="73"/>
      <c r="F610" s="45"/>
    </row>
    <row r="611" spans="4:6" x14ac:dyDescent="0.2">
      <c r="D611" s="50"/>
      <c r="E611" s="73"/>
      <c r="F611" s="45"/>
    </row>
    <row r="612" spans="4:6" x14ac:dyDescent="0.2">
      <c r="D612" s="50"/>
      <c r="E612" s="73"/>
      <c r="F612" s="45"/>
    </row>
    <row r="613" spans="4:6" x14ac:dyDescent="0.2">
      <c r="D613" s="50"/>
      <c r="E613" s="73"/>
      <c r="F613" s="45"/>
    </row>
    <row r="614" spans="4:6" x14ac:dyDescent="0.2">
      <c r="D614" s="50"/>
      <c r="E614" s="73"/>
      <c r="F614" s="45"/>
    </row>
    <row r="615" spans="4:6" x14ac:dyDescent="0.2">
      <c r="D615" s="50"/>
      <c r="E615" s="73"/>
      <c r="F615" s="45"/>
    </row>
    <row r="616" spans="4:6" x14ac:dyDescent="0.2">
      <c r="D616" s="50"/>
      <c r="E616" s="73"/>
      <c r="F616" s="45"/>
    </row>
    <row r="617" spans="4:6" x14ac:dyDescent="0.2">
      <c r="D617" s="50"/>
      <c r="E617" s="73"/>
      <c r="F617" s="45"/>
    </row>
    <row r="618" spans="4:6" x14ac:dyDescent="0.2">
      <c r="D618" s="50"/>
      <c r="E618" s="73"/>
      <c r="F618" s="45"/>
    </row>
    <row r="619" spans="4:6" x14ac:dyDescent="0.2">
      <c r="D619" s="50"/>
      <c r="E619" s="73"/>
      <c r="F619" s="45"/>
    </row>
    <row r="620" spans="4:6" x14ac:dyDescent="0.2">
      <c r="D620" s="50"/>
      <c r="E620" s="73"/>
      <c r="F620" s="45"/>
    </row>
    <row r="621" spans="4:6" x14ac:dyDescent="0.2">
      <c r="D621" s="50"/>
      <c r="E621" s="73"/>
      <c r="F621" s="45"/>
    </row>
    <row r="622" spans="4:6" x14ac:dyDescent="0.2">
      <c r="D622" s="50"/>
      <c r="E622" s="73"/>
      <c r="F622" s="45"/>
    </row>
    <row r="623" spans="4:6" x14ac:dyDescent="0.2">
      <c r="D623" s="50"/>
      <c r="E623" s="73"/>
      <c r="F623" s="45"/>
    </row>
    <row r="624" spans="4:6" x14ac:dyDescent="0.2">
      <c r="D624" s="50"/>
      <c r="E624" s="73"/>
      <c r="F624" s="45"/>
    </row>
    <row r="625" spans="4:6" x14ac:dyDescent="0.2">
      <c r="D625" s="50"/>
      <c r="E625" s="73"/>
      <c r="F625" s="45"/>
    </row>
    <row r="626" spans="4:6" x14ac:dyDescent="0.2">
      <c r="D626" s="50"/>
      <c r="E626" s="73"/>
      <c r="F626" s="45"/>
    </row>
    <row r="627" spans="4:6" x14ac:dyDescent="0.2">
      <c r="D627" s="50"/>
      <c r="E627" s="73"/>
      <c r="F627" s="45"/>
    </row>
    <row r="628" spans="4:6" x14ac:dyDescent="0.2">
      <c r="D628" s="50"/>
      <c r="E628" s="73"/>
      <c r="F628" s="45"/>
    </row>
    <row r="629" spans="4:6" x14ac:dyDescent="0.2">
      <c r="D629" s="50"/>
      <c r="E629" s="73"/>
      <c r="F629" s="45"/>
    </row>
    <row r="630" spans="4:6" x14ac:dyDescent="0.2">
      <c r="D630" s="50"/>
      <c r="E630" s="73"/>
      <c r="F630" s="45"/>
    </row>
    <row r="631" spans="4:6" x14ac:dyDescent="0.2">
      <c r="D631" s="50"/>
      <c r="E631" s="73"/>
      <c r="F631" s="45"/>
    </row>
    <row r="632" spans="4:6" x14ac:dyDescent="0.2">
      <c r="D632" s="50"/>
      <c r="E632" s="73"/>
      <c r="F632" s="45"/>
    </row>
    <row r="633" spans="4:6" x14ac:dyDescent="0.2">
      <c r="D633" s="50"/>
      <c r="E633" s="73"/>
      <c r="F633" s="45"/>
    </row>
    <row r="634" spans="4:6" x14ac:dyDescent="0.2">
      <c r="D634" s="50"/>
      <c r="E634" s="73"/>
      <c r="F634" s="45"/>
    </row>
    <row r="635" spans="4:6" x14ac:dyDescent="0.2">
      <c r="D635" s="50"/>
      <c r="E635" s="73"/>
      <c r="F635" s="45"/>
    </row>
    <row r="636" spans="4:6" x14ac:dyDescent="0.2">
      <c r="D636" s="50"/>
      <c r="E636" s="73"/>
      <c r="F636" s="45"/>
    </row>
    <row r="637" spans="4:6" x14ac:dyDescent="0.2">
      <c r="D637" s="50"/>
      <c r="E637" s="73"/>
      <c r="F637" s="45"/>
    </row>
    <row r="638" spans="4:6" x14ac:dyDescent="0.2">
      <c r="D638" s="50"/>
      <c r="E638" s="73"/>
      <c r="F638" s="45"/>
    </row>
    <row r="639" spans="4:6" x14ac:dyDescent="0.2">
      <c r="D639" s="50"/>
      <c r="E639" s="73"/>
      <c r="F639" s="45"/>
    </row>
    <row r="640" spans="4:6" x14ac:dyDescent="0.2">
      <c r="D640" s="50"/>
      <c r="E640" s="73"/>
      <c r="F640" s="45"/>
    </row>
    <row r="641" spans="4:6" x14ac:dyDescent="0.2">
      <c r="D641" s="50"/>
      <c r="E641" s="73"/>
      <c r="F641" s="45"/>
    </row>
    <row r="642" spans="4:6" x14ac:dyDescent="0.2">
      <c r="D642" s="50"/>
      <c r="E642" s="73"/>
      <c r="F642" s="45"/>
    </row>
    <row r="643" spans="4:6" x14ac:dyDescent="0.2">
      <c r="D643" s="50"/>
      <c r="E643" s="73"/>
      <c r="F643" s="45"/>
    </row>
    <row r="644" spans="4:6" x14ac:dyDescent="0.2">
      <c r="D644" s="50"/>
      <c r="E644" s="73"/>
      <c r="F644" s="45"/>
    </row>
    <row r="645" spans="4:6" x14ac:dyDescent="0.2">
      <c r="D645" s="50"/>
      <c r="E645" s="73"/>
      <c r="F645" s="45"/>
    </row>
    <row r="646" spans="4:6" x14ac:dyDescent="0.2">
      <c r="D646" s="50"/>
      <c r="E646" s="73"/>
      <c r="F646" s="45"/>
    </row>
    <row r="647" spans="4:6" x14ac:dyDescent="0.2">
      <c r="D647" s="50"/>
      <c r="E647" s="73"/>
      <c r="F647" s="45"/>
    </row>
    <row r="648" spans="4:6" x14ac:dyDescent="0.2">
      <c r="D648" s="50"/>
      <c r="E648" s="73"/>
      <c r="F648" s="45"/>
    </row>
    <row r="649" spans="4:6" x14ac:dyDescent="0.2">
      <c r="D649" s="50"/>
      <c r="E649" s="73"/>
      <c r="F649" s="45"/>
    </row>
    <row r="650" spans="4:6" x14ac:dyDescent="0.2">
      <c r="D650" s="50"/>
      <c r="E650" s="73"/>
      <c r="F650" s="45"/>
    </row>
    <row r="651" spans="4:6" x14ac:dyDescent="0.2">
      <c r="D651" s="50"/>
      <c r="E651" s="73"/>
      <c r="F651" s="45"/>
    </row>
    <row r="652" spans="4:6" x14ac:dyDescent="0.2">
      <c r="D652" s="50"/>
      <c r="E652" s="73"/>
      <c r="F652" s="45"/>
    </row>
    <row r="653" spans="4:6" x14ac:dyDescent="0.2">
      <c r="D653" s="50"/>
      <c r="E653" s="73"/>
      <c r="F653" s="45"/>
    </row>
    <row r="654" spans="4:6" x14ac:dyDescent="0.2">
      <c r="D654" s="50"/>
      <c r="E654" s="73"/>
      <c r="F654" s="45"/>
    </row>
    <row r="655" spans="4:6" x14ac:dyDescent="0.2">
      <c r="D655" s="50"/>
      <c r="E655" s="73"/>
      <c r="F655" s="45"/>
    </row>
    <row r="656" spans="4:6" x14ac:dyDescent="0.2">
      <c r="D656" s="50"/>
      <c r="E656" s="73"/>
      <c r="F656" s="45"/>
    </row>
    <row r="657" spans="4:6" x14ac:dyDescent="0.2">
      <c r="D657" s="50"/>
      <c r="E657" s="73"/>
      <c r="F657" s="45"/>
    </row>
    <row r="658" spans="4:6" x14ac:dyDescent="0.2">
      <c r="D658" s="50"/>
      <c r="E658" s="73"/>
      <c r="F658" s="45"/>
    </row>
    <row r="659" spans="4:6" x14ac:dyDescent="0.2">
      <c r="D659" s="50"/>
      <c r="E659" s="73"/>
      <c r="F659" s="45"/>
    </row>
    <row r="660" spans="4:6" x14ac:dyDescent="0.2">
      <c r="D660" s="50"/>
      <c r="E660" s="73"/>
      <c r="F660" s="45"/>
    </row>
    <row r="661" spans="4:6" x14ac:dyDescent="0.2">
      <c r="D661" s="50"/>
      <c r="E661" s="73"/>
      <c r="F661" s="45"/>
    </row>
    <row r="662" spans="4:6" x14ac:dyDescent="0.2">
      <c r="D662" s="50"/>
      <c r="E662" s="73"/>
      <c r="F662" s="45"/>
    </row>
    <row r="663" spans="4:6" x14ac:dyDescent="0.2">
      <c r="D663" s="50"/>
      <c r="E663" s="73"/>
      <c r="F663" s="45"/>
    </row>
    <row r="664" spans="4:6" x14ac:dyDescent="0.2">
      <c r="D664" s="50"/>
      <c r="E664" s="73"/>
      <c r="F664" s="45"/>
    </row>
    <row r="665" spans="4:6" x14ac:dyDescent="0.2">
      <c r="D665" s="50"/>
      <c r="E665" s="73"/>
      <c r="F665" s="45"/>
    </row>
    <row r="666" spans="4:6" x14ac:dyDescent="0.2">
      <c r="D666" s="50"/>
      <c r="E666" s="73"/>
      <c r="F666" s="45"/>
    </row>
    <row r="667" spans="4:6" x14ac:dyDescent="0.2">
      <c r="D667" s="50"/>
      <c r="E667" s="73"/>
      <c r="F667" s="45"/>
    </row>
    <row r="668" spans="4:6" x14ac:dyDescent="0.2">
      <c r="D668" s="50"/>
      <c r="E668" s="73"/>
      <c r="F668" s="45"/>
    </row>
    <row r="669" spans="4:6" x14ac:dyDescent="0.2">
      <c r="D669" s="50"/>
      <c r="E669" s="73"/>
      <c r="F669" s="45"/>
    </row>
    <row r="670" spans="4:6" x14ac:dyDescent="0.2">
      <c r="D670" s="50"/>
      <c r="E670" s="73"/>
      <c r="F670" s="45"/>
    </row>
    <row r="671" spans="4:6" x14ac:dyDescent="0.2">
      <c r="D671" s="50"/>
      <c r="E671" s="73"/>
      <c r="F671" s="45"/>
    </row>
    <row r="672" spans="4:6" x14ac:dyDescent="0.2">
      <c r="D672" s="50"/>
      <c r="E672" s="73"/>
      <c r="F672" s="45"/>
    </row>
    <row r="673" spans="4:6" x14ac:dyDescent="0.2">
      <c r="D673" s="50"/>
      <c r="E673" s="73"/>
      <c r="F673" s="45"/>
    </row>
    <row r="674" spans="4:6" x14ac:dyDescent="0.2">
      <c r="D674" s="50"/>
      <c r="E674" s="73"/>
      <c r="F674" s="45"/>
    </row>
    <row r="675" spans="4:6" x14ac:dyDescent="0.2">
      <c r="D675" s="50"/>
      <c r="E675" s="73"/>
      <c r="F675" s="45"/>
    </row>
    <row r="676" spans="4:6" x14ac:dyDescent="0.2">
      <c r="D676" s="50"/>
      <c r="E676" s="73"/>
      <c r="F676" s="45"/>
    </row>
    <row r="677" spans="4:6" x14ac:dyDescent="0.2">
      <c r="D677" s="50"/>
      <c r="E677" s="73"/>
      <c r="F677" s="45"/>
    </row>
    <row r="678" spans="4:6" x14ac:dyDescent="0.2">
      <c r="D678" s="50"/>
      <c r="E678" s="73"/>
      <c r="F678" s="45"/>
    </row>
    <row r="679" spans="4:6" x14ac:dyDescent="0.2">
      <c r="D679" s="50"/>
      <c r="E679" s="73"/>
      <c r="F679" s="45"/>
    </row>
    <row r="680" spans="4:6" x14ac:dyDescent="0.2">
      <c r="D680" s="50"/>
      <c r="E680" s="73"/>
      <c r="F680" s="45"/>
    </row>
    <row r="681" spans="4:6" x14ac:dyDescent="0.2">
      <c r="D681" s="50"/>
      <c r="E681" s="73"/>
      <c r="F681" s="45"/>
    </row>
    <row r="682" spans="4:6" x14ac:dyDescent="0.2">
      <c r="D682" s="50"/>
      <c r="E682" s="73"/>
      <c r="F682" s="45"/>
    </row>
    <row r="683" spans="4:6" x14ac:dyDescent="0.2">
      <c r="D683" s="50"/>
      <c r="E683" s="73"/>
      <c r="F683" s="45"/>
    </row>
    <row r="684" spans="4:6" x14ac:dyDescent="0.2">
      <c r="D684" s="50"/>
      <c r="E684" s="73"/>
      <c r="F684" s="45"/>
    </row>
    <row r="685" spans="4:6" x14ac:dyDescent="0.2">
      <c r="D685" s="50"/>
      <c r="E685" s="73"/>
      <c r="F685" s="45"/>
    </row>
    <row r="686" spans="4:6" x14ac:dyDescent="0.2">
      <c r="D686" s="50"/>
      <c r="E686" s="73"/>
      <c r="F686" s="45"/>
    </row>
    <row r="687" spans="4:6" x14ac:dyDescent="0.2">
      <c r="D687" s="50"/>
      <c r="E687" s="73"/>
      <c r="F687" s="45"/>
    </row>
    <row r="688" spans="4:6" x14ac:dyDescent="0.2">
      <c r="D688" s="50"/>
      <c r="E688" s="73"/>
      <c r="F688" s="45"/>
    </row>
    <row r="689" spans="4:6" x14ac:dyDescent="0.2">
      <c r="D689" s="50"/>
      <c r="E689" s="73"/>
      <c r="F689" s="45"/>
    </row>
    <row r="690" spans="4:6" x14ac:dyDescent="0.2">
      <c r="D690" s="50"/>
      <c r="E690" s="73"/>
      <c r="F690" s="45"/>
    </row>
    <row r="691" spans="4:6" x14ac:dyDescent="0.2">
      <c r="D691" s="50"/>
      <c r="E691" s="73"/>
      <c r="F691" s="45"/>
    </row>
    <row r="692" spans="4:6" x14ac:dyDescent="0.2">
      <c r="D692" s="50"/>
      <c r="E692" s="73"/>
      <c r="F692" s="45"/>
    </row>
    <row r="693" spans="4:6" x14ac:dyDescent="0.2">
      <c r="D693" s="50"/>
      <c r="E693" s="73"/>
      <c r="F693" s="45"/>
    </row>
    <row r="694" spans="4:6" x14ac:dyDescent="0.2">
      <c r="D694" s="50"/>
      <c r="E694" s="73"/>
      <c r="F694" s="45"/>
    </row>
    <row r="695" spans="4:6" x14ac:dyDescent="0.2">
      <c r="D695" s="50"/>
      <c r="E695" s="73"/>
      <c r="F695" s="45"/>
    </row>
    <row r="696" spans="4:6" x14ac:dyDescent="0.2">
      <c r="D696" s="50"/>
      <c r="E696" s="73"/>
      <c r="F696" s="45"/>
    </row>
    <row r="697" spans="4:6" x14ac:dyDescent="0.2">
      <c r="D697" s="50"/>
      <c r="E697" s="73"/>
      <c r="F697" s="45"/>
    </row>
    <row r="698" spans="4:6" x14ac:dyDescent="0.2">
      <c r="D698" s="50"/>
      <c r="E698" s="73"/>
      <c r="F698" s="45"/>
    </row>
    <row r="699" spans="4:6" x14ac:dyDescent="0.2">
      <c r="D699" s="50"/>
      <c r="E699" s="73"/>
      <c r="F699" s="45"/>
    </row>
    <row r="700" spans="4:6" x14ac:dyDescent="0.2">
      <c r="D700" s="50"/>
      <c r="E700" s="73"/>
      <c r="F700" s="45"/>
    </row>
    <row r="701" spans="4:6" x14ac:dyDescent="0.2">
      <c r="D701" s="50"/>
      <c r="E701" s="73"/>
      <c r="F701" s="45"/>
    </row>
    <row r="702" spans="4:6" x14ac:dyDescent="0.2">
      <c r="D702" s="50"/>
      <c r="E702" s="73"/>
      <c r="F702" s="45"/>
    </row>
    <row r="703" spans="4:6" x14ac:dyDescent="0.2">
      <c r="D703" s="50"/>
      <c r="E703" s="73"/>
      <c r="F703" s="45"/>
    </row>
    <row r="704" spans="4:6" x14ac:dyDescent="0.2">
      <c r="D704" s="50"/>
      <c r="E704" s="73"/>
      <c r="F704" s="45"/>
    </row>
    <row r="705" spans="4:6" x14ac:dyDescent="0.2">
      <c r="D705" s="50"/>
      <c r="E705" s="73"/>
      <c r="F705" s="45"/>
    </row>
    <row r="706" spans="4:6" x14ac:dyDescent="0.2">
      <c r="D706" s="50"/>
      <c r="E706" s="73"/>
      <c r="F706" s="45"/>
    </row>
    <row r="707" spans="4:6" x14ac:dyDescent="0.2">
      <c r="D707" s="50"/>
      <c r="E707" s="73"/>
      <c r="F707" s="45"/>
    </row>
    <row r="708" spans="4:6" x14ac:dyDescent="0.2">
      <c r="D708" s="50"/>
      <c r="E708" s="73"/>
      <c r="F708" s="45"/>
    </row>
    <row r="709" spans="4:6" x14ac:dyDescent="0.2">
      <c r="D709" s="50"/>
      <c r="E709" s="73"/>
      <c r="F709" s="45"/>
    </row>
    <row r="710" spans="4:6" x14ac:dyDescent="0.2">
      <c r="D710" s="50"/>
      <c r="E710" s="73"/>
      <c r="F710" s="45"/>
    </row>
    <row r="711" spans="4:6" x14ac:dyDescent="0.2">
      <c r="D711" s="50"/>
      <c r="E711" s="73"/>
      <c r="F711" s="45"/>
    </row>
    <row r="712" spans="4:6" x14ac:dyDescent="0.2">
      <c r="D712" s="50"/>
      <c r="E712" s="73"/>
      <c r="F712" s="45"/>
    </row>
    <row r="713" spans="4:6" x14ac:dyDescent="0.2">
      <c r="D713" s="50"/>
      <c r="E713" s="73"/>
      <c r="F713" s="45"/>
    </row>
    <row r="714" spans="4:6" x14ac:dyDescent="0.2">
      <c r="D714" s="50"/>
      <c r="E714" s="73"/>
      <c r="F714" s="45"/>
    </row>
    <row r="715" spans="4:6" x14ac:dyDescent="0.2">
      <c r="D715" s="50"/>
      <c r="E715" s="73"/>
      <c r="F715" s="45"/>
    </row>
    <row r="716" spans="4:6" x14ac:dyDescent="0.2">
      <c r="D716" s="50"/>
      <c r="E716" s="73"/>
      <c r="F716" s="45"/>
    </row>
    <row r="717" spans="4:6" x14ac:dyDescent="0.2">
      <c r="D717" s="50"/>
      <c r="E717" s="73"/>
      <c r="F717" s="45"/>
    </row>
    <row r="718" spans="4:6" x14ac:dyDescent="0.2">
      <c r="D718" s="50"/>
      <c r="E718" s="73"/>
      <c r="F718" s="45"/>
    </row>
    <row r="719" spans="4:6" x14ac:dyDescent="0.2">
      <c r="D719" s="50"/>
      <c r="E719" s="73"/>
      <c r="F719" s="45"/>
    </row>
    <row r="720" spans="4:6" x14ac:dyDescent="0.2">
      <c r="D720" s="50"/>
      <c r="E720" s="73"/>
      <c r="F720" s="45"/>
    </row>
    <row r="721" spans="4:6" x14ac:dyDescent="0.2">
      <c r="D721" s="50"/>
      <c r="E721" s="73"/>
      <c r="F721" s="45"/>
    </row>
    <row r="722" spans="4:6" x14ac:dyDescent="0.2">
      <c r="D722" s="50"/>
      <c r="E722" s="73"/>
      <c r="F722" s="45"/>
    </row>
    <row r="723" spans="4:6" x14ac:dyDescent="0.2">
      <c r="D723" s="50"/>
      <c r="E723" s="73"/>
      <c r="F723" s="45"/>
    </row>
    <row r="724" spans="4:6" x14ac:dyDescent="0.2">
      <c r="D724" s="50"/>
      <c r="E724" s="73"/>
      <c r="F724" s="45"/>
    </row>
    <row r="725" spans="4:6" x14ac:dyDescent="0.2">
      <c r="D725" s="50"/>
      <c r="E725" s="73"/>
      <c r="F725" s="45"/>
    </row>
    <row r="726" spans="4:6" x14ac:dyDescent="0.2">
      <c r="D726" s="50"/>
      <c r="E726" s="73"/>
      <c r="F726" s="45"/>
    </row>
    <row r="727" spans="4:6" x14ac:dyDescent="0.2">
      <c r="D727" s="50"/>
      <c r="E727" s="73"/>
      <c r="F727" s="45"/>
    </row>
    <row r="728" spans="4:6" x14ac:dyDescent="0.2">
      <c r="D728" s="50"/>
      <c r="E728" s="73"/>
      <c r="F728" s="45"/>
    </row>
    <row r="729" spans="4:6" x14ac:dyDescent="0.2">
      <c r="D729" s="50"/>
      <c r="E729" s="73"/>
      <c r="F729" s="45"/>
    </row>
    <row r="730" spans="4:6" x14ac:dyDescent="0.2">
      <c r="D730" s="50"/>
      <c r="E730" s="73"/>
      <c r="F730" s="45"/>
    </row>
    <row r="731" spans="4:6" x14ac:dyDescent="0.2">
      <c r="D731" s="50"/>
      <c r="E731" s="73"/>
      <c r="F731" s="45"/>
    </row>
    <row r="732" spans="4:6" x14ac:dyDescent="0.2">
      <c r="D732" s="50"/>
      <c r="E732" s="73"/>
      <c r="F732" s="45"/>
    </row>
    <row r="733" spans="4:6" x14ac:dyDescent="0.2">
      <c r="D733" s="50"/>
      <c r="E733" s="73"/>
      <c r="F733" s="45"/>
    </row>
    <row r="734" spans="4:6" x14ac:dyDescent="0.2">
      <c r="D734" s="50"/>
      <c r="E734" s="73"/>
      <c r="F734" s="45"/>
    </row>
    <row r="735" spans="4:6" x14ac:dyDescent="0.2">
      <c r="D735" s="50"/>
      <c r="E735" s="73"/>
      <c r="F735" s="45"/>
    </row>
    <row r="736" spans="4:6" x14ac:dyDescent="0.2">
      <c r="D736" s="50"/>
      <c r="E736" s="73"/>
      <c r="F736" s="45"/>
    </row>
    <row r="737" spans="4:6" x14ac:dyDescent="0.2">
      <c r="D737" s="50"/>
      <c r="E737" s="73"/>
      <c r="F737" s="45"/>
    </row>
    <row r="738" spans="4:6" x14ac:dyDescent="0.2">
      <c r="D738" s="50"/>
      <c r="E738" s="73"/>
      <c r="F738" s="45"/>
    </row>
    <row r="739" spans="4:6" x14ac:dyDescent="0.2">
      <c r="D739" s="50"/>
      <c r="E739" s="73"/>
      <c r="F739" s="45"/>
    </row>
    <row r="740" spans="4:6" x14ac:dyDescent="0.2">
      <c r="D740" s="50"/>
      <c r="E740" s="73"/>
      <c r="F740" s="45"/>
    </row>
    <row r="741" spans="4:6" x14ac:dyDescent="0.2">
      <c r="D741" s="50"/>
      <c r="E741" s="73"/>
      <c r="F741" s="45"/>
    </row>
    <row r="742" spans="4:6" x14ac:dyDescent="0.2">
      <c r="D742" s="50"/>
      <c r="E742" s="73"/>
      <c r="F742" s="45"/>
    </row>
    <row r="743" spans="4:6" x14ac:dyDescent="0.2">
      <c r="D743" s="50"/>
      <c r="E743" s="73"/>
      <c r="F743" s="45"/>
    </row>
    <row r="744" spans="4:6" x14ac:dyDescent="0.2">
      <c r="D744" s="50"/>
      <c r="E744" s="73"/>
      <c r="F744" s="45"/>
    </row>
    <row r="745" spans="4:6" x14ac:dyDescent="0.2">
      <c r="D745" s="50"/>
      <c r="E745" s="73"/>
      <c r="F745" s="45"/>
    </row>
    <row r="746" spans="4:6" x14ac:dyDescent="0.2">
      <c r="D746" s="50"/>
      <c r="E746" s="73"/>
      <c r="F746" s="45"/>
    </row>
    <row r="747" spans="4:6" x14ac:dyDescent="0.2">
      <c r="D747" s="50"/>
      <c r="E747" s="73"/>
      <c r="F747" s="45"/>
    </row>
    <row r="748" spans="4:6" x14ac:dyDescent="0.2">
      <c r="D748" s="50"/>
      <c r="E748" s="73"/>
      <c r="F748" s="45"/>
    </row>
    <row r="749" spans="4:6" x14ac:dyDescent="0.2">
      <c r="D749" s="50"/>
      <c r="E749" s="73"/>
      <c r="F749" s="45"/>
    </row>
    <row r="750" spans="4:6" x14ac:dyDescent="0.2">
      <c r="D750" s="50"/>
      <c r="E750" s="73"/>
      <c r="F750" s="45"/>
    </row>
    <row r="751" spans="4:6" x14ac:dyDescent="0.2">
      <c r="D751" s="50"/>
      <c r="E751" s="73"/>
      <c r="F751" s="45"/>
    </row>
    <row r="752" spans="4:6" x14ac:dyDescent="0.2">
      <c r="D752" s="50"/>
      <c r="E752" s="73"/>
      <c r="F752" s="45"/>
    </row>
    <row r="753" spans="4:6" x14ac:dyDescent="0.2">
      <c r="D753" s="50"/>
      <c r="E753" s="73"/>
      <c r="F753" s="45"/>
    </row>
    <row r="754" spans="4:6" x14ac:dyDescent="0.2">
      <c r="D754" s="50"/>
      <c r="E754" s="73"/>
      <c r="F754" s="45"/>
    </row>
    <row r="755" spans="4:6" x14ac:dyDescent="0.2">
      <c r="D755" s="50"/>
      <c r="E755" s="73"/>
      <c r="F755" s="45"/>
    </row>
    <row r="756" spans="4:6" x14ac:dyDescent="0.2">
      <c r="D756" s="50"/>
      <c r="E756" s="73"/>
      <c r="F756" s="45"/>
    </row>
    <row r="757" spans="4:6" x14ac:dyDescent="0.2">
      <c r="D757" s="50"/>
      <c r="E757" s="73"/>
      <c r="F757" s="45"/>
    </row>
    <row r="758" spans="4:6" x14ac:dyDescent="0.2">
      <c r="D758" s="50"/>
      <c r="E758" s="73"/>
      <c r="F758" s="45"/>
    </row>
    <row r="759" spans="4:6" x14ac:dyDescent="0.2">
      <c r="D759" s="50"/>
      <c r="E759" s="73"/>
      <c r="F759" s="45"/>
    </row>
    <row r="760" spans="4:6" x14ac:dyDescent="0.2">
      <c r="D760" s="50"/>
      <c r="E760" s="73"/>
      <c r="F760" s="45"/>
    </row>
    <row r="761" spans="4:6" x14ac:dyDescent="0.2">
      <c r="D761" s="50"/>
      <c r="E761" s="73"/>
      <c r="F761" s="45"/>
    </row>
    <row r="762" spans="4:6" x14ac:dyDescent="0.2">
      <c r="D762" s="50"/>
      <c r="E762" s="73"/>
      <c r="F762" s="45"/>
    </row>
    <row r="763" spans="4:6" x14ac:dyDescent="0.2">
      <c r="D763" s="50"/>
      <c r="E763" s="73"/>
      <c r="F763" s="45"/>
    </row>
    <row r="764" spans="4:6" x14ac:dyDescent="0.2">
      <c r="D764" s="50"/>
      <c r="E764" s="73"/>
      <c r="F764" s="45"/>
    </row>
    <row r="765" spans="4:6" x14ac:dyDescent="0.2">
      <c r="D765" s="50"/>
      <c r="E765" s="73"/>
      <c r="F765" s="45"/>
    </row>
    <row r="766" spans="4:6" x14ac:dyDescent="0.2">
      <c r="D766" s="50"/>
      <c r="E766" s="73"/>
      <c r="F766" s="45"/>
    </row>
    <row r="767" spans="4:6" x14ac:dyDescent="0.2">
      <c r="D767" s="50"/>
      <c r="E767" s="73"/>
      <c r="F767" s="45"/>
    </row>
    <row r="768" spans="4:6" x14ac:dyDescent="0.2">
      <c r="D768" s="50"/>
      <c r="E768" s="73"/>
      <c r="F768" s="45"/>
    </row>
    <row r="769" spans="4:6" x14ac:dyDescent="0.2">
      <c r="D769" s="50"/>
      <c r="E769" s="73"/>
      <c r="F769" s="45"/>
    </row>
    <row r="770" spans="4:6" x14ac:dyDescent="0.2">
      <c r="D770" s="50"/>
      <c r="E770" s="73"/>
      <c r="F770" s="45"/>
    </row>
    <row r="771" spans="4:6" x14ac:dyDescent="0.2">
      <c r="D771" s="50"/>
      <c r="E771" s="73"/>
      <c r="F771" s="45"/>
    </row>
    <row r="772" spans="4:6" x14ac:dyDescent="0.2">
      <c r="D772" s="50"/>
      <c r="E772" s="73"/>
      <c r="F772" s="45"/>
    </row>
    <row r="773" spans="4:6" x14ac:dyDescent="0.2">
      <c r="D773" s="50"/>
      <c r="E773" s="73"/>
      <c r="F773" s="45"/>
    </row>
    <row r="774" spans="4:6" x14ac:dyDescent="0.2">
      <c r="D774" s="50"/>
      <c r="E774" s="73"/>
      <c r="F774" s="45"/>
    </row>
    <row r="775" spans="4:6" x14ac:dyDescent="0.2">
      <c r="D775" s="50"/>
      <c r="E775" s="73"/>
      <c r="F775" s="45"/>
    </row>
    <row r="776" spans="4:6" x14ac:dyDescent="0.2">
      <c r="D776" s="50"/>
      <c r="E776" s="73"/>
      <c r="F776" s="45"/>
    </row>
    <row r="777" spans="4:6" x14ac:dyDescent="0.2">
      <c r="D777" s="50"/>
      <c r="E777" s="73"/>
      <c r="F777" s="45"/>
    </row>
    <row r="778" spans="4:6" x14ac:dyDescent="0.2">
      <c r="D778" s="50"/>
      <c r="E778" s="73"/>
      <c r="F778" s="45"/>
    </row>
    <row r="779" spans="4:6" x14ac:dyDescent="0.2">
      <c r="D779" s="50"/>
      <c r="E779" s="73"/>
      <c r="F779" s="45"/>
    </row>
    <row r="780" spans="4:6" x14ac:dyDescent="0.2">
      <c r="D780" s="50"/>
      <c r="E780" s="73"/>
      <c r="F780" s="45"/>
    </row>
    <row r="781" spans="4:6" x14ac:dyDescent="0.2">
      <c r="D781" s="50"/>
      <c r="E781" s="73"/>
      <c r="F781" s="45"/>
    </row>
    <row r="782" spans="4:6" x14ac:dyDescent="0.2">
      <c r="D782" s="50"/>
      <c r="E782" s="73"/>
      <c r="F782" s="45"/>
    </row>
    <row r="783" spans="4:6" x14ac:dyDescent="0.2">
      <c r="D783" s="50"/>
      <c r="E783" s="73"/>
      <c r="F783" s="45"/>
    </row>
    <row r="784" spans="4:6" x14ac:dyDescent="0.2">
      <c r="D784" s="50"/>
      <c r="E784" s="73"/>
      <c r="F784" s="45"/>
    </row>
    <row r="785" spans="4:6" x14ac:dyDescent="0.2">
      <c r="D785" s="50"/>
      <c r="E785" s="73"/>
      <c r="F785" s="45"/>
    </row>
    <row r="786" spans="4:6" x14ac:dyDescent="0.2">
      <c r="D786" s="50"/>
      <c r="E786" s="73"/>
      <c r="F786" s="45"/>
    </row>
    <row r="787" spans="4:6" x14ac:dyDescent="0.2">
      <c r="D787" s="50"/>
      <c r="E787" s="73"/>
      <c r="F787" s="45"/>
    </row>
    <row r="788" spans="4:6" x14ac:dyDescent="0.2">
      <c r="D788" s="50"/>
      <c r="E788" s="73"/>
      <c r="F788" s="45"/>
    </row>
    <row r="789" spans="4:6" x14ac:dyDescent="0.2">
      <c r="D789" s="50"/>
      <c r="E789" s="73"/>
      <c r="F789" s="45"/>
    </row>
    <row r="790" spans="4:6" x14ac:dyDescent="0.2">
      <c r="D790" s="50"/>
      <c r="E790" s="73"/>
      <c r="F790" s="45"/>
    </row>
    <row r="791" spans="4:6" x14ac:dyDescent="0.2">
      <c r="D791" s="50"/>
      <c r="E791" s="73"/>
      <c r="F791" s="45"/>
    </row>
    <row r="792" spans="4:6" x14ac:dyDescent="0.2">
      <c r="D792" s="50"/>
      <c r="E792" s="73"/>
      <c r="F792" s="45"/>
    </row>
    <row r="793" spans="4:6" x14ac:dyDescent="0.2">
      <c r="D793" s="50"/>
      <c r="E793" s="73"/>
      <c r="F793" s="45"/>
    </row>
    <row r="794" spans="4:6" x14ac:dyDescent="0.2">
      <c r="D794" s="50"/>
      <c r="E794" s="73"/>
      <c r="F794" s="45"/>
    </row>
    <row r="795" spans="4:6" x14ac:dyDescent="0.2">
      <c r="D795" s="50"/>
      <c r="E795" s="73"/>
      <c r="F795" s="45"/>
    </row>
    <row r="796" spans="4:6" x14ac:dyDescent="0.2">
      <c r="D796" s="50"/>
      <c r="E796" s="73"/>
      <c r="F796" s="45"/>
    </row>
    <row r="797" spans="4:6" x14ac:dyDescent="0.2">
      <c r="D797" s="50"/>
      <c r="E797" s="73"/>
      <c r="F797" s="45"/>
    </row>
    <row r="798" spans="4:6" x14ac:dyDescent="0.2">
      <c r="D798" s="50"/>
      <c r="E798" s="73"/>
      <c r="F798" s="45"/>
    </row>
    <row r="799" spans="4:6" x14ac:dyDescent="0.2">
      <c r="D799" s="50"/>
      <c r="E799" s="73"/>
      <c r="F799" s="45"/>
    </row>
    <row r="800" spans="4:6" x14ac:dyDescent="0.2">
      <c r="D800" s="50"/>
      <c r="E800" s="73"/>
      <c r="F800" s="45"/>
    </row>
    <row r="801" spans="4:6" x14ac:dyDescent="0.2">
      <c r="D801" s="50"/>
      <c r="E801" s="73"/>
      <c r="F801" s="45"/>
    </row>
    <row r="802" spans="4:6" x14ac:dyDescent="0.2">
      <c r="D802" s="50"/>
      <c r="E802" s="73"/>
      <c r="F802" s="45"/>
    </row>
    <row r="803" spans="4:6" x14ac:dyDescent="0.2">
      <c r="D803" s="50"/>
      <c r="E803" s="73"/>
      <c r="F803" s="45"/>
    </row>
    <row r="804" spans="4:6" x14ac:dyDescent="0.2">
      <c r="D804" s="50"/>
      <c r="E804" s="73"/>
      <c r="F804" s="45"/>
    </row>
    <row r="805" spans="4:6" x14ac:dyDescent="0.2">
      <c r="D805" s="50"/>
      <c r="E805" s="73"/>
      <c r="F805" s="45"/>
    </row>
    <row r="806" spans="4:6" x14ac:dyDescent="0.2">
      <c r="D806" s="50"/>
      <c r="E806" s="73"/>
      <c r="F806" s="45"/>
    </row>
    <row r="807" spans="4:6" x14ac:dyDescent="0.2">
      <c r="D807" s="50"/>
      <c r="E807" s="73"/>
      <c r="F807" s="45"/>
    </row>
    <row r="808" spans="4:6" x14ac:dyDescent="0.2">
      <c r="D808" s="50"/>
      <c r="E808" s="73"/>
      <c r="F808" s="45"/>
    </row>
    <row r="809" spans="4:6" x14ac:dyDescent="0.2">
      <c r="D809" s="50"/>
      <c r="E809" s="73"/>
      <c r="F809" s="45"/>
    </row>
    <row r="810" spans="4:6" x14ac:dyDescent="0.2">
      <c r="D810" s="50"/>
      <c r="E810" s="73"/>
      <c r="F810" s="45"/>
    </row>
    <row r="811" spans="4:6" x14ac:dyDescent="0.2">
      <c r="D811" s="50"/>
      <c r="E811" s="73"/>
      <c r="F811" s="45"/>
    </row>
    <row r="812" spans="4:6" x14ac:dyDescent="0.2">
      <c r="D812" s="50"/>
      <c r="E812" s="73"/>
      <c r="F812" s="45"/>
    </row>
    <row r="813" spans="4:6" x14ac:dyDescent="0.2">
      <c r="D813" s="50"/>
      <c r="E813" s="73"/>
      <c r="F813" s="45"/>
    </row>
    <row r="814" spans="4:6" x14ac:dyDescent="0.2">
      <c r="D814" s="50"/>
      <c r="E814" s="73"/>
      <c r="F814" s="45"/>
    </row>
    <row r="815" spans="4:6" x14ac:dyDescent="0.2">
      <c r="D815" s="50"/>
      <c r="E815" s="73"/>
      <c r="F815" s="45"/>
    </row>
    <row r="816" spans="4:6" x14ac:dyDescent="0.2">
      <c r="D816" s="50"/>
      <c r="E816" s="73"/>
      <c r="F816" s="45"/>
    </row>
    <row r="817" spans="4:6" x14ac:dyDescent="0.2">
      <c r="D817" s="50"/>
      <c r="E817" s="73"/>
      <c r="F817" s="45"/>
    </row>
    <row r="818" spans="4:6" x14ac:dyDescent="0.2">
      <c r="D818" s="50"/>
      <c r="E818" s="73"/>
      <c r="F818" s="45"/>
    </row>
    <row r="819" spans="4:6" x14ac:dyDescent="0.2">
      <c r="D819" s="50"/>
      <c r="E819" s="73"/>
      <c r="F819" s="45"/>
    </row>
    <row r="820" spans="4:6" x14ac:dyDescent="0.2">
      <c r="D820" s="50"/>
      <c r="E820" s="73"/>
      <c r="F820" s="45"/>
    </row>
    <row r="821" spans="4:6" x14ac:dyDescent="0.2">
      <c r="D821" s="50"/>
      <c r="E821" s="73"/>
      <c r="F821" s="45"/>
    </row>
    <row r="822" spans="4:6" x14ac:dyDescent="0.2">
      <c r="D822" s="50"/>
      <c r="E822" s="73"/>
      <c r="F822" s="45"/>
    </row>
    <row r="823" spans="4:6" x14ac:dyDescent="0.2">
      <c r="D823" s="50"/>
      <c r="E823" s="73"/>
      <c r="F823" s="45"/>
    </row>
    <row r="824" spans="4:6" x14ac:dyDescent="0.2">
      <c r="D824" s="50"/>
      <c r="E824" s="73"/>
      <c r="F824" s="45"/>
    </row>
    <row r="825" spans="4:6" x14ac:dyDescent="0.2">
      <c r="D825" s="50"/>
      <c r="E825" s="73"/>
      <c r="F825" s="45"/>
    </row>
    <row r="826" spans="4:6" x14ac:dyDescent="0.2">
      <c r="D826" s="50"/>
      <c r="E826" s="73"/>
      <c r="F826" s="45"/>
    </row>
    <row r="827" spans="4:6" x14ac:dyDescent="0.2">
      <c r="D827" s="50"/>
      <c r="E827" s="73"/>
      <c r="F827" s="45"/>
    </row>
    <row r="828" spans="4:6" x14ac:dyDescent="0.2">
      <c r="D828" s="50"/>
      <c r="E828" s="73"/>
      <c r="F828" s="45"/>
    </row>
    <row r="829" spans="4:6" x14ac:dyDescent="0.2">
      <c r="D829" s="50"/>
      <c r="E829" s="73"/>
      <c r="F829" s="45"/>
    </row>
    <row r="830" spans="4:6" x14ac:dyDescent="0.2">
      <c r="D830" s="50"/>
      <c r="E830" s="73"/>
      <c r="F830" s="45"/>
    </row>
    <row r="831" spans="4:6" x14ac:dyDescent="0.2">
      <c r="D831" s="50"/>
      <c r="E831" s="73"/>
      <c r="F831" s="45"/>
    </row>
    <row r="832" spans="4:6" x14ac:dyDescent="0.2">
      <c r="D832" s="50"/>
      <c r="E832" s="73"/>
      <c r="F832" s="45"/>
    </row>
    <row r="833" spans="4:6" x14ac:dyDescent="0.2">
      <c r="D833" s="50"/>
      <c r="E833" s="73"/>
      <c r="F833" s="45"/>
    </row>
    <row r="834" spans="4:6" x14ac:dyDescent="0.2">
      <c r="D834" s="50"/>
      <c r="E834" s="73"/>
      <c r="F834" s="45"/>
    </row>
    <row r="835" spans="4:6" x14ac:dyDescent="0.2">
      <c r="D835" s="50"/>
      <c r="E835" s="73"/>
      <c r="F835" s="45"/>
    </row>
    <row r="836" spans="4:6" x14ac:dyDescent="0.2">
      <c r="D836" s="50"/>
      <c r="E836" s="73"/>
      <c r="F836" s="45"/>
    </row>
    <row r="837" spans="4:6" x14ac:dyDescent="0.2">
      <c r="D837" s="50"/>
      <c r="E837" s="73"/>
      <c r="F837" s="45"/>
    </row>
    <row r="838" spans="4:6" x14ac:dyDescent="0.2">
      <c r="D838" s="50"/>
      <c r="E838" s="73"/>
      <c r="F838" s="45"/>
    </row>
    <row r="839" spans="4:6" x14ac:dyDescent="0.2">
      <c r="D839" s="50"/>
      <c r="E839" s="73"/>
      <c r="F839" s="45"/>
    </row>
    <row r="840" spans="4:6" x14ac:dyDescent="0.2">
      <c r="D840" s="50"/>
      <c r="E840" s="73"/>
      <c r="F840" s="45"/>
    </row>
    <row r="841" spans="4:6" x14ac:dyDescent="0.2">
      <c r="D841" s="50"/>
      <c r="E841" s="73"/>
      <c r="F841" s="45"/>
    </row>
    <row r="842" spans="4:6" x14ac:dyDescent="0.2">
      <c r="D842" s="50"/>
      <c r="E842" s="73"/>
      <c r="F842" s="45"/>
    </row>
    <row r="843" spans="4:6" x14ac:dyDescent="0.2">
      <c r="D843" s="50"/>
      <c r="E843" s="73"/>
      <c r="F843" s="45"/>
    </row>
    <row r="844" spans="4:6" x14ac:dyDescent="0.2">
      <c r="D844" s="50"/>
      <c r="E844" s="73"/>
      <c r="F844" s="45"/>
    </row>
    <row r="845" spans="4:6" x14ac:dyDescent="0.2">
      <c r="D845" s="50"/>
      <c r="E845" s="73"/>
      <c r="F845" s="45"/>
    </row>
    <row r="846" spans="4:6" x14ac:dyDescent="0.2">
      <c r="D846" s="50"/>
      <c r="E846" s="73"/>
      <c r="F846" s="45"/>
    </row>
    <row r="847" spans="4:6" x14ac:dyDescent="0.2">
      <c r="D847" s="50"/>
      <c r="E847" s="73"/>
      <c r="F847" s="45"/>
    </row>
    <row r="848" spans="4:6" x14ac:dyDescent="0.2">
      <c r="D848" s="50"/>
      <c r="E848" s="73"/>
      <c r="F848" s="45"/>
    </row>
    <row r="849" spans="4:6" x14ac:dyDescent="0.2">
      <c r="D849" s="50"/>
      <c r="E849" s="73"/>
      <c r="F849" s="45"/>
    </row>
    <row r="850" spans="4:6" x14ac:dyDescent="0.2">
      <c r="D850" s="50"/>
      <c r="E850" s="73"/>
      <c r="F850" s="45"/>
    </row>
    <row r="851" spans="4:6" x14ac:dyDescent="0.2">
      <c r="D851" s="50"/>
      <c r="E851" s="73"/>
      <c r="F851" s="45"/>
    </row>
    <row r="852" spans="4:6" x14ac:dyDescent="0.2">
      <c r="D852" s="50"/>
      <c r="E852" s="73"/>
      <c r="F852" s="45"/>
    </row>
    <row r="853" spans="4:6" x14ac:dyDescent="0.2">
      <c r="D853" s="50"/>
      <c r="E853" s="73"/>
      <c r="F853" s="45"/>
    </row>
    <row r="854" spans="4:6" x14ac:dyDescent="0.2">
      <c r="D854" s="50"/>
      <c r="E854" s="73"/>
      <c r="F854" s="45"/>
    </row>
    <row r="855" spans="4:6" x14ac:dyDescent="0.2">
      <c r="D855" s="50"/>
      <c r="E855" s="73"/>
      <c r="F855" s="45"/>
    </row>
    <row r="856" spans="4:6" x14ac:dyDescent="0.2">
      <c r="D856" s="50"/>
      <c r="E856" s="73"/>
      <c r="F856" s="45"/>
    </row>
    <row r="857" spans="4:6" x14ac:dyDescent="0.2">
      <c r="D857" s="50"/>
      <c r="E857" s="73"/>
      <c r="F857" s="45"/>
    </row>
    <row r="858" spans="4:6" x14ac:dyDescent="0.2">
      <c r="D858" s="50"/>
      <c r="E858" s="73"/>
      <c r="F858" s="45"/>
    </row>
    <row r="859" spans="4:6" x14ac:dyDescent="0.2">
      <c r="D859" s="50"/>
      <c r="E859" s="73"/>
      <c r="F859" s="45"/>
    </row>
    <row r="860" spans="4:6" x14ac:dyDescent="0.2">
      <c r="D860" s="50"/>
      <c r="E860" s="73"/>
      <c r="F860" s="45"/>
    </row>
    <row r="861" spans="4:6" x14ac:dyDescent="0.2">
      <c r="D861" s="50"/>
      <c r="E861" s="73"/>
      <c r="F861" s="45"/>
    </row>
    <row r="862" spans="4:6" x14ac:dyDescent="0.2">
      <c r="D862" s="50"/>
      <c r="E862" s="73"/>
      <c r="F862" s="45"/>
    </row>
    <row r="863" spans="4:6" x14ac:dyDescent="0.2">
      <c r="D863" s="50"/>
      <c r="E863" s="73"/>
      <c r="F863" s="45"/>
    </row>
    <row r="864" spans="4:6" x14ac:dyDescent="0.2">
      <c r="D864" s="50"/>
      <c r="E864" s="73"/>
      <c r="F864" s="45"/>
    </row>
    <row r="865" spans="4:6" x14ac:dyDescent="0.2">
      <c r="D865" s="50"/>
      <c r="E865" s="73"/>
      <c r="F865" s="45"/>
    </row>
    <row r="866" spans="4:6" x14ac:dyDescent="0.2">
      <c r="D866" s="50"/>
      <c r="E866" s="73"/>
      <c r="F866" s="45"/>
    </row>
    <row r="867" spans="4:6" x14ac:dyDescent="0.2">
      <c r="D867" s="50"/>
      <c r="E867" s="73"/>
      <c r="F867" s="45"/>
    </row>
    <row r="868" spans="4:6" x14ac:dyDescent="0.2">
      <c r="D868" s="50"/>
      <c r="E868" s="73"/>
      <c r="F868" s="45"/>
    </row>
    <row r="869" spans="4:6" x14ac:dyDescent="0.2">
      <c r="D869" s="50"/>
      <c r="E869" s="73"/>
      <c r="F869" s="45"/>
    </row>
    <row r="870" spans="4:6" x14ac:dyDescent="0.2">
      <c r="D870" s="50"/>
      <c r="E870" s="73"/>
      <c r="F870" s="45"/>
    </row>
    <row r="871" spans="4:6" x14ac:dyDescent="0.2">
      <c r="D871" s="50"/>
      <c r="E871" s="73"/>
      <c r="F871" s="45"/>
    </row>
    <row r="872" spans="4:6" x14ac:dyDescent="0.2">
      <c r="D872" s="50"/>
      <c r="E872" s="73"/>
      <c r="F872" s="45"/>
    </row>
    <row r="873" spans="4:6" x14ac:dyDescent="0.2">
      <c r="D873" s="50"/>
      <c r="E873" s="73"/>
      <c r="F873" s="45"/>
    </row>
    <row r="874" spans="4:6" x14ac:dyDescent="0.2">
      <c r="D874" s="50"/>
      <c r="E874" s="73"/>
      <c r="F874" s="45"/>
    </row>
    <row r="875" spans="4:6" x14ac:dyDescent="0.2">
      <c r="D875" s="50"/>
      <c r="E875" s="73"/>
      <c r="F875" s="45"/>
    </row>
    <row r="876" spans="4:6" x14ac:dyDescent="0.2">
      <c r="D876" s="50"/>
      <c r="E876" s="73"/>
      <c r="F876" s="45"/>
    </row>
    <row r="877" spans="4:6" x14ac:dyDescent="0.2">
      <c r="D877" s="50"/>
      <c r="E877" s="73"/>
      <c r="F877" s="45"/>
    </row>
    <row r="878" spans="4:6" x14ac:dyDescent="0.2">
      <c r="D878" s="50"/>
      <c r="E878" s="73"/>
      <c r="F878" s="45"/>
    </row>
    <row r="879" spans="4:6" x14ac:dyDescent="0.2">
      <c r="D879" s="50"/>
      <c r="E879" s="73"/>
      <c r="F879" s="45"/>
    </row>
    <row r="880" spans="4:6" x14ac:dyDescent="0.2">
      <c r="D880" s="50"/>
      <c r="E880" s="73"/>
      <c r="F880" s="45"/>
    </row>
    <row r="881" spans="4:6" x14ac:dyDescent="0.2">
      <c r="D881" s="50"/>
      <c r="E881" s="73"/>
      <c r="F881" s="45"/>
    </row>
    <row r="882" spans="4:6" x14ac:dyDescent="0.2">
      <c r="D882" s="50"/>
      <c r="E882" s="73"/>
      <c r="F882" s="45"/>
    </row>
    <row r="883" spans="4:6" x14ac:dyDescent="0.2">
      <c r="D883" s="50"/>
      <c r="E883" s="73"/>
      <c r="F883" s="45"/>
    </row>
    <row r="884" spans="4:6" x14ac:dyDescent="0.2">
      <c r="D884" s="50"/>
      <c r="E884" s="73"/>
      <c r="F884" s="45"/>
    </row>
    <row r="885" spans="4:6" x14ac:dyDescent="0.2">
      <c r="D885" s="50"/>
      <c r="E885" s="73"/>
      <c r="F885" s="45"/>
    </row>
    <row r="886" spans="4:6" x14ac:dyDescent="0.2">
      <c r="D886" s="50"/>
      <c r="E886" s="73"/>
      <c r="F886" s="45"/>
    </row>
    <row r="887" spans="4:6" x14ac:dyDescent="0.2">
      <c r="D887" s="50"/>
      <c r="E887" s="73"/>
      <c r="F887" s="45"/>
    </row>
    <row r="888" spans="4:6" x14ac:dyDescent="0.2">
      <c r="D888" s="50"/>
      <c r="E888" s="73"/>
      <c r="F888" s="45"/>
    </row>
    <row r="889" spans="4:6" x14ac:dyDescent="0.2">
      <c r="D889" s="50"/>
      <c r="E889" s="73"/>
      <c r="F889" s="45"/>
    </row>
    <row r="890" spans="4:6" x14ac:dyDescent="0.2">
      <c r="D890" s="50"/>
      <c r="E890" s="73"/>
      <c r="F890" s="45"/>
    </row>
    <row r="891" spans="4:6" x14ac:dyDescent="0.2">
      <c r="D891" s="50"/>
      <c r="E891" s="73"/>
      <c r="F891" s="45"/>
    </row>
    <row r="892" spans="4:6" x14ac:dyDescent="0.2">
      <c r="D892" s="50"/>
      <c r="E892" s="73"/>
      <c r="F892" s="45"/>
    </row>
    <row r="893" spans="4:6" x14ac:dyDescent="0.2">
      <c r="D893" s="50"/>
      <c r="E893" s="73"/>
      <c r="F893" s="45"/>
    </row>
    <row r="894" spans="4:6" x14ac:dyDescent="0.2">
      <c r="D894" s="50"/>
      <c r="E894" s="73"/>
      <c r="F894" s="45"/>
    </row>
    <row r="895" spans="4:6" x14ac:dyDescent="0.2">
      <c r="D895" s="50"/>
      <c r="E895" s="73"/>
      <c r="F895" s="45"/>
    </row>
    <row r="896" spans="4:6" x14ac:dyDescent="0.2">
      <c r="D896" s="50"/>
      <c r="E896" s="73"/>
      <c r="F896" s="45"/>
    </row>
    <row r="897" spans="4:6" x14ac:dyDescent="0.2">
      <c r="D897" s="50"/>
      <c r="E897" s="73"/>
      <c r="F897" s="45"/>
    </row>
    <row r="898" spans="4:6" x14ac:dyDescent="0.2">
      <c r="D898" s="50"/>
      <c r="E898" s="73"/>
      <c r="F898" s="45"/>
    </row>
    <row r="899" spans="4:6" x14ac:dyDescent="0.2">
      <c r="D899" s="50"/>
      <c r="E899" s="73"/>
      <c r="F899" s="45"/>
    </row>
    <row r="900" spans="4:6" x14ac:dyDescent="0.2">
      <c r="D900" s="50"/>
      <c r="E900" s="73"/>
      <c r="F900" s="45"/>
    </row>
    <row r="901" spans="4:6" x14ac:dyDescent="0.2">
      <c r="D901" s="50"/>
      <c r="E901" s="73"/>
      <c r="F901" s="45"/>
    </row>
    <row r="902" spans="4:6" x14ac:dyDescent="0.2">
      <c r="D902" s="50"/>
      <c r="E902" s="73"/>
      <c r="F902" s="45"/>
    </row>
    <row r="903" spans="4:6" x14ac:dyDescent="0.2">
      <c r="D903" s="50"/>
      <c r="E903" s="73"/>
      <c r="F903" s="45"/>
    </row>
    <row r="904" spans="4:6" x14ac:dyDescent="0.2">
      <c r="D904" s="50"/>
      <c r="E904" s="73"/>
      <c r="F904" s="45"/>
    </row>
    <row r="905" spans="4:6" x14ac:dyDescent="0.2">
      <c r="D905" s="50"/>
      <c r="E905" s="73"/>
      <c r="F905" s="45"/>
    </row>
    <row r="906" spans="4:6" x14ac:dyDescent="0.2">
      <c r="D906" s="50"/>
      <c r="E906" s="73"/>
      <c r="F906" s="45"/>
    </row>
    <row r="907" spans="4:6" x14ac:dyDescent="0.2">
      <c r="D907" s="50"/>
      <c r="E907" s="73"/>
      <c r="F907" s="45"/>
    </row>
    <row r="908" spans="4:6" x14ac:dyDescent="0.2">
      <c r="D908" s="50"/>
      <c r="E908" s="73"/>
      <c r="F908" s="45"/>
    </row>
    <row r="909" spans="4:6" x14ac:dyDescent="0.2">
      <c r="D909" s="50"/>
      <c r="E909" s="73"/>
      <c r="F909" s="45"/>
    </row>
    <row r="910" spans="4:6" x14ac:dyDescent="0.2">
      <c r="D910" s="50"/>
      <c r="E910" s="73"/>
      <c r="F910" s="45"/>
    </row>
    <row r="911" spans="4:6" x14ac:dyDescent="0.2">
      <c r="D911" s="50"/>
      <c r="E911" s="73"/>
      <c r="F911" s="45"/>
    </row>
    <row r="912" spans="4:6" x14ac:dyDescent="0.2">
      <c r="D912" s="50"/>
      <c r="E912" s="73"/>
      <c r="F912" s="45"/>
    </row>
    <row r="913" spans="4:6" x14ac:dyDescent="0.2">
      <c r="D913" s="50"/>
      <c r="E913" s="73"/>
      <c r="F913" s="45"/>
    </row>
    <row r="914" spans="4:6" x14ac:dyDescent="0.2">
      <c r="D914" s="50"/>
      <c r="E914" s="73"/>
      <c r="F914" s="45"/>
    </row>
    <row r="915" spans="4:6" x14ac:dyDescent="0.2">
      <c r="D915" s="50"/>
      <c r="E915" s="73"/>
      <c r="F915" s="45"/>
    </row>
    <row r="916" spans="4:6" x14ac:dyDescent="0.2">
      <c r="D916" s="50"/>
      <c r="E916" s="73"/>
      <c r="F916" s="45"/>
    </row>
    <row r="917" spans="4:6" x14ac:dyDescent="0.2">
      <c r="D917" s="50"/>
      <c r="E917" s="73"/>
      <c r="F917" s="45"/>
    </row>
    <row r="918" spans="4:6" x14ac:dyDescent="0.2">
      <c r="D918" s="50"/>
      <c r="E918" s="73"/>
      <c r="F918" s="45"/>
    </row>
    <row r="919" spans="4:6" x14ac:dyDescent="0.2">
      <c r="D919" s="50"/>
      <c r="E919" s="73"/>
      <c r="F919" s="45"/>
    </row>
    <row r="920" spans="4:6" x14ac:dyDescent="0.2">
      <c r="D920" s="50"/>
      <c r="E920" s="73"/>
      <c r="F920" s="45"/>
    </row>
    <row r="921" spans="4:6" x14ac:dyDescent="0.2">
      <c r="D921" s="50"/>
      <c r="E921" s="73"/>
      <c r="F921" s="45"/>
    </row>
    <row r="922" spans="4:6" x14ac:dyDescent="0.2">
      <c r="D922" s="50"/>
      <c r="E922" s="73"/>
      <c r="F922" s="45"/>
    </row>
    <row r="923" spans="4:6" x14ac:dyDescent="0.2">
      <c r="D923" s="50"/>
      <c r="E923" s="73"/>
      <c r="F923" s="45"/>
    </row>
    <row r="924" spans="4:6" x14ac:dyDescent="0.2">
      <c r="D924" s="50"/>
      <c r="E924" s="73"/>
      <c r="F924" s="45"/>
    </row>
    <row r="925" spans="4:6" x14ac:dyDescent="0.2">
      <c r="D925" s="50"/>
      <c r="E925" s="73"/>
      <c r="F925" s="45"/>
    </row>
    <row r="926" spans="4:6" x14ac:dyDescent="0.2">
      <c r="D926" s="50"/>
      <c r="E926" s="73"/>
      <c r="F926" s="45"/>
    </row>
    <row r="927" spans="4:6" x14ac:dyDescent="0.2">
      <c r="D927" s="50"/>
      <c r="E927" s="73"/>
      <c r="F927" s="45"/>
    </row>
    <row r="928" spans="4:6" x14ac:dyDescent="0.2">
      <c r="D928" s="50"/>
      <c r="E928" s="73"/>
      <c r="F928" s="45"/>
    </row>
    <row r="929" spans="4:6" x14ac:dyDescent="0.2">
      <c r="D929" s="50"/>
      <c r="E929" s="73"/>
      <c r="F929" s="45"/>
    </row>
    <row r="930" spans="4:6" x14ac:dyDescent="0.2">
      <c r="D930" s="50"/>
      <c r="E930" s="73"/>
      <c r="F930" s="45"/>
    </row>
    <row r="931" spans="4:6" x14ac:dyDescent="0.2">
      <c r="D931" s="50"/>
      <c r="E931" s="73"/>
      <c r="F931" s="45"/>
    </row>
    <row r="932" spans="4:6" x14ac:dyDescent="0.2">
      <c r="D932" s="50"/>
      <c r="E932" s="73"/>
      <c r="F932" s="45"/>
    </row>
    <row r="933" spans="4:6" x14ac:dyDescent="0.2">
      <c r="D933" s="50"/>
      <c r="E933" s="73"/>
      <c r="F933" s="45"/>
    </row>
    <row r="934" spans="4:6" x14ac:dyDescent="0.2">
      <c r="D934" s="50"/>
      <c r="E934" s="73"/>
      <c r="F934" s="45"/>
    </row>
    <row r="935" spans="4:6" x14ac:dyDescent="0.2">
      <c r="D935" s="50"/>
      <c r="E935" s="73"/>
      <c r="F935" s="45"/>
    </row>
    <row r="936" spans="4:6" x14ac:dyDescent="0.2">
      <c r="D936" s="50"/>
      <c r="E936" s="73"/>
      <c r="F936" s="45"/>
    </row>
    <row r="937" spans="4:6" x14ac:dyDescent="0.2">
      <c r="D937" s="50"/>
      <c r="E937" s="73"/>
      <c r="F937" s="45"/>
    </row>
    <row r="938" spans="4:6" x14ac:dyDescent="0.2">
      <c r="D938" s="50"/>
      <c r="E938" s="73"/>
      <c r="F938" s="45"/>
    </row>
    <row r="939" spans="4:6" x14ac:dyDescent="0.2">
      <c r="D939" s="50"/>
      <c r="E939" s="73"/>
      <c r="F939" s="45"/>
    </row>
    <row r="940" spans="4:6" x14ac:dyDescent="0.2">
      <c r="D940" s="50"/>
      <c r="E940" s="73"/>
      <c r="F940" s="45"/>
    </row>
    <row r="941" spans="4:6" x14ac:dyDescent="0.2">
      <c r="D941" s="50"/>
      <c r="E941" s="73"/>
      <c r="F941" s="45"/>
    </row>
    <row r="942" spans="4:6" x14ac:dyDescent="0.2">
      <c r="D942" s="50"/>
      <c r="E942" s="73"/>
      <c r="F942" s="45"/>
    </row>
    <row r="943" spans="4:6" x14ac:dyDescent="0.2">
      <c r="D943" s="50"/>
      <c r="E943" s="73"/>
      <c r="F943" s="45"/>
    </row>
    <row r="944" spans="4:6" x14ac:dyDescent="0.2">
      <c r="D944" s="50"/>
      <c r="E944" s="73"/>
      <c r="F944" s="45"/>
    </row>
    <row r="945" spans="4:6" x14ac:dyDescent="0.2">
      <c r="D945" s="50"/>
      <c r="E945" s="73"/>
      <c r="F945" s="45"/>
    </row>
    <row r="946" spans="4:6" x14ac:dyDescent="0.2">
      <c r="D946" s="50"/>
      <c r="E946" s="73"/>
      <c r="F946" s="45"/>
    </row>
    <row r="947" spans="4:6" x14ac:dyDescent="0.2">
      <c r="D947" s="50"/>
      <c r="E947" s="73"/>
      <c r="F947" s="45"/>
    </row>
    <row r="948" spans="4:6" x14ac:dyDescent="0.2">
      <c r="D948" s="50"/>
      <c r="E948" s="73"/>
      <c r="F948" s="45"/>
    </row>
    <row r="949" spans="4:6" x14ac:dyDescent="0.2">
      <c r="D949" s="50"/>
      <c r="E949" s="73"/>
      <c r="F949" s="45"/>
    </row>
    <row r="950" spans="4:6" x14ac:dyDescent="0.2">
      <c r="D950" s="50"/>
      <c r="E950" s="73"/>
      <c r="F950" s="45"/>
    </row>
    <row r="951" spans="4:6" x14ac:dyDescent="0.2">
      <c r="D951" s="50"/>
      <c r="E951" s="73"/>
      <c r="F951" s="45"/>
    </row>
    <row r="952" spans="4:6" x14ac:dyDescent="0.2">
      <c r="D952" s="50"/>
      <c r="E952" s="73"/>
      <c r="F952" s="45"/>
    </row>
    <row r="953" spans="4:6" x14ac:dyDescent="0.2">
      <c r="D953" s="50"/>
      <c r="E953" s="73"/>
      <c r="F953" s="45"/>
    </row>
    <row r="954" spans="4:6" x14ac:dyDescent="0.2">
      <c r="D954" s="50"/>
      <c r="E954" s="73"/>
      <c r="F954" s="45"/>
    </row>
    <row r="955" spans="4:6" x14ac:dyDescent="0.2">
      <c r="D955" s="50"/>
      <c r="E955" s="73"/>
      <c r="F955" s="45"/>
    </row>
    <row r="956" spans="4:6" x14ac:dyDescent="0.2">
      <c r="D956" s="50"/>
      <c r="E956" s="73"/>
      <c r="F956" s="45"/>
    </row>
    <row r="957" spans="4:6" x14ac:dyDescent="0.2">
      <c r="D957" s="50"/>
      <c r="E957" s="73"/>
      <c r="F957" s="45"/>
    </row>
    <row r="958" spans="4:6" x14ac:dyDescent="0.2">
      <c r="D958" s="50"/>
      <c r="E958" s="73"/>
      <c r="F958" s="45"/>
    </row>
    <row r="959" spans="4:6" x14ac:dyDescent="0.2">
      <c r="D959" s="50"/>
      <c r="E959" s="73"/>
      <c r="F959" s="45"/>
    </row>
    <row r="960" spans="4:6" x14ac:dyDescent="0.2">
      <c r="D960" s="50"/>
      <c r="E960" s="73"/>
      <c r="F960" s="45"/>
    </row>
    <row r="961" spans="4:6" x14ac:dyDescent="0.2">
      <c r="D961" s="50"/>
      <c r="E961" s="73"/>
      <c r="F961" s="45"/>
    </row>
    <row r="962" spans="4:6" x14ac:dyDescent="0.2">
      <c r="D962" s="50"/>
      <c r="E962" s="73"/>
      <c r="F962" s="45"/>
    </row>
    <row r="963" spans="4:6" x14ac:dyDescent="0.2">
      <c r="D963" s="50"/>
      <c r="E963" s="73"/>
      <c r="F963" s="45"/>
    </row>
    <row r="964" spans="4:6" x14ac:dyDescent="0.2">
      <c r="D964" s="50"/>
      <c r="E964" s="73"/>
      <c r="F964" s="45"/>
    </row>
    <row r="965" spans="4:6" x14ac:dyDescent="0.2">
      <c r="D965" s="50"/>
      <c r="E965" s="73"/>
      <c r="F965" s="45"/>
    </row>
    <row r="966" spans="4:6" x14ac:dyDescent="0.2">
      <c r="D966" s="50"/>
      <c r="E966" s="73"/>
      <c r="F966" s="45"/>
    </row>
    <row r="967" spans="4:6" x14ac:dyDescent="0.2">
      <c r="D967" s="50"/>
      <c r="E967" s="73"/>
      <c r="F967" s="45"/>
    </row>
    <row r="968" spans="4:6" x14ac:dyDescent="0.2">
      <c r="D968" s="50"/>
      <c r="E968" s="73"/>
      <c r="F968" s="45"/>
    </row>
    <row r="969" spans="4:6" x14ac:dyDescent="0.2">
      <c r="D969" s="50"/>
      <c r="E969" s="73"/>
      <c r="F969" s="45"/>
    </row>
    <row r="970" spans="4:6" x14ac:dyDescent="0.2">
      <c r="D970" s="50"/>
      <c r="E970" s="73"/>
      <c r="F970" s="45"/>
    </row>
    <row r="971" spans="4:6" x14ac:dyDescent="0.2">
      <c r="D971" s="50"/>
      <c r="E971" s="73"/>
      <c r="F971" s="45"/>
    </row>
    <row r="972" spans="4:6" x14ac:dyDescent="0.2">
      <c r="D972" s="50"/>
      <c r="E972" s="73"/>
      <c r="F972" s="45"/>
    </row>
    <row r="973" spans="4:6" x14ac:dyDescent="0.2">
      <c r="D973" s="50"/>
      <c r="E973" s="73"/>
      <c r="F973" s="45"/>
    </row>
    <row r="974" spans="4:6" x14ac:dyDescent="0.2">
      <c r="D974" s="50"/>
      <c r="E974" s="73"/>
      <c r="F974" s="45"/>
    </row>
    <row r="975" spans="4:6" x14ac:dyDescent="0.2">
      <c r="D975" s="50"/>
      <c r="E975" s="73"/>
      <c r="F975" s="45"/>
    </row>
    <row r="976" spans="4:6" x14ac:dyDescent="0.2">
      <c r="D976" s="50"/>
      <c r="E976" s="73"/>
      <c r="F976" s="45"/>
    </row>
    <row r="977" spans="4:6" x14ac:dyDescent="0.2">
      <c r="D977" s="50"/>
      <c r="E977" s="73"/>
      <c r="F977" s="45"/>
    </row>
    <row r="978" spans="4:6" x14ac:dyDescent="0.2">
      <c r="D978" s="50"/>
      <c r="E978" s="73"/>
      <c r="F978" s="45"/>
    </row>
    <row r="979" spans="4:6" x14ac:dyDescent="0.2">
      <c r="D979" s="50"/>
      <c r="E979" s="73"/>
      <c r="F979" s="45"/>
    </row>
    <row r="980" spans="4:6" x14ac:dyDescent="0.2">
      <c r="D980" s="50"/>
      <c r="E980" s="73"/>
      <c r="F980" s="45"/>
    </row>
    <row r="981" spans="4:6" x14ac:dyDescent="0.2">
      <c r="D981" s="50"/>
      <c r="E981" s="73"/>
      <c r="F981" s="45"/>
    </row>
    <row r="982" spans="4:6" x14ac:dyDescent="0.2">
      <c r="D982" s="50"/>
      <c r="E982" s="73"/>
      <c r="F982" s="45"/>
    </row>
    <row r="983" spans="4:6" x14ac:dyDescent="0.2">
      <c r="D983" s="50"/>
      <c r="E983" s="73"/>
      <c r="F983" s="45"/>
    </row>
    <row r="984" spans="4:6" x14ac:dyDescent="0.2">
      <c r="D984" s="50"/>
      <c r="E984" s="73"/>
      <c r="F984" s="45"/>
    </row>
    <row r="985" spans="4:6" x14ac:dyDescent="0.2">
      <c r="D985" s="50"/>
      <c r="E985" s="73"/>
      <c r="F985" s="45"/>
    </row>
    <row r="986" spans="4:6" x14ac:dyDescent="0.2">
      <c r="D986" s="50"/>
      <c r="E986" s="73"/>
      <c r="F986" s="45"/>
    </row>
    <row r="987" spans="4:6" x14ac:dyDescent="0.2">
      <c r="D987" s="50"/>
      <c r="E987" s="73"/>
      <c r="F987" s="45"/>
    </row>
    <row r="988" spans="4:6" x14ac:dyDescent="0.2">
      <c r="D988" s="50"/>
      <c r="E988" s="73"/>
      <c r="F988" s="45"/>
    </row>
    <row r="989" spans="4:6" x14ac:dyDescent="0.2">
      <c r="D989" s="50"/>
      <c r="E989" s="73"/>
      <c r="F989" s="45"/>
    </row>
    <row r="990" spans="4:6" x14ac:dyDescent="0.2">
      <c r="D990" s="50"/>
      <c r="E990" s="73"/>
      <c r="F990" s="45"/>
    </row>
    <row r="991" spans="4:6" x14ac:dyDescent="0.2">
      <c r="D991" s="50"/>
      <c r="E991" s="73"/>
      <c r="F991" s="45"/>
    </row>
    <row r="992" spans="4:6" x14ac:dyDescent="0.2">
      <c r="D992" s="50"/>
      <c r="E992" s="73"/>
      <c r="F992" s="45"/>
    </row>
    <row r="993" spans="4:6" x14ac:dyDescent="0.2">
      <c r="D993" s="50"/>
      <c r="E993" s="73"/>
      <c r="F993" s="45"/>
    </row>
    <row r="994" spans="4:6" x14ac:dyDescent="0.2">
      <c r="D994" s="50"/>
      <c r="E994" s="73"/>
      <c r="F994" s="45"/>
    </row>
    <row r="995" spans="4:6" x14ac:dyDescent="0.2">
      <c r="D995" s="50"/>
      <c r="E995" s="73"/>
      <c r="F995" s="45"/>
    </row>
    <row r="996" spans="4:6" x14ac:dyDescent="0.2">
      <c r="D996" s="50"/>
      <c r="E996" s="73"/>
      <c r="F996" s="45"/>
    </row>
    <row r="997" spans="4:6" x14ac:dyDescent="0.2">
      <c r="D997" s="50"/>
      <c r="E997" s="73"/>
      <c r="F997" s="45"/>
    </row>
    <row r="998" spans="4:6" x14ac:dyDescent="0.2">
      <c r="D998" s="50"/>
      <c r="E998" s="73"/>
      <c r="F998" s="45"/>
    </row>
    <row r="999" spans="4:6" x14ac:dyDescent="0.2">
      <c r="D999" s="50"/>
      <c r="E999" s="73"/>
      <c r="F999" s="45"/>
    </row>
    <row r="1000" spans="4:6" x14ac:dyDescent="0.2">
      <c r="D1000" s="50"/>
      <c r="E1000" s="73"/>
      <c r="F1000" s="45"/>
    </row>
    <row r="1001" spans="4:6" x14ac:dyDescent="0.2">
      <c r="D1001" s="50"/>
      <c r="E1001" s="73"/>
      <c r="F1001" s="45"/>
    </row>
    <row r="1002" spans="4:6" x14ac:dyDescent="0.2">
      <c r="D1002" s="50"/>
      <c r="E1002" s="73"/>
      <c r="F1002" s="45"/>
    </row>
    <row r="1003" spans="4:6" x14ac:dyDescent="0.2">
      <c r="D1003" s="50"/>
      <c r="E1003" s="73"/>
      <c r="F1003" s="45"/>
    </row>
    <row r="1004" spans="4:6" x14ac:dyDescent="0.2">
      <c r="D1004" s="50"/>
      <c r="E1004" s="73"/>
      <c r="F1004" s="45"/>
    </row>
    <row r="1005" spans="4:6" x14ac:dyDescent="0.2">
      <c r="D1005" s="50"/>
      <c r="E1005" s="73"/>
      <c r="F1005" s="45"/>
    </row>
    <row r="1006" spans="4:6" x14ac:dyDescent="0.2">
      <c r="D1006" s="50"/>
      <c r="E1006" s="73"/>
      <c r="F1006" s="45"/>
    </row>
    <row r="1007" spans="4:6" x14ac:dyDescent="0.2">
      <c r="D1007" s="50"/>
      <c r="E1007" s="73"/>
      <c r="F1007" s="45"/>
    </row>
    <row r="1008" spans="4:6" x14ac:dyDescent="0.2">
      <c r="D1008" s="50"/>
      <c r="E1008" s="73"/>
      <c r="F1008" s="45"/>
    </row>
    <row r="1009" spans="4:6" x14ac:dyDescent="0.2">
      <c r="D1009" s="50"/>
      <c r="E1009" s="73"/>
      <c r="F1009" s="45"/>
    </row>
    <row r="1010" spans="4:6" x14ac:dyDescent="0.2">
      <c r="D1010" s="50"/>
      <c r="E1010" s="73"/>
      <c r="F1010" s="45"/>
    </row>
    <row r="1011" spans="4:6" x14ac:dyDescent="0.2">
      <c r="D1011" s="50"/>
      <c r="E1011" s="73"/>
      <c r="F1011" s="45"/>
    </row>
    <row r="1012" spans="4:6" x14ac:dyDescent="0.2">
      <c r="D1012" s="50"/>
      <c r="E1012" s="73"/>
      <c r="F1012" s="45"/>
    </row>
    <row r="1013" spans="4:6" x14ac:dyDescent="0.2">
      <c r="D1013" s="50"/>
      <c r="E1013" s="73"/>
      <c r="F1013" s="45"/>
    </row>
    <row r="1014" spans="4:6" x14ac:dyDescent="0.2">
      <c r="D1014" s="50"/>
      <c r="E1014" s="73"/>
      <c r="F1014" s="45"/>
    </row>
    <row r="1015" spans="4:6" x14ac:dyDescent="0.2">
      <c r="D1015" s="50"/>
      <c r="E1015" s="73"/>
      <c r="F1015" s="45"/>
    </row>
    <row r="1016" spans="4:6" x14ac:dyDescent="0.2">
      <c r="D1016" s="50"/>
      <c r="E1016" s="73"/>
      <c r="F1016" s="45"/>
    </row>
    <row r="1017" spans="4:6" x14ac:dyDescent="0.2">
      <c r="D1017" s="50"/>
      <c r="E1017" s="73"/>
      <c r="F1017" s="45"/>
    </row>
    <row r="1018" spans="4:6" x14ac:dyDescent="0.2">
      <c r="D1018" s="50"/>
      <c r="E1018" s="73"/>
      <c r="F1018" s="45"/>
    </row>
    <row r="1019" spans="4:6" x14ac:dyDescent="0.2">
      <c r="D1019" s="50"/>
      <c r="E1019" s="73"/>
      <c r="F1019" s="45"/>
    </row>
    <row r="1020" spans="4:6" x14ac:dyDescent="0.2">
      <c r="D1020" s="50"/>
      <c r="E1020" s="73"/>
      <c r="F1020" s="45"/>
    </row>
    <row r="1021" spans="4:6" x14ac:dyDescent="0.2">
      <c r="D1021" s="50"/>
      <c r="E1021" s="73"/>
      <c r="F1021" s="45"/>
    </row>
    <row r="1022" spans="4:6" x14ac:dyDescent="0.2">
      <c r="D1022" s="50"/>
      <c r="E1022" s="73"/>
      <c r="F1022" s="45"/>
    </row>
    <row r="1023" spans="4:6" x14ac:dyDescent="0.2">
      <c r="D1023" s="50"/>
      <c r="E1023" s="73"/>
      <c r="F1023" s="45"/>
    </row>
    <row r="1024" spans="4:6" x14ac:dyDescent="0.2">
      <c r="D1024" s="50"/>
      <c r="E1024" s="73"/>
      <c r="F1024" s="45"/>
    </row>
    <row r="1025" spans="4:6" x14ac:dyDescent="0.2">
      <c r="D1025" s="50"/>
      <c r="E1025" s="73"/>
      <c r="F1025" s="45"/>
    </row>
    <row r="1026" spans="4:6" x14ac:dyDescent="0.2">
      <c r="D1026" s="50"/>
      <c r="E1026" s="73"/>
      <c r="F1026" s="45"/>
    </row>
    <row r="1027" spans="4:6" x14ac:dyDescent="0.2">
      <c r="D1027" s="50"/>
      <c r="E1027" s="73"/>
      <c r="F1027" s="45"/>
    </row>
    <row r="1028" spans="4:6" x14ac:dyDescent="0.2">
      <c r="D1028" s="50"/>
      <c r="E1028" s="73"/>
      <c r="F1028" s="45"/>
    </row>
    <row r="1029" spans="4:6" x14ac:dyDescent="0.2">
      <c r="D1029" s="50"/>
      <c r="E1029" s="73"/>
      <c r="F1029" s="45"/>
    </row>
    <row r="1030" spans="4:6" x14ac:dyDescent="0.2">
      <c r="D1030" s="50"/>
      <c r="E1030" s="73"/>
      <c r="F1030" s="45"/>
    </row>
    <row r="1031" spans="4:6" x14ac:dyDescent="0.2">
      <c r="D1031" s="50"/>
      <c r="E1031" s="73"/>
      <c r="F1031" s="45"/>
    </row>
    <row r="1032" spans="4:6" x14ac:dyDescent="0.2">
      <c r="D1032" s="50"/>
      <c r="E1032" s="73"/>
      <c r="F1032" s="45"/>
    </row>
    <row r="1033" spans="4:6" x14ac:dyDescent="0.2">
      <c r="D1033" s="50"/>
      <c r="E1033" s="73"/>
      <c r="F1033" s="45"/>
    </row>
    <row r="1034" spans="4:6" x14ac:dyDescent="0.2">
      <c r="D1034" s="50"/>
      <c r="E1034" s="73"/>
      <c r="F1034" s="45"/>
    </row>
    <row r="1035" spans="4:6" x14ac:dyDescent="0.2">
      <c r="D1035" s="50"/>
      <c r="E1035" s="73"/>
      <c r="F1035" s="45"/>
    </row>
    <row r="1036" spans="4:6" x14ac:dyDescent="0.2">
      <c r="D1036" s="50"/>
      <c r="E1036" s="73"/>
      <c r="F1036" s="45"/>
    </row>
    <row r="1037" spans="4:6" x14ac:dyDescent="0.2">
      <c r="D1037" s="50"/>
      <c r="E1037" s="73"/>
      <c r="F1037" s="45"/>
    </row>
    <row r="1038" spans="4:6" x14ac:dyDescent="0.2">
      <c r="D1038" s="50"/>
      <c r="E1038" s="73"/>
      <c r="F1038" s="45"/>
    </row>
    <row r="1039" spans="4:6" x14ac:dyDescent="0.2">
      <c r="D1039" s="50"/>
      <c r="E1039" s="73"/>
      <c r="F1039" s="45"/>
    </row>
    <row r="1040" spans="4:6" x14ac:dyDescent="0.2">
      <c r="D1040" s="50"/>
      <c r="E1040" s="73"/>
      <c r="F1040" s="45"/>
    </row>
    <row r="1041" spans="4:6" x14ac:dyDescent="0.2">
      <c r="D1041" s="50"/>
      <c r="E1041" s="73"/>
      <c r="F1041" s="45"/>
    </row>
    <row r="1042" spans="4:6" x14ac:dyDescent="0.2">
      <c r="D1042" s="50"/>
      <c r="E1042" s="73"/>
      <c r="F1042" s="45"/>
    </row>
    <row r="1043" spans="4:6" x14ac:dyDescent="0.2">
      <c r="D1043" s="50"/>
      <c r="E1043" s="73"/>
      <c r="F1043" s="45"/>
    </row>
    <row r="1044" spans="4:6" x14ac:dyDescent="0.2">
      <c r="D1044" s="50"/>
      <c r="E1044" s="73"/>
      <c r="F1044" s="45"/>
    </row>
    <row r="1045" spans="4:6" x14ac:dyDescent="0.2">
      <c r="D1045" s="50"/>
      <c r="E1045" s="73"/>
      <c r="F1045" s="45"/>
    </row>
    <row r="1046" spans="4:6" x14ac:dyDescent="0.2">
      <c r="D1046" s="50"/>
      <c r="E1046" s="73"/>
      <c r="F1046" s="45"/>
    </row>
    <row r="1047" spans="4:6" x14ac:dyDescent="0.2">
      <c r="D1047" s="50"/>
      <c r="E1047" s="73"/>
      <c r="F1047" s="45"/>
    </row>
    <row r="1048" spans="4:6" x14ac:dyDescent="0.2">
      <c r="D1048" s="50"/>
      <c r="E1048" s="73"/>
      <c r="F1048" s="45"/>
    </row>
    <row r="1049" spans="4:6" x14ac:dyDescent="0.2">
      <c r="D1049" s="50"/>
      <c r="E1049" s="73"/>
      <c r="F1049" s="45"/>
    </row>
    <row r="1050" spans="4:6" x14ac:dyDescent="0.2">
      <c r="D1050" s="50"/>
      <c r="E1050" s="73"/>
      <c r="F1050" s="45"/>
    </row>
    <row r="1051" spans="4:6" x14ac:dyDescent="0.2">
      <c r="D1051" s="50"/>
      <c r="E1051" s="73"/>
      <c r="F1051" s="45"/>
    </row>
    <row r="1052" spans="4:6" x14ac:dyDescent="0.2">
      <c r="D1052" s="50"/>
      <c r="E1052" s="73"/>
      <c r="F1052" s="45"/>
    </row>
    <row r="1053" spans="4:6" x14ac:dyDescent="0.2">
      <c r="D1053" s="50"/>
      <c r="E1053" s="73"/>
      <c r="F1053" s="45"/>
    </row>
    <row r="1054" spans="4:6" x14ac:dyDescent="0.2">
      <c r="D1054" s="50"/>
      <c r="E1054" s="73"/>
      <c r="F1054" s="45"/>
    </row>
    <row r="1055" spans="4:6" x14ac:dyDescent="0.2">
      <c r="D1055" s="50"/>
      <c r="E1055" s="73"/>
      <c r="F1055" s="45"/>
    </row>
    <row r="1056" spans="4:6" x14ac:dyDescent="0.2">
      <c r="D1056" s="50"/>
      <c r="E1056" s="73"/>
      <c r="F1056" s="45"/>
    </row>
    <row r="1057" spans="4:6" x14ac:dyDescent="0.2">
      <c r="D1057" s="50"/>
      <c r="E1057" s="73"/>
      <c r="F1057" s="45"/>
    </row>
    <row r="1058" spans="4:6" x14ac:dyDescent="0.2">
      <c r="D1058" s="50"/>
      <c r="E1058" s="73"/>
      <c r="F1058" s="45"/>
    </row>
    <row r="1059" spans="4:6" x14ac:dyDescent="0.2">
      <c r="D1059" s="50"/>
      <c r="E1059" s="73"/>
      <c r="F1059" s="45"/>
    </row>
    <row r="1060" spans="4:6" x14ac:dyDescent="0.2">
      <c r="D1060" s="50"/>
      <c r="E1060" s="73"/>
      <c r="F1060" s="45"/>
    </row>
    <row r="1061" spans="4:6" x14ac:dyDescent="0.2">
      <c r="D1061" s="50"/>
      <c r="E1061" s="73"/>
      <c r="F1061" s="45"/>
    </row>
    <row r="1062" spans="4:6" x14ac:dyDescent="0.2">
      <c r="D1062" s="50"/>
      <c r="E1062" s="73"/>
      <c r="F1062" s="45"/>
    </row>
    <row r="1063" spans="4:6" x14ac:dyDescent="0.2">
      <c r="D1063" s="50"/>
      <c r="E1063" s="73"/>
      <c r="F1063" s="45"/>
    </row>
    <row r="1064" spans="4:6" x14ac:dyDescent="0.2">
      <c r="D1064" s="50"/>
      <c r="E1064" s="73"/>
      <c r="F1064" s="45"/>
    </row>
    <row r="1065" spans="4:6" x14ac:dyDescent="0.2">
      <c r="D1065" s="50"/>
      <c r="E1065" s="73"/>
      <c r="F1065" s="45"/>
    </row>
    <row r="1066" spans="4:6" x14ac:dyDescent="0.2">
      <c r="D1066" s="50"/>
      <c r="E1066" s="73"/>
      <c r="F1066" s="45"/>
    </row>
    <row r="1067" spans="4:6" x14ac:dyDescent="0.2">
      <c r="D1067" s="50"/>
      <c r="E1067" s="73"/>
      <c r="F1067" s="45"/>
    </row>
    <row r="1068" spans="4:6" x14ac:dyDescent="0.2">
      <c r="D1068" s="50"/>
      <c r="E1068" s="73"/>
      <c r="F1068" s="45"/>
    </row>
    <row r="1069" spans="4:6" x14ac:dyDescent="0.2">
      <c r="D1069" s="50"/>
      <c r="E1069" s="73"/>
      <c r="F1069" s="45"/>
    </row>
    <row r="1070" spans="4:6" x14ac:dyDescent="0.2">
      <c r="D1070" s="50"/>
      <c r="E1070" s="73"/>
      <c r="F1070" s="45"/>
    </row>
    <row r="1071" spans="4:6" x14ac:dyDescent="0.2">
      <c r="D1071" s="50"/>
      <c r="E1071" s="73"/>
      <c r="F1071" s="45"/>
    </row>
    <row r="1072" spans="4:6" x14ac:dyDescent="0.2">
      <c r="D1072" s="50"/>
      <c r="E1072" s="73"/>
      <c r="F1072" s="45"/>
    </row>
    <row r="1073" spans="4:6" x14ac:dyDescent="0.2">
      <c r="D1073" s="50"/>
      <c r="E1073" s="73"/>
      <c r="F1073" s="45"/>
    </row>
    <row r="1074" spans="4:6" x14ac:dyDescent="0.2">
      <c r="D1074" s="50"/>
      <c r="E1074" s="73"/>
      <c r="F1074" s="45"/>
    </row>
    <row r="1075" spans="4:6" x14ac:dyDescent="0.2">
      <c r="D1075" s="50"/>
      <c r="E1075" s="73"/>
      <c r="F1075" s="45"/>
    </row>
    <row r="1076" spans="4:6" x14ac:dyDescent="0.2">
      <c r="D1076" s="50"/>
      <c r="E1076" s="73"/>
      <c r="F1076" s="45"/>
    </row>
    <row r="1077" spans="4:6" x14ac:dyDescent="0.2">
      <c r="D1077" s="50"/>
      <c r="E1077" s="73"/>
      <c r="F1077" s="45"/>
    </row>
    <row r="1078" spans="4:6" x14ac:dyDescent="0.2">
      <c r="D1078" s="50"/>
      <c r="E1078" s="73"/>
      <c r="F1078" s="45"/>
    </row>
    <row r="1079" spans="4:6" x14ac:dyDescent="0.2">
      <c r="D1079" s="50"/>
      <c r="E1079" s="73"/>
      <c r="F1079" s="45"/>
    </row>
    <row r="1080" spans="4:6" x14ac:dyDescent="0.2">
      <c r="D1080" s="50"/>
      <c r="E1080" s="73"/>
      <c r="F1080" s="45"/>
    </row>
    <row r="1081" spans="4:6" x14ac:dyDescent="0.2">
      <c r="D1081" s="50"/>
      <c r="E1081" s="73"/>
      <c r="F1081" s="45"/>
    </row>
    <row r="1082" spans="4:6" x14ac:dyDescent="0.2">
      <c r="D1082" s="50"/>
      <c r="E1082" s="73"/>
      <c r="F1082" s="45"/>
    </row>
    <row r="1083" spans="4:6" x14ac:dyDescent="0.2">
      <c r="D1083" s="50"/>
      <c r="E1083" s="73"/>
      <c r="F1083" s="45"/>
    </row>
    <row r="1084" spans="4:6" x14ac:dyDescent="0.2">
      <c r="D1084" s="50"/>
      <c r="E1084" s="73"/>
      <c r="F1084" s="45"/>
    </row>
    <row r="1085" spans="4:6" x14ac:dyDescent="0.2">
      <c r="D1085" s="50"/>
      <c r="E1085" s="73"/>
      <c r="F1085" s="45"/>
    </row>
    <row r="1086" spans="4:6" x14ac:dyDescent="0.2">
      <c r="D1086" s="50"/>
      <c r="E1086" s="73"/>
      <c r="F1086" s="45"/>
    </row>
    <row r="1087" spans="4:6" x14ac:dyDescent="0.2">
      <c r="D1087" s="50"/>
      <c r="E1087" s="73"/>
      <c r="F1087" s="45"/>
    </row>
    <row r="1088" spans="4:6" x14ac:dyDescent="0.2">
      <c r="D1088" s="50"/>
      <c r="E1088" s="73"/>
      <c r="F1088" s="45"/>
    </row>
    <row r="1089" spans="4:6" x14ac:dyDescent="0.2">
      <c r="D1089" s="50"/>
      <c r="E1089" s="73"/>
      <c r="F1089" s="45"/>
    </row>
    <row r="1090" spans="4:6" x14ac:dyDescent="0.2">
      <c r="D1090" s="50"/>
      <c r="E1090" s="73"/>
      <c r="F1090" s="45"/>
    </row>
    <row r="1091" spans="4:6" x14ac:dyDescent="0.2">
      <c r="D1091" s="50"/>
      <c r="E1091" s="73"/>
      <c r="F1091" s="45"/>
    </row>
    <row r="1092" spans="4:6" x14ac:dyDescent="0.2">
      <c r="D1092" s="50"/>
      <c r="E1092" s="73"/>
      <c r="F1092" s="45"/>
    </row>
    <row r="1093" spans="4:6" x14ac:dyDescent="0.2">
      <c r="D1093" s="50"/>
      <c r="E1093" s="73"/>
      <c r="F1093" s="45"/>
    </row>
    <row r="1094" spans="4:6" x14ac:dyDescent="0.2">
      <c r="D1094" s="50"/>
      <c r="E1094" s="73"/>
      <c r="F1094" s="45"/>
    </row>
    <row r="1095" spans="4:6" x14ac:dyDescent="0.2">
      <c r="D1095" s="50"/>
      <c r="E1095" s="73"/>
      <c r="F1095" s="45"/>
    </row>
    <row r="1096" spans="4:6" x14ac:dyDescent="0.2">
      <c r="D1096" s="50"/>
      <c r="E1096" s="73"/>
      <c r="F1096" s="45"/>
    </row>
    <row r="1097" spans="4:6" x14ac:dyDescent="0.2">
      <c r="D1097" s="50"/>
      <c r="E1097" s="73"/>
      <c r="F1097" s="45"/>
    </row>
    <row r="1098" spans="4:6" x14ac:dyDescent="0.2">
      <c r="D1098" s="50"/>
      <c r="E1098" s="73"/>
      <c r="F1098" s="45"/>
    </row>
    <row r="1099" spans="4:6" x14ac:dyDescent="0.2">
      <c r="D1099" s="50"/>
      <c r="E1099" s="73"/>
      <c r="F1099" s="45"/>
    </row>
    <row r="1100" spans="4:6" x14ac:dyDescent="0.2">
      <c r="D1100" s="50"/>
      <c r="E1100" s="73"/>
      <c r="F1100" s="45"/>
    </row>
    <row r="1101" spans="4:6" x14ac:dyDescent="0.2">
      <c r="D1101" s="50"/>
      <c r="E1101" s="73"/>
      <c r="F1101" s="45"/>
    </row>
    <row r="1102" spans="4:6" x14ac:dyDescent="0.2">
      <c r="D1102" s="50"/>
      <c r="E1102" s="73"/>
      <c r="F1102" s="45"/>
    </row>
    <row r="1103" spans="4:6" x14ac:dyDescent="0.2">
      <c r="D1103" s="50"/>
      <c r="E1103" s="73"/>
      <c r="F1103" s="45"/>
    </row>
    <row r="1104" spans="4:6" x14ac:dyDescent="0.2">
      <c r="D1104" s="50"/>
      <c r="E1104" s="73"/>
      <c r="F1104" s="45"/>
    </row>
    <row r="1105" spans="4:6" x14ac:dyDescent="0.2">
      <c r="D1105" s="50"/>
      <c r="E1105" s="73"/>
      <c r="F1105" s="45"/>
    </row>
    <row r="1106" spans="4:6" x14ac:dyDescent="0.2">
      <c r="D1106" s="50"/>
      <c r="E1106" s="73"/>
      <c r="F1106" s="45"/>
    </row>
    <row r="1107" spans="4:6" x14ac:dyDescent="0.2">
      <c r="D1107" s="50"/>
      <c r="E1107" s="73"/>
      <c r="F1107" s="45"/>
    </row>
    <row r="1108" spans="4:6" x14ac:dyDescent="0.2">
      <c r="D1108" s="50"/>
      <c r="E1108" s="73"/>
      <c r="F1108" s="45"/>
    </row>
    <row r="1109" spans="4:6" x14ac:dyDescent="0.2">
      <c r="D1109" s="50"/>
      <c r="E1109" s="73"/>
      <c r="F1109" s="45"/>
    </row>
    <row r="1110" spans="4:6" x14ac:dyDescent="0.2">
      <c r="D1110" s="50"/>
      <c r="E1110" s="73"/>
      <c r="F1110" s="45"/>
    </row>
    <row r="1111" spans="4:6" x14ac:dyDescent="0.2">
      <c r="D1111" s="50"/>
      <c r="E1111" s="73"/>
      <c r="F1111" s="45"/>
    </row>
    <row r="1112" spans="4:6" x14ac:dyDescent="0.2">
      <c r="D1112" s="50"/>
      <c r="E1112" s="73"/>
      <c r="F1112" s="45"/>
    </row>
    <row r="1113" spans="4:6" x14ac:dyDescent="0.2">
      <c r="D1113" s="50"/>
      <c r="E1113" s="73"/>
      <c r="F1113" s="45"/>
    </row>
    <row r="1114" spans="4:6" x14ac:dyDescent="0.2">
      <c r="D1114" s="50"/>
      <c r="E1114" s="73"/>
      <c r="F1114" s="45"/>
    </row>
    <row r="1115" spans="4:6" x14ac:dyDescent="0.2">
      <c r="D1115" s="50"/>
      <c r="E1115" s="73"/>
      <c r="F1115" s="45"/>
    </row>
    <row r="1116" spans="4:6" x14ac:dyDescent="0.2">
      <c r="D1116" s="50"/>
      <c r="E1116" s="73"/>
      <c r="F1116" s="45"/>
    </row>
    <row r="1117" spans="4:6" x14ac:dyDescent="0.2">
      <c r="D1117" s="50"/>
      <c r="E1117" s="73"/>
      <c r="F1117" s="45"/>
    </row>
    <row r="1118" spans="4:6" x14ac:dyDescent="0.2">
      <c r="D1118" s="50"/>
      <c r="E1118" s="73"/>
      <c r="F1118" s="45"/>
    </row>
    <row r="1119" spans="4:6" x14ac:dyDescent="0.2">
      <c r="D1119" s="50"/>
      <c r="E1119" s="73"/>
      <c r="F1119" s="45"/>
    </row>
    <row r="1120" spans="4:6" x14ac:dyDescent="0.2">
      <c r="D1120" s="50"/>
      <c r="E1120" s="73"/>
      <c r="F1120" s="45"/>
    </row>
    <row r="1121" spans="4:6" x14ac:dyDescent="0.2">
      <c r="D1121" s="50"/>
      <c r="E1121" s="73"/>
      <c r="F1121" s="45"/>
    </row>
    <row r="1122" spans="4:6" x14ac:dyDescent="0.2">
      <c r="D1122" s="50"/>
      <c r="E1122" s="73"/>
      <c r="F1122" s="45"/>
    </row>
    <row r="1123" spans="4:6" x14ac:dyDescent="0.2">
      <c r="D1123" s="50"/>
      <c r="E1123" s="73"/>
      <c r="F1123" s="45"/>
    </row>
    <row r="1124" spans="4:6" x14ac:dyDescent="0.2">
      <c r="D1124" s="50"/>
      <c r="E1124" s="73"/>
      <c r="F1124" s="45"/>
    </row>
    <row r="1125" spans="4:6" x14ac:dyDescent="0.2">
      <c r="D1125" s="50"/>
      <c r="E1125" s="73"/>
      <c r="F1125" s="45"/>
    </row>
    <row r="1126" spans="4:6" x14ac:dyDescent="0.2">
      <c r="D1126" s="50"/>
      <c r="E1126" s="73"/>
      <c r="F1126" s="45"/>
    </row>
    <row r="1127" spans="4:6" x14ac:dyDescent="0.2">
      <c r="D1127" s="50"/>
      <c r="E1127" s="73"/>
      <c r="F1127" s="45"/>
    </row>
    <row r="1128" spans="4:6" x14ac:dyDescent="0.2">
      <c r="D1128" s="50"/>
      <c r="E1128" s="73"/>
      <c r="F1128" s="45"/>
    </row>
    <row r="1129" spans="4:6" x14ac:dyDescent="0.2">
      <c r="D1129" s="50"/>
      <c r="E1129" s="73"/>
      <c r="F1129" s="45"/>
    </row>
    <row r="1130" spans="4:6" x14ac:dyDescent="0.2">
      <c r="D1130" s="50"/>
      <c r="E1130" s="73"/>
      <c r="F1130" s="45"/>
    </row>
    <row r="1131" spans="4:6" x14ac:dyDescent="0.2">
      <c r="D1131" s="50"/>
      <c r="E1131" s="73"/>
      <c r="F1131" s="45"/>
    </row>
    <row r="1132" spans="4:6" x14ac:dyDescent="0.2">
      <c r="D1132" s="50"/>
      <c r="E1132" s="73"/>
      <c r="F1132" s="45"/>
    </row>
    <row r="1133" spans="4:6" x14ac:dyDescent="0.2">
      <c r="D1133" s="50"/>
      <c r="E1133" s="73"/>
      <c r="F1133" s="45"/>
    </row>
    <row r="1134" spans="4:6" x14ac:dyDescent="0.2">
      <c r="D1134" s="50"/>
      <c r="E1134" s="73"/>
      <c r="F1134" s="45"/>
    </row>
    <row r="1135" spans="4:6" x14ac:dyDescent="0.2">
      <c r="D1135" s="50"/>
      <c r="E1135" s="73"/>
      <c r="F1135" s="45"/>
    </row>
    <row r="1136" spans="4:6" x14ac:dyDescent="0.2">
      <c r="D1136" s="50"/>
      <c r="E1136" s="73"/>
      <c r="F1136" s="45"/>
    </row>
    <row r="1137" spans="4:6" x14ac:dyDescent="0.2">
      <c r="D1137" s="50"/>
      <c r="E1137" s="73"/>
      <c r="F1137" s="45"/>
    </row>
    <row r="1138" spans="4:6" x14ac:dyDescent="0.2">
      <c r="D1138" s="50"/>
      <c r="E1138" s="73"/>
      <c r="F1138" s="45"/>
    </row>
    <row r="1139" spans="4:6" x14ac:dyDescent="0.2">
      <c r="D1139" s="50"/>
      <c r="E1139" s="73"/>
      <c r="F1139" s="45"/>
    </row>
    <row r="1140" spans="4:6" x14ac:dyDescent="0.2">
      <c r="D1140" s="50"/>
      <c r="E1140" s="73"/>
      <c r="F1140" s="45"/>
    </row>
    <row r="1141" spans="4:6" x14ac:dyDescent="0.2">
      <c r="D1141" s="50"/>
      <c r="E1141" s="73"/>
      <c r="F1141" s="45"/>
    </row>
    <row r="1142" spans="4:6" x14ac:dyDescent="0.2">
      <c r="D1142" s="50"/>
      <c r="E1142" s="73"/>
      <c r="F1142" s="45"/>
    </row>
    <row r="1143" spans="4:6" x14ac:dyDescent="0.2">
      <c r="D1143" s="50"/>
      <c r="E1143" s="73"/>
      <c r="F1143" s="45"/>
    </row>
    <row r="1144" spans="4:6" x14ac:dyDescent="0.2">
      <c r="D1144" s="50"/>
      <c r="E1144" s="73"/>
      <c r="F1144" s="45"/>
    </row>
    <row r="1145" spans="4:6" x14ac:dyDescent="0.2">
      <c r="D1145" s="50"/>
      <c r="E1145" s="73"/>
      <c r="F1145" s="45"/>
    </row>
    <row r="1146" spans="4:6" x14ac:dyDescent="0.2">
      <c r="D1146" s="50"/>
      <c r="E1146" s="73"/>
      <c r="F1146" s="45"/>
    </row>
    <row r="1147" spans="4:6" x14ac:dyDescent="0.2">
      <c r="D1147" s="50"/>
      <c r="E1147" s="73"/>
      <c r="F1147" s="45"/>
    </row>
    <row r="1148" spans="4:6" x14ac:dyDescent="0.2">
      <c r="D1148" s="50"/>
      <c r="E1148" s="73"/>
      <c r="F1148" s="45"/>
    </row>
    <row r="1149" spans="4:6" x14ac:dyDescent="0.2">
      <c r="D1149" s="50"/>
      <c r="E1149" s="73"/>
      <c r="F1149" s="45"/>
    </row>
    <row r="1150" spans="4:6" x14ac:dyDescent="0.2">
      <c r="D1150" s="50"/>
      <c r="E1150" s="73"/>
      <c r="F1150" s="45"/>
    </row>
    <row r="1151" spans="4:6" x14ac:dyDescent="0.2">
      <c r="D1151" s="50"/>
      <c r="E1151" s="73"/>
      <c r="F1151" s="45"/>
    </row>
    <row r="1152" spans="4:6" x14ac:dyDescent="0.2">
      <c r="D1152" s="50"/>
      <c r="E1152" s="73"/>
      <c r="F1152" s="45"/>
    </row>
    <row r="1153" spans="4:6" x14ac:dyDescent="0.2">
      <c r="D1153" s="50"/>
      <c r="E1153" s="73"/>
      <c r="F1153" s="45"/>
    </row>
    <row r="1154" spans="4:6" x14ac:dyDescent="0.2">
      <c r="D1154" s="50"/>
      <c r="E1154" s="73"/>
      <c r="F1154" s="45"/>
    </row>
    <row r="1155" spans="4:6" x14ac:dyDescent="0.2">
      <c r="D1155" s="50"/>
      <c r="E1155" s="73"/>
      <c r="F1155" s="45"/>
    </row>
    <row r="1156" spans="4:6" x14ac:dyDescent="0.2">
      <c r="D1156" s="50"/>
      <c r="E1156" s="73"/>
      <c r="F1156" s="45"/>
    </row>
    <row r="1157" spans="4:6" x14ac:dyDescent="0.2">
      <c r="D1157" s="50"/>
      <c r="E1157" s="73"/>
      <c r="F1157" s="45"/>
    </row>
    <row r="1158" spans="4:6" x14ac:dyDescent="0.2">
      <c r="D1158" s="50"/>
      <c r="E1158" s="73"/>
      <c r="F1158" s="45"/>
    </row>
    <row r="1159" spans="4:6" x14ac:dyDescent="0.2">
      <c r="D1159" s="50"/>
      <c r="E1159" s="73"/>
      <c r="F1159" s="45"/>
    </row>
    <row r="1160" spans="4:6" x14ac:dyDescent="0.2">
      <c r="D1160" s="50"/>
      <c r="E1160" s="73"/>
      <c r="F1160" s="45"/>
    </row>
    <row r="1161" spans="4:6" x14ac:dyDescent="0.2">
      <c r="D1161" s="50"/>
      <c r="E1161" s="73"/>
      <c r="F1161" s="45"/>
    </row>
    <row r="1162" spans="4:6" x14ac:dyDescent="0.2">
      <c r="D1162" s="50"/>
      <c r="E1162" s="73"/>
      <c r="F1162" s="45"/>
    </row>
    <row r="1163" spans="4:6" x14ac:dyDescent="0.2">
      <c r="D1163" s="50"/>
      <c r="E1163" s="73"/>
      <c r="F1163" s="45"/>
    </row>
    <row r="1164" spans="4:6" x14ac:dyDescent="0.2">
      <c r="D1164" s="50"/>
      <c r="E1164" s="73"/>
      <c r="F1164" s="45"/>
    </row>
    <row r="1165" spans="4:6" x14ac:dyDescent="0.2">
      <c r="D1165" s="50"/>
      <c r="E1165" s="73"/>
      <c r="F1165" s="45"/>
    </row>
    <row r="1166" spans="4:6" x14ac:dyDescent="0.2">
      <c r="D1166" s="50"/>
      <c r="E1166" s="73"/>
      <c r="F1166" s="45"/>
    </row>
    <row r="1167" spans="4:6" x14ac:dyDescent="0.2">
      <c r="D1167" s="50"/>
      <c r="E1167" s="73"/>
      <c r="F1167" s="45"/>
    </row>
    <row r="1168" spans="4:6" x14ac:dyDescent="0.2">
      <c r="D1168" s="50"/>
      <c r="E1168" s="73"/>
      <c r="F1168" s="45"/>
    </row>
    <row r="1169" spans="4:6" x14ac:dyDescent="0.2">
      <c r="D1169" s="50"/>
      <c r="E1169" s="73"/>
      <c r="F1169" s="45"/>
    </row>
    <row r="1170" spans="4:6" x14ac:dyDescent="0.2">
      <c r="D1170" s="50"/>
      <c r="E1170" s="73"/>
      <c r="F1170" s="45"/>
    </row>
    <row r="1171" spans="4:6" x14ac:dyDescent="0.2">
      <c r="D1171" s="50"/>
      <c r="E1171" s="73"/>
      <c r="F1171" s="45"/>
    </row>
    <row r="1172" spans="4:6" x14ac:dyDescent="0.2">
      <c r="D1172" s="50"/>
      <c r="E1172" s="73"/>
      <c r="F1172" s="45"/>
    </row>
    <row r="1173" spans="4:6" x14ac:dyDescent="0.2">
      <c r="D1173" s="50"/>
      <c r="E1173" s="73"/>
      <c r="F1173" s="45"/>
    </row>
    <row r="1174" spans="4:6" x14ac:dyDescent="0.2">
      <c r="D1174" s="50"/>
      <c r="E1174" s="73"/>
      <c r="F1174" s="45"/>
    </row>
    <row r="1175" spans="4:6" x14ac:dyDescent="0.2">
      <c r="D1175" s="50"/>
      <c r="E1175" s="73"/>
      <c r="F1175" s="45"/>
    </row>
    <row r="1176" spans="4:6" x14ac:dyDescent="0.2">
      <c r="D1176" s="50"/>
      <c r="E1176" s="73"/>
      <c r="F1176" s="45"/>
    </row>
    <row r="1177" spans="4:6" x14ac:dyDescent="0.2">
      <c r="D1177" s="50"/>
      <c r="E1177" s="73"/>
      <c r="F1177" s="45"/>
    </row>
    <row r="1178" spans="4:6" x14ac:dyDescent="0.2">
      <c r="D1178" s="50"/>
      <c r="E1178" s="73"/>
      <c r="F1178" s="45"/>
    </row>
    <row r="1179" spans="4:6" x14ac:dyDescent="0.2">
      <c r="D1179" s="50"/>
      <c r="E1179" s="73"/>
      <c r="F1179" s="45"/>
    </row>
    <row r="1180" spans="4:6" x14ac:dyDescent="0.2">
      <c r="D1180" s="50"/>
      <c r="E1180" s="73"/>
      <c r="F1180" s="45"/>
    </row>
    <row r="1181" spans="4:6" x14ac:dyDescent="0.2">
      <c r="D1181" s="50"/>
      <c r="E1181" s="73"/>
      <c r="F1181" s="45"/>
    </row>
    <row r="1182" spans="4:6" x14ac:dyDescent="0.2">
      <c r="D1182" s="50"/>
      <c r="E1182" s="73"/>
      <c r="F1182" s="45"/>
    </row>
    <row r="1183" spans="4:6" x14ac:dyDescent="0.2">
      <c r="D1183" s="50"/>
      <c r="E1183" s="73"/>
      <c r="F1183" s="45"/>
    </row>
    <row r="1184" spans="4:6" x14ac:dyDescent="0.2">
      <c r="D1184" s="50"/>
      <c r="E1184" s="73"/>
      <c r="F1184" s="45"/>
    </row>
    <row r="1185" spans="4:6" x14ac:dyDescent="0.2">
      <c r="D1185" s="50"/>
      <c r="E1185" s="73"/>
      <c r="F1185" s="45"/>
    </row>
    <row r="1186" spans="4:6" x14ac:dyDescent="0.2">
      <c r="D1186" s="50"/>
      <c r="E1186" s="73"/>
      <c r="F1186" s="45"/>
    </row>
    <row r="1187" spans="4:6" x14ac:dyDescent="0.2">
      <c r="D1187" s="50"/>
      <c r="E1187" s="73"/>
      <c r="F1187" s="45"/>
    </row>
    <row r="1188" spans="4:6" x14ac:dyDescent="0.2">
      <c r="D1188" s="50"/>
      <c r="E1188" s="73"/>
      <c r="F1188" s="45"/>
    </row>
    <row r="1189" spans="4:6" x14ac:dyDescent="0.2">
      <c r="D1189" s="50"/>
      <c r="E1189" s="73"/>
      <c r="F1189" s="45"/>
    </row>
    <row r="1190" spans="4:6" x14ac:dyDescent="0.2">
      <c r="D1190" s="50"/>
      <c r="E1190" s="73"/>
      <c r="F1190" s="45"/>
    </row>
    <row r="1191" spans="4:6" x14ac:dyDescent="0.2">
      <c r="D1191" s="50"/>
      <c r="E1191" s="73"/>
      <c r="F1191" s="45"/>
    </row>
    <row r="1192" spans="4:6" x14ac:dyDescent="0.2">
      <c r="D1192" s="50"/>
      <c r="E1192" s="73"/>
      <c r="F1192" s="45"/>
    </row>
    <row r="1193" spans="4:6" x14ac:dyDescent="0.2">
      <c r="D1193" s="50"/>
      <c r="E1193" s="73"/>
      <c r="F1193" s="45"/>
    </row>
    <row r="1194" spans="4:6" x14ac:dyDescent="0.2">
      <c r="D1194" s="50"/>
      <c r="E1194" s="73"/>
      <c r="F1194" s="45"/>
    </row>
    <row r="1195" spans="4:6" x14ac:dyDescent="0.2">
      <c r="D1195" s="50"/>
      <c r="E1195" s="73"/>
      <c r="F1195" s="45"/>
    </row>
    <row r="1196" spans="4:6" x14ac:dyDescent="0.2">
      <c r="D1196" s="50"/>
      <c r="E1196" s="73"/>
      <c r="F1196" s="45"/>
    </row>
    <row r="1197" spans="4:6" x14ac:dyDescent="0.2">
      <c r="D1197" s="50"/>
      <c r="E1197" s="73"/>
      <c r="F1197" s="45"/>
    </row>
    <row r="1198" spans="4:6" x14ac:dyDescent="0.2">
      <c r="D1198" s="50"/>
      <c r="E1198" s="73"/>
      <c r="F1198" s="45"/>
    </row>
    <row r="1199" spans="4:6" x14ac:dyDescent="0.2">
      <c r="D1199" s="50"/>
      <c r="E1199" s="73"/>
      <c r="F1199" s="45"/>
    </row>
    <row r="1200" spans="4:6" x14ac:dyDescent="0.2">
      <c r="D1200" s="50"/>
      <c r="E1200" s="73"/>
      <c r="F1200" s="45"/>
    </row>
    <row r="1201" spans="4:6" x14ac:dyDescent="0.2">
      <c r="D1201" s="50"/>
      <c r="E1201" s="73"/>
      <c r="F1201" s="45"/>
    </row>
    <row r="1202" spans="4:6" x14ac:dyDescent="0.2">
      <c r="D1202" s="50"/>
      <c r="E1202" s="73"/>
      <c r="F1202" s="45"/>
    </row>
    <row r="1203" spans="4:6" x14ac:dyDescent="0.2">
      <c r="D1203" s="50"/>
      <c r="E1203" s="73"/>
      <c r="F1203" s="45"/>
    </row>
    <row r="1204" spans="4:6" x14ac:dyDescent="0.2">
      <c r="D1204" s="50"/>
      <c r="E1204" s="73"/>
      <c r="F1204" s="45"/>
    </row>
    <row r="1205" spans="4:6" x14ac:dyDescent="0.2">
      <c r="D1205" s="50"/>
      <c r="E1205" s="73"/>
      <c r="F1205" s="45"/>
    </row>
    <row r="1206" spans="4:6" x14ac:dyDescent="0.2">
      <c r="D1206" s="50"/>
      <c r="E1206" s="73"/>
      <c r="F1206" s="45"/>
    </row>
    <row r="1207" spans="4:6" x14ac:dyDescent="0.2">
      <c r="D1207" s="50"/>
      <c r="E1207" s="73"/>
      <c r="F1207" s="45"/>
    </row>
    <row r="1208" spans="4:6" x14ac:dyDescent="0.2">
      <c r="D1208" s="50"/>
      <c r="E1208" s="73"/>
      <c r="F1208" s="45"/>
    </row>
    <row r="1209" spans="4:6" x14ac:dyDescent="0.2">
      <c r="D1209" s="50"/>
      <c r="E1209" s="73"/>
      <c r="F1209" s="45"/>
    </row>
    <row r="1210" spans="4:6" x14ac:dyDescent="0.2">
      <c r="D1210" s="50"/>
      <c r="E1210" s="73"/>
      <c r="F1210" s="45"/>
    </row>
    <row r="1211" spans="4:6" x14ac:dyDescent="0.2">
      <c r="D1211" s="50"/>
      <c r="E1211" s="73"/>
      <c r="F1211" s="45"/>
    </row>
    <row r="1212" spans="4:6" x14ac:dyDescent="0.2">
      <c r="D1212" s="50"/>
      <c r="E1212" s="73"/>
      <c r="F1212" s="45"/>
    </row>
    <row r="1213" spans="4:6" x14ac:dyDescent="0.2">
      <c r="D1213" s="50"/>
      <c r="E1213" s="73"/>
      <c r="F1213" s="45"/>
    </row>
    <row r="1214" spans="4:6" x14ac:dyDescent="0.2">
      <c r="D1214" s="50"/>
      <c r="E1214" s="73"/>
      <c r="F1214" s="45"/>
    </row>
    <row r="1215" spans="4:6" x14ac:dyDescent="0.2">
      <c r="D1215" s="50"/>
      <c r="E1215" s="73"/>
      <c r="F1215" s="45"/>
    </row>
    <row r="1216" spans="4:6" x14ac:dyDescent="0.2">
      <c r="D1216" s="50"/>
      <c r="E1216" s="73"/>
      <c r="F1216" s="45"/>
    </row>
    <row r="1217" spans="4:6" x14ac:dyDescent="0.2">
      <c r="D1217" s="50"/>
      <c r="E1217" s="73"/>
      <c r="F1217" s="45"/>
    </row>
    <row r="1218" spans="4:6" x14ac:dyDescent="0.2">
      <c r="D1218" s="50"/>
      <c r="E1218" s="73"/>
      <c r="F1218" s="45"/>
    </row>
    <row r="1219" spans="4:6" x14ac:dyDescent="0.2">
      <c r="D1219" s="50"/>
      <c r="E1219" s="73"/>
      <c r="F1219" s="45"/>
    </row>
    <row r="1220" spans="4:6" x14ac:dyDescent="0.2">
      <c r="D1220" s="50"/>
      <c r="E1220" s="73"/>
      <c r="F1220" s="45"/>
    </row>
    <row r="1221" spans="4:6" x14ac:dyDescent="0.2">
      <c r="D1221" s="50"/>
      <c r="E1221" s="73"/>
      <c r="F1221" s="45"/>
    </row>
    <row r="1222" spans="4:6" x14ac:dyDescent="0.2">
      <c r="D1222" s="50"/>
      <c r="E1222" s="73"/>
      <c r="F1222" s="45"/>
    </row>
    <row r="1223" spans="4:6" x14ac:dyDescent="0.2">
      <c r="D1223" s="50"/>
      <c r="E1223" s="73"/>
      <c r="F1223" s="45"/>
    </row>
    <row r="1224" spans="4:6" x14ac:dyDescent="0.2">
      <c r="D1224" s="50"/>
      <c r="E1224" s="73"/>
      <c r="F1224" s="45"/>
    </row>
    <row r="1225" spans="4:6" x14ac:dyDescent="0.2">
      <c r="D1225" s="50"/>
      <c r="E1225" s="73"/>
      <c r="F1225" s="45"/>
    </row>
    <row r="1226" spans="4:6" x14ac:dyDescent="0.2">
      <c r="D1226" s="50"/>
      <c r="E1226" s="73"/>
      <c r="F1226" s="45"/>
    </row>
    <row r="1227" spans="4:6" x14ac:dyDescent="0.2">
      <c r="D1227" s="50"/>
      <c r="E1227" s="73"/>
      <c r="F1227" s="45"/>
    </row>
    <row r="1228" spans="4:6" x14ac:dyDescent="0.2">
      <c r="D1228" s="50"/>
      <c r="E1228" s="73"/>
      <c r="F1228" s="45"/>
    </row>
    <row r="1229" spans="4:6" x14ac:dyDescent="0.2">
      <c r="D1229" s="50"/>
      <c r="E1229" s="73"/>
      <c r="F1229" s="45"/>
    </row>
    <row r="1230" spans="4:6" x14ac:dyDescent="0.2">
      <c r="D1230" s="50"/>
      <c r="E1230" s="73"/>
      <c r="F1230" s="45"/>
    </row>
    <row r="1231" spans="4:6" x14ac:dyDescent="0.2">
      <c r="D1231" s="50"/>
      <c r="E1231" s="73"/>
      <c r="F1231" s="45"/>
    </row>
    <row r="1232" spans="4:6" x14ac:dyDescent="0.2">
      <c r="D1232" s="50"/>
      <c r="E1232" s="73"/>
      <c r="F1232" s="45"/>
    </row>
    <row r="1233" spans="4:6" x14ac:dyDescent="0.2">
      <c r="D1233" s="50"/>
      <c r="E1233" s="73"/>
      <c r="F1233" s="45"/>
    </row>
    <row r="1234" spans="4:6" x14ac:dyDescent="0.2">
      <c r="D1234" s="50"/>
      <c r="E1234" s="73"/>
      <c r="F1234" s="45"/>
    </row>
    <row r="1235" spans="4:6" x14ac:dyDescent="0.2">
      <c r="D1235" s="50"/>
      <c r="E1235" s="73"/>
      <c r="F1235" s="45"/>
    </row>
    <row r="1236" spans="4:6" x14ac:dyDescent="0.2">
      <c r="D1236" s="50"/>
      <c r="E1236" s="73"/>
      <c r="F1236" s="45"/>
    </row>
    <row r="1237" spans="4:6" x14ac:dyDescent="0.2">
      <c r="D1237" s="50"/>
      <c r="E1237" s="73"/>
      <c r="F1237" s="45"/>
    </row>
    <row r="1238" spans="4:6" x14ac:dyDescent="0.2">
      <c r="D1238" s="50"/>
      <c r="E1238" s="73"/>
      <c r="F1238" s="45"/>
    </row>
    <row r="1239" spans="4:6" x14ac:dyDescent="0.2">
      <c r="D1239" s="50"/>
      <c r="E1239" s="73"/>
      <c r="F1239" s="45"/>
    </row>
    <row r="1240" spans="4:6" x14ac:dyDescent="0.2">
      <c r="D1240" s="50"/>
      <c r="E1240" s="73"/>
      <c r="F1240" s="45"/>
    </row>
    <row r="1241" spans="4:6" x14ac:dyDescent="0.2">
      <c r="D1241" s="50"/>
      <c r="E1241" s="73"/>
      <c r="F1241" s="45"/>
    </row>
    <row r="1242" spans="4:6" x14ac:dyDescent="0.2">
      <c r="D1242" s="50"/>
      <c r="E1242" s="73"/>
      <c r="F1242" s="45"/>
    </row>
    <row r="1243" spans="4:6" x14ac:dyDescent="0.2">
      <c r="D1243" s="50"/>
      <c r="E1243" s="73"/>
      <c r="F1243" s="45"/>
    </row>
    <row r="1244" spans="4:6" x14ac:dyDescent="0.2">
      <c r="D1244" s="50"/>
      <c r="E1244" s="73"/>
      <c r="F1244" s="45"/>
    </row>
    <row r="1245" spans="4:6" x14ac:dyDescent="0.2">
      <c r="D1245" s="50"/>
      <c r="E1245" s="73"/>
      <c r="F1245" s="45"/>
    </row>
    <row r="1246" spans="4:6" x14ac:dyDescent="0.2">
      <c r="D1246" s="50"/>
      <c r="E1246" s="73"/>
      <c r="F1246" s="45"/>
    </row>
    <row r="1247" spans="4:6" x14ac:dyDescent="0.2">
      <c r="D1247" s="50"/>
      <c r="E1247" s="73"/>
      <c r="F1247" s="45"/>
    </row>
    <row r="1248" spans="4:6" x14ac:dyDescent="0.2">
      <c r="D1248" s="50"/>
      <c r="E1248" s="73"/>
      <c r="F1248" s="45"/>
    </row>
    <row r="1249" spans="4:6" x14ac:dyDescent="0.2">
      <c r="D1249" s="50"/>
      <c r="E1249" s="73"/>
      <c r="F1249" s="45"/>
    </row>
    <row r="1250" spans="4:6" x14ac:dyDescent="0.2">
      <c r="D1250" s="50"/>
      <c r="E1250" s="73"/>
      <c r="F1250" s="45"/>
    </row>
    <row r="1251" spans="4:6" x14ac:dyDescent="0.2">
      <c r="D1251" s="50"/>
      <c r="E1251" s="73"/>
      <c r="F1251" s="45"/>
    </row>
    <row r="1252" spans="4:6" x14ac:dyDescent="0.2">
      <c r="D1252" s="50"/>
      <c r="E1252" s="73"/>
      <c r="F1252" s="45"/>
    </row>
    <row r="1253" spans="4:6" x14ac:dyDescent="0.2">
      <c r="D1253" s="50"/>
      <c r="E1253" s="73"/>
      <c r="F1253" s="45"/>
    </row>
    <row r="1254" spans="4:6" x14ac:dyDescent="0.2">
      <c r="D1254" s="50"/>
      <c r="E1254" s="73"/>
      <c r="F1254" s="45"/>
    </row>
    <row r="1255" spans="4:6" x14ac:dyDescent="0.2">
      <c r="D1255" s="50"/>
      <c r="E1255" s="73"/>
      <c r="F1255" s="45"/>
    </row>
    <row r="1256" spans="4:6" x14ac:dyDescent="0.2">
      <c r="D1256" s="50"/>
      <c r="E1256" s="73"/>
      <c r="F1256" s="45"/>
    </row>
    <row r="1257" spans="4:6" x14ac:dyDescent="0.2">
      <c r="D1257" s="50"/>
      <c r="E1257" s="73"/>
      <c r="F1257" s="45"/>
    </row>
    <row r="1258" spans="4:6" x14ac:dyDescent="0.2">
      <c r="D1258" s="50"/>
      <c r="E1258" s="73"/>
      <c r="F1258" s="45"/>
    </row>
    <row r="1259" spans="4:6" x14ac:dyDescent="0.2">
      <c r="D1259" s="50"/>
      <c r="E1259" s="73"/>
      <c r="F1259" s="45"/>
    </row>
    <row r="1260" spans="4:6" x14ac:dyDescent="0.2">
      <c r="D1260" s="50"/>
      <c r="E1260" s="73"/>
      <c r="F1260" s="45"/>
    </row>
    <row r="1261" spans="4:6" x14ac:dyDescent="0.2">
      <c r="D1261" s="50"/>
      <c r="E1261" s="73"/>
      <c r="F1261" s="45"/>
    </row>
    <row r="1262" spans="4:6" x14ac:dyDescent="0.2">
      <c r="D1262" s="50"/>
      <c r="E1262" s="73"/>
      <c r="F1262" s="45"/>
    </row>
    <row r="1263" spans="4:6" x14ac:dyDescent="0.2">
      <c r="D1263" s="50"/>
      <c r="E1263" s="73"/>
      <c r="F1263" s="45"/>
    </row>
    <row r="1264" spans="4:6" x14ac:dyDescent="0.2">
      <c r="D1264" s="50"/>
      <c r="E1264" s="73"/>
      <c r="F1264" s="45"/>
    </row>
    <row r="1265" spans="4:6" x14ac:dyDescent="0.2">
      <c r="D1265" s="50"/>
      <c r="E1265" s="73"/>
      <c r="F1265" s="45"/>
    </row>
    <row r="1266" spans="4:6" x14ac:dyDescent="0.2">
      <c r="D1266" s="50"/>
      <c r="E1266" s="73"/>
      <c r="F1266" s="45"/>
    </row>
    <row r="1267" spans="4:6" x14ac:dyDescent="0.2">
      <c r="D1267" s="50"/>
      <c r="E1267" s="73"/>
      <c r="F1267" s="45"/>
    </row>
    <row r="1268" spans="4:6" x14ac:dyDescent="0.2">
      <c r="D1268" s="50"/>
      <c r="E1268" s="73"/>
      <c r="F1268" s="45"/>
    </row>
    <row r="1269" spans="4:6" x14ac:dyDescent="0.2">
      <c r="D1269" s="50"/>
      <c r="E1269" s="73"/>
      <c r="F1269" s="45"/>
    </row>
    <row r="1270" spans="4:6" x14ac:dyDescent="0.2">
      <c r="D1270" s="50"/>
      <c r="E1270" s="73"/>
      <c r="F1270" s="45"/>
    </row>
    <row r="1271" spans="4:6" x14ac:dyDescent="0.2">
      <c r="D1271" s="50"/>
      <c r="E1271" s="73"/>
      <c r="F1271" s="45"/>
    </row>
    <row r="1272" spans="4:6" x14ac:dyDescent="0.2">
      <c r="D1272" s="50"/>
      <c r="E1272" s="73"/>
      <c r="F1272" s="45"/>
    </row>
    <row r="1273" spans="4:6" x14ac:dyDescent="0.2">
      <c r="D1273" s="50"/>
      <c r="E1273" s="73"/>
      <c r="F1273" s="45"/>
    </row>
    <row r="1274" spans="4:6" x14ac:dyDescent="0.2">
      <c r="D1274" s="50"/>
      <c r="E1274" s="73"/>
      <c r="F1274" s="45"/>
    </row>
    <row r="1275" spans="4:6" x14ac:dyDescent="0.2">
      <c r="D1275" s="50"/>
      <c r="E1275" s="73"/>
      <c r="F1275" s="45"/>
    </row>
    <row r="1276" spans="4:6" x14ac:dyDescent="0.2">
      <c r="D1276" s="50"/>
      <c r="E1276" s="73"/>
      <c r="F1276" s="45"/>
    </row>
    <row r="1277" spans="4:6" x14ac:dyDescent="0.2">
      <c r="D1277" s="50"/>
      <c r="E1277" s="73"/>
      <c r="F1277" s="45"/>
    </row>
    <row r="1278" spans="4:6" x14ac:dyDescent="0.2">
      <c r="D1278" s="50"/>
      <c r="E1278" s="73"/>
      <c r="F1278" s="45"/>
    </row>
    <row r="1279" spans="4:6" x14ac:dyDescent="0.2">
      <c r="D1279" s="50"/>
      <c r="E1279" s="73"/>
      <c r="F1279" s="45"/>
    </row>
    <row r="1280" spans="4:6" x14ac:dyDescent="0.2">
      <c r="D1280" s="50"/>
      <c r="E1280" s="73"/>
      <c r="F1280" s="45"/>
    </row>
    <row r="1281" spans="4:6" x14ac:dyDescent="0.2">
      <c r="D1281" s="50"/>
      <c r="E1281" s="73"/>
      <c r="F1281" s="45"/>
    </row>
    <row r="1282" spans="4:6" x14ac:dyDescent="0.2">
      <c r="D1282" s="50"/>
      <c r="E1282" s="73"/>
      <c r="F1282" s="45"/>
    </row>
    <row r="1283" spans="4:6" x14ac:dyDescent="0.2">
      <c r="D1283" s="50"/>
      <c r="E1283" s="73"/>
      <c r="F1283" s="45"/>
    </row>
    <row r="1284" spans="4:6" x14ac:dyDescent="0.2">
      <c r="D1284" s="50"/>
      <c r="E1284" s="73"/>
      <c r="F1284" s="45"/>
    </row>
    <row r="1285" spans="4:6" x14ac:dyDescent="0.2">
      <c r="D1285" s="50"/>
      <c r="E1285" s="73"/>
      <c r="F1285" s="45"/>
    </row>
    <row r="1286" spans="4:6" x14ac:dyDescent="0.2">
      <c r="D1286" s="50"/>
      <c r="E1286" s="73"/>
      <c r="F1286" s="45"/>
    </row>
    <row r="1287" spans="4:6" x14ac:dyDescent="0.2">
      <c r="D1287" s="50"/>
      <c r="E1287" s="73"/>
      <c r="F1287" s="45"/>
    </row>
    <row r="1288" spans="4:6" x14ac:dyDescent="0.2">
      <c r="D1288" s="50"/>
      <c r="E1288" s="73"/>
      <c r="F1288" s="45"/>
    </row>
    <row r="1289" spans="4:6" x14ac:dyDescent="0.2">
      <c r="D1289" s="50"/>
      <c r="E1289" s="73"/>
      <c r="F1289" s="45"/>
    </row>
    <row r="1290" spans="4:6" x14ac:dyDescent="0.2">
      <c r="D1290" s="50"/>
      <c r="E1290" s="73"/>
      <c r="F1290" s="45"/>
    </row>
    <row r="1291" spans="4:6" x14ac:dyDescent="0.2">
      <c r="D1291" s="50"/>
      <c r="E1291" s="73"/>
      <c r="F1291" s="45"/>
    </row>
    <row r="1292" spans="4:6" x14ac:dyDescent="0.2">
      <c r="D1292" s="50"/>
      <c r="E1292" s="73"/>
      <c r="F1292" s="45"/>
    </row>
    <row r="1293" spans="4:6" x14ac:dyDescent="0.2">
      <c r="D1293" s="50"/>
      <c r="E1293" s="73"/>
      <c r="F1293" s="45"/>
    </row>
    <row r="1294" spans="4:6" x14ac:dyDescent="0.2">
      <c r="D1294" s="50"/>
      <c r="E1294" s="73"/>
      <c r="F1294" s="45"/>
    </row>
    <row r="1295" spans="4:6" x14ac:dyDescent="0.2">
      <c r="D1295" s="50"/>
      <c r="E1295" s="73"/>
      <c r="F1295" s="45"/>
    </row>
    <row r="1296" spans="4:6" x14ac:dyDescent="0.2">
      <c r="D1296" s="50"/>
      <c r="E1296" s="73"/>
      <c r="F1296" s="45"/>
    </row>
    <row r="1297" spans="4:6" x14ac:dyDescent="0.2">
      <c r="D1297" s="50"/>
      <c r="E1297" s="73"/>
      <c r="F1297" s="45"/>
    </row>
    <row r="1298" spans="4:6" x14ac:dyDescent="0.2">
      <c r="D1298" s="50"/>
      <c r="E1298" s="73"/>
      <c r="F1298" s="45"/>
    </row>
    <row r="1299" spans="4:6" x14ac:dyDescent="0.2">
      <c r="D1299" s="50"/>
      <c r="E1299" s="73"/>
      <c r="F1299" s="45"/>
    </row>
    <row r="1300" spans="4:6" x14ac:dyDescent="0.2">
      <c r="D1300" s="50"/>
      <c r="E1300" s="73"/>
      <c r="F1300" s="45"/>
    </row>
    <row r="1301" spans="4:6" x14ac:dyDescent="0.2">
      <c r="D1301" s="50"/>
      <c r="E1301" s="73"/>
      <c r="F1301" s="45"/>
    </row>
    <row r="1302" spans="4:6" x14ac:dyDescent="0.2">
      <c r="D1302" s="50"/>
      <c r="E1302" s="73"/>
      <c r="F1302" s="45"/>
    </row>
    <row r="1303" spans="4:6" x14ac:dyDescent="0.2">
      <c r="D1303" s="50"/>
      <c r="E1303" s="73"/>
      <c r="F1303" s="45"/>
    </row>
    <row r="1304" spans="4:6" x14ac:dyDescent="0.2">
      <c r="D1304" s="50"/>
      <c r="E1304" s="73"/>
      <c r="F1304" s="45"/>
    </row>
    <row r="1305" spans="4:6" x14ac:dyDescent="0.2">
      <c r="D1305" s="50"/>
      <c r="E1305" s="73"/>
      <c r="F1305" s="45"/>
    </row>
    <row r="1306" spans="4:6" x14ac:dyDescent="0.2">
      <c r="D1306" s="50"/>
      <c r="E1306" s="73"/>
      <c r="F1306" s="45"/>
    </row>
    <row r="1307" spans="4:6" x14ac:dyDescent="0.2">
      <c r="D1307" s="50"/>
      <c r="E1307" s="73"/>
      <c r="F1307" s="45"/>
    </row>
    <row r="1308" spans="4:6" x14ac:dyDescent="0.2">
      <c r="D1308" s="50"/>
      <c r="E1308" s="73"/>
      <c r="F1308" s="45"/>
    </row>
    <row r="1309" spans="4:6" x14ac:dyDescent="0.2">
      <c r="D1309" s="50"/>
      <c r="E1309" s="73"/>
      <c r="F1309" s="45"/>
    </row>
    <row r="1310" spans="4:6" x14ac:dyDescent="0.2">
      <c r="D1310" s="50"/>
      <c r="E1310" s="73"/>
      <c r="F1310" s="45"/>
    </row>
    <row r="1311" spans="4:6" x14ac:dyDescent="0.2">
      <c r="D1311" s="50"/>
      <c r="E1311" s="73"/>
      <c r="F1311" s="45"/>
    </row>
    <row r="1312" spans="4:6" x14ac:dyDescent="0.2">
      <c r="D1312" s="50"/>
      <c r="E1312" s="73"/>
      <c r="F1312" s="45"/>
    </row>
    <row r="1313" spans="4:6" x14ac:dyDescent="0.2">
      <c r="D1313" s="50"/>
      <c r="E1313" s="73"/>
      <c r="F1313" s="45"/>
    </row>
    <row r="1314" spans="4:6" x14ac:dyDescent="0.2">
      <c r="D1314" s="50"/>
      <c r="E1314" s="73"/>
      <c r="F1314" s="45"/>
    </row>
    <row r="1315" spans="4:6" x14ac:dyDescent="0.2">
      <c r="D1315" s="50"/>
      <c r="E1315" s="73"/>
      <c r="F1315" s="45"/>
    </row>
    <row r="1316" spans="4:6" x14ac:dyDescent="0.2">
      <c r="D1316" s="50"/>
      <c r="E1316" s="73"/>
      <c r="F1316" s="45"/>
    </row>
    <row r="1317" spans="4:6" x14ac:dyDescent="0.2">
      <c r="D1317" s="50"/>
      <c r="E1317" s="73"/>
      <c r="F1317" s="45"/>
    </row>
    <row r="1318" spans="4:6" x14ac:dyDescent="0.2">
      <c r="D1318" s="50"/>
      <c r="E1318" s="73"/>
      <c r="F1318" s="45"/>
    </row>
    <row r="1319" spans="4:6" x14ac:dyDescent="0.2">
      <c r="D1319" s="50"/>
      <c r="E1319" s="73"/>
      <c r="F1319" s="45"/>
    </row>
    <row r="1320" spans="4:6" x14ac:dyDescent="0.2">
      <c r="D1320" s="50"/>
      <c r="E1320" s="73"/>
      <c r="F1320" s="45"/>
    </row>
    <row r="1321" spans="4:6" x14ac:dyDescent="0.2">
      <c r="D1321" s="50"/>
      <c r="E1321" s="73"/>
      <c r="F1321" s="45"/>
    </row>
    <row r="1322" spans="4:6" x14ac:dyDescent="0.2">
      <c r="D1322" s="50"/>
      <c r="E1322" s="73"/>
      <c r="F1322" s="45"/>
    </row>
    <row r="1323" spans="4:6" x14ac:dyDescent="0.2">
      <c r="D1323" s="50"/>
      <c r="E1323" s="73"/>
      <c r="F1323" s="45"/>
    </row>
    <row r="1324" spans="4:6" x14ac:dyDescent="0.2">
      <c r="D1324" s="50"/>
      <c r="E1324" s="73"/>
      <c r="F1324" s="45"/>
    </row>
    <row r="1325" spans="4:6" x14ac:dyDescent="0.2">
      <c r="D1325" s="50"/>
      <c r="E1325" s="73"/>
      <c r="F1325" s="45"/>
    </row>
    <row r="1326" spans="4:6" x14ac:dyDescent="0.2">
      <c r="D1326" s="50"/>
      <c r="E1326" s="73"/>
      <c r="F1326" s="45"/>
    </row>
    <row r="1327" spans="4:6" x14ac:dyDescent="0.2">
      <c r="D1327" s="50"/>
      <c r="E1327" s="73"/>
      <c r="F1327" s="45"/>
    </row>
    <row r="1328" spans="4:6" x14ac:dyDescent="0.2">
      <c r="D1328" s="50"/>
      <c r="E1328" s="73"/>
      <c r="F1328" s="45"/>
    </row>
    <row r="1329" spans="4:6" x14ac:dyDescent="0.2">
      <c r="D1329" s="50"/>
      <c r="E1329" s="73"/>
      <c r="F1329" s="45"/>
    </row>
    <row r="1330" spans="4:6" x14ac:dyDescent="0.2">
      <c r="D1330" s="50"/>
      <c r="E1330" s="73"/>
      <c r="F1330" s="45"/>
    </row>
    <row r="1331" spans="4:6" x14ac:dyDescent="0.2">
      <c r="D1331" s="50"/>
      <c r="E1331" s="73"/>
      <c r="F1331" s="45"/>
    </row>
    <row r="1332" spans="4:6" x14ac:dyDescent="0.2">
      <c r="D1332" s="50"/>
      <c r="E1332" s="73"/>
      <c r="F1332" s="45"/>
    </row>
    <row r="1333" spans="4:6" x14ac:dyDescent="0.2">
      <c r="D1333" s="50"/>
      <c r="E1333" s="73"/>
      <c r="F1333" s="45"/>
    </row>
    <row r="1334" spans="4:6" x14ac:dyDescent="0.2">
      <c r="D1334" s="50"/>
      <c r="E1334" s="73"/>
      <c r="F1334" s="45"/>
    </row>
    <row r="1335" spans="4:6" x14ac:dyDescent="0.2">
      <c r="D1335" s="50"/>
      <c r="E1335" s="73"/>
      <c r="F1335" s="45"/>
    </row>
    <row r="1336" spans="4:6" x14ac:dyDescent="0.2">
      <c r="D1336" s="50"/>
      <c r="E1336" s="73"/>
      <c r="F1336" s="45"/>
    </row>
    <row r="1337" spans="4:6" x14ac:dyDescent="0.2">
      <c r="D1337" s="50"/>
      <c r="E1337" s="73"/>
      <c r="F1337" s="45"/>
    </row>
    <row r="1338" spans="4:6" x14ac:dyDescent="0.2">
      <c r="D1338" s="50"/>
      <c r="E1338" s="73"/>
      <c r="F1338" s="45"/>
    </row>
    <row r="1339" spans="4:6" x14ac:dyDescent="0.2">
      <c r="D1339" s="50"/>
      <c r="E1339" s="73"/>
      <c r="F1339" s="45"/>
    </row>
    <row r="1340" spans="4:6" x14ac:dyDescent="0.2">
      <c r="D1340" s="50"/>
      <c r="E1340" s="73"/>
      <c r="F1340" s="45"/>
    </row>
    <row r="1341" spans="4:6" x14ac:dyDescent="0.2">
      <c r="D1341" s="50"/>
      <c r="E1341" s="73"/>
      <c r="F1341" s="45"/>
    </row>
    <row r="1342" spans="4:6" x14ac:dyDescent="0.2">
      <c r="D1342" s="50"/>
      <c r="E1342" s="73"/>
      <c r="F1342" s="45"/>
    </row>
    <row r="1343" spans="4:6" x14ac:dyDescent="0.2">
      <c r="D1343" s="50"/>
      <c r="E1343" s="73"/>
      <c r="F1343" s="45"/>
    </row>
    <row r="1344" spans="4:6" x14ac:dyDescent="0.2">
      <c r="D1344" s="50"/>
      <c r="E1344" s="73"/>
      <c r="F1344" s="45"/>
    </row>
    <row r="1345" spans="4:6" x14ac:dyDescent="0.2">
      <c r="D1345" s="50"/>
      <c r="E1345" s="73"/>
      <c r="F1345" s="45"/>
    </row>
    <row r="1346" spans="4:6" x14ac:dyDescent="0.2">
      <c r="D1346" s="50"/>
      <c r="E1346" s="73"/>
      <c r="F1346" s="45"/>
    </row>
    <row r="1347" spans="4:6" x14ac:dyDescent="0.2">
      <c r="D1347" s="50"/>
      <c r="E1347" s="73"/>
      <c r="F1347" s="45"/>
    </row>
    <row r="1348" spans="4:6" x14ac:dyDescent="0.2">
      <c r="D1348" s="50"/>
      <c r="E1348" s="73"/>
      <c r="F1348" s="45"/>
    </row>
    <row r="1349" spans="4:6" x14ac:dyDescent="0.2">
      <c r="D1349" s="50"/>
      <c r="E1349" s="73"/>
      <c r="F1349" s="45"/>
    </row>
    <row r="1350" spans="4:6" x14ac:dyDescent="0.2">
      <c r="D1350" s="50"/>
      <c r="E1350" s="73"/>
      <c r="F1350" s="45"/>
    </row>
    <row r="1351" spans="4:6" x14ac:dyDescent="0.2">
      <c r="D1351" s="50"/>
      <c r="E1351" s="73"/>
      <c r="F1351" s="45"/>
    </row>
    <row r="1352" spans="4:6" x14ac:dyDescent="0.2">
      <c r="D1352" s="50"/>
      <c r="E1352" s="73"/>
      <c r="F1352" s="45"/>
    </row>
    <row r="1353" spans="4:6" x14ac:dyDescent="0.2">
      <c r="D1353" s="50"/>
      <c r="E1353" s="73"/>
      <c r="F1353" s="45"/>
    </row>
    <row r="1354" spans="4:6" x14ac:dyDescent="0.2">
      <c r="D1354" s="50"/>
      <c r="E1354" s="73"/>
      <c r="F1354" s="45"/>
    </row>
    <row r="1355" spans="4:6" x14ac:dyDescent="0.2">
      <c r="D1355" s="50"/>
      <c r="E1355" s="73"/>
      <c r="F1355" s="45"/>
    </row>
    <row r="1356" spans="4:6" x14ac:dyDescent="0.2">
      <c r="D1356" s="50"/>
      <c r="E1356" s="73"/>
      <c r="F1356" s="45"/>
    </row>
    <row r="1357" spans="4:6" x14ac:dyDescent="0.2">
      <c r="D1357" s="50"/>
      <c r="E1357" s="73"/>
      <c r="F1357" s="45"/>
    </row>
    <row r="1358" spans="4:6" x14ac:dyDescent="0.2">
      <c r="D1358" s="50"/>
      <c r="E1358" s="73"/>
      <c r="F1358" s="45"/>
    </row>
    <row r="1359" spans="4:6" x14ac:dyDescent="0.2">
      <c r="D1359" s="50"/>
      <c r="E1359" s="73"/>
      <c r="F1359" s="45"/>
    </row>
    <row r="1360" spans="4:6" x14ac:dyDescent="0.2">
      <c r="D1360" s="50"/>
      <c r="E1360" s="73"/>
      <c r="F1360" s="45"/>
    </row>
    <row r="1361" spans="4:6" x14ac:dyDescent="0.2">
      <c r="D1361" s="50"/>
      <c r="E1361" s="73"/>
      <c r="F1361" s="45"/>
    </row>
    <row r="1362" spans="4:6" x14ac:dyDescent="0.2">
      <c r="D1362" s="50"/>
      <c r="E1362" s="73"/>
      <c r="F1362" s="45"/>
    </row>
    <row r="1363" spans="4:6" x14ac:dyDescent="0.2">
      <c r="D1363" s="50"/>
      <c r="E1363" s="73"/>
      <c r="F1363" s="45"/>
    </row>
    <row r="1364" spans="4:6" x14ac:dyDescent="0.2">
      <c r="D1364" s="50"/>
      <c r="E1364" s="73"/>
      <c r="F1364" s="45"/>
    </row>
    <row r="1365" spans="4:6" x14ac:dyDescent="0.2">
      <c r="D1365" s="50"/>
      <c r="E1365" s="73"/>
      <c r="F1365" s="45"/>
    </row>
    <row r="1366" spans="4:6" x14ac:dyDescent="0.2">
      <c r="D1366" s="50"/>
      <c r="E1366" s="73"/>
      <c r="F1366" s="45"/>
    </row>
    <row r="1367" spans="4:6" x14ac:dyDescent="0.2">
      <c r="D1367" s="50"/>
      <c r="E1367" s="73"/>
      <c r="F1367" s="45"/>
    </row>
    <row r="1368" spans="4:6" x14ac:dyDescent="0.2">
      <c r="D1368" s="50"/>
      <c r="E1368" s="73"/>
      <c r="F1368" s="45"/>
    </row>
    <row r="1369" spans="4:6" x14ac:dyDescent="0.2">
      <c r="D1369" s="50"/>
      <c r="E1369" s="73"/>
      <c r="F1369" s="45"/>
    </row>
    <row r="1370" spans="4:6" x14ac:dyDescent="0.2">
      <c r="D1370" s="50"/>
      <c r="E1370" s="73"/>
      <c r="F1370" s="45"/>
    </row>
    <row r="1371" spans="4:6" x14ac:dyDescent="0.2">
      <c r="D1371" s="50"/>
      <c r="E1371" s="73"/>
      <c r="F1371" s="45"/>
    </row>
    <row r="1372" spans="4:6" x14ac:dyDescent="0.2">
      <c r="D1372" s="50"/>
      <c r="E1372" s="73"/>
      <c r="F1372" s="45"/>
    </row>
    <row r="1373" spans="4:6" x14ac:dyDescent="0.2">
      <c r="D1373" s="50"/>
      <c r="E1373" s="73"/>
      <c r="F1373" s="45"/>
    </row>
    <row r="1374" spans="4:6" x14ac:dyDescent="0.2">
      <c r="D1374" s="50"/>
      <c r="E1374" s="73"/>
      <c r="F1374" s="45"/>
    </row>
    <row r="1375" spans="4:6" x14ac:dyDescent="0.2">
      <c r="D1375" s="50"/>
      <c r="E1375" s="73"/>
      <c r="F1375" s="45"/>
    </row>
    <row r="1376" spans="4:6" x14ac:dyDescent="0.2">
      <c r="D1376" s="50"/>
      <c r="E1376" s="73"/>
      <c r="F1376" s="45"/>
    </row>
    <row r="1377" spans="4:6" x14ac:dyDescent="0.2">
      <c r="D1377" s="50"/>
      <c r="E1377" s="73"/>
      <c r="F1377" s="45"/>
    </row>
    <row r="1378" spans="4:6" x14ac:dyDescent="0.2">
      <c r="D1378" s="50"/>
      <c r="E1378" s="73"/>
      <c r="F1378" s="45"/>
    </row>
    <row r="1379" spans="4:6" x14ac:dyDescent="0.2">
      <c r="D1379" s="50"/>
      <c r="E1379" s="73"/>
      <c r="F1379" s="45"/>
    </row>
    <row r="1380" spans="4:6" x14ac:dyDescent="0.2">
      <c r="D1380" s="50"/>
      <c r="E1380" s="73"/>
      <c r="F1380" s="45"/>
    </row>
    <row r="1381" spans="4:6" x14ac:dyDescent="0.2">
      <c r="D1381" s="50"/>
      <c r="E1381" s="73"/>
      <c r="F1381" s="45"/>
    </row>
    <row r="1382" spans="4:6" x14ac:dyDescent="0.2">
      <c r="D1382" s="50"/>
      <c r="E1382" s="73"/>
      <c r="F1382" s="45"/>
    </row>
    <row r="1383" spans="4:6" x14ac:dyDescent="0.2">
      <c r="D1383" s="50"/>
      <c r="E1383" s="73"/>
      <c r="F1383" s="45"/>
    </row>
    <row r="1384" spans="4:6" x14ac:dyDescent="0.2">
      <c r="D1384" s="50"/>
      <c r="E1384" s="73"/>
      <c r="F1384" s="45"/>
    </row>
    <row r="1385" spans="4:6" x14ac:dyDescent="0.2">
      <c r="D1385" s="50"/>
      <c r="E1385" s="73"/>
      <c r="F1385" s="45"/>
    </row>
    <row r="1386" spans="4:6" x14ac:dyDescent="0.2">
      <c r="D1386" s="50"/>
      <c r="E1386" s="73"/>
      <c r="F1386" s="45"/>
    </row>
    <row r="1387" spans="4:6" x14ac:dyDescent="0.2">
      <c r="D1387" s="50"/>
      <c r="E1387" s="73"/>
      <c r="F1387" s="45"/>
    </row>
    <row r="1388" spans="4:6" x14ac:dyDescent="0.2">
      <c r="D1388" s="50"/>
      <c r="E1388" s="73"/>
      <c r="F1388" s="45"/>
    </row>
    <row r="1389" spans="4:6" x14ac:dyDescent="0.2">
      <c r="D1389" s="50"/>
      <c r="E1389" s="73"/>
      <c r="F1389" s="45"/>
    </row>
    <row r="1390" spans="4:6" x14ac:dyDescent="0.2">
      <c r="D1390" s="50"/>
      <c r="E1390" s="73"/>
      <c r="F1390" s="45"/>
    </row>
    <row r="1391" spans="4:6" x14ac:dyDescent="0.2">
      <c r="D1391" s="50"/>
      <c r="E1391" s="73"/>
      <c r="F1391" s="45"/>
    </row>
    <row r="1392" spans="4:6" x14ac:dyDescent="0.2">
      <c r="D1392" s="50"/>
      <c r="E1392" s="73"/>
      <c r="F1392" s="45"/>
    </row>
    <row r="1393" spans="4:6" x14ac:dyDescent="0.2">
      <c r="D1393" s="50"/>
      <c r="E1393" s="73"/>
      <c r="F1393" s="45"/>
    </row>
    <row r="1394" spans="4:6" x14ac:dyDescent="0.2">
      <c r="D1394" s="50"/>
      <c r="E1394" s="73"/>
      <c r="F1394" s="45"/>
    </row>
    <row r="1395" spans="4:6" x14ac:dyDescent="0.2">
      <c r="D1395" s="50"/>
      <c r="E1395" s="73"/>
      <c r="F1395" s="45"/>
    </row>
    <row r="1396" spans="4:6" x14ac:dyDescent="0.2">
      <c r="D1396" s="50"/>
      <c r="E1396" s="73"/>
      <c r="F1396" s="45"/>
    </row>
    <row r="1397" spans="4:6" x14ac:dyDescent="0.2">
      <c r="D1397" s="50"/>
      <c r="E1397" s="73"/>
      <c r="F1397" s="45"/>
    </row>
    <row r="1398" spans="4:6" x14ac:dyDescent="0.2">
      <c r="D1398" s="50"/>
      <c r="E1398" s="73"/>
      <c r="F1398" s="45"/>
    </row>
    <row r="1399" spans="4:6" x14ac:dyDescent="0.2">
      <c r="D1399" s="50"/>
      <c r="E1399" s="73"/>
      <c r="F1399" s="45"/>
    </row>
    <row r="1400" spans="4:6" x14ac:dyDescent="0.2">
      <c r="D1400" s="50"/>
      <c r="E1400" s="73"/>
      <c r="F1400" s="45"/>
    </row>
    <row r="1401" spans="4:6" x14ac:dyDescent="0.2">
      <c r="D1401" s="50"/>
      <c r="E1401" s="73"/>
      <c r="F1401" s="45"/>
    </row>
    <row r="1402" spans="4:6" x14ac:dyDescent="0.2">
      <c r="D1402" s="50"/>
      <c r="E1402" s="73"/>
      <c r="F1402" s="45"/>
    </row>
    <row r="1403" spans="4:6" x14ac:dyDescent="0.2">
      <c r="D1403" s="50"/>
      <c r="E1403" s="73"/>
      <c r="F1403" s="45"/>
    </row>
    <row r="1404" spans="4:6" x14ac:dyDescent="0.2">
      <c r="D1404" s="50"/>
      <c r="E1404" s="73"/>
      <c r="F1404" s="45"/>
    </row>
    <row r="1405" spans="4:6" x14ac:dyDescent="0.2">
      <c r="D1405" s="50"/>
      <c r="E1405" s="73"/>
      <c r="F1405" s="45"/>
    </row>
    <row r="1406" spans="4:6" x14ac:dyDescent="0.2">
      <c r="D1406" s="50"/>
      <c r="E1406" s="73"/>
      <c r="F1406" s="45"/>
    </row>
    <row r="1407" spans="4:6" x14ac:dyDescent="0.2">
      <c r="D1407" s="50"/>
      <c r="E1407" s="73"/>
      <c r="F1407" s="45"/>
    </row>
    <row r="1408" spans="4:6" x14ac:dyDescent="0.2">
      <c r="D1408" s="50"/>
      <c r="E1408" s="73"/>
      <c r="F1408" s="45"/>
    </row>
    <row r="1409" spans="4:6" x14ac:dyDescent="0.2">
      <c r="D1409" s="50"/>
      <c r="E1409" s="73"/>
      <c r="F1409" s="45"/>
    </row>
    <row r="1410" spans="4:6" x14ac:dyDescent="0.2">
      <c r="D1410" s="50"/>
      <c r="E1410" s="73"/>
      <c r="F1410" s="45"/>
    </row>
    <row r="1411" spans="4:6" x14ac:dyDescent="0.2">
      <c r="D1411" s="50"/>
      <c r="E1411" s="73"/>
      <c r="F1411" s="45"/>
    </row>
    <row r="1412" spans="4:6" x14ac:dyDescent="0.2">
      <c r="D1412" s="50"/>
      <c r="E1412" s="73"/>
      <c r="F1412" s="45"/>
    </row>
    <row r="1413" spans="4:6" x14ac:dyDescent="0.2">
      <c r="D1413" s="50"/>
      <c r="E1413" s="73"/>
      <c r="F1413" s="45"/>
    </row>
    <row r="1414" spans="4:6" x14ac:dyDescent="0.2">
      <c r="D1414" s="50"/>
      <c r="E1414" s="73"/>
      <c r="F1414" s="45"/>
    </row>
    <row r="1415" spans="4:6" x14ac:dyDescent="0.2">
      <c r="D1415" s="50"/>
      <c r="E1415" s="73"/>
      <c r="F1415" s="45"/>
    </row>
    <row r="1416" spans="4:6" x14ac:dyDescent="0.2">
      <c r="D1416" s="50"/>
      <c r="E1416" s="73"/>
      <c r="F1416" s="45"/>
    </row>
    <row r="1417" spans="4:6" x14ac:dyDescent="0.2">
      <c r="D1417" s="50"/>
      <c r="E1417" s="73"/>
      <c r="F1417" s="45"/>
    </row>
    <row r="1418" spans="4:6" x14ac:dyDescent="0.2">
      <c r="D1418" s="50"/>
      <c r="E1418" s="73"/>
      <c r="F1418" s="45"/>
    </row>
    <row r="1419" spans="4:6" x14ac:dyDescent="0.2">
      <c r="D1419" s="50"/>
      <c r="E1419" s="73"/>
      <c r="F1419" s="45"/>
    </row>
    <row r="1420" spans="4:6" x14ac:dyDescent="0.2">
      <c r="D1420" s="50"/>
      <c r="E1420" s="73"/>
      <c r="F1420" s="45"/>
    </row>
    <row r="1421" spans="4:6" x14ac:dyDescent="0.2">
      <c r="D1421" s="50"/>
      <c r="E1421" s="73"/>
      <c r="F1421" s="45"/>
    </row>
    <row r="1422" spans="4:6" x14ac:dyDescent="0.2">
      <c r="D1422" s="50"/>
      <c r="E1422" s="73"/>
      <c r="F1422" s="45"/>
    </row>
    <row r="1423" spans="4:6" x14ac:dyDescent="0.2">
      <c r="D1423" s="50"/>
      <c r="E1423" s="73"/>
      <c r="F1423" s="45"/>
    </row>
    <row r="1424" spans="4:6" x14ac:dyDescent="0.2">
      <c r="D1424" s="50"/>
      <c r="E1424" s="73"/>
      <c r="F1424" s="45"/>
    </row>
    <row r="1425" spans="4:6" x14ac:dyDescent="0.2">
      <c r="D1425" s="50"/>
      <c r="E1425" s="73"/>
      <c r="F1425" s="45"/>
    </row>
    <row r="1426" spans="4:6" x14ac:dyDescent="0.2">
      <c r="D1426" s="50"/>
      <c r="E1426" s="73"/>
      <c r="F1426" s="45"/>
    </row>
    <row r="1427" spans="4:6" x14ac:dyDescent="0.2">
      <c r="D1427" s="50"/>
      <c r="E1427" s="73"/>
      <c r="F1427" s="45"/>
    </row>
    <row r="1428" spans="4:6" x14ac:dyDescent="0.2">
      <c r="D1428" s="50"/>
      <c r="E1428" s="73"/>
      <c r="F1428" s="45"/>
    </row>
    <row r="1429" spans="4:6" x14ac:dyDescent="0.2">
      <c r="D1429" s="50"/>
      <c r="E1429" s="73"/>
      <c r="F1429" s="45"/>
    </row>
    <row r="1430" spans="4:6" x14ac:dyDescent="0.2">
      <c r="D1430" s="50"/>
      <c r="E1430" s="73"/>
      <c r="F1430" s="45"/>
    </row>
    <row r="1431" spans="4:6" x14ac:dyDescent="0.2">
      <c r="D1431" s="50"/>
      <c r="E1431" s="73"/>
      <c r="F1431" s="45"/>
    </row>
    <row r="1432" spans="4:6" x14ac:dyDescent="0.2">
      <c r="D1432" s="50"/>
      <c r="E1432" s="73"/>
      <c r="F1432" s="45"/>
    </row>
    <row r="1433" spans="4:6" x14ac:dyDescent="0.2">
      <c r="D1433" s="50"/>
      <c r="E1433" s="73"/>
      <c r="F1433" s="45"/>
    </row>
    <row r="1434" spans="4:6" x14ac:dyDescent="0.2">
      <c r="D1434" s="50"/>
      <c r="E1434" s="73"/>
      <c r="F1434" s="45"/>
    </row>
    <row r="1435" spans="4:6" x14ac:dyDescent="0.2">
      <c r="D1435" s="50"/>
      <c r="E1435" s="73"/>
      <c r="F1435" s="45"/>
    </row>
    <row r="1436" spans="4:6" x14ac:dyDescent="0.2">
      <c r="D1436" s="50"/>
      <c r="E1436" s="73"/>
      <c r="F1436" s="45"/>
    </row>
    <row r="1437" spans="4:6" x14ac:dyDescent="0.2">
      <c r="D1437" s="50"/>
      <c r="E1437" s="73"/>
      <c r="F1437" s="45"/>
    </row>
    <row r="1438" spans="4:6" x14ac:dyDescent="0.2">
      <c r="D1438" s="50"/>
      <c r="E1438" s="73"/>
      <c r="F1438" s="45"/>
    </row>
    <row r="1439" spans="4:6" x14ac:dyDescent="0.2">
      <c r="D1439" s="50"/>
      <c r="E1439" s="73"/>
      <c r="F1439" s="45"/>
    </row>
    <row r="1440" spans="4:6" x14ac:dyDescent="0.2">
      <c r="D1440" s="50"/>
      <c r="E1440" s="73"/>
      <c r="F1440" s="45"/>
    </row>
    <row r="1441" spans="4:6" x14ac:dyDescent="0.2">
      <c r="D1441" s="50"/>
      <c r="E1441" s="73"/>
      <c r="F1441" s="45"/>
    </row>
    <row r="1442" spans="4:6" x14ac:dyDescent="0.2">
      <c r="D1442" s="50"/>
      <c r="E1442" s="73"/>
      <c r="F1442" s="45"/>
    </row>
    <row r="1443" spans="4:6" x14ac:dyDescent="0.2">
      <c r="D1443" s="50"/>
      <c r="E1443" s="73"/>
      <c r="F1443" s="45"/>
    </row>
    <row r="1444" spans="4:6" x14ac:dyDescent="0.2">
      <c r="D1444" s="50"/>
      <c r="E1444" s="73"/>
      <c r="F1444" s="45"/>
    </row>
    <row r="1445" spans="4:6" x14ac:dyDescent="0.2">
      <c r="D1445" s="50"/>
      <c r="E1445" s="73"/>
      <c r="F1445" s="45"/>
    </row>
    <row r="1446" spans="4:6" x14ac:dyDescent="0.2">
      <c r="D1446" s="50"/>
      <c r="E1446" s="73"/>
      <c r="F1446" s="45"/>
    </row>
    <row r="1447" spans="4:6" x14ac:dyDescent="0.2">
      <c r="D1447" s="50"/>
      <c r="E1447" s="73"/>
      <c r="F1447" s="45"/>
    </row>
    <row r="1448" spans="4:6" x14ac:dyDescent="0.2">
      <c r="D1448" s="50"/>
      <c r="E1448" s="73"/>
      <c r="F1448" s="45"/>
    </row>
    <row r="1449" spans="4:6" x14ac:dyDescent="0.2">
      <c r="D1449" s="50"/>
      <c r="E1449" s="73"/>
      <c r="F1449" s="45"/>
    </row>
    <row r="1450" spans="4:6" x14ac:dyDescent="0.2">
      <c r="D1450" s="50"/>
      <c r="E1450" s="73"/>
      <c r="F1450" s="45"/>
    </row>
    <row r="1451" spans="4:6" x14ac:dyDescent="0.2">
      <c r="D1451" s="50"/>
      <c r="E1451" s="73"/>
      <c r="F1451" s="45"/>
    </row>
    <row r="1452" spans="4:6" x14ac:dyDescent="0.2">
      <c r="D1452" s="50"/>
      <c r="E1452" s="73"/>
      <c r="F1452" s="45"/>
    </row>
    <row r="1453" spans="4:6" x14ac:dyDescent="0.2">
      <c r="D1453" s="50"/>
      <c r="E1453" s="73"/>
      <c r="F1453" s="45"/>
    </row>
    <row r="1454" spans="4:6" x14ac:dyDescent="0.2">
      <c r="D1454" s="50"/>
      <c r="E1454" s="73"/>
      <c r="F1454" s="45"/>
    </row>
    <row r="1455" spans="4:6" x14ac:dyDescent="0.2">
      <c r="D1455" s="50"/>
      <c r="E1455" s="73"/>
      <c r="F1455" s="45"/>
    </row>
    <row r="1456" spans="4:6" x14ac:dyDescent="0.2">
      <c r="D1456" s="50"/>
      <c r="E1456" s="73"/>
      <c r="F1456" s="45"/>
    </row>
    <row r="1457" spans="4:6" x14ac:dyDescent="0.2">
      <c r="D1457" s="50"/>
      <c r="E1457" s="73"/>
      <c r="F1457" s="45"/>
    </row>
    <row r="1458" spans="4:6" x14ac:dyDescent="0.2">
      <c r="D1458" s="50"/>
      <c r="E1458" s="73"/>
      <c r="F1458" s="45"/>
    </row>
    <row r="1459" spans="4:6" x14ac:dyDescent="0.2">
      <c r="D1459" s="50"/>
      <c r="E1459" s="73"/>
      <c r="F1459" s="45"/>
    </row>
    <row r="1460" spans="4:6" x14ac:dyDescent="0.2">
      <c r="D1460" s="50"/>
      <c r="E1460" s="73"/>
      <c r="F1460" s="45"/>
    </row>
    <row r="1461" spans="4:6" x14ac:dyDescent="0.2">
      <c r="D1461" s="50"/>
      <c r="E1461" s="73"/>
      <c r="F1461" s="45"/>
    </row>
    <row r="1462" spans="4:6" x14ac:dyDescent="0.2">
      <c r="D1462" s="50"/>
      <c r="E1462" s="73"/>
      <c r="F1462" s="45"/>
    </row>
    <row r="1463" spans="4:6" x14ac:dyDescent="0.2">
      <c r="D1463" s="50"/>
      <c r="E1463" s="73"/>
      <c r="F1463" s="45"/>
    </row>
    <row r="1464" spans="4:6" x14ac:dyDescent="0.2">
      <c r="D1464" s="50"/>
      <c r="E1464" s="73"/>
      <c r="F1464" s="45"/>
    </row>
    <row r="1465" spans="4:6" x14ac:dyDescent="0.2">
      <c r="D1465" s="50"/>
      <c r="E1465" s="73"/>
      <c r="F1465" s="45"/>
    </row>
    <row r="1466" spans="4:6" x14ac:dyDescent="0.2">
      <c r="D1466" s="50"/>
      <c r="E1466" s="73"/>
      <c r="F1466" s="45"/>
    </row>
    <row r="1467" spans="4:6" x14ac:dyDescent="0.2">
      <c r="D1467" s="50"/>
      <c r="E1467" s="73"/>
      <c r="F1467" s="45"/>
    </row>
    <row r="1468" spans="4:6" x14ac:dyDescent="0.2">
      <c r="D1468" s="50"/>
      <c r="E1468" s="73"/>
      <c r="F1468" s="45"/>
    </row>
    <row r="1469" spans="4:6" x14ac:dyDescent="0.2">
      <c r="D1469" s="50"/>
      <c r="E1469" s="73"/>
      <c r="F1469" s="45"/>
    </row>
    <row r="1470" spans="4:6" x14ac:dyDescent="0.2">
      <c r="D1470" s="50"/>
      <c r="E1470" s="73"/>
      <c r="F1470" s="45"/>
    </row>
    <row r="1471" spans="4:6" x14ac:dyDescent="0.2">
      <c r="D1471" s="50"/>
      <c r="E1471" s="73"/>
      <c r="F1471" s="45"/>
    </row>
    <row r="1472" spans="4:6" x14ac:dyDescent="0.2">
      <c r="D1472" s="50"/>
      <c r="E1472" s="73"/>
      <c r="F1472" s="45"/>
    </row>
    <row r="1473" spans="4:6" x14ac:dyDescent="0.2">
      <c r="D1473" s="50"/>
      <c r="E1473" s="73"/>
      <c r="F1473" s="45"/>
    </row>
    <row r="1474" spans="4:6" x14ac:dyDescent="0.2">
      <c r="D1474" s="50"/>
      <c r="E1474" s="73"/>
      <c r="F1474" s="45"/>
    </row>
    <row r="1475" spans="4:6" x14ac:dyDescent="0.2">
      <c r="D1475" s="50"/>
      <c r="E1475" s="73"/>
      <c r="F1475" s="45"/>
    </row>
    <row r="1476" spans="4:6" x14ac:dyDescent="0.2">
      <c r="D1476" s="50"/>
      <c r="E1476" s="73"/>
      <c r="F1476" s="45"/>
    </row>
    <row r="1477" spans="4:6" x14ac:dyDescent="0.2">
      <c r="D1477" s="50"/>
      <c r="E1477" s="73"/>
      <c r="F1477" s="45"/>
    </row>
    <row r="1478" spans="4:6" x14ac:dyDescent="0.2">
      <c r="D1478" s="50"/>
      <c r="E1478" s="73"/>
      <c r="F1478" s="45"/>
    </row>
    <row r="1479" spans="4:6" x14ac:dyDescent="0.2">
      <c r="D1479" s="50"/>
      <c r="E1479" s="73"/>
      <c r="F1479" s="45"/>
    </row>
    <row r="1480" spans="4:6" x14ac:dyDescent="0.2">
      <c r="D1480" s="50"/>
      <c r="E1480" s="73"/>
      <c r="F1480" s="45"/>
    </row>
    <row r="1481" spans="4:6" x14ac:dyDescent="0.2">
      <c r="D1481" s="50"/>
      <c r="E1481" s="73"/>
      <c r="F1481" s="45"/>
    </row>
    <row r="1482" spans="4:6" x14ac:dyDescent="0.2">
      <c r="D1482" s="50"/>
      <c r="E1482" s="73"/>
      <c r="F1482" s="45"/>
    </row>
    <row r="1483" spans="4:6" x14ac:dyDescent="0.2">
      <c r="D1483" s="50"/>
      <c r="E1483" s="73"/>
      <c r="F1483" s="45"/>
    </row>
    <row r="1484" spans="4:6" x14ac:dyDescent="0.2">
      <c r="D1484" s="50"/>
      <c r="E1484" s="73"/>
      <c r="F1484" s="45"/>
    </row>
    <row r="1485" spans="4:6" x14ac:dyDescent="0.2">
      <c r="D1485" s="50"/>
      <c r="E1485" s="73"/>
      <c r="F1485" s="45"/>
    </row>
    <row r="1486" spans="4:6" x14ac:dyDescent="0.2">
      <c r="D1486" s="50"/>
      <c r="E1486" s="73"/>
      <c r="F1486" s="45"/>
    </row>
    <row r="1487" spans="4:6" x14ac:dyDescent="0.2">
      <c r="D1487" s="50"/>
      <c r="E1487" s="73"/>
      <c r="F1487" s="45"/>
    </row>
    <row r="1488" spans="4:6" x14ac:dyDescent="0.2">
      <c r="D1488" s="50"/>
      <c r="E1488" s="73"/>
      <c r="F1488" s="45"/>
    </row>
    <row r="1489" spans="4:6" x14ac:dyDescent="0.2">
      <c r="D1489" s="50"/>
      <c r="E1489" s="73"/>
      <c r="F1489" s="45"/>
    </row>
    <row r="1490" spans="4:6" x14ac:dyDescent="0.2">
      <c r="D1490" s="50"/>
      <c r="E1490" s="73"/>
      <c r="F1490" s="45"/>
    </row>
    <row r="1491" spans="4:6" x14ac:dyDescent="0.2">
      <c r="D1491" s="50"/>
      <c r="E1491" s="73"/>
      <c r="F1491" s="45"/>
    </row>
    <row r="1492" spans="4:6" x14ac:dyDescent="0.2">
      <c r="D1492" s="50"/>
      <c r="E1492" s="73"/>
      <c r="F1492" s="45"/>
    </row>
    <row r="1493" spans="4:6" x14ac:dyDescent="0.2">
      <c r="D1493" s="50"/>
      <c r="E1493" s="73"/>
      <c r="F1493" s="45"/>
    </row>
    <row r="1494" spans="4:6" x14ac:dyDescent="0.2">
      <c r="D1494" s="50"/>
      <c r="E1494" s="73"/>
      <c r="F1494" s="45"/>
    </row>
    <row r="1495" spans="4:6" x14ac:dyDescent="0.2">
      <c r="D1495" s="50"/>
      <c r="E1495" s="73"/>
      <c r="F1495" s="45"/>
    </row>
    <row r="1496" spans="4:6" x14ac:dyDescent="0.2">
      <c r="D1496" s="50"/>
      <c r="E1496" s="73"/>
      <c r="F1496" s="45"/>
    </row>
    <row r="1497" spans="4:6" x14ac:dyDescent="0.2">
      <c r="D1497" s="50"/>
      <c r="E1497" s="73"/>
      <c r="F1497" s="45"/>
    </row>
    <row r="1498" spans="4:6" x14ac:dyDescent="0.2">
      <c r="D1498" s="50"/>
      <c r="E1498" s="73"/>
      <c r="F1498" s="45"/>
    </row>
    <row r="1499" spans="4:6" x14ac:dyDescent="0.2">
      <c r="D1499" s="50"/>
      <c r="E1499" s="73"/>
      <c r="F1499" s="45"/>
    </row>
    <row r="1500" spans="4:6" x14ac:dyDescent="0.2">
      <c r="D1500" s="50"/>
      <c r="E1500" s="73"/>
      <c r="F1500" s="45"/>
    </row>
    <row r="1501" spans="4:6" x14ac:dyDescent="0.2">
      <c r="D1501" s="50"/>
      <c r="E1501" s="73"/>
      <c r="F1501" s="45"/>
    </row>
    <row r="1502" spans="4:6" x14ac:dyDescent="0.2">
      <c r="D1502" s="50"/>
      <c r="E1502" s="73"/>
      <c r="F1502" s="45"/>
    </row>
    <row r="1503" spans="4:6" x14ac:dyDescent="0.2">
      <c r="D1503" s="50"/>
      <c r="E1503" s="73"/>
      <c r="F1503" s="45"/>
    </row>
    <row r="1504" spans="4:6" x14ac:dyDescent="0.2">
      <c r="D1504" s="50"/>
      <c r="E1504" s="73"/>
      <c r="F1504" s="45"/>
    </row>
    <row r="1505" spans="4:6" x14ac:dyDescent="0.2">
      <c r="D1505" s="50"/>
      <c r="E1505" s="73"/>
      <c r="F1505" s="45"/>
    </row>
    <row r="1506" spans="4:6" x14ac:dyDescent="0.2">
      <c r="D1506" s="50"/>
      <c r="E1506" s="73"/>
      <c r="F1506" s="45"/>
    </row>
    <row r="1507" spans="4:6" x14ac:dyDescent="0.2">
      <c r="D1507" s="50"/>
      <c r="E1507" s="73"/>
      <c r="F1507" s="45"/>
    </row>
    <row r="1508" spans="4:6" x14ac:dyDescent="0.2">
      <c r="D1508" s="50"/>
      <c r="E1508" s="73"/>
      <c r="F1508" s="45"/>
    </row>
    <row r="1509" spans="4:6" x14ac:dyDescent="0.2">
      <c r="D1509" s="50"/>
      <c r="E1509" s="73"/>
      <c r="F1509" s="45"/>
    </row>
    <row r="1510" spans="4:6" x14ac:dyDescent="0.2">
      <c r="D1510" s="50"/>
      <c r="E1510" s="73"/>
      <c r="F1510" s="45"/>
    </row>
    <row r="1511" spans="4:6" x14ac:dyDescent="0.2">
      <c r="D1511" s="50"/>
      <c r="E1511" s="73"/>
      <c r="F1511" s="45"/>
    </row>
    <row r="1512" spans="4:6" x14ac:dyDescent="0.2">
      <c r="D1512" s="50"/>
      <c r="E1512" s="73"/>
      <c r="F1512" s="45"/>
    </row>
    <row r="1513" spans="4:6" x14ac:dyDescent="0.2">
      <c r="D1513" s="50"/>
      <c r="E1513" s="73"/>
      <c r="F1513" s="45"/>
    </row>
    <row r="1514" spans="4:6" x14ac:dyDescent="0.2">
      <c r="D1514" s="50"/>
      <c r="E1514" s="73"/>
      <c r="F1514" s="45"/>
    </row>
    <row r="1515" spans="4:6" x14ac:dyDescent="0.2">
      <c r="D1515" s="50"/>
      <c r="E1515" s="73"/>
      <c r="F1515" s="45"/>
    </row>
    <row r="1516" spans="4:6" x14ac:dyDescent="0.2">
      <c r="D1516" s="50"/>
      <c r="E1516" s="73"/>
      <c r="F1516" s="45"/>
    </row>
    <row r="1517" spans="4:6" x14ac:dyDescent="0.2">
      <c r="D1517" s="50"/>
      <c r="E1517" s="73"/>
      <c r="F1517" s="45"/>
    </row>
    <row r="1518" spans="4:6" x14ac:dyDescent="0.2">
      <c r="D1518" s="50"/>
      <c r="E1518" s="73"/>
      <c r="F1518" s="45"/>
    </row>
    <row r="1519" spans="4:6" x14ac:dyDescent="0.2">
      <c r="D1519" s="50"/>
      <c r="E1519" s="73"/>
      <c r="F1519" s="45"/>
    </row>
    <row r="1520" spans="4:6" x14ac:dyDescent="0.2">
      <c r="D1520" s="50"/>
      <c r="E1520" s="73"/>
      <c r="F1520" s="45"/>
    </row>
    <row r="1521" spans="4:6" x14ac:dyDescent="0.2">
      <c r="D1521" s="50"/>
      <c r="E1521" s="73"/>
      <c r="F1521" s="45"/>
    </row>
    <row r="1522" spans="4:6" x14ac:dyDescent="0.2">
      <c r="D1522" s="50"/>
      <c r="E1522" s="73"/>
      <c r="F1522" s="45"/>
    </row>
    <row r="1523" spans="4:6" x14ac:dyDescent="0.2">
      <c r="D1523" s="50"/>
      <c r="E1523" s="73"/>
      <c r="F1523" s="45"/>
    </row>
    <row r="1524" spans="4:6" x14ac:dyDescent="0.2">
      <c r="D1524" s="50"/>
      <c r="E1524" s="73"/>
      <c r="F1524" s="45"/>
    </row>
    <row r="1525" spans="4:6" x14ac:dyDescent="0.2">
      <c r="D1525" s="50"/>
      <c r="E1525" s="73"/>
      <c r="F1525" s="45"/>
    </row>
    <row r="1526" spans="4:6" x14ac:dyDescent="0.2">
      <c r="D1526" s="50"/>
      <c r="E1526" s="73"/>
      <c r="F1526" s="45"/>
    </row>
    <row r="1527" spans="4:6" x14ac:dyDescent="0.2">
      <c r="D1527" s="50"/>
      <c r="E1527" s="73"/>
      <c r="F1527" s="45"/>
    </row>
    <row r="1528" spans="4:6" x14ac:dyDescent="0.2">
      <c r="D1528" s="50"/>
      <c r="E1528" s="73"/>
      <c r="F1528" s="45"/>
    </row>
    <row r="1529" spans="4:6" x14ac:dyDescent="0.2">
      <c r="D1529" s="50"/>
      <c r="E1529" s="73"/>
      <c r="F1529" s="45"/>
    </row>
    <row r="1530" spans="4:6" x14ac:dyDescent="0.2">
      <c r="D1530" s="50"/>
      <c r="E1530" s="73"/>
      <c r="F1530" s="45"/>
    </row>
    <row r="1531" spans="4:6" x14ac:dyDescent="0.2">
      <c r="D1531" s="50"/>
      <c r="E1531" s="73"/>
      <c r="F1531" s="45"/>
    </row>
    <row r="1532" spans="4:6" x14ac:dyDescent="0.2">
      <c r="D1532" s="50"/>
      <c r="E1532" s="73"/>
      <c r="F1532" s="45"/>
    </row>
    <row r="1533" spans="4:6" x14ac:dyDescent="0.2">
      <c r="D1533" s="50"/>
      <c r="E1533" s="73"/>
      <c r="F1533" s="45"/>
    </row>
    <row r="1534" spans="4:6" x14ac:dyDescent="0.2">
      <c r="D1534" s="50"/>
      <c r="E1534" s="73"/>
      <c r="F1534" s="45"/>
    </row>
    <row r="1535" spans="4:6" x14ac:dyDescent="0.2">
      <c r="D1535" s="50"/>
      <c r="E1535" s="73"/>
      <c r="F1535" s="45"/>
    </row>
    <row r="1536" spans="4:6" x14ac:dyDescent="0.2">
      <c r="D1536" s="50"/>
      <c r="E1536" s="73"/>
      <c r="F1536" s="45"/>
    </row>
    <row r="1537" spans="4:6" x14ac:dyDescent="0.2">
      <c r="D1537" s="50"/>
      <c r="E1537" s="73"/>
      <c r="F1537" s="45"/>
    </row>
    <row r="1538" spans="4:6" x14ac:dyDescent="0.2">
      <c r="D1538" s="50"/>
      <c r="E1538" s="73"/>
      <c r="F1538" s="45"/>
    </row>
    <row r="1539" spans="4:6" x14ac:dyDescent="0.2">
      <c r="D1539" s="50"/>
      <c r="E1539" s="73"/>
      <c r="F1539" s="45"/>
    </row>
    <row r="1540" spans="4:6" x14ac:dyDescent="0.2">
      <c r="D1540" s="50"/>
      <c r="E1540" s="73"/>
      <c r="F1540" s="45"/>
    </row>
    <row r="1541" spans="4:6" x14ac:dyDescent="0.2">
      <c r="D1541" s="50"/>
      <c r="E1541" s="73"/>
      <c r="F1541" s="45"/>
    </row>
    <row r="1542" spans="4:6" x14ac:dyDescent="0.2">
      <c r="D1542" s="50"/>
      <c r="E1542" s="73"/>
      <c r="F1542" s="45"/>
    </row>
    <row r="1543" spans="4:6" x14ac:dyDescent="0.2">
      <c r="D1543" s="50"/>
      <c r="E1543" s="73"/>
      <c r="F1543" s="45"/>
    </row>
    <row r="1544" spans="4:6" x14ac:dyDescent="0.2">
      <c r="D1544" s="50"/>
      <c r="E1544" s="73"/>
      <c r="F1544" s="45"/>
    </row>
    <row r="1545" spans="4:6" x14ac:dyDescent="0.2">
      <c r="D1545" s="50"/>
      <c r="E1545" s="73"/>
      <c r="F1545" s="45"/>
    </row>
    <row r="1546" spans="4:6" x14ac:dyDescent="0.2">
      <c r="D1546" s="50"/>
      <c r="E1546" s="73"/>
      <c r="F1546" s="45"/>
    </row>
    <row r="1547" spans="4:6" x14ac:dyDescent="0.2">
      <c r="D1547" s="50"/>
      <c r="E1547" s="73"/>
      <c r="F1547" s="45"/>
    </row>
    <row r="1548" spans="4:6" x14ac:dyDescent="0.2">
      <c r="D1548" s="50"/>
      <c r="E1548" s="73"/>
      <c r="F1548" s="45"/>
    </row>
    <row r="1549" spans="4:6" x14ac:dyDescent="0.2">
      <c r="D1549" s="50"/>
      <c r="E1549" s="73"/>
      <c r="F1549" s="45"/>
    </row>
    <row r="1550" spans="4:6" x14ac:dyDescent="0.2">
      <c r="D1550" s="50"/>
      <c r="E1550" s="73"/>
      <c r="F1550" s="45"/>
    </row>
    <row r="1551" spans="4:6" x14ac:dyDescent="0.2">
      <c r="D1551" s="50"/>
      <c r="E1551" s="73"/>
      <c r="F1551" s="45"/>
    </row>
    <row r="1552" spans="4:6" x14ac:dyDescent="0.2">
      <c r="D1552" s="50"/>
      <c r="E1552" s="73"/>
      <c r="F1552" s="45"/>
    </row>
    <row r="1553" spans="4:6" x14ac:dyDescent="0.2">
      <c r="D1553" s="50"/>
      <c r="E1553" s="73"/>
      <c r="F1553" s="45"/>
    </row>
    <row r="1554" spans="4:6" x14ac:dyDescent="0.2">
      <c r="D1554" s="50"/>
      <c r="E1554" s="73"/>
      <c r="F1554" s="45"/>
    </row>
    <row r="1555" spans="4:6" x14ac:dyDescent="0.2">
      <c r="D1555" s="50"/>
      <c r="E1555" s="73"/>
      <c r="F1555" s="45"/>
    </row>
    <row r="1556" spans="4:6" x14ac:dyDescent="0.2">
      <c r="D1556" s="50"/>
      <c r="E1556" s="73"/>
      <c r="F1556" s="45"/>
    </row>
    <row r="1557" spans="4:6" x14ac:dyDescent="0.2">
      <c r="D1557" s="50"/>
      <c r="E1557" s="73"/>
      <c r="F1557" s="45"/>
    </row>
    <row r="1558" spans="4:6" x14ac:dyDescent="0.2">
      <c r="D1558" s="50"/>
      <c r="E1558" s="73"/>
      <c r="F1558" s="45"/>
    </row>
    <row r="1559" spans="4:6" x14ac:dyDescent="0.2">
      <c r="D1559" s="50"/>
      <c r="E1559" s="73"/>
      <c r="F1559" s="45"/>
    </row>
    <row r="1560" spans="4:6" x14ac:dyDescent="0.2">
      <c r="D1560" s="50"/>
      <c r="E1560" s="73"/>
      <c r="F1560" s="45"/>
    </row>
    <row r="1561" spans="4:6" x14ac:dyDescent="0.2">
      <c r="D1561" s="50"/>
      <c r="E1561" s="73"/>
      <c r="F1561" s="45"/>
    </row>
    <row r="1562" spans="4:6" x14ac:dyDescent="0.2">
      <c r="D1562" s="50"/>
      <c r="E1562" s="73"/>
      <c r="F1562" s="45"/>
    </row>
    <row r="1563" spans="4:6" x14ac:dyDescent="0.2">
      <c r="D1563" s="50"/>
      <c r="E1563" s="73"/>
      <c r="F1563" s="45"/>
    </row>
    <row r="1564" spans="4:6" x14ac:dyDescent="0.2">
      <c r="D1564" s="50"/>
      <c r="E1564" s="73"/>
      <c r="F1564" s="45"/>
    </row>
    <row r="1565" spans="4:6" x14ac:dyDescent="0.2">
      <c r="D1565" s="50"/>
      <c r="E1565" s="73"/>
      <c r="F1565" s="45"/>
    </row>
    <row r="1566" spans="4:6" x14ac:dyDescent="0.2">
      <c r="D1566" s="50"/>
      <c r="E1566" s="73"/>
      <c r="F1566" s="45"/>
    </row>
    <row r="1567" spans="4:6" x14ac:dyDescent="0.2">
      <c r="D1567" s="50"/>
      <c r="E1567" s="73"/>
      <c r="F1567" s="45"/>
    </row>
    <row r="1568" spans="4:6" x14ac:dyDescent="0.2">
      <c r="D1568" s="50"/>
      <c r="E1568" s="73"/>
      <c r="F1568" s="45"/>
    </row>
    <row r="1569" spans="4:6" x14ac:dyDescent="0.2">
      <c r="D1569" s="50"/>
      <c r="E1569" s="73"/>
      <c r="F1569" s="45"/>
    </row>
    <row r="1570" spans="4:6" x14ac:dyDescent="0.2">
      <c r="D1570" s="50"/>
      <c r="E1570" s="73"/>
      <c r="F1570" s="45"/>
    </row>
    <row r="1571" spans="4:6" x14ac:dyDescent="0.2">
      <c r="D1571" s="50"/>
      <c r="E1571" s="73"/>
      <c r="F1571" s="45"/>
    </row>
    <row r="1572" spans="4:6" x14ac:dyDescent="0.2">
      <c r="D1572" s="50"/>
      <c r="E1572" s="73"/>
      <c r="F1572" s="45"/>
    </row>
    <row r="1573" spans="4:6" x14ac:dyDescent="0.2">
      <c r="D1573" s="50"/>
      <c r="E1573" s="73"/>
      <c r="F1573" s="45"/>
    </row>
    <row r="1574" spans="4:6" x14ac:dyDescent="0.2">
      <c r="D1574" s="50"/>
      <c r="E1574" s="73"/>
      <c r="F1574" s="45"/>
    </row>
    <row r="1575" spans="4:6" x14ac:dyDescent="0.2">
      <c r="D1575" s="50"/>
      <c r="E1575" s="73"/>
      <c r="F1575" s="45"/>
    </row>
    <row r="1576" spans="4:6" x14ac:dyDescent="0.2">
      <c r="D1576" s="50"/>
      <c r="E1576" s="73"/>
      <c r="F1576" s="45"/>
    </row>
    <row r="1577" spans="4:6" x14ac:dyDescent="0.2">
      <c r="D1577" s="50"/>
      <c r="E1577" s="73"/>
      <c r="F1577" s="45"/>
    </row>
    <row r="1578" spans="4:6" x14ac:dyDescent="0.2">
      <c r="D1578" s="50"/>
      <c r="E1578" s="73"/>
      <c r="F1578" s="45"/>
    </row>
    <row r="1579" spans="4:6" x14ac:dyDescent="0.2">
      <c r="D1579" s="50"/>
      <c r="E1579" s="73"/>
      <c r="F1579" s="45"/>
    </row>
    <row r="1580" spans="4:6" x14ac:dyDescent="0.2">
      <c r="D1580" s="50"/>
      <c r="E1580" s="73"/>
      <c r="F1580" s="45"/>
    </row>
    <row r="1581" spans="4:6" x14ac:dyDescent="0.2">
      <c r="D1581" s="50"/>
      <c r="E1581" s="73"/>
      <c r="F1581" s="45"/>
    </row>
    <row r="1582" spans="4:6" x14ac:dyDescent="0.2">
      <c r="D1582" s="50"/>
      <c r="E1582" s="73"/>
      <c r="F1582" s="45"/>
    </row>
    <row r="1583" spans="4:6" x14ac:dyDescent="0.2">
      <c r="D1583" s="50"/>
      <c r="E1583" s="73"/>
      <c r="F1583" s="45"/>
    </row>
    <row r="1584" spans="4:6" x14ac:dyDescent="0.2">
      <c r="D1584" s="50"/>
      <c r="E1584" s="73"/>
      <c r="F1584" s="45"/>
    </row>
    <row r="1585" spans="4:6" x14ac:dyDescent="0.2">
      <c r="D1585" s="50"/>
      <c r="E1585" s="73"/>
      <c r="F1585" s="45"/>
    </row>
    <row r="1586" spans="4:6" x14ac:dyDescent="0.2">
      <c r="D1586" s="50"/>
      <c r="E1586" s="73"/>
      <c r="F1586" s="45"/>
    </row>
    <row r="1587" spans="4:6" x14ac:dyDescent="0.2">
      <c r="D1587" s="50"/>
      <c r="E1587" s="73"/>
      <c r="F1587" s="45"/>
    </row>
    <row r="1588" spans="4:6" x14ac:dyDescent="0.2">
      <c r="D1588" s="50"/>
      <c r="E1588" s="73"/>
      <c r="F1588" s="45"/>
    </row>
    <row r="1589" spans="4:6" x14ac:dyDescent="0.2">
      <c r="D1589" s="50"/>
      <c r="E1589" s="73"/>
      <c r="F1589" s="45"/>
    </row>
    <row r="1590" spans="4:6" x14ac:dyDescent="0.2">
      <c r="D1590" s="50"/>
      <c r="E1590" s="73"/>
      <c r="F1590" s="45"/>
    </row>
    <row r="1591" spans="4:6" x14ac:dyDescent="0.2">
      <c r="D1591" s="50"/>
      <c r="E1591" s="73"/>
      <c r="F1591" s="45"/>
    </row>
    <row r="1592" spans="4:6" x14ac:dyDescent="0.2">
      <c r="D1592" s="50"/>
      <c r="E1592" s="73"/>
      <c r="F1592" s="45"/>
    </row>
    <row r="1593" spans="4:6" x14ac:dyDescent="0.2">
      <c r="D1593" s="50"/>
      <c r="E1593" s="73"/>
      <c r="F1593" s="45"/>
    </row>
    <row r="1594" spans="4:6" x14ac:dyDescent="0.2">
      <c r="D1594" s="50"/>
      <c r="E1594" s="73"/>
      <c r="F1594" s="45"/>
    </row>
    <row r="1595" spans="4:6" x14ac:dyDescent="0.2">
      <c r="D1595" s="50"/>
      <c r="E1595" s="73"/>
      <c r="F1595" s="45"/>
    </row>
    <row r="1596" spans="4:6" x14ac:dyDescent="0.2">
      <c r="D1596" s="50"/>
      <c r="E1596" s="73"/>
      <c r="F1596" s="45"/>
    </row>
    <row r="1597" spans="4:6" x14ac:dyDescent="0.2">
      <c r="D1597" s="50"/>
      <c r="E1597" s="73"/>
      <c r="F1597" s="45"/>
    </row>
    <row r="1598" spans="4:6" x14ac:dyDescent="0.2">
      <c r="D1598" s="50"/>
      <c r="E1598" s="73"/>
      <c r="F1598" s="45"/>
    </row>
    <row r="1599" spans="4:6" x14ac:dyDescent="0.2">
      <c r="D1599" s="50"/>
      <c r="E1599" s="73"/>
      <c r="F1599" s="45"/>
    </row>
    <row r="1600" spans="4:6" x14ac:dyDescent="0.2">
      <c r="D1600" s="50"/>
      <c r="E1600" s="73"/>
      <c r="F1600" s="45"/>
    </row>
    <row r="1601" spans="4:6" x14ac:dyDescent="0.2">
      <c r="D1601" s="50"/>
      <c r="E1601" s="73"/>
      <c r="F1601" s="45"/>
    </row>
    <row r="1602" spans="4:6" x14ac:dyDescent="0.2">
      <c r="D1602" s="50"/>
      <c r="E1602" s="73"/>
      <c r="F1602" s="45"/>
    </row>
    <row r="1603" spans="4:6" x14ac:dyDescent="0.2">
      <c r="D1603" s="50"/>
      <c r="E1603" s="73"/>
      <c r="F1603" s="45"/>
    </row>
    <row r="1604" spans="4:6" x14ac:dyDescent="0.2">
      <c r="D1604" s="50"/>
      <c r="E1604" s="73"/>
      <c r="F1604" s="45"/>
    </row>
    <row r="1605" spans="4:6" x14ac:dyDescent="0.2">
      <c r="D1605" s="50"/>
      <c r="E1605" s="73"/>
      <c r="F1605" s="45"/>
    </row>
    <row r="1606" spans="4:6" x14ac:dyDescent="0.2">
      <c r="D1606" s="50"/>
      <c r="E1606" s="73"/>
      <c r="F1606" s="45"/>
    </row>
    <row r="1607" spans="4:6" x14ac:dyDescent="0.2">
      <c r="D1607" s="50"/>
      <c r="E1607" s="73"/>
      <c r="F1607" s="45"/>
    </row>
    <row r="1608" spans="4:6" x14ac:dyDescent="0.2">
      <c r="D1608" s="50"/>
      <c r="E1608" s="73"/>
      <c r="F1608" s="45"/>
    </row>
    <row r="1609" spans="4:6" x14ac:dyDescent="0.2">
      <c r="D1609" s="50"/>
      <c r="E1609" s="73"/>
      <c r="F1609" s="45"/>
    </row>
    <row r="1610" spans="4:6" x14ac:dyDescent="0.2">
      <c r="D1610" s="50"/>
      <c r="E1610" s="73"/>
      <c r="F1610" s="45"/>
    </row>
    <row r="1611" spans="4:6" x14ac:dyDescent="0.2">
      <c r="D1611" s="50"/>
      <c r="E1611" s="73"/>
      <c r="F1611" s="45"/>
    </row>
    <row r="1612" spans="4:6" x14ac:dyDescent="0.2">
      <c r="D1612" s="50"/>
      <c r="E1612" s="73"/>
      <c r="F1612" s="45"/>
    </row>
    <row r="1613" spans="4:6" x14ac:dyDescent="0.2">
      <c r="D1613" s="50"/>
      <c r="E1613" s="73"/>
      <c r="F1613" s="45"/>
    </row>
    <row r="1614" spans="4:6" x14ac:dyDescent="0.2">
      <c r="D1614" s="50"/>
      <c r="E1614" s="73"/>
      <c r="F1614" s="45"/>
    </row>
    <row r="1615" spans="4:6" x14ac:dyDescent="0.2">
      <c r="D1615" s="50"/>
      <c r="E1615" s="73"/>
      <c r="F1615" s="45"/>
    </row>
    <row r="1616" spans="4:6" x14ac:dyDescent="0.2">
      <c r="D1616" s="50"/>
      <c r="E1616" s="73"/>
      <c r="F1616" s="45"/>
    </row>
    <row r="1617" spans="4:6" x14ac:dyDescent="0.2">
      <c r="D1617" s="50"/>
      <c r="E1617" s="73"/>
      <c r="F1617" s="45"/>
    </row>
    <row r="1618" spans="4:6" x14ac:dyDescent="0.2">
      <c r="D1618" s="50"/>
      <c r="E1618" s="73"/>
      <c r="F1618" s="45"/>
    </row>
    <row r="1619" spans="4:6" x14ac:dyDescent="0.2">
      <c r="D1619" s="50"/>
      <c r="E1619" s="73"/>
      <c r="F1619" s="45"/>
    </row>
    <row r="1620" spans="4:6" x14ac:dyDescent="0.2">
      <c r="D1620" s="50"/>
      <c r="E1620" s="73"/>
      <c r="F1620" s="45"/>
    </row>
    <row r="1621" spans="4:6" x14ac:dyDescent="0.2">
      <c r="D1621" s="50"/>
      <c r="E1621" s="73"/>
      <c r="F1621" s="45"/>
    </row>
    <row r="1622" spans="4:6" x14ac:dyDescent="0.2">
      <c r="D1622" s="50"/>
      <c r="E1622" s="73"/>
      <c r="F1622" s="45"/>
    </row>
    <row r="1623" spans="4:6" x14ac:dyDescent="0.2">
      <c r="D1623" s="50"/>
      <c r="E1623" s="73"/>
      <c r="F1623" s="45"/>
    </row>
    <row r="1624" spans="4:6" x14ac:dyDescent="0.2">
      <c r="D1624" s="50"/>
      <c r="E1624" s="73"/>
      <c r="F1624" s="45"/>
    </row>
    <row r="1625" spans="4:6" x14ac:dyDescent="0.2">
      <c r="D1625" s="50"/>
      <c r="E1625" s="73"/>
      <c r="F1625" s="45"/>
    </row>
    <row r="1626" spans="4:6" x14ac:dyDescent="0.2">
      <c r="D1626" s="50"/>
      <c r="E1626" s="73"/>
      <c r="F1626" s="45"/>
    </row>
    <row r="1627" spans="4:6" x14ac:dyDescent="0.2">
      <c r="D1627" s="50"/>
      <c r="E1627" s="73"/>
      <c r="F1627" s="45"/>
    </row>
    <row r="1628" spans="4:6" x14ac:dyDescent="0.2">
      <c r="D1628" s="50"/>
      <c r="E1628" s="73"/>
      <c r="F1628" s="45"/>
    </row>
    <row r="1629" spans="4:6" x14ac:dyDescent="0.2">
      <c r="D1629" s="50"/>
      <c r="E1629" s="73"/>
      <c r="F1629" s="45"/>
    </row>
    <row r="1630" spans="4:6" x14ac:dyDescent="0.2">
      <c r="D1630" s="50"/>
      <c r="E1630" s="73"/>
      <c r="F1630" s="45"/>
    </row>
    <row r="1631" spans="4:6" x14ac:dyDescent="0.2">
      <c r="D1631" s="50"/>
      <c r="E1631" s="73"/>
      <c r="F1631" s="45"/>
    </row>
    <row r="1632" spans="4:6" x14ac:dyDescent="0.2">
      <c r="D1632" s="50"/>
      <c r="E1632" s="73"/>
      <c r="F1632" s="45"/>
    </row>
    <row r="1633" spans="4:6" x14ac:dyDescent="0.2">
      <c r="D1633" s="50"/>
      <c r="E1633" s="73"/>
      <c r="F1633" s="45"/>
    </row>
    <row r="1634" spans="4:6" x14ac:dyDescent="0.2">
      <c r="D1634" s="50"/>
      <c r="E1634" s="73"/>
      <c r="F1634" s="45"/>
    </row>
    <row r="1635" spans="4:6" x14ac:dyDescent="0.2">
      <c r="D1635" s="50"/>
      <c r="E1635" s="73"/>
      <c r="F1635" s="45"/>
    </row>
    <row r="1636" spans="4:6" x14ac:dyDescent="0.2">
      <c r="D1636" s="50"/>
      <c r="E1636" s="73"/>
      <c r="F1636" s="45"/>
    </row>
    <row r="1637" spans="4:6" x14ac:dyDescent="0.2">
      <c r="D1637" s="50"/>
      <c r="E1637" s="73"/>
      <c r="F1637" s="45"/>
    </row>
    <row r="1638" spans="4:6" x14ac:dyDescent="0.2">
      <c r="D1638" s="50"/>
      <c r="E1638" s="73"/>
      <c r="F1638" s="45"/>
    </row>
    <row r="1639" spans="4:6" x14ac:dyDescent="0.2">
      <c r="D1639" s="50"/>
      <c r="E1639" s="73"/>
      <c r="F1639" s="45"/>
    </row>
    <row r="1640" spans="4:6" x14ac:dyDescent="0.2">
      <c r="D1640" s="50"/>
      <c r="E1640" s="73"/>
      <c r="F1640" s="45"/>
    </row>
    <row r="1641" spans="4:6" x14ac:dyDescent="0.2">
      <c r="D1641" s="50"/>
      <c r="E1641" s="73"/>
      <c r="F1641" s="45"/>
    </row>
    <row r="1642" spans="4:6" x14ac:dyDescent="0.2">
      <c r="D1642" s="50"/>
      <c r="E1642" s="73"/>
      <c r="F1642" s="45"/>
    </row>
    <row r="1643" spans="4:6" x14ac:dyDescent="0.2">
      <c r="D1643" s="50"/>
      <c r="E1643" s="73"/>
      <c r="F1643" s="45"/>
    </row>
    <row r="1644" spans="4:6" x14ac:dyDescent="0.2">
      <c r="D1644" s="50"/>
      <c r="E1644" s="73"/>
      <c r="F1644" s="45"/>
    </row>
    <row r="1645" spans="4:6" x14ac:dyDescent="0.2">
      <c r="D1645" s="50"/>
      <c r="E1645" s="73"/>
      <c r="F1645" s="45"/>
    </row>
    <row r="1646" spans="4:6" x14ac:dyDescent="0.2">
      <c r="D1646" s="50"/>
      <c r="E1646" s="73"/>
      <c r="F1646" s="45"/>
    </row>
    <row r="1647" spans="4:6" x14ac:dyDescent="0.2">
      <c r="D1647" s="50"/>
      <c r="E1647" s="73"/>
      <c r="F1647" s="45"/>
    </row>
    <row r="1648" spans="4:6" x14ac:dyDescent="0.2">
      <c r="D1648" s="50"/>
      <c r="E1648" s="73"/>
      <c r="F1648" s="45"/>
    </row>
    <row r="1649" spans="4:6" x14ac:dyDescent="0.2">
      <c r="D1649" s="50"/>
      <c r="E1649" s="73"/>
      <c r="F1649" s="45"/>
    </row>
    <row r="1650" spans="4:6" x14ac:dyDescent="0.2">
      <c r="D1650" s="50"/>
      <c r="E1650" s="73"/>
      <c r="F1650" s="45"/>
    </row>
    <row r="1651" spans="4:6" x14ac:dyDescent="0.2">
      <c r="D1651" s="50"/>
      <c r="E1651" s="73"/>
      <c r="F1651" s="45"/>
    </row>
    <row r="1652" spans="4:6" x14ac:dyDescent="0.2">
      <c r="D1652" s="50"/>
      <c r="E1652" s="73"/>
      <c r="F1652" s="45"/>
    </row>
    <row r="1653" spans="4:6" x14ac:dyDescent="0.2">
      <c r="D1653" s="50"/>
      <c r="E1653" s="73"/>
      <c r="F1653" s="45"/>
    </row>
    <row r="1654" spans="4:6" x14ac:dyDescent="0.2">
      <c r="D1654" s="50"/>
      <c r="E1654" s="73"/>
      <c r="F1654" s="45"/>
    </row>
    <row r="1655" spans="4:6" x14ac:dyDescent="0.2">
      <c r="D1655" s="50"/>
      <c r="E1655" s="73"/>
      <c r="F1655" s="45"/>
    </row>
    <row r="1656" spans="4:6" x14ac:dyDescent="0.2">
      <c r="D1656" s="50"/>
      <c r="E1656" s="73"/>
      <c r="F1656" s="45"/>
    </row>
    <row r="1657" spans="4:6" x14ac:dyDescent="0.2">
      <c r="D1657" s="50"/>
      <c r="E1657" s="73"/>
      <c r="F1657" s="45"/>
    </row>
    <row r="1658" spans="4:6" x14ac:dyDescent="0.2">
      <c r="D1658" s="50"/>
      <c r="E1658" s="73"/>
      <c r="F1658" s="45"/>
    </row>
    <row r="1659" spans="4:6" x14ac:dyDescent="0.2">
      <c r="D1659" s="50"/>
      <c r="E1659" s="73"/>
      <c r="F1659" s="45"/>
    </row>
    <row r="1660" spans="4:6" x14ac:dyDescent="0.2">
      <c r="D1660" s="50"/>
      <c r="E1660" s="73"/>
      <c r="F1660" s="45"/>
    </row>
    <row r="1661" spans="4:6" x14ac:dyDescent="0.2">
      <c r="D1661" s="50"/>
      <c r="E1661" s="73"/>
      <c r="F1661" s="45"/>
    </row>
    <row r="1662" spans="4:6" x14ac:dyDescent="0.2">
      <c r="D1662" s="50"/>
      <c r="E1662" s="73"/>
      <c r="F1662" s="45"/>
    </row>
    <row r="1663" spans="4:6" x14ac:dyDescent="0.2">
      <c r="D1663" s="50"/>
      <c r="E1663" s="73"/>
      <c r="F1663" s="45"/>
    </row>
    <row r="1664" spans="4:6" x14ac:dyDescent="0.2">
      <c r="D1664" s="50"/>
      <c r="E1664" s="73"/>
      <c r="F1664" s="45"/>
    </row>
    <row r="1665" spans="4:6" x14ac:dyDescent="0.2">
      <c r="D1665" s="50"/>
      <c r="E1665" s="73"/>
      <c r="F1665" s="45"/>
    </row>
    <row r="1666" spans="4:6" x14ac:dyDescent="0.2">
      <c r="D1666" s="50"/>
      <c r="E1666" s="73"/>
      <c r="F1666" s="45"/>
    </row>
    <row r="1667" spans="4:6" x14ac:dyDescent="0.2">
      <c r="D1667" s="50"/>
      <c r="E1667" s="73"/>
      <c r="F1667" s="45"/>
    </row>
    <row r="1668" spans="4:6" x14ac:dyDescent="0.2">
      <c r="D1668" s="50"/>
      <c r="E1668" s="73"/>
      <c r="F1668" s="45"/>
    </row>
    <row r="1669" spans="4:6" x14ac:dyDescent="0.2">
      <c r="D1669" s="50"/>
      <c r="E1669" s="73"/>
      <c r="F1669" s="45"/>
    </row>
    <row r="1670" spans="4:6" x14ac:dyDescent="0.2">
      <c r="D1670" s="50"/>
      <c r="E1670" s="73"/>
      <c r="F1670" s="45"/>
    </row>
    <row r="1671" spans="4:6" x14ac:dyDescent="0.2">
      <c r="D1671" s="50"/>
      <c r="E1671" s="73"/>
      <c r="F1671" s="45"/>
    </row>
    <row r="1672" spans="4:6" x14ac:dyDescent="0.2">
      <c r="D1672" s="50"/>
      <c r="E1672" s="73"/>
      <c r="F1672" s="45"/>
    </row>
    <row r="1673" spans="4:6" x14ac:dyDescent="0.2">
      <c r="D1673" s="50"/>
      <c r="E1673" s="73"/>
      <c r="F1673" s="45"/>
    </row>
    <row r="1674" spans="4:6" x14ac:dyDescent="0.2">
      <c r="D1674" s="50"/>
      <c r="E1674" s="73"/>
      <c r="F1674" s="45"/>
    </row>
    <row r="1675" spans="4:6" x14ac:dyDescent="0.2">
      <c r="D1675" s="50"/>
      <c r="E1675" s="73"/>
      <c r="F1675" s="45"/>
    </row>
    <row r="1676" spans="4:6" x14ac:dyDescent="0.2">
      <c r="D1676" s="50"/>
      <c r="E1676" s="73"/>
      <c r="F1676" s="45"/>
    </row>
    <row r="1677" spans="4:6" x14ac:dyDescent="0.2">
      <c r="D1677" s="50"/>
      <c r="E1677" s="73"/>
      <c r="F1677" s="45"/>
    </row>
    <row r="1678" spans="4:6" x14ac:dyDescent="0.2">
      <c r="D1678" s="50"/>
      <c r="E1678" s="73"/>
      <c r="F1678" s="45"/>
    </row>
    <row r="1679" spans="4:6" x14ac:dyDescent="0.2">
      <c r="D1679" s="50"/>
      <c r="E1679" s="73"/>
      <c r="F1679" s="45"/>
    </row>
    <row r="1680" spans="4:6" x14ac:dyDescent="0.2">
      <c r="D1680" s="50"/>
      <c r="E1680" s="73"/>
      <c r="F1680" s="45"/>
    </row>
    <row r="1681" spans="4:6" x14ac:dyDescent="0.2">
      <c r="D1681" s="50"/>
      <c r="E1681" s="73"/>
      <c r="F1681" s="45"/>
    </row>
    <row r="1682" spans="4:6" x14ac:dyDescent="0.2">
      <c r="D1682" s="50"/>
      <c r="E1682" s="73"/>
      <c r="F1682" s="45"/>
    </row>
    <row r="1683" spans="4:6" x14ac:dyDescent="0.2">
      <c r="D1683" s="50"/>
      <c r="E1683" s="73"/>
      <c r="F1683" s="45"/>
    </row>
    <row r="1684" spans="4:6" x14ac:dyDescent="0.2">
      <c r="D1684" s="50"/>
      <c r="E1684" s="73"/>
      <c r="F1684" s="45"/>
    </row>
    <row r="1685" spans="4:6" x14ac:dyDescent="0.2">
      <c r="D1685" s="50"/>
      <c r="E1685" s="73"/>
      <c r="F1685" s="45"/>
    </row>
    <row r="1686" spans="4:6" x14ac:dyDescent="0.2">
      <c r="D1686" s="50"/>
      <c r="E1686" s="73"/>
      <c r="F1686" s="45"/>
    </row>
    <row r="1687" spans="4:6" x14ac:dyDescent="0.2">
      <c r="D1687" s="50"/>
      <c r="E1687" s="73"/>
      <c r="F1687" s="45"/>
    </row>
    <row r="1688" spans="4:6" x14ac:dyDescent="0.2">
      <c r="D1688" s="50"/>
      <c r="E1688" s="73"/>
      <c r="F1688" s="45"/>
    </row>
    <row r="1689" spans="4:6" x14ac:dyDescent="0.2">
      <c r="D1689" s="50"/>
      <c r="E1689" s="73"/>
      <c r="F1689" s="45"/>
    </row>
    <row r="1690" spans="4:6" x14ac:dyDescent="0.2">
      <c r="D1690" s="50"/>
      <c r="E1690" s="73"/>
      <c r="F1690" s="45"/>
    </row>
    <row r="1691" spans="4:6" x14ac:dyDescent="0.2">
      <c r="D1691" s="50"/>
      <c r="E1691" s="73"/>
      <c r="F1691" s="45"/>
    </row>
    <row r="1692" spans="4:6" x14ac:dyDescent="0.2">
      <c r="D1692" s="50"/>
      <c r="E1692" s="73"/>
      <c r="F1692" s="45"/>
    </row>
    <row r="1693" spans="4:6" x14ac:dyDescent="0.2">
      <c r="D1693" s="50"/>
      <c r="E1693" s="73"/>
      <c r="F1693" s="45"/>
    </row>
    <row r="1694" spans="4:6" x14ac:dyDescent="0.2">
      <c r="D1694" s="50"/>
      <c r="E1694" s="73"/>
      <c r="F1694" s="45"/>
    </row>
    <row r="1695" spans="4:6" x14ac:dyDescent="0.2">
      <c r="D1695" s="50"/>
      <c r="E1695" s="73"/>
      <c r="F1695" s="45"/>
    </row>
    <row r="1696" spans="4:6" x14ac:dyDescent="0.2">
      <c r="D1696" s="50"/>
      <c r="E1696" s="73"/>
      <c r="F1696" s="45"/>
    </row>
    <row r="1697" spans="4:6" x14ac:dyDescent="0.2">
      <c r="D1697" s="50"/>
      <c r="E1697" s="73"/>
      <c r="F1697" s="45"/>
    </row>
    <row r="1698" spans="4:6" x14ac:dyDescent="0.2">
      <c r="D1698" s="50"/>
      <c r="E1698" s="73"/>
      <c r="F1698" s="45"/>
    </row>
    <row r="1699" spans="4:6" x14ac:dyDescent="0.2">
      <c r="D1699" s="50"/>
      <c r="E1699" s="73"/>
      <c r="F1699" s="45"/>
    </row>
    <row r="1700" spans="4:6" x14ac:dyDescent="0.2">
      <c r="D1700" s="50"/>
      <c r="E1700" s="73"/>
      <c r="F1700" s="45"/>
    </row>
    <row r="1701" spans="4:6" x14ac:dyDescent="0.2">
      <c r="D1701" s="50"/>
      <c r="E1701" s="73"/>
      <c r="F1701" s="45"/>
    </row>
    <row r="1702" spans="4:6" x14ac:dyDescent="0.2">
      <c r="D1702" s="50"/>
      <c r="E1702" s="73"/>
      <c r="F1702" s="45"/>
    </row>
    <row r="1703" spans="4:6" x14ac:dyDescent="0.2">
      <c r="D1703" s="50"/>
      <c r="E1703" s="73"/>
      <c r="F1703" s="45"/>
    </row>
    <row r="1704" spans="4:6" x14ac:dyDescent="0.2">
      <c r="D1704" s="50"/>
      <c r="E1704" s="73"/>
      <c r="F1704" s="45"/>
    </row>
    <row r="1705" spans="4:6" x14ac:dyDescent="0.2">
      <c r="D1705" s="50"/>
      <c r="E1705" s="73"/>
      <c r="F1705" s="45"/>
    </row>
    <row r="1706" spans="4:6" x14ac:dyDescent="0.2">
      <c r="D1706" s="50"/>
      <c r="E1706" s="73"/>
      <c r="F1706" s="45"/>
    </row>
    <row r="1707" spans="4:6" x14ac:dyDescent="0.2">
      <c r="D1707" s="50"/>
      <c r="E1707" s="73"/>
      <c r="F1707" s="45"/>
    </row>
    <row r="1708" spans="4:6" x14ac:dyDescent="0.2">
      <c r="D1708" s="50"/>
      <c r="E1708" s="73"/>
      <c r="F1708" s="45"/>
    </row>
    <row r="1709" spans="4:6" x14ac:dyDescent="0.2">
      <c r="D1709" s="50"/>
      <c r="E1709" s="73"/>
      <c r="F1709" s="45"/>
    </row>
    <row r="1710" spans="4:6" x14ac:dyDescent="0.2">
      <c r="D1710" s="50"/>
      <c r="E1710" s="73"/>
      <c r="F1710" s="45"/>
    </row>
    <row r="1711" spans="4:6" x14ac:dyDescent="0.2">
      <c r="D1711" s="50"/>
      <c r="E1711" s="73"/>
      <c r="F1711" s="45"/>
    </row>
    <row r="1712" spans="4:6" x14ac:dyDescent="0.2">
      <c r="D1712" s="50"/>
      <c r="E1712" s="73"/>
      <c r="F1712" s="45"/>
    </row>
    <row r="1713" spans="4:6" x14ac:dyDescent="0.2">
      <c r="D1713" s="50"/>
      <c r="E1713" s="73"/>
      <c r="F1713" s="45"/>
    </row>
    <row r="1714" spans="4:6" x14ac:dyDescent="0.2">
      <c r="D1714" s="50"/>
      <c r="E1714" s="73"/>
      <c r="F1714" s="45"/>
    </row>
    <row r="1715" spans="4:6" x14ac:dyDescent="0.2">
      <c r="D1715" s="50"/>
      <c r="E1715" s="73"/>
      <c r="F1715" s="45"/>
    </row>
    <row r="1716" spans="4:6" x14ac:dyDescent="0.2">
      <c r="D1716" s="50"/>
      <c r="E1716" s="73"/>
      <c r="F1716" s="45"/>
    </row>
    <row r="1717" spans="4:6" x14ac:dyDescent="0.2">
      <c r="D1717" s="50"/>
      <c r="E1717" s="73"/>
      <c r="F1717" s="45"/>
    </row>
    <row r="1718" spans="4:6" x14ac:dyDescent="0.2">
      <c r="D1718" s="50"/>
      <c r="E1718" s="73"/>
      <c r="F1718" s="45"/>
    </row>
    <row r="1719" spans="4:6" x14ac:dyDescent="0.2">
      <c r="D1719" s="50"/>
      <c r="E1719" s="73"/>
      <c r="F1719" s="45"/>
    </row>
    <row r="1720" spans="4:6" x14ac:dyDescent="0.2">
      <c r="D1720" s="50"/>
      <c r="E1720" s="73"/>
      <c r="F1720" s="45"/>
    </row>
    <row r="1721" spans="4:6" x14ac:dyDescent="0.2">
      <c r="D1721" s="50"/>
      <c r="E1721" s="73"/>
      <c r="F1721" s="45"/>
    </row>
    <row r="1722" spans="4:6" x14ac:dyDescent="0.2">
      <c r="D1722" s="50"/>
      <c r="E1722" s="73"/>
      <c r="F1722" s="45"/>
    </row>
    <row r="1723" spans="4:6" x14ac:dyDescent="0.2">
      <c r="D1723" s="50"/>
      <c r="E1723" s="73"/>
      <c r="F1723" s="45"/>
    </row>
    <row r="1724" spans="4:6" x14ac:dyDescent="0.2">
      <c r="D1724" s="50"/>
      <c r="E1724" s="73"/>
      <c r="F1724" s="45"/>
    </row>
    <row r="1725" spans="4:6" x14ac:dyDescent="0.2">
      <c r="D1725" s="50"/>
      <c r="E1725" s="73"/>
      <c r="F1725" s="45"/>
    </row>
    <row r="1726" spans="4:6" x14ac:dyDescent="0.2">
      <c r="D1726" s="50"/>
      <c r="E1726" s="73"/>
      <c r="F1726" s="45"/>
    </row>
    <row r="1727" spans="4:6" x14ac:dyDescent="0.2">
      <c r="D1727" s="50"/>
      <c r="E1727" s="73"/>
      <c r="F1727" s="45"/>
    </row>
    <row r="1728" spans="4:6" x14ac:dyDescent="0.2">
      <c r="D1728" s="50"/>
      <c r="E1728" s="73"/>
      <c r="F1728" s="45"/>
    </row>
    <row r="1729" spans="4:6" x14ac:dyDescent="0.2">
      <c r="D1729" s="50"/>
      <c r="E1729" s="73"/>
      <c r="F1729" s="45"/>
    </row>
    <row r="1730" spans="4:6" x14ac:dyDescent="0.2">
      <c r="D1730" s="50"/>
      <c r="E1730" s="73"/>
      <c r="F1730" s="45"/>
    </row>
    <row r="1731" spans="4:6" x14ac:dyDescent="0.2">
      <c r="D1731" s="50"/>
      <c r="E1731" s="73"/>
      <c r="F1731" s="45"/>
    </row>
    <row r="1732" spans="4:6" x14ac:dyDescent="0.2">
      <c r="D1732" s="50"/>
      <c r="E1732" s="73"/>
      <c r="F1732" s="45"/>
    </row>
    <row r="1733" spans="4:6" x14ac:dyDescent="0.2">
      <c r="D1733" s="50"/>
      <c r="E1733" s="73"/>
      <c r="F1733" s="45"/>
    </row>
    <row r="1734" spans="4:6" x14ac:dyDescent="0.2">
      <c r="D1734" s="50"/>
      <c r="E1734" s="73"/>
      <c r="F1734" s="45"/>
    </row>
    <row r="1735" spans="4:6" x14ac:dyDescent="0.2">
      <c r="D1735" s="50"/>
      <c r="E1735" s="73"/>
      <c r="F1735" s="45"/>
    </row>
    <row r="1736" spans="4:6" x14ac:dyDescent="0.2">
      <c r="D1736" s="50"/>
      <c r="E1736" s="73"/>
      <c r="F1736" s="45"/>
    </row>
    <row r="1737" spans="4:6" x14ac:dyDescent="0.2">
      <c r="D1737" s="50"/>
      <c r="E1737" s="73"/>
      <c r="F1737" s="45"/>
    </row>
    <row r="1738" spans="4:6" x14ac:dyDescent="0.2">
      <c r="D1738" s="50"/>
      <c r="E1738" s="73"/>
      <c r="F1738" s="45"/>
    </row>
    <row r="1739" spans="4:6" x14ac:dyDescent="0.2">
      <c r="D1739" s="50"/>
      <c r="E1739" s="73"/>
      <c r="F1739" s="45"/>
    </row>
    <row r="1740" spans="4:6" x14ac:dyDescent="0.2">
      <c r="D1740" s="50"/>
      <c r="E1740" s="73"/>
      <c r="F1740" s="45"/>
    </row>
    <row r="1741" spans="4:6" x14ac:dyDescent="0.2">
      <c r="D1741" s="50"/>
      <c r="E1741" s="73"/>
      <c r="F1741" s="45"/>
    </row>
    <row r="1742" spans="4:6" x14ac:dyDescent="0.2">
      <c r="D1742" s="50"/>
      <c r="E1742" s="73"/>
      <c r="F1742" s="45"/>
    </row>
    <row r="1743" spans="4:6" x14ac:dyDescent="0.2">
      <c r="D1743" s="50"/>
      <c r="E1743" s="73"/>
      <c r="F1743" s="45"/>
    </row>
    <row r="1744" spans="4:6" x14ac:dyDescent="0.2">
      <c r="D1744" s="50"/>
      <c r="E1744" s="73"/>
      <c r="F1744" s="45"/>
    </row>
    <row r="1745" spans="4:6" x14ac:dyDescent="0.2">
      <c r="D1745" s="50"/>
      <c r="E1745" s="73"/>
      <c r="F1745" s="45"/>
    </row>
    <row r="1746" spans="4:6" x14ac:dyDescent="0.2">
      <c r="D1746" s="50"/>
      <c r="E1746" s="73"/>
      <c r="F1746" s="45"/>
    </row>
    <row r="1747" spans="4:6" x14ac:dyDescent="0.2">
      <c r="D1747" s="50"/>
      <c r="E1747" s="73"/>
      <c r="F1747" s="45"/>
    </row>
    <row r="1748" spans="4:6" x14ac:dyDescent="0.2">
      <c r="D1748" s="50"/>
      <c r="E1748" s="73"/>
      <c r="F1748" s="45"/>
    </row>
    <row r="1749" spans="4:6" x14ac:dyDescent="0.2">
      <c r="D1749" s="50"/>
      <c r="E1749" s="73"/>
      <c r="F1749" s="45"/>
    </row>
    <row r="1750" spans="4:6" x14ac:dyDescent="0.2">
      <c r="D1750" s="50"/>
      <c r="E1750" s="73"/>
      <c r="F1750" s="45"/>
    </row>
    <row r="1751" spans="4:6" x14ac:dyDescent="0.2">
      <c r="D1751" s="50"/>
      <c r="E1751" s="73"/>
      <c r="F1751" s="45"/>
    </row>
    <row r="1752" spans="4:6" x14ac:dyDescent="0.2">
      <c r="D1752" s="50"/>
      <c r="E1752" s="73"/>
      <c r="F1752" s="45"/>
    </row>
    <row r="1753" spans="4:6" x14ac:dyDescent="0.2">
      <c r="D1753" s="50"/>
      <c r="E1753" s="73"/>
      <c r="F1753" s="45"/>
    </row>
    <row r="1754" spans="4:6" x14ac:dyDescent="0.2">
      <c r="D1754" s="50"/>
      <c r="E1754" s="73"/>
      <c r="F1754" s="45"/>
    </row>
    <row r="1755" spans="4:6" x14ac:dyDescent="0.2">
      <c r="D1755" s="50"/>
      <c r="E1755" s="73"/>
      <c r="F1755" s="45"/>
    </row>
    <row r="1756" spans="4:6" x14ac:dyDescent="0.2">
      <c r="D1756" s="50"/>
      <c r="E1756" s="73"/>
      <c r="F1756" s="45"/>
    </row>
    <row r="1757" spans="4:6" x14ac:dyDescent="0.2">
      <c r="D1757" s="50"/>
      <c r="E1757" s="73"/>
      <c r="F1757" s="45"/>
    </row>
    <row r="1758" spans="4:6" x14ac:dyDescent="0.2">
      <c r="D1758" s="50"/>
      <c r="E1758" s="73"/>
      <c r="F1758" s="45"/>
    </row>
    <row r="1759" spans="4:6" x14ac:dyDescent="0.2">
      <c r="D1759" s="50"/>
      <c r="E1759" s="73"/>
      <c r="F1759" s="45"/>
    </row>
    <row r="1760" spans="4:6" x14ac:dyDescent="0.2">
      <c r="D1760" s="50"/>
      <c r="E1760" s="73"/>
      <c r="F1760" s="45"/>
    </row>
    <row r="1761" spans="4:6" x14ac:dyDescent="0.2">
      <c r="D1761" s="50"/>
      <c r="E1761" s="73"/>
      <c r="F1761" s="45"/>
    </row>
    <row r="1762" spans="4:6" x14ac:dyDescent="0.2">
      <c r="D1762" s="50"/>
      <c r="E1762" s="73"/>
      <c r="F1762" s="45"/>
    </row>
    <row r="1763" spans="4:6" x14ac:dyDescent="0.2">
      <c r="D1763" s="50"/>
      <c r="E1763" s="73"/>
      <c r="F1763" s="45"/>
    </row>
    <row r="1764" spans="4:6" x14ac:dyDescent="0.2">
      <c r="D1764" s="50"/>
      <c r="E1764" s="73"/>
      <c r="F1764" s="45"/>
    </row>
    <row r="1765" spans="4:6" x14ac:dyDescent="0.2">
      <c r="D1765" s="50"/>
      <c r="E1765" s="73"/>
      <c r="F1765" s="45"/>
    </row>
    <row r="1766" spans="4:6" x14ac:dyDescent="0.2">
      <c r="D1766" s="50"/>
      <c r="E1766" s="73"/>
      <c r="F1766" s="45"/>
    </row>
    <row r="1767" spans="4:6" x14ac:dyDescent="0.2">
      <c r="D1767" s="50"/>
      <c r="E1767" s="73"/>
      <c r="F1767" s="45"/>
    </row>
    <row r="1768" spans="4:6" x14ac:dyDescent="0.2">
      <c r="D1768" s="50"/>
      <c r="E1768" s="73"/>
      <c r="F1768" s="45"/>
    </row>
    <row r="1769" spans="4:6" x14ac:dyDescent="0.2">
      <c r="D1769" s="50"/>
      <c r="E1769" s="73"/>
      <c r="F1769" s="45"/>
    </row>
    <row r="1770" spans="4:6" x14ac:dyDescent="0.2">
      <c r="D1770" s="50"/>
      <c r="E1770" s="73"/>
      <c r="F1770" s="45"/>
    </row>
    <row r="1771" spans="4:6" x14ac:dyDescent="0.2">
      <c r="D1771" s="50"/>
      <c r="E1771" s="73"/>
      <c r="F1771" s="45"/>
    </row>
    <row r="1772" spans="4:6" x14ac:dyDescent="0.2">
      <c r="D1772" s="50"/>
      <c r="E1772" s="73"/>
      <c r="F1772" s="45"/>
    </row>
    <row r="1773" spans="4:6" x14ac:dyDescent="0.2">
      <c r="D1773" s="50"/>
      <c r="E1773" s="73"/>
      <c r="F1773" s="45"/>
    </row>
    <row r="1774" spans="4:6" x14ac:dyDescent="0.2">
      <c r="D1774" s="50"/>
      <c r="E1774" s="73"/>
      <c r="F1774" s="45"/>
    </row>
    <row r="1775" spans="4:6" x14ac:dyDescent="0.2">
      <c r="D1775" s="50"/>
      <c r="E1775" s="73"/>
      <c r="F1775" s="45"/>
    </row>
    <row r="1776" spans="4:6" x14ac:dyDescent="0.2">
      <c r="D1776" s="50"/>
      <c r="E1776" s="73"/>
      <c r="F1776" s="45"/>
    </row>
    <row r="1777" spans="4:6" x14ac:dyDescent="0.2">
      <c r="D1777" s="50"/>
      <c r="E1777" s="73"/>
      <c r="F1777" s="45"/>
    </row>
    <row r="1778" spans="4:6" x14ac:dyDescent="0.2">
      <c r="D1778" s="50"/>
      <c r="E1778" s="73"/>
      <c r="F1778" s="45"/>
    </row>
    <row r="1779" spans="4:6" x14ac:dyDescent="0.2">
      <c r="D1779" s="50"/>
      <c r="E1779" s="73"/>
      <c r="F1779" s="45"/>
    </row>
    <row r="1780" spans="4:6" x14ac:dyDescent="0.2">
      <c r="D1780" s="50"/>
      <c r="E1780" s="73"/>
      <c r="F1780" s="45"/>
    </row>
    <row r="1781" spans="4:6" x14ac:dyDescent="0.2">
      <c r="D1781" s="50"/>
      <c r="E1781" s="73"/>
      <c r="F1781" s="45"/>
    </row>
    <row r="1782" spans="4:6" x14ac:dyDescent="0.2">
      <c r="D1782" s="50"/>
      <c r="E1782" s="73"/>
      <c r="F1782" s="45"/>
    </row>
    <row r="1783" spans="4:6" x14ac:dyDescent="0.2">
      <c r="D1783" s="50"/>
      <c r="E1783" s="73"/>
      <c r="F1783" s="45"/>
    </row>
    <row r="1784" spans="4:6" x14ac:dyDescent="0.2">
      <c r="D1784" s="50"/>
      <c r="E1784" s="73"/>
      <c r="F1784" s="45"/>
    </row>
    <row r="1785" spans="4:6" x14ac:dyDescent="0.2">
      <c r="D1785" s="50"/>
      <c r="E1785" s="73"/>
      <c r="F1785" s="45"/>
    </row>
    <row r="1786" spans="4:6" x14ac:dyDescent="0.2">
      <c r="D1786" s="50"/>
      <c r="E1786" s="73"/>
      <c r="F1786" s="45"/>
    </row>
    <row r="1787" spans="4:6" x14ac:dyDescent="0.2">
      <c r="D1787" s="50"/>
      <c r="E1787" s="73"/>
      <c r="F1787" s="45"/>
    </row>
    <row r="1788" spans="4:6" x14ac:dyDescent="0.2">
      <c r="D1788" s="50"/>
      <c r="E1788" s="73"/>
      <c r="F1788" s="45"/>
    </row>
    <row r="1789" spans="4:6" x14ac:dyDescent="0.2">
      <c r="D1789" s="50"/>
      <c r="E1789" s="73"/>
      <c r="F1789" s="45"/>
    </row>
    <row r="1790" spans="4:6" x14ac:dyDescent="0.2">
      <c r="D1790" s="50"/>
      <c r="E1790" s="73"/>
      <c r="F1790" s="45"/>
    </row>
    <row r="1791" spans="4:6" x14ac:dyDescent="0.2">
      <c r="D1791" s="50"/>
      <c r="E1791" s="73"/>
      <c r="F1791" s="45"/>
    </row>
    <row r="1792" spans="4:6" x14ac:dyDescent="0.2">
      <c r="D1792" s="50"/>
      <c r="E1792" s="73"/>
      <c r="F1792" s="45"/>
    </row>
    <row r="1793" spans="4:6" x14ac:dyDescent="0.2">
      <c r="D1793" s="50"/>
      <c r="E1793" s="73"/>
      <c r="F1793" s="45"/>
    </row>
    <row r="1794" spans="4:6" x14ac:dyDescent="0.2">
      <c r="D1794" s="50"/>
      <c r="E1794" s="73"/>
      <c r="F1794" s="45"/>
    </row>
    <row r="1795" spans="4:6" x14ac:dyDescent="0.2">
      <c r="D1795" s="50"/>
      <c r="E1795" s="73"/>
      <c r="F1795" s="45"/>
    </row>
    <row r="1796" spans="4:6" x14ac:dyDescent="0.2">
      <c r="D1796" s="50"/>
      <c r="E1796" s="73"/>
      <c r="F1796" s="45"/>
    </row>
    <row r="1797" spans="4:6" x14ac:dyDescent="0.2">
      <c r="D1797" s="50"/>
      <c r="E1797" s="73"/>
      <c r="F1797" s="45"/>
    </row>
    <row r="1798" spans="4:6" x14ac:dyDescent="0.2">
      <c r="D1798" s="50"/>
      <c r="E1798" s="73"/>
      <c r="F1798" s="45"/>
    </row>
    <row r="1799" spans="4:6" x14ac:dyDescent="0.2">
      <c r="D1799" s="50"/>
      <c r="E1799" s="73"/>
      <c r="F1799" s="45"/>
    </row>
    <row r="1800" spans="4:6" x14ac:dyDescent="0.2">
      <c r="D1800" s="50"/>
      <c r="E1800" s="73"/>
      <c r="F1800" s="45"/>
    </row>
    <row r="1801" spans="4:6" x14ac:dyDescent="0.2">
      <c r="D1801" s="50"/>
      <c r="E1801" s="73"/>
      <c r="F1801" s="45"/>
    </row>
    <row r="1802" spans="4:6" x14ac:dyDescent="0.2">
      <c r="D1802" s="50"/>
      <c r="E1802" s="73"/>
      <c r="F1802" s="45"/>
    </row>
    <row r="1803" spans="4:6" x14ac:dyDescent="0.2">
      <c r="D1803" s="50"/>
      <c r="E1803" s="73"/>
      <c r="F1803" s="45"/>
    </row>
    <row r="1804" spans="4:6" x14ac:dyDescent="0.2">
      <c r="D1804" s="50"/>
      <c r="E1804" s="73"/>
      <c r="F1804" s="45"/>
    </row>
    <row r="1805" spans="4:6" x14ac:dyDescent="0.2">
      <c r="D1805" s="50"/>
      <c r="E1805" s="73"/>
      <c r="F1805" s="45"/>
    </row>
    <row r="1806" spans="4:6" x14ac:dyDescent="0.2">
      <c r="D1806" s="50"/>
      <c r="E1806" s="73"/>
      <c r="F1806" s="45"/>
    </row>
    <row r="1807" spans="4:6" x14ac:dyDescent="0.2">
      <c r="D1807" s="50"/>
      <c r="E1807" s="73"/>
      <c r="F1807" s="45"/>
    </row>
    <row r="1808" spans="4:6" x14ac:dyDescent="0.2">
      <c r="D1808" s="50"/>
      <c r="E1808" s="73"/>
      <c r="F1808" s="45"/>
    </row>
    <row r="1809" spans="4:6" x14ac:dyDescent="0.2">
      <c r="D1809" s="50"/>
      <c r="E1809" s="73"/>
      <c r="F1809" s="45"/>
    </row>
    <row r="1810" spans="4:6" x14ac:dyDescent="0.2">
      <c r="D1810" s="50"/>
      <c r="E1810" s="73"/>
      <c r="F1810" s="45"/>
    </row>
    <row r="1811" spans="4:6" x14ac:dyDescent="0.2">
      <c r="D1811" s="50"/>
      <c r="E1811" s="73"/>
      <c r="F1811" s="45"/>
    </row>
    <row r="1812" spans="4:6" x14ac:dyDescent="0.2">
      <c r="D1812" s="50"/>
      <c r="E1812" s="73"/>
      <c r="F1812" s="45"/>
    </row>
    <row r="1813" spans="4:6" x14ac:dyDescent="0.2">
      <c r="D1813" s="50"/>
      <c r="E1813" s="73"/>
      <c r="F1813" s="45"/>
    </row>
    <row r="1814" spans="4:6" x14ac:dyDescent="0.2">
      <c r="D1814" s="50"/>
      <c r="E1814" s="73"/>
      <c r="F1814" s="45"/>
    </row>
    <row r="1815" spans="4:6" x14ac:dyDescent="0.2">
      <c r="D1815" s="50"/>
      <c r="E1815" s="73"/>
      <c r="F1815" s="45"/>
    </row>
    <row r="1816" spans="4:6" x14ac:dyDescent="0.2">
      <c r="D1816" s="50"/>
      <c r="E1816" s="73"/>
      <c r="F1816" s="45"/>
    </row>
    <row r="1817" spans="4:6" x14ac:dyDescent="0.2">
      <c r="D1817" s="50"/>
      <c r="E1817" s="73"/>
      <c r="F1817" s="45"/>
    </row>
    <row r="1818" spans="4:6" x14ac:dyDescent="0.2">
      <c r="D1818" s="50"/>
      <c r="E1818" s="73"/>
      <c r="F1818" s="45"/>
    </row>
    <row r="1819" spans="4:6" x14ac:dyDescent="0.2">
      <c r="D1819" s="50"/>
      <c r="E1819" s="73"/>
      <c r="F1819" s="45"/>
    </row>
    <row r="1820" spans="4:6" x14ac:dyDescent="0.2">
      <c r="D1820" s="50"/>
      <c r="E1820" s="73"/>
      <c r="F1820" s="45"/>
    </row>
    <row r="1821" spans="4:6" x14ac:dyDescent="0.2">
      <c r="D1821" s="50"/>
      <c r="E1821" s="73"/>
      <c r="F1821" s="45"/>
    </row>
    <row r="1822" spans="4:6" x14ac:dyDescent="0.2">
      <c r="D1822" s="50"/>
      <c r="E1822" s="73"/>
      <c r="F1822" s="45"/>
    </row>
    <row r="1823" spans="4:6" x14ac:dyDescent="0.2">
      <c r="D1823" s="50"/>
      <c r="E1823" s="73"/>
      <c r="F1823" s="45"/>
    </row>
    <row r="1824" spans="4:6" x14ac:dyDescent="0.2">
      <c r="D1824" s="50"/>
      <c r="E1824" s="73"/>
      <c r="F1824" s="45"/>
    </row>
    <row r="1825" spans="4:6" x14ac:dyDescent="0.2">
      <c r="D1825" s="50"/>
      <c r="E1825" s="73"/>
      <c r="F1825" s="45"/>
    </row>
    <row r="1826" spans="4:6" x14ac:dyDescent="0.2">
      <c r="D1826" s="50"/>
      <c r="E1826" s="73"/>
      <c r="F1826" s="45"/>
    </row>
    <row r="1827" spans="4:6" x14ac:dyDescent="0.2">
      <c r="D1827" s="50"/>
      <c r="E1827" s="73"/>
      <c r="F1827" s="45"/>
    </row>
    <row r="1828" spans="4:6" x14ac:dyDescent="0.2">
      <c r="D1828" s="50"/>
      <c r="E1828" s="73"/>
      <c r="F1828" s="45"/>
    </row>
    <row r="1829" spans="4:6" x14ac:dyDescent="0.2">
      <c r="D1829" s="50"/>
      <c r="E1829" s="73"/>
      <c r="F1829" s="45"/>
    </row>
    <row r="1830" spans="4:6" x14ac:dyDescent="0.2">
      <c r="D1830" s="50"/>
      <c r="E1830" s="73"/>
      <c r="F1830" s="45"/>
    </row>
    <row r="1831" spans="4:6" x14ac:dyDescent="0.2">
      <c r="D1831" s="50"/>
      <c r="E1831" s="73"/>
      <c r="F1831" s="45"/>
    </row>
    <row r="1832" spans="4:6" x14ac:dyDescent="0.2">
      <c r="D1832" s="50"/>
      <c r="E1832" s="73"/>
      <c r="F1832" s="45"/>
    </row>
    <row r="1833" spans="4:6" x14ac:dyDescent="0.2">
      <c r="D1833" s="50"/>
      <c r="E1833" s="73"/>
      <c r="F1833" s="45"/>
    </row>
    <row r="1834" spans="4:6" x14ac:dyDescent="0.2">
      <c r="D1834" s="50"/>
      <c r="E1834" s="73"/>
      <c r="F1834" s="45"/>
    </row>
    <row r="1835" spans="4:6" x14ac:dyDescent="0.2">
      <c r="D1835" s="50"/>
      <c r="E1835" s="73"/>
      <c r="F1835" s="45"/>
    </row>
    <row r="1836" spans="4:6" x14ac:dyDescent="0.2">
      <c r="D1836" s="50"/>
      <c r="E1836" s="73"/>
      <c r="F1836" s="45"/>
    </row>
    <row r="1837" spans="4:6" x14ac:dyDescent="0.2">
      <c r="D1837" s="50"/>
      <c r="E1837" s="73"/>
      <c r="F1837" s="45"/>
    </row>
    <row r="1838" spans="4:6" x14ac:dyDescent="0.2">
      <c r="D1838" s="50"/>
      <c r="E1838" s="73"/>
      <c r="F1838" s="45"/>
    </row>
    <row r="1839" spans="4:6" x14ac:dyDescent="0.2">
      <c r="D1839" s="50"/>
      <c r="E1839" s="73"/>
      <c r="F1839" s="45"/>
    </row>
    <row r="1840" spans="4:6" x14ac:dyDescent="0.2">
      <c r="D1840" s="50"/>
      <c r="E1840" s="73"/>
      <c r="F1840" s="45"/>
    </row>
    <row r="1841" spans="4:6" x14ac:dyDescent="0.2">
      <c r="D1841" s="50"/>
      <c r="E1841" s="73"/>
      <c r="F1841" s="45"/>
    </row>
    <row r="1842" spans="4:6" x14ac:dyDescent="0.2">
      <c r="D1842" s="50"/>
      <c r="E1842" s="73"/>
      <c r="F1842" s="45"/>
    </row>
    <row r="1843" spans="4:6" x14ac:dyDescent="0.2">
      <c r="D1843" s="50"/>
      <c r="E1843" s="73"/>
      <c r="F1843" s="45"/>
    </row>
    <row r="1844" spans="4:6" x14ac:dyDescent="0.2">
      <c r="D1844" s="50"/>
      <c r="E1844" s="73"/>
      <c r="F1844" s="45"/>
    </row>
    <row r="1845" spans="4:6" x14ac:dyDescent="0.2">
      <c r="D1845" s="50"/>
      <c r="E1845" s="73"/>
      <c r="F1845" s="45"/>
    </row>
    <row r="1846" spans="4:6" x14ac:dyDescent="0.2">
      <c r="D1846" s="50"/>
      <c r="E1846" s="73"/>
      <c r="F1846" s="45"/>
    </row>
    <row r="1847" spans="4:6" x14ac:dyDescent="0.2">
      <c r="D1847" s="50"/>
      <c r="E1847" s="73"/>
      <c r="F1847" s="45"/>
    </row>
    <row r="1848" spans="4:6" x14ac:dyDescent="0.2">
      <c r="D1848" s="50"/>
      <c r="E1848" s="73"/>
      <c r="F1848" s="45"/>
    </row>
    <row r="1849" spans="4:6" x14ac:dyDescent="0.2">
      <c r="D1849" s="50"/>
      <c r="E1849" s="73"/>
      <c r="F1849" s="45"/>
    </row>
    <row r="1850" spans="4:6" x14ac:dyDescent="0.2">
      <c r="D1850" s="50"/>
      <c r="E1850" s="73"/>
      <c r="F1850" s="45"/>
    </row>
    <row r="1851" spans="4:6" x14ac:dyDescent="0.2">
      <c r="D1851" s="50"/>
      <c r="E1851" s="73"/>
      <c r="F1851" s="45"/>
    </row>
    <row r="1852" spans="4:6" x14ac:dyDescent="0.2">
      <c r="D1852" s="50"/>
      <c r="E1852" s="73"/>
      <c r="F1852" s="45"/>
    </row>
    <row r="1853" spans="4:6" x14ac:dyDescent="0.2">
      <c r="D1853" s="50"/>
      <c r="E1853" s="73"/>
      <c r="F1853" s="45"/>
    </row>
    <row r="1854" spans="4:6" x14ac:dyDescent="0.2">
      <c r="D1854" s="50"/>
      <c r="E1854" s="73"/>
      <c r="F1854" s="45"/>
    </row>
    <row r="1855" spans="4:6" x14ac:dyDescent="0.2">
      <c r="D1855" s="50"/>
      <c r="E1855" s="73"/>
      <c r="F1855" s="45"/>
    </row>
    <row r="1856" spans="4:6" x14ac:dyDescent="0.2">
      <c r="D1856" s="50"/>
      <c r="E1856" s="73"/>
      <c r="F1856" s="45"/>
    </row>
    <row r="1857" spans="4:6" x14ac:dyDescent="0.2">
      <c r="D1857" s="50"/>
      <c r="E1857" s="73"/>
      <c r="F1857" s="45"/>
    </row>
    <row r="1858" spans="4:6" x14ac:dyDescent="0.2">
      <c r="D1858" s="50"/>
      <c r="E1858" s="73"/>
      <c r="F1858" s="45"/>
    </row>
    <row r="1859" spans="4:6" x14ac:dyDescent="0.2">
      <c r="D1859" s="50"/>
      <c r="E1859" s="73"/>
      <c r="F1859" s="45"/>
    </row>
    <row r="1860" spans="4:6" x14ac:dyDescent="0.2">
      <c r="D1860" s="50"/>
      <c r="E1860" s="73"/>
      <c r="F1860" s="45"/>
    </row>
    <row r="1861" spans="4:6" x14ac:dyDescent="0.2">
      <c r="D1861" s="50"/>
      <c r="E1861" s="73"/>
      <c r="F1861" s="45"/>
    </row>
    <row r="1862" spans="4:6" x14ac:dyDescent="0.2">
      <c r="D1862" s="50"/>
      <c r="E1862" s="73"/>
      <c r="F1862" s="45"/>
    </row>
    <row r="1863" spans="4:6" x14ac:dyDescent="0.2">
      <c r="D1863" s="50"/>
      <c r="E1863" s="73"/>
      <c r="F1863" s="45"/>
    </row>
    <row r="1864" spans="4:6" x14ac:dyDescent="0.2">
      <c r="D1864" s="50"/>
      <c r="E1864" s="73"/>
      <c r="F1864" s="45"/>
    </row>
    <row r="1865" spans="4:6" x14ac:dyDescent="0.2">
      <c r="D1865" s="50"/>
      <c r="E1865" s="73"/>
      <c r="F1865" s="45"/>
    </row>
    <row r="1866" spans="4:6" x14ac:dyDescent="0.2">
      <c r="D1866" s="50"/>
      <c r="E1866" s="73"/>
      <c r="F1866" s="45"/>
    </row>
    <row r="1867" spans="4:6" x14ac:dyDescent="0.2">
      <c r="D1867" s="50"/>
      <c r="E1867" s="73"/>
      <c r="F1867" s="45"/>
    </row>
    <row r="1868" spans="4:6" x14ac:dyDescent="0.2">
      <c r="D1868" s="50"/>
      <c r="E1868" s="73"/>
      <c r="F1868" s="45"/>
    </row>
    <row r="1869" spans="4:6" x14ac:dyDescent="0.2">
      <c r="D1869" s="50"/>
      <c r="E1869" s="73"/>
      <c r="F1869" s="45"/>
    </row>
    <row r="1870" spans="4:6" x14ac:dyDescent="0.2">
      <c r="D1870" s="50"/>
      <c r="E1870" s="73"/>
      <c r="F1870" s="45"/>
    </row>
    <row r="1871" spans="4:6" x14ac:dyDescent="0.2">
      <c r="D1871" s="50"/>
      <c r="E1871" s="73"/>
      <c r="F1871" s="45"/>
    </row>
    <row r="1872" spans="4:6" x14ac:dyDescent="0.2">
      <c r="D1872" s="50"/>
      <c r="E1872" s="73"/>
      <c r="F1872" s="45"/>
    </row>
    <row r="1873" spans="4:6" x14ac:dyDescent="0.2">
      <c r="D1873" s="50"/>
      <c r="E1873" s="73"/>
      <c r="F1873" s="45"/>
    </row>
    <row r="1874" spans="4:6" x14ac:dyDescent="0.2">
      <c r="D1874" s="50"/>
      <c r="E1874" s="73"/>
      <c r="F1874" s="45"/>
    </row>
    <row r="1875" spans="4:6" x14ac:dyDescent="0.2">
      <c r="D1875" s="50"/>
      <c r="E1875" s="73"/>
      <c r="F1875" s="45"/>
    </row>
    <row r="1876" spans="4:6" x14ac:dyDescent="0.2">
      <c r="D1876" s="50"/>
      <c r="E1876" s="73"/>
      <c r="F1876" s="45"/>
    </row>
    <row r="1877" spans="4:6" x14ac:dyDescent="0.2">
      <c r="D1877" s="50"/>
      <c r="E1877" s="73"/>
      <c r="F1877" s="45"/>
    </row>
    <row r="1878" spans="4:6" x14ac:dyDescent="0.2">
      <c r="D1878" s="50"/>
      <c r="E1878" s="73"/>
      <c r="F1878" s="45"/>
    </row>
    <row r="1879" spans="4:6" x14ac:dyDescent="0.2">
      <c r="D1879" s="50"/>
      <c r="E1879" s="73"/>
      <c r="F1879" s="45"/>
    </row>
    <row r="1880" spans="4:6" x14ac:dyDescent="0.2">
      <c r="D1880" s="50"/>
      <c r="E1880" s="73"/>
      <c r="F1880" s="45"/>
    </row>
    <row r="1881" spans="4:6" x14ac:dyDescent="0.2">
      <c r="D1881" s="50"/>
      <c r="E1881" s="73"/>
      <c r="F1881" s="45"/>
    </row>
    <row r="1882" spans="4:6" x14ac:dyDescent="0.2">
      <c r="D1882" s="50"/>
      <c r="E1882" s="73"/>
      <c r="F1882" s="45"/>
    </row>
    <row r="1883" spans="4:6" x14ac:dyDescent="0.2">
      <c r="D1883" s="50"/>
      <c r="E1883" s="73"/>
      <c r="F1883" s="45"/>
    </row>
    <row r="1884" spans="4:6" x14ac:dyDescent="0.2">
      <c r="D1884" s="50"/>
      <c r="E1884" s="73"/>
      <c r="F1884" s="45"/>
    </row>
    <row r="1885" spans="4:6" x14ac:dyDescent="0.2">
      <c r="D1885" s="50"/>
      <c r="E1885" s="73"/>
      <c r="F1885" s="45"/>
    </row>
    <row r="1886" spans="4:6" x14ac:dyDescent="0.2">
      <c r="D1886" s="50"/>
      <c r="E1886" s="73"/>
      <c r="F1886" s="45"/>
    </row>
    <row r="1887" spans="4:6" x14ac:dyDescent="0.2">
      <c r="D1887" s="50"/>
      <c r="E1887" s="73"/>
      <c r="F1887" s="45"/>
    </row>
    <row r="1888" spans="4:6" x14ac:dyDescent="0.2">
      <c r="D1888" s="50"/>
      <c r="E1888" s="73"/>
      <c r="F1888" s="45"/>
    </row>
    <row r="1889" spans="4:6" x14ac:dyDescent="0.2">
      <c r="D1889" s="50"/>
      <c r="E1889" s="73"/>
      <c r="F1889" s="45"/>
    </row>
    <row r="1890" spans="4:6" x14ac:dyDescent="0.2">
      <c r="D1890" s="50"/>
      <c r="E1890" s="73"/>
      <c r="F1890" s="45"/>
    </row>
    <row r="1891" spans="4:6" x14ac:dyDescent="0.2">
      <c r="D1891" s="50"/>
      <c r="E1891" s="73"/>
      <c r="F1891" s="45"/>
    </row>
    <row r="1892" spans="4:6" x14ac:dyDescent="0.2">
      <c r="D1892" s="50"/>
      <c r="E1892" s="73"/>
      <c r="F1892" s="45"/>
    </row>
    <row r="1893" spans="4:6" x14ac:dyDescent="0.2">
      <c r="D1893" s="50"/>
      <c r="E1893" s="73"/>
      <c r="F1893" s="45"/>
    </row>
    <row r="1894" spans="4:6" x14ac:dyDescent="0.2">
      <c r="D1894" s="50"/>
      <c r="E1894" s="73"/>
      <c r="F1894" s="45"/>
    </row>
    <row r="1895" spans="4:6" x14ac:dyDescent="0.2">
      <c r="D1895" s="50"/>
      <c r="E1895" s="73"/>
      <c r="F1895" s="45"/>
    </row>
    <row r="1896" spans="4:6" x14ac:dyDescent="0.2">
      <c r="D1896" s="50"/>
      <c r="E1896" s="73"/>
      <c r="F1896" s="45"/>
    </row>
    <row r="1897" spans="4:6" x14ac:dyDescent="0.2">
      <c r="D1897" s="50"/>
      <c r="E1897" s="73"/>
      <c r="F1897" s="45"/>
    </row>
    <row r="1898" spans="4:6" x14ac:dyDescent="0.2">
      <c r="D1898" s="50"/>
      <c r="E1898" s="73"/>
      <c r="F1898" s="45"/>
    </row>
    <row r="1899" spans="4:6" x14ac:dyDescent="0.2">
      <c r="D1899" s="50"/>
      <c r="E1899" s="73"/>
      <c r="F1899" s="45"/>
    </row>
    <row r="1900" spans="4:6" x14ac:dyDescent="0.2">
      <c r="D1900" s="50"/>
      <c r="E1900" s="73"/>
      <c r="F1900" s="45"/>
    </row>
    <row r="1901" spans="4:6" x14ac:dyDescent="0.2">
      <c r="D1901" s="50"/>
      <c r="E1901" s="73"/>
      <c r="F1901" s="45"/>
    </row>
    <row r="1902" spans="4:6" x14ac:dyDescent="0.2">
      <c r="D1902" s="50"/>
      <c r="E1902" s="73"/>
      <c r="F1902" s="45"/>
    </row>
    <row r="1903" spans="4:6" x14ac:dyDescent="0.2">
      <c r="D1903" s="50"/>
      <c r="E1903" s="73"/>
      <c r="F1903" s="45"/>
    </row>
    <row r="1904" spans="4:6" x14ac:dyDescent="0.2">
      <c r="D1904" s="50"/>
      <c r="E1904" s="73"/>
      <c r="F1904" s="45"/>
    </row>
    <row r="1905" spans="4:6" x14ac:dyDescent="0.2">
      <c r="D1905" s="50"/>
      <c r="E1905" s="73"/>
      <c r="F1905" s="45"/>
    </row>
    <row r="1906" spans="4:6" x14ac:dyDescent="0.2">
      <c r="D1906" s="50"/>
      <c r="E1906" s="73"/>
      <c r="F1906" s="45"/>
    </row>
    <row r="1907" spans="4:6" x14ac:dyDescent="0.2">
      <c r="D1907" s="50"/>
      <c r="E1907" s="73"/>
      <c r="F1907" s="45"/>
    </row>
    <row r="1908" spans="4:6" x14ac:dyDescent="0.2">
      <c r="D1908" s="50"/>
      <c r="E1908" s="73"/>
      <c r="F1908" s="45"/>
    </row>
    <row r="1909" spans="4:6" x14ac:dyDescent="0.2">
      <c r="D1909" s="50"/>
      <c r="E1909" s="73"/>
      <c r="F1909" s="45"/>
    </row>
    <row r="1910" spans="4:6" x14ac:dyDescent="0.2">
      <c r="D1910" s="50"/>
      <c r="E1910" s="73"/>
      <c r="F1910" s="45"/>
    </row>
    <row r="1911" spans="4:6" x14ac:dyDescent="0.2">
      <c r="D1911" s="50"/>
      <c r="E1911" s="73"/>
      <c r="F1911" s="45"/>
    </row>
    <row r="1912" spans="4:6" x14ac:dyDescent="0.2">
      <c r="D1912" s="50"/>
      <c r="E1912" s="73"/>
      <c r="F1912" s="45"/>
    </row>
    <row r="1913" spans="4:6" x14ac:dyDescent="0.2">
      <c r="D1913" s="50"/>
      <c r="E1913" s="73"/>
      <c r="F1913" s="45"/>
    </row>
    <row r="1914" spans="4:6" x14ac:dyDescent="0.2">
      <c r="D1914" s="50"/>
      <c r="E1914" s="73"/>
      <c r="F1914" s="45"/>
    </row>
    <row r="1915" spans="4:6" x14ac:dyDescent="0.2">
      <c r="D1915" s="50"/>
      <c r="E1915" s="73"/>
      <c r="F1915" s="45"/>
    </row>
    <row r="1916" spans="4:6" x14ac:dyDescent="0.2">
      <c r="D1916" s="50"/>
      <c r="E1916" s="73"/>
      <c r="F1916" s="45"/>
    </row>
    <row r="1917" spans="4:6" x14ac:dyDescent="0.2">
      <c r="D1917" s="50"/>
      <c r="E1917" s="73"/>
      <c r="F1917" s="45"/>
    </row>
    <row r="1918" spans="4:6" x14ac:dyDescent="0.2">
      <c r="D1918" s="50"/>
      <c r="E1918" s="73"/>
      <c r="F1918" s="45"/>
    </row>
    <row r="1919" spans="4:6" x14ac:dyDescent="0.2">
      <c r="D1919" s="50"/>
      <c r="E1919" s="73"/>
      <c r="F1919" s="45"/>
    </row>
    <row r="1920" spans="4:6" x14ac:dyDescent="0.2">
      <c r="D1920" s="50"/>
      <c r="E1920" s="73"/>
      <c r="F1920" s="45"/>
    </row>
    <row r="1921" spans="4:6" x14ac:dyDescent="0.2">
      <c r="D1921" s="50"/>
      <c r="E1921" s="73"/>
      <c r="F1921" s="45"/>
    </row>
    <row r="1922" spans="4:6" x14ac:dyDescent="0.2">
      <c r="D1922" s="50"/>
      <c r="E1922" s="73"/>
      <c r="F1922" s="45"/>
    </row>
    <row r="1923" spans="4:6" x14ac:dyDescent="0.2">
      <c r="D1923" s="50"/>
      <c r="E1923" s="73"/>
      <c r="F1923" s="45"/>
    </row>
    <row r="1924" spans="4:6" x14ac:dyDescent="0.2">
      <c r="D1924" s="50"/>
      <c r="E1924" s="73"/>
      <c r="F1924" s="45"/>
    </row>
    <row r="1925" spans="4:6" x14ac:dyDescent="0.2">
      <c r="D1925" s="50"/>
      <c r="E1925" s="73"/>
      <c r="F1925" s="45"/>
    </row>
    <row r="1926" spans="4:6" x14ac:dyDescent="0.2">
      <c r="D1926" s="50"/>
      <c r="E1926" s="73"/>
      <c r="F1926" s="45"/>
    </row>
    <row r="1927" spans="4:6" x14ac:dyDescent="0.2">
      <c r="D1927" s="50"/>
      <c r="E1927" s="73"/>
      <c r="F1927" s="45"/>
    </row>
    <row r="1928" spans="4:6" x14ac:dyDescent="0.2">
      <c r="D1928" s="50"/>
      <c r="E1928" s="73"/>
      <c r="F1928" s="45"/>
    </row>
    <row r="1929" spans="4:6" x14ac:dyDescent="0.2">
      <c r="D1929" s="50"/>
      <c r="E1929" s="73"/>
      <c r="F1929" s="45"/>
    </row>
    <row r="1930" spans="4:6" x14ac:dyDescent="0.2">
      <c r="D1930" s="50"/>
      <c r="E1930" s="73"/>
      <c r="F1930" s="45"/>
    </row>
    <row r="1931" spans="4:6" x14ac:dyDescent="0.2">
      <c r="D1931" s="50"/>
      <c r="E1931" s="73"/>
      <c r="F1931" s="45"/>
    </row>
    <row r="1932" spans="4:6" x14ac:dyDescent="0.2">
      <c r="D1932" s="50"/>
      <c r="E1932" s="73"/>
      <c r="F1932" s="45"/>
    </row>
    <row r="1933" spans="4:6" x14ac:dyDescent="0.2">
      <c r="D1933" s="50"/>
      <c r="E1933" s="73"/>
      <c r="F1933" s="45"/>
    </row>
    <row r="1934" spans="4:6" x14ac:dyDescent="0.2">
      <c r="D1934" s="50"/>
      <c r="E1934" s="73"/>
      <c r="F1934" s="45"/>
    </row>
    <row r="1935" spans="4:6" x14ac:dyDescent="0.2">
      <c r="D1935" s="50"/>
      <c r="E1935" s="73"/>
      <c r="F1935" s="45"/>
    </row>
    <row r="1936" spans="4:6" x14ac:dyDescent="0.2">
      <c r="D1936" s="50"/>
      <c r="E1936" s="73"/>
      <c r="F1936" s="45"/>
    </row>
    <row r="1937" spans="4:6" x14ac:dyDescent="0.2">
      <c r="D1937" s="50"/>
      <c r="E1937" s="73"/>
      <c r="F1937" s="45"/>
    </row>
    <row r="1938" spans="4:6" x14ac:dyDescent="0.2">
      <c r="D1938" s="50"/>
      <c r="E1938" s="73"/>
      <c r="F1938" s="45"/>
    </row>
    <row r="1939" spans="4:6" x14ac:dyDescent="0.2">
      <c r="D1939" s="50"/>
      <c r="E1939" s="73"/>
      <c r="F1939" s="45"/>
    </row>
    <row r="1940" spans="4:6" x14ac:dyDescent="0.2">
      <c r="D1940" s="50"/>
      <c r="E1940" s="73"/>
      <c r="F1940" s="45"/>
    </row>
    <row r="1941" spans="4:6" x14ac:dyDescent="0.2">
      <c r="D1941" s="50"/>
      <c r="E1941" s="73"/>
      <c r="F1941" s="45"/>
    </row>
    <row r="1942" spans="4:6" x14ac:dyDescent="0.2">
      <c r="D1942" s="50"/>
      <c r="E1942" s="73"/>
      <c r="F1942" s="45"/>
    </row>
    <row r="1943" spans="4:6" x14ac:dyDescent="0.2">
      <c r="D1943" s="50"/>
      <c r="E1943" s="73"/>
      <c r="F1943" s="45"/>
    </row>
    <row r="1944" spans="4:6" x14ac:dyDescent="0.2">
      <c r="D1944" s="50"/>
      <c r="E1944" s="73"/>
      <c r="F1944" s="45"/>
    </row>
    <row r="1945" spans="4:6" x14ac:dyDescent="0.2">
      <c r="D1945" s="50"/>
      <c r="E1945" s="73"/>
      <c r="F1945" s="45"/>
    </row>
    <row r="1946" spans="4:6" x14ac:dyDescent="0.2">
      <c r="D1946" s="50"/>
      <c r="E1946" s="73"/>
      <c r="F1946" s="45"/>
    </row>
    <row r="1947" spans="4:6" x14ac:dyDescent="0.2">
      <c r="D1947" s="50"/>
      <c r="E1947" s="73"/>
      <c r="F1947" s="45"/>
    </row>
    <row r="1948" spans="4:6" x14ac:dyDescent="0.2">
      <c r="D1948" s="50"/>
      <c r="E1948" s="73"/>
      <c r="F1948" s="45"/>
    </row>
    <row r="1949" spans="4:6" x14ac:dyDescent="0.2">
      <c r="D1949" s="50"/>
      <c r="E1949" s="73"/>
      <c r="F1949" s="45"/>
    </row>
    <row r="1950" spans="4:6" x14ac:dyDescent="0.2">
      <c r="D1950" s="50"/>
      <c r="E1950" s="73"/>
      <c r="F1950" s="45"/>
    </row>
    <row r="1951" spans="4:6" x14ac:dyDescent="0.2">
      <c r="D1951" s="50"/>
      <c r="E1951" s="73"/>
      <c r="F1951" s="45"/>
    </row>
    <row r="1952" spans="4:6" x14ac:dyDescent="0.2">
      <c r="D1952" s="50"/>
      <c r="E1952" s="73"/>
      <c r="F1952" s="45"/>
    </row>
    <row r="1953" spans="4:6" x14ac:dyDescent="0.2">
      <c r="D1953" s="50"/>
      <c r="E1953" s="73"/>
      <c r="F1953" s="45"/>
    </row>
    <row r="1954" spans="4:6" x14ac:dyDescent="0.2">
      <c r="D1954" s="50"/>
      <c r="E1954" s="73"/>
      <c r="F1954" s="45"/>
    </row>
    <row r="1955" spans="4:6" x14ac:dyDescent="0.2">
      <c r="D1955" s="50"/>
      <c r="E1955" s="73"/>
      <c r="F1955" s="45"/>
    </row>
    <row r="1956" spans="4:6" x14ac:dyDescent="0.2">
      <c r="D1956" s="50"/>
      <c r="E1956" s="73"/>
      <c r="F1956" s="45"/>
    </row>
    <row r="1957" spans="4:6" x14ac:dyDescent="0.2">
      <c r="D1957" s="50"/>
      <c r="E1957" s="73"/>
      <c r="F1957" s="45"/>
    </row>
    <row r="1958" spans="4:6" x14ac:dyDescent="0.2">
      <c r="D1958" s="50"/>
      <c r="E1958" s="73"/>
      <c r="F1958" s="45"/>
    </row>
    <row r="1959" spans="4:6" x14ac:dyDescent="0.2">
      <c r="D1959" s="50"/>
      <c r="E1959" s="73"/>
      <c r="F1959" s="45"/>
    </row>
    <row r="1960" spans="4:6" x14ac:dyDescent="0.2">
      <c r="D1960" s="50"/>
      <c r="E1960" s="73"/>
      <c r="F1960" s="45"/>
    </row>
    <row r="1961" spans="4:6" x14ac:dyDescent="0.2">
      <c r="D1961" s="50"/>
      <c r="E1961" s="73"/>
      <c r="F1961" s="45"/>
    </row>
    <row r="1962" spans="4:6" x14ac:dyDescent="0.2">
      <c r="D1962" s="50"/>
      <c r="E1962" s="73"/>
      <c r="F1962" s="45"/>
    </row>
    <row r="1963" spans="4:6" x14ac:dyDescent="0.2">
      <c r="D1963" s="50"/>
      <c r="E1963" s="73"/>
      <c r="F1963" s="45"/>
    </row>
    <row r="1964" spans="4:6" x14ac:dyDescent="0.2">
      <c r="D1964" s="50"/>
      <c r="E1964" s="73"/>
      <c r="F1964" s="45"/>
    </row>
    <row r="1965" spans="4:6" x14ac:dyDescent="0.2">
      <c r="D1965" s="50"/>
      <c r="E1965" s="73"/>
      <c r="F1965" s="45"/>
    </row>
    <row r="1966" spans="4:6" x14ac:dyDescent="0.2">
      <c r="D1966" s="50"/>
      <c r="E1966" s="73"/>
      <c r="F1966" s="45"/>
    </row>
    <row r="1967" spans="4:6" x14ac:dyDescent="0.2">
      <c r="D1967" s="50"/>
      <c r="E1967" s="73"/>
      <c r="F1967" s="45"/>
    </row>
    <row r="1968" spans="4:6" x14ac:dyDescent="0.2">
      <c r="D1968" s="50"/>
      <c r="E1968" s="73"/>
      <c r="F1968" s="45"/>
    </row>
    <row r="1969" spans="4:6" x14ac:dyDescent="0.2">
      <c r="D1969" s="50"/>
      <c r="E1969" s="73"/>
      <c r="F1969" s="45"/>
    </row>
    <row r="1970" spans="4:6" x14ac:dyDescent="0.2">
      <c r="D1970" s="50"/>
      <c r="E1970" s="73"/>
      <c r="F1970" s="45"/>
    </row>
    <row r="1971" spans="4:6" x14ac:dyDescent="0.2">
      <c r="D1971" s="50"/>
      <c r="E1971" s="73"/>
      <c r="F1971" s="45"/>
    </row>
    <row r="1972" spans="4:6" x14ac:dyDescent="0.2">
      <c r="D1972" s="50"/>
      <c r="E1972" s="73"/>
      <c r="F1972" s="45"/>
    </row>
    <row r="1973" spans="4:6" x14ac:dyDescent="0.2">
      <c r="D1973" s="50"/>
      <c r="E1973" s="73"/>
      <c r="F1973" s="45"/>
    </row>
    <row r="1974" spans="4:6" x14ac:dyDescent="0.2">
      <c r="D1974" s="50"/>
      <c r="E1974" s="73"/>
      <c r="F1974" s="45"/>
    </row>
    <row r="1975" spans="4:6" x14ac:dyDescent="0.2">
      <c r="D1975" s="50"/>
      <c r="E1975" s="73"/>
      <c r="F1975" s="45"/>
    </row>
    <row r="1976" spans="4:6" x14ac:dyDescent="0.2">
      <c r="D1976" s="50"/>
      <c r="E1976" s="73"/>
      <c r="F1976" s="45"/>
    </row>
    <row r="1977" spans="4:6" x14ac:dyDescent="0.2">
      <c r="D1977" s="50"/>
      <c r="E1977" s="73"/>
      <c r="F1977" s="45"/>
    </row>
    <row r="1978" spans="4:6" x14ac:dyDescent="0.2">
      <c r="D1978" s="50"/>
      <c r="E1978" s="73"/>
      <c r="F1978" s="45"/>
    </row>
    <row r="1979" spans="4:6" x14ac:dyDescent="0.2">
      <c r="D1979" s="50"/>
      <c r="E1979" s="73"/>
      <c r="F1979" s="45"/>
    </row>
    <row r="1980" spans="4:6" x14ac:dyDescent="0.2">
      <c r="D1980" s="50"/>
      <c r="E1980" s="73"/>
      <c r="F1980" s="45"/>
    </row>
    <row r="1981" spans="4:6" x14ac:dyDescent="0.2">
      <c r="D1981" s="50"/>
      <c r="E1981" s="73"/>
      <c r="F1981" s="45"/>
    </row>
    <row r="1982" spans="4:6" x14ac:dyDescent="0.2">
      <c r="D1982" s="50"/>
      <c r="E1982" s="73"/>
      <c r="F1982" s="45"/>
    </row>
    <row r="1983" spans="4:6" x14ac:dyDescent="0.2">
      <c r="D1983" s="50"/>
      <c r="E1983" s="73"/>
      <c r="F1983" s="45"/>
    </row>
    <row r="1984" spans="4:6" x14ac:dyDescent="0.2">
      <c r="D1984" s="50"/>
      <c r="E1984" s="73"/>
      <c r="F1984" s="45"/>
    </row>
    <row r="1985" spans="4:6" x14ac:dyDescent="0.2">
      <c r="D1985" s="50"/>
      <c r="E1985" s="73"/>
      <c r="F1985" s="45"/>
    </row>
    <row r="1986" spans="4:6" x14ac:dyDescent="0.2">
      <c r="D1986" s="50"/>
      <c r="E1986" s="73"/>
      <c r="F1986" s="45"/>
    </row>
    <row r="1987" spans="4:6" x14ac:dyDescent="0.2">
      <c r="D1987" s="50"/>
      <c r="E1987" s="73"/>
      <c r="F1987" s="45"/>
    </row>
    <row r="1988" spans="4:6" x14ac:dyDescent="0.2">
      <c r="D1988" s="50"/>
      <c r="E1988" s="73"/>
      <c r="F1988" s="45"/>
    </row>
    <row r="1989" spans="4:6" x14ac:dyDescent="0.2">
      <c r="D1989" s="50"/>
      <c r="E1989" s="73"/>
      <c r="F1989" s="45"/>
    </row>
    <row r="1990" spans="4:6" x14ac:dyDescent="0.2">
      <c r="D1990" s="50"/>
      <c r="E1990" s="73"/>
      <c r="F1990" s="45"/>
    </row>
    <row r="1991" spans="4:6" x14ac:dyDescent="0.2">
      <c r="D1991" s="50"/>
      <c r="E1991" s="73"/>
      <c r="F1991" s="45"/>
    </row>
    <row r="1992" spans="4:6" x14ac:dyDescent="0.2">
      <c r="D1992" s="50"/>
      <c r="E1992" s="73"/>
      <c r="F1992" s="45"/>
    </row>
    <row r="1993" spans="4:6" x14ac:dyDescent="0.2">
      <c r="D1993" s="50"/>
      <c r="E1993" s="73"/>
      <c r="F1993" s="45"/>
    </row>
    <row r="1994" spans="4:6" x14ac:dyDescent="0.2">
      <c r="D1994" s="50"/>
      <c r="E1994" s="73"/>
      <c r="F1994" s="45"/>
    </row>
    <row r="1995" spans="4:6" x14ac:dyDescent="0.2">
      <c r="D1995" s="50"/>
      <c r="E1995" s="73"/>
      <c r="F1995" s="45"/>
    </row>
    <row r="1996" spans="4:6" x14ac:dyDescent="0.2">
      <c r="D1996" s="50"/>
      <c r="E1996" s="73"/>
      <c r="F1996" s="45"/>
    </row>
    <row r="1997" spans="4:6" x14ac:dyDescent="0.2">
      <c r="D1997" s="50"/>
      <c r="E1997" s="73"/>
      <c r="F1997" s="45"/>
    </row>
    <row r="1998" spans="4:6" x14ac:dyDescent="0.2">
      <c r="D1998" s="50"/>
      <c r="E1998" s="73"/>
      <c r="F1998" s="45"/>
    </row>
    <row r="1999" spans="4:6" x14ac:dyDescent="0.2">
      <c r="D1999" s="50"/>
      <c r="E1999" s="73"/>
      <c r="F1999" s="45"/>
    </row>
    <row r="2000" spans="4:6" x14ac:dyDescent="0.2">
      <c r="D2000" s="50"/>
      <c r="E2000" s="73"/>
      <c r="F2000" s="45"/>
    </row>
    <row r="2001" spans="4:6" x14ac:dyDescent="0.2">
      <c r="D2001" s="50"/>
      <c r="E2001" s="73"/>
      <c r="F2001" s="45"/>
    </row>
    <row r="2002" spans="4:6" x14ac:dyDescent="0.2">
      <c r="D2002" s="50"/>
      <c r="E2002" s="73"/>
      <c r="F2002" s="45"/>
    </row>
    <row r="2003" spans="4:6" x14ac:dyDescent="0.2">
      <c r="D2003" s="50"/>
      <c r="E2003" s="73"/>
      <c r="F2003" s="45"/>
    </row>
    <row r="2004" spans="4:6" x14ac:dyDescent="0.2">
      <c r="D2004" s="50"/>
      <c r="E2004" s="73"/>
      <c r="F2004" s="45"/>
    </row>
    <row r="2005" spans="4:6" x14ac:dyDescent="0.2">
      <c r="D2005" s="50"/>
      <c r="E2005" s="73"/>
      <c r="F2005" s="45"/>
    </row>
    <row r="2006" spans="4:6" x14ac:dyDescent="0.2">
      <c r="D2006" s="50"/>
      <c r="E2006" s="73"/>
      <c r="F2006" s="45"/>
    </row>
    <row r="2007" spans="4:6" x14ac:dyDescent="0.2">
      <c r="D2007" s="50"/>
      <c r="E2007" s="73"/>
      <c r="F2007" s="45"/>
    </row>
    <row r="2008" spans="4:6" x14ac:dyDescent="0.2">
      <c r="D2008" s="50"/>
      <c r="E2008" s="73"/>
      <c r="F2008" s="45"/>
    </row>
    <row r="2009" spans="4:6" x14ac:dyDescent="0.2">
      <c r="D2009" s="50"/>
      <c r="E2009" s="73"/>
      <c r="F2009" s="45"/>
    </row>
    <row r="2010" spans="4:6" x14ac:dyDescent="0.2">
      <c r="D2010" s="50"/>
      <c r="E2010" s="73"/>
      <c r="F2010" s="45"/>
    </row>
    <row r="2011" spans="4:6" x14ac:dyDescent="0.2">
      <c r="D2011" s="50"/>
      <c r="E2011" s="73"/>
      <c r="F2011" s="45"/>
    </row>
    <row r="2012" spans="4:6" x14ac:dyDescent="0.2">
      <c r="D2012" s="50"/>
      <c r="E2012" s="73"/>
      <c r="F2012" s="45"/>
    </row>
    <row r="2013" spans="4:6" x14ac:dyDescent="0.2">
      <c r="D2013" s="50"/>
      <c r="E2013" s="73"/>
      <c r="F2013" s="45"/>
    </row>
    <row r="2014" spans="4:6" x14ac:dyDescent="0.2">
      <c r="D2014" s="50"/>
      <c r="E2014" s="73"/>
      <c r="F2014" s="45"/>
    </row>
    <row r="2015" spans="4:6" x14ac:dyDescent="0.2">
      <c r="D2015" s="50"/>
      <c r="E2015" s="73"/>
      <c r="F2015" s="45"/>
    </row>
    <row r="2016" spans="4:6" x14ac:dyDescent="0.2">
      <c r="D2016" s="50"/>
      <c r="E2016" s="73"/>
      <c r="F2016" s="45"/>
    </row>
    <row r="2017" spans="4:6" x14ac:dyDescent="0.2">
      <c r="D2017" s="50"/>
      <c r="E2017" s="73"/>
      <c r="F2017" s="45"/>
    </row>
    <row r="2018" spans="4:6" x14ac:dyDescent="0.2">
      <c r="D2018" s="50"/>
      <c r="E2018" s="73"/>
      <c r="F2018" s="45"/>
    </row>
    <row r="2019" spans="4:6" x14ac:dyDescent="0.2">
      <c r="D2019" s="50"/>
      <c r="E2019" s="73"/>
      <c r="F2019" s="45"/>
    </row>
    <row r="2020" spans="4:6" x14ac:dyDescent="0.2">
      <c r="D2020" s="50"/>
      <c r="E2020" s="73"/>
      <c r="F2020" s="45"/>
    </row>
    <row r="2021" spans="4:6" x14ac:dyDescent="0.2">
      <c r="D2021" s="50"/>
      <c r="E2021" s="73"/>
      <c r="F2021" s="45"/>
    </row>
    <row r="2022" spans="4:6" x14ac:dyDescent="0.2">
      <c r="D2022" s="50"/>
      <c r="E2022" s="73"/>
      <c r="F2022" s="45"/>
    </row>
    <row r="2023" spans="4:6" x14ac:dyDescent="0.2">
      <c r="D2023" s="50"/>
      <c r="E2023" s="73"/>
      <c r="F2023" s="45"/>
    </row>
    <row r="2024" spans="4:6" x14ac:dyDescent="0.2">
      <c r="D2024" s="50"/>
      <c r="E2024" s="73"/>
      <c r="F2024" s="45"/>
    </row>
    <row r="2025" spans="4:6" x14ac:dyDescent="0.2">
      <c r="D2025" s="50"/>
      <c r="E2025" s="73"/>
      <c r="F2025" s="45"/>
    </row>
    <row r="2026" spans="4:6" x14ac:dyDescent="0.2">
      <c r="D2026" s="50"/>
      <c r="E2026" s="73"/>
      <c r="F2026" s="45"/>
    </row>
    <row r="2027" spans="4:6" x14ac:dyDescent="0.2">
      <c r="D2027" s="50"/>
      <c r="E2027" s="73"/>
      <c r="F2027" s="45"/>
    </row>
    <row r="2028" spans="4:6" x14ac:dyDescent="0.2">
      <c r="D2028" s="50"/>
      <c r="E2028" s="73"/>
      <c r="F2028" s="45"/>
    </row>
    <row r="2029" spans="4:6" x14ac:dyDescent="0.2">
      <c r="D2029" s="50"/>
      <c r="E2029" s="73"/>
      <c r="F2029" s="45"/>
    </row>
    <row r="2030" spans="4:6" x14ac:dyDescent="0.2">
      <c r="D2030" s="50"/>
      <c r="E2030" s="73"/>
      <c r="F2030" s="45"/>
    </row>
    <row r="2031" spans="4:6" x14ac:dyDescent="0.2">
      <c r="D2031" s="50"/>
      <c r="E2031" s="73"/>
      <c r="F2031" s="45"/>
    </row>
    <row r="2032" spans="4:6" x14ac:dyDescent="0.2">
      <c r="D2032" s="50"/>
      <c r="E2032" s="73"/>
      <c r="F2032" s="45"/>
    </row>
    <row r="2033" spans="4:6" x14ac:dyDescent="0.2">
      <c r="D2033" s="50"/>
      <c r="E2033" s="73"/>
      <c r="F2033" s="45"/>
    </row>
    <row r="2034" spans="4:6" x14ac:dyDescent="0.2">
      <c r="D2034" s="50"/>
      <c r="E2034" s="73"/>
      <c r="F2034" s="45"/>
    </row>
    <row r="2035" spans="4:6" x14ac:dyDescent="0.2">
      <c r="D2035" s="50"/>
      <c r="E2035" s="73"/>
      <c r="F2035" s="45"/>
    </row>
    <row r="2036" spans="4:6" x14ac:dyDescent="0.2">
      <c r="D2036" s="50"/>
      <c r="E2036" s="73"/>
      <c r="F2036" s="45"/>
    </row>
    <row r="2037" spans="4:6" x14ac:dyDescent="0.2">
      <c r="D2037" s="50"/>
      <c r="E2037" s="73"/>
      <c r="F2037" s="45"/>
    </row>
    <row r="2038" spans="4:6" x14ac:dyDescent="0.2">
      <c r="D2038" s="50"/>
      <c r="E2038" s="73"/>
      <c r="F2038" s="45"/>
    </row>
    <row r="2039" spans="4:6" x14ac:dyDescent="0.2">
      <c r="D2039" s="50"/>
      <c r="E2039" s="73"/>
      <c r="F2039" s="45"/>
    </row>
    <row r="2040" spans="4:6" x14ac:dyDescent="0.2">
      <c r="D2040" s="50"/>
      <c r="E2040" s="73"/>
      <c r="F2040" s="45"/>
    </row>
    <row r="2041" spans="4:6" x14ac:dyDescent="0.2">
      <c r="D2041" s="50"/>
      <c r="E2041" s="73"/>
      <c r="F2041" s="45"/>
    </row>
    <row r="2042" spans="4:6" x14ac:dyDescent="0.2">
      <c r="D2042" s="50"/>
      <c r="E2042" s="73"/>
      <c r="F2042" s="45"/>
    </row>
    <row r="2043" spans="4:6" x14ac:dyDescent="0.2">
      <c r="D2043" s="50"/>
      <c r="E2043" s="73"/>
      <c r="F2043" s="45"/>
    </row>
    <row r="2044" spans="4:6" x14ac:dyDescent="0.2">
      <c r="D2044" s="50"/>
      <c r="E2044" s="73"/>
      <c r="F2044" s="45"/>
    </row>
    <row r="2045" spans="4:6" x14ac:dyDescent="0.2">
      <c r="D2045" s="50"/>
      <c r="E2045" s="73"/>
      <c r="F2045" s="45"/>
    </row>
    <row r="2046" spans="4:6" x14ac:dyDescent="0.2">
      <c r="D2046" s="50"/>
      <c r="E2046" s="73"/>
      <c r="F2046" s="45"/>
    </row>
    <row r="2047" spans="4:6" x14ac:dyDescent="0.2">
      <c r="D2047" s="50"/>
      <c r="E2047" s="73"/>
      <c r="F2047" s="45"/>
    </row>
    <row r="2048" spans="4:6" x14ac:dyDescent="0.2">
      <c r="D2048" s="50"/>
      <c r="E2048" s="73"/>
      <c r="F2048" s="45"/>
    </row>
    <row r="2049" spans="4:6" x14ac:dyDescent="0.2">
      <c r="D2049" s="50"/>
      <c r="E2049" s="73"/>
      <c r="F2049" s="45"/>
    </row>
    <row r="2050" spans="4:6" x14ac:dyDescent="0.2">
      <c r="D2050" s="50"/>
      <c r="E2050" s="73"/>
      <c r="F2050" s="45"/>
    </row>
    <row r="2051" spans="4:6" x14ac:dyDescent="0.2">
      <c r="D2051" s="50"/>
      <c r="E2051" s="73"/>
      <c r="F2051" s="45"/>
    </row>
    <row r="2052" spans="4:6" x14ac:dyDescent="0.2">
      <c r="D2052" s="50"/>
      <c r="E2052" s="73"/>
      <c r="F2052" s="45"/>
    </row>
    <row r="2053" spans="4:6" x14ac:dyDescent="0.2">
      <c r="D2053" s="50"/>
      <c r="E2053" s="73"/>
      <c r="F2053" s="45"/>
    </row>
    <row r="2054" spans="4:6" x14ac:dyDescent="0.2">
      <c r="D2054" s="50"/>
      <c r="E2054" s="73"/>
      <c r="F2054" s="45"/>
    </row>
    <row r="2055" spans="4:6" x14ac:dyDescent="0.2">
      <c r="D2055" s="50"/>
      <c r="E2055" s="73"/>
      <c r="F2055" s="45"/>
    </row>
    <row r="2056" spans="4:6" x14ac:dyDescent="0.2">
      <c r="D2056" s="50"/>
      <c r="E2056" s="73"/>
      <c r="F2056" s="45"/>
    </row>
    <row r="2057" spans="4:6" x14ac:dyDescent="0.2">
      <c r="D2057" s="50"/>
      <c r="E2057" s="73"/>
      <c r="F2057" s="45"/>
    </row>
    <row r="2058" spans="4:6" x14ac:dyDescent="0.2">
      <c r="D2058" s="50"/>
      <c r="E2058" s="73"/>
      <c r="F2058" s="45"/>
    </row>
    <row r="2059" spans="4:6" x14ac:dyDescent="0.2">
      <c r="D2059" s="50"/>
      <c r="E2059" s="73"/>
      <c r="F2059" s="45"/>
    </row>
    <row r="2060" spans="4:6" x14ac:dyDescent="0.2">
      <c r="D2060" s="50"/>
      <c r="E2060" s="73"/>
      <c r="F2060" s="45"/>
    </row>
    <row r="2061" spans="4:6" x14ac:dyDescent="0.2">
      <c r="D2061" s="50"/>
      <c r="E2061" s="73"/>
      <c r="F2061" s="45"/>
    </row>
    <row r="2062" spans="4:6" x14ac:dyDescent="0.2">
      <c r="D2062" s="50"/>
      <c r="E2062" s="73"/>
      <c r="F2062" s="45"/>
    </row>
    <row r="2063" spans="4:6" x14ac:dyDescent="0.2">
      <c r="D2063" s="50"/>
      <c r="E2063" s="73"/>
      <c r="F2063" s="45"/>
    </row>
    <row r="2064" spans="4:6" x14ac:dyDescent="0.2">
      <c r="D2064" s="50"/>
      <c r="E2064" s="73"/>
      <c r="F2064" s="45"/>
    </row>
    <row r="2065" spans="4:6" x14ac:dyDescent="0.2">
      <c r="D2065" s="50"/>
      <c r="E2065" s="73"/>
      <c r="F2065" s="45"/>
    </row>
    <row r="2066" spans="4:6" x14ac:dyDescent="0.2">
      <c r="D2066" s="50"/>
      <c r="E2066" s="73"/>
      <c r="F2066" s="45"/>
    </row>
    <row r="2067" spans="4:6" x14ac:dyDescent="0.2">
      <c r="D2067" s="50"/>
      <c r="E2067" s="73"/>
      <c r="F2067" s="45"/>
    </row>
    <row r="2068" spans="4:6" x14ac:dyDescent="0.2">
      <c r="D2068" s="50"/>
      <c r="E2068" s="73"/>
      <c r="F2068" s="45"/>
    </row>
    <row r="2069" spans="4:6" x14ac:dyDescent="0.2">
      <c r="D2069" s="50"/>
      <c r="E2069" s="73"/>
      <c r="F2069" s="45"/>
    </row>
    <row r="2070" spans="4:6" x14ac:dyDescent="0.2">
      <c r="D2070" s="50"/>
      <c r="E2070" s="73"/>
      <c r="F2070" s="45"/>
    </row>
    <row r="2071" spans="4:6" x14ac:dyDescent="0.2">
      <c r="D2071" s="50"/>
      <c r="E2071" s="73"/>
      <c r="F2071" s="45"/>
    </row>
    <row r="2072" spans="4:6" x14ac:dyDescent="0.2">
      <c r="D2072" s="50"/>
      <c r="E2072" s="73"/>
      <c r="F2072" s="45"/>
    </row>
    <row r="2073" spans="4:6" x14ac:dyDescent="0.2">
      <c r="D2073" s="50"/>
      <c r="E2073" s="73"/>
      <c r="F2073" s="45"/>
    </row>
    <row r="2074" spans="4:6" x14ac:dyDescent="0.2">
      <c r="D2074" s="50"/>
      <c r="E2074" s="73"/>
      <c r="F2074" s="45"/>
    </row>
    <row r="2075" spans="4:6" x14ac:dyDescent="0.2">
      <c r="D2075" s="50"/>
      <c r="E2075" s="73"/>
      <c r="F2075" s="45"/>
    </row>
    <row r="2076" spans="4:6" x14ac:dyDescent="0.2">
      <c r="D2076" s="50"/>
      <c r="E2076" s="73"/>
      <c r="F2076" s="45"/>
    </row>
    <row r="2077" spans="4:6" x14ac:dyDescent="0.2">
      <c r="D2077" s="50"/>
      <c r="E2077" s="73"/>
      <c r="F2077" s="45"/>
    </row>
    <row r="2078" spans="4:6" x14ac:dyDescent="0.2">
      <c r="D2078" s="50"/>
      <c r="E2078" s="73"/>
      <c r="F2078" s="45"/>
    </row>
    <row r="2079" spans="4:6" x14ac:dyDescent="0.2">
      <c r="D2079" s="50"/>
      <c r="E2079" s="73"/>
      <c r="F2079" s="45"/>
    </row>
    <row r="2080" spans="4:6" x14ac:dyDescent="0.2">
      <c r="D2080" s="50"/>
      <c r="E2080" s="73"/>
      <c r="F2080" s="45"/>
    </row>
    <row r="2081" spans="4:6" x14ac:dyDescent="0.2">
      <c r="D2081" s="50"/>
      <c r="E2081" s="73"/>
      <c r="F2081" s="45"/>
    </row>
    <row r="2082" spans="4:6" x14ac:dyDescent="0.2">
      <c r="D2082" s="50"/>
      <c r="E2082" s="73"/>
      <c r="F2082" s="45"/>
    </row>
    <row r="2083" spans="4:6" x14ac:dyDescent="0.2">
      <c r="D2083" s="50"/>
      <c r="E2083" s="73"/>
      <c r="F2083" s="45"/>
    </row>
    <row r="2084" spans="4:6" x14ac:dyDescent="0.2">
      <c r="D2084" s="50"/>
      <c r="E2084" s="73"/>
      <c r="F2084" s="45"/>
    </row>
    <row r="2085" spans="4:6" x14ac:dyDescent="0.2">
      <c r="D2085" s="50"/>
      <c r="E2085" s="73"/>
      <c r="F2085" s="45"/>
    </row>
    <row r="2086" spans="4:6" x14ac:dyDescent="0.2">
      <c r="D2086" s="50"/>
      <c r="E2086" s="73"/>
      <c r="F2086" s="45"/>
    </row>
    <row r="2087" spans="4:6" x14ac:dyDescent="0.2">
      <c r="D2087" s="50"/>
      <c r="E2087" s="73"/>
      <c r="F2087" s="45"/>
    </row>
    <row r="2088" spans="4:6" x14ac:dyDescent="0.2">
      <c r="D2088" s="50"/>
      <c r="E2088" s="73"/>
      <c r="F2088" s="45"/>
    </row>
    <row r="2089" spans="4:6" x14ac:dyDescent="0.2">
      <c r="D2089" s="50"/>
      <c r="E2089" s="73"/>
      <c r="F2089" s="45"/>
    </row>
    <row r="2090" spans="4:6" x14ac:dyDescent="0.2">
      <c r="D2090" s="50"/>
      <c r="E2090" s="73"/>
      <c r="F2090" s="45"/>
    </row>
    <row r="2091" spans="4:6" x14ac:dyDescent="0.2">
      <c r="D2091" s="50"/>
      <c r="E2091" s="73"/>
      <c r="F2091" s="45"/>
    </row>
    <row r="2092" spans="4:6" x14ac:dyDescent="0.2">
      <c r="D2092" s="50"/>
      <c r="E2092" s="73"/>
      <c r="F2092" s="45"/>
    </row>
    <row r="2093" spans="4:6" x14ac:dyDescent="0.2">
      <c r="D2093" s="50"/>
      <c r="E2093" s="73"/>
      <c r="F2093" s="45"/>
    </row>
    <row r="2094" spans="4:6" x14ac:dyDescent="0.2">
      <c r="D2094" s="50"/>
      <c r="E2094" s="73"/>
      <c r="F2094" s="45"/>
    </row>
    <row r="2095" spans="4:6" x14ac:dyDescent="0.2">
      <c r="D2095" s="50"/>
      <c r="E2095" s="73"/>
      <c r="F2095" s="45"/>
    </row>
    <row r="2096" spans="4:6" x14ac:dyDescent="0.2">
      <c r="D2096" s="50"/>
      <c r="E2096" s="73"/>
      <c r="F2096" s="45"/>
    </row>
    <row r="2097" spans="4:6" x14ac:dyDescent="0.2">
      <c r="D2097" s="50"/>
      <c r="E2097" s="73"/>
      <c r="F2097" s="45"/>
    </row>
    <row r="2098" spans="4:6" x14ac:dyDescent="0.2">
      <c r="D2098" s="50"/>
      <c r="E2098" s="73"/>
      <c r="F2098" s="45"/>
    </row>
    <row r="2099" spans="4:6" x14ac:dyDescent="0.2">
      <c r="D2099" s="50"/>
      <c r="E2099" s="73"/>
      <c r="F2099" s="45"/>
    </row>
    <row r="2100" spans="4:6" x14ac:dyDescent="0.2">
      <c r="D2100" s="50"/>
      <c r="E2100" s="73"/>
      <c r="F2100" s="45"/>
    </row>
    <row r="2101" spans="4:6" x14ac:dyDescent="0.2">
      <c r="D2101" s="50"/>
      <c r="E2101" s="73"/>
      <c r="F2101" s="45"/>
    </row>
    <row r="2102" spans="4:6" x14ac:dyDescent="0.2">
      <c r="D2102" s="50"/>
      <c r="E2102" s="73"/>
      <c r="F2102" s="45"/>
    </row>
    <row r="2103" spans="4:6" x14ac:dyDescent="0.2">
      <c r="D2103" s="50"/>
      <c r="E2103" s="73"/>
      <c r="F2103" s="45"/>
    </row>
    <row r="2104" spans="4:6" x14ac:dyDescent="0.2">
      <c r="D2104" s="50"/>
      <c r="E2104" s="73"/>
      <c r="F2104" s="45"/>
    </row>
    <row r="2105" spans="4:6" x14ac:dyDescent="0.2">
      <c r="D2105" s="50"/>
      <c r="E2105" s="73"/>
      <c r="F2105" s="45"/>
    </row>
    <row r="2106" spans="4:6" x14ac:dyDescent="0.2">
      <c r="D2106" s="50"/>
      <c r="E2106" s="73"/>
      <c r="F2106" s="45"/>
    </row>
    <row r="2107" spans="4:6" x14ac:dyDescent="0.2">
      <c r="D2107" s="50"/>
      <c r="E2107" s="73"/>
      <c r="F2107" s="45"/>
    </row>
    <row r="2108" spans="4:6" x14ac:dyDescent="0.2">
      <c r="D2108" s="50"/>
      <c r="E2108" s="73"/>
      <c r="F2108" s="45"/>
    </row>
    <row r="2109" spans="4:6" x14ac:dyDescent="0.2">
      <c r="D2109" s="50"/>
      <c r="E2109" s="73"/>
      <c r="F2109" s="45"/>
    </row>
    <row r="2110" spans="4:6" x14ac:dyDescent="0.2">
      <c r="D2110" s="50"/>
      <c r="E2110" s="73"/>
      <c r="F2110" s="45"/>
    </row>
    <row r="2111" spans="4:6" x14ac:dyDescent="0.2">
      <c r="D2111" s="50"/>
      <c r="E2111" s="73"/>
      <c r="F2111" s="45"/>
    </row>
    <row r="2112" spans="4:6" x14ac:dyDescent="0.2">
      <c r="D2112" s="50"/>
      <c r="E2112" s="73"/>
      <c r="F2112" s="45"/>
    </row>
    <row r="2113" spans="4:6" x14ac:dyDescent="0.2">
      <c r="D2113" s="50"/>
      <c r="E2113" s="73"/>
      <c r="F2113" s="45"/>
    </row>
    <row r="2114" spans="4:6" x14ac:dyDescent="0.2">
      <c r="D2114" s="50"/>
      <c r="E2114" s="73"/>
      <c r="F2114" s="45"/>
    </row>
    <row r="2115" spans="4:6" x14ac:dyDescent="0.2">
      <c r="D2115" s="50"/>
      <c r="E2115" s="73"/>
      <c r="F2115" s="45"/>
    </row>
    <row r="2116" spans="4:6" x14ac:dyDescent="0.2">
      <c r="D2116" s="50"/>
      <c r="E2116" s="73"/>
      <c r="F2116" s="45"/>
    </row>
    <row r="2117" spans="4:6" x14ac:dyDescent="0.2">
      <c r="D2117" s="50"/>
      <c r="E2117" s="73"/>
      <c r="F2117" s="45"/>
    </row>
    <row r="2118" spans="4:6" x14ac:dyDescent="0.2">
      <c r="D2118" s="50"/>
      <c r="E2118" s="73"/>
      <c r="F2118" s="45"/>
    </row>
    <row r="2119" spans="4:6" x14ac:dyDescent="0.2">
      <c r="D2119" s="50"/>
      <c r="E2119" s="73"/>
      <c r="F2119" s="45"/>
    </row>
    <row r="2120" spans="4:6" x14ac:dyDescent="0.2">
      <c r="D2120" s="50"/>
      <c r="E2120" s="73"/>
      <c r="F2120" s="45"/>
    </row>
    <row r="2121" spans="4:6" x14ac:dyDescent="0.2">
      <c r="D2121" s="50"/>
      <c r="E2121" s="73"/>
      <c r="F2121" s="45"/>
    </row>
    <row r="2122" spans="4:6" x14ac:dyDescent="0.2">
      <c r="D2122" s="50"/>
      <c r="E2122" s="73"/>
      <c r="F2122" s="45"/>
    </row>
    <row r="2123" spans="4:6" x14ac:dyDescent="0.2">
      <c r="D2123" s="50"/>
      <c r="E2123" s="73"/>
      <c r="F2123" s="45"/>
    </row>
    <row r="2124" spans="4:6" x14ac:dyDescent="0.2">
      <c r="D2124" s="50"/>
      <c r="E2124" s="73"/>
      <c r="F2124" s="45"/>
    </row>
    <row r="2125" spans="4:6" x14ac:dyDescent="0.2">
      <c r="D2125" s="50"/>
      <c r="E2125" s="73"/>
      <c r="F2125" s="45"/>
    </row>
    <row r="2126" spans="4:6" x14ac:dyDescent="0.2">
      <c r="D2126" s="50"/>
      <c r="E2126" s="73"/>
      <c r="F2126" s="45"/>
    </row>
    <row r="2127" spans="4:6" x14ac:dyDescent="0.2">
      <c r="D2127" s="50"/>
      <c r="E2127" s="73"/>
      <c r="F2127" s="45"/>
    </row>
    <row r="2128" spans="4:6" x14ac:dyDescent="0.2">
      <c r="D2128" s="50"/>
      <c r="E2128" s="73"/>
      <c r="F2128" s="45"/>
    </row>
    <row r="2129" spans="4:6" x14ac:dyDescent="0.2">
      <c r="D2129" s="50"/>
      <c r="E2129" s="73"/>
      <c r="F2129" s="45"/>
    </row>
    <row r="2130" spans="4:6" x14ac:dyDescent="0.2">
      <c r="D2130" s="50"/>
      <c r="E2130" s="73"/>
      <c r="F2130" s="45"/>
    </row>
    <row r="2131" spans="4:6" x14ac:dyDescent="0.2">
      <c r="D2131" s="50"/>
      <c r="E2131" s="73"/>
      <c r="F2131" s="45"/>
    </row>
    <row r="2132" spans="4:6" x14ac:dyDescent="0.2">
      <c r="D2132" s="50"/>
      <c r="E2132" s="73"/>
      <c r="F2132" s="45"/>
    </row>
    <row r="2133" spans="4:6" x14ac:dyDescent="0.2">
      <c r="D2133" s="50"/>
      <c r="E2133" s="73"/>
      <c r="F2133" s="45"/>
    </row>
    <row r="2134" spans="4:6" x14ac:dyDescent="0.2">
      <c r="D2134" s="50"/>
      <c r="E2134" s="73"/>
      <c r="F2134" s="45"/>
    </row>
    <row r="2135" spans="4:6" x14ac:dyDescent="0.2">
      <c r="D2135" s="50"/>
      <c r="E2135" s="73"/>
      <c r="F2135" s="45"/>
    </row>
    <row r="2136" spans="4:6" x14ac:dyDescent="0.2">
      <c r="D2136" s="50"/>
      <c r="E2136" s="73"/>
      <c r="F2136" s="45"/>
    </row>
    <row r="2137" spans="4:6" x14ac:dyDescent="0.2">
      <c r="D2137" s="50"/>
      <c r="E2137" s="73"/>
      <c r="F2137" s="45"/>
    </row>
    <row r="2138" spans="4:6" x14ac:dyDescent="0.2">
      <c r="D2138" s="50"/>
      <c r="E2138" s="73"/>
      <c r="F2138" s="45"/>
    </row>
    <row r="2139" spans="4:6" x14ac:dyDescent="0.2">
      <c r="D2139" s="50"/>
      <c r="E2139" s="73"/>
      <c r="F2139" s="45"/>
    </row>
    <row r="2140" spans="4:6" x14ac:dyDescent="0.2">
      <c r="D2140" s="50"/>
      <c r="E2140" s="73"/>
      <c r="F2140" s="45"/>
    </row>
    <row r="2141" spans="4:6" x14ac:dyDescent="0.2">
      <c r="D2141" s="50"/>
      <c r="E2141" s="73"/>
      <c r="F2141" s="45"/>
    </row>
    <row r="2142" spans="4:6" x14ac:dyDescent="0.2">
      <c r="D2142" s="50"/>
      <c r="E2142" s="73"/>
      <c r="F2142" s="45"/>
    </row>
    <row r="2143" spans="4:6" x14ac:dyDescent="0.2">
      <c r="D2143" s="50"/>
      <c r="E2143" s="73"/>
      <c r="F2143" s="45"/>
    </row>
    <row r="2144" spans="4:6" x14ac:dyDescent="0.2">
      <c r="D2144" s="50"/>
      <c r="E2144" s="73"/>
      <c r="F2144" s="45"/>
    </row>
    <row r="2145" spans="4:6" x14ac:dyDescent="0.2">
      <c r="D2145" s="50"/>
      <c r="E2145" s="73"/>
      <c r="F2145" s="45"/>
    </row>
    <row r="2146" spans="4:6" x14ac:dyDescent="0.2">
      <c r="D2146" s="50"/>
      <c r="E2146" s="73"/>
      <c r="F2146" s="45"/>
    </row>
    <row r="2147" spans="4:6" x14ac:dyDescent="0.2">
      <c r="D2147" s="50"/>
      <c r="E2147" s="73"/>
      <c r="F2147" s="45"/>
    </row>
    <row r="2148" spans="4:6" x14ac:dyDescent="0.2">
      <c r="D2148" s="50"/>
      <c r="E2148" s="73"/>
      <c r="F2148" s="45"/>
    </row>
    <row r="2149" spans="4:6" x14ac:dyDescent="0.2">
      <c r="D2149" s="50"/>
      <c r="E2149" s="73"/>
      <c r="F2149" s="45"/>
    </row>
    <row r="2150" spans="4:6" x14ac:dyDescent="0.2">
      <c r="D2150" s="50"/>
      <c r="E2150" s="73"/>
      <c r="F2150" s="45"/>
    </row>
    <row r="2151" spans="4:6" x14ac:dyDescent="0.2">
      <c r="D2151" s="50"/>
      <c r="E2151" s="73"/>
      <c r="F2151" s="45"/>
    </row>
    <row r="2152" spans="4:6" x14ac:dyDescent="0.2">
      <c r="D2152" s="50"/>
      <c r="E2152" s="73"/>
      <c r="F2152" s="45"/>
    </row>
    <row r="2153" spans="4:6" x14ac:dyDescent="0.2">
      <c r="D2153" s="50"/>
      <c r="E2153" s="73"/>
      <c r="F2153" s="45"/>
    </row>
    <row r="2154" spans="4:6" x14ac:dyDescent="0.2">
      <c r="D2154" s="50"/>
      <c r="E2154" s="73"/>
      <c r="F2154" s="45"/>
    </row>
    <row r="2155" spans="4:6" x14ac:dyDescent="0.2">
      <c r="D2155" s="50"/>
      <c r="E2155" s="73"/>
      <c r="F2155" s="45"/>
    </row>
    <row r="2156" spans="4:6" x14ac:dyDescent="0.2">
      <c r="D2156" s="50"/>
      <c r="E2156" s="73"/>
      <c r="F2156" s="45"/>
    </row>
    <row r="2157" spans="4:6" x14ac:dyDescent="0.2">
      <c r="D2157" s="50"/>
      <c r="E2157" s="73"/>
      <c r="F2157" s="45"/>
    </row>
    <row r="2158" spans="4:6" x14ac:dyDescent="0.2">
      <c r="D2158" s="50"/>
      <c r="E2158" s="73"/>
      <c r="F2158" s="45"/>
    </row>
    <row r="2159" spans="4:6" x14ac:dyDescent="0.2">
      <c r="D2159" s="50"/>
      <c r="E2159" s="73"/>
      <c r="F2159" s="45"/>
    </row>
    <row r="2160" spans="4:6" x14ac:dyDescent="0.2">
      <c r="D2160" s="50"/>
      <c r="E2160" s="73"/>
      <c r="F2160" s="45"/>
    </row>
    <row r="2161" spans="4:6" x14ac:dyDescent="0.2">
      <c r="D2161" s="50"/>
      <c r="E2161" s="73"/>
      <c r="F2161" s="45"/>
    </row>
    <row r="2162" spans="4:6" x14ac:dyDescent="0.2">
      <c r="D2162" s="50"/>
      <c r="E2162" s="73"/>
      <c r="F2162" s="45"/>
    </row>
    <row r="2163" spans="4:6" x14ac:dyDescent="0.2">
      <c r="D2163" s="50"/>
      <c r="E2163" s="73"/>
      <c r="F2163" s="45"/>
    </row>
    <row r="2164" spans="4:6" x14ac:dyDescent="0.2">
      <c r="D2164" s="50"/>
      <c r="E2164" s="73"/>
      <c r="F2164" s="45"/>
    </row>
    <row r="2165" spans="4:6" x14ac:dyDescent="0.2">
      <c r="D2165" s="50"/>
      <c r="E2165" s="73"/>
      <c r="F2165" s="45"/>
    </row>
    <row r="2166" spans="4:6" x14ac:dyDescent="0.2">
      <c r="D2166" s="50"/>
      <c r="E2166" s="73"/>
      <c r="F2166" s="45"/>
    </row>
    <row r="2167" spans="4:6" x14ac:dyDescent="0.2">
      <c r="D2167" s="50"/>
      <c r="E2167" s="73"/>
      <c r="F2167" s="45"/>
    </row>
    <row r="2168" spans="4:6" x14ac:dyDescent="0.2">
      <c r="D2168" s="50"/>
      <c r="E2168" s="73"/>
      <c r="F2168" s="45"/>
    </row>
    <row r="2169" spans="4:6" x14ac:dyDescent="0.2">
      <c r="D2169" s="50"/>
      <c r="E2169" s="73"/>
      <c r="F2169" s="45"/>
    </row>
    <row r="2170" spans="4:6" x14ac:dyDescent="0.2">
      <c r="D2170" s="50"/>
      <c r="E2170" s="73"/>
      <c r="F2170" s="45"/>
    </row>
    <row r="2171" spans="4:6" x14ac:dyDescent="0.2">
      <c r="D2171" s="50"/>
      <c r="E2171" s="73"/>
      <c r="F2171" s="45"/>
    </row>
    <row r="2172" spans="4:6" x14ac:dyDescent="0.2">
      <c r="D2172" s="50"/>
      <c r="E2172" s="73"/>
      <c r="F2172" s="45"/>
    </row>
    <row r="2173" spans="4:6" x14ac:dyDescent="0.2">
      <c r="D2173" s="50"/>
      <c r="E2173" s="73"/>
      <c r="F2173" s="45"/>
    </row>
    <row r="2174" spans="4:6" x14ac:dyDescent="0.2">
      <c r="D2174" s="50"/>
      <c r="E2174" s="73"/>
      <c r="F2174" s="45"/>
    </row>
    <row r="2175" spans="4:6" x14ac:dyDescent="0.2">
      <c r="D2175" s="50"/>
      <c r="E2175" s="73"/>
      <c r="F2175" s="45"/>
    </row>
    <row r="2176" spans="4:6" x14ac:dyDescent="0.2">
      <c r="D2176" s="50"/>
      <c r="E2176" s="73"/>
      <c r="F2176" s="45"/>
    </row>
    <row r="2177" spans="4:6" x14ac:dyDescent="0.2">
      <c r="D2177" s="50"/>
      <c r="E2177" s="73"/>
      <c r="F2177" s="45"/>
    </row>
    <row r="2178" spans="4:6" x14ac:dyDescent="0.2">
      <c r="D2178" s="50"/>
      <c r="E2178" s="73"/>
      <c r="F2178" s="45"/>
    </row>
    <row r="2179" spans="4:6" x14ac:dyDescent="0.2">
      <c r="D2179" s="50"/>
      <c r="E2179" s="73"/>
      <c r="F2179" s="45"/>
    </row>
    <row r="2180" spans="4:6" x14ac:dyDescent="0.2">
      <c r="D2180" s="50"/>
      <c r="E2180" s="73"/>
      <c r="F2180" s="45"/>
    </row>
    <row r="2181" spans="4:6" x14ac:dyDescent="0.2">
      <c r="D2181" s="50"/>
      <c r="E2181" s="73"/>
      <c r="F2181" s="45"/>
    </row>
    <row r="2182" spans="4:6" x14ac:dyDescent="0.2">
      <c r="D2182" s="50"/>
      <c r="E2182" s="73"/>
      <c r="F2182" s="45"/>
    </row>
    <row r="2183" spans="4:6" x14ac:dyDescent="0.2">
      <c r="D2183" s="50"/>
      <c r="E2183" s="73"/>
      <c r="F2183" s="45"/>
    </row>
    <row r="2184" spans="4:6" x14ac:dyDescent="0.2">
      <c r="D2184" s="50"/>
      <c r="E2184" s="73"/>
      <c r="F2184" s="45"/>
    </row>
    <row r="2185" spans="4:6" x14ac:dyDescent="0.2">
      <c r="D2185" s="50"/>
      <c r="E2185" s="73"/>
      <c r="F2185" s="45"/>
    </row>
    <row r="2186" spans="4:6" x14ac:dyDescent="0.2">
      <c r="D2186" s="50"/>
      <c r="E2186" s="73"/>
      <c r="F2186" s="45"/>
    </row>
    <row r="2187" spans="4:6" x14ac:dyDescent="0.2">
      <c r="D2187" s="50"/>
      <c r="E2187" s="73"/>
      <c r="F2187" s="45"/>
    </row>
    <row r="2188" spans="4:6" x14ac:dyDescent="0.2">
      <c r="D2188" s="50"/>
      <c r="E2188" s="73"/>
      <c r="F2188" s="45"/>
    </row>
    <row r="2189" spans="4:6" x14ac:dyDescent="0.2">
      <c r="D2189" s="50"/>
      <c r="E2189" s="73"/>
      <c r="F2189" s="45"/>
    </row>
    <row r="2190" spans="4:6" x14ac:dyDescent="0.2">
      <c r="D2190" s="50"/>
      <c r="E2190" s="73"/>
      <c r="F2190" s="45"/>
    </row>
    <row r="2191" spans="4:6" x14ac:dyDescent="0.2">
      <c r="D2191" s="50"/>
      <c r="E2191" s="73"/>
      <c r="F2191" s="45"/>
    </row>
    <row r="2192" spans="4:6" x14ac:dyDescent="0.2">
      <c r="D2192" s="50"/>
      <c r="E2192" s="73"/>
      <c r="F2192" s="45"/>
    </row>
    <row r="2193" spans="4:6" x14ac:dyDescent="0.2">
      <c r="D2193" s="50"/>
      <c r="E2193" s="73"/>
      <c r="F2193" s="45"/>
    </row>
    <row r="2194" spans="4:6" x14ac:dyDescent="0.2">
      <c r="D2194" s="50"/>
      <c r="E2194" s="73"/>
      <c r="F2194" s="45"/>
    </row>
    <row r="2195" spans="4:6" x14ac:dyDescent="0.2">
      <c r="D2195" s="50"/>
      <c r="E2195" s="73"/>
      <c r="F2195" s="45"/>
    </row>
    <row r="2196" spans="4:6" x14ac:dyDescent="0.2">
      <c r="D2196" s="50"/>
      <c r="E2196" s="73"/>
      <c r="F2196" s="45"/>
    </row>
    <row r="2197" spans="4:6" x14ac:dyDescent="0.2">
      <c r="D2197" s="50"/>
      <c r="E2197" s="73"/>
      <c r="F2197" s="45"/>
    </row>
    <row r="2198" spans="4:6" x14ac:dyDescent="0.2">
      <c r="D2198" s="50"/>
      <c r="E2198" s="73"/>
      <c r="F2198" s="45"/>
    </row>
    <row r="2199" spans="4:6" x14ac:dyDescent="0.2">
      <c r="D2199" s="50"/>
      <c r="E2199" s="73"/>
      <c r="F2199" s="45"/>
    </row>
    <row r="2200" spans="4:6" x14ac:dyDescent="0.2">
      <c r="D2200" s="50"/>
      <c r="E2200" s="73"/>
      <c r="F2200" s="45"/>
    </row>
    <row r="2201" spans="4:6" x14ac:dyDescent="0.2">
      <c r="D2201" s="50"/>
      <c r="E2201" s="73"/>
      <c r="F2201" s="45"/>
    </row>
    <row r="2202" spans="4:6" x14ac:dyDescent="0.2">
      <c r="D2202" s="50"/>
      <c r="E2202" s="73"/>
      <c r="F2202" s="45"/>
    </row>
    <row r="2203" spans="4:6" x14ac:dyDescent="0.2">
      <c r="D2203" s="50"/>
      <c r="E2203" s="73"/>
      <c r="F2203" s="45"/>
    </row>
    <row r="2204" spans="4:6" x14ac:dyDescent="0.2">
      <c r="D2204" s="50"/>
      <c r="E2204" s="73"/>
      <c r="F2204" s="45"/>
    </row>
    <row r="2205" spans="4:6" x14ac:dyDescent="0.2">
      <c r="D2205" s="50"/>
      <c r="E2205" s="73"/>
      <c r="F2205" s="45"/>
    </row>
    <row r="2206" spans="4:6" x14ac:dyDescent="0.2">
      <c r="D2206" s="50"/>
      <c r="E2206" s="73"/>
      <c r="F2206" s="45"/>
    </row>
    <row r="2207" spans="4:6" x14ac:dyDescent="0.2">
      <c r="D2207" s="50"/>
      <c r="E2207" s="73"/>
      <c r="F2207" s="45"/>
    </row>
    <row r="2208" spans="4:6" x14ac:dyDescent="0.2">
      <c r="D2208" s="50"/>
      <c r="E2208" s="73"/>
      <c r="F2208" s="45"/>
    </row>
    <row r="2209" spans="4:6" x14ac:dyDescent="0.2">
      <c r="D2209" s="50"/>
      <c r="E2209" s="73"/>
      <c r="F2209" s="45"/>
    </row>
    <row r="2210" spans="4:6" x14ac:dyDescent="0.2">
      <c r="D2210" s="50"/>
      <c r="E2210" s="73"/>
      <c r="F2210" s="45"/>
    </row>
    <row r="2211" spans="4:6" x14ac:dyDescent="0.2">
      <c r="D2211" s="50"/>
      <c r="E2211" s="73"/>
      <c r="F2211" s="45"/>
    </row>
    <row r="2212" spans="4:6" x14ac:dyDescent="0.2">
      <c r="D2212" s="50"/>
      <c r="E2212" s="73"/>
      <c r="F2212" s="45"/>
    </row>
    <row r="2213" spans="4:6" x14ac:dyDescent="0.2">
      <c r="D2213" s="50"/>
      <c r="E2213" s="73"/>
      <c r="F2213" s="45"/>
    </row>
    <row r="2214" spans="4:6" x14ac:dyDescent="0.2">
      <c r="D2214" s="50"/>
      <c r="E2214" s="73"/>
      <c r="F2214" s="45"/>
    </row>
    <row r="2215" spans="4:6" x14ac:dyDescent="0.2">
      <c r="D2215" s="50"/>
      <c r="E2215" s="73"/>
      <c r="F2215" s="45"/>
    </row>
    <row r="2216" spans="4:6" x14ac:dyDescent="0.2">
      <c r="D2216" s="50"/>
      <c r="E2216" s="73"/>
      <c r="F2216" s="45"/>
    </row>
    <row r="2217" spans="4:6" x14ac:dyDescent="0.2">
      <c r="D2217" s="50"/>
      <c r="E2217" s="73"/>
      <c r="F2217" s="45"/>
    </row>
    <row r="2218" spans="4:6" x14ac:dyDescent="0.2">
      <c r="D2218" s="50"/>
      <c r="E2218" s="73"/>
      <c r="F2218" s="45"/>
    </row>
    <row r="2219" spans="4:6" x14ac:dyDescent="0.2">
      <c r="D2219" s="50"/>
      <c r="E2219" s="73"/>
      <c r="F2219" s="45"/>
    </row>
    <row r="2220" spans="4:6" x14ac:dyDescent="0.2">
      <c r="D2220" s="50"/>
      <c r="E2220" s="73"/>
      <c r="F2220" s="45"/>
    </row>
    <row r="2221" spans="4:6" x14ac:dyDescent="0.2">
      <c r="D2221" s="50"/>
      <c r="E2221" s="73"/>
      <c r="F2221" s="45"/>
    </row>
    <row r="2222" spans="4:6" x14ac:dyDescent="0.2">
      <c r="D2222" s="50"/>
      <c r="E2222" s="73"/>
      <c r="F2222" s="45"/>
    </row>
    <row r="2223" spans="4:6" x14ac:dyDescent="0.2">
      <c r="D2223" s="50"/>
      <c r="E2223" s="73"/>
      <c r="F2223" s="45"/>
    </row>
    <row r="2224" spans="4:6" x14ac:dyDescent="0.2">
      <c r="D2224" s="50"/>
      <c r="E2224" s="73"/>
      <c r="F2224" s="45"/>
    </row>
    <row r="2225" spans="4:6" x14ac:dyDescent="0.2">
      <c r="D2225" s="50"/>
      <c r="E2225" s="73"/>
      <c r="F2225" s="45"/>
    </row>
    <row r="2226" spans="4:6" x14ac:dyDescent="0.2">
      <c r="D2226" s="50"/>
      <c r="E2226" s="73"/>
      <c r="F2226" s="45"/>
    </row>
    <row r="2227" spans="4:6" x14ac:dyDescent="0.2">
      <c r="D2227" s="50"/>
      <c r="E2227" s="73"/>
      <c r="F2227" s="45"/>
    </row>
    <row r="2228" spans="4:6" x14ac:dyDescent="0.2">
      <c r="D2228" s="50"/>
      <c r="E2228" s="73"/>
      <c r="F2228" s="45"/>
    </row>
    <row r="2229" spans="4:6" x14ac:dyDescent="0.2">
      <c r="D2229" s="50"/>
      <c r="E2229" s="73"/>
      <c r="F2229" s="45"/>
    </row>
    <row r="2230" spans="4:6" x14ac:dyDescent="0.2">
      <c r="D2230" s="50"/>
      <c r="E2230" s="73"/>
      <c r="F2230" s="45"/>
    </row>
    <row r="2231" spans="4:6" x14ac:dyDescent="0.2">
      <c r="D2231" s="50"/>
      <c r="E2231" s="73"/>
      <c r="F2231" s="45"/>
    </row>
    <row r="2232" spans="4:6" x14ac:dyDescent="0.2">
      <c r="D2232" s="50"/>
      <c r="E2232" s="73"/>
      <c r="F2232" s="45"/>
    </row>
    <row r="2233" spans="4:6" x14ac:dyDescent="0.2">
      <c r="D2233" s="50"/>
      <c r="E2233" s="73"/>
      <c r="F2233" s="45"/>
    </row>
    <row r="2234" spans="4:6" x14ac:dyDescent="0.2">
      <c r="D2234" s="50"/>
      <c r="E2234" s="73"/>
      <c r="F2234" s="45"/>
    </row>
    <row r="2235" spans="4:6" x14ac:dyDescent="0.2">
      <c r="D2235" s="50"/>
      <c r="E2235" s="73"/>
      <c r="F2235" s="45"/>
    </row>
    <row r="2236" spans="4:6" x14ac:dyDescent="0.2">
      <c r="D2236" s="50"/>
      <c r="E2236" s="73"/>
      <c r="F2236" s="45"/>
    </row>
    <row r="2237" spans="4:6" x14ac:dyDescent="0.2">
      <c r="D2237" s="50"/>
      <c r="E2237" s="73"/>
      <c r="F2237" s="45"/>
    </row>
    <row r="2238" spans="4:6" x14ac:dyDescent="0.2">
      <c r="D2238" s="50"/>
      <c r="E2238" s="73"/>
      <c r="F2238" s="45"/>
    </row>
    <row r="2239" spans="4:6" x14ac:dyDescent="0.2">
      <c r="D2239" s="50"/>
      <c r="E2239" s="73"/>
      <c r="F2239" s="45"/>
    </row>
    <row r="2240" spans="4:6" x14ac:dyDescent="0.2">
      <c r="D2240" s="50"/>
      <c r="E2240" s="73"/>
      <c r="F2240" s="45"/>
    </row>
    <row r="2241" spans="4:6" x14ac:dyDescent="0.2">
      <c r="D2241" s="50"/>
      <c r="E2241" s="73"/>
      <c r="F2241" s="45"/>
    </row>
    <row r="2242" spans="4:6" x14ac:dyDescent="0.2">
      <c r="D2242" s="50"/>
      <c r="E2242" s="73"/>
      <c r="F2242" s="45"/>
    </row>
    <row r="2243" spans="4:6" x14ac:dyDescent="0.2">
      <c r="D2243" s="50"/>
      <c r="E2243" s="73"/>
      <c r="F2243" s="45"/>
    </row>
    <row r="2244" spans="4:6" x14ac:dyDescent="0.2">
      <c r="D2244" s="50"/>
      <c r="E2244" s="73"/>
      <c r="F2244" s="45"/>
    </row>
    <row r="2245" spans="4:6" x14ac:dyDescent="0.2">
      <c r="D2245" s="50"/>
      <c r="E2245" s="73"/>
      <c r="F2245" s="45"/>
    </row>
    <row r="2246" spans="4:6" x14ac:dyDescent="0.2">
      <c r="D2246" s="50"/>
      <c r="E2246" s="73"/>
      <c r="F2246" s="45"/>
    </row>
    <row r="2247" spans="4:6" x14ac:dyDescent="0.2">
      <c r="D2247" s="50"/>
      <c r="E2247" s="73"/>
      <c r="F2247" s="45"/>
    </row>
    <row r="2248" spans="4:6" x14ac:dyDescent="0.2">
      <c r="D2248" s="50"/>
      <c r="E2248" s="73"/>
      <c r="F2248" s="45"/>
    </row>
    <row r="2249" spans="4:6" x14ac:dyDescent="0.2">
      <c r="D2249" s="50"/>
      <c r="E2249" s="73"/>
      <c r="F2249" s="45"/>
    </row>
    <row r="2250" spans="4:6" x14ac:dyDescent="0.2">
      <c r="D2250" s="50"/>
      <c r="E2250" s="73"/>
      <c r="F2250" s="45"/>
    </row>
    <row r="2251" spans="4:6" x14ac:dyDescent="0.2">
      <c r="D2251" s="50"/>
      <c r="E2251" s="73"/>
      <c r="F2251" s="45"/>
    </row>
    <row r="2252" spans="4:6" x14ac:dyDescent="0.2">
      <c r="D2252" s="50"/>
      <c r="E2252" s="73"/>
      <c r="F2252" s="45"/>
    </row>
    <row r="2253" spans="4:6" x14ac:dyDescent="0.2">
      <c r="D2253" s="50"/>
      <c r="E2253" s="73"/>
      <c r="F2253" s="45"/>
    </row>
    <row r="2254" spans="4:6" x14ac:dyDescent="0.2">
      <c r="D2254" s="50"/>
      <c r="E2254" s="73"/>
      <c r="F2254" s="45"/>
    </row>
    <row r="2255" spans="4:6" x14ac:dyDescent="0.2">
      <c r="D2255" s="50"/>
      <c r="E2255" s="73"/>
      <c r="F2255" s="45"/>
    </row>
    <row r="2256" spans="4:6" x14ac:dyDescent="0.2">
      <c r="D2256" s="50"/>
      <c r="E2256" s="73"/>
      <c r="F2256" s="45"/>
    </row>
    <row r="2257" spans="4:6" x14ac:dyDescent="0.2">
      <c r="D2257" s="50"/>
      <c r="E2257" s="73"/>
      <c r="F2257" s="45"/>
    </row>
    <row r="2258" spans="4:6" x14ac:dyDescent="0.2">
      <c r="D2258" s="50"/>
      <c r="E2258" s="73"/>
      <c r="F2258" s="45"/>
    </row>
    <row r="2259" spans="4:6" x14ac:dyDescent="0.2">
      <c r="D2259" s="50"/>
      <c r="E2259" s="73"/>
      <c r="F2259" s="45"/>
    </row>
    <row r="2260" spans="4:6" x14ac:dyDescent="0.2">
      <c r="D2260" s="50"/>
      <c r="E2260" s="73"/>
      <c r="F2260" s="45"/>
    </row>
    <row r="2261" spans="4:6" x14ac:dyDescent="0.2">
      <c r="D2261" s="50"/>
      <c r="E2261" s="73"/>
      <c r="F2261" s="45"/>
    </row>
    <row r="2262" spans="4:6" x14ac:dyDescent="0.2">
      <c r="D2262" s="50"/>
      <c r="E2262" s="73"/>
      <c r="F2262" s="45"/>
    </row>
    <row r="2263" spans="4:6" x14ac:dyDescent="0.2">
      <c r="D2263" s="50"/>
      <c r="E2263" s="73"/>
      <c r="F2263" s="45"/>
    </row>
    <row r="2264" spans="4:6" x14ac:dyDescent="0.2">
      <c r="D2264" s="50"/>
      <c r="E2264" s="73"/>
      <c r="F2264" s="45"/>
    </row>
    <row r="2265" spans="4:6" x14ac:dyDescent="0.2">
      <c r="D2265" s="50"/>
      <c r="E2265" s="73"/>
      <c r="F2265" s="45"/>
    </row>
    <row r="2266" spans="4:6" x14ac:dyDescent="0.2">
      <c r="D2266" s="50"/>
      <c r="E2266" s="73"/>
      <c r="F2266" s="45"/>
    </row>
    <row r="2267" spans="4:6" x14ac:dyDescent="0.2">
      <c r="D2267" s="50"/>
      <c r="E2267" s="73"/>
      <c r="F2267" s="45"/>
    </row>
    <row r="2268" spans="4:6" x14ac:dyDescent="0.2">
      <c r="D2268" s="50"/>
      <c r="E2268" s="73"/>
      <c r="F2268" s="45"/>
    </row>
    <row r="2269" spans="4:6" x14ac:dyDescent="0.2">
      <c r="D2269" s="50"/>
      <c r="E2269" s="73"/>
      <c r="F2269" s="45"/>
    </row>
    <row r="2270" spans="4:6" x14ac:dyDescent="0.2">
      <c r="D2270" s="50"/>
      <c r="E2270" s="73"/>
      <c r="F2270" s="45"/>
    </row>
    <row r="2271" spans="4:6" x14ac:dyDescent="0.2">
      <c r="D2271" s="50"/>
      <c r="E2271" s="73"/>
      <c r="F2271" s="45"/>
    </row>
    <row r="2272" spans="4:6" x14ac:dyDescent="0.2">
      <c r="D2272" s="50"/>
      <c r="E2272" s="73"/>
      <c r="F2272" s="45"/>
    </row>
    <row r="2273" spans="4:6" x14ac:dyDescent="0.2">
      <c r="D2273" s="50"/>
      <c r="E2273" s="73"/>
      <c r="F2273" s="45"/>
    </row>
    <row r="2274" spans="4:6" x14ac:dyDescent="0.2">
      <c r="D2274" s="50"/>
      <c r="E2274" s="73"/>
      <c r="F2274" s="45"/>
    </row>
    <row r="2275" spans="4:6" x14ac:dyDescent="0.2">
      <c r="D2275" s="50"/>
      <c r="E2275" s="73"/>
      <c r="F2275" s="45"/>
    </row>
    <row r="2276" spans="4:6" x14ac:dyDescent="0.2">
      <c r="D2276" s="50"/>
      <c r="E2276" s="73"/>
      <c r="F2276" s="45"/>
    </row>
    <row r="2277" spans="4:6" x14ac:dyDescent="0.2">
      <c r="D2277" s="50"/>
      <c r="E2277" s="73"/>
      <c r="F2277" s="45"/>
    </row>
    <row r="2278" spans="4:6" x14ac:dyDescent="0.2">
      <c r="D2278" s="50"/>
      <c r="E2278" s="73"/>
      <c r="F2278" s="45"/>
    </row>
    <row r="2279" spans="4:6" x14ac:dyDescent="0.2">
      <c r="D2279" s="50"/>
      <c r="E2279" s="73"/>
      <c r="F2279" s="45"/>
    </row>
    <row r="2280" spans="4:6" x14ac:dyDescent="0.2">
      <c r="D2280" s="50"/>
      <c r="E2280" s="73"/>
      <c r="F2280" s="45"/>
    </row>
    <row r="2281" spans="4:6" x14ac:dyDescent="0.2">
      <c r="D2281" s="50"/>
      <c r="E2281" s="73"/>
      <c r="F2281" s="45"/>
    </row>
    <row r="2282" spans="4:6" x14ac:dyDescent="0.2">
      <c r="D2282" s="50"/>
      <c r="E2282" s="73"/>
      <c r="F2282" s="45"/>
    </row>
    <row r="2283" spans="4:6" x14ac:dyDescent="0.2">
      <c r="D2283" s="50"/>
      <c r="E2283" s="73"/>
      <c r="F2283" s="45"/>
    </row>
    <row r="2284" spans="4:6" x14ac:dyDescent="0.2">
      <c r="D2284" s="50"/>
      <c r="E2284" s="73"/>
      <c r="F2284" s="45"/>
    </row>
    <row r="2285" spans="4:6" x14ac:dyDescent="0.2">
      <c r="D2285" s="50"/>
      <c r="E2285" s="73"/>
      <c r="F2285" s="45"/>
    </row>
    <row r="2286" spans="4:6" x14ac:dyDescent="0.2">
      <c r="D2286" s="50"/>
      <c r="E2286" s="73"/>
      <c r="F2286" s="45"/>
    </row>
    <row r="2287" spans="4:6" x14ac:dyDescent="0.2">
      <c r="D2287" s="50"/>
      <c r="E2287" s="73"/>
      <c r="F2287" s="45"/>
    </row>
    <row r="2288" spans="4:6" x14ac:dyDescent="0.2">
      <c r="D2288" s="50"/>
      <c r="E2288" s="73"/>
      <c r="F2288" s="45"/>
    </row>
    <row r="2289" spans="4:6" x14ac:dyDescent="0.2">
      <c r="D2289" s="50"/>
      <c r="E2289" s="73"/>
      <c r="F2289" s="45"/>
    </row>
    <row r="2290" spans="4:6" x14ac:dyDescent="0.2">
      <c r="D2290" s="50"/>
      <c r="E2290" s="73"/>
      <c r="F2290" s="45"/>
    </row>
    <row r="2291" spans="4:6" x14ac:dyDescent="0.2">
      <c r="D2291" s="50"/>
      <c r="E2291" s="73"/>
      <c r="F2291" s="45"/>
    </row>
    <row r="2292" spans="4:6" x14ac:dyDescent="0.2">
      <c r="D2292" s="50"/>
      <c r="E2292" s="73"/>
      <c r="F2292" s="45"/>
    </row>
    <row r="2293" spans="4:6" x14ac:dyDescent="0.2">
      <c r="D2293" s="50"/>
      <c r="E2293" s="73"/>
      <c r="F2293" s="45"/>
    </row>
    <row r="2294" spans="4:6" x14ac:dyDescent="0.2">
      <c r="D2294" s="50"/>
      <c r="E2294" s="73"/>
      <c r="F2294" s="45"/>
    </row>
    <row r="2295" spans="4:6" x14ac:dyDescent="0.2">
      <c r="D2295" s="50"/>
      <c r="E2295" s="73"/>
      <c r="F2295" s="45"/>
    </row>
    <row r="2296" spans="4:6" x14ac:dyDescent="0.2">
      <c r="D2296" s="50"/>
      <c r="E2296" s="73"/>
      <c r="F2296" s="45"/>
    </row>
    <row r="2297" spans="4:6" x14ac:dyDescent="0.2">
      <c r="D2297" s="50"/>
      <c r="E2297" s="73"/>
      <c r="F2297" s="45"/>
    </row>
    <row r="2298" spans="4:6" x14ac:dyDescent="0.2">
      <c r="D2298" s="50"/>
      <c r="E2298" s="73"/>
      <c r="F2298" s="45"/>
    </row>
    <row r="2299" spans="4:6" x14ac:dyDescent="0.2">
      <c r="D2299" s="50"/>
      <c r="E2299" s="73"/>
      <c r="F2299" s="45"/>
    </row>
    <row r="2300" spans="4:6" x14ac:dyDescent="0.2">
      <c r="D2300" s="50"/>
      <c r="E2300" s="73"/>
      <c r="F2300" s="45"/>
    </row>
    <row r="2301" spans="4:6" x14ac:dyDescent="0.2">
      <c r="D2301" s="50"/>
      <c r="E2301" s="73"/>
      <c r="F2301" s="45"/>
    </row>
    <row r="2302" spans="4:6" x14ac:dyDescent="0.2">
      <c r="D2302" s="50"/>
      <c r="E2302" s="73"/>
      <c r="F2302" s="45"/>
    </row>
    <row r="2303" spans="4:6" x14ac:dyDescent="0.2">
      <c r="D2303" s="50"/>
      <c r="E2303" s="73"/>
      <c r="F2303" s="45"/>
    </row>
    <row r="2304" spans="4:6" x14ac:dyDescent="0.2">
      <c r="D2304" s="50"/>
      <c r="E2304" s="73"/>
      <c r="F2304" s="45"/>
    </row>
    <row r="2305" spans="4:6" x14ac:dyDescent="0.2">
      <c r="D2305" s="50"/>
      <c r="E2305" s="73"/>
      <c r="F2305" s="45"/>
    </row>
    <row r="2306" spans="4:6" x14ac:dyDescent="0.2">
      <c r="D2306" s="50"/>
      <c r="E2306" s="73"/>
      <c r="F2306" s="45"/>
    </row>
    <row r="2307" spans="4:6" x14ac:dyDescent="0.2">
      <c r="D2307" s="50"/>
      <c r="E2307" s="73"/>
      <c r="F2307" s="45"/>
    </row>
    <row r="2308" spans="4:6" x14ac:dyDescent="0.2">
      <c r="D2308" s="50"/>
      <c r="E2308" s="73"/>
      <c r="F2308" s="45"/>
    </row>
    <row r="2309" spans="4:6" x14ac:dyDescent="0.2">
      <c r="D2309" s="50"/>
      <c r="E2309" s="73"/>
      <c r="F2309" s="45"/>
    </row>
    <row r="2310" spans="4:6" x14ac:dyDescent="0.2">
      <c r="D2310" s="50"/>
      <c r="E2310" s="73"/>
      <c r="F2310" s="45"/>
    </row>
    <row r="2311" spans="4:6" x14ac:dyDescent="0.2">
      <c r="D2311" s="50"/>
      <c r="E2311" s="73"/>
      <c r="F2311" s="45"/>
    </row>
    <row r="2312" spans="4:6" x14ac:dyDescent="0.2">
      <c r="D2312" s="50"/>
      <c r="E2312" s="73"/>
      <c r="F2312" s="45"/>
    </row>
    <row r="2313" spans="4:6" x14ac:dyDescent="0.2">
      <c r="D2313" s="50"/>
      <c r="E2313" s="73"/>
      <c r="F2313" s="45"/>
    </row>
    <row r="2314" spans="4:6" x14ac:dyDescent="0.2">
      <c r="D2314" s="50"/>
      <c r="E2314" s="73"/>
      <c r="F2314" s="45"/>
    </row>
    <row r="2315" spans="4:6" x14ac:dyDescent="0.2">
      <c r="D2315" s="50"/>
      <c r="E2315" s="73"/>
      <c r="F2315" s="45"/>
    </row>
    <row r="2316" spans="4:6" x14ac:dyDescent="0.2">
      <c r="D2316" s="50"/>
      <c r="E2316" s="73"/>
      <c r="F2316" s="45"/>
    </row>
    <row r="2317" spans="4:6" x14ac:dyDescent="0.2">
      <c r="D2317" s="50"/>
      <c r="E2317" s="73"/>
      <c r="F2317" s="45"/>
    </row>
    <row r="2318" spans="4:6" x14ac:dyDescent="0.2">
      <c r="D2318" s="50"/>
      <c r="E2318" s="73"/>
      <c r="F2318" s="45"/>
    </row>
    <row r="2319" spans="4:6" x14ac:dyDescent="0.2">
      <c r="D2319" s="50"/>
      <c r="E2319" s="73"/>
      <c r="F2319" s="45"/>
    </row>
    <row r="2320" spans="4:6" x14ac:dyDescent="0.2">
      <c r="D2320" s="50"/>
      <c r="E2320" s="73"/>
      <c r="F2320" s="45"/>
    </row>
    <row r="2321" spans="4:6" x14ac:dyDescent="0.2">
      <c r="D2321" s="50"/>
      <c r="E2321" s="73"/>
      <c r="F2321" s="45"/>
    </row>
    <row r="2322" spans="4:6" x14ac:dyDescent="0.2">
      <c r="D2322" s="50"/>
      <c r="E2322" s="73"/>
      <c r="F2322" s="45"/>
    </row>
    <row r="2323" spans="4:6" x14ac:dyDescent="0.2">
      <c r="D2323" s="50"/>
      <c r="E2323" s="73"/>
      <c r="F2323" s="45"/>
    </row>
    <row r="2324" spans="4:6" x14ac:dyDescent="0.2">
      <c r="D2324" s="50"/>
      <c r="E2324" s="73"/>
      <c r="F2324" s="45"/>
    </row>
    <row r="2325" spans="4:6" x14ac:dyDescent="0.2">
      <c r="D2325" s="50"/>
      <c r="E2325" s="73"/>
      <c r="F2325" s="45"/>
    </row>
    <row r="2326" spans="4:6" x14ac:dyDescent="0.2">
      <c r="D2326" s="50"/>
      <c r="E2326" s="73"/>
      <c r="F2326" s="45"/>
    </row>
    <row r="2327" spans="4:6" x14ac:dyDescent="0.2">
      <c r="D2327" s="50"/>
      <c r="E2327" s="73"/>
      <c r="F2327" s="45"/>
    </row>
    <row r="2328" spans="4:6" x14ac:dyDescent="0.2">
      <c r="D2328" s="50"/>
      <c r="E2328" s="73"/>
      <c r="F2328" s="45"/>
    </row>
    <row r="2329" spans="4:6" x14ac:dyDescent="0.2">
      <c r="D2329" s="50"/>
      <c r="E2329" s="73"/>
      <c r="F2329" s="45"/>
    </row>
    <row r="2330" spans="4:6" x14ac:dyDescent="0.2">
      <c r="D2330" s="50"/>
      <c r="E2330" s="73"/>
      <c r="F2330" s="45"/>
    </row>
    <row r="2331" spans="4:6" x14ac:dyDescent="0.2">
      <c r="D2331" s="50"/>
      <c r="E2331" s="73"/>
      <c r="F2331" s="45"/>
    </row>
    <row r="2332" spans="4:6" x14ac:dyDescent="0.2">
      <c r="D2332" s="50"/>
      <c r="E2332" s="73"/>
      <c r="F2332" s="45"/>
    </row>
    <row r="2333" spans="4:6" x14ac:dyDescent="0.2">
      <c r="D2333" s="50"/>
      <c r="E2333" s="73"/>
      <c r="F2333" s="45"/>
    </row>
    <row r="2334" spans="4:6" x14ac:dyDescent="0.2">
      <c r="D2334" s="50"/>
      <c r="E2334" s="73"/>
      <c r="F2334" s="45"/>
    </row>
    <row r="2335" spans="4:6" x14ac:dyDescent="0.2">
      <c r="D2335" s="50"/>
      <c r="E2335" s="73"/>
      <c r="F2335" s="45"/>
    </row>
    <row r="2336" spans="4:6" x14ac:dyDescent="0.2">
      <c r="D2336" s="50"/>
      <c r="E2336" s="73"/>
      <c r="F2336" s="45"/>
    </row>
    <row r="2337" spans="4:6" x14ac:dyDescent="0.2">
      <c r="D2337" s="50"/>
      <c r="E2337" s="73"/>
      <c r="F2337" s="45"/>
    </row>
    <row r="2338" spans="4:6" x14ac:dyDescent="0.2">
      <c r="D2338" s="50"/>
      <c r="E2338" s="73"/>
      <c r="F2338" s="45"/>
    </row>
    <row r="2339" spans="4:6" x14ac:dyDescent="0.2">
      <c r="D2339" s="50"/>
      <c r="E2339" s="73"/>
      <c r="F2339" s="45"/>
    </row>
    <row r="2340" spans="4:6" x14ac:dyDescent="0.2">
      <c r="D2340" s="50"/>
      <c r="E2340" s="73"/>
      <c r="F2340" s="45"/>
    </row>
    <row r="2341" spans="4:6" x14ac:dyDescent="0.2">
      <c r="D2341" s="50"/>
      <c r="E2341" s="73"/>
      <c r="F2341" s="45"/>
    </row>
    <row r="2342" spans="4:6" x14ac:dyDescent="0.2">
      <c r="D2342" s="50"/>
      <c r="E2342" s="73"/>
      <c r="F2342" s="45"/>
    </row>
    <row r="2343" spans="4:6" x14ac:dyDescent="0.2">
      <c r="D2343" s="50"/>
      <c r="E2343" s="73"/>
      <c r="F2343" s="45"/>
    </row>
    <row r="2344" spans="4:6" x14ac:dyDescent="0.2">
      <c r="D2344" s="50"/>
      <c r="E2344" s="73"/>
      <c r="F2344" s="45"/>
    </row>
    <row r="2345" spans="4:6" x14ac:dyDescent="0.2">
      <c r="D2345" s="50"/>
      <c r="E2345" s="73"/>
      <c r="F2345" s="45"/>
    </row>
    <row r="2346" spans="4:6" x14ac:dyDescent="0.2">
      <c r="D2346" s="50"/>
      <c r="E2346" s="73"/>
      <c r="F2346" s="45"/>
    </row>
    <row r="2347" spans="4:6" x14ac:dyDescent="0.2">
      <c r="D2347" s="50"/>
      <c r="E2347" s="73"/>
      <c r="F2347" s="45"/>
    </row>
    <row r="2348" spans="4:6" x14ac:dyDescent="0.2">
      <c r="D2348" s="50"/>
      <c r="E2348" s="73"/>
      <c r="F2348" s="45"/>
    </row>
    <row r="2349" spans="4:6" x14ac:dyDescent="0.2">
      <c r="D2349" s="50"/>
      <c r="E2349" s="73"/>
      <c r="F2349" s="45"/>
    </row>
    <row r="2350" spans="4:6" x14ac:dyDescent="0.2">
      <c r="D2350" s="50"/>
      <c r="E2350" s="73"/>
      <c r="F2350" s="45"/>
    </row>
    <row r="2351" spans="4:6" x14ac:dyDescent="0.2">
      <c r="D2351" s="50"/>
      <c r="E2351" s="73"/>
      <c r="F2351" s="45"/>
    </row>
    <row r="2352" spans="4:6" x14ac:dyDescent="0.2">
      <c r="D2352" s="50"/>
      <c r="E2352" s="73"/>
      <c r="F2352" s="45"/>
    </row>
    <row r="2353" spans="4:6" x14ac:dyDescent="0.2">
      <c r="D2353" s="50"/>
      <c r="E2353" s="73"/>
      <c r="F2353" s="45"/>
    </row>
    <row r="2354" spans="4:6" x14ac:dyDescent="0.2">
      <c r="D2354" s="50"/>
      <c r="E2354" s="73"/>
      <c r="F2354" s="45"/>
    </row>
    <row r="2355" spans="4:6" x14ac:dyDescent="0.2">
      <c r="D2355" s="50"/>
      <c r="E2355" s="73"/>
      <c r="F2355" s="45"/>
    </row>
    <row r="2356" spans="4:6" x14ac:dyDescent="0.2">
      <c r="D2356" s="50"/>
      <c r="E2356" s="73"/>
      <c r="F2356" s="45"/>
    </row>
    <row r="2357" spans="4:6" x14ac:dyDescent="0.2">
      <c r="D2357" s="50"/>
      <c r="E2357" s="73"/>
      <c r="F2357" s="45"/>
    </row>
    <row r="2358" spans="4:6" x14ac:dyDescent="0.2">
      <c r="D2358" s="50"/>
      <c r="E2358" s="73"/>
      <c r="F2358" s="45"/>
    </row>
    <row r="2359" spans="4:6" x14ac:dyDescent="0.2">
      <c r="D2359" s="50"/>
      <c r="E2359" s="73"/>
      <c r="F2359" s="45"/>
    </row>
    <row r="2360" spans="4:6" x14ac:dyDescent="0.2">
      <c r="D2360" s="50"/>
      <c r="E2360" s="73"/>
      <c r="F2360" s="45"/>
    </row>
    <row r="2361" spans="4:6" x14ac:dyDescent="0.2">
      <c r="D2361" s="50"/>
      <c r="E2361" s="73"/>
      <c r="F2361" s="45"/>
    </row>
    <row r="2362" spans="4:6" x14ac:dyDescent="0.2">
      <c r="D2362" s="50"/>
      <c r="E2362" s="73"/>
      <c r="F2362" s="45"/>
    </row>
    <row r="2363" spans="4:6" x14ac:dyDescent="0.2">
      <c r="D2363" s="50"/>
      <c r="E2363" s="73"/>
      <c r="F2363" s="45"/>
    </row>
    <row r="2364" spans="4:6" x14ac:dyDescent="0.2">
      <c r="D2364" s="50"/>
      <c r="E2364" s="73"/>
      <c r="F2364" s="45"/>
    </row>
    <row r="2365" spans="4:6" x14ac:dyDescent="0.2">
      <c r="D2365" s="50"/>
      <c r="E2365" s="73"/>
      <c r="F2365" s="45"/>
    </row>
    <row r="2366" spans="4:6" x14ac:dyDescent="0.2">
      <c r="D2366" s="50"/>
      <c r="E2366" s="73"/>
      <c r="F2366" s="45"/>
    </row>
    <row r="2367" spans="4:6" x14ac:dyDescent="0.2">
      <c r="D2367" s="50"/>
      <c r="E2367" s="73"/>
      <c r="F2367" s="45"/>
    </row>
    <row r="2368" spans="4:6" x14ac:dyDescent="0.2">
      <c r="D2368" s="50"/>
      <c r="E2368" s="73"/>
      <c r="F2368" s="45"/>
    </row>
    <row r="2369" spans="4:6" x14ac:dyDescent="0.2">
      <c r="D2369" s="50"/>
      <c r="E2369" s="73"/>
      <c r="F2369" s="45"/>
    </row>
    <row r="2370" spans="4:6" x14ac:dyDescent="0.2">
      <c r="D2370" s="50"/>
      <c r="E2370" s="73"/>
      <c r="F2370" s="45"/>
    </row>
    <row r="2371" spans="4:6" x14ac:dyDescent="0.2">
      <c r="D2371" s="50"/>
      <c r="E2371" s="73"/>
      <c r="F2371" s="45"/>
    </row>
    <row r="2372" spans="4:6" x14ac:dyDescent="0.2">
      <c r="D2372" s="50"/>
      <c r="E2372" s="73"/>
      <c r="F2372" s="45"/>
    </row>
    <row r="2373" spans="4:6" x14ac:dyDescent="0.2">
      <c r="D2373" s="50"/>
      <c r="E2373" s="73"/>
      <c r="F2373" s="45"/>
    </row>
    <row r="2374" spans="4:6" x14ac:dyDescent="0.2">
      <c r="D2374" s="50"/>
      <c r="E2374" s="73"/>
      <c r="F2374" s="45"/>
    </row>
    <row r="2375" spans="4:6" x14ac:dyDescent="0.2">
      <c r="D2375" s="50"/>
      <c r="E2375" s="73"/>
      <c r="F2375" s="45"/>
    </row>
    <row r="2376" spans="4:6" x14ac:dyDescent="0.2">
      <c r="D2376" s="50"/>
      <c r="E2376" s="73"/>
      <c r="F2376" s="45"/>
    </row>
    <row r="2377" spans="4:6" x14ac:dyDescent="0.2">
      <c r="D2377" s="50"/>
      <c r="E2377" s="73"/>
      <c r="F2377" s="45"/>
    </row>
    <row r="2378" spans="4:6" x14ac:dyDescent="0.2">
      <c r="D2378" s="50"/>
      <c r="E2378" s="73"/>
      <c r="F2378" s="45"/>
    </row>
    <row r="2379" spans="4:6" x14ac:dyDescent="0.2">
      <c r="D2379" s="50"/>
      <c r="E2379" s="73"/>
      <c r="F2379" s="45"/>
    </row>
    <row r="2380" spans="4:6" x14ac:dyDescent="0.2">
      <c r="D2380" s="50"/>
      <c r="E2380" s="73"/>
      <c r="F2380" s="45"/>
    </row>
    <row r="2381" spans="4:6" x14ac:dyDescent="0.2">
      <c r="D2381" s="50"/>
      <c r="E2381" s="73"/>
      <c r="F2381" s="45"/>
    </row>
    <row r="2382" spans="4:6" x14ac:dyDescent="0.2">
      <c r="D2382" s="50"/>
      <c r="E2382" s="73"/>
      <c r="F2382" s="45"/>
    </row>
    <row r="2383" spans="4:6" x14ac:dyDescent="0.2">
      <c r="D2383" s="50"/>
      <c r="E2383" s="73"/>
      <c r="F2383" s="45"/>
    </row>
    <row r="2384" spans="4:6" x14ac:dyDescent="0.2">
      <c r="D2384" s="50"/>
      <c r="E2384" s="73"/>
      <c r="F2384" s="45"/>
    </row>
    <row r="2385" spans="4:6" x14ac:dyDescent="0.2">
      <c r="D2385" s="50"/>
      <c r="E2385" s="73"/>
      <c r="F2385" s="45"/>
    </row>
    <row r="2386" spans="4:6" x14ac:dyDescent="0.2">
      <c r="D2386" s="50"/>
      <c r="E2386" s="73"/>
      <c r="F2386" s="45"/>
    </row>
    <row r="2387" spans="4:6" x14ac:dyDescent="0.2">
      <c r="D2387" s="50"/>
      <c r="E2387" s="73"/>
      <c r="F2387" s="45"/>
    </row>
    <row r="2388" spans="4:6" x14ac:dyDescent="0.2">
      <c r="D2388" s="50"/>
      <c r="E2388" s="73"/>
      <c r="F2388" s="45"/>
    </row>
    <row r="2389" spans="4:6" x14ac:dyDescent="0.2">
      <c r="D2389" s="50"/>
      <c r="E2389" s="73"/>
      <c r="F2389" s="45"/>
    </row>
    <row r="2390" spans="4:6" x14ac:dyDescent="0.2">
      <c r="D2390" s="50"/>
      <c r="E2390" s="73"/>
      <c r="F2390" s="45"/>
    </row>
    <row r="2391" spans="4:6" x14ac:dyDescent="0.2">
      <c r="D2391" s="50"/>
      <c r="E2391" s="73"/>
      <c r="F2391" s="45"/>
    </row>
    <row r="2392" spans="4:6" x14ac:dyDescent="0.2">
      <c r="D2392" s="50"/>
      <c r="E2392" s="73"/>
      <c r="F2392" s="45"/>
    </row>
    <row r="2393" spans="4:6" x14ac:dyDescent="0.2">
      <c r="D2393" s="50"/>
      <c r="E2393" s="73"/>
      <c r="F2393" s="45"/>
    </row>
    <row r="2394" spans="4:6" x14ac:dyDescent="0.2">
      <c r="D2394" s="50"/>
      <c r="E2394" s="73"/>
      <c r="F2394" s="45"/>
    </row>
    <row r="2395" spans="4:6" x14ac:dyDescent="0.2">
      <c r="D2395" s="50"/>
      <c r="E2395" s="73"/>
      <c r="F2395" s="45"/>
    </row>
    <row r="2396" spans="4:6" x14ac:dyDescent="0.2">
      <c r="D2396" s="50"/>
      <c r="E2396" s="73"/>
      <c r="F2396" s="45"/>
    </row>
    <row r="2397" spans="4:6" x14ac:dyDescent="0.2">
      <c r="D2397" s="50"/>
      <c r="E2397" s="73"/>
      <c r="F2397" s="45"/>
    </row>
    <row r="2398" spans="4:6" x14ac:dyDescent="0.2">
      <c r="D2398" s="50"/>
      <c r="E2398" s="73"/>
      <c r="F2398" s="45"/>
    </row>
    <row r="2399" spans="4:6" x14ac:dyDescent="0.2">
      <c r="D2399" s="50"/>
      <c r="E2399" s="73"/>
      <c r="F2399" s="45"/>
    </row>
    <row r="2400" spans="4:6" x14ac:dyDescent="0.2">
      <c r="D2400" s="50"/>
      <c r="E2400" s="73"/>
      <c r="F2400" s="45"/>
    </row>
    <row r="2401" spans="4:6" x14ac:dyDescent="0.2">
      <c r="D2401" s="50"/>
      <c r="E2401" s="73"/>
      <c r="F2401" s="45"/>
    </row>
    <row r="2402" spans="4:6" x14ac:dyDescent="0.2">
      <c r="D2402" s="50"/>
      <c r="E2402" s="73"/>
      <c r="F2402" s="45"/>
    </row>
    <row r="2403" spans="4:6" x14ac:dyDescent="0.2">
      <c r="D2403" s="50"/>
      <c r="E2403" s="73"/>
      <c r="F2403" s="45"/>
    </row>
    <row r="2404" spans="4:6" x14ac:dyDescent="0.2">
      <c r="D2404" s="50"/>
      <c r="E2404" s="73"/>
      <c r="F2404" s="45"/>
    </row>
    <row r="2405" spans="4:6" x14ac:dyDescent="0.2">
      <c r="D2405" s="50"/>
      <c r="E2405" s="73"/>
      <c r="F2405" s="45"/>
    </row>
    <row r="2406" spans="4:6" x14ac:dyDescent="0.2">
      <c r="D2406" s="50"/>
      <c r="E2406" s="73"/>
      <c r="F2406" s="45"/>
    </row>
    <row r="2407" spans="4:6" x14ac:dyDescent="0.2">
      <c r="D2407" s="50"/>
      <c r="E2407" s="73"/>
      <c r="F2407" s="45"/>
    </row>
    <row r="2408" spans="4:6" x14ac:dyDescent="0.2">
      <c r="D2408" s="50"/>
      <c r="E2408" s="73"/>
      <c r="F2408" s="45"/>
    </row>
    <row r="2409" spans="4:6" x14ac:dyDescent="0.2">
      <c r="D2409" s="50"/>
      <c r="E2409" s="73"/>
      <c r="F2409" s="45"/>
    </row>
    <row r="2410" spans="4:6" x14ac:dyDescent="0.2">
      <c r="D2410" s="50"/>
      <c r="E2410" s="73"/>
      <c r="F2410" s="45"/>
    </row>
    <row r="2411" spans="4:6" x14ac:dyDescent="0.2">
      <c r="D2411" s="50"/>
      <c r="E2411" s="73"/>
      <c r="F2411" s="45"/>
    </row>
    <row r="2412" spans="4:6" x14ac:dyDescent="0.2">
      <c r="D2412" s="50"/>
      <c r="E2412" s="73"/>
      <c r="F2412" s="45"/>
    </row>
    <row r="2413" spans="4:6" x14ac:dyDescent="0.2">
      <c r="D2413" s="50"/>
      <c r="E2413" s="73"/>
      <c r="F2413" s="45"/>
    </row>
    <row r="2414" spans="4:6" x14ac:dyDescent="0.2">
      <c r="D2414" s="50"/>
      <c r="E2414" s="73"/>
      <c r="F2414" s="45"/>
    </row>
    <row r="2415" spans="4:6" x14ac:dyDescent="0.2">
      <c r="D2415" s="50"/>
      <c r="E2415" s="73"/>
      <c r="F2415" s="45"/>
    </row>
    <row r="2416" spans="4:6" x14ac:dyDescent="0.2">
      <c r="D2416" s="50"/>
      <c r="E2416" s="73"/>
      <c r="F2416" s="45"/>
    </row>
    <row r="2417" spans="4:6" x14ac:dyDescent="0.2">
      <c r="D2417" s="50"/>
      <c r="E2417" s="73"/>
      <c r="F2417" s="45"/>
    </row>
    <row r="2418" spans="4:6" x14ac:dyDescent="0.2">
      <c r="D2418" s="50"/>
      <c r="E2418" s="73"/>
      <c r="F2418" s="45"/>
    </row>
    <row r="2419" spans="4:6" x14ac:dyDescent="0.2">
      <c r="D2419" s="50"/>
      <c r="E2419" s="73"/>
      <c r="F2419" s="45"/>
    </row>
    <row r="2420" spans="4:6" x14ac:dyDescent="0.2">
      <c r="D2420" s="50"/>
      <c r="E2420" s="73"/>
      <c r="F2420" s="45"/>
    </row>
    <row r="2421" spans="4:6" x14ac:dyDescent="0.2">
      <c r="D2421" s="50"/>
      <c r="E2421" s="73"/>
      <c r="F2421" s="45"/>
    </row>
    <row r="2422" spans="4:6" x14ac:dyDescent="0.2">
      <c r="D2422" s="50"/>
      <c r="E2422" s="73"/>
      <c r="F2422" s="45"/>
    </row>
    <row r="2423" spans="4:6" x14ac:dyDescent="0.2">
      <c r="D2423" s="50"/>
      <c r="E2423" s="73"/>
      <c r="F2423" s="45"/>
    </row>
    <row r="2424" spans="4:6" x14ac:dyDescent="0.2">
      <c r="D2424" s="50"/>
      <c r="E2424" s="73"/>
      <c r="F2424" s="45"/>
    </row>
    <row r="2425" spans="4:6" x14ac:dyDescent="0.2">
      <c r="D2425" s="50"/>
      <c r="E2425" s="73"/>
      <c r="F2425" s="45"/>
    </row>
    <row r="2426" spans="4:6" x14ac:dyDescent="0.2">
      <c r="D2426" s="50"/>
      <c r="E2426" s="73"/>
      <c r="F2426" s="45"/>
    </row>
    <row r="2427" spans="4:6" x14ac:dyDescent="0.2">
      <c r="D2427" s="50"/>
      <c r="E2427" s="73"/>
      <c r="F2427" s="45"/>
    </row>
    <row r="2428" spans="4:6" x14ac:dyDescent="0.2">
      <c r="D2428" s="50"/>
      <c r="E2428" s="73"/>
      <c r="F2428" s="45"/>
    </row>
    <row r="2429" spans="4:6" x14ac:dyDescent="0.2">
      <c r="D2429" s="50"/>
      <c r="E2429" s="73"/>
      <c r="F2429" s="45"/>
    </row>
    <row r="2430" spans="4:6" x14ac:dyDescent="0.2">
      <c r="D2430" s="50"/>
      <c r="E2430" s="73"/>
      <c r="F2430" s="45"/>
    </row>
    <row r="2431" spans="4:6" x14ac:dyDescent="0.2">
      <c r="D2431" s="50"/>
      <c r="E2431" s="73"/>
      <c r="F2431" s="45"/>
    </row>
    <row r="2432" spans="4:6" x14ac:dyDescent="0.2">
      <c r="D2432" s="50"/>
      <c r="E2432" s="73"/>
      <c r="F2432" s="45"/>
    </row>
    <row r="2433" spans="4:6" x14ac:dyDescent="0.2">
      <c r="D2433" s="50"/>
      <c r="E2433" s="73"/>
      <c r="F2433" s="45"/>
    </row>
    <row r="2434" spans="4:6" x14ac:dyDescent="0.2">
      <c r="D2434" s="50"/>
      <c r="E2434" s="73"/>
      <c r="F2434" s="45"/>
    </row>
    <row r="2435" spans="4:6" x14ac:dyDescent="0.2">
      <c r="D2435" s="50"/>
      <c r="E2435" s="73"/>
      <c r="F2435" s="45"/>
    </row>
    <row r="2436" spans="4:6" x14ac:dyDescent="0.2">
      <c r="D2436" s="50"/>
      <c r="E2436" s="73"/>
      <c r="F2436" s="45"/>
    </row>
    <row r="2437" spans="4:6" x14ac:dyDescent="0.2">
      <c r="D2437" s="50"/>
      <c r="E2437" s="73"/>
      <c r="F2437" s="45"/>
    </row>
    <row r="2438" spans="4:6" x14ac:dyDescent="0.2">
      <c r="D2438" s="50"/>
      <c r="E2438" s="73"/>
      <c r="F2438" s="45"/>
    </row>
    <row r="2439" spans="4:6" x14ac:dyDescent="0.2">
      <c r="D2439" s="50"/>
      <c r="E2439" s="73"/>
      <c r="F2439" s="45"/>
    </row>
    <row r="2440" spans="4:6" x14ac:dyDescent="0.2">
      <c r="D2440" s="50"/>
      <c r="E2440" s="73"/>
      <c r="F2440" s="45"/>
    </row>
    <row r="2441" spans="4:6" x14ac:dyDescent="0.2">
      <c r="D2441" s="50"/>
      <c r="E2441" s="73"/>
      <c r="F2441" s="45"/>
    </row>
    <row r="2442" spans="4:6" x14ac:dyDescent="0.2">
      <c r="D2442" s="50"/>
      <c r="E2442" s="73"/>
      <c r="F2442" s="45"/>
    </row>
    <row r="2443" spans="4:6" x14ac:dyDescent="0.2">
      <c r="D2443" s="50"/>
      <c r="E2443" s="73"/>
      <c r="F2443" s="45"/>
    </row>
    <row r="2444" spans="4:6" x14ac:dyDescent="0.2">
      <c r="D2444" s="50"/>
      <c r="E2444" s="73"/>
      <c r="F2444" s="45"/>
    </row>
    <row r="2445" spans="4:6" x14ac:dyDescent="0.2">
      <c r="D2445" s="50"/>
      <c r="E2445" s="73"/>
      <c r="F2445" s="45"/>
    </row>
    <row r="2446" spans="4:6" x14ac:dyDescent="0.2">
      <c r="D2446" s="50"/>
      <c r="E2446" s="73"/>
      <c r="F2446" s="45"/>
    </row>
    <row r="2447" spans="4:6" x14ac:dyDescent="0.2">
      <c r="D2447" s="50"/>
      <c r="E2447" s="73"/>
      <c r="F2447" s="45"/>
    </row>
    <row r="2448" spans="4:6" x14ac:dyDescent="0.2">
      <c r="D2448" s="50"/>
      <c r="E2448" s="73"/>
      <c r="F2448" s="45"/>
    </row>
    <row r="2449" spans="4:6" x14ac:dyDescent="0.2">
      <c r="D2449" s="50"/>
      <c r="E2449" s="73"/>
      <c r="F2449" s="45"/>
    </row>
    <row r="2450" spans="4:6" x14ac:dyDescent="0.2">
      <c r="D2450" s="50"/>
      <c r="E2450" s="73"/>
      <c r="F2450" s="45"/>
    </row>
    <row r="2451" spans="4:6" x14ac:dyDescent="0.2">
      <c r="D2451" s="50"/>
      <c r="E2451" s="73"/>
      <c r="F2451" s="45"/>
    </row>
    <row r="2452" spans="4:6" x14ac:dyDescent="0.2">
      <c r="D2452" s="50"/>
      <c r="E2452" s="73"/>
      <c r="F2452" s="45"/>
    </row>
    <row r="2453" spans="4:6" x14ac:dyDescent="0.2">
      <c r="D2453" s="50"/>
      <c r="E2453" s="73"/>
      <c r="F2453" s="45"/>
    </row>
    <row r="2454" spans="4:6" x14ac:dyDescent="0.2">
      <c r="D2454" s="50"/>
      <c r="E2454" s="73"/>
      <c r="F2454" s="45"/>
    </row>
    <row r="2455" spans="4:6" x14ac:dyDescent="0.2">
      <c r="D2455" s="50"/>
      <c r="E2455" s="73"/>
      <c r="F2455" s="45"/>
    </row>
    <row r="2456" spans="4:6" x14ac:dyDescent="0.2">
      <c r="D2456" s="50"/>
      <c r="E2456" s="73"/>
      <c r="F2456" s="45"/>
    </row>
    <row r="2457" spans="4:6" x14ac:dyDescent="0.2">
      <c r="D2457" s="50"/>
      <c r="E2457" s="73"/>
      <c r="F2457" s="45"/>
    </row>
    <row r="2458" spans="4:6" x14ac:dyDescent="0.2">
      <c r="D2458" s="50"/>
      <c r="E2458" s="73"/>
      <c r="F2458" s="45"/>
    </row>
    <row r="2459" spans="4:6" x14ac:dyDescent="0.2">
      <c r="D2459" s="50"/>
      <c r="E2459" s="73"/>
      <c r="F2459" s="45"/>
    </row>
    <row r="2460" spans="4:6" x14ac:dyDescent="0.2">
      <c r="D2460" s="50"/>
      <c r="E2460" s="73"/>
      <c r="F2460" s="45"/>
    </row>
    <row r="2461" spans="4:6" x14ac:dyDescent="0.2">
      <c r="D2461" s="50"/>
      <c r="E2461" s="73"/>
      <c r="F2461" s="45"/>
    </row>
    <row r="2462" spans="4:6" x14ac:dyDescent="0.2">
      <c r="D2462" s="50"/>
      <c r="E2462" s="73"/>
      <c r="F2462" s="45"/>
    </row>
    <row r="2463" spans="4:6" x14ac:dyDescent="0.2">
      <c r="D2463" s="50"/>
      <c r="E2463" s="73"/>
      <c r="F2463" s="45"/>
    </row>
    <row r="2464" spans="4:6" x14ac:dyDescent="0.2">
      <c r="D2464" s="50"/>
      <c r="E2464" s="73"/>
      <c r="F2464" s="45"/>
    </row>
    <row r="2465" spans="4:6" x14ac:dyDescent="0.2">
      <c r="D2465" s="50"/>
      <c r="E2465" s="73"/>
      <c r="F2465" s="45"/>
    </row>
    <row r="2466" spans="4:6" x14ac:dyDescent="0.2">
      <c r="D2466" s="50"/>
      <c r="E2466" s="73"/>
      <c r="F2466" s="45"/>
    </row>
    <row r="2467" spans="4:6" x14ac:dyDescent="0.2">
      <c r="D2467" s="50"/>
      <c r="E2467" s="73"/>
      <c r="F2467" s="45"/>
    </row>
    <row r="2468" spans="4:6" x14ac:dyDescent="0.2">
      <c r="D2468" s="50"/>
      <c r="E2468" s="73"/>
      <c r="F2468" s="45"/>
    </row>
    <row r="2469" spans="4:6" x14ac:dyDescent="0.2">
      <c r="D2469" s="50"/>
      <c r="E2469" s="73"/>
      <c r="F2469" s="45"/>
    </row>
    <row r="2470" spans="4:6" x14ac:dyDescent="0.2">
      <c r="D2470" s="50"/>
      <c r="E2470" s="73"/>
      <c r="F2470" s="45"/>
    </row>
    <row r="2471" spans="4:6" x14ac:dyDescent="0.2">
      <c r="D2471" s="50"/>
      <c r="E2471" s="73"/>
      <c r="F2471" s="45"/>
    </row>
    <row r="2472" spans="4:6" x14ac:dyDescent="0.2">
      <c r="D2472" s="50"/>
      <c r="E2472" s="73"/>
      <c r="F2472" s="45"/>
    </row>
    <row r="2473" spans="4:6" x14ac:dyDescent="0.2">
      <c r="D2473" s="50"/>
      <c r="E2473" s="73"/>
      <c r="F2473" s="45"/>
    </row>
    <row r="2474" spans="4:6" x14ac:dyDescent="0.2">
      <c r="D2474" s="50"/>
      <c r="E2474" s="73"/>
      <c r="F2474" s="45"/>
    </row>
    <row r="2475" spans="4:6" x14ac:dyDescent="0.2">
      <c r="D2475" s="50"/>
      <c r="E2475" s="73"/>
      <c r="F2475" s="45"/>
    </row>
    <row r="2476" spans="4:6" x14ac:dyDescent="0.2">
      <c r="D2476" s="50"/>
      <c r="E2476" s="73"/>
      <c r="F2476" s="45"/>
    </row>
    <row r="2477" spans="4:6" x14ac:dyDescent="0.2">
      <c r="D2477" s="50"/>
      <c r="E2477" s="73"/>
      <c r="F2477" s="45"/>
    </row>
    <row r="2478" spans="4:6" x14ac:dyDescent="0.2">
      <c r="D2478" s="50"/>
      <c r="E2478" s="73"/>
      <c r="F2478" s="45"/>
    </row>
    <row r="2479" spans="4:6" x14ac:dyDescent="0.2">
      <c r="D2479" s="50"/>
      <c r="E2479" s="73"/>
      <c r="F2479" s="45"/>
    </row>
    <row r="2480" spans="4:6" x14ac:dyDescent="0.2">
      <c r="D2480" s="50"/>
      <c r="E2480" s="73"/>
      <c r="F2480" s="45"/>
    </row>
    <row r="2481" spans="4:6" x14ac:dyDescent="0.2">
      <c r="D2481" s="50"/>
      <c r="E2481" s="73"/>
      <c r="F2481" s="45"/>
    </row>
    <row r="2482" spans="4:6" x14ac:dyDescent="0.2">
      <c r="D2482" s="50"/>
      <c r="E2482" s="73"/>
      <c r="F2482" s="45"/>
    </row>
    <row r="2483" spans="4:6" x14ac:dyDescent="0.2">
      <c r="D2483" s="50"/>
      <c r="E2483" s="73"/>
      <c r="F2483" s="45"/>
    </row>
    <row r="2484" spans="4:6" x14ac:dyDescent="0.2">
      <c r="D2484" s="50"/>
      <c r="E2484" s="73"/>
      <c r="F2484" s="45"/>
    </row>
    <row r="2485" spans="4:6" x14ac:dyDescent="0.2">
      <c r="D2485" s="50"/>
      <c r="E2485" s="73"/>
      <c r="F2485" s="45"/>
    </row>
    <row r="2486" spans="4:6" x14ac:dyDescent="0.2">
      <c r="D2486" s="50"/>
      <c r="E2486" s="73"/>
      <c r="F2486" s="45"/>
    </row>
    <row r="2487" spans="4:6" x14ac:dyDescent="0.2">
      <c r="D2487" s="50"/>
      <c r="E2487" s="73"/>
      <c r="F2487" s="45"/>
    </row>
    <row r="2488" spans="4:6" x14ac:dyDescent="0.2">
      <c r="D2488" s="50"/>
      <c r="E2488" s="73"/>
      <c r="F2488" s="45"/>
    </row>
    <row r="2489" spans="4:6" x14ac:dyDescent="0.2">
      <c r="D2489" s="50"/>
      <c r="E2489" s="73"/>
      <c r="F2489" s="45"/>
    </row>
    <row r="2490" spans="4:6" x14ac:dyDescent="0.2">
      <c r="D2490" s="50"/>
      <c r="E2490" s="73"/>
      <c r="F2490" s="45"/>
    </row>
    <row r="2491" spans="4:6" x14ac:dyDescent="0.2">
      <c r="D2491" s="50"/>
      <c r="E2491" s="73"/>
      <c r="F2491" s="45"/>
    </row>
    <row r="2492" spans="4:6" x14ac:dyDescent="0.2">
      <c r="D2492" s="50"/>
      <c r="E2492" s="73"/>
      <c r="F2492" s="45"/>
    </row>
    <row r="2493" spans="4:6" x14ac:dyDescent="0.2">
      <c r="D2493" s="50"/>
      <c r="E2493" s="73"/>
      <c r="F2493" s="45"/>
    </row>
    <row r="2494" spans="4:6" x14ac:dyDescent="0.2">
      <c r="D2494" s="50"/>
      <c r="E2494" s="73"/>
      <c r="F2494" s="45"/>
    </row>
    <row r="2495" spans="4:6" x14ac:dyDescent="0.2">
      <c r="D2495" s="50"/>
      <c r="E2495" s="73"/>
      <c r="F2495" s="45"/>
    </row>
    <row r="2496" spans="4:6" x14ac:dyDescent="0.2">
      <c r="D2496" s="50"/>
      <c r="E2496" s="73"/>
      <c r="F2496" s="45"/>
    </row>
    <row r="2497" spans="4:6" x14ac:dyDescent="0.2">
      <c r="D2497" s="50"/>
      <c r="E2497" s="73"/>
      <c r="F2497" s="45"/>
    </row>
    <row r="2498" spans="4:6" x14ac:dyDescent="0.2">
      <c r="D2498" s="50"/>
      <c r="E2498" s="73"/>
      <c r="F2498" s="45"/>
    </row>
    <row r="2499" spans="4:6" x14ac:dyDescent="0.2">
      <c r="D2499" s="50"/>
      <c r="E2499" s="73"/>
      <c r="F2499" s="45"/>
    </row>
    <row r="2500" spans="4:6" x14ac:dyDescent="0.2">
      <c r="D2500" s="50"/>
      <c r="E2500" s="73"/>
      <c r="F2500" s="45"/>
    </row>
    <row r="2501" spans="4:6" x14ac:dyDescent="0.2">
      <c r="D2501" s="50"/>
      <c r="E2501" s="73"/>
      <c r="F2501" s="45"/>
    </row>
    <row r="2502" spans="4:6" x14ac:dyDescent="0.2">
      <c r="D2502" s="50"/>
      <c r="E2502" s="73"/>
      <c r="F2502" s="45"/>
    </row>
    <row r="2503" spans="4:6" x14ac:dyDescent="0.2">
      <c r="D2503" s="50"/>
      <c r="E2503" s="73"/>
      <c r="F2503" s="45"/>
    </row>
    <row r="2504" spans="4:6" x14ac:dyDescent="0.2">
      <c r="D2504" s="50"/>
      <c r="E2504" s="73"/>
      <c r="F2504" s="45"/>
    </row>
    <row r="2505" spans="4:6" x14ac:dyDescent="0.2">
      <c r="D2505" s="50"/>
      <c r="E2505" s="73"/>
      <c r="F2505" s="45"/>
    </row>
    <row r="2506" spans="4:6" x14ac:dyDescent="0.2">
      <c r="D2506" s="50"/>
      <c r="E2506" s="73"/>
      <c r="F2506" s="45"/>
    </row>
    <row r="2507" spans="4:6" x14ac:dyDescent="0.2">
      <c r="D2507" s="50"/>
      <c r="E2507" s="73"/>
      <c r="F2507" s="45"/>
    </row>
    <row r="2508" spans="4:6" x14ac:dyDescent="0.2">
      <c r="D2508" s="50"/>
      <c r="E2508" s="73"/>
      <c r="F2508" s="45"/>
    </row>
    <row r="2509" spans="4:6" x14ac:dyDescent="0.2">
      <c r="D2509" s="50"/>
      <c r="E2509" s="73"/>
      <c r="F2509" s="45"/>
    </row>
    <row r="2510" spans="4:6" x14ac:dyDescent="0.2">
      <c r="D2510" s="50"/>
      <c r="E2510" s="73"/>
      <c r="F2510" s="45"/>
    </row>
    <row r="2511" spans="4:6" x14ac:dyDescent="0.2">
      <c r="D2511" s="50"/>
      <c r="E2511" s="73"/>
      <c r="F2511" s="45"/>
    </row>
    <row r="2512" spans="4:6" x14ac:dyDescent="0.2">
      <c r="D2512" s="50"/>
      <c r="E2512" s="73"/>
      <c r="F2512" s="45"/>
    </row>
    <row r="2513" spans="4:6" x14ac:dyDescent="0.2">
      <c r="D2513" s="50"/>
      <c r="E2513" s="73"/>
      <c r="F2513" s="45"/>
    </row>
    <row r="2514" spans="4:6" x14ac:dyDescent="0.2">
      <c r="D2514" s="50"/>
      <c r="E2514" s="73"/>
      <c r="F2514" s="45"/>
    </row>
    <row r="2515" spans="4:6" x14ac:dyDescent="0.2">
      <c r="D2515" s="50"/>
      <c r="E2515" s="73"/>
      <c r="F2515" s="45"/>
    </row>
    <row r="2516" spans="4:6" x14ac:dyDescent="0.2">
      <c r="D2516" s="50"/>
      <c r="E2516" s="73"/>
      <c r="F2516" s="45"/>
    </row>
    <row r="2517" spans="4:6" x14ac:dyDescent="0.2">
      <c r="D2517" s="50"/>
      <c r="E2517" s="73"/>
      <c r="F2517" s="45"/>
    </row>
    <row r="2518" spans="4:6" x14ac:dyDescent="0.2">
      <c r="D2518" s="50"/>
      <c r="E2518" s="73"/>
      <c r="F2518" s="45"/>
    </row>
    <row r="2519" spans="4:6" x14ac:dyDescent="0.2">
      <c r="D2519" s="50"/>
      <c r="E2519" s="73"/>
      <c r="F2519" s="45"/>
    </row>
    <row r="2520" spans="4:6" x14ac:dyDescent="0.2">
      <c r="D2520" s="50"/>
      <c r="E2520" s="73"/>
      <c r="F2520" s="45"/>
    </row>
    <row r="2521" spans="4:6" x14ac:dyDescent="0.2">
      <c r="D2521" s="50"/>
      <c r="E2521" s="73"/>
      <c r="F2521" s="45"/>
    </row>
    <row r="2522" spans="4:6" x14ac:dyDescent="0.2">
      <c r="D2522" s="50"/>
      <c r="E2522" s="73"/>
      <c r="F2522" s="45"/>
    </row>
    <row r="2523" spans="4:6" x14ac:dyDescent="0.2">
      <c r="D2523" s="50"/>
      <c r="E2523" s="73"/>
      <c r="F2523" s="45"/>
    </row>
    <row r="2524" spans="4:6" x14ac:dyDescent="0.2">
      <c r="D2524" s="50"/>
      <c r="E2524" s="73"/>
      <c r="F2524" s="45"/>
    </row>
    <row r="2525" spans="4:6" x14ac:dyDescent="0.2">
      <c r="D2525" s="50"/>
      <c r="E2525" s="73"/>
      <c r="F2525" s="45"/>
    </row>
    <row r="2526" spans="4:6" x14ac:dyDescent="0.2">
      <c r="D2526" s="50"/>
      <c r="E2526" s="73"/>
      <c r="F2526" s="45"/>
    </row>
    <row r="2527" spans="4:6" x14ac:dyDescent="0.2">
      <c r="D2527" s="50"/>
      <c r="E2527" s="73"/>
      <c r="F2527" s="45"/>
    </row>
    <row r="2528" spans="4:6" x14ac:dyDescent="0.2">
      <c r="D2528" s="50"/>
      <c r="E2528" s="73"/>
      <c r="F2528" s="45"/>
    </row>
    <row r="2529" spans="4:6" x14ac:dyDescent="0.2">
      <c r="D2529" s="50"/>
      <c r="E2529" s="73"/>
      <c r="F2529" s="45"/>
    </row>
    <row r="2530" spans="4:6" x14ac:dyDescent="0.2">
      <c r="D2530" s="50"/>
      <c r="E2530" s="73"/>
      <c r="F2530" s="45"/>
    </row>
    <row r="2531" spans="4:6" x14ac:dyDescent="0.2">
      <c r="D2531" s="50"/>
      <c r="E2531" s="73"/>
      <c r="F2531" s="45"/>
    </row>
    <row r="2532" spans="4:6" x14ac:dyDescent="0.2">
      <c r="D2532" s="50"/>
      <c r="E2532" s="73"/>
      <c r="F2532" s="45"/>
    </row>
    <row r="2533" spans="4:6" x14ac:dyDescent="0.2">
      <c r="D2533" s="50"/>
      <c r="E2533" s="73"/>
      <c r="F2533" s="45"/>
    </row>
    <row r="2534" spans="4:6" x14ac:dyDescent="0.2">
      <c r="D2534" s="50"/>
      <c r="E2534" s="73"/>
      <c r="F2534" s="45"/>
    </row>
    <row r="2535" spans="4:6" x14ac:dyDescent="0.2">
      <c r="D2535" s="50"/>
      <c r="E2535" s="73"/>
      <c r="F2535" s="45"/>
    </row>
    <row r="2536" spans="4:6" x14ac:dyDescent="0.2">
      <c r="D2536" s="50"/>
      <c r="E2536" s="73"/>
      <c r="F2536" s="45"/>
    </row>
    <row r="2537" spans="4:6" x14ac:dyDescent="0.2">
      <c r="D2537" s="50"/>
      <c r="E2537" s="73"/>
      <c r="F2537" s="45"/>
    </row>
    <row r="2538" spans="4:6" x14ac:dyDescent="0.2">
      <c r="D2538" s="50"/>
      <c r="E2538" s="73"/>
      <c r="F2538" s="45"/>
    </row>
    <row r="2539" spans="4:6" x14ac:dyDescent="0.2">
      <c r="D2539" s="50"/>
      <c r="E2539" s="73"/>
      <c r="F2539" s="45"/>
    </row>
    <row r="2540" spans="4:6" x14ac:dyDescent="0.2">
      <c r="D2540" s="50"/>
      <c r="E2540" s="73"/>
      <c r="F2540" s="45"/>
    </row>
    <row r="2541" spans="4:6" x14ac:dyDescent="0.2">
      <c r="D2541" s="50"/>
      <c r="E2541" s="73"/>
      <c r="F2541" s="45"/>
    </row>
    <row r="2542" spans="4:6" x14ac:dyDescent="0.2">
      <c r="D2542" s="50"/>
      <c r="E2542" s="73"/>
      <c r="F2542" s="45"/>
    </row>
    <row r="2543" spans="4:6" x14ac:dyDescent="0.2">
      <c r="D2543" s="50"/>
      <c r="E2543" s="73"/>
      <c r="F2543" s="45"/>
    </row>
    <row r="2544" spans="4:6" x14ac:dyDescent="0.2">
      <c r="D2544" s="50"/>
      <c r="E2544" s="73"/>
      <c r="F2544" s="45"/>
    </row>
    <row r="2545" spans="4:6" x14ac:dyDescent="0.2">
      <c r="D2545" s="50"/>
      <c r="E2545" s="73"/>
      <c r="F2545" s="45"/>
    </row>
    <row r="2546" spans="4:6" x14ac:dyDescent="0.2">
      <c r="D2546" s="50"/>
      <c r="E2546" s="73"/>
      <c r="F2546" s="45"/>
    </row>
    <row r="2547" spans="4:6" x14ac:dyDescent="0.2">
      <c r="D2547" s="50"/>
      <c r="E2547" s="73"/>
      <c r="F2547" s="45"/>
    </row>
    <row r="2548" spans="4:6" x14ac:dyDescent="0.2">
      <c r="D2548" s="50"/>
      <c r="E2548" s="73"/>
      <c r="F2548" s="45"/>
    </row>
    <row r="2549" spans="4:6" x14ac:dyDescent="0.2">
      <c r="D2549" s="50"/>
      <c r="E2549" s="73"/>
      <c r="F2549" s="45"/>
    </row>
    <row r="2550" spans="4:6" x14ac:dyDescent="0.2">
      <c r="D2550" s="50"/>
      <c r="E2550" s="73"/>
      <c r="F2550" s="45"/>
    </row>
    <row r="2551" spans="4:6" x14ac:dyDescent="0.2">
      <c r="D2551" s="50"/>
      <c r="E2551" s="73"/>
      <c r="F2551" s="45"/>
    </row>
    <row r="2552" spans="4:6" x14ac:dyDescent="0.2">
      <c r="D2552" s="50"/>
      <c r="E2552" s="73"/>
      <c r="F2552" s="45"/>
    </row>
    <row r="2553" spans="4:6" x14ac:dyDescent="0.2">
      <c r="D2553" s="50"/>
      <c r="E2553" s="73"/>
      <c r="F2553" s="45"/>
    </row>
    <row r="2554" spans="4:6" x14ac:dyDescent="0.2">
      <c r="D2554" s="50"/>
      <c r="E2554" s="73"/>
      <c r="F2554" s="45"/>
    </row>
    <row r="2555" spans="4:6" x14ac:dyDescent="0.2">
      <c r="D2555" s="50"/>
      <c r="E2555" s="73"/>
      <c r="F2555" s="45"/>
    </row>
    <row r="2556" spans="4:6" x14ac:dyDescent="0.2">
      <c r="D2556" s="50"/>
      <c r="E2556" s="73"/>
      <c r="F2556" s="45"/>
    </row>
    <row r="2557" spans="4:6" x14ac:dyDescent="0.2">
      <c r="D2557" s="50"/>
      <c r="E2557" s="73"/>
      <c r="F2557" s="45"/>
    </row>
    <row r="2558" spans="4:6" x14ac:dyDescent="0.2">
      <c r="D2558" s="50"/>
      <c r="E2558" s="73"/>
      <c r="F2558" s="45"/>
    </row>
    <row r="2559" spans="4:6" x14ac:dyDescent="0.2">
      <c r="D2559" s="50"/>
      <c r="E2559" s="73"/>
      <c r="F2559" s="45"/>
    </row>
    <row r="2560" spans="4:6" x14ac:dyDescent="0.2">
      <c r="D2560" s="50"/>
      <c r="E2560" s="73"/>
      <c r="F2560" s="45"/>
    </row>
    <row r="2561" spans="4:6" x14ac:dyDescent="0.2">
      <c r="D2561" s="50"/>
      <c r="E2561" s="73"/>
      <c r="F2561" s="45"/>
    </row>
    <row r="2562" spans="4:6" x14ac:dyDescent="0.2">
      <c r="D2562" s="50"/>
      <c r="E2562" s="73"/>
      <c r="F2562" s="45"/>
    </row>
    <row r="2563" spans="4:6" x14ac:dyDescent="0.2">
      <c r="D2563" s="50"/>
      <c r="E2563" s="73"/>
      <c r="F2563" s="45"/>
    </row>
    <row r="2564" spans="4:6" x14ac:dyDescent="0.2">
      <c r="D2564" s="50"/>
      <c r="E2564" s="73"/>
      <c r="F2564" s="45"/>
    </row>
    <row r="2565" spans="4:6" x14ac:dyDescent="0.2">
      <c r="D2565" s="50"/>
      <c r="E2565" s="73"/>
      <c r="F2565" s="45"/>
    </row>
    <row r="2566" spans="4:6" x14ac:dyDescent="0.2">
      <c r="D2566" s="50"/>
      <c r="E2566" s="73"/>
      <c r="F2566" s="45"/>
    </row>
    <row r="2567" spans="4:6" x14ac:dyDescent="0.2">
      <c r="D2567" s="50"/>
      <c r="E2567" s="73"/>
      <c r="F2567" s="45"/>
    </row>
    <row r="2568" spans="4:6" x14ac:dyDescent="0.2">
      <c r="D2568" s="50"/>
      <c r="E2568" s="73"/>
      <c r="F2568" s="45"/>
    </row>
    <row r="2569" spans="4:6" x14ac:dyDescent="0.2">
      <c r="D2569" s="50"/>
      <c r="E2569" s="73"/>
      <c r="F2569" s="45"/>
    </row>
    <row r="2570" spans="4:6" x14ac:dyDescent="0.2">
      <c r="D2570" s="50"/>
      <c r="E2570" s="73"/>
      <c r="F2570" s="45"/>
    </row>
    <row r="2571" spans="4:6" x14ac:dyDescent="0.2">
      <c r="D2571" s="50"/>
      <c r="E2571" s="73"/>
      <c r="F2571" s="45"/>
    </row>
    <row r="2572" spans="4:6" x14ac:dyDescent="0.2">
      <c r="D2572" s="50"/>
      <c r="E2572" s="73"/>
      <c r="F2572" s="45"/>
    </row>
    <row r="2573" spans="4:6" x14ac:dyDescent="0.2">
      <c r="D2573" s="50"/>
      <c r="E2573" s="73"/>
      <c r="F2573" s="45"/>
    </row>
    <row r="2574" spans="4:6" x14ac:dyDescent="0.2">
      <c r="D2574" s="50"/>
      <c r="E2574" s="73"/>
      <c r="F2574" s="45"/>
    </row>
    <row r="2575" spans="4:6" x14ac:dyDescent="0.2">
      <c r="D2575" s="50"/>
      <c r="E2575" s="73"/>
      <c r="F2575" s="45"/>
    </row>
    <row r="2576" spans="4:6" x14ac:dyDescent="0.2">
      <c r="D2576" s="50"/>
      <c r="E2576" s="73"/>
      <c r="F2576" s="45"/>
    </row>
    <row r="2577" spans="4:6" x14ac:dyDescent="0.2">
      <c r="D2577" s="50"/>
      <c r="E2577" s="73"/>
      <c r="F2577" s="45"/>
    </row>
    <row r="2578" spans="4:6" x14ac:dyDescent="0.2">
      <c r="D2578" s="50"/>
      <c r="E2578" s="73"/>
      <c r="F2578" s="45"/>
    </row>
    <row r="2579" spans="4:6" x14ac:dyDescent="0.2">
      <c r="D2579" s="50"/>
      <c r="E2579" s="73"/>
      <c r="F2579" s="45"/>
    </row>
    <row r="2580" spans="4:6" x14ac:dyDescent="0.2">
      <c r="D2580" s="50"/>
      <c r="E2580" s="73"/>
      <c r="F2580" s="45"/>
    </row>
    <row r="2581" spans="4:6" x14ac:dyDescent="0.2">
      <c r="D2581" s="50"/>
      <c r="E2581" s="73"/>
      <c r="F2581" s="45"/>
    </row>
    <row r="2582" spans="4:6" x14ac:dyDescent="0.2">
      <c r="D2582" s="50"/>
      <c r="E2582" s="73"/>
      <c r="F2582" s="45"/>
    </row>
    <row r="2583" spans="4:6" x14ac:dyDescent="0.2">
      <c r="D2583" s="50"/>
      <c r="E2583" s="73"/>
      <c r="F2583" s="45"/>
    </row>
    <row r="2584" spans="4:6" x14ac:dyDescent="0.2">
      <c r="D2584" s="50"/>
      <c r="E2584" s="73"/>
      <c r="F2584" s="45"/>
    </row>
    <row r="2585" spans="4:6" x14ac:dyDescent="0.2">
      <c r="D2585" s="50"/>
      <c r="E2585" s="73"/>
      <c r="F2585" s="45"/>
    </row>
    <row r="2586" spans="4:6" x14ac:dyDescent="0.2">
      <c r="D2586" s="50"/>
      <c r="E2586" s="73"/>
      <c r="F2586" s="45"/>
    </row>
    <row r="2587" spans="4:6" x14ac:dyDescent="0.2">
      <c r="D2587" s="50"/>
      <c r="E2587" s="73"/>
      <c r="F2587" s="45"/>
    </row>
    <row r="2588" spans="4:6" x14ac:dyDescent="0.2">
      <c r="D2588" s="50"/>
      <c r="E2588" s="73"/>
      <c r="F2588" s="45"/>
    </row>
    <row r="2589" spans="4:6" x14ac:dyDescent="0.2">
      <c r="D2589" s="50"/>
      <c r="E2589" s="73"/>
      <c r="F2589" s="45"/>
    </row>
    <row r="2590" spans="4:6" x14ac:dyDescent="0.2">
      <c r="D2590" s="50"/>
      <c r="E2590" s="73"/>
      <c r="F2590" s="45"/>
    </row>
    <row r="2591" spans="4:6" x14ac:dyDescent="0.2">
      <c r="D2591" s="50"/>
      <c r="E2591" s="73"/>
      <c r="F2591" s="45"/>
    </row>
    <row r="2592" spans="4:6" x14ac:dyDescent="0.2">
      <c r="D2592" s="50"/>
      <c r="E2592" s="73"/>
      <c r="F2592" s="45"/>
    </row>
    <row r="2593" spans="4:6" x14ac:dyDescent="0.2">
      <c r="D2593" s="50"/>
      <c r="E2593" s="73"/>
      <c r="F2593" s="45"/>
    </row>
    <row r="2594" spans="4:6" x14ac:dyDescent="0.2">
      <c r="D2594" s="50"/>
      <c r="E2594" s="73"/>
      <c r="F2594" s="45"/>
    </row>
    <row r="2595" spans="4:6" x14ac:dyDescent="0.2">
      <c r="D2595" s="50"/>
      <c r="E2595" s="73"/>
      <c r="F2595" s="45"/>
    </row>
    <row r="2596" spans="4:6" x14ac:dyDescent="0.2">
      <c r="D2596" s="50"/>
      <c r="E2596" s="73"/>
      <c r="F2596" s="45"/>
    </row>
    <row r="2597" spans="4:6" x14ac:dyDescent="0.2">
      <c r="D2597" s="50"/>
      <c r="E2597" s="73"/>
      <c r="F2597" s="45"/>
    </row>
    <row r="2598" spans="4:6" x14ac:dyDescent="0.2">
      <c r="D2598" s="50"/>
      <c r="E2598" s="73"/>
      <c r="F2598" s="45"/>
    </row>
    <row r="2599" spans="4:6" x14ac:dyDescent="0.2">
      <c r="D2599" s="50"/>
      <c r="E2599" s="73"/>
      <c r="F2599" s="45"/>
    </row>
    <row r="2600" spans="4:6" x14ac:dyDescent="0.2">
      <c r="D2600" s="50"/>
      <c r="E2600" s="73"/>
      <c r="F2600" s="45"/>
    </row>
    <row r="2601" spans="4:6" x14ac:dyDescent="0.2">
      <c r="D2601" s="50"/>
      <c r="E2601" s="73"/>
      <c r="F2601" s="45"/>
    </row>
    <row r="2602" spans="4:6" x14ac:dyDescent="0.2">
      <c r="D2602" s="50"/>
      <c r="E2602" s="73"/>
      <c r="F2602" s="45"/>
    </row>
    <row r="2603" spans="4:6" x14ac:dyDescent="0.2">
      <c r="D2603" s="50"/>
      <c r="E2603" s="73"/>
      <c r="F2603" s="45"/>
    </row>
    <row r="2604" spans="4:6" x14ac:dyDescent="0.2">
      <c r="D2604" s="50"/>
      <c r="E2604" s="73"/>
      <c r="F2604" s="45"/>
    </row>
    <row r="2605" spans="4:6" x14ac:dyDescent="0.2">
      <c r="D2605" s="50"/>
      <c r="E2605" s="73"/>
      <c r="F2605" s="45"/>
    </row>
    <row r="2606" spans="4:6" x14ac:dyDescent="0.2">
      <c r="D2606" s="50"/>
      <c r="E2606" s="73"/>
      <c r="F2606" s="45"/>
    </row>
    <row r="2607" spans="4:6" x14ac:dyDescent="0.2">
      <c r="D2607" s="50"/>
      <c r="E2607" s="73"/>
      <c r="F2607" s="45"/>
    </row>
    <row r="2608" spans="4:6" x14ac:dyDescent="0.2">
      <c r="D2608" s="50"/>
      <c r="E2608" s="73"/>
      <c r="F2608" s="45"/>
    </row>
    <row r="2609" spans="4:6" x14ac:dyDescent="0.2">
      <c r="D2609" s="50"/>
      <c r="E2609" s="73"/>
      <c r="F2609" s="45"/>
    </row>
    <row r="2610" spans="4:6" x14ac:dyDescent="0.2">
      <c r="D2610" s="50"/>
      <c r="E2610" s="73"/>
      <c r="F2610" s="45"/>
    </row>
    <row r="2611" spans="4:6" x14ac:dyDescent="0.2">
      <c r="D2611" s="50"/>
      <c r="E2611" s="73"/>
      <c r="F2611" s="45"/>
    </row>
    <row r="2612" spans="4:6" x14ac:dyDescent="0.2">
      <c r="D2612" s="50"/>
      <c r="E2612" s="73"/>
      <c r="F2612" s="45"/>
    </row>
    <row r="2613" spans="4:6" x14ac:dyDescent="0.2">
      <c r="D2613" s="50"/>
      <c r="E2613" s="73"/>
      <c r="F2613" s="45"/>
    </row>
    <row r="2614" spans="4:6" x14ac:dyDescent="0.2">
      <c r="D2614" s="50"/>
      <c r="E2614" s="73"/>
      <c r="F2614" s="45"/>
    </row>
    <row r="2615" spans="4:6" x14ac:dyDescent="0.2">
      <c r="D2615" s="50"/>
      <c r="E2615" s="73"/>
      <c r="F2615" s="45"/>
    </row>
    <row r="2616" spans="4:6" x14ac:dyDescent="0.2">
      <c r="D2616" s="50"/>
      <c r="E2616" s="73"/>
      <c r="F2616" s="45"/>
    </row>
    <row r="2617" spans="4:6" x14ac:dyDescent="0.2">
      <c r="D2617" s="50"/>
      <c r="E2617" s="73"/>
      <c r="F2617" s="45"/>
    </row>
    <row r="2618" spans="4:6" x14ac:dyDescent="0.2">
      <c r="D2618" s="50"/>
      <c r="E2618" s="73"/>
      <c r="F2618" s="45"/>
    </row>
    <row r="2619" spans="4:6" x14ac:dyDescent="0.2">
      <c r="D2619" s="50"/>
      <c r="E2619" s="73"/>
      <c r="F2619" s="45"/>
    </row>
    <row r="2620" spans="4:6" x14ac:dyDescent="0.2">
      <c r="D2620" s="50"/>
      <c r="E2620" s="73"/>
      <c r="F2620" s="45"/>
    </row>
    <row r="2621" spans="4:6" x14ac:dyDescent="0.2">
      <c r="D2621" s="50"/>
      <c r="E2621" s="73"/>
      <c r="F2621" s="45"/>
    </row>
    <row r="2622" spans="4:6" x14ac:dyDescent="0.2">
      <c r="D2622" s="50"/>
      <c r="E2622" s="73"/>
      <c r="F2622" s="45"/>
    </row>
    <row r="2623" spans="4:6" x14ac:dyDescent="0.2">
      <c r="D2623" s="50"/>
      <c r="E2623" s="73"/>
      <c r="F2623" s="45"/>
    </row>
    <row r="2624" spans="4:6" x14ac:dyDescent="0.2">
      <c r="D2624" s="50"/>
      <c r="E2624" s="73"/>
      <c r="F2624" s="45"/>
    </row>
    <row r="2625" spans="4:6" x14ac:dyDescent="0.2">
      <c r="D2625" s="50"/>
      <c r="E2625" s="73"/>
      <c r="F2625" s="45"/>
    </row>
    <row r="2626" spans="4:6" x14ac:dyDescent="0.2">
      <c r="D2626" s="50"/>
      <c r="E2626" s="73"/>
      <c r="F2626" s="45"/>
    </row>
    <row r="2627" spans="4:6" x14ac:dyDescent="0.2">
      <c r="D2627" s="50"/>
      <c r="E2627" s="73"/>
      <c r="F2627" s="45"/>
    </row>
    <row r="2628" spans="4:6" x14ac:dyDescent="0.2">
      <c r="D2628" s="50"/>
      <c r="E2628" s="73"/>
      <c r="F2628" s="45"/>
    </row>
    <row r="2629" spans="4:6" x14ac:dyDescent="0.2">
      <c r="D2629" s="50"/>
      <c r="E2629" s="73"/>
      <c r="F2629" s="45"/>
    </row>
    <row r="2630" spans="4:6" x14ac:dyDescent="0.2">
      <c r="D2630" s="50"/>
      <c r="E2630" s="73"/>
      <c r="F2630" s="45"/>
    </row>
    <row r="2631" spans="4:6" x14ac:dyDescent="0.2">
      <c r="D2631" s="50"/>
      <c r="E2631" s="73"/>
      <c r="F2631" s="45"/>
    </row>
    <row r="2632" spans="4:6" x14ac:dyDescent="0.2">
      <c r="D2632" s="50"/>
      <c r="E2632" s="73"/>
      <c r="F2632" s="45"/>
    </row>
    <row r="2633" spans="4:6" x14ac:dyDescent="0.2">
      <c r="D2633" s="50"/>
      <c r="E2633" s="73"/>
      <c r="F2633" s="45"/>
    </row>
    <row r="2634" spans="4:6" x14ac:dyDescent="0.2">
      <c r="D2634" s="50"/>
      <c r="E2634" s="73"/>
      <c r="F2634" s="45"/>
    </row>
    <row r="2635" spans="4:6" x14ac:dyDescent="0.2">
      <c r="D2635" s="50"/>
      <c r="E2635" s="73"/>
      <c r="F2635" s="45"/>
    </row>
    <row r="2636" spans="4:6" x14ac:dyDescent="0.2">
      <c r="D2636" s="50"/>
      <c r="E2636" s="73"/>
      <c r="F2636" s="45"/>
    </row>
    <row r="2637" spans="4:6" x14ac:dyDescent="0.2">
      <c r="D2637" s="50"/>
      <c r="E2637" s="73"/>
      <c r="F2637" s="45"/>
    </row>
    <row r="2638" spans="4:6" x14ac:dyDescent="0.2">
      <c r="D2638" s="50"/>
      <c r="E2638" s="73"/>
      <c r="F2638" s="45"/>
    </row>
    <row r="2639" spans="4:6" x14ac:dyDescent="0.2">
      <c r="D2639" s="50"/>
      <c r="E2639" s="73"/>
      <c r="F2639" s="45"/>
    </row>
    <row r="2640" spans="4:6" x14ac:dyDescent="0.2">
      <c r="D2640" s="50"/>
      <c r="E2640" s="73"/>
      <c r="F2640" s="45"/>
    </row>
    <row r="2641" spans="4:6" x14ac:dyDescent="0.2">
      <c r="D2641" s="50"/>
      <c r="E2641" s="73"/>
      <c r="F2641" s="45"/>
    </row>
    <row r="2642" spans="4:6" x14ac:dyDescent="0.2">
      <c r="D2642" s="50"/>
      <c r="E2642" s="73"/>
      <c r="F2642" s="45"/>
    </row>
    <row r="2643" spans="4:6" x14ac:dyDescent="0.2">
      <c r="D2643" s="50"/>
      <c r="E2643" s="73"/>
      <c r="F2643" s="45"/>
    </row>
    <row r="2644" spans="4:6" x14ac:dyDescent="0.2">
      <c r="D2644" s="50"/>
      <c r="E2644" s="73"/>
      <c r="F2644" s="45"/>
    </row>
    <row r="2645" spans="4:6" x14ac:dyDescent="0.2">
      <c r="D2645" s="50"/>
      <c r="E2645" s="73"/>
      <c r="F2645" s="45"/>
    </row>
    <row r="2646" spans="4:6" x14ac:dyDescent="0.2">
      <c r="D2646" s="50"/>
      <c r="E2646" s="73"/>
      <c r="F2646" s="45"/>
    </row>
    <row r="2647" spans="4:6" x14ac:dyDescent="0.2">
      <c r="D2647" s="50"/>
      <c r="E2647" s="73"/>
      <c r="F2647" s="45"/>
    </row>
    <row r="2648" spans="4:6" x14ac:dyDescent="0.2">
      <c r="D2648" s="50"/>
      <c r="E2648" s="73"/>
      <c r="F2648" s="45"/>
    </row>
    <row r="2649" spans="4:6" x14ac:dyDescent="0.2">
      <c r="D2649" s="50"/>
      <c r="E2649" s="73"/>
      <c r="F2649" s="45"/>
    </row>
    <row r="2650" spans="4:6" x14ac:dyDescent="0.2">
      <c r="D2650" s="50"/>
      <c r="E2650" s="73"/>
      <c r="F2650" s="45"/>
    </row>
    <row r="2651" spans="4:6" x14ac:dyDescent="0.2">
      <c r="D2651" s="50"/>
      <c r="E2651" s="73"/>
      <c r="F2651" s="45"/>
    </row>
    <row r="2652" spans="4:6" x14ac:dyDescent="0.2">
      <c r="D2652" s="50"/>
      <c r="E2652" s="73"/>
      <c r="F2652" s="45"/>
    </row>
    <row r="2653" spans="4:6" x14ac:dyDescent="0.2">
      <c r="D2653" s="50"/>
      <c r="E2653" s="73"/>
      <c r="F2653" s="45"/>
    </row>
    <row r="2654" spans="4:6" x14ac:dyDescent="0.2">
      <c r="D2654" s="50"/>
      <c r="E2654" s="73"/>
      <c r="F2654" s="45"/>
    </row>
    <row r="2655" spans="4:6" x14ac:dyDescent="0.2">
      <c r="D2655" s="50"/>
      <c r="E2655" s="73"/>
      <c r="F2655" s="45"/>
    </row>
    <row r="2656" spans="4:6" x14ac:dyDescent="0.2">
      <c r="D2656" s="50"/>
      <c r="E2656" s="73"/>
      <c r="F2656" s="45"/>
    </row>
    <row r="2657" spans="4:6" x14ac:dyDescent="0.2">
      <c r="D2657" s="50"/>
      <c r="E2657" s="73"/>
      <c r="F2657" s="45"/>
    </row>
    <row r="2658" spans="4:6" x14ac:dyDescent="0.2">
      <c r="D2658" s="50"/>
      <c r="E2658" s="73"/>
      <c r="F2658" s="45"/>
    </row>
    <row r="2659" spans="4:6" x14ac:dyDescent="0.2">
      <c r="D2659" s="50"/>
      <c r="E2659" s="73"/>
      <c r="F2659" s="45"/>
    </row>
    <row r="2660" spans="4:6" x14ac:dyDescent="0.2">
      <c r="D2660" s="50"/>
      <c r="E2660" s="73"/>
      <c r="F2660" s="45"/>
    </row>
    <row r="2661" spans="4:6" x14ac:dyDescent="0.2">
      <c r="D2661" s="50"/>
      <c r="E2661" s="73"/>
      <c r="F2661" s="45"/>
    </row>
    <row r="2662" spans="4:6" x14ac:dyDescent="0.2">
      <c r="D2662" s="50"/>
      <c r="E2662" s="73"/>
      <c r="F2662" s="45"/>
    </row>
    <row r="2663" spans="4:6" x14ac:dyDescent="0.2">
      <c r="D2663" s="50"/>
      <c r="E2663" s="73"/>
      <c r="F2663" s="45"/>
    </row>
    <row r="2664" spans="4:6" x14ac:dyDescent="0.2">
      <c r="D2664" s="50"/>
      <c r="E2664" s="73"/>
      <c r="F2664" s="45"/>
    </row>
    <row r="2665" spans="4:6" x14ac:dyDescent="0.2">
      <c r="D2665" s="50"/>
      <c r="E2665" s="73"/>
      <c r="F2665" s="45"/>
    </row>
    <row r="2666" spans="4:6" x14ac:dyDescent="0.2">
      <c r="D2666" s="50"/>
      <c r="E2666" s="73"/>
      <c r="F2666" s="45"/>
    </row>
    <row r="2667" spans="4:6" x14ac:dyDescent="0.2">
      <c r="D2667" s="50"/>
      <c r="E2667" s="73"/>
      <c r="F2667" s="45"/>
    </row>
    <row r="2668" spans="4:6" x14ac:dyDescent="0.2">
      <c r="D2668" s="50"/>
      <c r="E2668" s="73"/>
      <c r="F2668" s="45"/>
    </row>
    <row r="2669" spans="4:6" x14ac:dyDescent="0.2">
      <c r="D2669" s="50"/>
      <c r="E2669" s="73"/>
      <c r="F2669" s="45"/>
    </row>
    <row r="2670" spans="4:6" x14ac:dyDescent="0.2">
      <c r="D2670" s="50"/>
      <c r="E2670" s="73"/>
      <c r="F2670" s="45"/>
    </row>
    <row r="2671" spans="4:6" x14ac:dyDescent="0.2">
      <c r="D2671" s="50"/>
      <c r="E2671" s="73"/>
      <c r="F2671" s="45"/>
    </row>
    <row r="2672" spans="4:6" x14ac:dyDescent="0.2">
      <c r="D2672" s="50"/>
      <c r="E2672" s="73"/>
      <c r="F2672" s="45"/>
    </row>
    <row r="2673" spans="4:6" x14ac:dyDescent="0.2">
      <c r="D2673" s="50"/>
      <c r="E2673" s="73"/>
      <c r="F2673" s="45"/>
    </row>
    <row r="2674" spans="4:6" x14ac:dyDescent="0.2">
      <c r="D2674" s="50"/>
      <c r="E2674" s="73"/>
      <c r="F2674" s="45"/>
    </row>
    <row r="2675" spans="4:6" x14ac:dyDescent="0.2">
      <c r="D2675" s="50"/>
      <c r="E2675" s="73"/>
      <c r="F2675" s="45"/>
    </row>
    <row r="2676" spans="4:6" x14ac:dyDescent="0.2">
      <c r="D2676" s="50"/>
      <c r="E2676" s="73"/>
      <c r="F2676" s="45"/>
    </row>
    <row r="2677" spans="4:6" x14ac:dyDescent="0.2">
      <c r="D2677" s="50"/>
      <c r="E2677" s="73"/>
      <c r="F2677" s="45"/>
    </row>
    <row r="2678" spans="4:6" x14ac:dyDescent="0.2">
      <c r="D2678" s="50"/>
      <c r="E2678" s="73"/>
      <c r="F2678" s="45"/>
    </row>
    <row r="2679" spans="4:6" x14ac:dyDescent="0.2">
      <c r="D2679" s="50"/>
      <c r="E2679" s="73"/>
      <c r="F2679" s="45"/>
    </row>
    <row r="2680" spans="4:6" x14ac:dyDescent="0.2">
      <c r="D2680" s="50"/>
      <c r="E2680" s="73"/>
      <c r="F2680" s="45"/>
    </row>
    <row r="2681" spans="4:6" x14ac:dyDescent="0.2">
      <c r="D2681" s="50"/>
      <c r="E2681" s="73"/>
      <c r="F2681" s="45"/>
    </row>
    <row r="2682" spans="4:6" x14ac:dyDescent="0.2">
      <c r="D2682" s="50"/>
      <c r="E2682" s="73"/>
      <c r="F2682" s="45"/>
    </row>
    <row r="2683" spans="4:6" x14ac:dyDescent="0.2">
      <c r="D2683" s="50"/>
      <c r="E2683" s="73"/>
      <c r="F2683" s="45"/>
    </row>
    <row r="2684" spans="4:6" x14ac:dyDescent="0.2">
      <c r="D2684" s="50"/>
      <c r="E2684" s="73"/>
      <c r="F2684" s="45"/>
    </row>
    <row r="2685" spans="4:6" x14ac:dyDescent="0.2">
      <c r="D2685" s="50"/>
      <c r="E2685" s="73"/>
      <c r="F2685" s="45"/>
    </row>
    <row r="2686" spans="4:6" x14ac:dyDescent="0.2">
      <c r="D2686" s="50"/>
      <c r="E2686" s="73"/>
      <c r="F2686" s="45"/>
    </row>
    <row r="2687" spans="4:6" x14ac:dyDescent="0.2">
      <c r="D2687" s="50"/>
      <c r="E2687" s="73"/>
      <c r="F2687" s="45"/>
    </row>
    <row r="2688" spans="4:6" x14ac:dyDescent="0.2">
      <c r="D2688" s="50"/>
      <c r="E2688" s="73"/>
      <c r="F2688" s="45"/>
    </row>
    <row r="2689" spans="4:6" x14ac:dyDescent="0.2">
      <c r="D2689" s="50"/>
      <c r="E2689" s="73"/>
      <c r="F2689" s="45"/>
    </row>
    <row r="2690" spans="4:6" x14ac:dyDescent="0.2">
      <c r="D2690" s="50"/>
      <c r="E2690" s="73"/>
      <c r="F2690" s="45"/>
    </row>
    <row r="2691" spans="4:6" x14ac:dyDescent="0.2">
      <c r="D2691" s="50"/>
      <c r="E2691" s="73"/>
      <c r="F2691" s="45"/>
    </row>
    <row r="2692" spans="4:6" x14ac:dyDescent="0.2">
      <c r="D2692" s="50"/>
      <c r="E2692" s="73"/>
      <c r="F2692" s="45"/>
    </row>
    <row r="2693" spans="4:6" x14ac:dyDescent="0.2">
      <c r="D2693" s="50"/>
      <c r="E2693" s="73"/>
      <c r="F2693" s="45"/>
    </row>
    <row r="2694" spans="4:6" x14ac:dyDescent="0.2">
      <c r="D2694" s="50"/>
      <c r="E2694" s="73"/>
      <c r="F2694" s="45"/>
    </row>
    <row r="2695" spans="4:6" x14ac:dyDescent="0.2">
      <c r="D2695" s="50"/>
      <c r="E2695" s="73"/>
      <c r="F2695" s="45"/>
    </row>
    <row r="2696" spans="4:6" x14ac:dyDescent="0.2">
      <c r="D2696" s="50"/>
      <c r="E2696" s="73"/>
      <c r="F2696" s="45"/>
    </row>
    <row r="2697" spans="4:6" x14ac:dyDescent="0.2">
      <c r="D2697" s="50"/>
      <c r="E2697" s="73"/>
      <c r="F2697" s="45"/>
    </row>
    <row r="2698" spans="4:6" x14ac:dyDescent="0.2">
      <c r="D2698" s="50"/>
      <c r="E2698" s="73"/>
      <c r="F2698" s="45"/>
    </row>
    <row r="2699" spans="4:6" x14ac:dyDescent="0.2">
      <c r="D2699" s="50"/>
      <c r="E2699" s="73"/>
      <c r="F2699" s="45"/>
    </row>
    <row r="2700" spans="4:6" x14ac:dyDescent="0.2">
      <c r="D2700" s="50"/>
      <c r="E2700" s="73"/>
      <c r="F2700" s="45"/>
    </row>
    <row r="2701" spans="4:6" x14ac:dyDescent="0.2">
      <c r="D2701" s="50"/>
      <c r="E2701" s="73"/>
      <c r="F2701" s="45"/>
    </row>
    <row r="2702" spans="4:6" x14ac:dyDescent="0.2">
      <c r="D2702" s="50"/>
      <c r="E2702" s="73"/>
      <c r="F2702" s="45"/>
    </row>
    <row r="2703" spans="4:6" x14ac:dyDescent="0.2">
      <c r="D2703" s="50"/>
      <c r="E2703" s="73"/>
      <c r="F2703" s="45"/>
    </row>
    <row r="2704" spans="4:6" x14ac:dyDescent="0.2">
      <c r="D2704" s="50"/>
      <c r="E2704" s="73"/>
      <c r="F2704" s="45"/>
    </row>
    <row r="2705" spans="4:6" x14ac:dyDescent="0.2">
      <c r="D2705" s="50"/>
      <c r="E2705" s="73"/>
      <c r="F2705" s="45"/>
    </row>
    <row r="2706" spans="4:6" x14ac:dyDescent="0.2">
      <c r="D2706" s="50"/>
      <c r="E2706" s="73"/>
      <c r="F2706" s="45"/>
    </row>
    <row r="2707" spans="4:6" x14ac:dyDescent="0.2">
      <c r="D2707" s="50"/>
      <c r="E2707" s="73"/>
      <c r="F2707" s="45"/>
    </row>
    <row r="2708" spans="4:6" x14ac:dyDescent="0.2">
      <c r="D2708" s="50"/>
      <c r="E2708" s="73"/>
      <c r="F2708" s="45"/>
    </row>
    <row r="2709" spans="4:6" x14ac:dyDescent="0.2">
      <c r="D2709" s="50"/>
      <c r="E2709" s="73"/>
      <c r="F2709" s="45"/>
    </row>
    <row r="2710" spans="4:6" x14ac:dyDescent="0.2">
      <c r="D2710" s="50"/>
      <c r="E2710" s="73"/>
      <c r="F2710" s="45"/>
    </row>
    <row r="2711" spans="4:6" x14ac:dyDescent="0.2">
      <c r="D2711" s="50"/>
      <c r="E2711" s="73"/>
      <c r="F2711" s="45"/>
    </row>
    <row r="2712" spans="4:6" x14ac:dyDescent="0.2">
      <c r="D2712" s="50"/>
      <c r="E2712" s="73"/>
      <c r="F2712" s="45"/>
    </row>
    <row r="2713" spans="4:6" x14ac:dyDescent="0.2">
      <c r="D2713" s="50"/>
      <c r="E2713" s="73"/>
      <c r="F2713" s="45"/>
    </row>
    <row r="2714" spans="4:6" x14ac:dyDescent="0.2">
      <c r="D2714" s="50"/>
      <c r="E2714" s="73"/>
      <c r="F2714" s="45"/>
    </row>
    <row r="2715" spans="4:6" x14ac:dyDescent="0.2">
      <c r="D2715" s="50"/>
      <c r="E2715" s="73"/>
      <c r="F2715" s="45"/>
    </row>
    <row r="2716" spans="4:6" x14ac:dyDescent="0.2">
      <c r="D2716" s="50"/>
      <c r="E2716" s="73"/>
      <c r="F2716" s="45"/>
    </row>
    <row r="2717" spans="4:6" x14ac:dyDescent="0.2">
      <c r="D2717" s="50"/>
      <c r="E2717" s="73"/>
      <c r="F2717" s="45"/>
    </row>
    <row r="2718" spans="4:6" x14ac:dyDescent="0.2">
      <c r="D2718" s="50"/>
      <c r="E2718" s="73"/>
      <c r="F2718" s="45"/>
    </row>
    <row r="2719" spans="4:6" x14ac:dyDescent="0.2">
      <c r="D2719" s="50"/>
      <c r="E2719" s="73"/>
      <c r="F2719" s="45"/>
    </row>
    <row r="2720" spans="4:6" x14ac:dyDescent="0.2">
      <c r="D2720" s="50"/>
      <c r="E2720" s="73"/>
      <c r="F2720" s="45"/>
    </row>
    <row r="2721" spans="4:6" x14ac:dyDescent="0.2">
      <c r="D2721" s="50"/>
      <c r="E2721" s="73"/>
      <c r="F2721" s="45"/>
    </row>
    <row r="2722" spans="4:6" x14ac:dyDescent="0.2">
      <c r="D2722" s="50"/>
      <c r="E2722" s="73"/>
      <c r="F2722" s="45"/>
    </row>
    <row r="2723" spans="4:6" x14ac:dyDescent="0.2">
      <c r="D2723" s="50"/>
      <c r="E2723" s="73"/>
      <c r="F2723" s="45"/>
    </row>
    <row r="2724" spans="4:6" x14ac:dyDescent="0.2">
      <c r="D2724" s="50"/>
      <c r="E2724" s="73"/>
      <c r="F2724" s="45"/>
    </row>
    <row r="2725" spans="4:6" x14ac:dyDescent="0.2">
      <c r="D2725" s="50"/>
      <c r="E2725" s="73"/>
      <c r="F2725" s="45"/>
    </row>
    <row r="2726" spans="4:6" x14ac:dyDescent="0.2">
      <c r="D2726" s="50"/>
      <c r="E2726" s="73"/>
      <c r="F2726" s="45"/>
    </row>
    <row r="2727" spans="4:6" x14ac:dyDescent="0.2">
      <c r="D2727" s="50"/>
      <c r="E2727" s="73"/>
      <c r="F2727" s="45"/>
    </row>
    <row r="2728" spans="4:6" x14ac:dyDescent="0.2">
      <c r="D2728" s="50"/>
      <c r="E2728" s="73"/>
      <c r="F2728" s="45"/>
    </row>
    <row r="2729" spans="4:6" x14ac:dyDescent="0.2">
      <c r="D2729" s="50"/>
      <c r="E2729" s="73"/>
      <c r="F2729" s="45"/>
    </row>
    <row r="2730" spans="4:6" x14ac:dyDescent="0.2">
      <c r="D2730" s="50"/>
      <c r="E2730" s="73"/>
      <c r="F2730" s="45"/>
    </row>
    <row r="2731" spans="4:6" x14ac:dyDescent="0.2">
      <c r="D2731" s="50"/>
      <c r="E2731" s="73"/>
      <c r="F2731" s="45"/>
    </row>
    <row r="2732" spans="4:6" x14ac:dyDescent="0.2">
      <c r="D2732" s="50"/>
      <c r="E2732" s="73"/>
      <c r="F2732" s="45"/>
    </row>
    <row r="2733" spans="4:6" x14ac:dyDescent="0.2">
      <c r="D2733" s="50"/>
      <c r="E2733" s="73"/>
      <c r="F2733" s="45"/>
    </row>
    <row r="2734" spans="4:6" x14ac:dyDescent="0.2">
      <c r="D2734" s="50"/>
      <c r="E2734" s="73"/>
      <c r="F2734" s="45"/>
    </row>
    <row r="2735" spans="4:6" x14ac:dyDescent="0.2">
      <c r="D2735" s="50"/>
      <c r="E2735" s="73"/>
      <c r="F2735" s="45"/>
    </row>
    <row r="2736" spans="4:6" x14ac:dyDescent="0.2">
      <c r="D2736" s="50"/>
      <c r="E2736" s="73"/>
      <c r="F2736" s="45"/>
    </row>
    <row r="2737" spans="4:6" x14ac:dyDescent="0.2">
      <c r="D2737" s="50"/>
      <c r="E2737" s="73"/>
      <c r="F2737" s="45"/>
    </row>
    <row r="2738" spans="4:6" x14ac:dyDescent="0.2">
      <c r="D2738" s="50"/>
      <c r="E2738" s="73"/>
      <c r="F2738" s="45"/>
    </row>
    <row r="2739" spans="4:6" x14ac:dyDescent="0.2">
      <c r="D2739" s="50"/>
      <c r="E2739" s="73"/>
      <c r="F2739" s="45"/>
    </row>
    <row r="2740" spans="4:6" x14ac:dyDescent="0.2">
      <c r="D2740" s="50"/>
      <c r="E2740" s="73"/>
      <c r="F2740" s="45"/>
    </row>
    <row r="2741" spans="4:6" x14ac:dyDescent="0.2">
      <c r="D2741" s="50"/>
      <c r="E2741" s="73"/>
      <c r="F2741" s="45"/>
    </row>
    <row r="2742" spans="4:6" x14ac:dyDescent="0.2">
      <c r="D2742" s="50"/>
      <c r="E2742" s="73"/>
      <c r="F2742" s="45"/>
    </row>
    <row r="2743" spans="4:6" x14ac:dyDescent="0.2">
      <c r="D2743" s="50"/>
      <c r="E2743" s="73"/>
      <c r="F2743" s="45"/>
    </row>
    <row r="2744" spans="4:6" x14ac:dyDescent="0.2">
      <c r="D2744" s="50"/>
      <c r="E2744" s="73"/>
      <c r="F2744" s="45"/>
    </row>
    <row r="2745" spans="4:6" x14ac:dyDescent="0.2">
      <c r="D2745" s="50"/>
      <c r="E2745" s="73"/>
      <c r="F2745" s="45"/>
    </row>
    <row r="2746" spans="4:6" x14ac:dyDescent="0.2">
      <c r="D2746" s="50"/>
      <c r="E2746" s="73"/>
      <c r="F2746" s="45"/>
    </row>
    <row r="2747" spans="4:6" x14ac:dyDescent="0.2">
      <c r="D2747" s="50"/>
      <c r="E2747" s="73"/>
      <c r="F2747" s="45"/>
    </row>
    <row r="2748" spans="4:6" x14ac:dyDescent="0.2">
      <c r="D2748" s="50"/>
      <c r="E2748" s="73"/>
      <c r="F2748" s="45"/>
    </row>
    <row r="2749" spans="4:6" x14ac:dyDescent="0.2">
      <c r="D2749" s="50"/>
      <c r="E2749" s="73"/>
      <c r="F2749" s="45"/>
    </row>
    <row r="2750" spans="4:6" x14ac:dyDescent="0.2">
      <c r="D2750" s="50"/>
      <c r="E2750" s="73"/>
      <c r="F2750" s="45"/>
    </row>
    <row r="2751" spans="4:6" x14ac:dyDescent="0.2">
      <c r="D2751" s="50"/>
      <c r="E2751" s="73"/>
      <c r="F2751" s="45"/>
    </row>
    <row r="2752" spans="4:6" x14ac:dyDescent="0.2">
      <c r="D2752" s="50"/>
      <c r="E2752" s="73"/>
      <c r="F2752" s="45"/>
    </row>
    <row r="2753" spans="4:6" x14ac:dyDescent="0.2">
      <c r="D2753" s="50"/>
      <c r="E2753" s="73"/>
      <c r="F2753" s="45"/>
    </row>
    <row r="2754" spans="4:6" x14ac:dyDescent="0.2">
      <c r="D2754" s="50"/>
      <c r="E2754" s="73"/>
      <c r="F2754" s="45"/>
    </row>
    <row r="2755" spans="4:6" x14ac:dyDescent="0.2">
      <c r="D2755" s="50"/>
      <c r="E2755" s="73"/>
      <c r="F2755" s="45"/>
    </row>
    <row r="2756" spans="4:6" x14ac:dyDescent="0.2">
      <c r="D2756" s="50"/>
      <c r="E2756" s="73"/>
      <c r="F2756" s="45"/>
    </row>
    <row r="2757" spans="4:6" x14ac:dyDescent="0.2">
      <c r="D2757" s="50"/>
      <c r="E2757" s="73"/>
      <c r="F2757" s="45"/>
    </row>
    <row r="2758" spans="4:6" x14ac:dyDescent="0.2">
      <c r="D2758" s="50"/>
      <c r="E2758" s="73"/>
      <c r="F2758" s="45"/>
    </row>
    <row r="2759" spans="4:6" x14ac:dyDescent="0.2">
      <c r="D2759" s="50"/>
      <c r="E2759" s="73"/>
      <c r="F2759" s="45"/>
    </row>
    <row r="2760" spans="4:6" x14ac:dyDescent="0.2">
      <c r="D2760" s="50"/>
      <c r="E2760" s="73"/>
      <c r="F2760" s="45"/>
    </row>
    <row r="2761" spans="4:6" x14ac:dyDescent="0.2">
      <c r="D2761" s="50"/>
      <c r="E2761" s="73"/>
      <c r="F2761" s="45"/>
    </row>
    <row r="2762" spans="4:6" x14ac:dyDescent="0.2">
      <c r="D2762" s="50"/>
      <c r="E2762" s="73"/>
      <c r="F2762" s="45"/>
    </row>
    <row r="2763" spans="4:6" x14ac:dyDescent="0.2">
      <c r="D2763" s="50"/>
      <c r="E2763" s="73"/>
      <c r="F2763" s="45"/>
    </row>
    <row r="2764" spans="4:6" x14ac:dyDescent="0.2">
      <c r="D2764" s="50"/>
      <c r="E2764" s="73"/>
      <c r="F2764" s="45"/>
    </row>
    <row r="2765" spans="4:6" x14ac:dyDescent="0.2">
      <c r="D2765" s="50"/>
      <c r="E2765" s="73"/>
      <c r="F2765" s="45"/>
    </row>
    <row r="2766" spans="4:6" x14ac:dyDescent="0.2">
      <c r="D2766" s="50"/>
      <c r="E2766" s="73"/>
      <c r="F2766" s="45"/>
    </row>
    <row r="2767" spans="4:6" x14ac:dyDescent="0.2">
      <c r="D2767" s="50"/>
      <c r="E2767" s="73"/>
      <c r="F2767" s="45"/>
    </row>
    <row r="2768" spans="4:6" x14ac:dyDescent="0.2">
      <c r="D2768" s="50"/>
      <c r="E2768" s="73"/>
      <c r="F2768" s="45"/>
    </row>
    <row r="2769" spans="4:6" x14ac:dyDescent="0.2">
      <c r="D2769" s="50"/>
      <c r="E2769" s="73"/>
      <c r="F2769" s="45"/>
    </row>
    <row r="2770" spans="4:6" x14ac:dyDescent="0.2">
      <c r="D2770" s="50"/>
      <c r="E2770" s="73"/>
      <c r="F2770" s="45"/>
    </row>
    <row r="2771" spans="4:6" x14ac:dyDescent="0.2">
      <c r="D2771" s="50"/>
      <c r="E2771" s="73"/>
      <c r="F2771" s="45"/>
    </row>
    <row r="2772" spans="4:6" x14ac:dyDescent="0.2">
      <c r="D2772" s="50"/>
      <c r="E2772" s="73"/>
      <c r="F2772" s="45"/>
    </row>
    <row r="2773" spans="4:6" x14ac:dyDescent="0.2">
      <c r="D2773" s="50"/>
      <c r="E2773" s="73"/>
      <c r="F2773" s="45"/>
    </row>
    <row r="2774" spans="4:6" x14ac:dyDescent="0.2">
      <c r="D2774" s="50"/>
      <c r="E2774" s="73"/>
      <c r="F2774" s="45"/>
    </row>
    <row r="2775" spans="4:6" x14ac:dyDescent="0.2">
      <c r="D2775" s="50"/>
      <c r="E2775" s="73"/>
      <c r="F2775" s="45"/>
    </row>
    <row r="2776" spans="4:6" x14ac:dyDescent="0.2">
      <c r="D2776" s="50"/>
      <c r="E2776" s="73"/>
      <c r="F2776" s="45"/>
    </row>
    <row r="2777" spans="4:6" x14ac:dyDescent="0.2">
      <c r="D2777" s="50"/>
      <c r="E2777" s="73"/>
      <c r="F2777" s="45"/>
    </row>
    <row r="2778" spans="4:6" x14ac:dyDescent="0.2">
      <c r="D2778" s="50"/>
      <c r="E2778" s="73"/>
      <c r="F2778" s="45"/>
    </row>
    <row r="2779" spans="4:6" x14ac:dyDescent="0.2">
      <c r="D2779" s="50"/>
      <c r="E2779" s="73"/>
      <c r="F2779" s="45"/>
    </row>
    <row r="2780" spans="4:6" x14ac:dyDescent="0.2">
      <c r="D2780" s="50"/>
      <c r="E2780" s="73"/>
      <c r="F2780" s="45"/>
    </row>
    <row r="2781" spans="4:6" x14ac:dyDescent="0.2">
      <c r="D2781" s="50"/>
      <c r="E2781" s="73"/>
      <c r="F2781" s="45"/>
    </row>
    <row r="2782" spans="4:6" x14ac:dyDescent="0.2">
      <c r="D2782" s="50"/>
      <c r="E2782" s="73"/>
      <c r="F2782" s="45"/>
    </row>
    <row r="2783" spans="4:6" x14ac:dyDescent="0.2">
      <c r="D2783" s="50"/>
      <c r="E2783" s="73"/>
      <c r="F2783" s="45"/>
    </row>
    <row r="2784" spans="4:6" x14ac:dyDescent="0.2">
      <c r="D2784" s="50"/>
      <c r="E2784" s="73"/>
      <c r="F2784" s="45"/>
    </row>
    <row r="2785" spans="4:6" x14ac:dyDescent="0.2">
      <c r="D2785" s="50"/>
      <c r="E2785" s="73"/>
      <c r="F2785" s="45"/>
    </row>
    <row r="2786" spans="4:6" x14ac:dyDescent="0.2">
      <c r="D2786" s="50"/>
      <c r="E2786" s="73"/>
      <c r="F2786" s="45"/>
    </row>
    <row r="2787" spans="4:6" x14ac:dyDescent="0.2">
      <c r="D2787" s="50"/>
      <c r="E2787" s="73"/>
      <c r="F2787" s="45"/>
    </row>
    <row r="2788" spans="4:6" x14ac:dyDescent="0.2">
      <c r="D2788" s="50"/>
      <c r="E2788" s="73"/>
      <c r="F2788" s="45"/>
    </row>
    <row r="2789" spans="4:6" x14ac:dyDescent="0.2">
      <c r="D2789" s="50"/>
      <c r="E2789" s="73"/>
      <c r="F2789" s="45"/>
    </row>
    <row r="2790" spans="4:6" x14ac:dyDescent="0.2">
      <c r="D2790" s="50"/>
      <c r="E2790" s="73"/>
      <c r="F2790" s="45"/>
    </row>
    <row r="2791" spans="4:6" x14ac:dyDescent="0.2">
      <c r="D2791" s="50"/>
      <c r="E2791" s="73"/>
      <c r="F2791" s="45"/>
    </row>
    <row r="2792" spans="4:6" x14ac:dyDescent="0.2">
      <c r="D2792" s="50"/>
      <c r="E2792" s="73"/>
      <c r="F2792" s="45"/>
    </row>
    <row r="2793" spans="4:6" x14ac:dyDescent="0.2">
      <c r="D2793" s="50"/>
      <c r="E2793" s="73"/>
      <c r="F2793" s="45"/>
    </row>
    <row r="2794" spans="4:6" x14ac:dyDescent="0.2">
      <c r="D2794" s="50"/>
      <c r="E2794" s="73"/>
      <c r="F2794" s="45"/>
    </row>
    <row r="2795" spans="4:6" x14ac:dyDescent="0.2">
      <c r="D2795" s="50"/>
      <c r="E2795" s="73"/>
      <c r="F2795" s="45"/>
    </row>
    <row r="2796" spans="4:6" x14ac:dyDescent="0.2">
      <c r="D2796" s="50"/>
      <c r="E2796" s="73"/>
      <c r="F2796" s="45"/>
    </row>
    <row r="2797" spans="4:6" x14ac:dyDescent="0.2">
      <c r="D2797" s="50"/>
      <c r="E2797" s="73"/>
      <c r="F2797" s="45"/>
    </row>
    <row r="2798" spans="4:6" x14ac:dyDescent="0.2">
      <c r="D2798" s="50"/>
      <c r="E2798" s="73"/>
      <c r="F2798" s="45"/>
    </row>
    <row r="2799" spans="4:6" x14ac:dyDescent="0.2">
      <c r="D2799" s="50"/>
      <c r="E2799" s="73"/>
      <c r="F2799" s="45"/>
    </row>
    <row r="2800" spans="4:6" x14ac:dyDescent="0.2">
      <c r="D2800" s="50"/>
      <c r="E2800" s="73"/>
      <c r="F2800" s="45"/>
    </row>
    <row r="2801" spans="4:6" x14ac:dyDescent="0.2">
      <c r="D2801" s="50"/>
      <c r="E2801" s="73"/>
      <c r="F2801" s="45"/>
    </row>
    <row r="2802" spans="4:6" x14ac:dyDescent="0.2">
      <c r="D2802" s="50"/>
      <c r="E2802" s="73"/>
      <c r="F2802" s="45"/>
    </row>
    <row r="2803" spans="4:6" x14ac:dyDescent="0.2">
      <c r="D2803" s="50"/>
      <c r="E2803" s="73"/>
      <c r="F2803" s="45"/>
    </row>
    <row r="2804" spans="4:6" x14ac:dyDescent="0.2">
      <c r="D2804" s="50"/>
      <c r="E2804" s="73"/>
      <c r="F2804" s="45"/>
    </row>
    <row r="2805" spans="4:6" x14ac:dyDescent="0.2">
      <c r="D2805" s="50"/>
      <c r="E2805" s="73"/>
      <c r="F2805" s="45"/>
    </row>
    <row r="2806" spans="4:6" x14ac:dyDescent="0.2">
      <c r="D2806" s="50"/>
      <c r="E2806" s="73"/>
      <c r="F2806" s="45"/>
    </row>
    <row r="2807" spans="4:6" x14ac:dyDescent="0.2">
      <c r="D2807" s="50"/>
      <c r="E2807" s="73"/>
      <c r="F2807" s="45"/>
    </row>
    <row r="2808" spans="4:6" x14ac:dyDescent="0.2">
      <c r="D2808" s="50"/>
      <c r="E2808" s="73"/>
      <c r="F2808" s="45"/>
    </row>
    <row r="2809" spans="4:6" x14ac:dyDescent="0.2">
      <c r="D2809" s="50"/>
      <c r="E2809" s="73"/>
      <c r="F2809" s="45"/>
    </row>
    <row r="2810" spans="4:6" x14ac:dyDescent="0.2">
      <c r="D2810" s="50"/>
      <c r="E2810" s="73"/>
      <c r="F2810" s="45"/>
    </row>
    <row r="2811" spans="4:6" x14ac:dyDescent="0.2">
      <c r="D2811" s="50"/>
      <c r="E2811" s="73"/>
      <c r="F2811" s="45"/>
    </row>
    <row r="2812" spans="4:6" x14ac:dyDescent="0.2">
      <c r="D2812" s="50"/>
      <c r="E2812" s="73"/>
      <c r="F2812" s="45"/>
    </row>
    <row r="2813" spans="4:6" x14ac:dyDescent="0.2">
      <c r="D2813" s="50"/>
      <c r="E2813" s="73"/>
      <c r="F2813" s="45"/>
    </row>
    <row r="2814" spans="4:6" x14ac:dyDescent="0.2">
      <c r="D2814" s="50"/>
      <c r="E2814" s="73"/>
      <c r="F2814" s="45"/>
    </row>
    <row r="2815" spans="4:6" x14ac:dyDescent="0.2">
      <c r="D2815" s="50"/>
      <c r="E2815" s="73"/>
      <c r="F2815" s="45"/>
    </row>
    <row r="2816" spans="4:6" x14ac:dyDescent="0.2">
      <c r="D2816" s="50"/>
      <c r="E2816" s="73"/>
      <c r="F2816" s="45"/>
    </row>
    <row r="2817" spans="4:6" x14ac:dyDescent="0.2">
      <c r="D2817" s="50"/>
      <c r="E2817" s="73"/>
      <c r="F2817" s="45"/>
    </row>
    <row r="2818" spans="4:6" x14ac:dyDescent="0.2">
      <c r="D2818" s="50"/>
      <c r="E2818" s="73"/>
      <c r="F2818" s="45"/>
    </row>
    <row r="2819" spans="4:6" x14ac:dyDescent="0.2">
      <c r="D2819" s="50"/>
      <c r="E2819" s="73"/>
      <c r="F2819" s="45"/>
    </row>
    <row r="2820" spans="4:6" x14ac:dyDescent="0.2">
      <c r="D2820" s="50"/>
      <c r="E2820" s="73"/>
      <c r="F2820" s="45"/>
    </row>
    <row r="2821" spans="4:6" x14ac:dyDescent="0.2">
      <c r="D2821" s="50"/>
      <c r="E2821" s="73"/>
      <c r="F2821" s="45"/>
    </row>
    <row r="2822" spans="4:6" x14ac:dyDescent="0.2">
      <c r="D2822" s="50"/>
      <c r="E2822" s="73"/>
      <c r="F2822" s="45"/>
    </row>
    <row r="2823" spans="4:6" x14ac:dyDescent="0.2">
      <c r="D2823" s="50"/>
      <c r="E2823" s="73"/>
      <c r="F2823" s="45"/>
    </row>
    <row r="2824" spans="4:6" x14ac:dyDescent="0.2">
      <c r="D2824" s="50"/>
      <c r="E2824" s="73"/>
      <c r="F2824" s="45"/>
    </row>
    <row r="2825" spans="4:6" x14ac:dyDescent="0.2">
      <c r="D2825" s="50"/>
      <c r="E2825" s="73"/>
      <c r="F2825" s="45"/>
    </row>
    <row r="2826" spans="4:6" x14ac:dyDescent="0.2">
      <c r="D2826" s="50"/>
      <c r="E2826" s="73"/>
      <c r="F2826" s="45"/>
    </row>
    <row r="2827" spans="4:6" x14ac:dyDescent="0.2">
      <c r="D2827" s="50"/>
      <c r="E2827" s="73"/>
      <c r="F2827" s="45"/>
    </row>
    <row r="2828" spans="4:6" x14ac:dyDescent="0.2">
      <c r="D2828" s="50"/>
      <c r="E2828" s="73"/>
      <c r="F2828" s="45"/>
    </row>
    <row r="2829" spans="4:6" x14ac:dyDescent="0.2">
      <c r="D2829" s="50"/>
      <c r="E2829" s="73"/>
      <c r="F2829" s="45"/>
    </row>
    <row r="2830" spans="4:6" x14ac:dyDescent="0.2">
      <c r="D2830" s="50"/>
      <c r="E2830" s="73"/>
      <c r="F2830" s="45"/>
    </row>
    <row r="2831" spans="4:6" x14ac:dyDescent="0.2">
      <c r="D2831" s="50"/>
      <c r="E2831" s="73"/>
      <c r="F2831" s="45"/>
    </row>
    <row r="2832" spans="4:6" x14ac:dyDescent="0.2">
      <c r="D2832" s="50"/>
      <c r="E2832" s="73"/>
      <c r="F2832" s="45"/>
    </row>
    <row r="2833" spans="4:6" x14ac:dyDescent="0.2">
      <c r="D2833" s="50"/>
      <c r="E2833" s="73"/>
      <c r="F2833" s="45"/>
    </row>
    <row r="2834" spans="4:6" x14ac:dyDescent="0.2">
      <c r="D2834" s="50"/>
      <c r="E2834" s="73"/>
      <c r="F2834" s="45"/>
    </row>
    <row r="2835" spans="4:6" x14ac:dyDescent="0.2">
      <c r="D2835" s="50"/>
      <c r="E2835" s="73"/>
      <c r="F2835" s="45"/>
    </row>
    <row r="2836" spans="4:6" x14ac:dyDescent="0.2">
      <c r="D2836" s="50"/>
      <c r="E2836" s="73"/>
      <c r="F2836" s="45"/>
    </row>
    <row r="2837" spans="4:6" x14ac:dyDescent="0.2">
      <c r="D2837" s="50"/>
      <c r="E2837" s="73"/>
      <c r="F2837" s="45"/>
    </row>
    <row r="2838" spans="4:6" x14ac:dyDescent="0.2">
      <c r="D2838" s="50"/>
      <c r="E2838" s="73"/>
      <c r="F2838" s="45"/>
    </row>
    <row r="2839" spans="4:6" x14ac:dyDescent="0.2">
      <c r="D2839" s="50"/>
      <c r="E2839" s="73"/>
      <c r="F2839" s="45"/>
    </row>
    <row r="2840" spans="4:6" x14ac:dyDescent="0.2">
      <c r="D2840" s="50"/>
      <c r="E2840" s="73"/>
      <c r="F2840" s="45"/>
    </row>
    <row r="2841" spans="4:6" x14ac:dyDescent="0.2">
      <c r="D2841" s="50"/>
      <c r="E2841" s="73"/>
      <c r="F2841" s="45"/>
    </row>
    <row r="2842" spans="4:6" x14ac:dyDescent="0.2">
      <c r="D2842" s="50"/>
      <c r="E2842" s="73"/>
      <c r="F2842" s="45"/>
    </row>
    <row r="2843" spans="4:6" x14ac:dyDescent="0.2">
      <c r="D2843" s="50"/>
      <c r="E2843" s="73"/>
      <c r="F2843" s="45"/>
    </row>
    <row r="2844" spans="4:6" x14ac:dyDescent="0.2">
      <c r="D2844" s="50"/>
      <c r="E2844" s="73"/>
      <c r="F2844" s="45"/>
    </row>
    <row r="2845" spans="4:6" x14ac:dyDescent="0.2">
      <c r="D2845" s="50"/>
      <c r="E2845" s="73"/>
      <c r="F2845" s="45"/>
    </row>
    <row r="2846" spans="4:6" x14ac:dyDescent="0.2">
      <c r="D2846" s="50"/>
      <c r="E2846" s="73"/>
      <c r="F2846" s="45"/>
    </row>
    <row r="2847" spans="4:6" x14ac:dyDescent="0.2">
      <c r="D2847" s="50"/>
      <c r="E2847" s="73"/>
      <c r="F2847" s="45"/>
    </row>
    <row r="2848" spans="4:6" x14ac:dyDescent="0.2">
      <c r="D2848" s="50"/>
      <c r="E2848" s="73"/>
      <c r="F2848" s="45"/>
    </row>
    <row r="2849" spans="4:6" x14ac:dyDescent="0.2">
      <c r="D2849" s="50"/>
      <c r="E2849" s="73"/>
      <c r="F2849" s="45"/>
    </row>
    <row r="2850" spans="4:6" x14ac:dyDescent="0.2">
      <c r="D2850" s="50"/>
      <c r="E2850" s="73"/>
      <c r="F2850" s="45"/>
    </row>
    <row r="2851" spans="4:6" x14ac:dyDescent="0.2">
      <c r="D2851" s="50"/>
      <c r="E2851" s="73"/>
      <c r="F2851" s="45"/>
    </row>
    <row r="2852" spans="4:6" x14ac:dyDescent="0.2">
      <c r="D2852" s="50"/>
      <c r="E2852" s="73"/>
      <c r="F2852" s="45"/>
    </row>
    <row r="2853" spans="4:6" x14ac:dyDescent="0.2">
      <c r="D2853" s="50"/>
      <c r="E2853" s="73"/>
      <c r="F2853" s="45"/>
    </row>
    <row r="2854" spans="4:6" x14ac:dyDescent="0.2">
      <c r="D2854" s="50"/>
      <c r="E2854" s="73"/>
      <c r="F2854" s="45"/>
    </row>
    <row r="2855" spans="4:6" x14ac:dyDescent="0.2">
      <c r="D2855" s="50"/>
      <c r="E2855" s="73"/>
      <c r="F2855" s="45"/>
    </row>
    <row r="2856" spans="4:6" x14ac:dyDescent="0.2">
      <c r="D2856" s="50"/>
      <c r="E2856" s="73"/>
      <c r="F2856" s="45"/>
    </row>
    <row r="2857" spans="4:6" x14ac:dyDescent="0.2">
      <c r="D2857" s="50"/>
      <c r="E2857" s="73"/>
      <c r="F2857" s="45"/>
    </row>
    <row r="2858" spans="4:6" x14ac:dyDescent="0.2">
      <c r="D2858" s="50"/>
      <c r="E2858" s="73"/>
      <c r="F2858" s="45"/>
    </row>
    <row r="2859" spans="4:6" x14ac:dyDescent="0.2">
      <c r="D2859" s="50"/>
      <c r="E2859" s="73"/>
      <c r="F2859" s="45"/>
    </row>
    <row r="2860" spans="4:6" x14ac:dyDescent="0.2">
      <c r="D2860" s="50"/>
      <c r="E2860" s="73"/>
      <c r="F2860" s="45"/>
    </row>
    <row r="2861" spans="4:6" x14ac:dyDescent="0.2">
      <c r="D2861" s="50"/>
      <c r="E2861" s="73"/>
      <c r="F2861" s="45"/>
    </row>
    <row r="2862" spans="4:6" x14ac:dyDescent="0.2">
      <c r="D2862" s="50"/>
      <c r="E2862" s="73"/>
      <c r="F2862" s="45"/>
    </row>
    <row r="2863" spans="4:6" x14ac:dyDescent="0.2">
      <c r="D2863" s="50"/>
      <c r="E2863" s="73"/>
      <c r="F2863" s="45"/>
    </row>
    <row r="2864" spans="4:6" x14ac:dyDescent="0.2">
      <c r="D2864" s="50"/>
      <c r="E2864" s="73"/>
      <c r="F2864" s="45"/>
    </row>
    <row r="2865" spans="4:6" x14ac:dyDescent="0.2">
      <c r="D2865" s="50"/>
      <c r="E2865" s="73"/>
      <c r="F2865" s="45"/>
    </row>
    <row r="2866" spans="4:6" x14ac:dyDescent="0.2">
      <c r="D2866" s="50"/>
      <c r="E2866" s="73"/>
      <c r="F2866" s="45"/>
    </row>
    <row r="2867" spans="4:6" x14ac:dyDescent="0.2">
      <c r="D2867" s="50"/>
      <c r="E2867" s="73"/>
      <c r="F2867" s="45"/>
    </row>
    <row r="2868" spans="4:6" x14ac:dyDescent="0.2">
      <c r="D2868" s="50"/>
      <c r="E2868" s="73"/>
      <c r="F2868" s="45"/>
    </row>
    <row r="2869" spans="4:6" x14ac:dyDescent="0.2">
      <c r="D2869" s="50"/>
      <c r="E2869" s="73"/>
      <c r="F2869" s="45"/>
    </row>
    <row r="2870" spans="4:6" x14ac:dyDescent="0.2">
      <c r="D2870" s="50"/>
      <c r="E2870" s="73"/>
      <c r="F2870" s="45"/>
    </row>
    <row r="2871" spans="4:6" x14ac:dyDescent="0.2">
      <c r="D2871" s="50"/>
      <c r="E2871" s="73"/>
      <c r="F2871" s="45"/>
    </row>
    <row r="2872" spans="4:6" x14ac:dyDescent="0.2">
      <c r="D2872" s="50"/>
      <c r="E2872" s="73"/>
      <c r="F2872" s="45"/>
    </row>
    <row r="2873" spans="4:6" x14ac:dyDescent="0.2">
      <c r="D2873" s="50"/>
      <c r="E2873" s="73"/>
      <c r="F2873" s="45"/>
    </row>
    <row r="2874" spans="4:6" x14ac:dyDescent="0.2">
      <c r="D2874" s="50"/>
      <c r="E2874" s="73"/>
      <c r="F2874" s="45"/>
    </row>
    <row r="2875" spans="4:6" x14ac:dyDescent="0.2">
      <c r="D2875" s="50"/>
      <c r="E2875" s="73"/>
      <c r="F2875" s="45"/>
    </row>
    <row r="2876" spans="4:6" x14ac:dyDescent="0.2">
      <c r="D2876" s="50"/>
      <c r="E2876" s="73"/>
      <c r="F2876" s="45"/>
    </row>
    <row r="2877" spans="4:6" x14ac:dyDescent="0.2">
      <c r="D2877" s="50"/>
      <c r="E2877" s="73"/>
      <c r="F2877" s="45"/>
    </row>
    <row r="2878" spans="4:6" x14ac:dyDescent="0.2">
      <c r="D2878" s="50"/>
      <c r="E2878" s="73"/>
      <c r="F2878" s="45"/>
    </row>
    <row r="2879" spans="4:6" x14ac:dyDescent="0.2">
      <c r="D2879" s="50"/>
      <c r="E2879" s="73"/>
      <c r="F2879" s="45"/>
    </row>
    <row r="2880" spans="4:6" x14ac:dyDescent="0.2">
      <c r="D2880" s="50"/>
      <c r="E2880" s="73"/>
      <c r="F2880" s="45"/>
    </row>
    <row r="2881" spans="4:6" x14ac:dyDescent="0.2">
      <c r="D2881" s="50"/>
      <c r="E2881" s="73"/>
      <c r="F2881" s="45"/>
    </row>
    <row r="2882" spans="4:6" x14ac:dyDescent="0.2">
      <c r="D2882" s="50"/>
      <c r="E2882" s="73"/>
      <c r="F2882" s="45"/>
    </row>
    <row r="2883" spans="4:6" x14ac:dyDescent="0.2">
      <c r="D2883" s="50"/>
      <c r="E2883" s="73"/>
      <c r="F2883" s="45"/>
    </row>
    <row r="2884" spans="4:6" x14ac:dyDescent="0.2">
      <c r="D2884" s="50"/>
      <c r="E2884" s="73"/>
      <c r="F2884" s="45"/>
    </row>
    <row r="2885" spans="4:6" x14ac:dyDescent="0.2">
      <c r="D2885" s="50"/>
      <c r="E2885" s="73"/>
      <c r="F2885" s="45"/>
    </row>
    <row r="2886" spans="4:6" x14ac:dyDescent="0.2">
      <c r="D2886" s="50"/>
      <c r="E2886" s="73"/>
      <c r="F2886" s="45"/>
    </row>
    <row r="2887" spans="4:6" x14ac:dyDescent="0.2">
      <c r="D2887" s="50"/>
      <c r="E2887" s="73"/>
      <c r="F2887" s="45"/>
    </row>
    <row r="2888" spans="4:6" x14ac:dyDescent="0.2">
      <c r="D2888" s="50"/>
      <c r="E2888" s="73"/>
      <c r="F2888" s="45"/>
    </row>
    <row r="2889" spans="4:6" x14ac:dyDescent="0.2">
      <c r="D2889" s="50"/>
      <c r="E2889" s="73"/>
      <c r="F2889" s="45"/>
    </row>
    <row r="2890" spans="4:6" x14ac:dyDescent="0.2">
      <c r="D2890" s="50"/>
      <c r="E2890" s="73"/>
      <c r="F2890" s="45"/>
    </row>
    <row r="2891" spans="4:6" x14ac:dyDescent="0.2">
      <c r="D2891" s="50"/>
      <c r="E2891" s="73"/>
      <c r="F2891" s="45"/>
    </row>
    <row r="2892" spans="4:6" x14ac:dyDescent="0.2">
      <c r="D2892" s="50"/>
      <c r="E2892" s="73"/>
      <c r="F2892" s="45"/>
    </row>
    <row r="2893" spans="4:6" x14ac:dyDescent="0.2">
      <c r="D2893" s="50"/>
      <c r="E2893" s="73"/>
      <c r="F2893" s="45"/>
    </row>
    <row r="2894" spans="4:6" x14ac:dyDescent="0.2">
      <c r="D2894" s="50"/>
      <c r="E2894" s="73"/>
      <c r="F2894" s="45"/>
    </row>
    <row r="2895" spans="4:6" x14ac:dyDescent="0.2">
      <c r="D2895" s="50"/>
      <c r="E2895" s="73"/>
      <c r="F2895" s="45"/>
    </row>
    <row r="2896" spans="4:6" x14ac:dyDescent="0.2">
      <c r="D2896" s="50"/>
      <c r="E2896" s="73"/>
      <c r="F2896" s="45"/>
    </row>
    <row r="2897" spans="4:6" x14ac:dyDescent="0.2">
      <c r="D2897" s="50"/>
      <c r="E2897" s="73"/>
      <c r="F2897" s="45"/>
    </row>
    <row r="2898" spans="4:6" x14ac:dyDescent="0.2">
      <c r="D2898" s="50"/>
      <c r="E2898" s="73"/>
      <c r="F2898" s="45"/>
    </row>
    <row r="2899" spans="4:6" x14ac:dyDescent="0.2">
      <c r="D2899" s="50"/>
      <c r="E2899" s="73"/>
      <c r="F2899" s="45"/>
    </row>
    <row r="2900" spans="4:6" x14ac:dyDescent="0.2">
      <c r="D2900" s="50"/>
      <c r="E2900" s="73"/>
      <c r="F2900" s="45"/>
    </row>
    <row r="2901" spans="4:6" x14ac:dyDescent="0.2">
      <c r="D2901" s="50"/>
      <c r="E2901" s="73"/>
      <c r="F2901" s="45"/>
    </row>
    <row r="2902" spans="4:6" x14ac:dyDescent="0.2">
      <c r="D2902" s="50"/>
      <c r="E2902" s="73"/>
      <c r="F2902" s="45"/>
    </row>
    <row r="2903" spans="4:6" x14ac:dyDescent="0.2">
      <c r="D2903" s="50"/>
      <c r="E2903" s="73"/>
      <c r="F2903" s="45"/>
    </row>
    <row r="2904" spans="4:6" x14ac:dyDescent="0.2">
      <c r="D2904" s="50"/>
      <c r="E2904" s="73"/>
      <c r="F2904" s="45"/>
    </row>
    <row r="2905" spans="4:6" x14ac:dyDescent="0.2">
      <c r="D2905" s="50"/>
      <c r="E2905" s="73"/>
      <c r="F2905" s="45"/>
    </row>
    <row r="2906" spans="4:6" x14ac:dyDescent="0.2">
      <c r="D2906" s="50"/>
      <c r="E2906" s="73"/>
      <c r="F2906" s="45"/>
    </row>
    <row r="2907" spans="4:6" x14ac:dyDescent="0.2">
      <c r="D2907" s="50"/>
      <c r="E2907" s="73"/>
      <c r="F2907" s="45"/>
    </row>
    <row r="2908" spans="4:6" x14ac:dyDescent="0.2">
      <c r="D2908" s="50"/>
      <c r="E2908" s="73"/>
      <c r="F2908" s="45"/>
    </row>
    <row r="2909" spans="4:6" x14ac:dyDescent="0.2">
      <c r="D2909" s="50"/>
      <c r="E2909" s="73"/>
      <c r="F2909" s="45"/>
    </row>
    <row r="2910" spans="4:6" x14ac:dyDescent="0.2">
      <c r="D2910" s="50"/>
      <c r="E2910" s="73"/>
      <c r="F2910" s="45"/>
    </row>
    <row r="2911" spans="4:6" x14ac:dyDescent="0.2">
      <c r="D2911" s="50"/>
      <c r="E2911" s="73"/>
      <c r="F2911" s="45"/>
    </row>
    <row r="2912" spans="4:6" x14ac:dyDescent="0.2">
      <c r="D2912" s="50"/>
      <c r="E2912" s="73"/>
      <c r="F2912" s="45"/>
    </row>
    <row r="2913" spans="4:6" x14ac:dyDescent="0.2">
      <c r="D2913" s="50"/>
      <c r="E2913" s="73"/>
      <c r="F2913" s="45"/>
    </row>
    <row r="2914" spans="4:6" x14ac:dyDescent="0.2">
      <c r="D2914" s="50"/>
      <c r="E2914" s="73"/>
      <c r="F2914" s="45"/>
    </row>
    <row r="2915" spans="4:6" x14ac:dyDescent="0.2">
      <c r="D2915" s="50"/>
      <c r="E2915" s="73"/>
      <c r="F2915" s="45"/>
    </row>
    <row r="2916" spans="4:6" x14ac:dyDescent="0.2">
      <c r="D2916" s="50"/>
      <c r="E2916" s="73"/>
      <c r="F2916" s="45"/>
    </row>
    <row r="2917" spans="4:6" x14ac:dyDescent="0.2">
      <c r="D2917" s="50"/>
      <c r="E2917" s="73"/>
      <c r="F2917" s="45"/>
    </row>
    <row r="2918" spans="4:6" x14ac:dyDescent="0.2">
      <c r="D2918" s="50"/>
      <c r="E2918" s="73"/>
      <c r="F2918" s="45"/>
    </row>
    <row r="2919" spans="4:6" x14ac:dyDescent="0.2">
      <c r="D2919" s="50"/>
      <c r="E2919" s="73"/>
      <c r="F2919" s="45"/>
    </row>
    <row r="2920" spans="4:6" x14ac:dyDescent="0.2">
      <c r="D2920" s="50"/>
      <c r="E2920" s="73"/>
      <c r="F2920" s="45"/>
    </row>
    <row r="2921" spans="4:6" x14ac:dyDescent="0.2">
      <c r="D2921" s="50"/>
      <c r="E2921" s="73"/>
      <c r="F2921" s="45"/>
    </row>
    <row r="2922" spans="4:6" x14ac:dyDescent="0.2">
      <c r="D2922" s="50"/>
      <c r="E2922" s="73"/>
      <c r="F2922" s="45"/>
    </row>
    <row r="2923" spans="4:6" x14ac:dyDescent="0.2">
      <c r="D2923" s="50"/>
      <c r="E2923" s="73"/>
      <c r="F2923" s="45"/>
    </row>
    <row r="2924" spans="4:6" x14ac:dyDescent="0.2">
      <c r="D2924" s="50"/>
      <c r="E2924" s="73"/>
      <c r="F2924" s="45"/>
    </row>
    <row r="2925" spans="4:6" x14ac:dyDescent="0.2">
      <c r="D2925" s="50"/>
      <c r="E2925" s="73"/>
      <c r="F2925" s="45"/>
    </row>
    <row r="2926" spans="4:6" x14ac:dyDescent="0.2">
      <c r="D2926" s="50"/>
      <c r="E2926" s="73"/>
      <c r="F2926" s="45"/>
    </row>
    <row r="2927" spans="4:6" x14ac:dyDescent="0.2">
      <c r="D2927" s="50"/>
      <c r="E2927" s="73"/>
      <c r="F2927" s="45"/>
    </row>
    <row r="2928" spans="4:6" x14ac:dyDescent="0.2">
      <c r="D2928" s="50"/>
      <c r="E2928" s="73"/>
      <c r="F2928" s="45"/>
    </row>
    <row r="2929" spans="4:6" x14ac:dyDescent="0.2">
      <c r="D2929" s="50"/>
      <c r="E2929" s="73"/>
      <c r="F2929" s="45"/>
    </row>
    <row r="2930" spans="4:6" x14ac:dyDescent="0.2">
      <c r="D2930" s="50"/>
      <c r="E2930" s="73"/>
      <c r="F2930" s="45"/>
    </row>
    <row r="2931" spans="4:6" x14ac:dyDescent="0.2">
      <c r="D2931" s="50"/>
      <c r="E2931" s="73"/>
      <c r="F2931" s="45"/>
    </row>
    <row r="2932" spans="4:6" x14ac:dyDescent="0.2">
      <c r="D2932" s="50"/>
      <c r="E2932" s="73"/>
      <c r="F2932" s="45"/>
    </row>
    <row r="2933" spans="4:6" x14ac:dyDescent="0.2">
      <c r="D2933" s="50"/>
      <c r="E2933" s="73"/>
      <c r="F2933" s="45"/>
    </row>
    <row r="2934" spans="4:6" x14ac:dyDescent="0.2">
      <c r="D2934" s="50"/>
      <c r="E2934" s="73"/>
      <c r="F2934" s="45"/>
    </row>
    <row r="2935" spans="4:6" x14ac:dyDescent="0.2">
      <c r="D2935" s="50"/>
      <c r="E2935" s="73"/>
      <c r="F2935" s="45"/>
    </row>
    <row r="2936" spans="4:6" x14ac:dyDescent="0.2">
      <c r="D2936" s="50"/>
      <c r="E2936" s="73"/>
      <c r="F2936" s="45"/>
    </row>
    <row r="2937" spans="4:6" x14ac:dyDescent="0.2">
      <c r="D2937" s="50"/>
      <c r="E2937" s="73"/>
      <c r="F2937" s="45"/>
    </row>
    <row r="2938" spans="4:6" x14ac:dyDescent="0.2">
      <c r="D2938" s="50"/>
      <c r="E2938" s="73"/>
      <c r="F2938" s="45"/>
    </row>
    <row r="2939" spans="4:6" x14ac:dyDescent="0.2">
      <c r="D2939" s="50"/>
      <c r="E2939" s="73"/>
      <c r="F2939" s="45"/>
    </row>
    <row r="2940" spans="4:6" x14ac:dyDescent="0.2">
      <c r="D2940" s="50"/>
      <c r="E2940" s="73"/>
      <c r="F2940" s="45"/>
    </row>
    <row r="2941" spans="4:6" x14ac:dyDescent="0.2">
      <c r="D2941" s="50"/>
      <c r="E2941" s="73"/>
      <c r="F2941" s="45"/>
    </row>
    <row r="2942" spans="4:6" x14ac:dyDescent="0.2">
      <c r="D2942" s="50"/>
      <c r="E2942" s="73"/>
      <c r="F2942" s="45"/>
    </row>
    <row r="2943" spans="4:6" x14ac:dyDescent="0.2">
      <c r="D2943" s="50"/>
      <c r="E2943" s="73"/>
      <c r="F2943" s="45"/>
    </row>
    <row r="2944" spans="4:6" x14ac:dyDescent="0.2">
      <c r="D2944" s="50"/>
      <c r="E2944" s="73"/>
      <c r="F2944" s="45"/>
    </row>
    <row r="2945" spans="4:6" x14ac:dyDescent="0.2">
      <c r="D2945" s="50"/>
      <c r="E2945" s="73"/>
      <c r="F2945" s="45"/>
    </row>
    <row r="2946" spans="4:6" x14ac:dyDescent="0.2">
      <c r="D2946" s="50"/>
      <c r="E2946" s="73"/>
      <c r="F2946" s="45"/>
    </row>
    <row r="2947" spans="4:6" x14ac:dyDescent="0.2">
      <c r="D2947" s="50"/>
      <c r="E2947" s="73"/>
      <c r="F2947" s="45"/>
    </row>
    <row r="2948" spans="4:6" x14ac:dyDescent="0.2">
      <c r="D2948" s="50"/>
      <c r="E2948" s="73"/>
      <c r="F2948" s="45"/>
    </row>
    <row r="2949" spans="4:6" x14ac:dyDescent="0.2">
      <c r="D2949" s="50"/>
      <c r="E2949" s="73"/>
      <c r="F2949" s="45"/>
    </row>
    <row r="2950" spans="4:6" x14ac:dyDescent="0.2">
      <c r="D2950" s="50"/>
      <c r="E2950" s="73"/>
      <c r="F2950" s="45"/>
    </row>
    <row r="2951" spans="4:6" x14ac:dyDescent="0.2">
      <c r="D2951" s="50"/>
      <c r="E2951" s="73"/>
      <c r="F2951" s="45"/>
    </row>
    <row r="2952" spans="4:6" x14ac:dyDescent="0.2">
      <c r="D2952" s="50"/>
      <c r="E2952" s="73"/>
      <c r="F2952" s="45"/>
    </row>
    <row r="2953" spans="4:6" x14ac:dyDescent="0.2">
      <c r="D2953" s="50"/>
      <c r="E2953" s="73"/>
      <c r="F2953" s="45"/>
    </row>
    <row r="2954" spans="4:6" x14ac:dyDescent="0.2">
      <c r="D2954" s="50"/>
      <c r="E2954" s="73"/>
      <c r="F2954" s="45"/>
    </row>
    <row r="2955" spans="4:6" x14ac:dyDescent="0.2">
      <c r="D2955" s="50"/>
      <c r="E2955" s="73"/>
      <c r="F2955" s="45"/>
    </row>
    <row r="2956" spans="4:6" x14ac:dyDescent="0.2">
      <c r="D2956" s="50"/>
      <c r="E2956" s="73"/>
      <c r="F2956" s="45"/>
    </row>
    <row r="2957" spans="4:6" x14ac:dyDescent="0.2">
      <c r="D2957" s="50"/>
      <c r="E2957" s="73"/>
      <c r="F2957" s="45"/>
    </row>
    <row r="2958" spans="4:6" x14ac:dyDescent="0.2">
      <c r="D2958" s="50"/>
      <c r="E2958" s="73"/>
      <c r="F2958" s="45"/>
    </row>
    <row r="2959" spans="4:6" x14ac:dyDescent="0.2">
      <c r="D2959" s="50"/>
      <c r="E2959" s="73"/>
      <c r="F2959" s="45"/>
    </row>
    <row r="2960" spans="4:6" x14ac:dyDescent="0.2">
      <c r="D2960" s="50"/>
      <c r="E2960" s="73"/>
      <c r="F2960" s="45"/>
    </row>
    <row r="2961" spans="4:6" x14ac:dyDescent="0.2">
      <c r="D2961" s="50"/>
      <c r="E2961" s="73"/>
      <c r="F2961" s="45"/>
    </row>
    <row r="2962" spans="4:6" x14ac:dyDescent="0.2">
      <c r="D2962" s="50"/>
      <c r="E2962" s="73"/>
      <c r="F2962" s="45"/>
    </row>
    <row r="2963" spans="4:6" x14ac:dyDescent="0.2">
      <c r="D2963" s="50"/>
      <c r="E2963" s="73"/>
      <c r="F2963" s="45"/>
    </row>
    <row r="2964" spans="4:6" x14ac:dyDescent="0.2">
      <c r="D2964" s="50"/>
      <c r="E2964" s="73"/>
      <c r="F2964" s="45"/>
    </row>
    <row r="2965" spans="4:6" x14ac:dyDescent="0.2">
      <c r="D2965" s="50"/>
      <c r="E2965" s="73"/>
      <c r="F2965" s="45"/>
    </row>
    <row r="2966" spans="4:6" x14ac:dyDescent="0.2">
      <c r="D2966" s="50"/>
      <c r="E2966" s="73"/>
      <c r="F2966" s="45"/>
    </row>
    <row r="2967" spans="4:6" x14ac:dyDescent="0.2">
      <c r="D2967" s="50"/>
      <c r="E2967" s="73"/>
      <c r="F2967" s="45"/>
    </row>
    <row r="2968" spans="4:6" x14ac:dyDescent="0.2">
      <c r="D2968" s="50"/>
      <c r="E2968" s="73"/>
      <c r="F2968" s="45"/>
    </row>
    <row r="2969" spans="4:6" x14ac:dyDescent="0.2">
      <c r="D2969" s="50"/>
      <c r="E2969" s="73"/>
      <c r="F2969" s="45"/>
    </row>
    <row r="2970" spans="4:6" x14ac:dyDescent="0.2">
      <c r="D2970" s="50"/>
      <c r="E2970" s="73"/>
      <c r="F2970" s="45"/>
    </row>
    <row r="2971" spans="4:6" x14ac:dyDescent="0.2">
      <c r="D2971" s="50"/>
      <c r="E2971" s="73"/>
      <c r="F2971" s="45"/>
    </row>
    <row r="2972" spans="4:6" x14ac:dyDescent="0.2">
      <c r="D2972" s="50"/>
      <c r="E2972" s="73"/>
      <c r="F2972" s="45"/>
    </row>
    <row r="2973" spans="4:6" x14ac:dyDescent="0.2">
      <c r="D2973" s="50"/>
      <c r="E2973" s="73"/>
      <c r="F2973" s="45"/>
    </row>
    <row r="2974" spans="4:6" x14ac:dyDescent="0.2">
      <c r="D2974" s="50"/>
      <c r="E2974" s="73"/>
      <c r="F2974" s="45"/>
    </row>
    <row r="2975" spans="4:6" x14ac:dyDescent="0.2">
      <c r="D2975" s="50"/>
      <c r="E2975" s="73"/>
      <c r="F2975" s="45"/>
    </row>
    <row r="2976" spans="4:6" x14ac:dyDescent="0.2">
      <c r="D2976" s="50"/>
      <c r="E2976" s="73"/>
      <c r="F2976" s="45"/>
    </row>
    <row r="2977" spans="4:6" x14ac:dyDescent="0.2">
      <c r="D2977" s="50"/>
      <c r="E2977" s="73"/>
      <c r="F2977" s="45"/>
    </row>
    <row r="2978" spans="4:6" x14ac:dyDescent="0.2">
      <c r="D2978" s="50"/>
      <c r="E2978" s="73"/>
      <c r="F2978" s="45"/>
    </row>
    <row r="2979" spans="4:6" x14ac:dyDescent="0.2">
      <c r="D2979" s="50"/>
      <c r="E2979" s="73"/>
      <c r="F2979" s="45"/>
    </row>
    <row r="2980" spans="4:6" x14ac:dyDescent="0.2">
      <c r="D2980" s="50"/>
      <c r="E2980" s="73"/>
      <c r="F2980" s="45"/>
    </row>
    <row r="2981" spans="4:6" x14ac:dyDescent="0.2">
      <c r="D2981" s="50"/>
      <c r="E2981" s="73"/>
      <c r="F2981" s="45"/>
    </row>
    <row r="2982" spans="4:6" x14ac:dyDescent="0.2">
      <c r="D2982" s="50"/>
      <c r="E2982" s="73"/>
      <c r="F2982" s="45"/>
    </row>
    <row r="2983" spans="4:6" x14ac:dyDescent="0.2">
      <c r="D2983" s="50"/>
      <c r="E2983" s="73"/>
      <c r="F2983" s="45"/>
    </row>
    <row r="2984" spans="4:6" x14ac:dyDescent="0.2">
      <c r="D2984" s="50"/>
      <c r="E2984" s="73"/>
      <c r="F2984" s="45"/>
    </row>
    <row r="2985" spans="4:6" x14ac:dyDescent="0.2">
      <c r="D2985" s="50"/>
      <c r="E2985" s="73"/>
      <c r="F2985" s="45"/>
    </row>
    <row r="2986" spans="4:6" x14ac:dyDescent="0.2">
      <c r="D2986" s="50"/>
      <c r="E2986" s="73"/>
      <c r="F2986" s="45"/>
    </row>
    <row r="2987" spans="4:6" x14ac:dyDescent="0.2">
      <c r="D2987" s="50"/>
      <c r="E2987" s="73"/>
      <c r="F2987" s="45"/>
    </row>
    <row r="2988" spans="4:6" x14ac:dyDescent="0.2">
      <c r="D2988" s="50"/>
      <c r="E2988" s="73"/>
      <c r="F2988" s="45"/>
    </row>
    <row r="2989" spans="4:6" x14ac:dyDescent="0.2">
      <c r="D2989" s="50"/>
      <c r="E2989" s="73"/>
      <c r="F2989" s="45"/>
    </row>
    <row r="2990" spans="4:6" x14ac:dyDescent="0.2">
      <c r="D2990" s="50"/>
      <c r="E2990" s="73"/>
      <c r="F2990" s="45"/>
    </row>
    <row r="2991" spans="4:6" x14ac:dyDescent="0.2">
      <c r="D2991" s="50"/>
      <c r="E2991" s="73"/>
      <c r="F2991" s="45"/>
    </row>
    <row r="2992" spans="4:6" x14ac:dyDescent="0.2">
      <c r="D2992" s="50"/>
      <c r="E2992" s="73"/>
      <c r="F2992" s="45"/>
    </row>
    <row r="2993" spans="4:6" x14ac:dyDescent="0.2">
      <c r="D2993" s="50"/>
      <c r="E2993" s="73"/>
      <c r="F2993" s="45"/>
    </row>
    <row r="2994" spans="4:6" x14ac:dyDescent="0.2">
      <c r="D2994" s="50"/>
      <c r="E2994" s="73"/>
      <c r="F2994" s="45"/>
    </row>
    <row r="2995" spans="4:6" x14ac:dyDescent="0.2">
      <c r="D2995" s="50"/>
      <c r="E2995" s="73"/>
      <c r="F2995" s="45"/>
    </row>
    <row r="2996" spans="4:6" x14ac:dyDescent="0.2">
      <c r="D2996" s="50"/>
      <c r="E2996" s="73"/>
      <c r="F2996" s="45"/>
    </row>
    <row r="2997" spans="4:6" x14ac:dyDescent="0.2">
      <c r="D2997" s="50"/>
      <c r="E2997" s="73"/>
      <c r="F2997" s="45"/>
    </row>
    <row r="2998" spans="4:6" x14ac:dyDescent="0.2">
      <c r="D2998" s="50"/>
      <c r="E2998" s="73"/>
      <c r="F2998" s="45"/>
    </row>
    <row r="2999" spans="4:6" x14ac:dyDescent="0.2">
      <c r="D2999" s="50"/>
      <c r="E2999" s="73"/>
      <c r="F2999" s="45"/>
    </row>
    <row r="3000" spans="4:6" x14ac:dyDescent="0.2">
      <c r="D3000" s="50"/>
      <c r="E3000" s="73"/>
      <c r="F3000" s="45"/>
    </row>
    <row r="3001" spans="4:6" x14ac:dyDescent="0.2">
      <c r="D3001" s="50"/>
      <c r="E3001" s="73"/>
      <c r="F3001" s="45"/>
    </row>
    <row r="3002" spans="4:6" x14ac:dyDescent="0.2">
      <c r="D3002" s="50"/>
      <c r="E3002" s="73"/>
      <c r="F3002" s="45"/>
    </row>
    <row r="3003" spans="4:6" x14ac:dyDescent="0.2">
      <c r="D3003" s="50"/>
      <c r="E3003" s="73"/>
      <c r="F3003" s="45"/>
    </row>
    <row r="3004" spans="4:6" x14ac:dyDescent="0.2">
      <c r="D3004" s="50"/>
      <c r="E3004" s="73"/>
      <c r="F3004" s="45"/>
    </row>
    <row r="3005" spans="4:6" x14ac:dyDescent="0.2">
      <c r="D3005" s="50"/>
      <c r="E3005" s="73"/>
      <c r="F3005" s="45"/>
    </row>
    <row r="3006" spans="4:6" x14ac:dyDescent="0.2">
      <c r="D3006" s="50"/>
      <c r="E3006" s="73"/>
      <c r="F3006" s="45"/>
    </row>
    <row r="3007" spans="4:6" x14ac:dyDescent="0.2">
      <c r="D3007" s="50"/>
      <c r="E3007" s="73"/>
      <c r="F3007" s="45"/>
    </row>
    <row r="3008" spans="4:6" x14ac:dyDescent="0.2">
      <c r="D3008" s="50"/>
      <c r="E3008" s="73"/>
      <c r="F3008" s="45"/>
    </row>
    <row r="3009" spans="4:6" x14ac:dyDescent="0.2">
      <c r="D3009" s="50"/>
      <c r="E3009" s="73"/>
      <c r="F3009" s="45"/>
    </row>
    <row r="3010" spans="4:6" x14ac:dyDescent="0.2">
      <c r="D3010" s="50"/>
      <c r="E3010" s="73"/>
      <c r="F3010" s="45"/>
    </row>
    <row r="3011" spans="4:6" x14ac:dyDescent="0.2">
      <c r="D3011" s="50"/>
      <c r="E3011" s="73"/>
      <c r="F3011" s="45"/>
    </row>
    <row r="3012" spans="4:6" x14ac:dyDescent="0.2">
      <c r="D3012" s="50"/>
      <c r="E3012" s="73"/>
      <c r="F3012" s="45"/>
    </row>
    <row r="3013" spans="4:6" x14ac:dyDescent="0.2">
      <c r="D3013" s="50"/>
      <c r="E3013" s="73"/>
      <c r="F3013" s="45"/>
    </row>
    <row r="3014" spans="4:6" x14ac:dyDescent="0.2">
      <c r="D3014" s="50"/>
      <c r="E3014" s="73"/>
      <c r="F3014" s="45"/>
    </row>
    <row r="3015" spans="4:6" x14ac:dyDescent="0.2">
      <c r="D3015" s="50"/>
      <c r="E3015" s="73"/>
      <c r="F3015" s="45"/>
    </row>
    <row r="3016" spans="4:6" x14ac:dyDescent="0.2">
      <c r="D3016" s="50"/>
      <c r="E3016" s="73"/>
      <c r="F3016" s="45"/>
    </row>
    <row r="3017" spans="4:6" x14ac:dyDescent="0.2">
      <c r="D3017" s="50"/>
      <c r="E3017" s="73"/>
      <c r="F3017" s="45"/>
    </row>
    <row r="3018" spans="4:6" x14ac:dyDescent="0.2">
      <c r="D3018" s="50"/>
      <c r="E3018" s="73"/>
      <c r="F3018" s="45"/>
    </row>
    <row r="3019" spans="4:6" x14ac:dyDescent="0.2">
      <c r="D3019" s="50"/>
      <c r="E3019" s="73"/>
      <c r="F3019" s="45"/>
    </row>
    <row r="3020" spans="4:6" x14ac:dyDescent="0.2">
      <c r="D3020" s="50"/>
      <c r="E3020" s="73"/>
      <c r="F3020" s="45"/>
    </row>
    <row r="3021" spans="4:6" x14ac:dyDescent="0.2">
      <c r="D3021" s="50"/>
      <c r="E3021" s="73"/>
      <c r="F3021" s="45"/>
    </row>
    <row r="3022" spans="4:6" x14ac:dyDescent="0.2">
      <c r="D3022" s="50"/>
      <c r="E3022" s="73"/>
      <c r="F3022" s="45"/>
    </row>
    <row r="3023" spans="4:6" x14ac:dyDescent="0.2">
      <c r="D3023" s="50"/>
      <c r="E3023" s="73"/>
      <c r="F3023" s="45"/>
    </row>
    <row r="3024" spans="4:6" x14ac:dyDescent="0.2">
      <c r="D3024" s="50"/>
      <c r="E3024" s="73"/>
      <c r="F3024" s="45"/>
    </row>
    <row r="3025" spans="4:6" x14ac:dyDescent="0.2">
      <c r="D3025" s="50"/>
      <c r="E3025" s="73"/>
      <c r="F3025" s="45"/>
    </row>
    <row r="3026" spans="4:6" x14ac:dyDescent="0.2">
      <c r="D3026" s="50"/>
      <c r="E3026" s="73"/>
      <c r="F3026" s="45"/>
    </row>
    <row r="3027" spans="4:6" x14ac:dyDescent="0.2">
      <c r="D3027" s="50"/>
      <c r="E3027" s="73"/>
      <c r="F3027" s="45"/>
    </row>
    <row r="3028" spans="4:6" x14ac:dyDescent="0.2">
      <c r="D3028" s="50"/>
      <c r="E3028" s="73"/>
      <c r="F3028" s="45"/>
    </row>
    <row r="3029" spans="4:6" x14ac:dyDescent="0.2">
      <c r="D3029" s="50"/>
      <c r="E3029" s="73"/>
      <c r="F3029" s="45"/>
    </row>
    <row r="3030" spans="4:6" x14ac:dyDescent="0.2">
      <c r="D3030" s="50"/>
      <c r="E3030" s="73"/>
      <c r="F3030" s="45"/>
    </row>
    <row r="3031" spans="4:6" x14ac:dyDescent="0.2">
      <c r="D3031" s="50"/>
      <c r="E3031" s="73"/>
      <c r="F3031" s="45"/>
    </row>
    <row r="3032" spans="4:6" x14ac:dyDescent="0.2">
      <c r="D3032" s="50"/>
      <c r="E3032" s="73"/>
      <c r="F3032" s="45"/>
    </row>
    <row r="3033" spans="4:6" x14ac:dyDescent="0.2">
      <c r="D3033" s="50"/>
      <c r="E3033" s="73"/>
      <c r="F3033" s="45"/>
    </row>
    <row r="3034" spans="4:6" x14ac:dyDescent="0.2">
      <c r="D3034" s="50"/>
      <c r="E3034" s="73"/>
      <c r="F3034" s="45"/>
    </row>
    <row r="3035" spans="4:6" x14ac:dyDescent="0.2">
      <c r="D3035" s="50"/>
      <c r="E3035" s="73"/>
      <c r="F3035" s="45"/>
    </row>
    <row r="3036" spans="4:6" x14ac:dyDescent="0.2">
      <c r="D3036" s="50"/>
      <c r="E3036" s="73"/>
      <c r="F3036" s="45"/>
    </row>
    <row r="3037" spans="4:6" x14ac:dyDescent="0.2">
      <c r="D3037" s="50"/>
      <c r="E3037" s="73"/>
      <c r="F3037" s="45"/>
    </row>
    <row r="3038" spans="4:6" x14ac:dyDescent="0.2">
      <c r="D3038" s="50"/>
      <c r="E3038" s="73"/>
      <c r="F3038" s="45"/>
    </row>
    <row r="3039" spans="4:6" x14ac:dyDescent="0.2">
      <c r="D3039" s="50"/>
      <c r="E3039" s="73"/>
      <c r="F3039" s="45"/>
    </row>
    <row r="3040" spans="4:6" x14ac:dyDescent="0.2">
      <c r="D3040" s="50"/>
      <c r="E3040" s="73"/>
      <c r="F3040" s="45"/>
    </row>
    <row r="3041" spans="4:6" x14ac:dyDescent="0.2">
      <c r="D3041" s="50"/>
      <c r="E3041" s="73"/>
      <c r="F3041" s="45"/>
    </row>
    <row r="3042" spans="4:6" x14ac:dyDescent="0.2">
      <c r="D3042" s="50"/>
      <c r="E3042" s="73"/>
      <c r="F3042" s="45"/>
    </row>
    <row r="3043" spans="4:6" x14ac:dyDescent="0.2">
      <c r="D3043" s="50"/>
      <c r="E3043" s="73"/>
      <c r="F3043" s="45"/>
    </row>
    <row r="3044" spans="4:6" x14ac:dyDescent="0.2">
      <c r="D3044" s="50"/>
      <c r="E3044" s="73"/>
      <c r="F3044" s="45"/>
    </row>
    <row r="3045" spans="4:6" x14ac:dyDescent="0.2">
      <c r="D3045" s="50"/>
      <c r="E3045" s="73"/>
      <c r="F3045" s="45"/>
    </row>
    <row r="3046" spans="4:6" x14ac:dyDescent="0.2">
      <c r="D3046" s="50"/>
      <c r="E3046" s="73"/>
      <c r="F3046" s="45"/>
    </row>
    <row r="3047" spans="4:6" x14ac:dyDescent="0.2">
      <c r="D3047" s="50"/>
      <c r="E3047" s="73"/>
      <c r="F3047" s="45"/>
    </row>
    <row r="3048" spans="4:6" x14ac:dyDescent="0.2">
      <c r="D3048" s="50"/>
      <c r="E3048" s="73"/>
      <c r="F3048" s="45"/>
    </row>
    <row r="3049" spans="4:6" x14ac:dyDescent="0.2">
      <c r="D3049" s="50"/>
      <c r="E3049" s="73"/>
      <c r="F3049" s="45"/>
    </row>
    <row r="3050" spans="4:6" x14ac:dyDescent="0.2">
      <c r="D3050" s="50"/>
      <c r="E3050" s="73"/>
      <c r="F3050" s="45"/>
    </row>
    <row r="3051" spans="4:6" x14ac:dyDescent="0.2">
      <c r="D3051" s="50"/>
      <c r="E3051" s="73"/>
      <c r="F3051" s="45"/>
    </row>
    <row r="3052" spans="4:6" x14ac:dyDescent="0.2">
      <c r="D3052" s="50"/>
      <c r="E3052" s="73"/>
      <c r="F3052" s="45"/>
    </row>
    <row r="3053" spans="4:6" x14ac:dyDescent="0.2">
      <c r="D3053" s="50"/>
      <c r="E3053" s="73"/>
      <c r="F3053" s="45"/>
    </row>
    <row r="3054" spans="4:6" x14ac:dyDescent="0.2">
      <c r="D3054" s="50"/>
      <c r="E3054" s="73"/>
      <c r="F3054" s="45"/>
    </row>
    <row r="3055" spans="4:6" x14ac:dyDescent="0.2">
      <c r="D3055" s="50"/>
      <c r="E3055" s="73"/>
      <c r="F3055" s="45"/>
    </row>
    <row r="3056" spans="4:6" x14ac:dyDescent="0.2">
      <c r="D3056" s="50"/>
      <c r="E3056" s="73"/>
      <c r="F3056" s="45"/>
    </row>
    <row r="3057" spans="4:6" x14ac:dyDescent="0.2">
      <c r="D3057" s="50"/>
      <c r="E3057" s="73"/>
      <c r="F3057" s="45"/>
    </row>
    <row r="3058" spans="4:6" x14ac:dyDescent="0.2">
      <c r="D3058" s="50"/>
      <c r="E3058" s="73"/>
      <c r="F3058" s="45"/>
    </row>
    <row r="3059" spans="4:6" x14ac:dyDescent="0.2">
      <c r="D3059" s="50"/>
      <c r="E3059" s="73"/>
      <c r="F3059" s="45"/>
    </row>
    <row r="3060" spans="4:6" x14ac:dyDescent="0.2">
      <c r="D3060" s="50"/>
      <c r="E3060" s="73"/>
      <c r="F3060" s="45"/>
    </row>
    <row r="3061" spans="4:6" x14ac:dyDescent="0.2">
      <c r="D3061" s="50"/>
      <c r="E3061" s="73"/>
      <c r="F3061" s="45"/>
    </row>
    <row r="3062" spans="4:6" x14ac:dyDescent="0.2">
      <c r="D3062" s="50"/>
      <c r="E3062" s="73"/>
      <c r="F3062" s="45"/>
    </row>
    <row r="3063" spans="4:6" x14ac:dyDescent="0.2">
      <c r="D3063" s="50"/>
      <c r="E3063" s="73"/>
      <c r="F3063" s="45"/>
    </row>
    <row r="3064" spans="4:6" x14ac:dyDescent="0.2">
      <c r="D3064" s="50"/>
      <c r="E3064" s="73"/>
      <c r="F3064" s="45"/>
    </row>
    <row r="3065" spans="4:6" x14ac:dyDescent="0.2">
      <c r="D3065" s="50"/>
      <c r="E3065" s="73"/>
      <c r="F3065" s="45"/>
    </row>
    <row r="3066" spans="4:6" x14ac:dyDescent="0.2">
      <c r="D3066" s="50"/>
      <c r="E3066" s="73"/>
      <c r="F3066" s="45"/>
    </row>
    <row r="3067" spans="4:6" x14ac:dyDescent="0.2">
      <c r="D3067" s="50"/>
      <c r="E3067" s="73"/>
      <c r="F3067" s="45"/>
    </row>
    <row r="3068" spans="4:6" x14ac:dyDescent="0.2">
      <c r="D3068" s="50"/>
      <c r="E3068" s="73"/>
      <c r="F3068" s="45"/>
    </row>
    <row r="3069" spans="4:6" x14ac:dyDescent="0.2">
      <c r="D3069" s="50"/>
      <c r="E3069" s="73"/>
      <c r="F3069" s="45"/>
    </row>
    <row r="3070" spans="4:6" x14ac:dyDescent="0.2">
      <c r="D3070" s="50"/>
      <c r="E3070" s="73"/>
      <c r="F3070" s="45"/>
    </row>
    <row r="3071" spans="4:6" x14ac:dyDescent="0.2">
      <c r="D3071" s="50"/>
      <c r="E3071" s="73"/>
      <c r="F3071" s="45"/>
    </row>
    <row r="3072" spans="4:6" x14ac:dyDescent="0.2">
      <c r="D3072" s="50"/>
      <c r="E3072" s="73"/>
      <c r="F3072" s="45"/>
    </row>
    <row r="3073" spans="4:6" x14ac:dyDescent="0.2">
      <c r="D3073" s="50"/>
      <c r="E3073" s="73"/>
      <c r="F3073" s="45"/>
    </row>
    <row r="3074" spans="4:6" x14ac:dyDescent="0.2">
      <c r="D3074" s="50"/>
      <c r="E3074" s="73"/>
      <c r="F3074" s="45"/>
    </row>
    <row r="3075" spans="4:6" x14ac:dyDescent="0.2">
      <c r="D3075" s="50"/>
      <c r="E3075" s="73"/>
      <c r="F3075" s="45"/>
    </row>
    <row r="3076" spans="4:6" x14ac:dyDescent="0.2">
      <c r="D3076" s="50"/>
      <c r="E3076" s="73"/>
      <c r="F3076" s="45"/>
    </row>
    <row r="3077" spans="4:6" x14ac:dyDescent="0.2">
      <c r="D3077" s="50"/>
      <c r="E3077" s="73"/>
      <c r="F3077" s="45"/>
    </row>
    <row r="3078" spans="4:6" x14ac:dyDescent="0.2">
      <c r="D3078" s="50"/>
      <c r="E3078" s="73"/>
      <c r="F3078" s="45"/>
    </row>
    <row r="3079" spans="4:6" x14ac:dyDescent="0.2">
      <c r="D3079" s="50"/>
      <c r="E3079" s="73"/>
      <c r="F3079" s="45"/>
    </row>
    <row r="3080" spans="4:6" x14ac:dyDescent="0.2">
      <c r="D3080" s="50"/>
      <c r="E3080" s="73"/>
      <c r="F3080" s="45"/>
    </row>
    <row r="3081" spans="4:6" x14ac:dyDescent="0.2">
      <c r="D3081" s="50"/>
      <c r="E3081" s="73"/>
      <c r="F3081" s="45"/>
    </row>
    <row r="3082" spans="4:6" x14ac:dyDescent="0.2">
      <c r="D3082" s="50"/>
      <c r="E3082" s="73"/>
      <c r="F3082" s="45"/>
    </row>
    <row r="3083" spans="4:6" x14ac:dyDescent="0.2">
      <c r="D3083" s="50"/>
      <c r="E3083" s="73"/>
      <c r="F3083" s="45"/>
    </row>
    <row r="3084" spans="4:6" x14ac:dyDescent="0.2">
      <c r="D3084" s="50"/>
      <c r="E3084" s="73"/>
      <c r="F3084" s="45"/>
    </row>
    <row r="3085" spans="4:6" x14ac:dyDescent="0.2">
      <c r="D3085" s="50"/>
      <c r="E3085" s="73"/>
      <c r="F3085" s="45"/>
    </row>
    <row r="3086" spans="4:6" x14ac:dyDescent="0.2">
      <c r="D3086" s="50"/>
      <c r="E3086" s="73"/>
      <c r="F3086" s="45"/>
    </row>
    <row r="3087" spans="4:6" x14ac:dyDescent="0.2">
      <c r="D3087" s="50"/>
      <c r="E3087" s="73"/>
      <c r="F3087" s="45"/>
    </row>
    <row r="3088" spans="4:6" x14ac:dyDescent="0.2">
      <c r="D3088" s="50"/>
      <c r="E3088" s="73"/>
      <c r="F3088" s="45"/>
    </row>
    <row r="3089" spans="4:6" x14ac:dyDescent="0.2">
      <c r="D3089" s="50"/>
      <c r="E3089" s="73"/>
      <c r="F3089" s="45"/>
    </row>
    <row r="3090" spans="4:6" x14ac:dyDescent="0.2">
      <c r="D3090" s="50"/>
      <c r="E3090" s="73"/>
      <c r="F3090" s="45"/>
    </row>
    <row r="3091" spans="4:6" x14ac:dyDescent="0.2">
      <c r="D3091" s="50"/>
      <c r="E3091" s="73"/>
      <c r="F3091" s="45"/>
    </row>
    <row r="3092" spans="4:6" x14ac:dyDescent="0.2">
      <c r="D3092" s="50"/>
      <c r="E3092" s="73"/>
      <c r="F3092" s="45"/>
    </row>
    <row r="3093" spans="4:6" x14ac:dyDescent="0.2">
      <c r="D3093" s="50"/>
      <c r="E3093" s="73"/>
      <c r="F3093" s="45"/>
    </row>
    <row r="3094" spans="4:6" x14ac:dyDescent="0.2">
      <c r="D3094" s="50"/>
      <c r="E3094" s="73"/>
      <c r="F3094" s="45"/>
    </row>
    <row r="3095" spans="4:6" x14ac:dyDescent="0.2">
      <c r="D3095" s="50"/>
      <c r="E3095" s="73"/>
      <c r="F3095" s="45"/>
    </row>
    <row r="3096" spans="4:6" x14ac:dyDescent="0.2">
      <c r="D3096" s="50"/>
      <c r="E3096" s="73"/>
      <c r="F3096" s="45"/>
    </row>
    <row r="3097" spans="4:6" x14ac:dyDescent="0.2">
      <c r="D3097" s="50"/>
      <c r="E3097" s="73"/>
      <c r="F3097" s="45"/>
    </row>
    <row r="3098" spans="4:6" x14ac:dyDescent="0.2">
      <c r="D3098" s="50"/>
      <c r="E3098" s="73"/>
      <c r="F3098" s="45"/>
    </row>
    <row r="3099" spans="4:6" x14ac:dyDescent="0.2">
      <c r="D3099" s="50"/>
      <c r="E3099" s="73"/>
      <c r="F3099" s="45"/>
    </row>
    <row r="3100" spans="4:6" x14ac:dyDescent="0.2">
      <c r="D3100" s="50"/>
      <c r="E3100" s="73"/>
      <c r="F3100" s="45"/>
    </row>
    <row r="3101" spans="4:6" x14ac:dyDescent="0.2">
      <c r="D3101" s="50"/>
      <c r="E3101" s="73"/>
      <c r="F3101" s="45"/>
    </row>
    <row r="3102" spans="4:6" x14ac:dyDescent="0.2">
      <c r="D3102" s="50"/>
      <c r="E3102" s="73"/>
      <c r="F3102" s="45"/>
    </row>
    <row r="3103" spans="4:6" x14ac:dyDescent="0.2">
      <c r="D3103" s="50"/>
      <c r="E3103" s="73"/>
      <c r="F3103" s="45"/>
    </row>
    <row r="3104" spans="4:6" x14ac:dyDescent="0.2">
      <c r="D3104" s="50"/>
      <c r="E3104" s="73"/>
      <c r="F3104" s="45"/>
    </row>
    <row r="3105" spans="4:6" x14ac:dyDescent="0.2">
      <c r="D3105" s="50"/>
      <c r="E3105" s="73"/>
      <c r="F3105" s="45"/>
    </row>
    <row r="3106" spans="4:6" x14ac:dyDescent="0.2">
      <c r="D3106" s="50"/>
      <c r="E3106" s="73"/>
      <c r="F3106" s="45"/>
    </row>
    <row r="3107" spans="4:6" x14ac:dyDescent="0.2">
      <c r="D3107" s="50"/>
      <c r="E3107" s="73"/>
      <c r="F3107" s="45"/>
    </row>
    <row r="3108" spans="4:6" x14ac:dyDescent="0.2">
      <c r="D3108" s="50"/>
      <c r="E3108" s="73"/>
      <c r="F3108" s="45"/>
    </row>
    <row r="3109" spans="4:6" x14ac:dyDescent="0.2">
      <c r="D3109" s="50"/>
      <c r="E3109" s="73"/>
      <c r="F3109" s="45"/>
    </row>
    <row r="3110" spans="4:6" x14ac:dyDescent="0.2">
      <c r="D3110" s="50"/>
      <c r="E3110" s="73"/>
      <c r="F3110" s="45"/>
    </row>
    <row r="3111" spans="4:6" x14ac:dyDescent="0.2">
      <c r="D3111" s="50"/>
      <c r="E3111" s="73"/>
      <c r="F3111" s="45"/>
    </row>
    <row r="3112" spans="4:6" x14ac:dyDescent="0.2">
      <c r="D3112" s="50"/>
      <c r="E3112" s="73"/>
      <c r="F3112" s="45"/>
    </row>
    <row r="3113" spans="4:6" x14ac:dyDescent="0.2">
      <c r="D3113" s="50"/>
      <c r="E3113" s="73"/>
      <c r="F3113" s="45"/>
    </row>
    <row r="3114" spans="4:6" x14ac:dyDescent="0.2">
      <c r="D3114" s="50"/>
      <c r="E3114" s="73"/>
      <c r="F3114" s="45"/>
    </row>
    <row r="3115" spans="4:6" x14ac:dyDescent="0.2">
      <c r="D3115" s="50"/>
      <c r="E3115" s="73"/>
      <c r="F3115" s="45"/>
    </row>
    <row r="3116" spans="4:6" x14ac:dyDescent="0.2">
      <c r="D3116" s="50"/>
      <c r="E3116" s="73"/>
      <c r="F3116" s="45"/>
    </row>
    <row r="3117" spans="4:6" x14ac:dyDescent="0.2">
      <c r="D3117" s="50"/>
      <c r="E3117" s="73"/>
      <c r="F3117" s="45"/>
    </row>
    <row r="3118" spans="4:6" x14ac:dyDescent="0.2">
      <c r="D3118" s="50"/>
      <c r="E3118" s="73"/>
      <c r="F3118" s="45"/>
    </row>
    <row r="3119" spans="4:6" x14ac:dyDescent="0.2">
      <c r="D3119" s="50"/>
      <c r="E3119" s="73"/>
      <c r="F3119" s="45"/>
    </row>
    <row r="3120" spans="4:6" x14ac:dyDescent="0.2">
      <c r="D3120" s="50"/>
      <c r="E3120" s="73"/>
      <c r="F3120" s="45"/>
    </row>
    <row r="3121" spans="4:6" x14ac:dyDescent="0.2">
      <c r="D3121" s="50"/>
      <c r="E3121" s="73"/>
      <c r="F3121" s="45"/>
    </row>
    <row r="3122" spans="4:6" x14ac:dyDescent="0.2">
      <c r="D3122" s="50"/>
      <c r="E3122" s="73"/>
      <c r="F3122" s="45"/>
    </row>
    <row r="3123" spans="4:6" x14ac:dyDescent="0.2">
      <c r="D3123" s="50"/>
      <c r="E3123" s="73"/>
      <c r="F3123" s="45"/>
    </row>
    <row r="3124" spans="4:6" x14ac:dyDescent="0.2">
      <c r="D3124" s="50"/>
      <c r="E3124" s="73"/>
      <c r="F3124" s="45"/>
    </row>
    <row r="3125" spans="4:6" x14ac:dyDescent="0.2">
      <c r="D3125" s="50"/>
      <c r="E3125" s="73"/>
      <c r="F3125" s="45"/>
    </row>
    <row r="3126" spans="4:6" x14ac:dyDescent="0.2">
      <c r="D3126" s="50"/>
      <c r="E3126" s="73"/>
      <c r="F3126" s="45"/>
    </row>
    <row r="3127" spans="4:6" x14ac:dyDescent="0.2">
      <c r="D3127" s="50"/>
      <c r="E3127" s="73"/>
      <c r="F3127" s="45"/>
    </row>
    <row r="3128" spans="4:6" x14ac:dyDescent="0.2">
      <c r="D3128" s="50"/>
      <c r="E3128" s="73"/>
      <c r="F3128" s="45"/>
    </row>
    <row r="3129" spans="4:6" x14ac:dyDescent="0.2">
      <c r="D3129" s="50"/>
      <c r="E3129" s="73"/>
      <c r="F3129" s="45"/>
    </row>
    <row r="3130" spans="4:6" x14ac:dyDescent="0.2">
      <c r="D3130" s="50"/>
      <c r="E3130" s="73"/>
      <c r="F3130" s="45"/>
    </row>
    <row r="3131" spans="4:6" x14ac:dyDescent="0.2">
      <c r="D3131" s="50"/>
      <c r="E3131" s="73"/>
      <c r="F3131" s="45"/>
    </row>
    <row r="3132" spans="4:6" x14ac:dyDescent="0.2">
      <c r="D3132" s="50"/>
      <c r="E3132" s="73"/>
      <c r="F3132" s="45"/>
    </row>
    <row r="3133" spans="4:6" x14ac:dyDescent="0.2">
      <c r="D3133" s="50"/>
      <c r="E3133" s="73"/>
      <c r="F3133" s="45"/>
    </row>
    <row r="3134" spans="4:6" x14ac:dyDescent="0.2">
      <c r="D3134" s="50"/>
      <c r="E3134" s="73"/>
      <c r="F3134" s="45"/>
    </row>
    <row r="3135" spans="4:6" x14ac:dyDescent="0.2">
      <c r="D3135" s="50"/>
      <c r="E3135" s="73"/>
      <c r="F3135" s="45"/>
    </row>
    <row r="3136" spans="4:6" x14ac:dyDescent="0.2">
      <c r="D3136" s="50"/>
      <c r="E3136" s="73"/>
      <c r="F3136" s="45"/>
    </row>
    <row r="3137" spans="4:6" x14ac:dyDescent="0.2">
      <c r="D3137" s="50"/>
      <c r="E3137" s="73"/>
      <c r="F3137" s="45"/>
    </row>
    <row r="3138" spans="4:6" x14ac:dyDescent="0.2">
      <c r="D3138" s="50"/>
      <c r="E3138" s="73"/>
      <c r="F3138" s="45"/>
    </row>
    <row r="3139" spans="4:6" x14ac:dyDescent="0.2">
      <c r="D3139" s="50"/>
      <c r="E3139" s="73"/>
      <c r="F3139" s="45"/>
    </row>
    <row r="3140" spans="4:6" x14ac:dyDescent="0.2">
      <c r="D3140" s="50"/>
      <c r="E3140" s="73"/>
      <c r="F3140" s="45"/>
    </row>
    <row r="3141" spans="4:6" x14ac:dyDescent="0.2">
      <c r="D3141" s="50"/>
      <c r="E3141" s="73"/>
      <c r="F3141" s="45"/>
    </row>
    <row r="3142" spans="4:6" x14ac:dyDescent="0.2">
      <c r="D3142" s="50"/>
      <c r="E3142" s="73"/>
      <c r="F3142" s="45"/>
    </row>
    <row r="3143" spans="4:6" x14ac:dyDescent="0.2">
      <c r="D3143" s="50"/>
      <c r="E3143" s="73"/>
      <c r="F3143" s="45"/>
    </row>
    <row r="3144" spans="4:6" x14ac:dyDescent="0.2">
      <c r="D3144" s="50"/>
      <c r="E3144" s="73"/>
      <c r="F3144" s="45"/>
    </row>
    <row r="3145" spans="4:6" x14ac:dyDescent="0.2">
      <c r="D3145" s="50"/>
      <c r="E3145" s="73"/>
      <c r="F3145" s="45"/>
    </row>
    <row r="3146" spans="4:6" x14ac:dyDescent="0.2">
      <c r="D3146" s="50"/>
      <c r="E3146" s="73"/>
      <c r="F3146" s="45"/>
    </row>
    <row r="3147" spans="4:6" x14ac:dyDescent="0.2">
      <c r="D3147" s="50"/>
      <c r="E3147" s="73"/>
      <c r="F3147" s="45"/>
    </row>
    <row r="3148" spans="4:6" x14ac:dyDescent="0.2">
      <c r="D3148" s="50"/>
      <c r="E3148" s="73"/>
      <c r="F3148" s="45"/>
    </row>
    <row r="3149" spans="4:6" x14ac:dyDescent="0.2">
      <c r="D3149" s="50"/>
      <c r="E3149" s="73"/>
      <c r="F3149" s="45"/>
    </row>
    <row r="3150" spans="4:6" x14ac:dyDescent="0.2">
      <c r="D3150" s="50"/>
      <c r="E3150" s="73"/>
      <c r="F3150" s="45"/>
    </row>
    <row r="3151" spans="4:6" x14ac:dyDescent="0.2">
      <c r="D3151" s="50"/>
      <c r="E3151" s="73"/>
      <c r="F3151" s="45"/>
    </row>
    <row r="3152" spans="4:6" x14ac:dyDescent="0.2">
      <c r="D3152" s="50"/>
      <c r="E3152" s="73"/>
      <c r="F3152" s="45"/>
    </row>
    <row r="3153" spans="4:6" x14ac:dyDescent="0.2">
      <c r="D3153" s="50"/>
      <c r="E3153" s="73"/>
      <c r="F3153" s="45"/>
    </row>
    <row r="3154" spans="4:6" x14ac:dyDescent="0.2">
      <c r="D3154" s="50"/>
      <c r="E3154" s="73"/>
      <c r="F3154" s="45"/>
    </row>
    <row r="3155" spans="4:6" x14ac:dyDescent="0.2">
      <c r="D3155" s="50"/>
      <c r="E3155" s="73"/>
      <c r="F3155" s="45"/>
    </row>
    <row r="3156" spans="4:6" x14ac:dyDescent="0.2">
      <c r="D3156" s="50"/>
      <c r="E3156" s="73"/>
      <c r="F3156" s="45"/>
    </row>
    <row r="3157" spans="4:6" x14ac:dyDescent="0.2">
      <c r="D3157" s="50"/>
      <c r="E3157" s="73"/>
      <c r="F3157" s="45"/>
    </row>
    <row r="3158" spans="4:6" x14ac:dyDescent="0.2">
      <c r="D3158" s="50"/>
      <c r="E3158" s="73"/>
      <c r="F3158" s="45"/>
    </row>
    <row r="3159" spans="4:6" x14ac:dyDescent="0.2">
      <c r="D3159" s="50"/>
      <c r="E3159" s="73"/>
      <c r="F3159" s="45"/>
    </row>
    <row r="3160" spans="4:6" x14ac:dyDescent="0.2">
      <c r="D3160" s="50"/>
      <c r="E3160" s="73"/>
      <c r="F3160" s="45"/>
    </row>
    <row r="3161" spans="4:6" x14ac:dyDescent="0.2">
      <c r="D3161" s="50"/>
      <c r="E3161" s="73"/>
      <c r="F3161" s="45"/>
    </row>
    <row r="3162" spans="4:6" x14ac:dyDescent="0.2">
      <c r="D3162" s="50"/>
      <c r="E3162" s="73"/>
      <c r="F3162" s="45"/>
    </row>
    <row r="3163" spans="4:6" x14ac:dyDescent="0.2">
      <c r="D3163" s="50"/>
      <c r="E3163" s="73"/>
      <c r="F3163" s="45"/>
    </row>
    <row r="3164" spans="4:6" x14ac:dyDescent="0.2">
      <c r="D3164" s="50"/>
      <c r="E3164" s="73"/>
      <c r="F3164" s="45"/>
    </row>
    <row r="3165" spans="4:6" x14ac:dyDescent="0.2">
      <c r="D3165" s="50"/>
      <c r="E3165" s="73"/>
      <c r="F3165" s="45"/>
    </row>
    <row r="3166" spans="4:6" x14ac:dyDescent="0.2">
      <c r="D3166" s="50"/>
      <c r="E3166" s="73"/>
      <c r="F3166" s="45"/>
    </row>
    <row r="3167" spans="4:6" x14ac:dyDescent="0.2">
      <c r="D3167" s="50"/>
      <c r="E3167" s="73"/>
      <c r="F3167" s="45"/>
    </row>
    <row r="3168" spans="4:6" x14ac:dyDescent="0.2">
      <c r="D3168" s="50"/>
      <c r="E3168" s="73"/>
      <c r="F3168" s="45"/>
    </row>
    <row r="3169" spans="4:6" x14ac:dyDescent="0.2">
      <c r="D3169" s="50"/>
      <c r="E3169" s="73"/>
      <c r="F3169" s="45"/>
    </row>
    <row r="3170" spans="4:6" x14ac:dyDescent="0.2">
      <c r="D3170" s="50"/>
      <c r="E3170" s="73"/>
      <c r="F3170" s="45"/>
    </row>
    <row r="3171" spans="4:6" x14ac:dyDescent="0.2">
      <c r="D3171" s="50"/>
      <c r="E3171" s="73"/>
      <c r="F3171" s="45"/>
    </row>
    <row r="3172" spans="4:6" x14ac:dyDescent="0.2">
      <c r="D3172" s="50"/>
      <c r="E3172" s="73"/>
      <c r="F3172" s="45"/>
    </row>
    <row r="3173" spans="4:6" x14ac:dyDescent="0.2">
      <c r="D3173" s="50"/>
      <c r="E3173" s="73"/>
      <c r="F3173" s="45"/>
    </row>
    <row r="3174" spans="4:6" x14ac:dyDescent="0.2">
      <c r="D3174" s="50"/>
      <c r="E3174" s="73"/>
      <c r="F3174" s="45"/>
    </row>
    <row r="3175" spans="4:6" x14ac:dyDescent="0.2">
      <c r="D3175" s="50"/>
      <c r="E3175" s="73"/>
      <c r="F3175" s="45"/>
    </row>
    <row r="3176" spans="4:6" x14ac:dyDescent="0.2">
      <c r="D3176" s="50"/>
      <c r="E3176" s="73"/>
      <c r="F3176" s="45"/>
    </row>
    <row r="3177" spans="4:6" x14ac:dyDescent="0.2">
      <c r="D3177" s="50"/>
      <c r="E3177" s="73"/>
      <c r="F3177" s="45"/>
    </row>
    <row r="3178" spans="4:6" x14ac:dyDescent="0.2">
      <c r="D3178" s="50"/>
      <c r="E3178" s="73"/>
      <c r="F3178" s="45"/>
    </row>
    <row r="3179" spans="4:6" x14ac:dyDescent="0.2">
      <c r="D3179" s="50"/>
      <c r="E3179" s="73"/>
      <c r="F3179" s="45"/>
    </row>
    <row r="3180" spans="4:6" x14ac:dyDescent="0.2">
      <c r="D3180" s="50"/>
      <c r="E3180" s="73"/>
      <c r="F3180" s="45"/>
    </row>
    <row r="3181" spans="4:6" x14ac:dyDescent="0.2">
      <c r="D3181" s="50"/>
      <c r="E3181" s="73"/>
      <c r="F3181" s="45"/>
    </row>
    <row r="3182" spans="4:6" x14ac:dyDescent="0.2">
      <c r="D3182" s="50"/>
      <c r="E3182" s="73"/>
      <c r="F3182" s="45"/>
    </row>
    <row r="3183" spans="4:6" x14ac:dyDescent="0.2">
      <c r="D3183" s="50"/>
      <c r="E3183" s="73"/>
      <c r="F3183" s="45"/>
    </row>
    <row r="3184" spans="4:6" x14ac:dyDescent="0.2">
      <c r="D3184" s="50"/>
      <c r="E3184" s="73"/>
      <c r="F3184" s="45"/>
    </row>
    <row r="3185" spans="4:6" x14ac:dyDescent="0.2">
      <c r="D3185" s="50"/>
      <c r="E3185" s="73"/>
      <c r="F3185" s="45"/>
    </row>
    <row r="3186" spans="4:6" x14ac:dyDescent="0.2">
      <c r="D3186" s="50"/>
      <c r="E3186" s="73"/>
      <c r="F3186" s="45"/>
    </row>
    <row r="3187" spans="4:6" x14ac:dyDescent="0.2">
      <c r="D3187" s="50"/>
      <c r="E3187" s="73"/>
      <c r="F3187" s="45"/>
    </row>
    <row r="3188" spans="4:6" x14ac:dyDescent="0.2">
      <c r="D3188" s="50"/>
      <c r="E3188" s="73"/>
      <c r="F3188" s="45"/>
    </row>
    <row r="3189" spans="4:6" x14ac:dyDescent="0.2">
      <c r="D3189" s="50"/>
      <c r="E3189" s="73"/>
      <c r="F3189" s="45"/>
    </row>
    <row r="3190" spans="4:6" x14ac:dyDescent="0.2">
      <c r="D3190" s="50"/>
      <c r="E3190" s="73"/>
      <c r="F3190" s="45"/>
    </row>
    <row r="3191" spans="4:6" x14ac:dyDescent="0.2">
      <c r="D3191" s="50"/>
      <c r="E3191" s="73"/>
      <c r="F3191" s="45"/>
    </row>
    <row r="3192" spans="4:6" x14ac:dyDescent="0.2">
      <c r="D3192" s="50"/>
      <c r="E3192" s="73"/>
      <c r="F3192" s="45"/>
    </row>
    <row r="3193" spans="4:6" x14ac:dyDescent="0.2">
      <c r="D3193" s="50"/>
      <c r="E3193" s="73"/>
      <c r="F3193" s="45"/>
    </row>
    <row r="3194" spans="4:6" x14ac:dyDescent="0.2">
      <c r="D3194" s="50"/>
      <c r="E3194" s="73"/>
      <c r="F3194" s="45"/>
    </row>
    <row r="3195" spans="4:6" x14ac:dyDescent="0.2">
      <c r="D3195" s="50"/>
      <c r="E3195" s="73"/>
      <c r="F3195" s="45"/>
    </row>
    <row r="3196" spans="4:6" x14ac:dyDescent="0.2">
      <c r="D3196" s="50"/>
      <c r="E3196" s="73"/>
      <c r="F3196" s="45"/>
    </row>
    <row r="3197" spans="4:6" x14ac:dyDescent="0.2">
      <c r="D3197" s="50"/>
      <c r="E3197" s="73"/>
      <c r="F3197" s="45"/>
    </row>
    <row r="3198" spans="4:6" x14ac:dyDescent="0.2">
      <c r="D3198" s="50"/>
      <c r="E3198" s="73"/>
      <c r="F3198" s="45"/>
    </row>
    <row r="3199" spans="4:6" x14ac:dyDescent="0.2">
      <c r="D3199" s="50"/>
      <c r="E3199" s="73"/>
      <c r="F3199" s="45"/>
    </row>
    <row r="3200" spans="4:6" x14ac:dyDescent="0.2">
      <c r="D3200" s="50"/>
      <c r="E3200" s="73"/>
      <c r="F3200" s="45"/>
    </row>
    <row r="3201" spans="4:6" x14ac:dyDescent="0.2">
      <c r="D3201" s="50"/>
      <c r="E3201" s="73"/>
      <c r="F3201" s="45"/>
    </row>
    <row r="3202" spans="4:6" x14ac:dyDescent="0.2">
      <c r="D3202" s="50"/>
      <c r="E3202" s="73"/>
      <c r="F3202" s="45"/>
    </row>
    <row r="3203" spans="4:6" x14ac:dyDescent="0.2">
      <c r="D3203" s="50"/>
      <c r="E3203" s="73"/>
      <c r="F3203" s="45"/>
    </row>
    <row r="3204" spans="4:6" x14ac:dyDescent="0.2">
      <c r="D3204" s="50"/>
      <c r="E3204" s="73"/>
      <c r="F3204" s="45"/>
    </row>
    <row r="3205" spans="4:6" x14ac:dyDescent="0.2">
      <c r="D3205" s="50"/>
      <c r="E3205" s="73"/>
      <c r="F3205" s="45"/>
    </row>
    <row r="3206" spans="4:6" x14ac:dyDescent="0.2">
      <c r="D3206" s="50"/>
      <c r="E3206" s="73"/>
      <c r="F3206" s="45"/>
    </row>
    <row r="3207" spans="4:6" x14ac:dyDescent="0.2">
      <c r="D3207" s="50"/>
      <c r="E3207" s="73"/>
      <c r="F3207" s="45"/>
    </row>
    <row r="3208" spans="4:6" x14ac:dyDescent="0.2">
      <c r="D3208" s="50"/>
      <c r="E3208" s="73"/>
      <c r="F3208" s="45"/>
    </row>
    <row r="3209" spans="4:6" x14ac:dyDescent="0.2">
      <c r="D3209" s="50"/>
      <c r="E3209" s="73"/>
      <c r="F3209" s="45"/>
    </row>
    <row r="3210" spans="4:6" x14ac:dyDescent="0.2">
      <c r="D3210" s="50"/>
      <c r="E3210" s="73"/>
      <c r="F3210" s="45"/>
    </row>
    <row r="3211" spans="4:6" x14ac:dyDescent="0.2">
      <c r="D3211" s="50"/>
      <c r="E3211" s="73"/>
      <c r="F3211" s="45"/>
    </row>
    <row r="3212" spans="4:6" x14ac:dyDescent="0.2">
      <c r="D3212" s="50"/>
      <c r="E3212" s="73"/>
      <c r="F3212" s="45"/>
    </row>
    <row r="3213" spans="4:6" x14ac:dyDescent="0.2">
      <c r="D3213" s="50"/>
      <c r="E3213" s="73"/>
      <c r="F3213" s="45"/>
    </row>
    <row r="3214" spans="4:6" x14ac:dyDescent="0.2">
      <c r="D3214" s="50"/>
      <c r="E3214" s="73"/>
      <c r="F3214" s="45"/>
    </row>
    <row r="3215" spans="4:6" x14ac:dyDescent="0.2">
      <c r="D3215" s="50"/>
      <c r="E3215" s="73"/>
      <c r="F3215" s="45"/>
    </row>
    <row r="3216" spans="4:6" x14ac:dyDescent="0.2">
      <c r="D3216" s="50"/>
      <c r="E3216" s="73"/>
      <c r="F3216" s="45"/>
    </row>
    <row r="3217" spans="4:6" x14ac:dyDescent="0.2">
      <c r="D3217" s="50"/>
      <c r="E3217" s="73"/>
      <c r="F3217" s="45"/>
    </row>
    <row r="3218" spans="4:6" x14ac:dyDescent="0.2">
      <c r="D3218" s="50"/>
      <c r="E3218" s="73"/>
      <c r="F3218" s="45"/>
    </row>
    <row r="3219" spans="4:6" x14ac:dyDescent="0.2">
      <c r="D3219" s="50"/>
      <c r="E3219" s="73"/>
      <c r="F3219" s="45"/>
    </row>
    <row r="3220" spans="4:6" x14ac:dyDescent="0.2">
      <c r="D3220" s="50"/>
      <c r="E3220" s="73"/>
      <c r="F3220" s="45"/>
    </row>
    <row r="3221" spans="4:6" x14ac:dyDescent="0.2">
      <c r="D3221" s="50"/>
      <c r="E3221" s="73"/>
      <c r="F3221" s="45"/>
    </row>
    <row r="3222" spans="4:6" x14ac:dyDescent="0.2">
      <c r="D3222" s="50"/>
      <c r="E3222" s="73"/>
      <c r="F3222" s="45"/>
    </row>
    <row r="3223" spans="4:6" x14ac:dyDescent="0.2">
      <c r="D3223" s="50"/>
      <c r="E3223" s="73"/>
      <c r="F3223" s="45"/>
    </row>
    <row r="3224" spans="4:6" x14ac:dyDescent="0.2">
      <c r="D3224" s="50"/>
      <c r="E3224" s="73"/>
      <c r="F3224" s="45"/>
    </row>
    <row r="3225" spans="4:6" x14ac:dyDescent="0.2">
      <c r="D3225" s="50"/>
      <c r="E3225" s="73"/>
      <c r="F3225" s="45"/>
    </row>
    <row r="3226" spans="4:6" x14ac:dyDescent="0.2">
      <c r="D3226" s="50"/>
      <c r="E3226" s="73"/>
      <c r="F3226" s="45"/>
    </row>
    <row r="3227" spans="4:6" x14ac:dyDescent="0.2">
      <c r="D3227" s="50"/>
      <c r="E3227" s="73"/>
      <c r="F3227" s="45"/>
    </row>
    <row r="3228" spans="4:6" x14ac:dyDescent="0.2">
      <c r="D3228" s="50"/>
      <c r="E3228" s="73"/>
      <c r="F3228" s="45"/>
    </row>
    <row r="3229" spans="4:6" x14ac:dyDescent="0.2">
      <c r="D3229" s="50"/>
      <c r="E3229" s="73"/>
      <c r="F3229" s="45"/>
    </row>
    <row r="3230" spans="4:6" x14ac:dyDescent="0.2">
      <c r="D3230" s="50"/>
      <c r="E3230" s="73"/>
      <c r="F3230" s="45"/>
    </row>
    <row r="3231" spans="4:6" x14ac:dyDescent="0.2">
      <c r="D3231" s="50"/>
      <c r="E3231" s="73"/>
      <c r="F3231" s="45"/>
    </row>
    <row r="3232" spans="4:6" x14ac:dyDescent="0.2">
      <c r="D3232" s="50"/>
      <c r="E3232" s="73"/>
      <c r="F3232" s="45"/>
    </row>
    <row r="3233" spans="4:6" x14ac:dyDescent="0.2">
      <c r="D3233" s="50"/>
      <c r="E3233" s="73"/>
      <c r="F3233" s="45"/>
    </row>
    <row r="3234" spans="4:6" x14ac:dyDescent="0.2">
      <c r="D3234" s="50"/>
      <c r="E3234" s="73"/>
      <c r="F3234" s="45"/>
    </row>
    <row r="3235" spans="4:6" x14ac:dyDescent="0.2">
      <c r="D3235" s="50"/>
      <c r="E3235" s="73"/>
      <c r="F3235" s="45"/>
    </row>
    <row r="3236" spans="4:6" x14ac:dyDescent="0.2">
      <c r="D3236" s="50"/>
      <c r="E3236" s="73"/>
      <c r="F3236" s="45"/>
    </row>
    <row r="3237" spans="4:6" x14ac:dyDescent="0.2">
      <c r="D3237" s="50"/>
      <c r="E3237" s="73"/>
      <c r="F3237" s="45"/>
    </row>
    <row r="3238" spans="4:6" x14ac:dyDescent="0.2">
      <c r="D3238" s="50"/>
      <c r="E3238" s="73"/>
      <c r="F3238" s="45"/>
    </row>
    <row r="3239" spans="4:6" x14ac:dyDescent="0.2">
      <c r="D3239" s="50"/>
      <c r="E3239" s="73"/>
      <c r="F3239" s="45"/>
    </row>
    <row r="3240" spans="4:6" x14ac:dyDescent="0.2">
      <c r="D3240" s="50"/>
      <c r="E3240" s="73"/>
      <c r="F3240" s="45"/>
    </row>
    <row r="3241" spans="4:6" x14ac:dyDescent="0.2">
      <c r="D3241" s="50"/>
      <c r="E3241" s="73"/>
      <c r="F3241" s="45"/>
    </row>
    <row r="3242" spans="4:6" x14ac:dyDescent="0.2">
      <c r="D3242" s="50"/>
      <c r="E3242" s="73"/>
      <c r="F3242" s="45"/>
    </row>
    <row r="3243" spans="4:6" x14ac:dyDescent="0.2">
      <c r="D3243" s="50"/>
      <c r="E3243" s="73"/>
      <c r="F3243" s="45"/>
    </row>
    <row r="3244" spans="4:6" x14ac:dyDescent="0.2">
      <c r="D3244" s="50"/>
      <c r="E3244" s="73"/>
      <c r="F3244" s="45"/>
    </row>
    <row r="3245" spans="4:6" x14ac:dyDescent="0.2">
      <c r="D3245" s="50"/>
      <c r="E3245" s="73"/>
      <c r="F3245" s="45"/>
    </row>
    <row r="3246" spans="4:6" x14ac:dyDescent="0.2">
      <c r="D3246" s="50"/>
      <c r="E3246" s="73"/>
      <c r="F3246" s="45"/>
    </row>
    <row r="3247" spans="4:6" x14ac:dyDescent="0.2">
      <c r="D3247" s="50"/>
      <c r="E3247" s="73"/>
      <c r="F3247" s="45"/>
    </row>
    <row r="3248" spans="4:6" x14ac:dyDescent="0.2">
      <c r="D3248" s="50"/>
      <c r="E3248" s="73"/>
      <c r="F3248" s="45"/>
    </row>
    <row r="3249" spans="4:6" x14ac:dyDescent="0.2">
      <c r="D3249" s="50"/>
      <c r="E3249" s="73"/>
      <c r="F3249" s="45"/>
    </row>
    <row r="3250" spans="4:6" x14ac:dyDescent="0.2">
      <c r="D3250" s="50"/>
      <c r="E3250" s="73"/>
      <c r="F3250" s="45"/>
    </row>
    <row r="3251" spans="4:6" x14ac:dyDescent="0.2">
      <c r="D3251" s="50"/>
      <c r="E3251" s="73"/>
      <c r="F3251" s="45"/>
    </row>
    <row r="3252" spans="4:6" x14ac:dyDescent="0.2">
      <c r="D3252" s="50"/>
      <c r="E3252" s="73"/>
      <c r="F3252" s="45"/>
    </row>
    <row r="3253" spans="4:6" x14ac:dyDescent="0.2">
      <c r="D3253" s="50"/>
      <c r="E3253" s="73"/>
      <c r="F3253" s="45"/>
    </row>
    <row r="3254" spans="4:6" x14ac:dyDescent="0.2">
      <c r="D3254" s="50"/>
      <c r="E3254" s="73"/>
      <c r="F3254" s="45"/>
    </row>
    <row r="3255" spans="4:6" x14ac:dyDescent="0.2">
      <c r="D3255" s="50"/>
      <c r="E3255" s="73"/>
      <c r="F3255" s="45"/>
    </row>
    <row r="3256" spans="4:6" x14ac:dyDescent="0.2">
      <c r="D3256" s="50"/>
      <c r="E3256" s="73"/>
      <c r="F3256" s="45"/>
    </row>
    <row r="3257" spans="4:6" x14ac:dyDescent="0.2">
      <c r="D3257" s="50"/>
      <c r="E3257" s="73"/>
      <c r="F3257" s="45"/>
    </row>
    <row r="3258" spans="4:6" x14ac:dyDescent="0.2">
      <c r="D3258" s="50"/>
      <c r="E3258" s="73"/>
      <c r="F3258" s="45"/>
    </row>
    <row r="3259" spans="4:6" x14ac:dyDescent="0.2">
      <c r="D3259" s="50"/>
      <c r="E3259" s="73"/>
      <c r="F3259" s="45"/>
    </row>
    <row r="3260" spans="4:6" x14ac:dyDescent="0.2">
      <c r="D3260" s="50"/>
      <c r="E3260" s="73"/>
      <c r="F3260" s="45"/>
    </row>
    <row r="3261" spans="4:6" x14ac:dyDescent="0.2">
      <c r="D3261" s="50"/>
      <c r="E3261" s="73"/>
      <c r="F3261" s="45"/>
    </row>
    <row r="3262" spans="4:6" x14ac:dyDescent="0.2">
      <c r="D3262" s="50"/>
      <c r="E3262" s="73"/>
      <c r="F3262" s="45"/>
    </row>
    <row r="3263" spans="4:6" x14ac:dyDescent="0.2">
      <c r="D3263" s="50"/>
      <c r="E3263" s="73"/>
      <c r="F3263" s="45"/>
    </row>
    <row r="3264" spans="4:6" x14ac:dyDescent="0.2">
      <c r="D3264" s="50"/>
      <c r="E3264" s="73"/>
      <c r="F3264" s="45"/>
    </row>
    <row r="3265" spans="4:6" x14ac:dyDescent="0.2">
      <c r="D3265" s="50"/>
      <c r="E3265" s="73"/>
      <c r="F3265" s="45"/>
    </row>
    <row r="3266" spans="4:6" x14ac:dyDescent="0.2">
      <c r="D3266" s="50"/>
      <c r="E3266" s="73"/>
      <c r="F3266" s="45"/>
    </row>
    <row r="3267" spans="4:6" x14ac:dyDescent="0.2">
      <c r="D3267" s="50"/>
      <c r="E3267" s="73"/>
      <c r="F3267" s="45"/>
    </row>
    <row r="3268" spans="4:6" x14ac:dyDescent="0.2">
      <c r="D3268" s="50"/>
      <c r="E3268" s="73"/>
      <c r="F3268" s="45"/>
    </row>
    <row r="3269" spans="4:6" x14ac:dyDescent="0.2">
      <c r="D3269" s="50"/>
      <c r="E3269" s="73"/>
      <c r="F3269" s="45"/>
    </row>
    <row r="3270" spans="4:6" x14ac:dyDescent="0.2">
      <c r="D3270" s="50"/>
      <c r="E3270" s="73"/>
      <c r="F3270" s="45"/>
    </row>
    <row r="3271" spans="4:6" x14ac:dyDescent="0.2">
      <c r="D3271" s="50"/>
      <c r="E3271" s="73"/>
      <c r="F3271" s="45"/>
    </row>
    <row r="3272" spans="4:6" x14ac:dyDescent="0.2">
      <c r="D3272" s="50"/>
      <c r="E3272" s="73"/>
      <c r="F3272" s="45"/>
    </row>
    <row r="3273" spans="4:6" x14ac:dyDescent="0.2">
      <c r="D3273" s="50"/>
      <c r="E3273" s="73"/>
      <c r="F3273" s="45"/>
    </row>
    <row r="3274" spans="4:6" x14ac:dyDescent="0.2">
      <c r="D3274" s="50"/>
      <c r="E3274" s="73"/>
      <c r="F3274" s="45"/>
    </row>
    <row r="3275" spans="4:6" x14ac:dyDescent="0.2">
      <c r="D3275" s="50"/>
      <c r="E3275" s="73"/>
      <c r="F3275" s="45"/>
    </row>
    <row r="3276" spans="4:6" x14ac:dyDescent="0.2">
      <c r="D3276" s="50"/>
      <c r="E3276" s="73"/>
      <c r="F3276" s="45"/>
    </row>
    <row r="3277" spans="4:6" x14ac:dyDescent="0.2">
      <c r="D3277" s="50"/>
      <c r="E3277" s="73"/>
      <c r="F3277" s="45"/>
    </row>
    <row r="3278" spans="4:6" x14ac:dyDescent="0.2">
      <c r="D3278" s="50"/>
      <c r="E3278" s="73"/>
      <c r="F3278" s="45"/>
    </row>
    <row r="3279" spans="4:6" x14ac:dyDescent="0.2">
      <c r="D3279" s="50"/>
      <c r="E3279" s="73"/>
      <c r="F3279" s="45"/>
    </row>
    <row r="3280" spans="4:6" x14ac:dyDescent="0.2">
      <c r="D3280" s="50"/>
      <c r="E3280" s="73"/>
      <c r="F3280" s="45"/>
    </row>
    <row r="3281" spans="4:6" x14ac:dyDescent="0.2">
      <c r="D3281" s="50"/>
      <c r="E3281" s="73"/>
      <c r="F3281" s="45"/>
    </row>
    <row r="3282" spans="4:6" x14ac:dyDescent="0.2">
      <c r="D3282" s="50"/>
      <c r="E3282" s="73"/>
      <c r="F3282" s="45"/>
    </row>
    <row r="3283" spans="4:6" x14ac:dyDescent="0.2">
      <c r="D3283" s="50"/>
      <c r="E3283" s="73"/>
      <c r="F3283" s="45"/>
    </row>
    <row r="3284" spans="4:6" x14ac:dyDescent="0.2">
      <c r="D3284" s="50"/>
      <c r="E3284" s="73"/>
      <c r="F3284" s="45"/>
    </row>
    <row r="3285" spans="4:6" x14ac:dyDescent="0.2">
      <c r="D3285" s="50"/>
      <c r="E3285" s="73"/>
      <c r="F3285" s="45"/>
    </row>
    <row r="3286" spans="4:6" x14ac:dyDescent="0.2">
      <c r="D3286" s="50"/>
      <c r="E3286" s="73"/>
      <c r="F3286" s="45"/>
    </row>
    <row r="3287" spans="4:6" x14ac:dyDescent="0.2">
      <c r="D3287" s="50"/>
      <c r="E3287" s="73"/>
      <c r="F3287" s="45"/>
    </row>
    <row r="3288" spans="4:6" x14ac:dyDescent="0.2">
      <c r="D3288" s="50"/>
      <c r="E3288" s="73"/>
      <c r="F3288" s="45"/>
    </row>
    <row r="3289" spans="4:6" x14ac:dyDescent="0.2">
      <c r="D3289" s="50"/>
      <c r="E3289" s="73"/>
      <c r="F3289" s="45"/>
    </row>
    <row r="3290" spans="4:6" x14ac:dyDescent="0.2">
      <c r="D3290" s="50"/>
      <c r="E3290" s="73"/>
      <c r="F3290" s="45"/>
    </row>
    <row r="3291" spans="4:6" x14ac:dyDescent="0.2">
      <c r="D3291" s="50"/>
      <c r="E3291" s="73"/>
      <c r="F3291" s="45"/>
    </row>
    <row r="3292" spans="4:6" x14ac:dyDescent="0.2">
      <c r="D3292" s="50"/>
      <c r="E3292" s="73"/>
      <c r="F3292" s="45"/>
    </row>
    <row r="3293" spans="4:6" x14ac:dyDescent="0.2">
      <c r="D3293" s="50"/>
      <c r="E3293" s="73"/>
      <c r="F3293" s="45"/>
    </row>
    <row r="3294" spans="4:6" x14ac:dyDescent="0.2">
      <c r="D3294" s="50"/>
      <c r="E3294" s="73"/>
      <c r="F3294" s="45"/>
    </row>
    <row r="3295" spans="4:6" x14ac:dyDescent="0.2">
      <c r="D3295" s="50"/>
      <c r="E3295" s="73"/>
      <c r="F3295" s="45"/>
    </row>
    <row r="3296" spans="4:6" x14ac:dyDescent="0.2">
      <c r="D3296" s="50"/>
      <c r="E3296" s="73"/>
      <c r="F3296" s="45"/>
    </row>
    <row r="3297" spans="4:6" x14ac:dyDescent="0.2">
      <c r="D3297" s="50"/>
      <c r="E3297" s="73"/>
      <c r="F3297" s="45"/>
    </row>
    <row r="3298" spans="4:6" x14ac:dyDescent="0.2">
      <c r="D3298" s="50"/>
      <c r="E3298" s="73"/>
      <c r="F3298" s="45"/>
    </row>
    <row r="3299" spans="4:6" x14ac:dyDescent="0.2">
      <c r="D3299" s="50"/>
      <c r="E3299" s="73"/>
      <c r="F3299" s="45"/>
    </row>
    <row r="3300" spans="4:6" x14ac:dyDescent="0.2">
      <c r="D3300" s="50"/>
      <c r="E3300" s="73"/>
      <c r="F3300" s="45"/>
    </row>
    <row r="3301" spans="4:6" x14ac:dyDescent="0.2">
      <c r="D3301" s="50"/>
      <c r="E3301" s="73"/>
      <c r="F3301" s="45"/>
    </row>
    <row r="3302" spans="4:6" x14ac:dyDescent="0.2">
      <c r="D3302" s="50"/>
      <c r="E3302" s="73"/>
      <c r="F3302" s="45"/>
    </row>
    <row r="3303" spans="4:6" x14ac:dyDescent="0.2">
      <c r="D3303" s="50"/>
      <c r="E3303" s="73"/>
      <c r="F3303" s="45"/>
    </row>
    <row r="3304" spans="4:6" x14ac:dyDescent="0.2">
      <c r="D3304" s="50"/>
      <c r="E3304" s="73"/>
      <c r="F3304" s="45"/>
    </row>
    <row r="3305" spans="4:6" x14ac:dyDescent="0.2">
      <c r="D3305" s="50"/>
      <c r="E3305" s="73"/>
      <c r="F3305" s="45"/>
    </row>
    <row r="3306" spans="4:6" x14ac:dyDescent="0.2">
      <c r="D3306" s="50"/>
      <c r="E3306" s="73"/>
      <c r="F3306" s="45"/>
    </row>
    <row r="3307" spans="4:6" x14ac:dyDescent="0.2">
      <c r="D3307" s="50"/>
      <c r="E3307" s="73"/>
      <c r="F3307" s="45"/>
    </row>
    <row r="3308" spans="4:6" x14ac:dyDescent="0.2">
      <c r="D3308" s="50"/>
      <c r="E3308" s="73"/>
      <c r="F3308" s="45"/>
    </row>
    <row r="3309" spans="4:6" x14ac:dyDescent="0.2">
      <c r="D3309" s="50"/>
      <c r="E3309" s="73"/>
      <c r="F3309" s="45"/>
    </row>
    <row r="3310" spans="4:6" x14ac:dyDescent="0.2">
      <c r="D3310" s="50"/>
      <c r="E3310" s="73"/>
      <c r="F3310" s="45"/>
    </row>
    <row r="3311" spans="4:6" x14ac:dyDescent="0.2">
      <c r="D3311" s="50"/>
      <c r="E3311" s="73"/>
      <c r="F3311" s="45"/>
    </row>
    <row r="3312" spans="4:6" x14ac:dyDescent="0.2">
      <c r="D3312" s="50"/>
      <c r="E3312" s="73"/>
      <c r="F3312" s="45"/>
    </row>
    <row r="3313" spans="4:6" x14ac:dyDescent="0.2">
      <c r="D3313" s="50"/>
      <c r="E3313" s="73"/>
      <c r="F3313" s="45"/>
    </row>
    <row r="3314" spans="4:6" x14ac:dyDescent="0.2">
      <c r="D3314" s="50"/>
      <c r="E3314" s="73"/>
      <c r="F3314" s="45"/>
    </row>
    <row r="3315" spans="4:6" x14ac:dyDescent="0.2">
      <c r="D3315" s="50"/>
      <c r="E3315" s="73"/>
      <c r="F3315" s="45"/>
    </row>
    <row r="3316" spans="4:6" x14ac:dyDescent="0.2">
      <c r="D3316" s="50"/>
      <c r="E3316" s="73"/>
      <c r="F3316" s="45"/>
    </row>
    <row r="3317" spans="4:6" x14ac:dyDescent="0.2">
      <c r="D3317" s="50"/>
      <c r="E3317" s="73"/>
      <c r="F3317" s="45"/>
    </row>
    <row r="3318" spans="4:6" x14ac:dyDescent="0.2">
      <c r="D3318" s="50"/>
      <c r="E3318" s="73"/>
      <c r="F3318" s="45"/>
    </row>
    <row r="3319" spans="4:6" x14ac:dyDescent="0.2">
      <c r="D3319" s="50"/>
      <c r="E3319" s="73"/>
      <c r="F3319" s="45"/>
    </row>
    <row r="3320" spans="4:6" x14ac:dyDescent="0.2">
      <c r="D3320" s="50"/>
      <c r="E3320" s="73"/>
      <c r="F3320" s="45"/>
    </row>
    <row r="3321" spans="4:6" x14ac:dyDescent="0.2">
      <c r="D3321" s="50"/>
      <c r="E3321" s="73"/>
      <c r="F3321" s="45"/>
    </row>
    <row r="3322" spans="4:6" x14ac:dyDescent="0.2">
      <c r="D3322" s="50"/>
      <c r="E3322" s="73"/>
      <c r="F3322" s="45"/>
    </row>
    <row r="3323" spans="4:6" x14ac:dyDescent="0.2">
      <c r="D3323" s="50"/>
      <c r="E3323" s="73"/>
      <c r="F3323" s="45"/>
    </row>
    <row r="3324" spans="4:6" x14ac:dyDescent="0.2">
      <c r="D3324" s="50"/>
      <c r="E3324" s="73"/>
      <c r="F3324" s="45"/>
    </row>
    <row r="3325" spans="4:6" x14ac:dyDescent="0.2">
      <c r="D3325" s="50"/>
      <c r="E3325" s="73"/>
      <c r="F3325" s="45"/>
    </row>
    <row r="3326" spans="4:6" x14ac:dyDescent="0.2">
      <c r="D3326" s="50"/>
      <c r="E3326" s="73"/>
      <c r="F3326" s="45"/>
    </row>
    <row r="3327" spans="4:6" x14ac:dyDescent="0.2">
      <c r="D3327" s="50"/>
      <c r="E3327" s="73"/>
      <c r="F3327" s="45"/>
    </row>
    <row r="3328" spans="4:6" x14ac:dyDescent="0.2">
      <c r="D3328" s="50"/>
      <c r="E3328" s="73"/>
      <c r="F3328" s="45"/>
    </row>
    <row r="3329" spans="4:6" x14ac:dyDescent="0.2">
      <c r="D3329" s="50"/>
      <c r="E3329" s="73"/>
      <c r="F3329" s="45"/>
    </row>
    <row r="3330" spans="4:6" x14ac:dyDescent="0.2">
      <c r="D3330" s="50"/>
      <c r="E3330" s="73"/>
      <c r="F3330" s="45"/>
    </row>
    <row r="3331" spans="4:6" x14ac:dyDescent="0.2">
      <c r="D3331" s="50"/>
      <c r="E3331" s="73"/>
      <c r="F3331" s="45"/>
    </row>
    <row r="3332" spans="4:6" x14ac:dyDescent="0.2">
      <c r="D3332" s="50"/>
      <c r="E3332" s="73"/>
      <c r="F3332" s="45"/>
    </row>
    <row r="3333" spans="4:6" x14ac:dyDescent="0.2">
      <c r="D3333" s="50"/>
      <c r="E3333" s="73"/>
      <c r="F3333" s="45"/>
    </row>
    <row r="3334" spans="4:6" x14ac:dyDescent="0.2">
      <c r="D3334" s="50"/>
      <c r="E3334" s="73"/>
      <c r="F3334" s="45"/>
    </row>
    <row r="3335" spans="4:6" x14ac:dyDescent="0.2">
      <c r="D3335" s="50"/>
      <c r="E3335" s="73"/>
      <c r="F3335" s="45"/>
    </row>
    <row r="3336" spans="4:6" x14ac:dyDescent="0.2">
      <c r="D3336" s="50"/>
      <c r="E3336" s="73"/>
      <c r="F3336" s="45"/>
    </row>
    <row r="3337" spans="4:6" x14ac:dyDescent="0.2">
      <c r="D3337" s="50"/>
      <c r="E3337" s="73"/>
      <c r="F3337" s="45"/>
    </row>
    <row r="3338" spans="4:6" x14ac:dyDescent="0.2">
      <c r="D3338" s="50"/>
      <c r="E3338" s="73"/>
      <c r="F3338" s="45"/>
    </row>
    <row r="3339" spans="4:6" x14ac:dyDescent="0.2">
      <c r="D3339" s="50"/>
      <c r="E3339" s="73"/>
      <c r="F3339" s="45"/>
    </row>
    <row r="3340" spans="4:6" x14ac:dyDescent="0.2">
      <c r="D3340" s="50"/>
      <c r="E3340" s="73"/>
      <c r="F3340" s="45"/>
    </row>
    <row r="3341" spans="4:6" x14ac:dyDescent="0.2">
      <c r="D3341" s="50"/>
      <c r="E3341" s="73"/>
      <c r="F3341" s="45"/>
    </row>
    <row r="3342" spans="4:6" x14ac:dyDescent="0.2">
      <c r="D3342" s="50"/>
      <c r="E3342" s="73"/>
      <c r="F3342" s="45"/>
    </row>
    <row r="3343" spans="4:6" x14ac:dyDescent="0.2">
      <c r="D3343" s="50"/>
      <c r="E3343" s="73"/>
      <c r="F3343" s="45"/>
    </row>
    <row r="3344" spans="4:6" x14ac:dyDescent="0.2">
      <c r="D3344" s="50"/>
      <c r="E3344" s="73"/>
      <c r="F3344" s="45"/>
    </row>
    <row r="3345" spans="4:6" x14ac:dyDescent="0.2">
      <c r="D3345" s="50"/>
      <c r="E3345" s="73"/>
      <c r="F3345" s="45"/>
    </row>
    <row r="3346" spans="4:6" x14ac:dyDescent="0.2">
      <c r="D3346" s="50"/>
      <c r="E3346" s="73"/>
      <c r="F3346" s="45"/>
    </row>
    <row r="3347" spans="4:6" x14ac:dyDescent="0.2">
      <c r="D3347" s="50"/>
      <c r="E3347" s="73"/>
      <c r="F3347" s="45"/>
    </row>
    <row r="3348" spans="4:6" x14ac:dyDescent="0.2">
      <c r="D3348" s="50"/>
      <c r="E3348" s="73"/>
      <c r="F3348" s="45"/>
    </row>
    <row r="3349" spans="4:6" x14ac:dyDescent="0.2">
      <c r="D3349" s="50"/>
      <c r="E3349" s="73"/>
      <c r="F3349" s="45"/>
    </row>
    <row r="3350" spans="4:6" x14ac:dyDescent="0.2">
      <c r="D3350" s="50"/>
      <c r="E3350" s="73"/>
      <c r="F3350" s="45"/>
    </row>
    <row r="3351" spans="4:6" x14ac:dyDescent="0.2">
      <c r="D3351" s="50"/>
      <c r="E3351" s="73"/>
      <c r="F3351" s="45"/>
    </row>
    <row r="3352" spans="4:6" x14ac:dyDescent="0.2">
      <c r="D3352" s="50"/>
      <c r="E3352" s="73"/>
      <c r="F3352" s="45"/>
    </row>
    <row r="3353" spans="4:6" x14ac:dyDescent="0.2">
      <c r="D3353" s="50"/>
      <c r="E3353" s="73"/>
      <c r="F3353" s="45"/>
    </row>
    <row r="3354" spans="4:6" x14ac:dyDescent="0.2">
      <c r="D3354" s="50"/>
      <c r="E3354" s="73"/>
      <c r="F3354" s="45"/>
    </row>
    <row r="3355" spans="4:6" x14ac:dyDescent="0.2">
      <c r="D3355" s="50"/>
      <c r="E3355" s="73"/>
      <c r="F3355" s="45"/>
    </row>
    <row r="3356" spans="4:6" x14ac:dyDescent="0.2">
      <c r="D3356" s="50"/>
      <c r="E3356" s="73"/>
      <c r="F3356" s="45"/>
    </row>
    <row r="3357" spans="4:6" x14ac:dyDescent="0.2">
      <c r="D3357" s="50"/>
      <c r="E3357" s="73"/>
      <c r="F3357" s="45"/>
    </row>
    <row r="3358" spans="4:6" x14ac:dyDescent="0.2">
      <c r="D3358" s="50"/>
      <c r="E3358" s="73"/>
      <c r="F3358" s="45"/>
    </row>
    <row r="3359" spans="4:6" x14ac:dyDescent="0.2">
      <c r="D3359" s="50"/>
      <c r="E3359" s="73"/>
      <c r="F3359" s="45"/>
    </row>
    <row r="3360" spans="4:6" x14ac:dyDescent="0.2">
      <c r="D3360" s="50"/>
      <c r="E3360" s="73"/>
      <c r="F3360" s="45"/>
    </row>
    <row r="3361" spans="4:6" x14ac:dyDescent="0.2">
      <c r="D3361" s="50"/>
      <c r="E3361" s="73"/>
      <c r="F3361" s="45"/>
    </row>
    <row r="3362" spans="4:6" x14ac:dyDescent="0.2">
      <c r="D3362" s="50"/>
      <c r="E3362" s="73"/>
      <c r="F3362" s="45"/>
    </row>
    <row r="3363" spans="4:6" x14ac:dyDescent="0.2">
      <c r="D3363" s="50"/>
      <c r="E3363" s="73"/>
      <c r="F3363" s="45"/>
    </row>
    <row r="3364" spans="4:6" x14ac:dyDescent="0.2">
      <c r="D3364" s="50"/>
      <c r="E3364" s="73"/>
      <c r="F3364" s="45"/>
    </row>
    <row r="3365" spans="4:6" x14ac:dyDescent="0.2">
      <c r="D3365" s="50"/>
      <c r="E3365" s="73"/>
      <c r="F3365" s="45"/>
    </row>
    <row r="3366" spans="4:6" x14ac:dyDescent="0.2">
      <c r="D3366" s="50"/>
      <c r="E3366" s="73"/>
      <c r="F3366" s="45"/>
    </row>
    <row r="3367" spans="4:6" x14ac:dyDescent="0.2">
      <c r="D3367" s="50"/>
      <c r="E3367" s="73"/>
      <c r="F3367" s="45"/>
    </row>
    <row r="3368" spans="4:6" x14ac:dyDescent="0.2">
      <c r="D3368" s="50"/>
      <c r="E3368" s="73"/>
      <c r="F3368" s="45"/>
    </row>
    <row r="3369" spans="4:6" x14ac:dyDescent="0.2">
      <c r="D3369" s="50"/>
      <c r="E3369" s="73"/>
      <c r="F3369" s="45"/>
    </row>
    <row r="3370" spans="4:6" x14ac:dyDescent="0.2">
      <c r="D3370" s="50"/>
      <c r="E3370" s="73"/>
      <c r="F3370" s="45"/>
    </row>
    <row r="3371" spans="4:6" x14ac:dyDescent="0.2">
      <c r="D3371" s="50"/>
      <c r="E3371" s="73"/>
      <c r="F3371" s="45"/>
    </row>
    <row r="3372" spans="4:6" x14ac:dyDescent="0.2">
      <c r="D3372" s="50"/>
      <c r="E3372" s="73"/>
      <c r="F3372" s="45"/>
    </row>
    <row r="3373" spans="4:6" x14ac:dyDescent="0.2">
      <c r="D3373" s="50"/>
      <c r="E3373" s="73"/>
      <c r="F3373" s="45"/>
    </row>
    <row r="3374" spans="4:6" x14ac:dyDescent="0.2">
      <c r="D3374" s="50"/>
      <c r="E3374" s="73"/>
      <c r="F3374" s="45"/>
    </row>
    <row r="3375" spans="4:6" x14ac:dyDescent="0.2">
      <c r="D3375" s="50"/>
      <c r="E3375" s="73"/>
      <c r="F3375" s="45"/>
    </row>
    <row r="3376" spans="4:6" x14ac:dyDescent="0.2">
      <c r="D3376" s="50"/>
      <c r="E3376" s="73"/>
      <c r="F3376" s="45"/>
    </row>
    <row r="3377" spans="4:6" x14ac:dyDescent="0.2">
      <c r="D3377" s="50"/>
      <c r="E3377" s="73"/>
      <c r="F3377" s="45"/>
    </row>
    <row r="3378" spans="4:6" x14ac:dyDescent="0.2">
      <c r="D3378" s="50"/>
      <c r="E3378" s="73"/>
      <c r="F3378" s="45"/>
    </row>
    <row r="3379" spans="4:6" x14ac:dyDescent="0.2">
      <c r="D3379" s="50"/>
      <c r="E3379" s="73"/>
      <c r="F3379" s="45"/>
    </row>
    <row r="3380" spans="4:6" x14ac:dyDescent="0.2">
      <c r="D3380" s="50"/>
      <c r="E3380" s="73"/>
      <c r="F3380" s="45"/>
    </row>
    <row r="3381" spans="4:6" x14ac:dyDescent="0.2">
      <c r="D3381" s="50"/>
      <c r="E3381" s="73"/>
      <c r="F3381" s="45"/>
    </row>
    <row r="3382" spans="4:6" x14ac:dyDescent="0.2">
      <c r="D3382" s="50"/>
      <c r="E3382" s="73"/>
      <c r="F3382" s="45"/>
    </row>
    <row r="3383" spans="4:6" x14ac:dyDescent="0.2">
      <c r="D3383" s="50"/>
      <c r="E3383" s="73"/>
      <c r="F3383" s="45"/>
    </row>
    <row r="3384" spans="4:6" x14ac:dyDescent="0.2">
      <c r="D3384" s="50"/>
      <c r="E3384" s="73"/>
      <c r="F3384" s="45"/>
    </row>
    <row r="3385" spans="4:6" x14ac:dyDescent="0.2">
      <c r="D3385" s="50"/>
      <c r="E3385" s="73"/>
      <c r="F3385" s="45"/>
    </row>
    <row r="3386" spans="4:6" x14ac:dyDescent="0.2">
      <c r="D3386" s="50"/>
      <c r="E3386" s="73"/>
      <c r="F3386" s="45"/>
    </row>
    <row r="3387" spans="4:6" x14ac:dyDescent="0.2">
      <c r="D3387" s="50"/>
      <c r="E3387" s="73"/>
      <c r="F3387" s="45"/>
    </row>
    <row r="3388" spans="4:6" x14ac:dyDescent="0.2">
      <c r="D3388" s="50"/>
      <c r="E3388" s="73"/>
      <c r="F3388" s="45"/>
    </row>
    <row r="3389" spans="4:6" x14ac:dyDescent="0.2">
      <c r="D3389" s="50"/>
      <c r="E3389" s="73"/>
      <c r="F3389" s="45"/>
    </row>
    <row r="3390" spans="4:6" x14ac:dyDescent="0.2">
      <c r="D3390" s="50"/>
      <c r="E3390" s="73"/>
      <c r="F3390" s="45"/>
    </row>
    <row r="3391" spans="4:6" x14ac:dyDescent="0.2">
      <c r="D3391" s="50"/>
      <c r="E3391" s="73"/>
      <c r="F3391" s="45"/>
    </row>
    <row r="3392" spans="4:6" x14ac:dyDescent="0.2">
      <c r="D3392" s="50"/>
      <c r="E3392" s="73"/>
      <c r="F3392" s="45"/>
    </row>
    <row r="3393" spans="4:6" x14ac:dyDescent="0.2">
      <c r="D3393" s="50"/>
      <c r="E3393" s="73"/>
      <c r="F3393" s="45"/>
    </row>
    <row r="3394" spans="4:6" x14ac:dyDescent="0.2">
      <c r="D3394" s="50"/>
      <c r="E3394" s="73"/>
      <c r="F3394" s="45"/>
    </row>
    <row r="3395" spans="4:6" x14ac:dyDescent="0.2">
      <c r="D3395" s="50"/>
      <c r="E3395" s="73"/>
      <c r="F3395" s="45"/>
    </row>
    <row r="3396" spans="4:6" x14ac:dyDescent="0.2">
      <c r="D3396" s="50"/>
      <c r="E3396" s="73"/>
      <c r="F3396" s="45"/>
    </row>
    <row r="3397" spans="4:6" x14ac:dyDescent="0.2">
      <c r="D3397" s="50"/>
      <c r="E3397" s="73"/>
      <c r="F3397" s="45"/>
    </row>
    <row r="3398" spans="4:6" x14ac:dyDescent="0.2">
      <c r="D3398" s="50"/>
      <c r="E3398" s="73"/>
      <c r="F3398" s="45"/>
    </row>
    <row r="3399" spans="4:6" x14ac:dyDescent="0.2">
      <c r="D3399" s="50"/>
      <c r="E3399" s="73"/>
      <c r="F3399" s="45"/>
    </row>
    <row r="3400" spans="4:6" x14ac:dyDescent="0.2">
      <c r="D3400" s="50"/>
      <c r="E3400" s="73"/>
      <c r="F3400" s="45"/>
    </row>
    <row r="3401" spans="4:6" x14ac:dyDescent="0.2">
      <c r="D3401" s="50"/>
      <c r="E3401" s="73"/>
      <c r="F3401" s="45"/>
    </row>
    <row r="3402" spans="4:6" x14ac:dyDescent="0.2">
      <c r="D3402" s="50"/>
      <c r="E3402" s="73"/>
      <c r="F3402" s="45"/>
    </row>
    <row r="3403" spans="4:6" x14ac:dyDescent="0.2">
      <c r="D3403" s="50"/>
      <c r="E3403" s="73"/>
      <c r="F3403" s="45"/>
    </row>
    <row r="3404" spans="4:6" x14ac:dyDescent="0.2">
      <c r="D3404" s="50"/>
      <c r="E3404" s="73"/>
      <c r="F3404" s="45"/>
    </row>
    <row r="3405" spans="4:6" x14ac:dyDescent="0.2">
      <c r="D3405" s="50"/>
      <c r="E3405" s="73"/>
      <c r="F3405" s="45"/>
    </row>
    <row r="3406" spans="4:6" x14ac:dyDescent="0.2">
      <c r="D3406" s="50"/>
      <c r="E3406" s="73"/>
      <c r="F3406" s="45"/>
    </row>
    <row r="3407" spans="4:6" x14ac:dyDescent="0.2">
      <c r="D3407" s="50"/>
      <c r="E3407" s="73"/>
      <c r="F3407" s="45"/>
    </row>
    <row r="3408" spans="4:6" x14ac:dyDescent="0.2">
      <c r="D3408" s="50"/>
      <c r="E3408" s="73"/>
      <c r="F3408" s="45"/>
    </row>
    <row r="3409" spans="4:6" x14ac:dyDescent="0.2">
      <c r="D3409" s="50"/>
      <c r="E3409" s="73"/>
      <c r="F3409" s="45"/>
    </row>
    <row r="3410" spans="4:6" x14ac:dyDescent="0.2">
      <c r="D3410" s="50"/>
      <c r="E3410" s="73"/>
      <c r="F3410" s="45"/>
    </row>
    <row r="3411" spans="4:6" x14ac:dyDescent="0.2">
      <c r="D3411" s="50"/>
      <c r="E3411" s="73"/>
      <c r="F3411" s="45"/>
    </row>
    <row r="3412" spans="4:6" x14ac:dyDescent="0.2">
      <c r="D3412" s="50"/>
      <c r="E3412" s="73"/>
      <c r="F3412" s="45"/>
    </row>
    <row r="3413" spans="4:6" x14ac:dyDescent="0.2">
      <c r="D3413" s="50"/>
      <c r="E3413" s="73"/>
      <c r="F3413" s="45"/>
    </row>
    <row r="3414" spans="4:6" x14ac:dyDescent="0.2">
      <c r="D3414" s="50"/>
      <c r="E3414" s="73"/>
      <c r="F3414" s="45"/>
    </row>
    <row r="3415" spans="4:6" x14ac:dyDescent="0.2">
      <c r="D3415" s="50"/>
      <c r="E3415" s="73"/>
      <c r="F3415" s="45"/>
    </row>
    <row r="3416" spans="4:6" x14ac:dyDescent="0.2">
      <c r="D3416" s="50"/>
      <c r="E3416" s="73"/>
      <c r="F3416" s="45"/>
    </row>
    <row r="3417" spans="4:6" x14ac:dyDescent="0.2">
      <c r="D3417" s="50"/>
      <c r="E3417" s="73"/>
      <c r="F3417" s="45"/>
    </row>
    <row r="3418" spans="4:6" x14ac:dyDescent="0.2">
      <c r="D3418" s="50"/>
      <c r="E3418" s="73"/>
      <c r="F3418" s="45"/>
    </row>
    <row r="3419" spans="4:6" x14ac:dyDescent="0.2">
      <c r="D3419" s="50"/>
      <c r="E3419" s="73"/>
      <c r="F3419" s="45"/>
    </row>
    <row r="3420" spans="4:6" x14ac:dyDescent="0.2">
      <c r="D3420" s="50"/>
      <c r="E3420" s="73"/>
      <c r="F3420" s="45"/>
    </row>
    <row r="3421" spans="4:6" x14ac:dyDescent="0.2">
      <c r="D3421" s="50"/>
      <c r="E3421" s="73"/>
      <c r="F3421" s="45"/>
    </row>
    <row r="3422" spans="4:6" x14ac:dyDescent="0.2">
      <c r="D3422" s="50"/>
      <c r="E3422" s="73"/>
      <c r="F3422" s="45"/>
    </row>
    <row r="3423" spans="4:6" x14ac:dyDescent="0.2">
      <c r="D3423" s="50"/>
      <c r="E3423" s="73"/>
      <c r="F3423" s="45"/>
    </row>
    <row r="3424" spans="4:6" x14ac:dyDescent="0.2">
      <c r="D3424" s="50"/>
      <c r="E3424" s="73"/>
      <c r="F3424" s="45"/>
    </row>
    <row r="3425" spans="4:6" x14ac:dyDescent="0.2">
      <c r="D3425" s="50"/>
      <c r="E3425" s="73"/>
      <c r="F3425" s="45"/>
    </row>
    <row r="3426" spans="4:6" x14ac:dyDescent="0.2">
      <c r="D3426" s="50"/>
      <c r="E3426" s="73"/>
      <c r="F3426" s="45"/>
    </row>
    <row r="3427" spans="4:6" x14ac:dyDescent="0.2">
      <c r="D3427" s="50"/>
      <c r="E3427" s="73"/>
      <c r="F3427" s="45"/>
    </row>
    <row r="3428" spans="4:6" x14ac:dyDescent="0.2">
      <c r="D3428" s="50"/>
      <c r="E3428" s="73"/>
      <c r="F3428" s="45"/>
    </row>
    <row r="3429" spans="4:6" x14ac:dyDescent="0.2">
      <c r="D3429" s="50"/>
      <c r="E3429" s="73"/>
      <c r="F3429" s="45"/>
    </row>
    <row r="3430" spans="4:6" x14ac:dyDescent="0.2">
      <c r="D3430" s="50"/>
      <c r="E3430" s="73"/>
      <c r="F3430" s="45"/>
    </row>
    <row r="3431" spans="4:6" x14ac:dyDescent="0.2">
      <c r="D3431" s="50"/>
      <c r="E3431" s="73"/>
      <c r="F3431" s="45"/>
    </row>
    <row r="3432" spans="4:6" x14ac:dyDescent="0.2">
      <c r="D3432" s="50"/>
      <c r="E3432" s="73"/>
      <c r="F3432" s="45"/>
    </row>
    <row r="3433" spans="4:6" x14ac:dyDescent="0.2">
      <c r="D3433" s="50"/>
      <c r="E3433" s="73"/>
      <c r="F3433" s="45"/>
    </row>
    <row r="3434" spans="4:6" x14ac:dyDescent="0.2">
      <c r="D3434" s="50"/>
      <c r="E3434" s="73"/>
      <c r="F3434" s="45"/>
    </row>
    <row r="3435" spans="4:6" x14ac:dyDescent="0.2">
      <c r="D3435" s="50"/>
      <c r="E3435" s="73"/>
      <c r="F3435" s="45"/>
    </row>
    <row r="3436" spans="4:6" x14ac:dyDescent="0.2">
      <c r="D3436" s="50"/>
      <c r="E3436" s="73"/>
      <c r="F3436" s="45"/>
    </row>
    <row r="3437" spans="4:6" x14ac:dyDescent="0.2">
      <c r="D3437" s="50"/>
      <c r="E3437" s="73"/>
      <c r="F3437" s="45"/>
    </row>
    <row r="3438" spans="4:6" x14ac:dyDescent="0.2">
      <c r="D3438" s="50"/>
      <c r="E3438" s="73"/>
      <c r="F3438" s="45"/>
    </row>
    <row r="3439" spans="4:6" x14ac:dyDescent="0.2">
      <c r="D3439" s="50"/>
      <c r="E3439" s="73"/>
      <c r="F3439" s="45"/>
    </row>
    <row r="3440" spans="4:6" x14ac:dyDescent="0.2">
      <c r="D3440" s="50"/>
      <c r="E3440" s="73"/>
      <c r="F3440" s="45"/>
    </row>
    <row r="3441" spans="4:6" x14ac:dyDescent="0.2">
      <c r="D3441" s="50"/>
      <c r="E3441" s="73"/>
      <c r="F3441" s="45"/>
    </row>
    <row r="3442" spans="4:6" x14ac:dyDescent="0.2">
      <c r="D3442" s="50"/>
      <c r="E3442" s="73"/>
      <c r="F3442" s="45"/>
    </row>
    <row r="3443" spans="4:6" x14ac:dyDescent="0.2">
      <c r="D3443" s="50"/>
      <c r="E3443" s="73"/>
      <c r="F3443" s="45"/>
    </row>
    <row r="3444" spans="4:6" x14ac:dyDescent="0.2">
      <c r="D3444" s="50"/>
      <c r="E3444" s="73"/>
      <c r="F3444" s="45"/>
    </row>
    <row r="3445" spans="4:6" x14ac:dyDescent="0.2">
      <c r="D3445" s="50"/>
      <c r="E3445" s="73"/>
      <c r="F3445" s="45"/>
    </row>
    <row r="3446" spans="4:6" x14ac:dyDescent="0.2">
      <c r="D3446" s="50"/>
      <c r="E3446" s="73"/>
      <c r="F3446" s="45"/>
    </row>
    <row r="3447" spans="4:6" x14ac:dyDescent="0.2">
      <c r="D3447" s="50"/>
      <c r="E3447" s="73"/>
      <c r="F3447" s="45"/>
    </row>
    <row r="3448" spans="4:6" x14ac:dyDescent="0.2">
      <c r="D3448" s="50"/>
      <c r="E3448" s="73"/>
      <c r="F3448" s="45"/>
    </row>
    <row r="3449" spans="4:6" x14ac:dyDescent="0.2">
      <c r="D3449" s="50"/>
      <c r="E3449" s="73"/>
      <c r="F3449" s="45"/>
    </row>
    <row r="3450" spans="4:6" x14ac:dyDescent="0.2">
      <c r="D3450" s="50"/>
      <c r="E3450" s="73"/>
      <c r="F3450" s="45"/>
    </row>
    <row r="3451" spans="4:6" x14ac:dyDescent="0.2">
      <c r="D3451" s="50"/>
      <c r="E3451" s="73"/>
      <c r="F3451" s="45"/>
    </row>
    <row r="3452" spans="4:6" x14ac:dyDescent="0.2">
      <c r="D3452" s="50"/>
      <c r="E3452" s="73"/>
      <c r="F3452" s="45"/>
    </row>
    <row r="3453" spans="4:6" x14ac:dyDescent="0.2">
      <c r="D3453" s="50"/>
      <c r="E3453" s="73"/>
      <c r="F3453" s="45"/>
    </row>
    <row r="3454" spans="4:6" x14ac:dyDescent="0.2">
      <c r="D3454" s="50"/>
      <c r="E3454" s="73"/>
      <c r="F3454" s="45"/>
    </row>
    <row r="3455" spans="4:6" x14ac:dyDescent="0.2">
      <c r="D3455" s="50"/>
      <c r="E3455" s="73"/>
      <c r="F3455" s="45"/>
    </row>
    <row r="3456" spans="4:6" x14ac:dyDescent="0.2">
      <c r="D3456" s="50"/>
      <c r="E3456" s="73"/>
      <c r="F3456" s="45"/>
    </row>
    <row r="3457" spans="4:6" x14ac:dyDescent="0.2">
      <c r="D3457" s="50"/>
      <c r="E3457" s="73"/>
      <c r="F3457" s="45"/>
    </row>
    <row r="3458" spans="4:6" x14ac:dyDescent="0.2">
      <c r="D3458" s="50"/>
      <c r="E3458" s="73"/>
      <c r="F3458" s="45"/>
    </row>
    <row r="3459" spans="4:6" x14ac:dyDescent="0.2">
      <c r="D3459" s="50"/>
      <c r="E3459" s="73"/>
      <c r="F3459" s="45"/>
    </row>
    <row r="3460" spans="4:6" x14ac:dyDescent="0.2">
      <c r="D3460" s="50"/>
      <c r="E3460" s="73"/>
      <c r="F3460" s="45"/>
    </row>
    <row r="3461" spans="4:6" x14ac:dyDescent="0.2">
      <c r="D3461" s="50"/>
      <c r="E3461" s="73"/>
      <c r="F3461" s="45"/>
    </row>
    <row r="3462" spans="4:6" x14ac:dyDescent="0.2">
      <c r="D3462" s="50"/>
      <c r="E3462" s="73"/>
      <c r="F3462" s="45"/>
    </row>
    <row r="3463" spans="4:6" x14ac:dyDescent="0.2">
      <c r="D3463" s="50"/>
      <c r="E3463" s="73"/>
      <c r="F3463" s="45"/>
    </row>
    <row r="3464" spans="4:6" x14ac:dyDescent="0.2">
      <c r="D3464" s="50"/>
      <c r="E3464" s="73"/>
      <c r="F3464" s="45"/>
    </row>
    <row r="3465" spans="4:6" x14ac:dyDescent="0.2">
      <c r="D3465" s="50"/>
      <c r="E3465" s="73"/>
      <c r="F3465" s="45"/>
    </row>
    <row r="3466" spans="4:6" x14ac:dyDescent="0.2">
      <c r="D3466" s="50"/>
      <c r="E3466" s="73"/>
      <c r="F3466" s="45"/>
    </row>
    <row r="3467" spans="4:6" x14ac:dyDescent="0.2">
      <c r="D3467" s="50"/>
      <c r="E3467" s="73"/>
      <c r="F3467" s="45"/>
    </row>
    <row r="3468" spans="4:6" x14ac:dyDescent="0.2">
      <c r="D3468" s="50"/>
      <c r="E3468" s="73"/>
      <c r="F3468" s="45"/>
    </row>
    <row r="3469" spans="4:6" x14ac:dyDescent="0.2">
      <c r="D3469" s="50"/>
      <c r="E3469" s="73"/>
      <c r="F3469" s="45"/>
    </row>
    <row r="3470" spans="4:6" x14ac:dyDescent="0.2">
      <c r="D3470" s="50"/>
      <c r="E3470" s="73"/>
      <c r="F3470" s="45"/>
    </row>
    <row r="3471" spans="4:6" x14ac:dyDescent="0.2">
      <c r="D3471" s="50"/>
      <c r="E3471" s="73"/>
      <c r="F3471" s="45"/>
    </row>
    <row r="3472" spans="4:6" x14ac:dyDescent="0.2">
      <c r="D3472" s="50"/>
      <c r="E3472" s="73"/>
      <c r="F3472" s="45"/>
    </row>
    <row r="3473" spans="4:6" x14ac:dyDescent="0.2">
      <c r="D3473" s="50"/>
      <c r="E3473" s="73"/>
      <c r="F3473" s="45"/>
    </row>
    <row r="3474" spans="4:6" x14ac:dyDescent="0.2">
      <c r="D3474" s="50"/>
      <c r="E3474" s="73"/>
      <c r="F3474" s="45"/>
    </row>
    <row r="3475" spans="4:6" x14ac:dyDescent="0.2">
      <c r="D3475" s="50"/>
      <c r="E3475" s="73"/>
      <c r="F3475" s="45"/>
    </row>
    <row r="3476" spans="4:6" x14ac:dyDescent="0.2">
      <c r="D3476" s="50"/>
      <c r="E3476" s="73"/>
      <c r="F3476" s="45"/>
    </row>
    <row r="3477" spans="4:6" x14ac:dyDescent="0.2">
      <c r="D3477" s="50"/>
      <c r="E3477" s="73"/>
      <c r="F3477" s="45"/>
    </row>
    <row r="3478" spans="4:6" x14ac:dyDescent="0.2">
      <c r="D3478" s="50"/>
      <c r="E3478" s="73"/>
      <c r="F3478" s="45"/>
    </row>
    <row r="3479" spans="4:6" x14ac:dyDescent="0.2">
      <c r="D3479" s="50"/>
      <c r="E3479" s="73"/>
      <c r="F3479" s="45"/>
    </row>
    <row r="3480" spans="4:6" x14ac:dyDescent="0.2">
      <c r="D3480" s="50"/>
      <c r="E3480" s="73"/>
      <c r="F3480" s="45"/>
    </row>
    <row r="3481" spans="4:6" x14ac:dyDescent="0.2">
      <c r="D3481" s="50"/>
      <c r="E3481" s="73"/>
      <c r="F3481" s="45"/>
    </row>
    <row r="3482" spans="4:6" x14ac:dyDescent="0.2">
      <c r="D3482" s="50"/>
      <c r="E3482" s="73"/>
      <c r="F3482" s="45"/>
    </row>
    <row r="3483" spans="4:6" x14ac:dyDescent="0.2">
      <c r="D3483" s="50"/>
      <c r="E3483" s="73"/>
      <c r="F3483" s="45"/>
    </row>
    <row r="3484" spans="4:6" x14ac:dyDescent="0.2">
      <c r="D3484" s="50"/>
      <c r="E3484" s="73"/>
      <c r="F3484" s="45"/>
    </row>
    <row r="3485" spans="4:6" x14ac:dyDescent="0.2">
      <c r="D3485" s="50"/>
      <c r="E3485" s="73"/>
      <c r="F3485" s="45"/>
    </row>
    <row r="3486" spans="4:6" x14ac:dyDescent="0.2">
      <c r="D3486" s="50"/>
      <c r="E3486" s="73"/>
      <c r="F3486" s="45"/>
    </row>
    <row r="3487" spans="4:6" x14ac:dyDescent="0.2">
      <c r="D3487" s="50"/>
      <c r="E3487" s="73"/>
      <c r="F3487" s="45"/>
    </row>
    <row r="3488" spans="4:6" x14ac:dyDescent="0.2">
      <c r="D3488" s="50"/>
      <c r="E3488" s="73"/>
      <c r="F3488" s="45"/>
    </row>
    <row r="3489" spans="4:6" x14ac:dyDescent="0.2">
      <c r="D3489" s="50"/>
      <c r="E3489" s="73"/>
      <c r="F3489" s="45"/>
    </row>
    <row r="3490" spans="4:6" x14ac:dyDescent="0.2">
      <c r="D3490" s="50"/>
      <c r="E3490" s="73"/>
      <c r="F3490" s="45"/>
    </row>
    <row r="3491" spans="4:6" x14ac:dyDescent="0.2">
      <c r="D3491" s="50"/>
      <c r="E3491" s="73"/>
      <c r="F3491" s="45"/>
    </row>
    <row r="3492" spans="4:6" x14ac:dyDescent="0.2">
      <c r="D3492" s="50"/>
      <c r="E3492" s="73"/>
      <c r="F3492" s="45"/>
    </row>
    <row r="3493" spans="4:6" x14ac:dyDescent="0.2">
      <c r="D3493" s="50"/>
      <c r="E3493" s="73"/>
      <c r="F3493" s="45"/>
    </row>
    <row r="3494" spans="4:6" x14ac:dyDescent="0.2">
      <c r="D3494" s="50"/>
      <c r="E3494" s="73"/>
      <c r="F3494" s="45"/>
    </row>
    <row r="3495" spans="4:6" x14ac:dyDescent="0.2">
      <c r="D3495" s="50"/>
      <c r="E3495" s="73"/>
      <c r="F3495" s="45"/>
    </row>
    <row r="3496" spans="4:6" x14ac:dyDescent="0.2">
      <c r="D3496" s="50"/>
      <c r="E3496" s="73"/>
      <c r="F3496" s="45"/>
    </row>
    <row r="3497" spans="4:6" x14ac:dyDescent="0.2">
      <c r="D3497" s="50"/>
      <c r="E3497" s="73"/>
      <c r="F3497" s="45"/>
    </row>
    <row r="3498" spans="4:6" x14ac:dyDescent="0.2">
      <c r="D3498" s="50"/>
      <c r="E3498" s="73"/>
      <c r="F3498" s="45"/>
    </row>
    <row r="3499" spans="4:6" x14ac:dyDescent="0.2">
      <c r="D3499" s="50"/>
      <c r="E3499" s="73"/>
      <c r="F3499" s="45"/>
    </row>
    <row r="3500" spans="4:6" x14ac:dyDescent="0.2">
      <c r="D3500" s="50"/>
      <c r="E3500" s="73"/>
      <c r="F3500" s="45"/>
    </row>
    <row r="3501" spans="4:6" x14ac:dyDescent="0.2">
      <c r="D3501" s="50"/>
      <c r="E3501" s="73"/>
      <c r="F3501" s="45"/>
    </row>
    <row r="3502" spans="4:6" x14ac:dyDescent="0.2">
      <c r="D3502" s="50"/>
      <c r="E3502" s="73"/>
      <c r="F3502" s="45"/>
    </row>
    <row r="3503" spans="4:6" x14ac:dyDescent="0.2">
      <c r="D3503" s="50"/>
      <c r="E3503" s="73"/>
      <c r="F3503" s="45"/>
    </row>
    <row r="3504" spans="4:6" x14ac:dyDescent="0.2">
      <c r="D3504" s="50"/>
      <c r="E3504" s="73"/>
      <c r="F3504" s="45"/>
    </row>
    <row r="3505" spans="4:6" x14ac:dyDescent="0.2">
      <c r="D3505" s="50"/>
      <c r="E3505" s="73"/>
      <c r="F3505" s="45"/>
    </row>
    <row r="3506" spans="4:6" x14ac:dyDescent="0.2">
      <c r="D3506" s="50"/>
      <c r="E3506" s="73"/>
      <c r="F3506" s="45"/>
    </row>
    <row r="3507" spans="4:6" x14ac:dyDescent="0.2">
      <c r="D3507" s="50"/>
      <c r="E3507" s="73"/>
      <c r="F3507" s="45"/>
    </row>
    <row r="3508" spans="4:6" x14ac:dyDescent="0.2">
      <c r="D3508" s="50"/>
      <c r="E3508" s="73"/>
      <c r="F3508" s="45"/>
    </row>
    <row r="3509" spans="4:6" x14ac:dyDescent="0.2">
      <c r="D3509" s="50"/>
      <c r="E3509" s="73"/>
      <c r="F3509" s="45"/>
    </row>
    <row r="3510" spans="4:6" x14ac:dyDescent="0.2">
      <c r="D3510" s="50"/>
      <c r="E3510" s="73"/>
      <c r="F3510" s="45"/>
    </row>
    <row r="3511" spans="4:6" x14ac:dyDescent="0.2">
      <c r="D3511" s="50"/>
      <c r="E3511" s="73"/>
      <c r="F3511" s="45"/>
    </row>
    <row r="3512" spans="4:6" x14ac:dyDescent="0.2">
      <c r="D3512" s="50"/>
      <c r="E3512" s="73"/>
      <c r="F3512" s="45"/>
    </row>
    <row r="3513" spans="4:6" x14ac:dyDescent="0.2">
      <c r="D3513" s="50"/>
      <c r="E3513" s="73"/>
      <c r="F3513" s="45"/>
    </row>
    <row r="3514" spans="4:6" x14ac:dyDescent="0.2">
      <c r="D3514" s="50"/>
      <c r="E3514" s="73"/>
      <c r="F3514" s="45"/>
    </row>
    <row r="3515" spans="4:6" x14ac:dyDescent="0.2">
      <c r="D3515" s="50"/>
      <c r="E3515" s="73"/>
      <c r="F3515" s="45"/>
    </row>
    <row r="3516" spans="4:6" x14ac:dyDescent="0.2">
      <c r="D3516" s="50"/>
      <c r="E3516" s="73"/>
      <c r="F3516" s="45"/>
    </row>
    <row r="3517" spans="4:6" x14ac:dyDescent="0.2">
      <c r="D3517" s="50"/>
      <c r="E3517" s="73"/>
      <c r="F3517" s="45"/>
    </row>
    <row r="3518" spans="4:6" x14ac:dyDescent="0.2">
      <c r="D3518" s="50"/>
      <c r="E3518" s="73"/>
      <c r="F3518" s="45"/>
    </row>
    <row r="3519" spans="4:6" x14ac:dyDescent="0.2">
      <c r="D3519" s="50"/>
      <c r="E3519" s="73"/>
      <c r="F3519" s="45"/>
    </row>
    <row r="3520" spans="4:6" x14ac:dyDescent="0.2">
      <c r="D3520" s="50"/>
      <c r="E3520" s="73"/>
      <c r="F3520" s="45"/>
    </row>
    <row r="3521" spans="4:6" x14ac:dyDescent="0.2">
      <c r="D3521" s="50"/>
      <c r="E3521" s="73"/>
      <c r="F3521" s="45"/>
    </row>
    <row r="3522" spans="4:6" x14ac:dyDescent="0.2">
      <c r="D3522" s="50"/>
      <c r="E3522" s="73"/>
      <c r="F3522" s="45"/>
    </row>
    <row r="3523" spans="4:6" x14ac:dyDescent="0.2">
      <c r="D3523" s="50"/>
      <c r="E3523" s="73"/>
      <c r="F3523" s="45"/>
    </row>
    <row r="3524" spans="4:6" x14ac:dyDescent="0.2">
      <c r="D3524" s="50"/>
      <c r="E3524" s="73"/>
      <c r="F3524" s="45"/>
    </row>
    <row r="3525" spans="4:6" x14ac:dyDescent="0.2">
      <c r="D3525" s="50"/>
      <c r="E3525" s="73"/>
      <c r="F3525" s="45"/>
    </row>
    <row r="3526" spans="4:6" x14ac:dyDescent="0.2">
      <c r="D3526" s="50"/>
      <c r="E3526" s="73"/>
      <c r="F3526" s="45"/>
    </row>
    <row r="3527" spans="4:6" x14ac:dyDescent="0.2">
      <c r="D3527" s="50"/>
      <c r="E3527" s="73"/>
      <c r="F3527" s="45"/>
    </row>
    <row r="3528" spans="4:6" x14ac:dyDescent="0.2">
      <c r="D3528" s="50"/>
      <c r="E3528" s="73"/>
      <c r="F3528" s="45"/>
    </row>
    <row r="3529" spans="4:6" x14ac:dyDescent="0.2">
      <c r="D3529" s="50"/>
      <c r="E3529" s="73"/>
      <c r="F3529" s="45"/>
    </row>
    <row r="3530" spans="4:6" x14ac:dyDescent="0.2">
      <c r="D3530" s="50"/>
      <c r="E3530" s="73"/>
      <c r="F3530" s="45"/>
    </row>
    <row r="3531" spans="4:6" x14ac:dyDescent="0.2">
      <c r="D3531" s="50"/>
      <c r="E3531" s="73"/>
      <c r="F3531" s="45"/>
    </row>
    <row r="3532" spans="4:6" x14ac:dyDescent="0.2">
      <c r="D3532" s="50"/>
      <c r="E3532" s="73"/>
      <c r="F3532" s="45"/>
    </row>
    <row r="3533" spans="4:6" x14ac:dyDescent="0.2">
      <c r="D3533" s="50"/>
      <c r="E3533" s="73"/>
      <c r="F3533" s="45"/>
    </row>
    <row r="3534" spans="4:6" x14ac:dyDescent="0.2">
      <c r="D3534" s="50"/>
      <c r="E3534" s="73"/>
      <c r="F3534" s="45"/>
    </row>
    <row r="3535" spans="4:6" x14ac:dyDescent="0.2">
      <c r="D3535" s="50"/>
      <c r="E3535" s="73"/>
      <c r="F3535" s="45"/>
    </row>
    <row r="3536" spans="4:6" x14ac:dyDescent="0.2">
      <c r="D3536" s="50"/>
      <c r="E3536" s="73"/>
      <c r="F3536" s="45"/>
    </row>
    <row r="3537" spans="4:6" x14ac:dyDescent="0.2">
      <c r="D3537" s="50"/>
      <c r="E3537" s="73"/>
      <c r="F3537" s="45"/>
    </row>
    <row r="3538" spans="4:6" x14ac:dyDescent="0.2">
      <c r="D3538" s="50"/>
      <c r="E3538" s="73"/>
      <c r="F3538" s="45"/>
    </row>
    <row r="3539" spans="4:6" x14ac:dyDescent="0.2">
      <c r="D3539" s="50"/>
      <c r="E3539" s="73"/>
      <c r="F3539" s="45"/>
    </row>
    <row r="3540" spans="4:6" x14ac:dyDescent="0.2">
      <c r="D3540" s="50"/>
      <c r="E3540" s="73"/>
      <c r="F3540" s="45"/>
    </row>
    <row r="3541" spans="4:6" x14ac:dyDescent="0.2">
      <c r="D3541" s="50"/>
      <c r="E3541" s="73"/>
      <c r="F3541" s="45"/>
    </row>
    <row r="3542" spans="4:6" x14ac:dyDescent="0.2">
      <c r="D3542" s="50"/>
      <c r="E3542" s="73"/>
      <c r="F3542" s="45"/>
    </row>
    <row r="3543" spans="4:6" x14ac:dyDescent="0.2">
      <c r="D3543" s="50"/>
      <c r="E3543" s="73"/>
      <c r="F3543" s="45"/>
    </row>
    <row r="3544" spans="4:6" x14ac:dyDescent="0.2">
      <c r="D3544" s="50"/>
      <c r="E3544" s="73"/>
      <c r="F3544" s="45"/>
    </row>
    <row r="3545" spans="4:6" x14ac:dyDescent="0.2">
      <c r="D3545" s="50"/>
      <c r="E3545" s="73"/>
      <c r="F3545" s="45"/>
    </row>
    <row r="3546" spans="4:6" x14ac:dyDescent="0.2">
      <c r="D3546" s="50"/>
      <c r="E3546" s="73"/>
      <c r="F3546" s="45"/>
    </row>
    <row r="3547" spans="4:6" x14ac:dyDescent="0.2">
      <c r="D3547" s="50"/>
      <c r="E3547" s="73"/>
      <c r="F3547" s="45"/>
    </row>
    <row r="3548" spans="4:6" x14ac:dyDescent="0.2">
      <c r="D3548" s="50"/>
      <c r="E3548" s="73"/>
      <c r="F3548" s="45"/>
    </row>
    <row r="3549" spans="4:6" x14ac:dyDescent="0.2">
      <c r="D3549" s="50"/>
      <c r="E3549" s="73"/>
      <c r="F3549" s="45"/>
    </row>
    <row r="3550" spans="4:6" x14ac:dyDescent="0.2">
      <c r="D3550" s="50"/>
      <c r="E3550" s="73"/>
      <c r="F3550" s="45"/>
    </row>
    <row r="3551" spans="4:6" x14ac:dyDescent="0.2">
      <c r="D3551" s="50"/>
      <c r="E3551" s="73"/>
      <c r="F3551" s="45"/>
    </row>
    <row r="3552" spans="4:6" x14ac:dyDescent="0.2">
      <c r="D3552" s="50"/>
      <c r="E3552" s="73"/>
      <c r="F3552" s="45"/>
    </row>
    <row r="3553" spans="4:6" x14ac:dyDescent="0.2">
      <c r="D3553" s="50"/>
      <c r="E3553" s="73"/>
      <c r="F3553" s="45"/>
    </row>
    <row r="3554" spans="4:6" x14ac:dyDescent="0.2">
      <c r="D3554" s="50"/>
      <c r="E3554" s="73"/>
      <c r="F3554" s="45"/>
    </row>
    <row r="3555" spans="4:6" x14ac:dyDescent="0.2">
      <c r="D3555" s="50"/>
      <c r="E3555" s="73"/>
      <c r="F3555" s="45"/>
    </row>
    <row r="3556" spans="4:6" x14ac:dyDescent="0.2">
      <c r="D3556" s="50"/>
      <c r="E3556" s="73"/>
      <c r="F3556" s="45"/>
    </row>
    <row r="3557" spans="4:6" x14ac:dyDescent="0.2">
      <c r="D3557" s="50"/>
      <c r="E3557" s="73"/>
      <c r="F3557" s="45"/>
    </row>
    <row r="3558" spans="4:6" x14ac:dyDescent="0.2">
      <c r="D3558" s="50"/>
      <c r="E3558" s="73"/>
      <c r="F3558" s="45"/>
    </row>
    <row r="3559" spans="4:6" x14ac:dyDescent="0.2">
      <c r="D3559" s="50"/>
      <c r="E3559" s="73"/>
      <c r="F3559" s="45"/>
    </row>
    <row r="3560" spans="4:6" x14ac:dyDescent="0.2">
      <c r="D3560" s="50"/>
      <c r="E3560" s="73"/>
      <c r="F3560" s="45"/>
    </row>
    <row r="3561" spans="4:6" x14ac:dyDescent="0.2">
      <c r="D3561" s="50"/>
      <c r="E3561" s="73"/>
      <c r="F3561" s="45"/>
    </row>
    <row r="3562" spans="4:6" x14ac:dyDescent="0.2">
      <c r="D3562" s="50"/>
      <c r="E3562" s="73"/>
      <c r="F3562" s="45"/>
    </row>
    <row r="3563" spans="4:6" x14ac:dyDescent="0.2">
      <c r="D3563" s="50"/>
      <c r="E3563" s="73"/>
      <c r="F3563" s="45"/>
    </row>
    <row r="3564" spans="4:6" x14ac:dyDescent="0.2">
      <c r="D3564" s="50"/>
      <c r="E3564" s="73"/>
      <c r="F3564" s="45"/>
    </row>
    <row r="3565" spans="4:6" x14ac:dyDescent="0.2">
      <c r="D3565" s="50"/>
      <c r="E3565" s="73"/>
      <c r="F3565" s="45"/>
    </row>
    <row r="3566" spans="4:6" x14ac:dyDescent="0.2">
      <c r="D3566" s="50"/>
      <c r="E3566" s="73"/>
      <c r="F3566" s="45"/>
    </row>
    <row r="3567" spans="4:6" x14ac:dyDescent="0.2">
      <c r="D3567" s="50"/>
      <c r="E3567" s="73"/>
      <c r="F3567" s="45"/>
    </row>
    <row r="3568" spans="4:6" x14ac:dyDescent="0.2">
      <c r="D3568" s="50"/>
      <c r="E3568" s="73"/>
      <c r="F3568" s="45"/>
    </row>
    <row r="3569" spans="4:6" x14ac:dyDescent="0.2">
      <c r="D3569" s="50"/>
      <c r="E3569" s="73"/>
      <c r="F3569" s="45"/>
    </row>
    <row r="3570" spans="4:6" x14ac:dyDescent="0.2">
      <c r="D3570" s="50"/>
      <c r="E3570" s="73"/>
      <c r="F3570" s="45"/>
    </row>
    <row r="3571" spans="4:6" x14ac:dyDescent="0.2">
      <c r="D3571" s="50"/>
      <c r="E3571" s="73"/>
      <c r="F3571" s="45"/>
    </row>
    <row r="3572" spans="4:6" x14ac:dyDescent="0.2">
      <c r="D3572" s="50"/>
      <c r="E3572" s="73"/>
      <c r="F3572" s="45"/>
    </row>
    <row r="3573" spans="4:6" x14ac:dyDescent="0.2">
      <c r="D3573" s="50"/>
      <c r="E3573" s="73"/>
      <c r="F3573" s="45"/>
    </row>
    <row r="3574" spans="4:6" x14ac:dyDescent="0.2">
      <c r="D3574" s="50"/>
      <c r="E3574" s="73"/>
      <c r="F3574" s="45"/>
    </row>
    <row r="3575" spans="4:6" x14ac:dyDescent="0.2">
      <c r="D3575" s="50"/>
      <c r="E3575" s="73"/>
      <c r="F3575" s="45"/>
    </row>
    <row r="3576" spans="4:6" x14ac:dyDescent="0.2">
      <c r="D3576" s="50"/>
      <c r="E3576" s="73"/>
      <c r="F3576" s="45"/>
    </row>
    <row r="3577" spans="4:6" x14ac:dyDescent="0.2">
      <c r="D3577" s="50"/>
      <c r="E3577" s="73"/>
      <c r="F3577" s="45"/>
    </row>
    <row r="3578" spans="4:6" x14ac:dyDescent="0.2">
      <c r="D3578" s="50"/>
      <c r="E3578" s="73"/>
      <c r="F3578" s="45"/>
    </row>
    <row r="3579" spans="4:6" x14ac:dyDescent="0.2">
      <c r="D3579" s="50"/>
      <c r="E3579" s="73"/>
      <c r="F3579" s="45"/>
    </row>
    <row r="3580" spans="4:6" x14ac:dyDescent="0.2">
      <c r="D3580" s="50"/>
      <c r="E3580" s="73"/>
      <c r="F3580" s="45"/>
    </row>
    <row r="3581" spans="4:6" x14ac:dyDescent="0.2">
      <c r="D3581" s="50"/>
      <c r="E3581" s="73"/>
      <c r="F3581" s="45"/>
    </row>
    <row r="3582" spans="4:6" x14ac:dyDescent="0.2">
      <c r="D3582" s="50"/>
      <c r="E3582" s="73"/>
      <c r="F3582" s="45"/>
    </row>
    <row r="3583" spans="4:6" x14ac:dyDescent="0.2">
      <c r="D3583" s="50"/>
      <c r="E3583" s="73"/>
      <c r="F3583" s="45"/>
    </row>
    <row r="3584" spans="4:6" x14ac:dyDescent="0.2">
      <c r="D3584" s="50"/>
      <c r="E3584" s="73"/>
      <c r="F3584" s="45"/>
    </row>
    <row r="3585" spans="4:6" x14ac:dyDescent="0.2">
      <c r="D3585" s="50"/>
      <c r="E3585" s="73"/>
      <c r="F3585" s="45"/>
    </row>
    <row r="3586" spans="4:6" x14ac:dyDescent="0.2">
      <c r="D3586" s="50"/>
      <c r="E3586" s="73"/>
      <c r="F3586" s="45"/>
    </row>
    <row r="3587" spans="4:6" x14ac:dyDescent="0.2">
      <c r="D3587" s="50"/>
      <c r="E3587" s="73"/>
      <c r="F3587" s="45"/>
    </row>
    <row r="3588" spans="4:6" x14ac:dyDescent="0.2">
      <c r="D3588" s="50"/>
      <c r="E3588" s="73"/>
      <c r="F3588" s="45"/>
    </row>
    <row r="3589" spans="4:6" x14ac:dyDescent="0.2">
      <c r="D3589" s="50"/>
      <c r="E3589" s="73"/>
      <c r="F3589" s="45"/>
    </row>
    <row r="3590" spans="4:6" x14ac:dyDescent="0.2">
      <c r="D3590" s="50"/>
      <c r="E3590" s="73"/>
      <c r="F3590" s="45"/>
    </row>
    <row r="3591" spans="4:6" x14ac:dyDescent="0.2">
      <c r="D3591" s="50"/>
      <c r="E3591" s="73"/>
      <c r="F3591" s="45"/>
    </row>
    <row r="3592" spans="4:6" x14ac:dyDescent="0.2">
      <c r="D3592" s="50"/>
      <c r="E3592" s="73"/>
      <c r="F3592" s="45"/>
    </row>
    <row r="3593" spans="4:6" x14ac:dyDescent="0.2">
      <c r="D3593" s="50"/>
      <c r="E3593" s="73"/>
      <c r="F3593" s="45"/>
    </row>
    <row r="3594" spans="4:6" x14ac:dyDescent="0.2">
      <c r="D3594" s="50"/>
      <c r="E3594" s="73"/>
      <c r="F3594" s="45"/>
    </row>
    <row r="3595" spans="4:6" x14ac:dyDescent="0.2">
      <c r="D3595" s="50"/>
      <c r="E3595" s="73"/>
      <c r="F3595" s="45"/>
    </row>
    <row r="3596" spans="4:6" x14ac:dyDescent="0.2">
      <c r="D3596" s="50"/>
      <c r="E3596" s="73"/>
      <c r="F3596" s="45"/>
    </row>
    <row r="3597" spans="4:6" x14ac:dyDescent="0.2">
      <c r="D3597" s="50"/>
      <c r="E3597" s="73"/>
      <c r="F3597" s="45"/>
    </row>
    <row r="3598" spans="4:6" x14ac:dyDescent="0.2">
      <c r="D3598" s="50"/>
      <c r="E3598" s="73"/>
      <c r="F3598" s="45"/>
    </row>
    <row r="3599" spans="4:6" x14ac:dyDescent="0.2">
      <c r="D3599" s="50"/>
      <c r="E3599" s="73"/>
      <c r="F3599" s="45"/>
    </row>
    <row r="3600" spans="4:6" x14ac:dyDescent="0.2">
      <c r="D3600" s="50"/>
      <c r="E3600" s="73"/>
      <c r="F3600" s="45"/>
    </row>
    <row r="3601" spans="4:6" x14ac:dyDescent="0.2">
      <c r="D3601" s="50"/>
      <c r="E3601" s="73"/>
      <c r="F3601" s="45"/>
    </row>
    <row r="3602" spans="4:6" x14ac:dyDescent="0.2">
      <c r="D3602" s="50"/>
      <c r="E3602" s="73"/>
      <c r="F3602" s="45"/>
    </row>
    <row r="3603" spans="4:6" x14ac:dyDescent="0.2">
      <c r="D3603" s="50"/>
      <c r="E3603" s="73"/>
      <c r="F3603" s="45"/>
    </row>
    <row r="3604" spans="4:6" x14ac:dyDescent="0.2">
      <c r="D3604" s="50"/>
      <c r="E3604" s="73"/>
      <c r="F3604" s="45"/>
    </row>
    <row r="3605" spans="4:6" x14ac:dyDescent="0.2">
      <c r="D3605" s="50"/>
      <c r="E3605" s="73"/>
      <c r="F3605" s="45"/>
    </row>
    <row r="3606" spans="4:6" x14ac:dyDescent="0.2">
      <c r="D3606" s="50"/>
      <c r="E3606" s="73"/>
      <c r="F3606" s="45"/>
    </row>
    <row r="3607" spans="4:6" x14ac:dyDescent="0.2">
      <c r="D3607" s="50"/>
      <c r="E3607" s="73"/>
      <c r="F3607" s="45"/>
    </row>
    <row r="3608" spans="4:6" x14ac:dyDescent="0.2">
      <c r="D3608" s="50"/>
      <c r="E3608" s="73"/>
      <c r="F3608" s="45"/>
    </row>
    <row r="3609" spans="4:6" x14ac:dyDescent="0.2">
      <c r="D3609" s="50"/>
      <c r="E3609" s="73"/>
      <c r="F3609" s="45"/>
    </row>
    <row r="3610" spans="4:6" x14ac:dyDescent="0.2">
      <c r="D3610" s="50"/>
      <c r="E3610" s="73"/>
      <c r="F3610" s="45"/>
    </row>
    <row r="3611" spans="4:6" x14ac:dyDescent="0.2">
      <c r="D3611" s="50"/>
      <c r="E3611" s="73"/>
      <c r="F3611" s="45"/>
    </row>
    <row r="3612" spans="4:6" x14ac:dyDescent="0.2">
      <c r="D3612" s="50"/>
      <c r="E3612" s="73"/>
      <c r="F3612" s="45"/>
    </row>
    <row r="3613" spans="4:6" x14ac:dyDescent="0.2">
      <c r="D3613" s="50"/>
      <c r="E3613" s="73"/>
      <c r="F3613" s="45"/>
    </row>
    <row r="3614" spans="4:6" x14ac:dyDescent="0.2">
      <c r="D3614" s="50"/>
      <c r="E3614" s="73"/>
      <c r="F3614" s="45"/>
    </row>
    <row r="3615" spans="4:6" x14ac:dyDescent="0.2">
      <c r="D3615" s="50"/>
      <c r="E3615" s="73"/>
      <c r="F3615" s="45"/>
    </row>
    <row r="3616" spans="4:6" x14ac:dyDescent="0.2">
      <c r="D3616" s="50"/>
      <c r="E3616" s="73"/>
      <c r="F3616" s="45"/>
    </row>
    <row r="3617" spans="4:6" x14ac:dyDescent="0.2">
      <c r="D3617" s="50"/>
      <c r="E3617" s="73"/>
      <c r="F3617" s="45"/>
    </row>
    <row r="3618" spans="4:6" x14ac:dyDescent="0.2">
      <c r="D3618" s="50"/>
      <c r="E3618" s="73"/>
      <c r="F3618" s="45"/>
    </row>
    <row r="3619" spans="4:6" x14ac:dyDescent="0.2">
      <c r="D3619" s="50"/>
      <c r="E3619" s="73"/>
      <c r="F3619" s="45"/>
    </row>
    <row r="3620" spans="4:6" x14ac:dyDescent="0.2">
      <c r="D3620" s="50"/>
      <c r="E3620" s="73"/>
      <c r="F3620" s="45"/>
    </row>
    <row r="3621" spans="4:6" x14ac:dyDescent="0.2">
      <c r="D3621" s="50"/>
      <c r="E3621" s="73"/>
      <c r="F3621" s="45"/>
    </row>
    <row r="3622" spans="4:6" x14ac:dyDescent="0.2">
      <c r="D3622" s="50"/>
      <c r="E3622" s="73"/>
      <c r="F3622" s="45"/>
    </row>
    <row r="3623" spans="4:6" x14ac:dyDescent="0.2">
      <c r="D3623" s="50"/>
      <c r="E3623" s="73"/>
      <c r="F3623" s="45"/>
    </row>
    <row r="3624" spans="4:6" x14ac:dyDescent="0.2">
      <c r="D3624" s="50"/>
      <c r="E3624" s="73"/>
      <c r="F3624" s="45"/>
    </row>
    <row r="3625" spans="4:6" x14ac:dyDescent="0.2">
      <c r="D3625" s="50"/>
      <c r="E3625" s="73"/>
      <c r="F3625" s="45"/>
    </row>
    <row r="3626" spans="4:6" x14ac:dyDescent="0.2">
      <c r="D3626" s="50"/>
      <c r="E3626" s="73"/>
      <c r="F3626" s="45"/>
    </row>
    <row r="3627" spans="4:6" x14ac:dyDescent="0.2">
      <c r="D3627" s="50"/>
      <c r="E3627" s="73"/>
      <c r="F3627" s="45"/>
    </row>
    <row r="3628" spans="4:6" x14ac:dyDescent="0.2">
      <c r="D3628" s="50"/>
      <c r="E3628" s="73"/>
      <c r="F3628" s="45"/>
    </row>
    <row r="3629" spans="4:6" x14ac:dyDescent="0.2">
      <c r="D3629" s="50"/>
      <c r="E3629" s="73"/>
      <c r="F3629" s="45"/>
    </row>
    <row r="3630" spans="4:6" x14ac:dyDescent="0.2">
      <c r="D3630" s="50"/>
      <c r="E3630" s="73"/>
      <c r="F3630" s="45"/>
    </row>
    <row r="3631" spans="4:6" x14ac:dyDescent="0.2">
      <c r="D3631" s="50"/>
      <c r="E3631" s="73"/>
      <c r="F3631" s="45"/>
    </row>
    <row r="3632" spans="4:6" x14ac:dyDescent="0.2">
      <c r="D3632" s="50"/>
      <c r="E3632" s="73"/>
      <c r="F3632" s="45"/>
    </row>
    <row r="3633" spans="4:6" x14ac:dyDescent="0.2">
      <c r="D3633" s="50"/>
      <c r="E3633" s="73"/>
      <c r="F3633" s="45"/>
    </row>
    <row r="3634" spans="4:6" x14ac:dyDescent="0.2">
      <c r="D3634" s="50"/>
      <c r="E3634" s="73"/>
      <c r="F3634" s="45"/>
    </row>
    <row r="3635" spans="4:6" x14ac:dyDescent="0.2">
      <c r="D3635" s="50"/>
      <c r="E3635" s="73"/>
      <c r="F3635" s="45"/>
    </row>
    <row r="3636" spans="4:6" x14ac:dyDescent="0.2">
      <c r="D3636" s="50"/>
      <c r="E3636" s="73"/>
      <c r="F3636" s="45"/>
    </row>
    <row r="3637" spans="4:6" x14ac:dyDescent="0.2">
      <c r="D3637" s="50"/>
      <c r="E3637" s="73"/>
      <c r="F3637" s="45"/>
    </row>
    <row r="3638" spans="4:6" x14ac:dyDescent="0.2">
      <c r="D3638" s="50"/>
      <c r="E3638" s="73"/>
      <c r="F3638" s="45"/>
    </row>
    <row r="3639" spans="4:6" x14ac:dyDescent="0.2">
      <c r="D3639" s="50"/>
      <c r="E3639" s="73"/>
      <c r="F3639" s="45"/>
    </row>
    <row r="3640" spans="4:6" x14ac:dyDescent="0.2">
      <c r="D3640" s="50"/>
      <c r="E3640" s="73"/>
      <c r="F3640" s="45"/>
    </row>
    <row r="3641" spans="4:6" x14ac:dyDescent="0.2">
      <c r="D3641" s="50"/>
      <c r="E3641" s="73"/>
      <c r="F3641" s="45"/>
    </row>
    <row r="3642" spans="4:6" x14ac:dyDescent="0.2">
      <c r="D3642" s="50"/>
      <c r="E3642" s="73"/>
      <c r="F3642" s="45"/>
    </row>
    <row r="3643" spans="4:6" x14ac:dyDescent="0.2">
      <c r="D3643" s="50"/>
      <c r="E3643" s="73"/>
      <c r="F3643" s="45"/>
    </row>
    <row r="3644" spans="4:6" x14ac:dyDescent="0.2">
      <c r="D3644" s="50"/>
      <c r="E3644" s="73"/>
      <c r="F3644" s="45"/>
    </row>
    <row r="3645" spans="4:6" x14ac:dyDescent="0.2">
      <c r="D3645" s="50"/>
      <c r="E3645" s="73"/>
      <c r="F3645" s="45"/>
    </row>
    <row r="3646" spans="4:6" x14ac:dyDescent="0.2">
      <c r="D3646" s="50"/>
      <c r="E3646" s="73"/>
      <c r="F3646" s="45"/>
    </row>
    <row r="3647" spans="4:6" x14ac:dyDescent="0.2">
      <c r="D3647" s="50"/>
      <c r="E3647" s="73"/>
      <c r="F3647" s="45"/>
    </row>
    <row r="3648" spans="4:6" x14ac:dyDescent="0.2">
      <c r="D3648" s="50"/>
      <c r="E3648" s="73"/>
      <c r="F3648" s="45"/>
    </row>
    <row r="3649" spans="4:6" x14ac:dyDescent="0.2">
      <c r="D3649" s="50"/>
      <c r="E3649" s="73"/>
      <c r="F3649" s="45"/>
    </row>
    <row r="3650" spans="4:6" x14ac:dyDescent="0.2">
      <c r="D3650" s="50"/>
      <c r="E3650" s="73"/>
      <c r="F3650" s="45"/>
    </row>
    <row r="3651" spans="4:6" x14ac:dyDescent="0.2">
      <c r="D3651" s="50"/>
      <c r="E3651" s="73"/>
      <c r="F3651" s="45"/>
    </row>
    <row r="3652" spans="4:6" x14ac:dyDescent="0.2">
      <c r="D3652" s="50"/>
      <c r="E3652" s="73"/>
      <c r="F3652" s="45"/>
    </row>
    <row r="3653" spans="4:6" x14ac:dyDescent="0.2">
      <c r="D3653" s="50"/>
      <c r="E3653" s="73"/>
      <c r="F3653" s="45"/>
    </row>
    <row r="3654" spans="4:6" x14ac:dyDescent="0.2">
      <c r="D3654" s="50"/>
      <c r="E3654" s="73"/>
      <c r="F3654" s="45"/>
    </row>
    <row r="3655" spans="4:6" x14ac:dyDescent="0.2">
      <c r="D3655" s="50"/>
      <c r="E3655" s="73"/>
      <c r="F3655" s="45"/>
    </row>
    <row r="3656" spans="4:6" x14ac:dyDescent="0.2">
      <c r="D3656" s="50"/>
      <c r="E3656" s="73"/>
      <c r="F3656" s="45"/>
    </row>
    <row r="3657" spans="4:6" x14ac:dyDescent="0.2">
      <c r="D3657" s="50"/>
      <c r="E3657" s="73"/>
      <c r="F3657" s="45"/>
    </row>
    <row r="3658" spans="4:6" x14ac:dyDescent="0.2">
      <c r="D3658" s="50"/>
      <c r="E3658" s="73"/>
      <c r="F3658" s="45"/>
    </row>
    <row r="3659" spans="4:6" x14ac:dyDescent="0.2">
      <c r="D3659" s="50"/>
      <c r="E3659" s="73"/>
      <c r="F3659" s="45"/>
    </row>
    <row r="3660" spans="4:6" x14ac:dyDescent="0.2">
      <c r="D3660" s="50"/>
      <c r="E3660" s="73"/>
      <c r="F3660" s="45"/>
    </row>
    <row r="3661" spans="4:6" x14ac:dyDescent="0.2">
      <c r="D3661" s="50"/>
      <c r="E3661" s="73"/>
      <c r="F3661" s="45"/>
    </row>
    <row r="3662" spans="4:6" x14ac:dyDescent="0.2">
      <c r="D3662" s="50"/>
      <c r="E3662" s="73"/>
      <c r="F3662" s="45"/>
    </row>
    <row r="3663" spans="4:6" x14ac:dyDescent="0.2">
      <c r="D3663" s="50"/>
      <c r="E3663" s="73"/>
      <c r="F3663" s="45"/>
    </row>
    <row r="3664" spans="4:6" x14ac:dyDescent="0.2">
      <c r="D3664" s="50"/>
      <c r="E3664" s="73"/>
      <c r="F3664" s="45"/>
    </row>
    <row r="3665" spans="4:6" x14ac:dyDescent="0.2">
      <c r="D3665" s="50"/>
      <c r="E3665" s="73"/>
      <c r="F3665" s="45"/>
    </row>
    <row r="3666" spans="4:6" x14ac:dyDescent="0.2">
      <c r="D3666" s="50"/>
      <c r="E3666" s="73"/>
      <c r="F3666" s="45"/>
    </row>
    <row r="3667" spans="4:6" x14ac:dyDescent="0.2">
      <c r="D3667" s="50"/>
      <c r="E3667" s="73"/>
      <c r="F3667" s="45"/>
    </row>
    <row r="3668" spans="4:6" x14ac:dyDescent="0.2">
      <c r="D3668" s="50"/>
      <c r="E3668" s="73"/>
      <c r="F3668" s="45"/>
    </row>
    <row r="3669" spans="4:6" x14ac:dyDescent="0.2">
      <c r="D3669" s="50"/>
      <c r="E3669" s="73"/>
      <c r="F3669" s="45"/>
    </row>
    <row r="3670" spans="4:6" x14ac:dyDescent="0.2">
      <c r="D3670" s="50"/>
      <c r="E3670" s="73"/>
      <c r="F3670" s="45"/>
    </row>
    <row r="3671" spans="4:6" x14ac:dyDescent="0.2">
      <c r="D3671" s="50"/>
      <c r="E3671" s="73"/>
      <c r="F3671" s="45"/>
    </row>
    <row r="3672" spans="4:6" x14ac:dyDescent="0.2">
      <c r="D3672" s="50"/>
      <c r="E3672" s="73"/>
      <c r="F3672" s="45"/>
    </row>
    <row r="3673" spans="4:6" x14ac:dyDescent="0.2">
      <c r="D3673" s="50"/>
      <c r="E3673" s="73"/>
      <c r="F3673" s="45"/>
    </row>
    <row r="3674" spans="4:6" x14ac:dyDescent="0.2">
      <c r="D3674" s="50"/>
      <c r="E3674" s="73"/>
      <c r="F3674" s="45"/>
    </row>
    <row r="3675" spans="4:6" x14ac:dyDescent="0.2">
      <c r="D3675" s="50"/>
      <c r="E3675" s="73"/>
      <c r="F3675" s="45"/>
    </row>
    <row r="3676" spans="4:6" x14ac:dyDescent="0.2">
      <c r="D3676" s="50"/>
      <c r="E3676" s="73"/>
      <c r="F3676" s="45"/>
    </row>
    <row r="3677" spans="4:6" x14ac:dyDescent="0.2">
      <c r="D3677" s="50"/>
      <c r="E3677" s="73"/>
      <c r="F3677" s="45"/>
    </row>
    <row r="3678" spans="4:6" x14ac:dyDescent="0.2">
      <c r="D3678" s="50"/>
      <c r="E3678" s="73"/>
      <c r="F3678" s="45"/>
    </row>
    <row r="3679" spans="4:6" x14ac:dyDescent="0.2">
      <c r="D3679" s="50"/>
      <c r="E3679" s="73"/>
      <c r="F3679" s="45"/>
    </row>
    <row r="3680" spans="4:6" x14ac:dyDescent="0.2">
      <c r="D3680" s="50"/>
      <c r="E3680" s="73"/>
      <c r="F3680" s="45"/>
    </row>
    <row r="3681" spans="4:6" x14ac:dyDescent="0.2">
      <c r="D3681" s="50"/>
      <c r="E3681" s="73"/>
      <c r="F3681" s="45"/>
    </row>
    <row r="3682" spans="4:6" x14ac:dyDescent="0.2">
      <c r="D3682" s="50"/>
      <c r="E3682" s="73"/>
      <c r="F3682" s="45"/>
    </row>
    <row r="3683" spans="4:6" x14ac:dyDescent="0.2">
      <c r="D3683" s="50"/>
      <c r="E3683" s="73"/>
      <c r="F3683" s="45"/>
    </row>
    <row r="3684" spans="4:6" x14ac:dyDescent="0.2">
      <c r="D3684" s="50"/>
      <c r="E3684" s="73"/>
      <c r="F3684" s="45"/>
    </row>
    <row r="3685" spans="4:6" x14ac:dyDescent="0.2">
      <c r="D3685" s="50"/>
      <c r="E3685" s="73"/>
      <c r="F3685" s="45"/>
    </row>
    <row r="3686" spans="4:6" x14ac:dyDescent="0.2">
      <c r="D3686" s="50"/>
      <c r="E3686" s="73"/>
      <c r="F3686" s="45"/>
    </row>
    <row r="3687" spans="4:6" x14ac:dyDescent="0.2">
      <c r="D3687" s="50"/>
      <c r="E3687" s="73"/>
      <c r="F3687" s="45"/>
    </row>
    <row r="3688" spans="4:6" x14ac:dyDescent="0.2">
      <c r="D3688" s="50"/>
      <c r="E3688" s="73"/>
      <c r="F3688" s="45"/>
    </row>
    <row r="3689" spans="4:6" x14ac:dyDescent="0.2">
      <c r="D3689" s="50"/>
      <c r="E3689" s="73"/>
      <c r="F3689" s="45"/>
    </row>
    <row r="3690" spans="4:6" x14ac:dyDescent="0.2">
      <c r="D3690" s="50"/>
      <c r="E3690" s="73"/>
      <c r="F3690" s="45"/>
    </row>
    <row r="3691" spans="4:6" x14ac:dyDescent="0.2">
      <c r="D3691" s="50"/>
      <c r="E3691" s="73"/>
      <c r="F3691" s="45"/>
    </row>
    <row r="3692" spans="4:6" x14ac:dyDescent="0.2">
      <c r="D3692" s="50"/>
      <c r="E3692" s="73"/>
      <c r="F3692" s="45"/>
    </row>
    <row r="3693" spans="4:6" x14ac:dyDescent="0.2">
      <c r="D3693" s="50"/>
      <c r="E3693" s="73"/>
      <c r="F3693" s="45"/>
    </row>
    <row r="3694" spans="4:6" x14ac:dyDescent="0.2">
      <c r="D3694" s="50"/>
      <c r="E3694" s="73"/>
      <c r="F3694" s="45"/>
    </row>
    <row r="3695" spans="4:6" x14ac:dyDescent="0.2">
      <c r="D3695" s="50"/>
      <c r="E3695" s="73"/>
      <c r="F3695" s="45"/>
    </row>
    <row r="3696" spans="4:6" x14ac:dyDescent="0.2">
      <c r="D3696" s="50"/>
      <c r="E3696" s="73"/>
      <c r="F3696" s="45"/>
    </row>
    <row r="3697" spans="4:6" x14ac:dyDescent="0.2">
      <c r="D3697" s="50"/>
      <c r="E3697" s="73"/>
      <c r="F3697" s="45"/>
    </row>
    <row r="3698" spans="4:6" x14ac:dyDescent="0.2">
      <c r="D3698" s="50"/>
      <c r="E3698" s="73"/>
      <c r="F3698" s="45"/>
    </row>
    <row r="3699" spans="4:6" x14ac:dyDescent="0.2">
      <c r="D3699" s="50"/>
      <c r="E3699" s="73"/>
      <c r="F3699" s="45"/>
    </row>
    <row r="3700" spans="4:6" x14ac:dyDescent="0.2">
      <c r="D3700" s="50"/>
      <c r="E3700" s="73"/>
      <c r="F3700" s="45"/>
    </row>
    <row r="3701" spans="4:6" x14ac:dyDescent="0.2">
      <c r="D3701" s="50"/>
      <c r="E3701" s="73"/>
      <c r="F3701" s="45"/>
    </row>
    <row r="3702" spans="4:6" x14ac:dyDescent="0.2">
      <c r="D3702" s="50"/>
      <c r="E3702" s="73"/>
      <c r="F3702" s="45"/>
    </row>
    <row r="3703" spans="4:6" x14ac:dyDescent="0.2">
      <c r="D3703" s="50"/>
      <c r="E3703" s="73"/>
      <c r="F3703" s="45"/>
    </row>
    <row r="3704" spans="4:6" x14ac:dyDescent="0.2">
      <c r="D3704" s="50"/>
      <c r="E3704" s="73"/>
      <c r="F3704" s="45"/>
    </row>
    <row r="3705" spans="4:6" x14ac:dyDescent="0.2">
      <c r="D3705" s="50"/>
      <c r="E3705" s="73"/>
      <c r="F3705" s="45"/>
    </row>
    <row r="3706" spans="4:6" x14ac:dyDescent="0.2">
      <c r="D3706" s="50"/>
      <c r="E3706" s="73"/>
      <c r="F3706" s="45"/>
    </row>
    <row r="3707" spans="4:6" x14ac:dyDescent="0.2">
      <c r="D3707" s="50"/>
      <c r="E3707" s="73"/>
      <c r="F3707" s="45"/>
    </row>
    <row r="3708" spans="4:6" x14ac:dyDescent="0.2">
      <c r="D3708" s="50"/>
      <c r="E3708" s="73"/>
      <c r="F3708" s="45"/>
    </row>
    <row r="3709" spans="4:6" x14ac:dyDescent="0.2">
      <c r="D3709" s="50"/>
      <c r="E3709" s="73"/>
      <c r="F3709" s="45"/>
    </row>
    <row r="3710" spans="4:6" x14ac:dyDescent="0.2">
      <c r="D3710" s="50"/>
      <c r="E3710" s="73"/>
      <c r="F3710" s="45"/>
    </row>
    <row r="3711" spans="4:6" x14ac:dyDescent="0.2">
      <c r="D3711" s="50"/>
      <c r="E3711" s="73"/>
      <c r="F3711" s="45"/>
    </row>
    <row r="3712" spans="4:6" x14ac:dyDescent="0.2">
      <c r="D3712" s="50"/>
      <c r="E3712" s="73"/>
      <c r="F3712" s="45"/>
    </row>
    <row r="3713" spans="4:6" x14ac:dyDescent="0.2">
      <c r="D3713" s="50"/>
      <c r="E3713" s="73"/>
      <c r="F3713" s="45"/>
    </row>
    <row r="3714" spans="4:6" x14ac:dyDescent="0.2">
      <c r="D3714" s="50"/>
      <c r="E3714" s="73"/>
      <c r="F3714" s="45"/>
    </row>
    <row r="3715" spans="4:6" x14ac:dyDescent="0.2">
      <c r="D3715" s="50"/>
      <c r="E3715" s="73"/>
      <c r="F3715" s="45"/>
    </row>
    <row r="3716" spans="4:6" x14ac:dyDescent="0.2">
      <c r="D3716" s="50"/>
      <c r="E3716" s="73"/>
      <c r="F3716" s="45"/>
    </row>
    <row r="3717" spans="4:6" x14ac:dyDescent="0.2">
      <c r="D3717" s="50"/>
      <c r="E3717" s="73"/>
      <c r="F3717" s="45"/>
    </row>
    <row r="3718" spans="4:6" x14ac:dyDescent="0.2">
      <c r="D3718" s="50"/>
      <c r="E3718" s="73"/>
      <c r="F3718" s="45"/>
    </row>
    <row r="3719" spans="4:6" x14ac:dyDescent="0.2">
      <c r="D3719" s="50"/>
      <c r="E3719" s="73"/>
      <c r="F3719" s="45"/>
    </row>
    <row r="3720" spans="4:6" x14ac:dyDescent="0.2">
      <c r="D3720" s="50"/>
      <c r="E3720" s="73"/>
      <c r="F3720" s="45"/>
    </row>
    <row r="3721" spans="4:6" x14ac:dyDescent="0.2">
      <c r="D3721" s="50"/>
      <c r="E3721" s="73"/>
      <c r="F3721" s="45"/>
    </row>
    <row r="3722" spans="4:6" x14ac:dyDescent="0.2">
      <c r="D3722" s="50"/>
      <c r="E3722" s="73"/>
      <c r="F3722" s="45"/>
    </row>
    <row r="3723" spans="4:6" x14ac:dyDescent="0.2">
      <c r="D3723" s="50"/>
      <c r="E3723" s="73"/>
      <c r="F3723" s="45"/>
    </row>
    <row r="3724" spans="4:6" x14ac:dyDescent="0.2">
      <c r="D3724" s="50"/>
      <c r="E3724" s="73"/>
      <c r="F3724" s="45"/>
    </row>
    <row r="3725" spans="4:6" x14ac:dyDescent="0.2">
      <c r="D3725" s="50"/>
      <c r="E3725" s="73"/>
      <c r="F3725" s="45"/>
    </row>
    <row r="3726" spans="4:6" x14ac:dyDescent="0.2">
      <c r="D3726" s="50"/>
      <c r="E3726" s="73"/>
      <c r="F3726" s="45"/>
    </row>
    <row r="3727" spans="4:6" x14ac:dyDescent="0.2">
      <c r="D3727" s="50"/>
      <c r="E3727" s="73"/>
      <c r="F3727" s="45"/>
    </row>
    <row r="3728" spans="4:6" x14ac:dyDescent="0.2">
      <c r="D3728" s="50"/>
      <c r="E3728" s="73"/>
      <c r="F3728" s="45"/>
    </row>
    <row r="3729" spans="4:6" x14ac:dyDescent="0.2">
      <c r="D3729" s="50"/>
      <c r="E3729" s="73"/>
      <c r="F3729" s="45"/>
    </row>
    <row r="3730" spans="4:6" x14ac:dyDescent="0.2">
      <c r="D3730" s="50"/>
      <c r="E3730" s="73"/>
      <c r="F3730" s="45"/>
    </row>
    <row r="3731" spans="4:6" x14ac:dyDescent="0.2">
      <c r="D3731" s="50"/>
      <c r="E3731" s="73"/>
      <c r="F3731" s="45"/>
    </row>
    <row r="3732" spans="4:6" x14ac:dyDescent="0.2">
      <c r="D3732" s="50"/>
      <c r="E3732" s="73"/>
      <c r="F3732" s="45"/>
    </row>
    <row r="3733" spans="4:6" x14ac:dyDescent="0.2">
      <c r="D3733" s="50"/>
      <c r="E3733" s="73"/>
      <c r="F3733" s="45"/>
    </row>
    <row r="3734" spans="4:6" x14ac:dyDescent="0.2">
      <c r="D3734" s="50"/>
      <c r="E3734" s="73"/>
      <c r="F3734" s="45"/>
    </row>
    <row r="3735" spans="4:6" x14ac:dyDescent="0.2">
      <c r="D3735" s="50"/>
      <c r="E3735" s="73"/>
      <c r="F3735" s="45"/>
    </row>
    <row r="3736" spans="4:6" x14ac:dyDescent="0.2">
      <c r="D3736" s="50"/>
      <c r="E3736" s="73"/>
      <c r="F3736" s="45"/>
    </row>
    <row r="3737" spans="4:6" x14ac:dyDescent="0.2">
      <c r="D3737" s="50"/>
      <c r="E3737" s="73"/>
      <c r="F3737" s="45"/>
    </row>
    <row r="3738" spans="4:6" x14ac:dyDescent="0.2">
      <c r="D3738" s="50"/>
      <c r="E3738" s="73"/>
      <c r="F3738" s="45"/>
    </row>
    <row r="3739" spans="4:6" x14ac:dyDescent="0.2">
      <c r="D3739" s="50"/>
      <c r="E3739" s="73"/>
      <c r="F3739" s="45"/>
    </row>
    <row r="3740" spans="4:6" x14ac:dyDescent="0.2">
      <c r="D3740" s="50"/>
      <c r="E3740" s="73"/>
      <c r="F3740" s="45"/>
    </row>
    <row r="3741" spans="4:6" x14ac:dyDescent="0.2">
      <c r="D3741" s="50"/>
      <c r="E3741" s="73"/>
      <c r="F3741" s="45"/>
    </row>
    <row r="3742" spans="4:6" x14ac:dyDescent="0.2">
      <c r="D3742" s="50"/>
      <c r="E3742" s="73"/>
      <c r="F3742" s="45"/>
    </row>
    <row r="3743" spans="4:6" x14ac:dyDescent="0.2">
      <c r="D3743" s="50"/>
      <c r="E3743" s="73"/>
      <c r="F3743" s="45"/>
    </row>
    <row r="3744" spans="4:6" x14ac:dyDescent="0.2">
      <c r="D3744" s="50"/>
      <c r="E3744" s="73"/>
      <c r="F3744" s="45"/>
    </row>
    <row r="3745" spans="4:6" x14ac:dyDescent="0.2">
      <c r="D3745" s="50"/>
      <c r="E3745" s="73"/>
      <c r="F3745" s="45"/>
    </row>
    <row r="3746" spans="4:6" x14ac:dyDescent="0.2">
      <c r="D3746" s="50"/>
      <c r="E3746" s="73"/>
      <c r="F3746" s="45"/>
    </row>
    <row r="3747" spans="4:6" x14ac:dyDescent="0.2">
      <c r="D3747" s="50"/>
      <c r="E3747" s="73"/>
      <c r="F3747" s="45"/>
    </row>
    <row r="3748" spans="4:6" x14ac:dyDescent="0.2">
      <c r="D3748" s="50"/>
      <c r="E3748" s="73"/>
      <c r="F3748" s="45"/>
    </row>
    <row r="3749" spans="4:6" x14ac:dyDescent="0.2">
      <c r="D3749" s="50"/>
      <c r="E3749" s="73"/>
      <c r="F3749" s="45"/>
    </row>
    <row r="3750" spans="4:6" x14ac:dyDescent="0.2">
      <c r="D3750" s="50"/>
      <c r="E3750" s="73"/>
      <c r="F3750" s="45"/>
    </row>
    <row r="3751" spans="4:6" x14ac:dyDescent="0.2">
      <c r="D3751" s="50"/>
      <c r="E3751" s="73"/>
      <c r="F3751" s="45"/>
    </row>
    <row r="3752" spans="4:6" x14ac:dyDescent="0.2">
      <c r="D3752" s="50"/>
      <c r="E3752" s="73"/>
      <c r="F3752" s="45"/>
    </row>
    <row r="3753" spans="4:6" x14ac:dyDescent="0.2">
      <c r="D3753" s="50"/>
      <c r="E3753" s="73"/>
      <c r="F3753" s="45"/>
    </row>
    <row r="3754" spans="4:6" x14ac:dyDescent="0.2">
      <c r="D3754" s="50"/>
      <c r="E3754" s="73"/>
      <c r="F3754" s="45"/>
    </row>
    <row r="3755" spans="4:6" x14ac:dyDescent="0.2">
      <c r="D3755" s="50"/>
      <c r="E3755" s="73"/>
      <c r="F3755" s="45"/>
    </row>
    <row r="3756" spans="4:6" x14ac:dyDescent="0.2">
      <c r="D3756" s="50"/>
      <c r="E3756" s="73"/>
      <c r="F3756" s="45"/>
    </row>
    <row r="3757" spans="4:6" x14ac:dyDescent="0.2">
      <c r="D3757" s="50"/>
      <c r="E3757" s="73"/>
      <c r="F3757" s="45"/>
    </row>
    <row r="3758" spans="4:6" x14ac:dyDescent="0.2">
      <c r="D3758" s="50"/>
      <c r="E3758" s="73"/>
      <c r="F3758" s="45"/>
    </row>
    <row r="3759" spans="4:6" x14ac:dyDescent="0.2">
      <c r="D3759" s="50"/>
      <c r="E3759" s="73"/>
      <c r="F3759" s="45"/>
    </row>
    <row r="3760" spans="4:6" x14ac:dyDescent="0.2">
      <c r="D3760" s="50"/>
      <c r="E3760" s="73"/>
      <c r="F3760" s="45"/>
    </row>
    <row r="3761" spans="4:6" x14ac:dyDescent="0.2">
      <c r="D3761" s="50"/>
      <c r="E3761" s="73"/>
      <c r="F3761" s="45"/>
    </row>
    <row r="3762" spans="4:6" x14ac:dyDescent="0.2">
      <c r="D3762" s="50"/>
      <c r="E3762" s="73"/>
      <c r="F3762" s="45"/>
    </row>
    <row r="3763" spans="4:6" x14ac:dyDescent="0.2">
      <c r="D3763" s="50"/>
      <c r="E3763" s="73"/>
      <c r="F3763" s="45"/>
    </row>
    <row r="3764" spans="4:6" x14ac:dyDescent="0.2">
      <c r="D3764" s="50"/>
      <c r="E3764" s="73"/>
      <c r="F3764" s="45"/>
    </row>
    <row r="3765" spans="4:6" x14ac:dyDescent="0.2">
      <c r="D3765" s="50"/>
      <c r="E3765" s="73"/>
      <c r="F3765" s="45"/>
    </row>
    <row r="3766" spans="4:6" x14ac:dyDescent="0.2">
      <c r="D3766" s="50"/>
      <c r="E3766" s="73"/>
      <c r="F3766" s="45"/>
    </row>
    <row r="3767" spans="4:6" x14ac:dyDescent="0.2">
      <c r="D3767" s="50"/>
      <c r="E3767" s="73"/>
      <c r="F3767" s="45"/>
    </row>
    <row r="3768" spans="4:6" x14ac:dyDescent="0.2">
      <c r="D3768" s="50"/>
      <c r="E3768" s="73"/>
      <c r="F3768" s="45"/>
    </row>
    <row r="3769" spans="4:6" x14ac:dyDescent="0.2">
      <c r="D3769" s="50"/>
      <c r="E3769" s="73"/>
      <c r="F3769" s="45"/>
    </row>
    <row r="3770" spans="4:6" x14ac:dyDescent="0.2">
      <c r="D3770" s="50"/>
      <c r="E3770" s="73"/>
      <c r="F3770" s="45"/>
    </row>
    <row r="3771" spans="4:6" x14ac:dyDescent="0.2">
      <c r="D3771" s="50"/>
      <c r="E3771" s="73"/>
      <c r="F3771" s="45"/>
    </row>
    <row r="3772" spans="4:6" x14ac:dyDescent="0.2">
      <c r="D3772" s="50"/>
      <c r="E3772" s="73"/>
      <c r="F3772" s="45"/>
    </row>
    <row r="3773" spans="4:6" x14ac:dyDescent="0.2">
      <c r="D3773" s="50"/>
      <c r="E3773" s="73"/>
      <c r="F3773" s="45"/>
    </row>
    <row r="3774" spans="4:6" x14ac:dyDescent="0.2">
      <c r="D3774" s="50"/>
      <c r="E3774" s="73"/>
      <c r="F3774" s="45"/>
    </row>
    <row r="3775" spans="4:6" x14ac:dyDescent="0.2">
      <c r="D3775" s="50"/>
      <c r="E3775" s="73"/>
      <c r="F3775" s="45"/>
    </row>
    <row r="3776" spans="4:6" x14ac:dyDescent="0.2">
      <c r="D3776" s="50"/>
      <c r="E3776" s="73"/>
      <c r="F3776" s="45"/>
    </row>
    <row r="3777" spans="4:6" x14ac:dyDescent="0.2">
      <c r="D3777" s="50"/>
      <c r="E3777" s="73"/>
      <c r="F3777" s="45"/>
    </row>
    <row r="3778" spans="4:6" x14ac:dyDescent="0.2">
      <c r="D3778" s="50"/>
      <c r="E3778" s="73"/>
      <c r="F3778" s="45"/>
    </row>
    <row r="3779" spans="4:6" x14ac:dyDescent="0.2">
      <c r="D3779" s="50"/>
      <c r="E3779" s="73"/>
      <c r="F3779" s="45"/>
    </row>
    <row r="3780" spans="4:6" x14ac:dyDescent="0.2">
      <c r="D3780" s="50"/>
      <c r="E3780" s="73"/>
      <c r="F3780" s="45"/>
    </row>
    <row r="3781" spans="4:6" x14ac:dyDescent="0.2">
      <c r="D3781" s="50"/>
      <c r="E3781" s="73"/>
      <c r="F3781" s="45"/>
    </row>
    <row r="3782" spans="4:6" x14ac:dyDescent="0.2">
      <c r="D3782" s="50"/>
      <c r="E3782" s="73"/>
      <c r="F3782" s="45"/>
    </row>
    <row r="3783" spans="4:6" x14ac:dyDescent="0.2">
      <c r="D3783" s="50"/>
      <c r="E3783" s="73"/>
      <c r="F3783" s="45"/>
    </row>
    <row r="3784" spans="4:6" x14ac:dyDescent="0.2">
      <c r="D3784" s="50"/>
      <c r="E3784" s="73"/>
      <c r="F3784" s="45"/>
    </row>
    <row r="3785" spans="4:6" x14ac:dyDescent="0.2">
      <c r="D3785" s="50"/>
      <c r="E3785" s="73"/>
      <c r="F3785" s="45"/>
    </row>
    <row r="3786" spans="4:6" x14ac:dyDescent="0.2">
      <c r="D3786" s="50"/>
      <c r="E3786" s="73"/>
      <c r="F3786" s="45"/>
    </row>
    <row r="3787" spans="4:6" x14ac:dyDescent="0.2">
      <c r="D3787" s="50"/>
      <c r="E3787" s="73"/>
      <c r="F3787" s="45"/>
    </row>
    <row r="3788" spans="4:6" x14ac:dyDescent="0.2">
      <c r="D3788" s="50"/>
      <c r="E3788" s="73"/>
      <c r="F3788" s="45"/>
    </row>
    <row r="3789" spans="4:6" x14ac:dyDescent="0.2">
      <c r="D3789" s="50"/>
      <c r="E3789" s="73"/>
      <c r="F3789" s="45"/>
    </row>
    <row r="3790" spans="4:6" x14ac:dyDescent="0.2">
      <c r="D3790" s="50"/>
      <c r="E3790" s="73"/>
      <c r="F3790" s="45"/>
    </row>
    <row r="3791" spans="4:6" x14ac:dyDescent="0.2">
      <c r="D3791" s="50"/>
      <c r="E3791" s="73"/>
      <c r="F3791" s="45"/>
    </row>
    <row r="3792" spans="4:6" x14ac:dyDescent="0.2">
      <c r="D3792" s="50"/>
      <c r="E3792" s="73"/>
      <c r="F3792" s="45"/>
    </row>
    <row r="3793" spans="4:6" x14ac:dyDescent="0.2">
      <c r="D3793" s="50"/>
      <c r="E3793" s="73"/>
      <c r="F3793" s="45"/>
    </row>
    <row r="3794" spans="4:6" x14ac:dyDescent="0.2">
      <c r="D3794" s="50"/>
      <c r="E3794" s="73"/>
      <c r="F3794" s="45"/>
    </row>
    <row r="3795" spans="4:6" x14ac:dyDescent="0.2">
      <c r="D3795" s="50"/>
      <c r="E3795" s="73"/>
      <c r="F3795" s="45"/>
    </row>
    <row r="3796" spans="4:6" x14ac:dyDescent="0.2">
      <c r="D3796" s="50"/>
      <c r="E3796" s="73"/>
      <c r="F3796" s="45"/>
    </row>
    <row r="3797" spans="4:6" x14ac:dyDescent="0.2">
      <c r="D3797" s="50"/>
      <c r="E3797" s="73"/>
      <c r="F3797" s="45"/>
    </row>
    <row r="3798" spans="4:6" x14ac:dyDescent="0.2">
      <c r="D3798" s="50"/>
      <c r="E3798" s="73"/>
      <c r="F3798" s="45"/>
    </row>
    <row r="3799" spans="4:6" x14ac:dyDescent="0.2">
      <c r="D3799" s="50"/>
      <c r="E3799" s="73"/>
      <c r="F3799" s="45"/>
    </row>
    <row r="3800" spans="4:6" x14ac:dyDescent="0.2">
      <c r="D3800" s="50"/>
      <c r="E3800" s="73"/>
      <c r="F3800" s="45"/>
    </row>
    <row r="3801" spans="4:6" x14ac:dyDescent="0.2">
      <c r="D3801" s="50"/>
      <c r="E3801" s="73"/>
      <c r="F3801" s="45"/>
    </row>
    <row r="3802" spans="4:6" x14ac:dyDescent="0.2">
      <c r="D3802" s="50"/>
      <c r="E3802" s="73"/>
      <c r="F3802" s="45"/>
    </row>
    <row r="3803" spans="4:6" x14ac:dyDescent="0.2">
      <c r="D3803" s="50"/>
      <c r="E3803" s="73"/>
      <c r="F3803" s="45"/>
    </row>
    <row r="3804" spans="4:6" x14ac:dyDescent="0.2">
      <c r="D3804" s="50"/>
      <c r="E3804" s="73"/>
      <c r="F3804" s="45"/>
    </row>
    <row r="3805" spans="4:6" x14ac:dyDescent="0.2">
      <c r="D3805" s="50"/>
      <c r="E3805" s="73"/>
      <c r="F3805" s="45"/>
    </row>
    <row r="3806" spans="4:6" x14ac:dyDescent="0.2">
      <c r="D3806" s="50"/>
      <c r="E3806" s="73"/>
      <c r="F3806" s="45"/>
    </row>
    <row r="3807" spans="4:6" x14ac:dyDescent="0.2">
      <c r="D3807" s="50"/>
      <c r="E3807" s="73"/>
      <c r="F3807" s="45"/>
    </row>
    <row r="3808" spans="4:6" x14ac:dyDescent="0.2">
      <c r="D3808" s="50"/>
      <c r="E3808" s="73"/>
      <c r="F3808" s="45"/>
    </row>
    <row r="3809" spans="4:6" x14ac:dyDescent="0.2">
      <c r="D3809" s="50"/>
      <c r="E3809" s="73"/>
      <c r="F3809" s="45"/>
    </row>
    <row r="3810" spans="4:6" x14ac:dyDescent="0.2">
      <c r="D3810" s="50"/>
      <c r="E3810" s="73"/>
      <c r="F3810" s="45"/>
    </row>
    <row r="3811" spans="4:6" x14ac:dyDescent="0.2">
      <c r="D3811" s="50"/>
      <c r="E3811" s="73"/>
      <c r="F3811" s="45"/>
    </row>
    <row r="3812" spans="4:6" x14ac:dyDescent="0.2">
      <c r="D3812" s="50"/>
      <c r="E3812" s="73"/>
      <c r="F3812" s="45"/>
    </row>
    <row r="3813" spans="4:6" x14ac:dyDescent="0.2">
      <c r="D3813" s="50"/>
      <c r="E3813" s="73"/>
      <c r="F3813" s="45"/>
    </row>
    <row r="3814" spans="4:6" x14ac:dyDescent="0.2">
      <c r="D3814" s="50"/>
      <c r="E3814" s="73"/>
      <c r="F3814" s="45"/>
    </row>
    <row r="3815" spans="4:6" x14ac:dyDescent="0.2">
      <c r="D3815" s="50"/>
      <c r="E3815" s="73"/>
      <c r="F3815" s="45"/>
    </row>
    <row r="3816" spans="4:6" x14ac:dyDescent="0.2">
      <c r="D3816" s="50"/>
      <c r="E3816" s="73"/>
      <c r="F3816" s="45"/>
    </row>
    <row r="3817" spans="4:6" x14ac:dyDescent="0.2">
      <c r="D3817" s="50"/>
      <c r="E3817" s="73"/>
      <c r="F3817" s="45"/>
    </row>
    <row r="3818" spans="4:6" x14ac:dyDescent="0.2">
      <c r="D3818" s="50"/>
      <c r="E3818" s="73"/>
      <c r="F3818" s="45"/>
    </row>
    <row r="3819" spans="4:6" x14ac:dyDescent="0.2">
      <c r="D3819" s="50"/>
      <c r="E3819" s="73"/>
      <c r="F3819" s="45"/>
    </row>
    <row r="3820" spans="4:6" x14ac:dyDescent="0.2">
      <c r="D3820" s="50"/>
      <c r="E3820" s="73"/>
      <c r="F3820" s="45"/>
    </row>
    <row r="3821" spans="4:6" x14ac:dyDescent="0.2">
      <c r="D3821" s="50"/>
      <c r="E3821" s="73"/>
      <c r="F3821" s="45"/>
    </row>
    <row r="3822" spans="4:6" x14ac:dyDescent="0.2">
      <c r="D3822" s="50"/>
      <c r="E3822" s="73"/>
      <c r="F3822" s="45"/>
    </row>
    <row r="3823" spans="4:6" x14ac:dyDescent="0.2">
      <c r="D3823" s="50"/>
      <c r="E3823" s="73"/>
      <c r="F3823" s="45"/>
    </row>
    <row r="3824" spans="4:6" x14ac:dyDescent="0.2">
      <c r="D3824" s="50"/>
      <c r="E3824" s="73"/>
      <c r="F3824" s="45"/>
    </row>
    <row r="3825" spans="4:6" x14ac:dyDescent="0.2">
      <c r="D3825" s="50"/>
      <c r="E3825" s="73"/>
      <c r="F3825" s="45"/>
    </row>
    <row r="3826" spans="4:6" x14ac:dyDescent="0.2">
      <c r="D3826" s="50"/>
      <c r="E3826" s="73"/>
      <c r="F3826" s="45"/>
    </row>
    <row r="3827" spans="4:6" x14ac:dyDescent="0.2">
      <c r="D3827" s="50"/>
      <c r="E3827" s="73"/>
      <c r="F3827" s="45"/>
    </row>
    <row r="3828" spans="4:6" x14ac:dyDescent="0.2">
      <c r="D3828" s="50"/>
      <c r="E3828" s="73"/>
      <c r="F3828" s="45"/>
    </row>
    <row r="3829" spans="4:6" x14ac:dyDescent="0.2">
      <c r="D3829" s="50"/>
      <c r="E3829" s="73"/>
      <c r="F3829" s="45"/>
    </row>
    <row r="3830" spans="4:6" x14ac:dyDescent="0.2">
      <c r="D3830" s="50"/>
      <c r="E3830" s="73"/>
      <c r="F3830" s="45"/>
    </row>
    <row r="3831" spans="4:6" x14ac:dyDescent="0.2">
      <c r="D3831" s="50"/>
      <c r="E3831" s="73"/>
      <c r="F3831" s="45"/>
    </row>
    <row r="3832" spans="4:6" x14ac:dyDescent="0.2">
      <c r="D3832" s="50"/>
      <c r="E3832" s="73"/>
      <c r="F3832" s="45"/>
    </row>
    <row r="3833" spans="4:6" x14ac:dyDescent="0.2">
      <c r="D3833" s="50"/>
      <c r="E3833" s="73"/>
      <c r="F3833" s="45"/>
    </row>
    <row r="3834" spans="4:6" x14ac:dyDescent="0.2">
      <c r="D3834" s="50"/>
      <c r="E3834" s="73"/>
      <c r="F3834" s="45"/>
    </row>
    <row r="3835" spans="4:6" x14ac:dyDescent="0.2">
      <c r="D3835" s="50"/>
      <c r="E3835" s="73"/>
      <c r="F3835" s="45"/>
    </row>
    <row r="3836" spans="4:6" x14ac:dyDescent="0.2">
      <c r="D3836" s="50"/>
      <c r="E3836" s="73"/>
      <c r="F3836" s="45"/>
    </row>
    <row r="3837" spans="4:6" x14ac:dyDescent="0.2">
      <c r="D3837" s="50"/>
      <c r="E3837" s="73"/>
      <c r="F3837" s="45"/>
    </row>
    <row r="3838" spans="4:6" x14ac:dyDescent="0.2">
      <c r="D3838" s="50"/>
      <c r="E3838" s="73"/>
      <c r="F3838" s="45"/>
    </row>
    <row r="3839" spans="4:6" x14ac:dyDescent="0.2">
      <c r="D3839" s="50"/>
      <c r="E3839" s="73"/>
      <c r="F3839" s="45"/>
    </row>
    <row r="3840" spans="4:6" x14ac:dyDescent="0.2">
      <c r="D3840" s="50"/>
      <c r="E3840" s="73"/>
      <c r="F3840" s="45"/>
    </row>
    <row r="3841" spans="4:6" x14ac:dyDescent="0.2">
      <c r="D3841" s="50"/>
      <c r="E3841" s="73"/>
      <c r="F3841" s="45"/>
    </row>
    <row r="3842" spans="4:6" x14ac:dyDescent="0.2">
      <c r="D3842" s="50"/>
      <c r="E3842" s="73"/>
      <c r="F3842" s="45"/>
    </row>
    <row r="3843" spans="4:6" x14ac:dyDescent="0.2">
      <c r="D3843" s="50"/>
      <c r="E3843" s="73"/>
      <c r="F3843" s="45"/>
    </row>
    <row r="3844" spans="4:6" x14ac:dyDescent="0.2">
      <c r="D3844" s="50"/>
      <c r="E3844" s="73"/>
      <c r="F3844" s="45"/>
    </row>
    <row r="3845" spans="4:6" x14ac:dyDescent="0.2">
      <c r="D3845" s="50"/>
      <c r="E3845" s="73"/>
      <c r="F3845" s="45"/>
    </row>
    <row r="3846" spans="4:6" x14ac:dyDescent="0.2">
      <c r="D3846" s="50"/>
      <c r="E3846" s="73"/>
      <c r="F3846" s="45"/>
    </row>
    <row r="3847" spans="4:6" x14ac:dyDescent="0.2">
      <c r="D3847" s="50"/>
      <c r="E3847" s="73"/>
      <c r="F3847" s="45"/>
    </row>
    <row r="3848" spans="4:6" x14ac:dyDescent="0.2">
      <c r="D3848" s="50"/>
      <c r="E3848" s="73"/>
      <c r="F3848" s="45"/>
    </row>
    <row r="3849" spans="4:6" x14ac:dyDescent="0.2">
      <c r="D3849" s="50"/>
      <c r="E3849" s="73"/>
      <c r="F3849" s="45"/>
    </row>
    <row r="3850" spans="4:6" x14ac:dyDescent="0.2">
      <c r="D3850" s="50"/>
      <c r="E3850" s="73"/>
      <c r="F3850" s="45"/>
    </row>
    <row r="3851" spans="4:6" x14ac:dyDescent="0.2">
      <c r="D3851" s="50"/>
      <c r="E3851" s="73"/>
      <c r="F3851" s="45"/>
    </row>
    <row r="3852" spans="4:6" x14ac:dyDescent="0.2">
      <c r="D3852" s="50"/>
      <c r="E3852" s="73"/>
      <c r="F3852" s="45"/>
    </row>
    <row r="3853" spans="4:6" x14ac:dyDescent="0.2">
      <c r="D3853" s="50"/>
      <c r="E3853" s="73"/>
      <c r="F3853" s="45"/>
    </row>
    <row r="3854" spans="4:6" x14ac:dyDescent="0.2">
      <c r="D3854" s="50"/>
      <c r="E3854" s="73"/>
      <c r="F3854" s="45"/>
    </row>
    <row r="3855" spans="4:6" x14ac:dyDescent="0.2">
      <c r="D3855" s="50"/>
      <c r="E3855" s="73"/>
      <c r="F3855" s="45"/>
    </row>
    <row r="3856" spans="4:6" x14ac:dyDescent="0.2">
      <c r="D3856" s="50"/>
      <c r="E3856" s="73"/>
      <c r="F3856" s="45"/>
    </row>
    <row r="3857" spans="4:6" x14ac:dyDescent="0.2">
      <c r="D3857" s="50"/>
      <c r="E3857" s="73"/>
      <c r="F3857" s="45"/>
    </row>
    <row r="3858" spans="4:6" x14ac:dyDescent="0.2">
      <c r="D3858" s="50"/>
      <c r="E3858" s="73"/>
      <c r="F3858" s="45"/>
    </row>
    <row r="3859" spans="4:6" x14ac:dyDescent="0.2">
      <c r="D3859" s="50"/>
      <c r="E3859" s="73"/>
      <c r="F3859" s="45"/>
    </row>
    <row r="3860" spans="4:6" x14ac:dyDescent="0.2">
      <c r="D3860" s="50"/>
      <c r="E3860" s="73"/>
      <c r="F3860" s="45"/>
    </row>
    <row r="3861" spans="4:6" x14ac:dyDescent="0.2">
      <c r="D3861" s="50"/>
      <c r="E3861" s="73"/>
      <c r="F3861" s="45"/>
    </row>
    <row r="3862" spans="4:6" x14ac:dyDescent="0.2">
      <c r="D3862" s="50"/>
      <c r="E3862" s="73"/>
      <c r="F3862" s="45"/>
    </row>
    <row r="3863" spans="4:6" x14ac:dyDescent="0.2">
      <c r="D3863" s="50"/>
      <c r="E3863" s="73"/>
      <c r="F3863" s="45"/>
    </row>
    <row r="3864" spans="4:6" x14ac:dyDescent="0.2">
      <c r="D3864" s="50"/>
      <c r="E3864" s="73"/>
      <c r="F3864" s="45"/>
    </row>
    <row r="3865" spans="4:6" x14ac:dyDescent="0.2">
      <c r="D3865" s="50"/>
      <c r="E3865" s="73"/>
      <c r="F3865" s="45"/>
    </row>
    <row r="3866" spans="4:6" x14ac:dyDescent="0.2">
      <c r="D3866" s="50"/>
      <c r="E3866" s="73"/>
      <c r="F3866" s="45"/>
    </row>
    <row r="3867" spans="4:6" x14ac:dyDescent="0.2">
      <c r="D3867" s="50"/>
      <c r="E3867" s="73"/>
      <c r="F3867" s="45"/>
    </row>
    <row r="3868" spans="4:6" x14ac:dyDescent="0.2">
      <c r="D3868" s="50"/>
      <c r="E3868" s="73"/>
      <c r="F3868" s="45"/>
    </row>
    <row r="3869" spans="4:6" x14ac:dyDescent="0.2">
      <c r="D3869" s="50"/>
      <c r="E3869" s="73"/>
      <c r="F3869" s="45"/>
    </row>
    <row r="3870" spans="4:6" x14ac:dyDescent="0.2">
      <c r="D3870" s="50"/>
      <c r="E3870" s="73"/>
      <c r="F3870" s="45"/>
    </row>
    <row r="3871" spans="4:6" x14ac:dyDescent="0.2">
      <c r="D3871" s="50"/>
      <c r="E3871" s="73"/>
      <c r="F3871" s="45"/>
    </row>
    <row r="3872" spans="4:6" x14ac:dyDescent="0.2">
      <c r="D3872" s="50"/>
      <c r="E3872" s="73"/>
      <c r="F3872" s="45"/>
    </row>
    <row r="3873" spans="4:6" x14ac:dyDescent="0.2">
      <c r="D3873" s="50"/>
      <c r="E3873" s="73"/>
      <c r="F3873" s="45"/>
    </row>
    <row r="3874" spans="4:6" x14ac:dyDescent="0.2">
      <c r="D3874" s="50"/>
      <c r="E3874" s="73"/>
      <c r="F3874" s="45"/>
    </row>
    <row r="3875" spans="4:6" x14ac:dyDescent="0.2">
      <c r="D3875" s="50"/>
      <c r="E3875" s="73"/>
      <c r="F3875" s="45"/>
    </row>
    <row r="3876" spans="4:6" x14ac:dyDescent="0.2">
      <c r="D3876" s="50"/>
      <c r="E3876" s="73"/>
      <c r="F3876" s="45"/>
    </row>
    <row r="3877" spans="4:6" x14ac:dyDescent="0.2">
      <c r="D3877" s="50"/>
      <c r="E3877" s="73"/>
      <c r="F3877" s="45"/>
    </row>
    <row r="3878" spans="4:6" x14ac:dyDescent="0.2">
      <c r="D3878" s="50"/>
      <c r="E3878" s="73"/>
      <c r="F3878" s="45"/>
    </row>
    <row r="3879" spans="4:6" x14ac:dyDescent="0.2">
      <c r="D3879" s="50"/>
      <c r="E3879" s="73"/>
      <c r="F3879" s="45"/>
    </row>
    <row r="3880" spans="4:6" x14ac:dyDescent="0.2">
      <c r="D3880" s="50"/>
      <c r="E3880" s="73"/>
      <c r="F3880" s="45"/>
    </row>
    <row r="3881" spans="4:6" x14ac:dyDescent="0.2">
      <c r="D3881" s="50"/>
      <c r="E3881" s="73"/>
      <c r="F3881" s="45"/>
    </row>
    <row r="3882" spans="4:6" x14ac:dyDescent="0.2">
      <c r="D3882" s="50"/>
      <c r="E3882" s="73"/>
      <c r="F3882" s="45"/>
    </row>
    <row r="3883" spans="4:6" x14ac:dyDescent="0.2">
      <c r="D3883" s="50"/>
      <c r="E3883" s="73"/>
      <c r="F3883" s="45"/>
    </row>
    <row r="3884" spans="4:6" x14ac:dyDescent="0.2">
      <c r="D3884" s="50"/>
      <c r="E3884" s="73"/>
      <c r="F3884" s="45"/>
    </row>
    <row r="3885" spans="4:6" x14ac:dyDescent="0.2">
      <c r="D3885" s="50"/>
      <c r="E3885" s="73"/>
      <c r="F3885" s="45"/>
    </row>
    <row r="3886" spans="4:6" x14ac:dyDescent="0.2">
      <c r="D3886" s="50"/>
      <c r="E3886" s="73"/>
      <c r="F3886" s="45"/>
    </row>
    <row r="3887" spans="4:6" x14ac:dyDescent="0.2">
      <c r="D3887" s="50"/>
      <c r="E3887" s="73"/>
      <c r="F3887" s="45"/>
    </row>
    <row r="3888" spans="4:6" x14ac:dyDescent="0.2">
      <c r="D3888" s="50"/>
      <c r="E3888" s="73"/>
      <c r="F3888" s="45"/>
    </row>
    <row r="3889" spans="4:6" x14ac:dyDescent="0.2">
      <c r="D3889" s="50"/>
      <c r="E3889" s="73"/>
      <c r="F3889" s="45"/>
    </row>
    <row r="3890" spans="4:6" x14ac:dyDescent="0.2">
      <c r="D3890" s="50"/>
      <c r="E3890" s="73"/>
      <c r="F3890" s="45"/>
    </row>
    <row r="3891" spans="4:6" x14ac:dyDescent="0.2">
      <c r="D3891" s="50"/>
      <c r="E3891" s="73"/>
      <c r="F3891" s="45"/>
    </row>
    <row r="3892" spans="4:6" x14ac:dyDescent="0.2">
      <c r="D3892" s="50"/>
      <c r="E3892" s="73"/>
      <c r="F3892" s="45"/>
    </row>
    <row r="3893" spans="4:6" x14ac:dyDescent="0.2">
      <c r="D3893" s="50"/>
      <c r="E3893" s="73"/>
      <c r="F3893" s="45"/>
    </row>
    <row r="3894" spans="4:6" x14ac:dyDescent="0.2">
      <c r="D3894" s="50"/>
      <c r="E3894" s="73"/>
      <c r="F3894" s="45"/>
    </row>
    <row r="3895" spans="4:6" x14ac:dyDescent="0.2">
      <c r="D3895" s="50"/>
      <c r="E3895" s="73"/>
      <c r="F3895" s="45"/>
    </row>
    <row r="3896" spans="4:6" x14ac:dyDescent="0.2">
      <c r="D3896" s="50"/>
      <c r="E3896" s="73"/>
      <c r="F3896" s="45"/>
    </row>
    <row r="3897" spans="4:6" x14ac:dyDescent="0.2">
      <c r="D3897" s="50"/>
      <c r="E3897" s="73"/>
      <c r="F3897" s="45"/>
    </row>
    <row r="3898" spans="4:6" x14ac:dyDescent="0.2">
      <c r="D3898" s="50"/>
      <c r="E3898" s="73"/>
      <c r="F3898" s="45"/>
    </row>
    <row r="3899" spans="4:6" x14ac:dyDescent="0.2">
      <c r="D3899" s="50"/>
      <c r="E3899" s="73"/>
      <c r="F3899" s="45"/>
    </row>
    <row r="3900" spans="4:6" x14ac:dyDescent="0.2">
      <c r="D3900" s="50"/>
      <c r="E3900" s="73"/>
      <c r="F3900" s="45"/>
    </row>
    <row r="3901" spans="4:6" x14ac:dyDescent="0.2">
      <c r="D3901" s="50"/>
      <c r="E3901" s="73"/>
      <c r="F3901" s="45"/>
    </row>
    <row r="3902" spans="4:6" x14ac:dyDescent="0.2">
      <c r="D3902" s="50"/>
      <c r="E3902" s="73"/>
      <c r="F3902" s="45"/>
    </row>
    <row r="3903" spans="4:6" x14ac:dyDescent="0.2">
      <c r="D3903" s="50"/>
      <c r="E3903" s="73"/>
      <c r="F3903" s="45"/>
    </row>
    <row r="3904" spans="4:6" x14ac:dyDescent="0.2">
      <c r="D3904" s="50"/>
      <c r="E3904" s="73"/>
      <c r="F3904" s="45"/>
    </row>
    <row r="3905" spans="4:6" x14ac:dyDescent="0.2">
      <c r="D3905" s="50"/>
      <c r="E3905" s="73"/>
      <c r="F3905" s="45"/>
    </row>
    <row r="3906" spans="4:6" x14ac:dyDescent="0.2">
      <c r="D3906" s="50"/>
      <c r="E3906" s="73"/>
      <c r="F3906" s="45"/>
    </row>
    <row r="3907" spans="4:6" x14ac:dyDescent="0.2">
      <c r="D3907" s="50"/>
      <c r="E3907" s="73"/>
      <c r="F3907" s="45"/>
    </row>
    <row r="3908" spans="4:6" x14ac:dyDescent="0.2">
      <c r="D3908" s="50"/>
      <c r="E3908" s="73"/>
      <c r="F3908" s="45"/>
    </row>
    <row r="3909" spans="4:6" x14ac:dyDescent="0.2">
      <c r="D3909" s="50"/>
      <c r="E3909" s="73"/>
      <c r="F3909" s="45"/>
    </row>
    <row r="3910" spans="4:6" x14ac:dyDescent="0.2">
      <c r="D3910" s="50"/>
      <c r="E3910" s="73"/>
      <c r="F3910" s="45"/>
    </row>
    <row r="3911" spans="4:6" x14ac:dyDescent="0.2">
      <c r="D3911" s="50"/>
      <c r="E3911" s="73"/>
      <c r="F3911" s="45"/>
    </row>
    <row r="3912" spans="4:6" x14ac:dyDescent="0.2">
      <c r="D3912" s="50"/>
      <c r="E3912" s="73"/>
      <c r="F3912" s="45"/>
    </row>
    <row r="3913" spans="4:6" x14ac:dyDescent="0.2">
      <c r="D3913" s="50"/>
      <c r="E3913" s="73"/>
      <c r="F3913" s="45"/>
    </row>
    <row r="3914" spans="4:6" x14ac:dyDescent="0.2">
      <c r="D3914" s="50"/>
      <c r="E3914" s="73"/>
      <c r="F3914" s="45"/>
    </row>
    <row r="3915" spans="4:6" x14ac:dyDescent="0.2">
      <c r="D3915" s="50"/>
      <c r="E3915" s="73"/>
      <c r="F3915" s="45"/>
    </row>
    <row r="3916" spans="4:6" x14ac:dyDescent="0.2">
      <c r="D3916" s="50"/>
      <c r="E3916" s="73"/>
      <c r="F3916" s="45"/>
    </row>
    <row r="3917" spans="4:6" x14ac:dyDescent="0.2">
      <c r="D3917" s="50"/>
      <c r="E3917" s="73"/>
      <c r="F3917" s="45"/>
    </row>
    <row r="3918" spans="4:6" x14ac:dyDescent="0.2">
      <c r="D3918" s="50"/>
      <c r="E3918" s="73"/>
      <c r="F3918" s="45"/>
    </row>
    <row r="3919" spans="4:6" x14ac:dyDescent="0.2">
      <c r="D3919" s="50"/>
      <c r="E3919" s="73"/>
      <c r="F3919" s="45"/>
    </row>
    <row r="3920" spans="4:6" x14ac:dyDescent="0.2">
      <c r="D3920" s="50"/>
      <c r="E3920" s="73"/>
      <c r="F3920" s="45"/>
    </row>
    <row r="3921" spans="4:6" x14ac:dyDescent="0.2">
      <c r="D3921" s="50"/>
      <c r="E3921" s="73"/>
      <c r="F3921" s="45"/>
    </row>
    <row r="3922" spans="4:6" x14ac:dyDescent="0.2">
      <c r="D3922" s="50"/>
      <c r="E3922" s="73"/>
      <c r="F3922" s="45"/>
    </row>
    <row r="3923" spans="4:6" x14ac:dyDescent="0.2">
      <c r="D3923" s="50"/>
      <c r="E3923" s="73"/>
      <c r="F3923" s="45"/>
    </row>
    <row r="3924" spans="4:6" x14ac:dyDescent="0.2">
      <c r="D3924" s="50"/>
      <c r="E3924" s="73"/>
      <c r="F3924" s="45"/>
    </row>
    <row r="3925" spans="4:6" x14ac:dyDescent="0.2">
      <c r="D3925" s="50"/>
      <c r="E3925" s="73"/>
      <c r="F3925" s="45"/>
    </row>
    <row r="3926" spans="4:6" x14ac:dyDescent="0.2">
      <c r="D3926" s="50"/>
      <c r="E3926" s="73"/>
      <c r="F3926" s="45"/>
    </row>
    <row r="3927" spans="4:6" x14ac:dyDescent="0.2">
      <c r="D3927" s="50"/>
      <c r="E3927" s="73"/>
      <c r="F3927" s="45"/>
    </row>
    <row r="3928" spans="4:6" x14ac:dyDescent="0.2">
      <c r="D3928" s="50"/>
      <c r="E3928" s="73"/>
      <c r="F3928" s="45"/>
    </row>
    <row r="3929" spans="4:6" x14ac:dyDescent="0.2">
      <c r="D3929" s="50"/>
      <c r="E3929" s="73"/>
      <c r="F3929" s="45"/>
    </row>
    <row r="3930" spans="4:6" x14ac:dyDescent="0.2">
      <c r="D3930" s="50"/>
      <c r="E3930" s="73"/>
      <c r="F3930" s="45"/>
    </row>
    <row r="3931" spans="4:6" x14ac:dyDescent="0.2">
      <c r="D3931" s="50"/>
      <c r="E3931" s="73"/>
      <c r="F3931" s="45"/>
    </row>
    <row r="3932" spans="4:6" x14ac:dyDescent="0.2">
      <c r="D3932" s="50"/>
      <c r="E3932" s="73"/>
      <c r="F3932" s="45"/>
    </row>
    <row r="3933" spans="4:6" x14ac:dyDescent="0.2">
      <c r="D3933" s="50"/>
      <c r="E3933" s="73"/>
      <c r="F3933" s="45"/>
    </row>
    <row r="3934" spans="4:6" x14ac:dyDescent="0.2">
      <c r="D3934" s="50"/>
      <c r="E3934" s="73"/>
      <c r="F3934" s="45"/>
    </row>
    <row r="3935" spans="4:6" x14ac:dyDescent="0.2">
      <c r="D3935" s="50"/>
      <c r="E3935" s="73"/>
      <c r="F3935" s="45"/>
    </row>
    <row r="3936" spans="4:6" x14ac:dyDescent="0.2">
      <c r="D3936" s="50"/>
      <c r="E3936" s="73"/>
      <c r="F3936" s="45"/>
    </row>
    <row r="3937" spans="4:6" x14ac:dyDescent="0.2">
      <c r="D3937" s="50"/>
      <c r="E3937" s="73"/>
      <c r="F3937" s="45"/>
    </row>
    <row r="3938" spans="4:6" x14ac:dyDescent="0.2">
      <c r="D3938" s="50"/>
      <c r="E3938" s="73"/>
      <c r="F3938" s="45"/>
    </row>
    <row r="3939" spans="4:6" x14ac:dyDescent="0.2">
      <c r="D3939" s="50"/>
      <c r="E3939" s="73"/>
      <c r="F3939" s="45"/>
    </row>
    <row r="3940" spans="4:6" x14ac:dyDescent="0.2">
      <c r="D3940" s="50"/>
      <c r="E3940" s="73"/>
      <c r="F3940" s="45"/>
    </row>
    <row r="3941" spans="4:6" x14ac:dyDescent="0.2">
      <c r="D3941" s="50"/>
      <c r="E3941" s="73"/>
      <c r="F3941" s="45"/>
    </row>
    <row r="3942" spans="4:6" x14ac:dyDescent="0.2">
      <c r="D3942" s="50"/>
      <c r="E3942" s="73"/>
      <c r="F3942" s="45"/>
    </row>
    <row r="3943" spans="4:6" x14ac:dyDescent="0.2">
      <c r="D3943" s="50"/>
      <c r="E3943" s="73"/>
      <c r="F3943" s="45"/>
    </row>
    <row r="3944" spans="4:6" x14ac:dyDescent="0.2">
      <c r="D3944" s="50"/>
      <c r="E3944" s="73"/>
      <c r="F3944" s="45"/>
    </row>
    <row r="3945" spans="4:6" x14ac:dyDescent="0.2">
      <c r="D3945" s="50"/>
      <c r="E3945" s="73"/>
      <c r="F3945" s="45"/>
    </row>
    <row r="3946" spans="4:6" x14ac:dyDescent="0.2">
      <c r="D3946" s="50"/>
      <c r="E3946" s="73"/>
      <c r="F3946" s="45"/>
    </row>
    <row r="3947" spans="4:6" x14ac:dyDescent="0.2">
      <c r="D3947" s="50"/>
      <c r="E3947" s="73"/>
      <c r="F3947" s="45"/>
    </row>
    <row r="3948" spans="4:6" x14ac:dyDescent="0.2">
      <c r="D3948" s="50"/>
      <c r="E3948" s="73"/>
      <c r="F3948" s="45"/>
    </row>
    <row r="3949" spans="4:6" x14ac:dyDescent="0.2">
      <c r="D3949" s="50"/>
      <c r="E3949" s="73"/>
      <c r="F3949" s="45"/>
    </row>
    <row r="3950" spans="4:6" x14ac:dyDescent="0.2">
      <c r="D3950" s="50"/>
      <c r="E3950" s="73"/>
      <c r="F3950" s="45"/>
    </row>
    <row r="3951" spans="4:6" x14ac:dyDescent="0.2">
      <c r="D3951" s="50"/>
      <c r="E3951" s="73"/>
      <c r="F3951" s="45"/>
    </row>
    <row r="3952" spans="4:6" x14ac:dyDescent="0.2">
      <c r="D3952" s="50"/>
      <c r="E3952" s="73"/>
      <c r="F3952" s="45"/>
    </row>
    <row r="3953" spans="4:6" x14ac:dyDescent="0.2">
      <c r="D3953" s="50"/>
      <c r="E3953" s="73"/>
      <c r="F3953" s="45"/>
    </row>
    <row r="3954" spans="4:6" x14ac:dyDescent="0.2">
      <c r="D3954" s="50"/>
      <c r="E3954" s="73"/>
      <c r="F3954" s="45"/>
    </row>
    <row r="3955" spans="4:6" x14ac:dyDescent="0.2">
      <c r="D3955" s="50"/>
      <c r="E3955" s="73"/>
      <c r="F3955" s="45"/>
    </row>
    <row r="3956" spans="4:6" x14ac:dyDescent="0.2">
      <c r="D3956" s="50"/>
      <c r="E3956" s="73"/>
      <c r="F3956" s="45"/>
    </row>
    <row r="3957" spans="4:6" x14ac:dyDescent="0.2">
      <c r="D3957" s="50"/>
      <c r="E3957" s="73"/>
      <c r="F3957" s="45"/>
    </row>
    <row r="3958" spans="4:6" x14ac:dyDescent="0.2">
      <c r="D3958" s="50"/>
      <c r="E3958" s="73"/>
      <c r="F3958" s="45"/>
    </row>
    <row r="3959" spans="4:6" x14ac:dyDescent="0.2">
      <c r="D3959" s="50"/>
      <c r="E3959" s="73"/>
      <c r="F3959" s="45"/>
    </row>
    <row r="3960" spans="4:6" x14ac:dyDescent="0.2">
      <c r="D3960" s="50"/>
      <c r="E3960" s="73"/>
      <c r="F3960" s="45"/>
    </row>
    <row r="3961" spans="4:6" x14ac:dyDescent="0.2">
      <c r="D3961" s="50"/>
      <c r="E3961" s="73"/>
      <c r="F3961" s="45"/>
    </row>
    <row r="3962" spans="4:6" x14ac:dyDescent="0.2">
      <c r="D3962" s="50"/>
      <c r="E3962" s="73"/>
      <c r="F3962" s="45"/>
    </row>
    <row r="3963" spans="4:6" x14ac:dyDescent="0.2">
      <c r="D3963" s="50"/>
      <c r="E3963" s="73"/>
      <c r="F3963" s="45"/>
    </row>
    <row r="3964" spans="4:6" x14ac:dyDescent="0.2">
      <c r="D3964" s="50"/>
      <c r="E3964" s="73"/>
      <c r="F3964" s="45"/>
    </row>
    <row r="3965" spans="4:6" x14ac:dyDescent="0.2">
      <c r="D3965" s="50"/>
      <c r="E3965" s="73"/>
      <c r="F3965" s="45"/>
    </row>
    <row r="3966" spans="4:6" x14ac:dyDescent="0.2">
      <c r="D3966" s="50"/>
      <c r="E3966" s="73"/>
      <c r="F3966" s="45"/>
    </row>
    <row r="3967" spans="4:6" x14ac:dyDescent="0.2">
      <c r="D3967" s="50"/>
      <c r="E3967" s="73"/>
      <c r="F3967" s="45"/>
    </row>
    <row r="3968" spans="4:6" x14ac:dyDescent="0.2">
      <c r="D3968" s="50"/>
      <c r="E3968" s="73"/>
      <c r="F3968" s="45"/>
    </row>
    <row r="3969" spans="4:6" x14ac:dyDescent="0.2">
      <c r="D3969" s="50"/>
      <c r="E3969" s="73"/>
      <c r="F3969" s="45"/>
    </row>
    <row r="3970" spans="4:6" x14ac:dyDescent="0.2">
      <c r="D3970" s="50"/>
      <c r="E3970" s="73"/>
      <c r="F3970" s="45"/>
    </row>
    <row r="3971" spans="4:6" x14ac:dyDescent="0.2">
      <c r="D3971" s="50"/>
      <c r="E3971" s="73"/>
      <c r="F3971" s="45"/>
    </row>
    <row r="3972" spans="4:6" x14ac:dyDescent="0.2">
      <c r="D3972" s="50"/>
      <c r="E3972" s="73"/>
      <c r="F3972" s="45"/>
    </row>
    <row r="3973" spans="4:6" x14ac:dyDescent="0.2">
      <c r="D3973" s="50"/>
      <c r="E3973" s="73"/>
      <c r="F3973" s="45"/>
    </row>
    <row r="3974" spans="4:6" x14ac:dyDescent="0.2">
      <c r="D3974" s="50"/>
      <c r="E3974" s="73"/>
      <c r="F3974" s="45"/>
    </row>
    <row r="3975" spans="4:6" x14ac:dyDescent="0.2">
      <c r="D3975" s="50"/>
      <c r="E3975" s="73"/>
      <c r="F3975" s="45"/>
    </row>
    <row r="3976" spans="4:6" x14ac:dyDescent="0.2">
      <c r="D3976" s="50"/>
      <c r="E3976" s="73"/>
      <c r="F3976" s="45"/>
    </row>
    <row r="3977" spans="4:6" x14ac:dyDescent="0.2">
      <c r="D3977" s="50"/>
      <c r="E3977" s="73"/>
      <c r="F3977" s="45"/>
    </row>
    <row r="3978" spans="4:6" x14ac:dyDescent="0.2">
      <c r="D3978" s="50"/>
      <c r="E3978" s="73"/>
      <c r="F3978" s="45"/>
    </row>
    <row r="3979" spans="4:6" x14ac:dyDescent="0.2">
      <c r="D3979" s="50"/>
      <c r="E3979" s="73"/>
      <c r="F3979" s="45"/>
    </row>
    <row r="3980" spans="4:6" x14ac:dyDescent="0.2">
      <c r="D3980" s="50"/>
      <c r="E3980" s="73"/>
      <c r="F3980" s="45"/>
    </row>
    <row r="3981" spans="4:6" x14ac:dyDescent="0.2">
      <c r="D3981" s="50"/>
      <c r="E3981" s="73"/>
      <c r="F3981" s="45"/>
    </row>
    <row r="3982" spans="4:6" x14ac:dyDescent="0.2">
      <c r="D3982" s="50"/>
      <c r="E3982" s="73"/>
      <c r="F3982" s="45"/>
    </row>
    <row r="3983" spans="4:6" x14ac:dyDescent="0.2">
      <c r="D3983" s="50"/>
      <c r="E3983" s="73"/>
      <c r="F3983" s="45"/>
    </row>
    <row r="3984" spans="4:6" x14ac:dyDescent="0.2">
      <c r="D3984" s="50"/>
      <c r="E3984" s="73"/>
      <c r="F3984" s="45"/>
    </row>
    <row r="3985" spans="4:6" x14ac:dyDescent="0.2">
      <c r="D3985" s="50"/>
      <c r="E3985" s="73"/>
      <c r="F3985" s="45"/>
    </row>
    <row r="3986" spans="4:6" x14ac:dyDescent="0.2">
      <c r="D3986" s="50"/>
      <c r="E3986" s="73"/>
      <c r="F3986" s="45"/>
    </row>
    <row r="3987" spans="4:6" x14ac:dyDescent="0.2">
      <c r="D3987" s="50"/>
      <c r="E3987" s="73"/>
      <c r="F3987" s="45"/>
    </row>
    <row r="3988" spans="4:6" x14ac:dyDescent="0.2">
      <c r="D3988" s="50"/>
      <c r="E3988" s="73"/>
      <c r="F3988" s="45"/>
    </row>
    <row r="3989" spans="4:6" x14ac:dyDescent="0.2">
      <c r="D3989" s="50"/>
      <c r="E3989" s="73"/>
      <c r="F3989" s="45"/>
    </row>
    <row r="3990" spans="4:6" x14ac:dyDescent="0.2">
      <c r="D3990" s="50"/>
      <c r="E3990" s="73"/>
      <c r="F3990" s="45"/>
    </row>
    <row r="3991" spans="4:6" x14ac:dyDescent="0.2">
      <c r="D3991" s="50"/>
      <c r="E3991" s="73"/>
      <c r="F3991" s="45"/>
    </row>
    <row r="3992" spans="4:6" x14ac:dyDescent="0.2">
      <c r="D3992" s="50"/>
      <c r="E3992" s="73"/>
      <c r="F3992" s="45"/>
    </row>
    <row r="3993" spans="4:6" x14ac:dyDescent="0.2">
      <c r="D3993" s="50"/>
      <c r="E3993" s="73"/>
      <c r="F3993" s="45"/>
    </row>
    <row r="3994" spans="4:6" x14ac:dyDescent="0.2">
      <c r="D3994" s="50"/>
      <c r="E3994" s="73"/>
      <c r="F3994" s="45"/>
    </row>
    <row r="3995" spans="4:6" x14ac:dyDescent="0.2">
      <c r="D3995" s="50"/>
      <c r="E3995" s="73"/>
      <c r="F3995" s="45"/>
    </row>
    <row r="3996" spans="4:6" x14ac:dyDescent="0.2">
      <c r="D3996" s="50"/>
      <c r="E3996" s="73"/>
      <c r="F3996" s="45"/>
    </row>
    <row r="3997" spans="4:6" x14ac:dyDescent="0.2">
      <c r="D3997" s="50"/>
      <c r="E3997" s="73"/>
      <c r="F3997" s="45"/>
    </row>
    <row r="3998" spans="4:6" x14ac:dyDescent="0.2">
      <c r="D3998" s="50"/>
      <c r="E3998" s="73"/>
      <c r="F3998" s="45"/>
    </row>
    <row r="3999" spans="4:6" x14ac:dyDescent="0.2">
      <c r="D3999" s="50"/>
      <c r="E3999" s="73"/>
      <c r="F3999" s="45"/>
    </row>
    <row r="4000" spans="4:6" x14ac:dyDescent="0.2">
      <c r="D4000" s="50"/>
      <c r="E4000" s="73"/>
      <c r="F4000" s="45"/>
    </row>
    <row r="4001" spans="4:6" x14ac:dyDescent="0.2">
      <c r="D4001" s="50"/>
      <c r="E4001" s="73"/>
      <c r="F4001" s="45"/>
    </row>
    <row r="4002" spans="4:6" x14ac:dyDescent="0.2">
      <c r="D4002" s="50"/>
      <c r="E4002" s="73"/>
      <c r="F4002" s="45"/>
    </row>
    <row r="4003" spans="4:6" x14ac:dyDescent="0.2">
      <c r="D4003" s="50"/>
      <c r="E4003" s="73"/>
      <c r="F4003" s="45"/>
    </row>
    <row r="4004" spans="4:6" x14ac:dyDescent="0.2">
      <c r="D4004" s="50"/>
      <c r="E4004" s="73"/>
      <c r="F4004" s="45"/>
    </row>
    <row r="4005" spans="4:6" x14ac:dyDescent="0.2">
      <c r="D4005" s="50"/>
      <c r="E4005" s="73"/>
      <c r="F4005" s="45"/>
    </row>
    <row r="4006" spans="4:6" x14ac:dyDescent="0.2">
      <c r="D4006" s="50"/>
      <c r="E4006" s="73"/>
      <c r="F4006" s="45"/>
    </row>
    <row r="4007" spans="4:6" x14ac:dyDescent="0.2">
      <c r="D4007" s="50"/>
      <c r="E4007" s="73"/>
      <c r="F4007" s="45"/>
    </row>
    <row r="4008" spans="4:6" x14ac:dyDescent="0.2">
      <c r="D4008" s="50"/>
      <c r="E4008" s="73"/>
      <c r="F4008" s="45"/>
    </row>
    <row r="4009" spans="4:6" x14ac:dyDescent="0.2">
      <c r="D4009" s="50"/>
      <c r="E4009" s="73"/>
      <c r="F4009" s="45"/>
    </row>
    <row r="4010" spans="4:6" x14ac:dyDescent="0.2">
      <c r="D4010" s="50"/>
      <c r="E4010" s="73"/>
      <c r="F4010" s="45"/>
    </row>
    <row r="4011" spans="4:6" x14ac:dyDescent="0.2">
      <c r="D4011" s="50"/>
      <c r="E4011" s="73"/>
      <c r="F4011" s="45"/>
    </row>
    <row r="4012" spans="4:6" x14ac:dyDescent="0.2">
      <c r="D4012" s="50"/>
      <c r="E4012" s="73"/>
      <c r="F4012" s="45"/>
    </row>
    <row r="4013" spans="4:6" x14ac:dyDescent="0.2">
      <c r="D4013" s="50"/>
      <c r="E4013" s="73"/>
      <c r="F4013" s="45"/>
    </row>
    <row r="4014" spans="4:6" x14ac:dyDescent="0.2">
      <c r="D4014" s="50"/>
      <c r="E4014" s="73"/>
      <c r="F4014" s="45"/>
    </row>
    <row r="4015" spans="4:6" x14ac:dyDescent="0.2">
      <c r="D4015" s="50"/>
      <c r="E4015" s="73"/>
      <c r="F4015" s="45"/>
    </row>
    <row r="4016" spans="4:6" x14ac:dyDescent="0.2">
      <c r="D4016" s="50"/>
      <c r="E4016" s="73"/>
      <c r="F4016" s="45"/>
    </row>
    <row r="4017" spans="4:6" x14ac:dyDescent="0.2">
      <c r="D4017" s="50"/>
      <c r="E4017" s="73"/>
      <c r="F4017" s="45"/>
    </row>
    <row r="4018" spans="4:6" x14ac:dyDescent="0.2">
      <c r="D4018" s="50"/>
      <c r="E4018" s="73"/>
      <c r="F4018" s="45"/>
    </row>
    <row r="4019" spans="4:6" x14ac:dyDescent="0.2">
      <c r="D4019" s="50"/>
      <c r="E4019" s="73"/>
      <c r="F4019" s="45"/>
    </row>
    <row r="4020" spans="4:6" x14ac:dyDescent="0.2">
      <c r="D4020" s="50"/>
      <c r="E4020" s="73"/>
      <c r="F4020" s="45"/>
    </row>
    <row r="4021" spans="4:6" x14ac:dyDescent="0.2">
      <c r="D4021" s="50"/>
      <c r="E4021" s="73"/>
      <c r="F4021" s="45"/>
    </row>
    <row r="4022" spans="4:6" x14ac:dyDescent="0.2">
      <c r="D4022" s="50"/>
      <c r="E4022" s="73"/>
      <c r="F4022" s="45"/>
    </row>
    <row r="4023" spans="4:6" x14ac:dyDescent="0.2">
      <c r="D4023" s="50"/>
      <c r="E4023" s="73"/>
      <c r="F4023" s="45"/>
    </row>
    <row r="4024" spans="4:6" x14ac:dyDescent="0.2">
      <c r="D4024" s="50"/>
      <c r="E4024" s="73"/>
      <c r="F4024" s="45"/>
    </row>
    <row r="4025" spans="4:6" x14ac:dyDescent="0.2">
      <c r="D4025" s="50"/>
      <c r="E4025" s="73"/>
      <c r="F4025" s="45"/>
    </row>
    <row r="4026" spans="4:6" x14ac:dyDescent="0.2">
      <c r="D4026" s="50"/>
      <c r="E4026" s="73"/>
      <c r="F4026" s="45"/>
    </row>
    <row r="4027" spans="4:6" x14ac:dyDescent="0.2">
      <c r="D4027" s="50"/>
      <c r="E4027" s="73"/>
      <c r="F4027" s="45"/>
    </row>
    <row r="4028" spans="4:6" x14ac:dyDescent="0.2">
      <c r="D4028" s="50"/>
      <c r="E4028" s="73"/>
      <c r="F4028" s="45"/>
    </row>
    <row r="4029" spans="4:6" x14ac:dyDescent="0.2">
      <c r="D4029" s="50"/>
      <c r="E4029" s="73"/>
      <c r="F4029" s="45"/>
    </row>
    <row r="4030" spans="4:6" x14ac:dyDescent="0.2">
      <c r="D4030" s="50"/>
      <c r="E4030" s="73"/>
      <c r="F4030" s="45"/>
    </row>
    <row r="4031" spans="4:6" x14ac:dyDescent="0.2">
      <c r="D4031" s="50"/>
      <c r="E4031" s="73"/>
      <c r="F4031" s="45"/>
    </row>
    <row r="4032" spans="4:6" x14ac:dyDescent="0.2">
      <c r="D4032" s="50"/>
      <c r="E4032" s="73"/>
      <c r="F4032" s="45"/>
    </row>
    <row r="4033" spans="4:6" x14ac:dyDescent="0.2">
      <c r="D4033" s="50"/>
      <c r="E4033" s="73"/>
      <c r="F4033" s="45"/>
    </row>
    <row r="4034" spans="4:6" x14ac:dyDescent="0.2">
      <c r="D4034" s="50"/>
      <c r="E4034" s="73"/>
      <c r="F4034" s="45"/>
    </row>
    <row r="4035" spans="4:6" x14ac:dyDescent="0.2">
      <c r="D4035" s="50"/>
      <c r="E4035" s="73"/>
      <c r="F4035" s="45"/>
    </row>
    <row r="4036" spans="4:6" x14ac:dyDescent="0.2">
      <c r="D4036" s="50"/>
      <c r="E4036" s="73"/>
      <c r="F4036" s="45"/>
    </row>
    <row r="4037" spans="4:6" x14ac:dyDescent="0.2">
      <c r="D4037" s="50"/>
      <c r="E4037" s="73"/>
      <c r="F4037" s="45"/>
    </row>
    <row r="4038" spans="4:6" x14ac:dyDescent="0.2">
      <c r="D4038" s="50"/>
      <c r="E4038" s="73"/>
      <c r="F4038" s="45"/>
    </row>
    <row r="4039" spans="4:6" x14ac:dyDescent="0.2">
      <c r="D4039" s="50"/>
      <c r="E4039" s="73"/>
      <c r="F4039" s="45"/>
    </row>
    <row r="4040" spans="4:6" x14ac:dyDescent="0.2">
      <c r="D4040" s="50"/>
      <c r="E4040" s="73"/>
      <c r="F4040" s="45"/>
    </row>
    <row r="4041" spans="4:6" x14ac:dyDescent="0.2">
      <c r="D4041" s="50"/>
      <c r="E4041" s="73"/>
      <c r="F4041" s="45"/>
    </row>
    <row r="4042" spans="4:6" x14ac:dyDescent="0.2">
      <c r="D4042" s="50"/>
      <c r="E4042" s="73"/>
      <c r="F4042" s="45"/>
    </row>
    <row r="4043" spans="4:6" x14ac:dyDescent="0.2">
      <c r="D4043" s="50"/>
      <c r="E4043" s="73"/>
      <c r="F4043" s="45"/>
    </row>
    <row r="4044" spans="4:6" x14ac:dyDescent="0.2">
      <c r="D4044" s="50"/>
      <c r="E4044" s="73"/>
      <c r="F4044" s="45"/>
    </row>
    <row r="4045" spans="4:6" x14ac:dyDescent="0.2">
      <c r="D4045" s="50"/>
      <c r="E4045" s="73"/>
      <c r="F4045" s="45"/>
    </row>
    <row r="4046" spans="4:6" x14ac:dyDescent="0.2">
      <c r="D4046" s="50"/>
      <c r="E4046" s="73"/>
      <c r="F4046" s="45"/>
    </row>
    <row r="4047" spans="4:6" x14ac:dyDescent="0.2">
      <c r="D4047" s="50"/>
      <c r="E4047" s="73"/>
      <c r="F4047" s="45"/>
    </row>
    <row r="4048" spans="4:6" x14ac:dyDescent="0.2">
      <c r="D4048" s="50"/>
      <c r="E4048" s="73"/>
      <c r="F4048" s="45"/>
    </row>
    <row r="4049" spans="4:6" x14ac:dyDescent="0.2">
      <c r="D4049" s="50"/>
      <c r="E4049" s="73"/>
      <c r="F4049" s="45"/>
    </row>
    <row r="4050" spans="4:6" x14ac:dyDescent="0.2">
      <c r="D4050" s="50"/>
      <c r="E4050" s="73"/>
      <c r="F4050" s="45"/>
    </row>
    <row r="4051" spans="4:6" x14ac:dyDescent="0.2">
      <c r="D4051" s="50"/>
      <c r="E4051" s="73"/>
      <c r="F4051" s="45"/>
    </row>
    <row r="4052" spans="4:6" x14ac:dyDescent="0.2">
      <c r="D4052" s="50"/>
      <c r="E4052" s="73"/>
      <c r="F4052" s="45"/>
    </row>
    <row r="4053" spans="4:6" x14ac:dyDescent="0.2">
      <c r="D4053" s="50"/>
      <c r="E4053" s="73"/>
      <c r="F4053" s="45"/>
    </row>
    <row r="4054" spans="4:6" x14ac:dyDescent="0.2">
      <c r="D4054" s="50"/>
      <c r="E4054" s="73"/>
      <c r="F4054" s="45"/>
    </row>
    <row r="4055" spans="4:6" x14ac:dyDescent="0.2">
      <c r="D4055" s="50"/>
      <c r="E4055" s="73"/>
      <c r="F4055" s="45"/>
    </row>
    <row r="4056" spans="4:6" x14ac:dyDescent="0.2">
      <c r="D4056" s="50"/>
      <c r="E4056" s="73"/>
      <c r="F4056" s="45"/>
    </row>
    <row r="4057" spans="4:6" x14ac:dyDescent="0.2">
      <c r="D4057" s="50"/>
      <c r="E4057" s="73"/>
      <c r="F4057" s="45"/>
    </row>
    <row r="4058" spans="4:6" x14ac:dyDescent="0.2">
      <c r="D4058" s="50"/>
      <c r="E4058" s="73"/>
      <c r="F4058" s="45"/>
    </row>
    <row r="4059" spans="4:6" x14ac:dyDescent="0.2">
      <c r="D4059" s="50"/>
      <c r="E4059" s="73"/>
      <c r="F4059" s="45"/>
    </row>
    <row r="4060" spans="4:6" x14ac:dyDescent="0.2">
      <c r="D4060" s="50"/>
      <c r="E4060" s="73"/>
      <c r="F4060" s="45"/>
    </row>
    <row r="4061" spans="4:6" x14ac:dyDescent="0.2">
      <c r="D4061" s="50"/>
      <c r="E4061" s="73"/>
      <c r="F4061" s="45"/>
    </row>
    <row r="4062" spans="4:6" x14ac:dyDescent="0.2">
      <c r="D4062" s="50"/>
      <c r="E4062" s="73"/>
      <c r="F4062" s="45"/>
    </row>
    <row r="4063" spans="4:6" x14ac:dyDescent="0.2">
      <c r="D4063" s="50"/>
      <c r="E4063" s="73"/>
      <c r="F4063" s="45"/>
    </row>
    <row r="4064" spans="4:6" x14ac:dyDescent="0.2">
      <c r="D4064" s="50"/>
      <c r="E4064" s="73"/>
      <c r="F4064" s="45"/>
    </row>
    <row r="4065" spans="4:6" x14ac:dyDescent="0.2">
      <c r="D4065" s="50"/>
      <c r="E4065" s="73"/>
      <c r="F4065" s="45"/>
    </row>
    <row r="4066" spans="4:6" x14ac:dyDescent="0.2">
      <c r="D4066" s="50"/>
      <c r="E4066" s="73"/>
      <c r="F4066" s="45"/>
    </row>
    <row r="4067" spans="4:6" x14ac:dyDescent="0.2">
      <c r="D4067" s="50"/>
      <c r="E4067" s="73"/>
      <c r="F4067" s="45"/>
    </row>
    <row r="4068" spans="4:6" x14ac:dyDescent="0.2">
      <c r="D4068" s="50"/>
      <c r="E4068" s="73"/>
      <c r="F4068" s="45"/>
    </row>
    <row r="4069" spans="4:6" x14ac:dyDescent="0.2">
      <c r="D4069" s="50"/>
      <c r="E4069" s="73"/>
      <c r="F4069" s="45"/>
    </row>
    <row r="4070" spans="4:6" x14ac:dyDescent="0.2">
      <c r="D4070" s="50"/>
      <c r="E4070" s="73"/>
      <c r="F4070" s="45"/>
    </row>
    <row r="4071" spans="4:6" x14ac:dyDescent="0.2">
      <c r="D4071" s="50"/>
      <c r="E4071" s="73"/>
      <c r="F4071" s="45"/>
    </row>
    <row r="4072" spans="4:6" x14ac:dyDescent="0.2">
      <c r="D4072" s="50"/>
      <c r="E4072" s="73"/>
      <c r="F4072" s="45"/>
    </row>
    <row r="4073" spans="4:6" x14ac:dyDescent="0.2">
      <c r="D4073" s="50"/>
      <c r="E4073" s="73"/>
      <c r="F4073" s="45"/>
    </row>
    <row r="4074" spans="4:6" x14ac:dyDescent="0.2">
      <c r="D4074" s="50"/>
      <c r="E4074" s="73"/>
      <c r="F4074" s="45"/>
    </row>
    <row r="4075" spans="4:6" x14ac:dyDescent="0.2">
      <c r="D4075" s="50"/>
      <c r="E4075" s="73"/>
      <c r="F4075" s="45"/>
    </row>
    <row r="4076" spans="4:6" x14ac:dyDescent="0.2">
      <c r="D4076" s="50"/>
      <c r="E4076" s="73"/>
      <c r="F4076" s="45"/>
    </row>
    <row r="4077" spans="4:6" x14ac:dyDescent="0.2">
      <c r="D4077" s="50"/>
      <c r="E4077" s="73"/>
      <c r="F4077" s="45"/>
    </row>
    <row r="4078" spans="4:6" x14ac:dyDescent="0.2">
      <c r="D4078" s="50"/>
      <c r="E4078" s="73"/>
      <c r="F4078" s="45"/>
    </row>
    <row r="4079" spans="4:6" x14ac:dyDescent="0.2">
      <c r="D4079" s="50"/>
      <c r="E4079" s="73"/>
      <c r="F4079" s="45"/>
    </row>
    <row r="4080" spans="4:6" x14ac:dyDescent="0.2">
      <c r="D4080" s="50"/>
      <c r="E4080" s="73"/>
      <c r="F4080" s="45"/>
    </row>
    <row r="4081" spans="4:6" x14ac:dyDescent="0.2">
      <c r="D4081" s="50"/>
      <c r="E4081" s="73"/>
      <c r="F4081" s="45"/>
    </row>
    <row r="4082" spans="4:6" x14ac:dyDescent="0.2">
      <c r="D4082" s="50"/>
      <c r="E4082" s="73"/>
      <c r="F4082" s="45"/>
    </row>
    <row r="4083" spans="4:6" x14ac:dyDescent="0.2">
      <c r="D4083" s="50"/>
      <c r="E4083" s="73"/>
      <c r="F4083" s="45"/>
    </row>
    <row r="4084" spans="4:6" x14ac:dyDescent="0.2">
      <c r="D4084" s="50"/>
      <c r="E4084" s="73"/>
      <c r="F4084" s="45"/>
    </row>
    <row r="4085" spans="4:6" x14ac:dyDescent="0.2">
      <c r="D4085" s="50"/>
      <c r="E4085" s="73"/>
      <c r="F4085" s="45"/>
    </row>
    <row r="4086" spans="4:6" x14ac:dyDescent="0.2">
      <c r="D4086" s="50"/>
      <c r="E4086" s="73"/>
      <c r="F4086" s="45"/>
    </row>
    <row r="4087" spans="4:6" x14ac:dyDescent="0.2">
      <c r="D4087" s="50"/>
      <c r="E4087" s="73"/>
      <c r="F4087" s="45"/>
    </row>
    <row r="4088" spans="4:6" x14ac:dyDescent="0.2">
      <c r="D4088" s="50"/>
      <c r="E4088" s="73"/>
      <c r="F4088" s="45"/>
    </row>
    <row r="4089" spans="4:6" x14ac:dyDescent="0.2">
      <c r="D4089" s="50"/>
      <c r="E4089" s="73"/>
      <c r="F4089" s="45"/>
    </row>
    <row r="4090" spans="4:6" x14ac:dyDescent="0.2">
      <c r="D4090" s="50"/>
      <c r="E4090" s="73"/>
      <c r="F4090" s="45"/>
    </row>
    <row r="4091" spans="4:6" x14ac:dyDescent="0.2">
      <c r="D4091" s="50"/>
      <c r="E4091" s="73"/>
      <c r="F4091" s="45"/>
    </row>
    <row r="4092" spans="4:6" x14ac:dyDescent="0.2">
      <c r="D4092" s="50"/>
      <c r="E4092" s="73"/>
      <c r="F4092" s="45"/>
    </row>
    <row r="4093" spans="4:6" x14ac:dyDescent="0.2">
      <c r="D4093" s="50"/>
      <c r="E4093" s="73"/>
      <c r="F4093" s="45"/>
    </row>
    <row r="4094" spans="4:6" x14ac:dyDescent="0.2">
      <c r="D4094" s="50"/>
      <c r="E4094" s="73"/>
      <c r="F4094" s="45"/>
    </row>
    <row r="4095" spans="4:6" x14ac:dyDescent="0.2">
      <c r="D4095" s="50"/>
      <c r="E4095" s="73"/>
      <c r="F4095" s="45"/>
    </row>
    <row r="4096" spans="4:6" x14ac:dyDescent="0.2">
      <c r="D4096" s="50"/>
      <c r="E4096" s="73"/>
      <c r="F4096" s="45"/>
    </row>
    <row r="4097" spans="4:6" x14ac:dyDescent="0.2">
      <c r="D4097" s="50"/>
      <c r="E4097" s="73"/>
      <c r="F4097" s="45"/>
    </row>
    <row r="4098" spans="4:6" x14ac:dyDescent="0.2">
      <c r="D4098" s="50"/>
      <c r="E4098" s="73"/>
      <c r="F4098" s="45"/>
    </row>
    <row r="4099" spans="4:6" x14ac:dyDescent="0.2">
      <c r="D4099" s="50"/>
      <c r="E4099" s="73"/>
      <c r="F4099" s="45"/>
    </row>
    <row r="4100" spans="4:6" x14ac:dyDescent="0.2">
      <c r="D4100" s="50"/>
      <c r="E4100" s="73"/>
      <c r="F4100" s="45"/>
    </row>
    <row r="4101" spans="4:6" x14ac:dyDescent="0.2">
      <c r="D4101" s="50"/>
      <c r="E4101" s="73"/>
      <c r="F4101" s="45"/>
    </row>
    <row r="4102" spans="4:6" x14ac:dyDescent="0.2">
      <c r="D4102" s="50"/>
      <c r="E4102" s="73"/>
      <c r="F4102" s="45"/>
    </row>
    <row r="4103" spans="4:6" x14ac:dyDescent="0.2">
      <c r="D4103" s="50"/>
      <c r="E4103" s="73"/>
      <c r="F4103" s="45"/>
    </row>
    <row r="4104" spans="4:6" x14ac:dyDescent="0.2">
      <c r="D4104" s="50"/>
      <c r="E4104" s="73"/>
      <c r="F4104" s="45"/>
    </row>
    <row r="4105" spans="4:6" x14ac:dyDescent="0.2">
      <c r="D4105" s="50"/>
      <c r="E4105" s="73"/>
      <c r="F4105" s="45"/>
    </row>
    <row r="4106" spans="4:6" x14ac:dyDescent="0.2">
      <c r="D4106" s="50"/>
      <c r="E4106" s="73"/>
      <c r="F4106" s="45"/>
    </row>
    <row r="4107" spans="4:6" x14ac:dyDescent="0.2">
      <c r="D4107" s="50"/>
      <c r="E4107" s="73"/>
      <c r="F4107" s="45"/>
    </row>
    <row r="4108" spans="4:6" x14ac:dyDescent="0.2">
      <c r="D4108" s="50"/>
      <c r="E4108" s="73"/>
      <c r="F4108" s="45"/>
    </row>
    <row r="4109" spans="4:6" x14ac:dyDescent="0.2">
      <c r="D4109" s="50"/>
      <c r="E4109" s="73"/>
      <c r="F4109" s="45"/>
    </row>
    <row r="4110" spans="4:6" x14ac:dyDescent="0.2">
      <c r="D4110" s="50"/>
      <c r="E4110" s="73"/>
      <c r="F4110" s="45"/>
    </row>
    <row r="4111" spans="4:6" x14ac:dyDescent="0.2">
      <c r="D4111" s="50"/>
      <c r="E4111" s="73"/>
      <c r="F4111" s="45"/>
    </row>
    <row r="4112" spans="4:6" x14ac:dyDescent="0.2">
      <c r="D4112" s="50"/>
      <c r="E4112" s="73"/>
      <c r="F4112" s="45"/>
    </row>
    <row r="4113" spans="4:6" x14ac:dyDescent="0.2">
      <c r="D4113" s="50"/>
      <c r="E4113" s="73"/>
      <c r="F4113" s="45"/>
    </row>
    <row r="4114" spans="4:6" x14ac:dyDescent="0.2">
      <c r="D4114" s="50"/>
      <c r="E4114" s="73"/>
      <c r="F4114" s="45"/>
    </row>
    <row r="4115" spans="4:6" x14ac:dyDescent="0.2">
      <c r="D4115" s="50"/>
      <c r="E4115" s="73"/>
      <c r="F4115" s="45"/>
    </row>
    <row r="4116" spans="4:6" x14ac:dyDescent="0.2">
      <c r="D4116" s="50"/>
      <c r="E4116" s="73"/>
      <c r="F4116" s="45"/>
    </row>
    <row r="4117" spans="4:6" x14ac:dyDescent="0.2">
      <c r="D4117" s="50"/>
      <c r="E4117" s="73"/>
      <c r="F4117" s="45"/>
    </row>
    <row r="4118" spans="4:6" x14ac:dyDescent="0.2">
      <c r="D4118" s="50"/>
      <c r="E4118" s="73"/>
      <c r="F4118" s="45"/>
    </row>
    <row r="4119" spans="4:6" x14ac:dyDescent="0.2">
      <c r="D4119" s="50"/>
      <c r="E4119" s="73"/>
      <c r="F4119" s="45"/>
    </row>
    <row r="4120" spans="4:6" x14ac:dyDescent="0.2">
      <c r="D4120" s="50"/>
      <c r="E4120" s="73"/>
      <c r="F4120" s="45"/>
    </row>
    <row r="4121" spans="4:6" x14ac:dyDescent="0.2">
      <c r="D4121" s="50"/>
      <c r="E4121" s="73"/>
      <c r="F4121" s="45"/>
    </row>
    <row r="4122" spans="4:6" x14ac:dyDescent="0.2">
      <c r="D4122" s="50"/>
      <c r="E4122" s="73"/>
      <c r="F4122" s="45"/>
    </row>
    <row r="4123" spans="4:6" x14ac:dyDescent="0.2">
      <c r="D4123" s="50"/>
      <c r="E4123" s="73"/>
      <c r="F4123" s="45"/>
    </row>
    <row r="4124" spans="4:6" x14ac:dyDescent="0.2">
      <c r="D4124" s="50"/>
      <c r="E4124" s="73"/>
      <c r="F4124" s="45"/>
    </row>
    <row r="4125" spans="4:6" x14ac:dyDescent="0.2">
      <c r="D4125" s="50"/>
      <c r="E4125" s="73"/>
      <c r="F4125" s="45"/>
    </row>
    <row r="4126" spans="4:6" x14ac:dyDescent="0.2">
      <c r="D4126" s="50"/>
      <c r="E4126" s="73"/>
      <c r="F4126" s="45"/>
    </row>
    <row r="4127" spans="4:6" x14ac:dyDescent="0.2">
      <c r="D4127" s="50"/>
      <c r="E4127" s="73"/>
      <c r="F4127" s="45"/>
    </row>
    <row r="4128" spans="4:6" x14ac:dyDescent="0.2">
      <c r="D4128" s="50"/>
      <c r="E4128" s="73"/>
      <c r="F4128" s="45"/>
    </row>
    <row r="4129" spans="4:6" x14ac:dyDescent="0.2">
      <c r="D4129" s="50"/>
      <c r="E4129" s="73"/>
      <c r="F4129" s="45"/>
    </row>
    <row r="4130" spans="4:6" x14ac:dyDescent="0.2">
      <c r="D4130" s="50"/>
      <c r="E4130" s="73"/>
      <c r="F4130" s="45"/>
    </row>
    <row r="4131" spans="4:6" x14ac:dyDescent="0.2">
      <c r="D4131" s="50"/>
      <c r="E4131" s="73"/>
      <c r="F4131" s="45"/>
    </row>
    <row r="4132" spans="4:6" x14ac:dyDescent="0.2">
      <c r="D4132" s="50"/>
      <c r="E4132" s="73"/>
      <c r="F4132" s="45"/>
    </row>
    <row r="4133" spans="4:6" x14ac:dyDescent="0.2">
      <c r="D4133" s="50"/>
      <c r="E4133" s="73"/>
      <c r="F4133" s="45"/>
    </row>
    <row r="4134" spans="4:6" x14ac:dyDescent="0.2">
      <c r="D4134" s="50"/>
      <c r="E4134" s="73"/>
      <c r="F4134" s="45"/>
    </row>
    <row r="4135" spans="4:6" x14ac:dyDescent="0.2">
      <c r="D4135" s="50"/>
      <c r="E4135" s="73"/>
      <c r="F4135" s="45"/>
    </row>
    <row r="4136" spans="4:6" x14ac:dyDescent="0.2">
      <c r="D4136" s="50"/>
      <c r="E4136" s="73"/>
      <c r="F4136" s="45"/>
    </row>
    <row r="4137" spans="4:6" x14ac:dyDescent="0.2">
      <c r="D4137" s="50"/>
      <c r="E4137" s="73"/>
      <c r="F4137" s="45"/>
    </row>
    <row r="4138" spans="4:6" x14ac:dyDescent="0.2">
      <c r="D4138" s="50"/>
      <c r="E4138" s="73"/>
      <c r="F4138" s="45"/>
    </row>
    <row r="4139" spans="4:6" x14ac:dyDescent="0.2">
      <c r="D4139" s="50"/>
      <c r="E4139" s="73"/>
      <c r="F4139" s="45"/>
    </row>
    <row r="4140" spans="4:6" x14ac:dyDescent="0.2">
      <c r="D4140" s="50"/>
      <c r="E4140" s="73"/>
      <c r="F4140" s="45"/>
    </row>
    <row r="4141" spans="4:6" x14ac:dyDescent="0.2">
      <c r="D4141" s="50"/>
      <c r="E4141" s="73"/>
      <c r="F4141" s="45"/>
    </row>
    <row r="4142" spans="4:6" x14ac:dyDescent="0.2">
      <c r="D4142" s="50"/>
      <c r="E4142" s="73"/>
      <c r="F4142" s="45"/>
    </row>
    <row r="4143" spans="4:6" x14ac:dyDescent="0.2">
      <c r="D4143" s="50"/>
      <c r="E4143" s="73"/>
      <c r="F4143" s="45"/>
    </row>
    <row r="4144" spans="4:6" x14ac:dyDescent="0.2">
      <c r="D4144" s="50"/>
      <c r="E4144" s="73"/>
      <c r="F4144" s="45"/>
    </row>
    <row r="4145" spans="4:6" x14ac:dyDescent="0.2">
      <c r="D4145" s="50"/>
      <c r="E4145" s="73"/>
      <c r="F4145" s="45"/>
    </row>
    <row r="4146" spans="4:6" x14ac:dyDescent="0.2">
      <c r="D4146" s="50"/>
      <c r="E4146" s="73"/>
      <c r="F4146" s="45"/>
    </row>
    <row r="4147" spans="4:6" x14ac:dyDescent="0.2">
      <c r="D4147" s="50"/>
      <c r="E4147" s="73"/>
      <c r="F4147" s="45"/>
    </row>
    <row r="4148" spans="4:6" x14ac:dyDescent="0.2">
      <c r="D4148" s="50"/>
      <c r="E4148" s="73"/>
      <c r="F4148" s="45"/>
    </row>
    <row r="4149" spans="4:6" x14ac:dyDescent="0.2">
      <c r="D4149" s="50"/>
      <c r="E4149" s="73"/>
      <c r="F4149" s="45"/>
    </row>
    <row r="4150" spans="4:6" x14ac:dyDescent="0.2">
      <c r="D4150" s="50"/>
      <c r="E4150" s="73"/>
      <c r="F4150" s="45"/>
    </row>
    <row r="4151" spans="4:6" x14ac:dyDescent="0.2">
      <c r="D4151" s="50"/>
      <c r="E4151" s="73"/>
      <c r="F4151" s="45"/>
    </row>
    <row r="4152" spans="4:6" x14ac:dyDescent="0.2">
      <c r="D4152" s="50"/>
      <c r="E4152" s="73"/>
      <c r="F4152" s="45"/>
    </row>
    <row r="4153" spans="4:6" x14ac:dyDescent="0.2">
      <c r="D4153" s="50"/>
      <c r="E4153" s="73"/>
      <c r="F4153" s="45"/>
    </row>
    <row r="4154" spans="4:6" x14ac:dyDescent="0.2">
      <c r="D4154" s="50"/>
      <c r="E4154" s="73"/>
      <c r="F4154" s="45"/>
    </row>
    <row r="4155" spans="4:6" x14ac:dyDescent="0.2">
      <c r="D4155" s="50"/>
      <c r="E4155" s="73"/>
      <c r="F4155" s="45"/>
    </row>
    <row r="4156" spans="4:6" x14ac:dyDescent="0.2">
      <c r="D4156" s="50"/>
      <c r="E4156" s="73"/>
      <c r="F4156" s="45"/>
    </row>
    <row r="4157" spans="4:6" x14ac:dyDescent="0.2">
      <c r="D4157" s="50"/>
      <c r="E4157" s="73"/>
      <c r="F4157" s="45"/>
    </row>
    <row r="4158" spans="4:6" x14ac:dyDescent="0.2">
      <c r="D4158" s="50"/>
      <c r="E4158" s="73"/>
      <c r="F4158" s="45"/>
    </row>
    <row r="4159" spans="4:6" x14ac:dyDescent="0.2">
      <c r="D4159" s="50"/>
      <c r="E4159" s="73"/>
      <c r="F4159" s="45"/>
    </row>
    <row r="4160" spans="4:6" x14ac:dyDescent="0.2">
      <c r="D4160" s="50"/>
      <c r="E4160" s="73"/>
      <c r="F4160" s="45"/>
    </row>
    <row r="4161" spans="4:6" x14ac:dyDescent="0.2">
      <c r="D4161" s="50"/>
      <c r="E4161" s="73"/>
      <c r="F4161" s="45"/>
    </row>
    <row r="4162" spans="4:6" x14ac:dyDescent="0.2">
      <c r="D4162" s="50"/>
      <c r="E4162" s="73"/>
      <c r="F4162" s="45"/>
    </row>
    <row r="4163" spans="4:6" x14ac:dyDescent="0.2">
      <c r="D4163" s="50"/>
      <c r="E4163" s="73"/>
      <c r="F4163" s="45"/>
    </row>
    <row r="4164" spans="4:6" x14ac:dyDescent="0.2">
      <c r="D4164" s="50"/>
      <c r="E4164" s="73"/>
      <c r="F4164" s="45"/>
    </row>
    <row r="4165" spans="4:6" x14ac:dyDescent="0.2">
      <c r="D4165" s="50"/>
      <c r="E4165" s="73"/>
      <c r="F4165" s="45"/>
    </row>
    <row r="4166" spans="4:6" x14ac:dyDescent="0.2">
      <c r="D4166" s="50"/>
      <c r="E4166" s="73"/>
      <c r="F4166" s="45"/>
    </row>
    <row r="4167" spans="4:6" x14ac:dyDescent="0.2">
      <c r="D4167" s="50"/>
      <c r="E4167" s="73"/>
      <c r="F4167" s="45"/>
    </row>
    <row r="4168" spans="4:6" x14ac:dyDescent="0.2">
      <c r="D4168" s="50"/>
      <c r="E4168" s="73"/>
      <c r="F4168" s="45"/>
    </row>
    <row r="4169" spans="4:6" x14ac:dyDescent="0.2">
      <c r="D4169" s="50"/>
      <c r="E4169" s="73"/>
      <c r="F4169" s="45"/>
    </row>
    <row r="4170" spans="4:6" x14ac:dyDescent="0.2">
      <c r="D4170" s="50"/>
      <c r="E4170" s="73"/>
      <c r="F4170" s="45"/>
    </row>
    <row r="4171" spans="4:6" x14ac:dyDescent="0.2">
      <c r="D4171" s="50"/>
      <c r="E4171" s="73"/>
      <c r="F4171" s="45"/>
    </row>
    <row r="4172" spans="4:6" x14ac:dyDescent="0.2">
      <c r="D4172" s="50"/>
      <c r="E4172" s="73"/>
      <c r="F4172" s="45"/>
    </row>
    <row r="4173" spans="4:6" x14ac:dyDescent="0.2">
      <c r="D4173" s="50"/>
      <c r="E4173" s="73"/>
      <c r="F4173" s="45"/>
    </row>
    <row r="4174" spans="4:6" x14ac:dyDescent="0.2">
      <c r="D4174" s="50"/>
      <c r="E4174" s="73"/>
      <c r="F4174" s="45"/>
    </row>
    <row r="4175" spans="4:6" x14ac:dyDescent="0.2">
      <c r="D4175" s="50"/>
      <c r="E4175" s="73"/>
      <c r="F4175" s="45"/>
    </row>
    <row r="4176" spans="4:6" x14ac:dyDescent="0.2">
      <c r="D4176" s="50"/>
      <c r="E4176" s="73"/>
      <c r="F4176" s="45"/>
    </row>
    <row r="4177" spans="4:6" x14ac:dyDescent="0.2">
      <c r="D4177" s="50"/>
      <c r="E4177" s="73"/>
      <c r="F4177" s="45"/>
    </row>
    <row r="4178" spans="4:6" x14ac:dyDescent="0.2">
      <c r="D4178" s="50"/>
      <c r="E4178" s="73"/>
      <c r="F4178" s="45"/>
    </row>
    <row r="4179" spans="4:6" x14ac:dyDescent="0.2">
      <c r="D4179" s="50"/>
      <c r="E4179" s="73"/>
      <c r="F4179" s="45"/>
    </row>
    <row r="4180" spans="4:6" x14ac:dyDescent="0.2">
      <c r="D4180" s="50"/>
      <c r="E4180" s="73"/>
      <c r="F4180" s="45"/>
    </row>
    <row r="4181" spans="4:6" x14ac:dyDescent="0.2">
      <c r="D4181" s="50"/>
      <c r="E4181" s="73"/>
      <c r="F4181" s="45"/>
    </row>
    <row r="4182" spans="4:6" x14ac:dyDescent="0.2">
      <c r="D4182" s="50"/>
      <c r="E4182" s="73"/>
      <c r="F4182" s="45"/>
    </row>
    <row r="4183" spans="4:6" x14ac:dyDescent="0.2">
      <c r="D4183" s="50"/>
      <c r="E4183" s="73"/>
      <c r="F4183" s="45"/>
    </row>
    <row r="4184" spans="4:6" x14ac:dyDescent="0.2">
      <c r="D4184" s="50"/>
      <c r="E4184" s="73"/>
      <c r="F4184" s="45"/>
    </row>
    <row r="4185" spans="4:6" x14ac:dyDescent="0.2">
      <c r="D4185" s="50"/>
      <c r="E4185" s="73"/>
      <c r="F4185" s="45"/>
    </row>
    <row r="4186" spans="4:6" x14ac:dyDescent="0.2">
      <c r="D4186" s="50"/>
      <c r="E4186" s="73"/>
      <c r="F4186" s="45"/>
    </row>
    <row r="4187" spans="4:6" x14ac:dyDescent="0.2">
      <c r="D4187" s="50"/>
      <c r="E4187" s="73"/>
      <c r="F4187" s="45"/>
    </row>
    <row r="4188" spans="4:6" x14ac:dyDescent="0.2">
      <c r="D4188" s="50"/>
      <c r="E4188" s="73"/>
      <c r="F4188" s="45"/>
    </row>
    <row r="4189" spans="4:6" x14ac:dyDescent="0.2">
      <c r="D4189" s="50"/>
      <c r="E4189" s="73"/>
      <c r="F4189" s="45"/>
    </row>
    <row r="4190" spans="4:6" x14ac:dyDescent="0.2">
      <c r="D4190" s="50"/>
      <c r="E4190" s="73"/>
      <c r="F4190" s="45"/>
    </row>
    <row r="4191" spans="4:6" x14ac:dyDescent="0.2">
      <c r="D4191" s="50"/>
      <c r="E4191" s="73"/>
      <c r="F4191" s="45"/>
    </row>
    <row r="4192" spans="4:6" x14ac:dyDescent="0.2">
      <c r="D4192" s="50"/>
      <c r="E4192" s="73"/>
      <c r="F4192" s="45"/>
    </row>
    <row r="4193" spans="4:6" x14ac:dyDescent="0.2">
      <c r="D4193" s="50"/>
      <c r="E4193" s="73"/>
      <c r="F4193" s="45"/>
    </row>
    <row r="4194" spans="4:6" x14ac:dyDescent="0.2">
      <c r="D4194" s="50"/>
      <c r="E4194" s="73"/>
      <c r="F4194" s="45"/>
    </row>
    <row r="4195" spans="4:6" x14ac:dyDescent="0.2">
      <c r="D4195" s="50"/>
      <c r="E4195" s="73"/>
      <c r="F4195" s="45"/>
    </row>
    <row r="4196" spans="4:6" x14ac:dyDescent="0.2">
      <c r="D4196" s="50"/>
      <c r="E4196" s="73"/>
      <c r="F4196" s="45"/>
    </row>
    <row r="4197" spans="4:6" x14ac:dyDescent="0.2">
      <c r="D4197" s="50"/>
      <c r="E4197" s="73"/>
      <c r="F4197" s="45"/>
    </row>
    <row r="4198" spans="4:6" x14ac:dyDescent="0.2">
      <c r="D4198" s="50"/>
      <c r="E4198" s="73"/>
      <c r="F4198" s="45"/>
    </row>
    <row r="4199" spans="4:6" x14ac:dyDescent="0.2">
      <c r="D4199" s="50"/>
      <c r="E4199" s="73"/>
      <c r="F4199" s="45"/>
    </row>
    <row r="4200" spans="4:6" x14ac:dyDescent="0.2">
      <c r="D4200" s="50"/>
      <c r="E4200" s="73"/>
      <c r="F4200" s="45"/>
    </row>
    <row r="4201" spans="4:6" x14ac:dyDescent="0.2">
      <c r="D4201" s="50"/>
      <c r="E4201" s="73"/>
      <c r="F4201" s="45"/>
    </row>
    <row r="4202" spans="4:6" x14ac:dyDescent="0.2">
      <c r="D4202" s="50"/>
      <c r="E4202" s="73"/>
      <c r="F4202" s="45"/>
    </row>
    <row r="4203" spans="4:6" x14ac:dyDescent="0.2">
      <c r="D4203" s="50"/>
      <c r="E4203" s="73"/>
      <c r="F4203" s="45"/>
    </row>
    <row r="4204" spans="4:6" x14ac:dyDescent="0.2">
      <c r="D4204" s="50"/>
      <c r="E4204" s="73"/>
      <c r="F4204" s="45"/>
    </row>
    <row r="4205" spans="4:6" x14ac:dyDescent="0.2">
      <c r="D4205" s="50"/>
      <c r="E4205" s="73"/>
      <c r="F4205" s="45"/>
    </row>
    <row r="4206" spans="4:6" x14ac:dyDescent="0.2">
      <c r="D4206" s="50"/>
      <c r="E4206" s="73"/>
      <c r="F4206" s="45"/>
    </row>
    <row r="4207" spans="4:6" x14ac:dyDescent="0.2">
      <c r="D4207" s="50"/>
      <c r="E4207" s="73"/>
      <c r="F4207" s="45"/>
    </row>
    <row r="4208" spans="4:6" x14ac:dyDescent="0.2">
      <c r="D4208" s="50"/>
      <c r="E4208" s="73"/>
      <c r="F4208" s="45"/>
    </row>
    <row r="4209" spans="4:6" x14ac:dyDescent="0.2">
      <c r="D4209" s="50"/>
      <c r="E4209" s="73"/>
      <c r="F4209" s="45"/>
    </row>
    <row r="4210" spans="4:6" x14ac:dyDescent="0.2">
      <c r="D4210" s="50"/>
      <c r="E4210" s="73"/>
      <c r="F4210" s="45"/>
    </row>
    <row r="4211" spans="4:6" x14ac:dyDescent="0.2">
      <c r="D4211" s="50"/>
      <c r="E4211" s="73"/>
      <c r="F4211" s="45"/>
    </row>
    <row r="4212" spans="4:6" x14ac:dyDescent="0.2">
      <c r="D4212" s="50"/>
      <c r="E4212" s="73"/>
      <c r="F4212" s="45"/>
    </row>
    <row r="4213" spans="4:6" x14ac:dyDescent="0.2">
      <c r="D4213" s="50"/>
      <c r="E4213" s="73"/>
      <c r="F4213" s="45"/>
    </row>
    <row r="4214" spans="4:6" x14ac:dyDescent="0.2">
      <c r="D4214" s="50"/>
      <c r="E4214" s="73"/>
      <c r="F4214" s="45"/>
    </row>
    <row r="4215" spans="4:6" x14ac:dyDescent="0.2">
      <c r="D4215" s="50"/>
      <c r="E4215" s="73"/>
      <c r="F4215" s="45"/>
    </row>
    <row r="4216" spans="4:6" x14ac:dyDescent="0.2">
      <c r="D4216" s="50"/>
      <c r="E4216" s="73"/>
      <c r="F4216" s="45"/>
    </row>
    <row r="4217" spans="4:6" x14ac:dyDescent="0.2">
      <c r="D4217" s="50"/>
      <c r="E4217" s="73"/>
      <c r="F4217" s="45"/>
    </row>
    <row r="4218" spans="4:6" x14ac:dyDescent="0.2">
      <c r="D4218" s="50"/>
      <c r="E4218" s="73"/>
      <c r="F4218" s="45"/>
    </row>
    <row r="4219" spans="4:6" x14ac:dyDescent="0.2">
      <c r="D4219" s="50"/>
      <c r="E4219" s="73"/>
      <c r="F4219" s="45"/>
    </row>
    <row r="4220" spans="4:6" x14ac:dyDescent="0.2">
      <c r="D4220" s="50"/>
      <c r="E4220" s="73"/>
      <c r="F4220" s="45"/>
    </row>
    <row r="4221" spans="4:6" x14ac:dyDescent="0.2">
      <c r="D4221" s="50"/>
      <c r="E4221" s="73"/>
      <c r="F4221" s="45"/>
    </row>
    <row r="4222" spans="4:6" x14ac:dyDescent="0.2">
      <c r="D4222" s="50"/>
      <c r="E4222" s="73"/>
      <c r="F4222" s="45"/>
    </row>
    <row r="4223" spans="4:6" x14ac:dyDescent="0.2">
      <c r="D4223" s="50"/>
      <c r="E4223" s="73"/>
      <c r="F4223" s="45"/>
    </row>
    <row r="4224" spans="4:6" x14ac:dyDescent="0.2">
      <c r="D4224" s="50"/>
      <c r="E4224" s="73"/>
      <c r="F4224" s="45"/>
    </row>
    <row r="4225" spans="4:6" x14ac:dyDescent="0.2">
      <c r="D4225" s="50"/>
      <c r="E4225" s="73"/>
      <c r="F4225" s="45"/>
    </row>
    <row r="4226" spans="4:6" x14ac:dyDescent="0.2">
      <c r="D4226" s="50"/>
      <c r="E4226" s="73"/>
      <c r="F4226" s="45"/>
    </row>
    <row r="4227" spans="4:6" x14ac:dyDescent="0.2">
      <c r="D4227" s="50"/>
      <c r="E4227" s="73"/>
      <c r="F4227" s="45"/>
    </row>
    <row r="4228" spans="4:6" x14ac:dyDescent="0.2">
      <c r="D4228" s="50"/>
      <c r="E4228" s="73"/>
      <c r="F4228" s="45"/>
    </row>
    <row r="4229" spans="4:6" x14ac:dyDescent="0.2">
      <c r="D4229" s="50"/>
      <c r="E4229" s="73"/>
      <c r="F4229" s="45"/>
    </row>
    <row r="4230" spans="4:6" x14ac:dyDescent="0.2">
      <c r="D4230" s="50"/>
      <c r="E4230" s="73"/>
      <c r="F4230" s="45"/>
    </row>
    <row r="4231" spans="4:6" x14ac:dyDescent="0.2">
      <c r="D4231" s="50"/>
      <c r="E4231" s="73"/>
      <c r="F4231" s="45"/>
    </row>
    <row r="4232" spans="4:6" x14ac:dyDescent="0.2">
      <c r="D4232" s="50"/>
      <c r="E4232" s="73"/>
      <c r="F4232" s="45"/>
    </row>
    <row r="4233" spans="4:6" x14ac:dyDescent="0.2">
      <c r="D4233" s="50"/>
      <c r="E4233" s="73"/>
      <c r="F4233" s="45"/>
    </row>
    <row r="4234" spans="4:6" x14ac:dyDescent="0.2">
      <c r="D4234" s="50"/>
      <c r="E4234" s="73"/>
      <c r="F4234" s="45"/>
    </row>
    <row r="4235" spans="4:6" x14ac:dyDescent="0.2">
      <c r="D4235" s="50"/>
      <c r="E4235" s="73"/>
      <c r="F4235" s="45"/>
    </row>
    <row r="4236" spans="4:6" x14ac:dyDescent="0.2">
      <c r="D4236" s="50"/>
      <c r="E4236" s="73"/>
      <c r="F4236" s="45"/>
    </row>
    <row r="4237" spans="4:6" x14ac:dyDescent="0.2">
      <c r="D4237" s="50"/>
      <c r="E4237" s="73"/>
      <c r="F4237" s="45"/>
    </row>
    <row r="4238" spans="4:6" x14ac:dyDescent="0.2">
      <c r="D4238" s="50"/>
      <c r="E4238" s="73"/>
      <c r="F4238" s="45"/>
    </row>
    <row r="4239" spans="4:6" x14ac:dyDescent="0.2">
      <c r="D4239" s="50"/>
      <c r="E4239" s="73"/>
      <c r="F4239" s="45"/>
    </row>
    <row r="4240" spans="4:6" x14ac:dyDescent="0.2">
      <c r="D4240" s="50"/>
      <c r="E4240" s="73"/>
      <c r="F4240" s="45"/>
    </row>
    <row r="4241" spans="4:6" x14ac:dyDescent="0.2">
      <c r="D4241" s="50"/>
      <c r="E4241" s="73"/>
      <c r="F4241" s="45"/>
    </row>
    <row r="4242" spans="4:6" x14ac:dyDescent="0.2">
      <c r="D4242" s="50"/>
      <c r="E4242" s="73"/>
      <c r="F4242" s="45"/>
    </row>
    <row r="4243" spans="4:6" x14ac:dyDescent="0.2">
      <c r="D4243" s="50"/>
      <c r="E4243" s="73"/>
      <c r="F4243" s="45"/>
    </row>
    <row r="4244" spans="4:6" x14ac:dyDescent="0.2">
      <c r="D4244" s="50"/>
      <c r="E4244" s="73"/>
      <c r="F4244" s="45"/>
    </row>
    <row r="4245" spans="4:6" x14ac:dyDescent="0.2">
      <c r="D4245" s="50"/>
      <c r="E4245" s="73"/>
      <c r="F4245" s="45"/>
    </row>
    <row r="4246" spans="4:6" x14ac:dyDescent="0.2">
      <c r="D4246" s="50"/>
      <c r="E4246" s="73"/>
      <c r="F4246" s="45"/>
    </row>
    <row r="4247" spans="4:6" x14ac:dyDescent="0.2">
      <c r="D4247" s="50"/>
      <c r="E4247" s="73"/>
      <c r="F4247" s="45"/>
    </row>
    <row r="4248" spans="4:6" x14ac:dyDescent="0.2">
      <c r="D4248" s="50"/>
      <c r="E4248" s="73"/>
      <c r="F4248" s="45"/>
    </row>
    <row r="4249" spans="4:6" x14ac:dyDescent="0.2">
      <c r="D4249" s="50"/>
      <c r="E4249" s="73"/>
      <c r="F4249" s="45"/>
    </row>
    <row r="4250" spans="4:6" x14ac:dyDescent="0.2">
      <c r="D4250" s="50"/>
      <c r="E4250" s="73"/>
      <c r="F4250" s="45"/>
    </row>
    <row r="4251" spans="4:6" x14ac:dyDescent="0.2">
      <c r="D4251" s="50"/>
      <c r="E4251" s="73"/>
      <c r="F4251" s="45"/>
    </row>
    <row r="4252" spans="4:6" x14ac:dyDescent="0.2">
      <c r="D4252" s="50"/>
      <c r="E4252" s="73"/>
      <c r="F4252" s="45"/>
    </row>
    <row r="4253" spans="4:6" x14ac:dyDescent="0.2">
      <c r="D4253" s="50"/>
      <c r="E4253" s="73"/>
      <c r="F4253" s="45"/>
    </row>
    <row r="4254" spans="4:6" x14ac:dyDescent="0.2">
      <c r="D4254" s="50"/>
      <c r="E4254" s="73"/>
      <c r="F4254" s="45"/>
    </row>
    <row r="4255" spans="4:6" x14ac:dyDescent="0.2">
      <c r="D4255" s="50"/>
      <c r="E4255" s="73"/>
      <c r="F4255" s="45"/>
    </row>
    <row r="4256" spans="4:6" x14ac:dyDescent="0.2">
      <c r="D4256" s="50"/>
      <c r="E4256" s="73"/>
      <c r="F4256" s="45"/>
    </row>
    <row r="4257" spans="4:6" x14ac:dyDescent="0.2">
      <c r="D4257" s="50"/>
      <c r="E4257" s="73"/>
      <c r="F4257" s="45"/>
    </row>
    <row r="4258" spans="4:6" x14ac:dyDescent="0.2">
      <c r="D4258" s="50"/>
      <c r="E4258" s="73"/>
      <c r="F4258" s="45"/>
    </row>
    <row r="4259" spans="4:6" x14ac:dyDescent="0.2">
      <c r="D4259" s="50"/>
      <c r="E4259" s="73"/>
      <c r="F4259" s="45"/>
    </row>
    <row r="4260" spans="4:6" x14ac:dyDescent="0.2">
      <c r="D4260" s="50"/>
      <c r="E4260" s="73"/>
      <c r="F4260" s="45"/>
    </row>
    <row r="4261" spans="4:6" x14ac:dyDescent="0.2">
      <c r="D4261" s="50"/>
      <c r="E4261" s="73"/>
      <c r="F4261" s="45"/>
    </row>
    <row r="4262" spans="4:6" x14ac:dyDescent="0.2">
      <c r="D4262" s="50"/>
      <c r="E4262" s="73"/>
      <c r="F4262" s="45"/>
    </row>
    <row r="4263" spans="4:6" x14ac:dyDescent="0.2">
      <c r="D4263" s="50"/>
      <c r="E4263" s="73"/>
      <c r="F4263" s="45"/>
    </row>
    <row r="4264" spans="4:6" x14ac:dyDescent="0.2">
      <c r="D4264" s="50"/>
      <c r="E4264" s="73"/>
      <c r="F4264" s="45"/>
    </row>
    <row r="4265" spans="4:6" x14ac:dyDescent="0.2">
      <c r="D4265" s="50"/>
      <c r="E4265" s="73"/>
      <c r="F4265" s="45"/>
    </row>
    <row r="4266" spans="4:6" x14ac:dyDescent="0.2">
      <c r="D4266" s="50"/>
      <c r="E4266" s="73"/>
      <c r="F4266" s="45"/>
    </row>
    <row r="4267" spans="4:6" x14ac:dyDescent="0.2">
      <c r="D4267" s="50"/>
      <c r="E4267" s="73"/>
      <c r="F4267" s="45"/>
    </row>
    <row r="4268" spans="4:6" x14ac:dyDescent="0.2">
      <c r="D4268" s="50"/>
      <c r="E4268" s="73"/>
      <c r="F4268" s="45"/>
    </row>
    <row r="4269" spans="4:6" x14ac:dyDescent="0.2">
      <c r="D4269" s="50"/>
      <c r="E4269" s="73"/>
      <c r="F4269" s="45"/>
    </row>
    <row r="4270" spans="4:6" x14ac:dyDescent="0.2">
      <c r="D4270" s="50"/>
      <c r="E4270" s="73"/>
      <c r="F4270" s="45"/>
    </row>
    <row r="4271" spans="4:6" x14ac:dyDescent="0.2">
      <c r="D4271" s="50"/>
      <c r="E4271" s="73"/>
      <c r="F4271" s="45"/>
    </row>
    <row r="4272" spans="4:6" x14ac:dyDescent="0.2">
      <c r="D4272" s="50"/>
      <c r="E4272" s="73"/>
      <c r="F4272" s="45"/>
    </row>
    <row r="4273" spans="4:6" x14ac:dyDescent="0.2">
      <c r="D4273" s="50"/>
      <c r="E4273" s="73"/>
      <c r="F4273" s="45"/>
    </row>
    <row r="4274" spans="4:6" x14ac:dyDescent="0.2">
      <c r="D4274" s="50"/>
      <c r="E4274" s="73"/>
      <c r="F4274" s="45"/>
    </row>
    <row r="4275" spans="4:6" x14ac:dyDescent="0.2">
      <c r="D4275" s="50"/>
      <c r="E4275" s="73"/>
      <c r="F4275" s="45"/>
    </row>
    <row r="4276" spans="4:6" x14ac:dyDescent="0.2">
      <c r="D4276" s="50"/>
      <c r="E4276" s="73"/>
      <c r="F4276" s="45"/>
    </row>
    <row r="4277" spans="4:6" x14ac:dyDescent="0.2">
      <c r="D4277" s="50"/>
      <c r="E4277" s="73"/>
      <c r="F4277" s="45"/>
    </row>
    <row r="4278" spans="4:6" x14ac:dyDescent="0.2">
      <c r="D4278" s="50"/>
      <c r="E4278" s="73"/>
      <c r="F4278" s="45"/>
    </row>
    <row r="4279" spans="4:6" x14ac:dyDescent="0.2">
      <c r="D4279" s="50"/>
      <c r="E4279" s="73"/>
      <c r="F4279" s="45"/>
    </row>
    <row r="4280" spans="4:6" x14ac:dyDescent="0.2">
      <c r="D4280" s="50"/>
      <c r="E4280" s="73"/>
      <c r="F4280" s="45"/>
    </row>
    <row r="4281" spans="4:6" x14ac:dyDescent="0.2">
      <c r="D4281" s="50"/>
      <c r="E4281" s="73"/>
      <c r="F4281" s="45"/>
    </row>
    <row r="4282" spans="4:6" x14ac:dyDescent="0.2">
      <c r="D4282" s="50"/>
      <c r="E4282" s="73"/>
      <c r="F4282" s="45"/>
    </row>
    <row r="4283" spans="4:6" x14ac:dyDescent="0.2">
      <c r="D4283" s="50"/>
      <c r="E4283" s="73"/>
      <c r="F4283" s="45"/>
    </row>
    <row r="4284" spans="4:6" x14ac:dyDescent="0.2">
      <c r="D4284" s="50"/>
      <c r="E4284" s="73"/>
      <c r="F4284" s="45"/>
    </row>
    <row r="4285" spans="4:6" x14ac:dyDescent="0.2">
      <c r="D4285" s="50"/>
      <c r="E4285" s="73"/>
      <c r="F4285" s="45"/>
    </row>
    <row r="4286" spans="4:6" x14ac:dyDescent="0.2">
      <c r="D4286" s="50"/>
      <c r="E4286" s="73"/>
      <c r="F4286" s="45"/>
    </row>
    <row r="4287" spans="4:6" x14ac:dyDescent="0.2">
      <c r="D4287" s="50"/>
      <c r="E4287" s="73"/>
      <c r="F4287" s="45"/>
    </row>
    <row r="4288" spans="4:6" x14ac:dyDescent="0.2">
      <c r="D4288" s="50"/>
      <c r="E4288" s="73"/>
      <c r="F4288" s="45"/>
    </row>
    <row r="4289" spans="4:6" x14ac:dyDescent="0.2">
      <c r="D4289" s="50"/>
      <c r="E4289" s="73"/>
      <c r="F4289" s="45"/>
    </row>
    <row r="4290" spans="4:6" x14ac:dyDescent="0.2">
      <c r="D4290" s="50"/>
      <c r="E4290" s="73"/>
      <c r="F4290" s="45"/>
    </row>
    <row r="4291" spans="4:6" x14ac:dyDescent="0.2">
      <c r="D4291" s="50"/>
      <c r="E4291" s="73"/>
      <c r="F4291" s="45"/>
    </row>
    <row r="4292" spans="4:6" x14ac:dyDescent="0.2">
      <c r="D4292" s="50"/>
      <c r="E4292" s="73"/>
      <c r="F4292" s="45"/>
    </row>
    <row r="4293" spans="4:6" x14ac:dyDescent="0.2">
      <c r="D4293" s="50"/>
      <c r="E4293" s="73"/>
      <c r="F4293" s="45"/>
    </row>
    <row r="4294" spans="4:6" x14ac:dyDescent="0.2">
      <c r="D4294" s="50"/>
      <c r="E4294" s="73"/>
      <c r="F4294" s="45"/>
    </row>
    <row r="4295" spans="4:6" x14ac:dyDescent="0.2">
      <c r="D4295" s="50"/>
      <c r="E4295" s="73"/>
      <c r="F4295" s="45"/>
    </row>
    <row r="4296" spans="4:6" x14ac:dyDescent="0.2">
      <c r="D4296" s="50"/>
      <c r="E4296" s="73"/>
      <c r="F4296" s="45"/>
    </row>
    <row r="4297" spans="4:6" x14ac:dyDescent="0.2">
      <c r="D4297" s="50"/>
      <c r="E4297" s="73"/>
      <c r="F4297" s="45"/>
    </row>
    <row r="4298" spans="4:6" x14ac:dyDescent="0.2">
      <c r="D4298" s="50"/>
      <c r="E4298" s="73"/>
      <c r="F4298" s="45"/>
    </row>
    <row r="4299" spans="4:6" x14ac:dyDescent="0.2">
      <c r="D4299" s="50"/>
      <c r="E4299" s="73"/>
      <c r="F4299" s="45"/>
    </row>
    <row r="4300" spans="4:6" x14ac:dyDescent="0.2">
      <c r="D4300" s="50"/>
      <c r="E4300" s="73"/>
      <c r="F4300" s="45"/>
    </row>
    <row r="4301" spans="4:6" x14ac:dyDescent="0.2">
      <c r="D4301" s="50"/>
      <c r="E4301" s="73"/>
      <c r="F4301" s="45"/>
    </row>
    <row r="4302" spans="4:6" x14ac:dyDescent="0.2">
      <c r="D4302" s="50"/>
      <c r="E4302" s="73"/>
      <c r="F4302" s="45"/>
    </row>
    <row r="4303" spans="4:6" x14ac:dyDescent="0.2">
      <c r="D4303" s="50"/>
      <c r="E4303" s="73"/>
      <c r="F4303" s="45"/>
    </row>
    <row r="4304" spans="4:6" x14ac:dyDescent="0.2">
      <c r="D4304" s="50"/>
      <c r="E4304" s="73"/>
      <c r="F4304" s="45"/>
    </row>
    <row r="4305" spans="4:6" x14ac:dyDescent="0.2">
      <c r="D4305" s="50"/>
      <c r="E4305" s="73"/>
      <c r="F4305" s="45"/>
    </row>
    <row r="4306" spans="4:6" x14ac:dyDescent="0.2">
      <c r="D4306" s="50"/>
      <c r="E4306" s="73"/>
      <c r="F4306" s="45"/>
    </row>
    <row r="4307" spans="4:6" x14ac:dyDescent="0.2">
      <c r="D4307" s="50"/>
      <c r="E4307" s="73"/>
      <c r="F4307" s="45"/>
    </row>
    <row r="4308" spans="4:6" x14ac:dyDescent="0.2">
      <c r="D4308" s="50"/>
      <c r="E4308" s="73"/>
      <c r="F4308" s="45"/>
    </row>
    <row r="4309" spans="4:6" x14ac:dyDescent="0.2">
      <c r="D4309" s="50"/>
      <c r="E4309" s="73"/>
      <c r="F4309" s="45"/>
    </row>
    <row r="4310" spans="4:6" x14ac:dyDescent="0.2">
      <c r="D4310" s="50"/>
      <c r="E4310" s="73"/>
      <c r="F4310" s="45"/>
    </row>
    <row r="4311" spans="4:6" x14ac:dyDescent="0.2">
      <c r="D4311" s="50"/>
      <c r="E4311" s="73"/>
      <c r="F4311" s="45"/>
    </row>
    <row r="4312" spans="4:6" x14ac:dyDescent="0.2">
      <c r="D4312" s="50"/>
      <c r="E4312" s="73"/>
      <c r="F4312" s="45"/>
    </row>
    <row r="4313" spans="4:6" x14ac:dyDescent="0.2">
      <c r="D4313" s="50"/>
      <c r="E4313" s="73"/>
      <c r="F4313" s="45"/>
    </row>
    <row r="4314" spans="4:6" x14ac:dyDescent="0.2">
      <c r="D4314" s="50"/>
      <c r="E4314" s="73"/>
      <c r="F4314" s="45"/>
    </row>
    <row r="4315" spans="4:6" x14ac:dyDescent="0.2">
      <c r="D4315" s="50"/>
      <c r="E4315" s="73"/>
      <c r="F4315" s="45"/>
    </row>
    <row r="4316" spans="4:6" x14ac:dyDescent="0.2">
      <c r="D4316" s="50"/>
      <c r="E4316" s="73"/>
      <c r="F4316" s="45"/>
    </row>
    <row r="4317" spans="4:6" x14ac:dyDescent="0.2">
      <c r="D4317" s="50"/>
      <c r="E4317" s="73"/>
      <c r="F4317" s="45"/>
    </row>
    <row r="4318" spans="4:6" x14ac:dyDescent="0.2">
      <c r="D4318" s="50"/>
      <c r="E4318" s="73"/>
      <c r="F4318" s="45"/>
    </row>
    <row r="4319" spans="4:6" x14ac:dyDescent="0.2">
      <c r="D4319" s="50"/>
      <c r="E4319" s="73"/>
      <c r="F4319" s="45"/>
    </row>
    <row r="4320" spans="4:6" x14ac:dyDescent="0.2">
      <c r="D4320" s="50"/>
      <c r="E4320" s="73"/>
      <c r="F4320" s="45"/>
    </row>
    <row r="4321" spans="4:6" x14ac:dyDescent="0.2">
      <c r="D4321" s="50"/>
      <c r="E4321" s="73"/>
      <c r="F4321" s="45"/>
    </row>
    <row r="4322" spans="4:6" x14ac:dyDescent="0.2">
      <c r="D4322" s="50"/>
      <c r="E4322" s="73"/>
      <c r="F4322" s="45"/>
    </row>
    <row r="4323" spans="4:6" x14ac:dyDescent="0.2">
      <c r="D4323" s="50"/>
      <c r="E4323" s="73"/>
      <c r="F4323" s="45"/>
    </row>
    <row r="4324" spans="4:6" x14ac:dyDescent="0.2">
      <c r="D4324" s="50"/>
      <c r="E4324" s="73"/>
      <c r="F4324" s="45"/>
    </row>
    <row r="4325" spans="4:6" x14ac:dyDescent="0.2">
      <c r="D4325" s="50"/>
      <c r="E4325" s="73"/>
      <c r="F4325" s="45"/>
    </row>
    <row r="4326" spans="4:6" x14ac:dyDescent="0.2">
      <c r="D4326" s="50"/>
      <c r="E4326" s="73"/>
      <c r="F4326" s="45"/>
    </row>
    <row r="4327" spans="4:6" x14ac:dyDescent="0.2">
      <c r="D4327" s="50"/>
      <c r="E4327" s="73"/>
      <c r="F4327" s="45"/>
    </row>
    <row r="4328" spans="4:6" x14ac:dyDescent="0.2">
      <c r="D4328" s="50"/>
      <c r="E4328" s="73"/>
      <c r="F4328" s="45"/>
    </row>
    <row r="4329" spans="4:6" x14ac:dyDescent="0.2">
      <c r="D4329" s="50"/>
      <c r="E4329" s="73"/>
      <c r="F4329" s="45"/>
    </row>
    <row r="4330" spans="4:6" x14ac:dyDescent="0.2">
      <c r="D4330" s="50"/>
      <c r="E4330" s="73"/>
      <c r="F4330" s="45"/>
    </row>
    <row r="4331" spans="4:6" x14ac:dyDescent="0.2">
      <c r="D4331" s="50"/>
      <c r="E4331" s="73"/>
      <c r="F4331" s="45"/>
    </row>
    <row r="4332" spans="4:6" x14ac:dyDescent="0.2">
      <c r="D4332" s="50"/>
      <c r="E4332" s="73"/>
      <c r="F4332" s="45"/>
    </row>
    <row r="4333" spans="4:6" x14ac:dyDescent="0.2">
      <c r="D4333" s="50"/>
      <c r="E4333" s="73"/>
      <c r="F4333" s="45"/>
    </row>
    <row r="4334" spans="4:6" x14ac:dyDescent="0.2">
      <c r="D4334" s="50"/>
      <c r="E4334" s="73"/>
      <c r="F4334" s="45"/>
    </row>
    <row r="4335" spans="4:6" x14ac:dyDescent="0.2">
      <c r="D4335" s="50"/>
      <c r="E4335" s="73"/>
      <c r="F4335" s="45"/>
    </row>
    <row r="4336" spans="4:6" x14ac:dyDescent="0.2">
      <c r="D4336" s="50"/>
      <c r="E4336" s="73"/>
      <c r="F4336" s="45"/>
    </row>
    <row r="4337" spans="4:6" x14ac:dyDescent="0.2">
      <c r="D4337" s="50"/>
      <c r="E4337" s="73"/>
      <c r="F4337" s="45"/>
    </row>
    <row r="4338" spans="4:6" x14ac:dyDescent="0.2">
      <c r="D4338" s="50"/>
      <c r="E4338" s="73"/>
      <c r="F4338" s="45"/>
    </row>
    <row r="4339" spans="4:6" x14ac:dyDescent="0.2">
      <c r="D4339" s="50"/>
      <c r="E4339" s="73"/>
      <c r="F4339" s="45"/>
    </row>
    <row r="4340" spans="4:6" x14ac:dyDescent="0.2">
      <c r="D4340" s="50"/>
      <c r="E4340" s="73"/>
      <c r="F4340" s="45"/>
    </row>
    <row r="4341" spans="4:6" x14ac:dyDescent="0.2">
      <c r="D4341" s="50"/>
      <c r="E4341" s="73"/>
      <c r="F4341" s="45"/>
    </row>
    <row r="4342" spans="4:6" x14ac:dyDescent="0.2">
      <c r="D4342" s="50"/>
      <c r="E4342" s="73"/>
      <c r="F4342" s="45"/>
    </row>
    <row r="4343" spans="4:6" x14ac:dyDescent="0.2">
      <c r="D4343" s="50"/>
      <c r="E4343" s="73"/>
      <c r="F4343" s="45"/>
    </row>
    <row r="4344" spans="4:6" x14ac:dyDescent="0.2">
      <c r="D4344" s="50"/>
      <c r="E4344" s="73"/>
      <c r="F4344" s="45"/>
    </row>
    <row r="4345" spans="4:6" x14ac:dyDescent="0.2">
      <c r="D4345" s="50"/>
      <c r="E4345" s="73"/>
      <c r="F4345" s="45"/>
    </row>
    <row r="4346" spans="4:6" x14ac:dyDescent="0.2">
      <c r="D4346" s="50"/>
      <c r="E4346" s="73"/>
      <c r="F4346" s="45"/>
    </row>
    <row r="4347" spans="4:6" x14ac:dyDescent="0.2">
      <c r="D4347" s="50"/>
      <c r="E4347" s="73"/>
      <c r="F4347" s="45"/>
    </row>
    <row r="4348" spans="4:6" x14ac:dyDescent="0.2">
      <c r="D4348" s="50"/>
      <c r="E4348" s="73"/>
      <c r="F4348" s="45"/>
    </row>
    <row r="4349" spans="4:6" x14ac:dyDescent="0.2">
      <c r="D4349" s="50"/>
      <c r="E4349" s="73"/>
      <c r="F4349" s="45"/>
    </row>
    <row r="4350" spans="4:6" x14ac:dyDescent="0.2">
      <c r="D4350" s="50"/>
      <c r="E4350" s="73"/>
      <c r="F4350" s="45"/>
    </row>
    <row r="4351" spans="4:6" x14ac:dyDescent="0.2">
      <c r="D4351" s="50"/>
      <c r="E4351" s="73"/>
      <c r="F4351" s="45"/>
    </row>
    <row r="4352" spans="4:6" x14ac:dyDescent="0.2">
      <c r="D4352" s="50"/>
      <c r="E4352" s="73"/>
      <c r="F4352" s="45"/>
    </row>
    <row r="4353" spans="4:6" x14ac:dyDescent="0.2">
      <c r="D4353" s="50"/>
      <c r="E4353" s="73"/>
      <c r="F4353" s="45"/>
    </row>
    <row r="4354" spans="4:6" x14ac:dyDescent="0.2">
      <c r="D4354" s="50"/>
      <c r="E4354" s="73"/>
      <c r="F4354" s="45"/>
    </row>
    <row r="4355" spans="4:6" x14ac:dyDescent="0.2">
      <c r="D4355" s="50"/>
      <c r="E4355" s="73"/>
      <c r="F4355" s="45"/>
    </row>
    <row r="4356" spans="4:6" x14ac:dyDescent="0.2">
      <c r="D4356" s="50"/>
      <c r="E4356" s="73"/>
      <c r="F4356" s="45"/>
    </row>
    <row r="4357" spans="4:6" x14ac:dyDescent="0.2">
      <c r="D4357" s="50"/>
      <c r="E4357" s="73"/>
      <c r="F4357" s="45"/>
    </row>
    <row r="4358" spans="4:6" x14ac:dyDescent="0.2">
      <c r="D4358" s="50"/>
      <c r="E4358" s="73"/>
      <c r="F4358" s="45"/>
    </row>
    <row r="4359" spans="4:6" x14ac:dyDescent="0.2">
      <c r="D4359" s="50"/>
      <c r="E4359" s="73"/>
      <c r="F4359" s="45"/>
    </row>
    <row r="4360" spans="4:6" x14ac:dyDescent="0.2">
      <c r="D4360" s="50"/>
      <c r="E4360" s="73"/>
      <c r="F4360" s="45"/>
    </row>
    <row r="4361" spans="4:6" x14ac:dyDescent="0.2">
      <c r="D4361" s="50"/>
      <c r="E4361" s="73"/>
      <c r="F4361" s="45"/>
    </row>
    <row r="4362" spans="4:6" x14ac:dyDescent="0.2">
      <c r="D4362" s="50"/>
      <c r="E4362" s="73"/>
      <c r="F4362" s="45"/>
    </row>
    <row r="4363" spans="4:6" x14ac:dyDescent="0.2">
      <c r="D4363" s="50"/>
      <c r="E4363" s="73"/>
      <c r="F4363" s="45"/>
    </row>
    <row r="4364" spans="4:6" x14ac:dyDescent="0.2">
      <c r="D4364" s="50"/>
      <c r="E4364" s="73"/>
      <c r="F4364" s="45"/>
    </row>
    <row r="4365" spans="4:6" x14ac:dyDescent="0.2">
      <c r="D4365" s="50"/>
      <c r="E4365" s="73"/>
      <c r="F4365" s="45"/>
    </row>
    <row r="4366" spans="4:6" x14ac:dyDescent="0.2">
      <c r="D4366" s="50"/>
      <c r="E4366" s="73"/>
      <c r="F4366" s="45"/>
    </row>
    <row r="4367" spans="4:6" x14ac:dyDescent="0.2">
      <c r="D4367" s="50"/>
      <c r="E4367" s="73"/>
      <c r="F4367" s="45"/>
    </row>
    <row r="4368" spans="4:6" x14ac:dyDescent="0.2">
      <c r="D4368" s="50"/>
      <c r="E4368" s="73"/>
      <c r="F4368" s="45"/>
    </row>
    <row r="4369" spans="4:6" x14ac:dyDescent="0.2">
      <c r="D4369" s="50"/>
      <c r="E4369" s="73"/>
      <c r="F4369" s="45"/>
    </row>
    <row r="4370" spans="4:6" x14ac:dyDescent="0.2">
      <c r="D4370" s="50"/>
      <c r="E4370" s="73"/>
      <c r="F4370" s="45"/>
    </row>
    <row r="4371" spans="4:6" x14ac:dyDescent="0.2">
      <c r="D4371" s="50"/>
      <c r="E4371" s="73"/>
      <c r="F4371" s="45"/>
    </row>
    <row r="4372" spans="4:6" x14ac:dyDescent="0.2">
      <c r="D4372" s="50"/>
      <c r="E4372" s="73"/>
      <c r="F4372" s="45"/>
    </row>
    <row r="4373" spans="4:6" x14ac:dyDescent="0.2">
      <c r="D4373" s="50"/>
      <c r="E4373" s="73"/>
      <c r="F4373" s="45"/>
    </row>
    <row r="4374" spans="4:6" x14ac:dyDescent="0.2">
      <c r="D4374" s="50"/>
      <c r="E4374" s="73"/>
      <c r="F4374" s="45"/>
    </row>
    <row r="4375" spans="4:6" x14ac:dyDescent="0.2">
      <c r="D4375" s="50"/>
      <c r="E4375" s="73"/>
      <c r="F4375" s="45"/>
    </row>
    <row r="4376" spans="4:6" x14ac:dyDescent="0.2">
      <c r="D4376" s="50"/>
      <c r="E4376" s="73"/>
      <c r="F4376" s="45"/>
    </row>
    <row r="4377" spans="4:6" x14ac:dyDescent="0.2">
      <c r="D4377" s="50"/>
      <c r="E4377" s="73"/>
      <c r="F4377" s="45"/>
    </row>
    <row r="4378" spans="4:6" x14ac:dyDescent="0.2">
      <c r="D4378" s="50"/>
      <c r="E4378" s="73"/>
      <c r="F4378" s="45"/>
    </row>
    <row r="4379" spans="4:6" x14ac:dyDescent="0.2">
      <c r="D4379" s="50"/>
      <c r="E4379" s="73"/>
      <c r="F4379" s="45"/>
    </row>
    <row r="4380" spans="4:6" x14ac:dyDescent="0.2">
      <c r="D4380" s="50"/>
      <c r="E4380" s="73"/>
      <c r="F4380" s="45"/>
    </row>
    <row r="4381" spans="4:6" x14ac:dyDescent="0.2">
      <c r="D4381" s="50"/>
      <c r="E4381" s="73"/>
      <c r="F4381" s="45"/>
    </row>
    <row r="4382" spans="4:6" x14ac:dyDescent="0.2">
      <c r="D4382" s="50"/>
      <c r="E4382" s="73"/>
      <c r="F4382" s="45"/>
    </row>
    <row r="4383" spans="4:6" x14ac:dyDescent="0.2">
      <c r="D4383" s="50"/>
      <c r="E4383" s="73"/>
      <c r="F4383" s="45"/>
    </row>
    <row r="4384" spans="4:6" x14ac:dyDescent="0.2">
      <c r="D4384" s="50"/>
      <c r="E4384" s="73"/>
      <c r="F4384" s="45"/>
    </row>
    <row r="4385" spans="4:6" x14ac:dyDescent="0.2">
      <c r="D4385" s="50"/>
      <c r="E4385" s="73"/>
      <c r="F4385" s="45"/>
    </row>
    <row r="4386" spans="4:6" x14ac:dyDescent="0.2">
      <c r="D4386" s="50"/>
      <c r="E4386" s="73"/>
      <c r="F4386" s="45"/>
    </row>
    <row r="4387" spans="4:6" x14ac:dyDescent="0.2">
      <c r="D4387" s="50"/>
      <c r="E4387" s="73"/>
      <c r="F4387" s="45"/>
    </row>
    <row r="4388" spans="4:6" x14ac:dyDescent="0.2">
      <c r="D4388" s="50"/>
      <c r="E4388" s="73"/>
      <c r="F4388" s="45"/>
    </row>
    <row r="4389" spans="4:6" x14ac:dyDescent="0.2">
      <c r="D4389" s="50"/>
      <c r="E4389" s="73"/>
      <c r="F4389" s="45"/>
    </row>
    <row r="4390" spans="4:6" x14ac:dyDescent="0.2">
      <c r="D4390" s="50"/>
      <c r="E4390" s="73"/>
      <c r="F4390" s="45"/>
    </row>
    <row r="4391" spans="4:6" x14ac:dyDescent="0.2">
      <c r="D4391" s="50"/>
      <c r="E4391" s="73"/>
      <c r="F4391" s="45"/>
    </row>
    <row r="4392" spans="4:6" x14ac:dyDescent="0.2">
      <c r="D4392" s="50"/>
      <c r="E4392" s="73"/>
      <c r="F4392" s="45"/>
    </row>
    <row r="4393" spans="4:6" x14ac:dyDescent="0.2">
      <c r="D4393" s="50"/>
      <c r="E4393" s="73"/>
      <c r="F4393" s="45"/>
    </row>
    <row r="4394" spans="4:6" x14ac:dyDescent="0.2">
      <c r="D4394" s="50"/>
      <c r="E4394" s="73"/>
      <c r="F4394" s="45"/>
    </row>
    <row r="4395" spans="4:6" x14ac:dyDescent="0.2">
      <c r="D4395" s="50"/>
      <c r="E4395" s="73"/>
      <c r="F4395" s="45"/>
    </row>
    <row r="4396" spans="4:6" x14ac:dyDescent="0.2">
      <c r="D4396" s="50"/>
      <c r="E4396" s="73"/>
      <c r="F4396" s="45"/>
    </row>
    <row r="4397" spans="4:6" x14ac:dyDescent="0.2">
      <c r="D4397" s="50"/>
      <c r="E4397" s="73"/>
      <c r="F4397" s="45"/>
    </row>
    <row r="4398" spans="4:6" x14ac:dyDescent="0.2">
      <c r="D4398" s="50"/>
      <c r="E4398" s="73"/>
      <c r="F4398" s="45"/>
    </row>
    <row r="4399" spans="4:6" x14ac:dyDescent="0.2">
      <c r="D4399" s="50"/>
      <c r="E4399" s="73"/>
      <c r="F4399" s="45"/>
    </row>
    <row r="4400" spans="4:6" x14ac:dyDescent="0.2">
      <c r="D4400" s="50"/>
      <c r="E4400" s="73"/>
      <c r="F4400" s="45"/>
    </row>
    <row r="4401" spans="4:6" x14ac:dyDescent="0.2">
      <c r="D4401" s="50"/>
      <c r="E4401" s="73"/>
      <c r="F4401" s="45"/>
    </row>
    <row r="4402" spans="4:6" x14ac:dyDescent="0.2">
      <c r="D4402" s="50"/>
      <c r="E4402" s="73"/>
      <c r="F4402" s="45"/>
    </row>
    <row r="4403" spans="4:6" x14ac:dyDescent="0.2">
      <c r="D4403" s="50"/>
      <c r="E4403" s="73"/>
      <c r="F4403" s="45"/>
    </row>
    <row r="4404" spans="4:6" x14ac:dyDescent="0.2">
      <c r="D4404" s="50"/>
      <c r="E4404" s="73"/>
      <c r="F4404" s="45"/>
    </row>
    <row r="4405" spans="4:6" x14ac:dyDescent="0.2">
      <c r="D4405" s="50"/>
      <c r="E4405" s="73"/>
      <c r="F4405" s="45"/>
    </row>
    <row r="4406" spans="4:6" x14ac:dyDescent="0.2">
      <c r="D4406" s="50"/>
      <c r="E4406" s="73"/>
      <c r="F4406" s="45"/>
    </row>
    <row r="4407" spans="4:6" x14ac:dyDescent="0.2">
      <c r="D4407" s="50"/>
      <c r="E4407" s="73"/>
      <c r="F4407" s="45"/>
    </row>
    <row r="4408" spans="4:6" x14ac:dyDescent="0.2">
      <c r="D4408" s="50"/>
      <c r="E4408" s="73"/>
      <c r="F4408" s="45"/>
    </row>
    <row r="4409" spans="4:6" x14ac:dyDescent="0.2">
      <c r="D4409" s="50"/>
      <c r="E4409" s="73"/>
      <c r="F4409" s="45"/>
    </row>
    <row r="4410" spans="4:6" x14ac:dyDescent="0.2">
      <c r="D4410" s="50"/>
      <c r="E4410" s="73"/>
      <c r="F4410" s="45"/>
    </row>
    <row r="4411" spans="4:6" x14ac:dyDescent="0.2">
      <c r="D4411" s="50"/>
      <c r="E4411" s="73"/>
      <c r="F4411" s="45"/>
    </row>
    <row r="4412" spans="4:6" x14ac:dyDescent="0.2">
      <c r="D4412" s="50"/>
      <c r="E4412" s="73"/>
      <c r="F4412" s="45"/>
    </row>
    <row r="4413" spans="4:6" x14ac:dyDescent="0.2">
      <c r="D4413" s="50"/>
      <c r="E4413" s="73"/>
      <c r="F4413" s="45"/>
    </row>
    <row r="4414" spans="4:6" x14ac:dyDescent="0.2">
      <c r="D4414" s="50"/>
      <c r="E4414" s="73"/>
      <c r="F4414" s="45"/>
    </row>
    <row r="4415" spans="4:6" x14ac:dyDescent="0.2">
      <c r="D4415" s="50"/>
      <c r="E4415" s="73"/>
      <c r="F4415" s="45"/>
    </row>
    <row r="4416" spans="4:6" x14ac:dyDescent="0.2">
      <c r="D4416" s="50"/>
      <c r="E4416" s="73"/>
      <c r="F4416" s="45"/>
    </row>
    <row r="4417" spans="4:6" x14ac:dyDescent="0.2">
      <c r="D4417" s="50"/>
      <c r="E4417" s="73"/>
      <c r="F4417" s="45"/>
    </row>
    <row r="4418" spans="4:6" x14ac:dyDescent="0.2">
      <c r="D4418" s="50"/>
      <c r="E4418" s="73"/>
      <c r="F4418" s="45"/>
    </row>
    <row r="4419" spans="4:6" x14ac:dyDescent="0.2">
      <c r="D4419" s="50"/>
      <c r="E4419" s="73"/>
      <c r="F4419" s="45"/>
    </row>
    <row r="4420" spans="4:6" x14ac:dyDescent="0.2">
      <c r="D4420" s="50"/>
      <c r="E4420" s="73"/>
      <c r="F4420" s="45"/>
    </row>
    <row r="4421" spans="4:6" x14ac:dyDescent="0.2">
      <c r="D4421" s="50"/>
      <c r="E4421" s="73"/>
      <c r="F4421" s="45"/>
    </row>
    <row r="4422" spans="4:6" x14ac:dyDescent="0.2">
      <c r="D4422" s="50"/>
      <c r="E4422" s="73"/>
      <c r="F4422" s="45"/>
    </row>
    <row r="4423" spans="4:6" x14ac:dyDescent="0.2">
      <c r="D4423" s="50"/>
      <c r="E4423" s="73"/>
      <c r="F4423" s="45"/>
    </row>
    <row r="4424" spans="4:6" x14ac:dyDescent="0.2">
      <c r="D4424" s="50"/>
      <c r="E4424" s="73"/>
      <c r="F4424" s="45"/>
    </row>
    <row r="4425" spans="4:6" x14ac:dyDescent="0.2">
      <c r="D4425" s="50"/>
      <c r="E4425" s="73"/>
      <c r="F4425" s="45"/>
    </row>
    <row r="4426" spans="4:6" x14ac:dyDescent="0.2">
      <c r="D4426" s="50"/>
      <c r="E4426" s="73"/>
      <c r="F4426" s="45"/>
    </row>
    <row r="4427" spans="4:6" x14ac:dyDescent="0.2">
      <c r="D4427" s="50"/>
      <c r="E4427" s="73"/>
      <c r="F4427" s="45"/>
    </row>
    <row r="4428" spans="4:6" x14ac:dyDescent="0.2">
      <c r="D4428" s="50"/>
      <c r="E4428" s="73"/>
      <c r="F4428" s="45"/>
    </row>
    <row r="4429" spans="4:6" x14ac:dyDescent="0.2">
      <c r="D4429" s="50"/>
      <c r="E4429" s="73"/>
      <c r="F4429" s="45"/>
    </row>
    <row r="4430" spans="4:6" x14ac:dyDescent="0.2">
      <c r="D4430" s="50"/>
      <c r="E4430" s="73"/>
      <c r="F4430" s="45"/>
    </row>
    <row r="4431" spans="4:6" x14ac:dyDescent="0.2">
      <c r="D4431" s="50"/>
      <c r="E4431" s="73"/>
      <c r="F4431" s="45"/>
    </row>
    <row r="4432" spans="4:6" x14ac:dyDescent="0.2">
      <c r="D4432" s="50"/>
      <c r="E4432" s="73"/>
      <c r="F4432" s="45"/>
    </row>
    <row r="4433" spans="4:6" x14ac:dyDescent="0.2">
      <c r="D4433" s="50"/>
      <c r="E4433" s="73"/>
      <c r="F4433" s="45"/>
    </row>
    <row r="4434" spans="4:6" x14ac:dyDescent="0.2">
      <c r="D4434" s="50"/>
      <c r="E4434" s="73"/>
      <c r="F4434" s="45"/>
    </row>
    <row r="4435" spans="4:6" x14ac:dyDescent="0.2">
      <c r="D4435" s="50"/>
      <c r="E4435" s="73"/>
      <c r="F4435" s="45"/>
    </row>
    <row r="4436" spans="4:6" x14ac:dyDescent="0.2">
      <c r="D4436" s="50"/>
      <c r="E4436" s="73"/>
      <c r="F4436" s="45"/>
    </row>
    <row r="4437" spans="4:6" x14ac:dyDescent="0.2">
      <c r="D4437" s="50"/>
      <c r="E4437" s="73"/>
      <c r="F4437" s="45"/>
    </row>
    <row r="4438" spans="4:6" x14ac:dyDescent="0.2">
      <c r="D4438" s="50"/>
      <c r="E4438" s="73"/>
      <c r="F4438" s="45"/>
    </row>
    <row r="4439" spans="4:6" x14ac:dyDescent="0.2">
      <c r="D4439" s="50"/>
      <c r="E4439" s="73"/>
      <c r="F4439" s="45"/>
    </row>
    <row r="4440" spans="4:6" x14ac:dyDescent="0.2">
      <c r="D4440" s="50"/>
      <c r="E4440" s="73"/>
      <c r="F4440" s="45"/>
    </row>
    <row r="4441" spans="4:6" x14ac:dyDescent="0.2">
      <c r="D4441" s="50"/>
      <c r="E4441" s="73"/>
      <c r="F4441" s="45"/>
    </row>
    <row r="4442" spans="4:6" x14ac:dyDescent="0.2">
      <c r="D4442" s="50"/>
      <c r="E4442" s="73"/>
      <c r="F4442" s="45"/>
    </row>
    <row r="4443" spans="4:6" x14ac:dyDescent="0.2">
      <c r="D4443" s="50"/>
      <c r="E4443" s="73"/>
      <c r="F4443" s="45"/>
    </row>
    <row r="4444" spans="4:6" x14ac:dyDescent="0.2">
      <c r="D4444" s="50"/>
      <c r="E4444" s="73"/>
      <c r="F4444" s="45"/>
    </row>
    <row r="4445" spans="4:6" x14ac:dyDescent="0.2">
      <c r="D4445" s="50"/>
      <c r="E4445" s="73"/>
      <c r="F4445" s="45"/>
    </row>
    <row r="4446" spans="4:6" x14ac:dyDescent="0.2">
      <c r="D4446" s="50"/>
      <c r="E4446" s="73"/>
      <c r="F4446" s="45"/>
    </row>
    <row r="4447" spans="4:6" x14ac:dyDescent="0.2">
      <c r="D4447" s="50"/>
      <c r="E4447" s="73"/>
      <c r="F4447" s="45"/>
    </row>
    <row r="4448" spans="4:6" x14ac:dyDescent="0.2">
      <c r="D4448" s="50"/>
      <c r="E4448" s="73"/>
      <c r="F4448" s="45"/>
    </row>
    <row r="4449" spans="4:6" x14ac:dyDescent="0.2">
      <c r="D4449" s="50"/>
      <c r="E4449" s="73"/>
      <c r="F4449" s="45"/>
    </row>
    <row r="4450" spans="4:6" x14ac:dyDescent="0.2">
      <c r="D4450" s="50"/>
      <c r="E4450" s="73"/>
      <c r="F4450" s="45"/>
    </row>
    <row r="4451" spans="4:6" x14ac:dyDescent="0.2">
      <c r="D4451" s="50"/>
      <c r="E4451" s="73"/>
      <c r="F4451" s="45"/>
    </row>
    <row r="4452" spans="4:6" x14ac:dyDescent="0.2">
      <c r="D4452" s="50"/>
      <c r="E4452" s="73"/>
      <c r="F4452" s="45"/>
    </row>
    <row r="4453" spans="4:6" x14ac:dyDescent="0.2">
      <c r="D4453" s="50"/>
      <c r="E4453" s="73"/>
      <c r="F4453" s="45"/>
    </row>
    <row r="4454" spans="4:6" x14ac:dyDescent="0.2">
      <c r="D4454" s="50"/>
      <c r="E4454" s="73"/>
      <c r="F4454" s="45"/>
    </row>
    <row r="4455" spans="4:6" x14ac:dyDescent="0.2">
      <c r="D4455" s="50"/>
      <c r="E4455" s="73"/>
      <c r="F4455" s="45"/>
    </row>
    <row r="4456" spans="4:6" x14ac:dyDescent="0.2">
      <c r="D4456" s="50"/>
      <c r="E4456" s="73"/>
      <c r="F4456" s="45"/>
    </row>
    <row r="4457" spans="4:6" x14ac:dyDescent="0.2">
      <c r="D4457" s="50"/>
      <c r="E4457" s="73"/>
      <c r="F4457" s="45"/>
    </row>
    <row r="4458" spans="4:6" x14ac:dyDescent="0.2">
      <c r="D4458" s="50"/>
      <c r="E4458" s="73"/>
      <c r="F4458" s="45"/>
    </row>
    <row r="4459" spans="4:6" x14ac:dyDescent="0.2">
      <c r="D4459" s="50"/>
      <c r="E4459" s="73"/>
      <c r="F4459" s="45"/>
    </row>
    <row r="4460" spans="4:6" x14ac:dyDescent="0.2">
      <c r="D4460" s="50"/>
      <c r="E4460" s="73"/>
      <c r="F4460" s="45"/>
    </row>
    <row r="4461" spans="4:6" x14ac:dyDescent="0.2">
      <c r="D4461" s="50"/>
      <c r="E4461" s="73"/>
      <c r="F4461" s="45"/>
    </row>
    <row r="4462" spans="4:6" x14ac:dyDescent="0.2">
      <c r="D4462" s="50"/>
      <c r="E4462" s="73"/>
      <c r="F4462" s="45"/>
    </row>
    <row r="4463" spans="4:6" x14ac:dyDescent="0.2">
      <c r="D4463" s="50"/>
      <c r="E4463" s="73"/>
      <c r="F4463" s="45"/>
    </row>
    <row r="4464" spans="4:6" x14ac:dyDescent="0.2">
      <c r="D4464" s="50"/>
      <c r="E4464" s="73"/>
      <c r="F4464" s="45"/>
    </row>
    <row r="4465" spans="4:6" x14ac:dyDescent="0.2">
      <c r="D4465" s="50"/>
      <c r="E4465" s="73"/>
      <c r="F4465" s="45"/>
    </row>
    <row r="4466" spans="4:6" x14ac:dyDescent="0.2">
      <c r="D4466" s="50"/>
      <c r="E4466" s="73"/>
      <c r="F4466" s="45"/>
    </row>
    <row r="4467" spans="4:6" x14ac:dyDescent="0.2">
      <c r="D4467" s="50"/>
      <c r="E4467" s="73"/>
      <c r="F4467" s="45"/>
    </row>
    <row r="4468" spans="4:6" x14ac:dyDescent="0.2">
      <c r="D4468" s="50"/>
      <c r="E4468" s="73"/>
      <c r="F4468" s="45"/>
    </row>
    <row r="4469" spans="4:6" x14ac:dyDescent="0.2">
      <c r="D4469" s="50"/>
      <c r="E4469" s="73"/>
      <c r="F4469" s="45"/>
    </row>
    <row r="4470" spans="4:6" x14ac:dyDescent="0.2">
      <c r="D4470" s="50"/>
      <c r="E4470" s="73"/>
      <c r="F4470" s="45"/>
    </row>
    <row r="4471" spans="4:6" x14ac:dyDescent="0.2">
      <c r="D4471" s="50"/>
      <c r="E4471" s="73"/>
      <c r="F4471" s="45"/>
    </row>
    <row r="4472" spans="4:6" x14ac:dyDescent="0.2">
      <c r="D4472" s="50"/>
      <c r="E4472" s="73"/>
      <c r="F4472" s="45"/>
    </row>
    <row r="4473" spans="4:6" x14ac:dyDescent="0.2">
      <c r="D4473" s="50"/>
      <c r="E4473" s="73"/>
      <c r="F4473" s="45"/>
    </row>
    <row r="4474" spans="4:6" x14ac:dyDescent="0.2">
      <c r="D4474" s="50"/>
      <c r="E4474" s="73"/>
      <c r="F4474" s="45"/>
    </row>
    <row r="4475" spans="4:6" x14ac:dyDescent="0.2">
      <c r="D4475" s="50"/>
      <c r="E4475" s="73"/>
      <c r="F4475" s="45"/>
    </row>
    <row r="4476" spans="4:6" x14ac:dyDescent="0.2">
      <c r="D4476" s="50"/>
      <c r="E4476" s="73"/>
      <c r="F4476" s="45"/>
    </row>
    <row r="4477" spans="4:6" x14ac:dyDescent="0.2">
      <c r="D4477" s="50"/>
      <c r="E4477" s="73"/>
      <c r="F4477" s="45"/>
    </row>
    <row r="4478" spans="4:6" x14ac:dyDescent="0.2">
      <c r="D4478" s="50"/>
      <c r="E4478" s="73"/>
      <c r="F4478" s="45"/>
    </row>
    <row r="4479" spans="4:6" x14ac:dyDescent="0.2">
      <c r="D4479" s="50"/>
      <c r="E4479" s="73"/>
      <c r="F4479" s="45"/>
    </row>
    <row r="4480" spans="4:6" x14ac:dyDescent="0.2">
      <c r="D4480" s="50"/>
      <c r="E4480" s="73"/>
      <c r="F4480" s="45"/>
    </row>
    <row r="4481" spans="4:6" x14ac:dyDescent="0.2">
      <c r="D4481" s="50"/>
      <c r="E4481" s="73"/>
      <c r="F4481" s="45"/>
    </row>
    <row r="4482" spans="4:6" x14ac:dyDescent="0.2">
      <c r="D4482" s="50"/>
      <c r="E4482" s="73"/>
      <c r="F4482" s="45"/>
    </row>
    <row r="4483" spans="4:6" x14ac:dyDescent="0.2">
      <c r="D4483" s="50"/>
      <c r="E4483" s="73"/>
      <c r="F4483" s="45"/>
    </row>
    <row r="4484" spans="4:6" x14ac:dyDescent="0.2">
      <c r="D4484" s="50"/>
      <c r="E4484" s="73"/>
      <c r="F4484" s="45"/>
    </row>
    <row r="4485" spans="4:6" x14ac:dyDescent="0.2">
      <c r="D4485" s="50"/>
      <c r="E4485" s="73"/>
      <c r="F4485" s="45"/>
    </row>
    <row r="4486" spans="4:6" x14ac:dyDescent="0.2">
      <c r="D4486" s="50"/>
      <c r="E4486" s="73"/>
      <c r="F4486" s="45"/>
    </row>
    <row r="4487" spans="4:6" x14ac:dyDescent="0.2">
      <c r="D4487" s="50"/>
      <c r="E4487" s="73"/>
      <c r="F4487" s="45"/>
    </row>
    <row r="4488" spans="4:6" x14ac:dyDescent="0.2">
      <c r="D4488" s="50"/>
      <c r="E4488" s="73"/>
      <c r="F4488" s="45"/>
    </row>
    <row r="4489" spans="4:6" x14ac:dyDescent="0.2">
      <c r="D4489" s="50"/>
      <c r="E4489" s="73"/>
      <c r="F4489" s="45"/>
    </row>
    <row r="4490" spans="4:6" x14ac:dyDescent="0.2">
      <c r="D4490" s="50"/>
      <c r="E4490" s="73"/>
      <c r="F4490" s="45"/>
    </row>
    <row r="4491" spans="4:6" x14ac:dyDescent="0.2">
      <c r="D4491" s="50"/>
      <c r="E4491" s="73"/>
      <c r="F4491" s="45"/>
    </row>
    <row r="4492" spans="4:6" x14ac:dyDescent="0.2">
      <c r="D4492" s="50"/>
      <c r="E4492" s="73"/>
      <c r="F4492" s="45"/>
    </row>
    <row r="4493" spans="4:6" x14ac:dyDescent="0.2">
      <c r="D4493" s="50"/>
      <c r="E4493" s="73"/>
      <c r="F4493" s="45"/>
    </row>
    <row r="4494" spans="4:6" x14ac:dyDescent="0.2">
      <c r="D4494" s="50"/>
      <c r="E4494" s="73"/>
      <c r="F4494" s="45"/>
    </row>
    <row r="4495" spans="4:6" x14ac:dyDescent="0.2">
      <c r="D4495" s="50"/>
      <c r="E4495" s="73"/>
      <c r="F4495" s="45"/>
    </row>
    <row r="4496" spans="4:6" x14ac:dyDescent="0.2">
      <c r="D4496" s="50"/>
      <c r="E4496" s="73"/>
      <c r="F4496" s="45"/>
    </row>
    <row r="4497" spans="4:6" x14ac:dyDescent="0.2">
      <c r="D4497" s="50"/>
      <c r="E4497" s="73"/>
      <c r="F4497" s="45"/>
    </row>
    <row r="4498" spans="4:6" x14ac:dyDescent="0.2">
      <c r="D4498" s="50"/>
      <c r="E4498" s="73"/>
      <c r="F4498" s="45"/>
    </row>
    <row r="4499" spans="4:6" x14ac:dyDescent="0.2">
      <c r="D4499" s="50"/>
      <c r="E4499" s="73"/>
      <c r="F4499" s="45"/>
    </row>
    <row r="4500" spans="4:6" x14ac:dyDescent="0.2">
      <c r="D4500" s="50"/>
      <c r="E4500" s="73"/>
      <c r="F4500" s="45"/>
    </row>
    <row r="4501" spans="4:6" x14ac:dyDescent="0.2">
      <c r="D4501" s="50"/>
      <c r="E4501" s="73"/>
      <c r="F4501" s="45"/>
    </row>
    <row r="4502" spans="4:6" x14ac:dyDescent="0.2">
      <c r="D4502" s="50"/>
      <c r="E4502" s="73"/>
      <c r="F4502" s="45"/>
    </row>
    <row r="4503" spans="4:6" x14ac:dyDescent="0.2">
      <c r="D4503" s="50"/>
      <c r="E4503" s="73"/>
      <c r="F4503" s="45"/>
    </row>
    <row r="4504" spans="4:6" x14ac:dyDescent="0.2">
      <c r="D4504" s="50"/>
      <c r="E4504" s="73"/>
      <c r="F4504" s="45"/>
    </row>
    <row r="4505" spans="4:6" x14ac:dyDescent="0.2">
      <c r="D4505" s="50"/>
      <c r="E4505" s="73"/>
      <c r="F4505" s="45"/>
    </row>
    <row r="4506" spans="4:6" x14ac:dyDescent="0.2">
      <c r="D4506" s="50"/>
      <c r="E4506" s="73"/>
      <c r="F4506" s="45"/>
    </row>
    <row r="4507" spans="4:6" x14ac:dyDescent="0.2">
      <c r="D4507" s="50"/>
      <c r="E4507" s="73"/>
      <c r="F4507" s="45"/>
    </row>
    <row r="4508" spans="4:6" x14ac:dyDescent="0.2">
      <c r="D4508" s="50"/>
      <c r="E4508" s="73"/>
      <c r="F4508" s="45"/>
    </row>
    <row r="4509" spans="4:6" x14ac:dyDescent="0.2">
      <c r="D4509" s="50"/>
      <c r="E4509" s="73"/>
      <c r="F4509" s="45"/>
    </row>
    <row r="4510" spans="4:6" x14ac:dyDescent="0.2">
      <c r="D4510" s="50"/>
      <c r="E4510" s="73"/>
      <c r="F4510" s="45"/>
    </row>
    <row r="4511" spans="4:6" x14ac:dyDescent="0.2">
      <c r="D4511" s="50"/>
      <c r="E4511" s="73"/>
      <c r="F4511" s="45"/>
    </row>
    <row r="4512" spans="4:6" x14ac:dyDescent="0.2">
      <c r="D4512" s="50"/>
      <c r="E4512" s="73"/>
      <c r="F4512" s="45"/>
    </row>
    <row r="4513" spans="4:6" x14ac:dyDescent="0.2">
      <c r="D4513" s="50"/>
      <c r="E4513" s="73"/>
      <c r="F4513" s="45"/>
    </row>
    <row r="4514" spans="4:6" x14ac:dyDescent="0.2">
      <c r="D4514" s="50"/>
      <c r="E4514" s="73"/>
      <c r="F4514" s="45"/>
    </row>
    <row r="4515" spans="4:6" x14ac:dyDescent="0.2">
      <c r="D4515" s="50"/>
      <c r="E4515" s="73"/>
      <c r="F4515" s="45"/>
    </row>
    <row r="4516" spans="4:6" x14ac:dyDescent="0.2">
      <c r="D4516" s="50"/>
      <c r="E4516" s="73"/>
      <c r="F4516" s="45"/>
    </row>
    <row r="4517" spans="4:6" x14ac:dyDescent="0.2">
      <c r="D4517" s="50"/>
      <c r="E4517" s="73"/>
      <c r="F4517" s="45"/>
    </row>
    <row r="4518" spans="4:6" x14ac:dyDescent="0.2">
      <c r="D4518" s="50"/>
      <c r="E4518" s="73"/>
      <c r="F4518" s="45"/>
    </row>
    <row r="4519" spans="4:6" x14ac:dyDescent="0.2">
      <c r="D4519" s="50"/>
      <c r="E4519" s="73"/>
      <c r="F4519" s="45"/>
    </row>
    <row r="4520" spans="4:6" x14ac:dyDescent="0.2">
      <c r="D4520" s="50"/>
      <c r="E4520" s="73"/>
      <c r="F4520" s="45"/>
    </row>
    <row r="4521" spans="4:6" x14ac:dyDescent="0.2">
      <c r="D4521" s="50"/>
      <c r="E4521" s="73"/>
      <c r="F4521" s="45"/>
    </row>
    <row r="4522" spans="4:6" x14ac:dyDescent="0.2">
      <c r="D4522" s="50"/>
      <c r="E4522" s="73"/>
      <c r="F4522" s="45"/>
    </row>
    <row r="4523" spans="4:6" x14ac:dyDescent="0.2">
      <c r="D4523" s="50"/>
      <c r="E4523" s="73"/>
      <c r="F4523" s="45"/>
    </row>
    <row r="4524" spans="4:6" x14ac:dyDescent="0.2">
      <c r="D4524" s="50"/>
      <c r="E4524" s="73"/>
      <c r="F4524" s="45"/>
    </row>
    <row r="4525" spans="4:6" x14ac:dyDescent="0.2">
      <c r="D4525" s="50"/>
      <c r="E4525" s="73"/>
      <c r="F4525" s="45"/>
    </row>
    <row r="4526" spans="4:6" x14ac:dyDescent="0.2">
      <c r="D4526" s="50"/>
      <c r="E4526" s="73"/>
      <c r="F4526" s="45"/>
    </row>
    <row r="4527" spans="4:6" x14ac:dyDescent="0.2">
      <c r="D4527" s="50"/>
      <c r="E4527" s="73"/>
      <c r="F4527" s="45"/>
    </row>
    <row r="4528" spans="4:6" x14ac:dyDescent="0.2">
      <c r="D4528" s="50"/>
      <c r="E4528" s="73"/>
      <c r="F4528" s="45"/>
    </row>
    <row r="4529" spans="4:6" x14ac:dyDescent="0.2">
      <c r="D4529" s="50"/>
      <c r="E4529" s="73"/>
      <c r="F4529" s="45"/>
    </row>
    <row r="4530" spans="4:6" x14ac:dyDescent="0.2">
      <c r="D4530" s="50"/>
      <c r="E4530" s="73"/>
      <c r="F4530" s="45"/>
    </row>
    <row r="4531" spans="4:6" x14ac:dyDescent="0.2">
      <c r="D4531" s="50"/>
      <c r="E4531" s="73"/>
      <c r="F4531" s="45"/>
    </row>
    <row r="4532" spans="4:6" x14ac:dyDescent="0.2">
      <c r="D4532" s="50"/>
      <c r="E4532" s="73"/>
      <c r="F4532" s="45"/>
    </row>
    <row r="4533" spans="4:6" x14ac:dyDescent="0.2">
      <c r="D4533" s="50"/>
      <c r="E4533" s="73"/>
      <c r="F4533" s="45"/>
    </row>
    <row r="4534" spans="4:6" x14ac:dyDescent="0.2">
      <c r="D4534" s="50"/>
      <c r="E4534" s="73"/>
      <c r="F4534" s="45"/>
    </row>
    <row r="4535" spans="4:6" x14ac:dyDescent="0.2">
      <c r="D4535" s="50"/>
      <c r="E4535" s="73"/>
      <c r="F4535" s="45"/>
    </row>
    <row r="4536" spans="4:6" x14ac:dyDescent="0.2">
      <c r="D4536" s="50"/>
      <c r="E4536" s="73"/>
      <c r="F4536" s="45"/>
    </row>
    <row r="4537" spans="4:6" x14ac:dyDescent="0.2">
      <c r="D4537" s="50"/>
      <c r="E4537" s="73"/>
      <c r="F4537" s="45"/>
    </row>
    <row r="4538" spans="4:6" x14ac:dyDescent="0.2">
      <c r="D4538" s="50"/>
      <c r="E4538" s="73"/>
      <c r="F4538" s="45"/>
    </row>
    <row r="4539" spans="4:6" x14ac:dyDescent="0.2">
      <c r="D4539" s="50"/>
      <c r="E4539" s="73"/>
      <c r="F4539" s="45"/>
    </row>
    <row r="4540" spans="4:6" x14ac:dyDescent="0.2">
      <c r="D4540" s="50"/>
      <c r="E4540" s="73"/>
      <c r="F4540" s="45"/>
    </row>
    <row r="4541" spans="4:6" x14ac:dyDescent="0.2">
      <c r="D4541" s="50"/>
      <c r="E4541" s="73"/>
      <c r="F4541" s="45"/>
    </row>
    <row r="4542" spans="4:6" x14ac:dyDescent="0.2">
      <c r="D4542" s="50"/>
      <c r="E4542" s="73"/>
      <c r="F4542" s="45"/>
    </row>
    <row r="4543" spans="4:6" x14ac:dyDescent="0.2">
      <c r="D4543" s="50"/>
      <c r="E4543" s="73"/>
      <c r="F4543" s="45"/>
    </row>
    <row r="4544" spans="4:6" x14ac:dyDescent="0.2">
      <c r="D4544" s="50"/>
      <c r="E4544" s="73"/>
      <c r="F4544" s="45"/>
    </row>
    <row r="4545" spans="4:6" x14ac:dyDescent="0.2">
      <c r="D4545" s="50"/>
      <c r="E4545" s="73"/>
      <c r="F4545" s="45"/>
    </row>
    <row r="4546" spans="4:6" x14ac:dyDescent="0.2">
      <c r="D4546" s="50"/>
      <c r="E4546" s="73"/>
      <c r="F4546" s="45"/>
    </row>
    <row r="4547" spans="4:6" x14ac:dyDescent="0.2">
      <c r="D4547" s="50"/>
      <c r="E4547" s="73"/>
      <c r="F4547" s="45"/>
    </row>
    <row r="4548" spans="4:6" x14ac:dyDescent="0.2">
      <c r="D4548" s="50"/>
      <c r="E4548" s="73"/>
      <c r="F4548" s="45"/>
    </row>
    <row r="4549" spans="4:6" x14ac:dyDescent="0.2">
      <c r="D4549" s="50"/>
      <c r="E4549" s="73"/>
      <c r="F4549" s="45"/>
    </row>
    <row r="4550" spans="4:6" x14ac:dyDescent="0.2">
      <c r="D4550" s="50"/>
      <c r="E4550" s="73"/>
      <c r="F4550" s="45"/>
    </row>
    <row r="4551" spans="4:6" x14ac:dyDescent="0.2">
      <c r="D4551" s="50"/>
      <c r="E4551" s="73"/>
      <c r="F4551" s="45"/>
    </row>
    <row r="4552" spans="4:6" x14ac:dyDescent="0.2">
      <c r="D4552" s="50"/>
      <c r="E4552" s="73"/>
      <c r="F4552" s="45"/>
    </row>
    <row r="4553" spans="4:6" x14ac:dyDescent="0.2">
      <c r="D4553" s="50"/>
      <c r="E4553" s="73"/>
      <c r="F4553" s="45"/>
    </row>
    <row r="4554" spans="4:6" x14ac:dyDescent="0.2">
      <c r="D4554" s="50"/>
      <c r="E4554" s="73"/>
      <c r="F4554" s="45"/>
    </row>
    <row r="4555" spans="4:6" x14ac:dyDescent="0.2">
      <c r="D4555" s="50"/>
      <c r="E4555" s="73"/>
      <c r="F4555" s="45"/>
    </row>
    <row r="4556" spans="4:6" x14ac:dyDescent="0.2">
      <c r="D4556" s="50"/>
      <c r="E4556" s="73"/>
      <c r="F4556" s="45"/>
    </row>
    <row r="4557" spans="4:6" x14ac:dyDescent="0.2">
      <c r="D4557" s="50"/>
      <c r="E4557" s="73"/>
      <c r="F4557" s="45"/>
    </row>
    <row r="4558" spans="4:6" x14ac:dyDescent="0.2">
      <c r="D4558" s="50"/>
      <c r="E4558" s="73"/>
      <c r="F4558" s="45"/>
    </row>
    <row r="4559" spans="4:6" x14ac:dyDescent="0.2">
      <c r="D4559" s="50"/>
      <c r="E4559" s="73"/>
      <c r="F4559" s="45"/>
    </row>
    <row r="4560" spans="4:6" x14ac:dyDescent="0.2">
      <c r="D4560" s="50"/>
      <c r="E4560" s="73"/>
      <c r="F4560" s="45"/>
    </row>
    <row r="4561" spans="4:6" x14ac:dyDescent="0.2">
      <c r="D4561" s="50"/>
      <c r="E4561" s="73"/>
      <c r="F4561" s="45"/>
    </row>
    <row r="4562" spans="4:6" x14ac:dyDescent="0.2">
      <c r="D4562" s="50"/>
      <c r="E4562" s="73"/>
      <c r="F4562" s="45"/>
    </row>
    <row r="4563" spans="4:6" x14ac:dyDescent="0.2">
      <c r="D4563" s="50"/>
      <c r="E4563" s="73"/>
      <c r="F4563" s="45"/>
    </row>
    <row r="4564" spans="4:6" x14ac:dyDescent="0.2">
      <c r="D4564" s="50"/>
      <c r="E4564" s="73"/>
      <c r="F4564" s="45"/>
    </row>
    <row r="4565" spans="4:6" x14ac:dyDescent="0.2">
      <c r="D4565" s="50"/>
      <c r="E4565" s="73"/>
      <c r="F4565" s="45"/>
    </row>
    <row r="4566" spans="4:6" x14ac:dyDescent="0.2">
      <c r="D4566" s="50"/>
      <c r="E4566" s="73"/>
      <c r="F4566" s="45"/>
    </row>
    <row r="4567" spans="4:6" x14ac:dyDescent="0.2">
      <c r="D4567" s="50"/>
      <c r="E4567" s="73"/>
      <c r="F4567" s="45"/>
    </row>
    <row r="4568" spans="4:6" x14ac:dyDescent="0.2">
      <c r="D4568" s="50"/>
      <c r="E4568" s="73"/>
      <c r="F4568" s="45"/>
    </row>
    <row r="4569" spans="4:6" x14ac:dyDescent="0.2">
      <c r="D4569" s="50"/>
      <c r="E4569" s="73"/>
      <c r="F4569" s="45"/>
    </row>
    <row r="4570" spans="4:6" x14ac:dyDescent="0.2">
      <c r="D4570" s="50"/>
      <c r="E4570" s="73"/>
      <c r="F4570" s="45"/>
    </row>
    <row r="4571" spans="4:6" x14ac:dyDescent="0.2">
      <c r="D4571" s="50"/>
      <c r="E4571" s="73"/>
      <c r="F4571" s="45"/>
    </row>
    <row r="4572" spans="4:6" x14ac:dyDescent="0.2">
      <c r="D4572" s="50"/>
      <c r="E4572" s="73"/>
      <c r="F4572" s="45"/>
    </row>
    <row r="4573" spans="4:6" x14ac:dyDescent="0.2">
      <c r="D4573" s="50"/>
      <c r="E4573" s="73"/>
      <c r="F4573" s="45"/>
    </row>
    <row r="4574" spans="4:6" x14ac:dyDescent="0.2">
      <c r="D4574" s="50"/>
      <c r="E4574" s="73"/>
      <c r="F4574" s="45"/>
    </row>
    <row r="4575" spans="4:6" x14ac:dyDescent="0.2">
      <c r="D4575" s="50"/>
      <c r="E4575" s="73"/>
      <c r="F4575" s="45"/>
    </row>
    <row r="4576" spans="4:6" x14ac:dyDescent="0.2">
      <c r="D4576" s="50"/>
      <c r="E4576" s="73"/>
      <c r="F4576" s="45"/>
    </row>
    <row r="4577" spans="4:6" x14ac:dyDescent="0.2">
      <c r="D4577" s="50"/>
      <c r="E4577" s="73"/>
      <c r="F4577" s="45"/>
    </row>
    <row r="4578" spans="4:6" x14ac:dyDescent="0.2">
      <c r="D4578" s="50"/>
      <c r="E4578" s="73"/>
      <c r="F4578" s="45"/>
    </row>
    <row r="4579" spans="4:6" x14ac:dyDescent="0.2">
      <c r="D4579" s="50"/>
      <c r="E4579" s="73"/>
      <c r="F4579" s="45"/>
    </row>
    <row r="4580" spans="4:6" x14ac:dyDescent="0.2">
      <c r="D4580" s="50"/>
      <c r="E4580" s="73"/>
      <c r="F4580" s="45"/>
    </row>
    <row r="4581" spans="4:6" x14ac:dyDescent="0.2">
      <c r="D4581" s="50"/>
      <c r="E4581" s="73"/>
      <c r="F4581" s="45"/>
    </row>
    <row r="4582" spans="4:6" x14ac:dyDescent="0.2">
      <c r="D4582" s="50"/>
      <c r="E4582" s="73"/>
      <c r="F4582" s="45"/>
    </row>
    <row r="4583" spans="4:6" x14ac:dyDescent="0.2">
      <c r="D4583" s="50"/>
      <c r="E4583" s="73"/>
      <c r="F4583" s="45"/>
    </row>
    <row r="4584" spans="4:6" x14ac:dyDescent="0.2">
      <c r="D4584" s="50"/>
      <c r="E4584" s="73"/>
      <c r="F4584" s="45"/>
    </row>
    <row r="4585" spans="4:6" x14ac:dyDescent="0.2">
      <c r="D4585" s="50"/>
      <c r="E4585" s="73"/>
      <c r="F4585" s="45"/>
    </row>
    <row r="4586" spans="4:6" x14ac:dyDescent="0.2">
      <c r="D4586" s="50"/>
      <c r="E4586" s="73"/>
      <c r="F4586" s="45"/>
    </row>
    <row r="4587" spans="4:6" x14ac:dyDescent="0.2">
      <c r="D4587" s="50"/>
      <c r="E4587" s="73"/>
      <c r="F4587" s="45"/>
    </row>
    <row r="4588" spans="4:6" x14ac:dyDescent="0.2">
      <c r="D4588" s="50"/>
      <c r="E4588" s="73"/>
      <c r="F4588" s="45"/>
    </row>
    <row r="4589" spans="4:6" x14ac:dyDescent="0.2">
      <c r="D4589" s="50"/>
      <c r="E4589" s="73"/>
      <c r="F4589" s="45"/>
    </row>
    <row r="4590" spans="4:6" x14ac:dyDescent="0.2">
      <c r="D4590" s="50"/>
      <c r="E4590" s="73"/>
      <c r="F4590" s="45"/>
    </row>
    <row r="4591" spans="4:6" x14ac:dyDescent="0.2">
      <c r="D4591" s="50"/>
      <c r="E4591" s="73"/>
      <c r="F4591" s="45"/>
    </row>
    <row r="4592" spans="4:6" x14ac:dyDescent="0.2">
      <c r="D4592" s="50"/>
      <c r="E4592" s="73"/>
      <c r="F4592" s="45"/>
    </row>
    <row r="4593" spans="4:6" x14ac:dyDescent="0.2">
      <c r="D4593" s="50"/>
      <c r="E4593" s="73"/>
      <c r="F4593" s="45"/>
    </row>
    <row r="4594" spans="4:6" x14ac:dyDescent="0.2">
      <c r="D4594" s="50"/>
      <c r="E4594" s="73"/>
      <c r="F4594" s="45"/>
    </row>
    <row r="4595" spans="4:6" x14ac:dyDescent="0.2">
      <c r="D4595" s="50"/>
      <c r="E4595" s="73"/>
      <c r="F4595" s="45"/>
    </row>
    <row r="4596" spans="4:6" x14ac:dyDescent="0.2">
      <c r="D4596" s="50"/>
      <c r="E4596" s="73"/>
      <c r="F4596" s="45"/>
    </row>
    <row r="4597" spans="4:6" x14ac:dyDescent="0.2">
      <c r="D4597" s="50"/>
      <c r="E4597" s="73"/>
      <c r="F4597" s="45"/>
    </row>
    <row r="4598" spans="4:6" x14ac:dyDescent="0.2">
      <c r="D4598" s="50"/>
      <c r="E4598" s="73"/>
      <c r="F4598" s="45"/>
    </row>
    <row r="4599" spans="4:6" x14ac:dyDescent="0.2">
      <c r="D4599" s="50"/>
      <c r="E4599" s="73"/>
      <c r="F4599" s="45"/>
    </row>
    <row r="4600" spans="4:6" x14ac:dyDescent="0.2">
      <c r="D4600" s="50"/>
      <c r="E4600" s="73"/>
      <c r="F4600" s="45"/>
    </row>
    <row r="4601" spans="4:6" x14ac:dyDescent="0.2">
      <c r="D4601" s="50"/>
      <c r="E4601" s="73"/>
      <c r="F4601" s="45"/>
    </row>
    <row r="4602" spans="4:6" x14ac:dyDescent="0.2">
      <c r="D4602" s="50"/>
      <c r="E4602" s="73"/>
      <c r="F4602" s="45"/>
    </row>
    <row r="4603" spans="4:6" x14ac:dyDescent="0.2">
      <c r="D4603" s="50"/>
      <c r="E4603" s="73"/>
      <c r="F4603" s="45"/>
    </row>
    <row r="4604" spans="4:6" x14ac:dyDescent="0.2">
      <c r="D4604" s="50"/>
      <c r="E4604" s="73"/>
      <c r="F4604" s="45"/>
    </row>
    <row r="4605" spans="4:6" x14ac:dyDescent="0.2">
      <c r="D4605" s="50"/>
      <c r="E4605" s="73"/>
      <c r="F4605" s="45"/>
    </row>
    <row r="4606" spans="4:6" x14ac:dyDescent="0.2">
      <c r="D4606" s="50"/>
      <c r="E4606" s="73"/>
      <c r="F4606" s="45"/>
    </row>
    <row r="4607" spans="4:6" x14ac:dyDescent="0.2">
      <c r="D4607" s="50"/>
      <c r="E4607" s="73"/>
      <c r="F4607" s="45"/>
    </row>
    <row r="4608" spans="4:6" x14ac:dyDescent="0.2">
      <c r="D4608" s="50"/>
      <c r="E4608" s="73"/>
      <c r="F4608" s="45"/>
    </row>
    <row r="4609" spans="4:6" x14ac:dyDescent="0.2">
      <c r="D4609" s="50"/>
      <c r="E4609" s="73"/>
      <c r="F4609" s="45"/>
    </row>
    <row r="4610" spans="4:6" x14ac:dyDescent="0.2">
      <c r="D4610" s="50"/>
      <c r="E4610" s="73"/>
      <c r="F4610" s="45"/>
    </row>
    <row r="4611" spans="4:6" x14ac:dyDescent="0.2">
      <c r="D4611" s="50"/>
      <c r="E4611" s="73"/>
      <c r="F4611" s="45"/>
    </row>
    <row r="4612" spans="4:6" x14ac:dyDescent="0.2">
      <c r="D4612" s="50"/>
      <c r="E4612" s="73"/>
      <c r="F4612" s="45"/>
    </row>
    <row r="4613" spans="4:6" x14ac:dyDescent="0.2">
      <c r="D4613" s="50"/>
      <c r="E4613" s="73"/>
      <c r="F4613" s="45"/>
    </row>
    <row r="4614" spans="4:6" x14ac:dyDescent="0.2">
      <c r="D4614" s="50"/>
      <c r="E4614" s="73"/>
      <c r="F4614" s="45"/>
    </row>
    <row r="4615" spans="4:6" x14ac:dyDescent="0.2">
      <c r="D4615" s="50"/>
      <c r="E4615" s="73"/>
      <c r="F4615" s="45"/>
    </row>
    <row r="4616" spans="4:6" x14ac:dyDescent="0.2">
      <c r="D4616" s="50"/>
      <c r="E4616" s="73"/>
      <c r="F4616" s="45"/>
    </row>
    <row r="4617" spans="4:6" x14ac:dyDescent="0.2">
      <c r="D4617" s="50"/>
      <c r="E4617" s="73"/>
      <c r="F4617" s="45"/>
    </row>
    <row r="4618" spans="4:6" x14ac:dyDescent="0.2">
      <c r="D4618" s="50"/>
      <c r="E4618" s="73"/>
      <c r="F4618" s="45"/>
    </row>
    <row r="4619" spans="4:6" x14ac:dyDescent="0.2">
      <c r="D4619" s="50"/>
      <c r="E4619" s="73"/>
      <c r="F4619" s="45"/>
    </row>
    <row r="4620" spans="4:6" x14ac:dyDescent="0.2">
      <c r="D4620" s="50"/>
      <c r="E4620" s="73"/>
      <c r="F4620" s="45"/>
    </row>
    <row r="4621" spans="4:6" x14ac:dyDescent="0.2">
      <c r="D4621" s="50"/>
      <c r="E4621" s="73"/>
      <c r="F4621" s="45"/>
    </row>
    <row r="4622" spans="4:6" x14ac:dyDescent="0.2">
      <c r="D4622" s="50"/>
      <c r="E4622" s="73"/>
      <c r="F4622" s="45"/>
    </row>
    <row r="4623" spans="4:6" x14ac:dyDescent="0.2">
      <c r="D4623" s="50"/>
      <c r="E4623" s="73"/>
      <c r="F4623" s="45"/>
    </row>
    <row r="4624" spans="4:6" x14ac:dyDescent="0.2">
      <c r="D4624" s="50"/>
      <c r="E4624" s="73"/>
      <c r="F4624" s="45"/>
    </row>
    <row r="4625" spans="4:6" x14ac:dyDescent="0.2">
      <c r="D4625" s="50"/>
      <c r="E4625" s="73"/>
      <c r="F4625" s="45"/>
    </row>
    <row r="4626" spans="4:6" x14ac:dyDescent="0.2">
      <c r="D4626" s="50"/>
      <c r="E4626" s="73"/>
      <c r="F4626" s="45"/>
    </row>
    <row r="4627" spans="4:6" x14ac:dyDescent="0.2">
      <c r="D4627" s="50"/>
      <c r="E4627" s="73"/>
      <c r="F4627" s="45"/>
    </row>
    <row r="4628" spans="4:6" x14ac:dyDescent="0.2">
      <c r="D4628" s="50"/>
      <c r="E4628" s="73"/>
      <c r="F4628" s="45"/>
    </row>
    <row r="4629" spans="4:6" x14ac:dyDescent="0.2">
      <c r="D4629" s="50"/>
      <c r="E4629" s="73"/>
      <c r="F4629" s="45"/>
    </row>
    <row r="4630" spans="4:6" x14ac:dyDescent="0.2">
      <c r="D4630" s="50"/>
      <c r="E4630" s="73"/>
      <c r="F4630" s="45"/>
    </row>
    <row r="4631" spans="4:6" x14ac:dyDescent="0.2">
      <c r="D4631" s="50"/>
      <c r="E4631" s="73"/>
      <c r="F4631" s="45"/>
    </row>
    <row r="4632" spans="4:6" x14ac:dyDescent="0.2">
      <c r="D4632" s="50"/>
      <c r="E4632" s="73"/>
      <c r="F4632" s="45"/>
    </row>
    <row r="4633" spans="4:6" x14ac:dyDescent="0.2">
      <c r="D4633" s="50"/>
      <c r="E4633" s="73"/>
      <c r="F4633" s="45"/>
    </row>
    <row r="4634" spans="4:6" x14ac:dyDescent="0.2">
      <c r="D4634" s="50"/>
      <c r="E4634" s="73"/>
      <c r="F4634" s="45"/>
    </row>
    <row r="4635" spans="4:6" x14ac:dyDescent="0.2">
      <c r="D4635" s="50"/>
      <c r="E4635" s="73"/>
      <c r="F4635" s="45"/>
    </row>
    <row r="4636" spans="4:6" x14ac:dyDescent="0.2">
      <c r="D4636" s="50"/>
      <c r="E4636" s="73"/>
      <c r="F4636" s="45"/>
    </row>
    <row r="4637" spans="4:6" x14ac:dyDescent="0.2">
      <c r="D4637" s="50"/>
      <c r="E4637" s="73"/>
      <c r="F4637" s="45"/>
    </row>
    <row r="4638" spans="4:6" x14ac:dyDescent="0.2">
      <c r="D4638" s="50"/>
      <c r="E4638" s="73"/>
      <c r="F4638" s="45"/>
    </row>
    <row r="4639" spans="4:6" x14ac:dyDescent="0.2">
      <c r="D4639" s="50"/>
      <c r="E4639" s="73"/>
      <c r="F4639" s="45"/>
    </row>
    <row r="4640" spans="4:6" x14ac:dyDescent="0.2">
      <c r="D4640" s="50"/>
      <c r="E4640" s="73"/>
      <c r="F4640" s="45"/>
    </row>
    <row r="4641" spans="4:6" x14ac:dyDescent="0.2">
      <c r="D4641" s="50"/>
      <c r="E4641" s="73"/>
      <c r="F4641" s="45"/>
    </row>
    <row r="4642" spans="4:6" x14ac:dyDescent="0.2">
      <c r="D4642" s="50"/>
      <c r="E4642" s="73"/>
      <c r="F4642" s="45"/>
    </row>
    <row r="4643" spans="4:6" x14ac:dyDescent="0.2">
      <c r="D4643" s="50"/>
      <c r="E4643" s="73"/>
      <c r="F4643" s="45"/>
    </row>
    <row r="4644" spans="4:6" x14ac:dyDescent="0.2">
      <c r="D4644" s="50"/>
      <c r="E4644" s="73"/>
      <c r="F4644" s="45"/>
    </row>
    <row r="4645" spans="4:6" x14ac:dyDescent="0.2">
      <c r="D4645" s="50"/>
      <c r="E4645" s="73"/>
      <c r="F4645" s="45"/>
    </row>
    <row r="4646" spans="4:6" x14ac:dyDescent="0.2">
      <c r="D4646" s="50"/>
      <c r="E4646" s="73"/>
      <c r="F4646" s="45"/>
    </row>
    <row r="4647" spans="4:6" x14ac:dyDescent="0.2">
      <c r="D4647" s="50"/>
      <c r="E4647" s="73"/>
      <c r="F4647" s="45"/>
    </row>
    <row r="4648" spans="4:6" x14ac:dyDescent="0.2">
      <c r="D4648" s="50"/>
      <c r="E4648" s="73"/>
      <c r="F4648" s="45"/>
    </row>
    <row r="4649" spans="4:6" x14ac:dyDescent="0.2">
      <c r="D4649" s="50"/>
      <c r="E4649" s="73"/>
      <c r="F4649" s="45"/>
    </row>
    <row r="4650" spans="4:6" x14ac:dyDescent="0.2">
      <c r="D4650" s="50"/>
      <c r="E4650" s="73"/>
      <c r="F4650" s="45"/>
    </row>
    <row r="4651" spans="4:6" x14ac:dyDescent="0.2">
      <c r="D4651" s="50"/>
      <c r="E4651" s="73"/>
      <c r="F4651" s="45"/>
    </row>
    <row r="4652" spans="4:6" x14ac:dyDescent="0.2">
      <c r="D4652" s="50"/>
      <c r="E4652" s="73"/>
      <c r="F4652" s="45"/>
    </row>
    <row r="4653" spans="4:6" x14ac:dyDescent="0.2">
      <c r="D4653" s="50"/>
      <c r="E4653" s="73"/>
      <c r="F4653" s="45"/>
    </row>
    <row r="4654" spans="4:6" x14ac:dyDescent="0.2">
      <c r="D4654" s="50"/>
      <c r="E4654" s="73"/>
      <c r="F4654" s="45"/>
    </row>
    <row r="4655" spans="4:6" x14ac:dyDescent="0.2">
      <c r="D4655" s="50"/>
      <c r="E4655" s="73"/>
      <c r="F4655" s="45"/>
    </row>
    <row r="4656" spans="4:6" x14ac:dyDescent="0.2">
      <c r="D4656" s="50"/>
      <c r="E4656" s="73"/>
      <c r="F4656" s="45"/>
    </row>
    <row r="4657" spans="4:6" x14ac:dyDescent="0.2">
      <c r="D4657" s="50"/>
      <c r="E4657" s="73"/>
      <c r="F4657" s="45"/>
    </row>
    <row r="4658" spans="4:6" x14ac:dyDescent="0.2">
      <c r="D4658" s="50"/>
      <c r="E4658" s="73"/>
      <c r="F4658" s="45"/>
    </row>
    <row r="4659" spans="4:6" x14ac:dyDescent="0.2">
      <c r="D4659" s="50"/>
      <c r="E4659" s="73"/>
      <c r="F4659" s="45"/>
    </row>
    <row r="4660" spans="4:6" x14ac:dyDescent="0.2">
      <c r="D4660" s="50"/>
      <c r="E4660" s="73"/>
      <c r="F4660" s="45"/>
    </row>
    <row r="4661" spans="4:6" x14ac:dyDescent="0.2">
      <c r="D4661" s="50"/>
      <c r="E4661" s="73"/>
      <c r="F4661" s="45"/>
    </row>
    <row r="4662" spans="4:6" x14ac:dyDescent="0.2">
      <c r="D4662" s="50"/>
      <c r="E4662" s="73"/>
      <c r="F4662" s="45"/>
    </row>
    <row r="4663" spans="4:6" x14ac:dyDescent="0.2">
      <c r="D4663" s="50"/>
      <c r="E4663" s="73"/>
      <c r="F4663" s="45"/>
    </row>
    <row r="4664" spans="4:6" x14ac:dyDescent="0.2">
      <c r="D4664" s="50"/>
      <c r="E4664" s="73"/>
      <c r="F4664" s="45"/>
    </row>
    <row r="4665" spans="4:6" x14ac:dyDescent="0.2">
      <c r="D4665" s="50"/>
      <c r="E4665" s="73"/>
      <c r="F4665" s="45"/>
    </row>
    <row r="4666" spans="4:6" x14ac:dyDescent="0.2">
      <c r="D4666" s="50"/>
      <c r="E4666" s="73"/>
      <c r="F4666" s="45"/>
    </row>
    <row r="4667" spans="4:6" x14ac:dyDescent="0.2">
      <c r="D4667" s="50"/>
      <c r="E4667" s="73"/>
      <c r="F4667" s="45"/>
    </row>
    <row r="4668" spans="4:6" x14ac:dyDescent="0.2">
      <c r="D4668" s="50"/>
      <c r="E4668" s="73"/>
      <c r="F4668" s="45"/>
    </row>
    <row r="4669" spans="4:6" x14ac:dyDescent="0.2">
      <c r="D4669" s="50"/>
      <c r="E4669" s="73"/>
      <c r="F4669" s="45"/>
    </row>
    <row r="4670" spans="4:6" x14ac:dyDescent="0.2">
      <c r="D4670" s="50"/>
      <c r="E4670" s="73"/>
      <c r="F4670" s="45"/>
    </row>
    <row r="4671" spans="4:6" x14ac:dyDescent="0.2">
      <c r="D4671" s="50"/>
      <c r="E4671" s="73"/>
      <c r="F4671" s="45"/>
    </row>
    <row r="4672" spans="4:6" x14ac:dyDescent="0.2">
      <c r="D4672" s="50"/>
      <c r="E4672" s="73"/>
      <c r="F4672" s="45"/>
    </row>
    <row r="4673" spans="4:6" x14ac:dyDescent="0.2">
      <c r="D4673" s="50"/>
      <c r="E4673" s="73"/>
      <c r="F4673" s="45"/>
    </row>
    <row r="4674" spans="4:6" x14ac:dyDescent="0.2">
      <c r="D4674" s="50"/>
      <c r="E4674" s="73"/>
      <c r="F4674" s="45"/>
    </row>
    <row r="4675" spans="4:6" x14ac:dyDescent="0.2">
      <c r="D4675" s="50"/>
      <c r="E4675" s="73"/>
      <c r="F4675" s="45"/>
    </row>
    <row r="4676" spans="4:6" x14ac:dyDescent="0.2">
      <c r="D4676" s="50"/>
      <c r="E4676" s="73"/>
      <c r="F4676" s="45"/>
    </row>
    <row r="4677" spans="4:6" x14ac:dyDescent="0.2">
      <c r="D4677" s="50"/>
      <c r="E4677" s="73"/>
      <c r="F4677" s="45"/>
    </row>
    <row r="4678" spans="4:6" x14ac:dyDescent="0.2">
      <c r="D4678" s="50"/>
      <c r="E4678" s="73"/>
      <c r="F4678" s="45"/>
    </row>
    <row r="4679" spans="4:6" x14ac:dyDescent="0.2">
      <c r="D4679" s="50"/>
      <c r="E4679" s="73"/>
      <c r="F4679" s="45"/>
    </row>
    <row r="4680" spans="4:6" x14ac:dyDescent="0.2">
      <c r="D4680" s="50"/>
      <c r="E4680" s="73"/>
      <c r="F4680" s="45"/>
    </row>
    <row r="4681" spans="4:6" x14ac:dyDescent="0.2">
      <c r="D4681" s="50"/>
      <c r="E4681" s="73"/>
      <c r="F4681" s="45"/>
    </row>
    <row r="4682" spans="4:6" x14ac:dyDescent="0.2">
      <c r="D4682" s="50"/>
      <c r="E4682" s="73"/>
      <c r="F4682" s="45"/>
    </row>
    <row r="4683" spans="4:6" x14ac:dyDescent="0.2">
      <c r="D4683" s="50"/>
      <c r="E4683" s="73"/>
      <c r="F4683" s="45"/>
    </row>
    <row r="4684" spans="4:6" x14ac:dyDescent="0.2">
      <c r="D4684" s="50"/>
      <c r="E4684" s="73"/>
      <c r="F4684" s="45"/>
    </row>
    <row r="4685" spans="4:6" x14ac:dyDescent="0.2">
      <c r="D4685" s="50"/>
      <c r="E4685" s="73"/>
      <c r="F4685" s="45"/>
    </row>
    <row r="4686" spans="4:6" x14ac:dyDescent="0.2">
      <c r="D4686" s="50"/>
      <c r="E4686" s="73"/>
      <c r="F4686" s="45"/>
    </row>
    <row r="4687" spans="4:6" x14ac:dyDescent="0.2">
      <c r="D4687" s="50"/>
      <c r="E4687" s="73"/>
      <c r="F4687" s="45"/>
    </row>
    <row r="4688" spans="4:6" x14ac:dyDescent="0.2">
      <c r="D4688" s="50"/>
      <c r="E4688" s="73"/>
      <c r="F4688" s="45"/>
    </row>
    <row r="4689" spans="4:6" x14ac:dyDescent="0.2">
      <c r="D4689" s="50"/>
      <c r="E4689" s="73"/>
      <c r="F4689" s="45"/>
    </row>
    <row r="4690" spans="4:6" x14ac:dyDescent="0.2">
      <c r="D4690" s="50"/>
      <c r="E4690" s="73"/>
      <c r="F4690" s="45"/>
    </row>
    <row r="4691" spans="4:6" x14ac:dyDescent="0.2">
      <c r="D4691" s="50"/>
      <c r="E4691" s="73"/>
      <c r="F4691" s="45"/>
    </row>
    <row r="4692" spans="4:6" x14ac:dyDescent="0.2">
      <c r="D4692" s="50"/>
      <c r="E4692" s="73"/>
      <c r="F4692" s="45"/>
    </row>
    <row r="4693" spans="4:6" x14ac:dyDescent="0.2">
      <c r="D4693" s="50"/>
      <c r="E4693" s="73"/>
      <c r="F4693" s="45"/>
    </row>
    <row r="4694" spans="4:6" x14ac:dyDescent="0.2">
      <c r="D4694" s="50"/>
      <c r="E4694" s="73"/>
      <c r="F4694" s="45"/>
    </row>
    <row r="4695" spans="4:6" x14ac:dyDescent="0.2">
      <c r="D4695" s="50"/>
      <c r="E4695" s="73"/>
      <c r="F4695" s="45"/>
    </row>
    <row r="4696" spans="4:6" x14ac:dyDescent="0.2">
      <c r="D4696" s="50"/>
      <c r="E4696" s="73"/>
      <c r="F4696" s="45"/>
    </row>
    <row r="4697" spans="4:6" x14ac:dyDescent="0.2">
      <c r="D4697" s="50"/>
      <c r="E4697" s="73"/>
      <c r="F4697" s="45"/>
    </row>
    <row r="4698" spans="4:6" x14ac:dyDescent="0.2">
      <c r="D4698" s="50"/>
      <c r="E4698" s="73"/>
      <c r="F4698" s="45"/>
    </row>
    <row r="4699" spans="4:6" x14ac:dyDescent="0.2">
      <c r="D4699" s="50"/>
      <c r="E4699" s="73"/>
      <c r="F4699" s="45"/>
    </row>
    <row r="4700" spans="4:6" x14ac:dyDescent="0.2">
      <c r="D4700" s="50"/>
      <c r="E4700" s="73"/>
      <c r="F4700" s="45"/>
    </row>
    <row r="4701" spans="4:6" x14ac:dyDescent="0.2">
      <c r="D4701" s="50"/>
      <c r="E4701" s="73"/>
      <c r="F4701" s="45"/>
    </row>
    <row r="4702" spans="4:6" x14ac:dyDescent="0.2">
      <c r="D4702" s="50"/>
      <c r="E4702" s="73"/>
      <c r="F4702" s="45"/>
    </row>
    <row r="4703" spans="4:6" x14ac:dyDescent="0.2">
      <c r="D4703" s="50"/>
      <c r="E4703" s="73"/>
      <c r="F4703" s="45"/>
    </row>
    <row r="4704" spans="4:6" x14ac:dyDescent="0.2">
      <c r="D4704" s="50"/>
      <c r="E4704" s="73"/>
      <c r="F4704" s="45"/>
    </row>
    <row r="4705" spans="4:6" x14ac:dyDescent="0.2">
      <c r="D4705" s="50"/>
      <c r="E4705" s="73"/>
      <c r="F4705" s="45"/>
    </row>
    <row r="4706" spans="4:6" x14ac:dyDescent="0.2">
      <c r="D4706" s="50"/>
      <c r="E4706" s="73"/>
      <c r="F4706" s="45"/>
    </row>
    <row r="4707" spans="4:6" x14ac:dyDescent="0.2">
      <c r="D4707" s="50"/>
      <c r="E4707" s="73"/>
      <c r="F4707" s="45"/>
    </row>
    <row r="4708" spans="4:6" x14ac:dyDescent="0.2">
      <c r="D4708" s="50"/>
      <c r="E4708" s="73"/>
      <c r="F4708" s="45"/>
    </row>
    <row r="4709" spans="4:6" x14ac:dyDescent="0.2">
      <c r="D4709" s="50"/>
      <c r="E4709" s="73"/>
      <c r="F4709" s="45"/>
    </row>
    <row r="4710" spans="4:6" x14ac:dyDescent="0.2">
      <c r="D4710" s="50"/>
      <c r="E4710" s="73"/>
      <c r="F4710" s="45"/>
    </row>
    <row r="4711" spans="4:6" x14ac:dyDescent="0.2">
      <c r="D4711" s="50"/>
      <c r="E4711" s="73"/>
      <c r="F4711" s="45"/>
    </row>
    <row r="4712" spans="4:6" x14ac:dyDescent="0.2">
      <c r="D4712" s="50"/>
      <c r="E4712" s="73"/>
      <c r="F4712" s="45"/>
    </row>
    <row r="4713" spans="4:6" x14ac:dyDescent="0.2">
      <c r="D4713" s="50"/>
      <c r="E4713" s="73"/>
      <c r="F4713" s="45"/>
    </row>
    <row r="4714" spans="4:6" x14ac:dyDescent="0.2">
      <c r="D4714" s="50"/>
      <c r="E4714" s="73"/>
      <c r="F4714" s="45"/>
    </row>
    <row r="4715" spans="4:6" x14ac:dyDescent="0.2">
      <c r="D4715" s="50"/>
      <c r="E4715" s="73"/>
      <c r="F4715" s="45"/>
    </row>
    <row r="4716" spans="4:6" x14ac:dyDescent="0.2">
      <c r="D4716" s="50"/>
      <c r="E4716" s="73"/>
      <c r="F4716" s="45"/>
    </row>
    <row r="4717" spans="4:6" x14ac:dyDescent="0.2">
      <c r="D4717" s="50"/>
      <c r="E4717" s="73"/>
      <c r="F4717" s="45"/>
    </row>
    <row r="4718" spans="4:6" x14ac:dyDescent="0.2">
      <c r="D4718" s="50"/>
      <c r="E4718" s="73"/>
      <c r="F4718" s="45"/>
    </row>
    <row r="4719" spans="4:6" x14ac:dyDescent="0.2">
      <c r="D4719" s="50"/>
      <c r="E4719" s="73"/>
      <c r="F4719" s="45"/>
    </row>
    <row r="4720" spans="4:6" x14ac:dyDescent="0.2">
      <c r="D4720" s="50"/>
      <c r="E4720" s="73"/>
      <c r="F4720" s="45"/>
    </row>
    <row r="4721" spans="4:6" x14ac:dyDescent="0.2">
      <c r="D4721" s="50"/>
      <c r="E4721" s="73"/>
      <c r="F4721" s="45"/>
    </row>
    <row r="4722" spans="4:6" x14ac:dyDescent="0.2">
      <c r="D4722" s="50"/>
      <c r="E4722" s="73"/>
      <c r="F4722" s="45"/>
    </row>
    <row r="4723" spans="4:6" x14ac:dyDescent="0.2">
      <c r="D4723" s="50"/>
      <c r="E4723" s="73"/>
      <c r="F4723" s="45"/>
    </row>
    <row r="4724" spans="4:6" x14ac:dyDescent="0.2">
      <c r="D4724" s="50"/>
      <c r="E4724" s="73"/>
      <c r="F4724" s="45"/>
    </row>
    <row r="4725" spans="4:6" x14ac:dyDescent="0.2">
      <c r="D4725" s="50"/>
      <c r="E4725" s="73"/>
      <c r="F4725" s="45"/>
    </row>
    <row r="4726" spans="4:6" x14ac:dyDescent="0.2">
      <c r="D4726" s="50"/>
      <c r="E4726" s="73"/>
      <c r="F4726" s="45"/>
    </row>
    <row r="4727" spans="4:6" x14ac:dyDescent="0.2">
      <c r="D4727" s="50"/>
      <c r="E4727" s="73"/>
      <c r="F4727" s="45"/>
    </row>
    <row r="4728" spans="4:6" x14ac:dyDescent="0.2">
      <c r="D4728" s="50"/>
      <c r="E4728" s="73"/>
      <c r="F4728" s="45"/>
    </row>
    <row r="4729" spans="4:6" x14ac:dyDescent="0.2">
      <c r="D4729" s="50"/>
      <c r="E4729" s="73"/>
      <c r="F4729" s="45"/>
    </row>
    <row r="4730" spans="4:6" x14ac:dyDescent="0.2">
      <c r="D4730" s="50"/>
      <c r="E4730" s="73"/>
      <c r="F4730" s="45"/>
    </row>
    <row r="4731" spans="4:6" x14ac:dyDescent="0.2">
      <c r="D4731" s="50"/>
      <c r="E4731" s="73"/>
      <c r="F4731" s="45"/>
    </row>
    <row r="4732" spans="4:6" x14ac:dyDescent="0.2">
      <c r="D4732" s="50"/>
      <c r="E4732" s="73"/>
      <c r="F4732" s="45"/>
    </row>
    <row r="4733" spans="4:6" x14ac:dyDescent="0.2">
      <c r="D4733" s="50"/>
      <c r="E4733" s="73"/>
      <c r="F4733" s="45"/>
    </row>
    <row r="4734" spans="4:6" x14ac:dyDescent="0.2">
      <c r="D4734" s="50"/>
      <c r="E4734" s="73"/>
      <c r="F4734" s="45"/>
    </row>
    <row r="4735" spans="4:6" x14ac:dyDescent="0.2">
      <c r="D4735" s="50"/>
      <c r="E4735" s="73"/>
      <c r="F4735" s="45"/>
    </row>
    <row r="4736" spans="4:6" x14ac:dyDescent="0.2">
      <c r="D4736" s="50"/>
      <c r="E4736" s="73"/>
      <c r="F4736" s="45"/>
    </row>
    <row r="4737" spans="4:6" x14ac:dyDescent="0.2">
      <c r="D4737" s="50"/>
      <c r="E4737" s="73"/>
      <c r="F4737" s="45"/>
    </row>
    <row r="4738" spans="4:6" x14ac:dyDescent="0.2">
      <c r="D4738" s="50"/>
      <c r="E4738" s="73"/>
      <c r="F4738" s="45"/>
    </row>
    <row r="4739" spans="4:6" x14ac:dyDescent="0.2">
      <c r="D4739" s="50"/>
      <c r="E4739" s="73"/>
      <c r="F4739" s="45"/>
    </row>
    <row r="4740" spans="4:6" x14ac:dyDescent="0.2">
      <c r="D4740" s="50"/>
      <c r="E4740" s="73"/>
      <c r="F4740" s="45"/>
    </row>
    <row r="4741" spans="4:6" x14ac:dyDescent="0.2">
      <c r="D4741" s="50"/>
      <c r="E4741" s="73"/>
      <c r="F4741" s="45"/>
    </row>
    <row r="4742" spans="4:6" x14ac:dyDescent="0.2">
      <c r="D4742" s="50"/>
      <c r="E4742" s="73"/>
      <c r="F4742" s="45"/>
    </row>
    <row r="4743" spans="4:6" x14ac:dyDescent="0.2">
      <c r="D4743" s="50"/>
      <c r="E4743" s="73"/>
      <c r="F4743" s="45"/>
    </row>
    <row r="4744" spans="4:6" x14ac:dyDescent="0.2">
      <c r="D4744" s="50"/>
      <c r="E4744" s="73"/>
      <c r="F4744" s="45"/>
    </row>
    <row r="4745" spans="4:6" x14ac:dyDescent="0.2">
      <c r="D4745" s="50"/>
      <c r="E4745" s="73"/>
      <c r="F4745" s="45"/>
    </row>
    <row r="4746" spans="4:6" x14ac:dyDescent="0.2">
      <c r="D4746" s="50"/>
      <c r="E4746" s="73"/>
      <c r="F4746" s="45"/>
    </row>
    <row r="4747" spans="4:6" x14ac:dyDescent="0.2">
      <c r="D4747" s="50"/>
      <c r="E4747" s="73"/>
      <c r="F4747" s="45"/>
    </row>
    <row r="4748" spans="4:6" x14ac:dyDescent="0.2">
      <c r="D4748" s="50"/>
      <c r="E4748" s="73"/>
      <c r="F4748" s="45"/>
    </row>
    <row r="4749" spans="4:6" x14ac:dyDescent="0.2">
      <c r="D4749" s="50"/>
      <c r="E4749" s="73"/>
      <c r="F4749" s="45"/>
    </row>
    <row r="4750" spans="4:6" x14ac:dyDescent="0.2">
      <c r="D4750" s="50"/>
      <c r="E4750" s="73"/>
      <c r="F4750" s="45"/>
    </row>
    <row r="4751" spans="4:6" x14ac:dyDescent="0.2">
      <c r="D4751" s="50"/>
      <c r="E4751" s="73"/>
      <c r="F4751" s="45"/>
    </row>
    <row r="4752" spans="4:6" x14ac:dyDescent="0.2">
      <c r="D4752" s="50"/>
      <c r="E4752" s="73"/>
      <c r="F4752" s="45"/>
    </row>
    <row r="4753" spans="4:6" x14ac:dyDescent="0.2">
      <c r="D4753" s="50"/>
      <c r="E4753" s="73"/>
      <c r="F4753" s="45"/>
    </row>
    <row r="4754" spans="4:6" x14ac:dyDescent="0.2">
      <c r="D4754" s="50"/>
      <c r="E4754" s="73"/>
      <c r="F4754" s="45"/>
    </row>
    <row r="4755" spans="4:6" x14ac:dyDescent="0.2">
      <c r="D4755" s="50"/>
      <c r="E4755" s="73"/>
      <c r="F4755" s="45"/>
    </row>
    <row r="4756" spans="4:6" x14ac:dyDescent="0.2">
      <c r="D4756" s="50"/>
      <c r="E4756" s="73"/>
      <c r="F4756" s="45"/>
    </row>
    <row r="4757" spans="4:6" x14ac:dyDescent="0.2">
      <c r="D4757" s="50"/>
      <c r="E4757" s="73"/>
      <c r="F4757" s="45"/>
    </row>
    <row r="4758" spans="4:6" x14ac:dyDescent="0.2">
      <c r="D4758" s="50"/>
      <c r="E4758" s="73"/>
      <c r="F4758" s="45"/>
    </row>
    <row r="4759" spans="4:6" x14ac:dyDescent="0.2">
      <c r="D4759" s="50"/>
      <c r="E4759" s="73"/>
      <c r="F4759" s="45"/>
    </row>
    <row r="4760" spans="4:6" x14ac:dyDescent="0.2">
      <c r="D4760" s="50"/>
      <c r="E4760" s="73"/>
      <c r="F4760" s="45"/>
    </row>
    <row r="4761" spans="4:6" x14ac:dyDescent="0.2">
      <c r="D4761" s="50"/>
      <c r="E4761" s="73"/>
      <c r="F4761" s="45"/>
    </row>
    <row r="4762" spans="4:6" x14ac:dyDescent="0.2">
      <c r="D4762" s="50"/>
      <c r="E4762" s="73"/>
      <c r="F4762" s="45"/>
    </row>
    <row r="4763" spans="4:6" x14ac:dyDescent="0.2">
      <c r="D4763" s="50"/>
      <c r="E4763" s="73"/>
      <c r="F4763" s="45"/>
    </row>
    <row r="4764" spans="4:6" x14ac:dyDescent="0.2">
      <c r="D4764" s="50"/>
      <c r="E4764" s="73"/>
      <c r="F4764" s="45"/>
    </row>
    <row r="4765" spans="4:6" x14ac:dyDescent="0.2">
      <c r="D4765" s="50"/>
      <c r="E4765" s="73"/>
      <c r="F4765" s="45"/>
    </row>
    <row r="4766" spans="4:6" x14ac:dyDescent="0.2">
      <c r="D4766" s="50"/>
      <c r="E4766" s="73"/>
      <c r="F4766" s="45"/>
    </row>
    <row r="4767" spans="4:6" x14ac:dyDescent="0.2">
      <c r="D4767" s="50"/>
      <c r="E4767" s="73"/>
      <c r="F4767" s="45"/>
    </row>
    <row r="4768" spans="4:6" x14ac:dyDescent="0.2">
      <c r="D4768" s="50"/>
      <c r="E4768" s="73"/>
      <c r="F4768" s="45"/>
    </row>
    <row r="4769" spans="4:6" x14ac:dyDescent="0.2">
      <c r="D4769" s="50"/>
      <c r="E4769" s="73"/>
      <c r="F4769" s="45"/>
    </row>
    <row r="4770" spans="4:6" x14ac:dyDescent="0.2">
      <c r="D4770" s="50"/>
      <c r="E4770" s="73"/>
      <c r="F4770" s="45"/>
    </row>
    <row r="4771" spans="4:6" x14ac:dyDescent="0.2">
      <c r="D4771" s="50"/>
      <c r="E4771" s="73"/>
      <c r="F4771" s="45"/>
    </row>
    <row r="4772" spans="4:6" x14ac:dyDescent="0.2">
      <c r="D4772" s="50"/>
      <c r="E4772" s="73"/>
      <c r="F4772" s="45"/>
    </row>
    <row r="4773" spans="4:6" x14ac:dyDescent="0.2">
      <c r="D4773" s="50"/>
      <c r="E4773" s="73"/>
      <c r="F4773" s="45"/>
    </row>
    <row r="4774" spans="4:6" x14ac:dyDescent="0.2">
      <c r="D4774" s="50"/>
      <c r="E4774" s="73"/>
      <c r="F4774" s="45"/>
    </row>
    <row r="4775" spans="4:6" x14ac:dyDescent="0.2">
      <c r="D4775" s="50"/>
      <c r="E4775" s="73"/>
      <c r="F4775" s="45"/>
    </row>
    <row r="4776" spans="4:6" x14ac:dyDescent="0.2">
      <c r="D4776" s="50"/>
      <c r="E4776" s="73"/>
      <c r="F4776" s="45"/>
    </row>
    <row r="4777" spans="4:6" x14ac:dyDescent="0.2">
      <c r="D4777" s="50"/>
      <c r="E4777" s="73"/>
      <c r="F4777" s="45"/>
    </row>
    <row r="4778" spans="4:6" x14ac:dyDescent="0.2">
      <c r="D4778" s="50"/>
      <c r="E4778" s="73"/>
      <c r="F4778" s="45"/>
    </row>
    <row r="4779" spans="4:6" x14ac:dyDescent="0.2">
      <c r="D4779" s="50"/>
      <c r="E4779" s="73"/>
      <c r="F4779" s="45"/>
    </row>
    <row r="4780" spans="4:6" x14ac:dyDescent="0.2">
      <c r="D4780" s="50"/>
      <c r="E4780" s="73"/>
      <c r="F4780" s="45"/>
    </row>
    <row r="4781" spans="4:6" x14ac:dyDescent="0.2">
      <c r="D4781" s="50"/>
      <c r="E4781" s="73"/>
      <c r="F4781" s="45"/>
    </row>
    <row r="4782" spans="4:6" x14ac:dyDescent="0.2">
      <c r="D4782" s="50"/>
      <c r="E4782" s="73"/>
      <c r="F4782" s="45"/>
    </row>
    <row r="4783" spans="4:6" x14ac:dyDescent="0.2">
      <c r="D4783" s="50"/>
      <c r="E4783" s="73"/>
      <c r="F4783" s="45"/>
    </row>
    <row r="4784" spans="4:6" x14ac:dyDescent="0.2">
      <c r="D4784" s="50"/>
      <c r="E4784" s="73"/>
      <c r="F4784" s="45"/>
    </row>
    <row r="4785" spans="4:6" x14ac:dyDescent="0.2">
      <c r="D4785" s="50"/>
      <c r="E4785" s="73"/>
      <c r="F4785" s="45"/>
    </row>
    <row r="4786" spans="4:6" x14ac:dyDescent="0.2">
      <c r="D4786" s="50"/>
      <c r="E4786" s="73"/>
      <c r="F4786" s="45"/>
    </row>
    <row r="4787" spans="4:6" x14ac:dyDescent="0.2">
      <c r="D4787" s="50"/>
      <c r="E4787" s="73"/>
      <c r="F4787" s="45"/>
    </row>
    <row r="4788" spans="4:6" x14ac:dyDescent="0.2">
      <c r="D4788" s="50"/>
      <c r="E4788" s="73"/>
      <c r="F4788" s="45"/>
    </row>
    <row r="4789" spans="4:6" x14ac:dyDescent="0.2">
      <c r="D4789" s="50"/>
      <c r="E4789" s="73"/>
      <c r="F4789" s="45"/>
    </row>
    <row r="4790" spans="4:6" x14ac:dyDescent="0.2">
      <c r="D4790" s="50"/>
      <c r="E4790" s="73"/>
      <c r="F4790" s="45"/>
    </row>
    <row r="4791" spans="4:6" x14ac:dyDescent="0.2">
      <c r="D4791" s="50"/>
      <c r="E4791" s="73"/>
      <c r="F4791" s="45"/>
    </row>
    <row r="4792" spans="4:6" x14ac:dyDescent="0.2">
      <c r="D4792" s="50"/>
      <c r="E4792" s="73"/>
      <c r="F4792" s="45"/>
    </row>
    <row r="4793" spans="4:6" x14ac:dyDescent="0.2">
      <c r="D4793" s="50"/>
      <c r="E4793" s="73"/>
      <c r="F4793" s="45"/>
    </row>
    <row r="4794" spans="4:6" x14ac:dyDescent="0.2">
      <c r="D4794" s="50"/>
      <c r="E4794" s="73"/>
      <c r="F4794" s="45"/>
    </row>
    <row r="4795" spans="4:6" x14ac:dyDescent="0.2">
      <c r="D4795" s="50"/>
      <c r="E4795" s="73"/>
      <c r="F4795" s="45"/>
    </row>
    <row r="4796" spans="4:6" x14ac:dyDescent="0.2">
      <c r="D4796" s="50"/>
      <c r="E4796" s="73"/>
      <c r="F4796" s="45"/>
    </row>
    <row r="4797" spans="4:6" x14ac:dyDescent="0.2">
      <c r="D4797" s="50"/>
      <c r="E4797" s="73"/>
      <c r="F4797" s="45"/>
    </row>
    <row r="4798" spans="4:6" x14ac:dyDescent="0.2">
      <c r="D4798" s="50"/>
      <c r="E4798" s="73"/>
      <c r="F4798" s="45"/>
    </row>
    <row r="4799" spans="4:6" x14ac:dyDescent="0.2">
      <c r="D4799" s="50"/>
      <c r="E4799" s="73"/>
      <c r="F4799" s="45"/>
    </row>
    <row r="4800" spans="4:6" x14ac:dyDescent="0.2">
      <c r="D4800" s="50"/>
      <c r="E4800" s="73"/>
      <c r="F4800" s="45"/>
    </row>
    <row r="4801" spans="4:6" x14ac:dyDescent="0.2">
      <c r="D4801" s="50"/>
      <c r="E4801" s="73"/>
      <c r="F4801" s="45"/>
    </row>
    <row r="4802" spans="4:6" x14ac:dyDescent="0.2">
      <c r="D4802" s="50"/>
      <c r="E4802" s="73"/>
      <c r="F4802" s="45"/>
    </row>
    <row r="4803" spans="4:6" x14ac:dyDescent="0.2">
      <c r="D4803" s="50"/>
      <c r="E4803" s="73"/>
      <c r="F4803" s="45"/>
    </row>
    <row r="4804" spans="4:6" x14ac:dyDescent="0.2">
      <c r="D4804" s="50"/>
      <c r="E4804" s="73"/>
      <c r="F4804" s="45"/>
    </row>
    <row r="4805" spans="4:6" x14ac:dyDescent="0.2">
      <c r="D4805" s="50"/>
      <c r="E4805" s="73"/>
      <c r="F4805" s="45"/>
    </row>
    <row r="4806" spans="4:6" x14ac:dyDescent="0.2">
      <c r="D4806" s="50"/>
      <c r="E4806" s="73"/>
      <c r="F4806" s="45"/>
    </row>
    <row r="4807" spans="4:6" x14ac:dyDescent="0.2">
      <c r="D4807" s="50"/>
      <c r="E4807" s="73"/>
      <c r="F4807" s="45"/>
    </row>
    <row r="4808" spans="4:6" x14ac:dyDescent="0.2">
      <c r="D4808" s="50"/>
      <c r="E4808" s="73"/>
      <c r="F4808" s="45"/>
    </row>
    <row r="4809" spans="4:6" x14ac:dyDescent="0.2">
      <c r="D4809" s="50"/>
      <c r="E4809" s="73"/>
      <c r="F4809" s="45"/>
    </row>
    <row r="4810" spans="4:6" x14ac:dyDescent="0.2">
      <c r="D4810" s="50"/>
      <c r="E4810" s="73"/>
      <c r="F4810" s="45"/>
    </row>
    <row r="4811" spans="4:6" x14ac:dyDescent="0.2">
      <c r="D4811" s="50"/>
      <c r="E4811" s="73"/>
      <c r="F4811" s="45"/>
    </row>
    <row r="4812" spans="4:6" x14ac:dyDescent="0.2">
      <c r="D4812" s="50"/>
      <c r="E4812" s="73"/>
      <c r="F4812" s="45"/>
    </row>
    <row r="4813" spans="4:6" x14ac:dyDescent="0.2">
      <c r="D4813" s="50"/>
      <c r="E4813" s="73"/>
      <c r="F4813" s="45"/>
    </row>
    <row r="4814" spans="4:6" x14ac:dyDescent="0.2">
      <c r="D4814" s="50"/>
      <c r="E4814" s="73"/>
      <c r="F4814" s="45"/>
    </row>
    <row r="4815" spans="4:6" x14ac:dyDescent="0.2">
      <c r="D4815" s="50"/>
      <c r="E4815" s="73"/>
      <c r="F4815" s="45"/>
    </row>
    <row r="4816" spans="4:6" x14ac:dyDescent="0.2">
      <c r="D4816" s="50"/>
      <c r="E4816" s="73"/>
      <c r="F4816" s="45"/>
    </row>
    <row r="4817" spans="4:6" x14ac:dyDescent="0.2">
      <c r="D4817" s="50"/>
      <c r="E4817" s="73"/>
      <c r="F4817" s="45"/>
    </row>
    <row r="4818" spans="4:6" x14ac:dyDescent="0.2">
      <c r="D4818" s="50"/>
      <c r="E4818" s="73"/>
      <c r="F4818" s="45"/>
    </row>
    <row r="4819" spans="4:6" x14ac:dyDescent="0.2">
      <c r="D4819" s="50"/>
      <c r="E4819" s="73"/>
      <c r="F4819" s="45"/>
    </row>
    <row r="4820" spans="4:6" x14ac:dyDescent="0.2">
      <c r="D4820" s="50"/>
      <c r="E4820" s="73"/>
      <c r="F4820" s="45"/>
    </row>
    <row r="4821" spans="4:6" x14ac:dyDescent="0.2">
      <c r="D4821" s="50"/>
      <c r="E4821" s="73"/>
      <c r="F4821" s="45"/>
    </row>
    <row r="4822" spans="4:6" x14ac:dyDescent="0.2">
      <c r="D4822" s="50"/>
      <c r="E4822" s="73"/>
      <c r="F4822" s="45"/>
    </row>
    <row r="4823" spans="4:6" x14ac:dyDescent="0.2">
      <c r="D4823" s="50"/>
      <c r="E4823" s="73"/>
      <c r="F4823" s="45"/>
    </row>
    <row r="4824" spans="4:6" x14ac:dyDescent="0.2">
      <c r="D4824" s="50"/>
      <c r="E4824" s="73"/>
      <c r="F4824" s="45"/>
    </row>
    <row r="4825" spans="4:6" x14ac:dyDescent="0.2">
      <c r="D4825" s="50"/>
      <c r="E4825" s="73"/>
      <c r="F4825" s="45"/>
    </row>
    <row r="4826" spans="4:6" x14ac:dyDescent="0.2">
      <c r="D4826" s="50"/>
      <c r="E4826" s="73"/>
      <c r="F4826" s="45"/>
    </row>
    <row r="4827" spans="4:6" x14ac:dyDescent="0.2">
      <c r="D4827" s="50"/>
      <c r="E4827" s="73"/>
      <c r="F4827" s="45"/>
    </row>
    <row r="4828" spans="4:6" x14ac:dyDescent="0.2">
      <c r="D4828" s="50"/>
      <c r="E4828" s="73"/>
      <c r="F4828" s="45"/>
    </row>
    <row r="4829" spans="4:6" x14ac:dyDescent="0.2">
      <c r="D4829" s="50"/>
      <c r="E4829" s="73"/>
      <c r="F4829" s="45"/>
    </row>
    <row r="4830" spans="4:6" x14ac:dyDescent="0.2">
      <c r="D4830" s="50"/>
      <c r="E4830" s="73"/>
      <c r="F4830" s="45"/>
    </row>
    <row r="4831" spans="4:6" x14ac:dyDescent="0.2">
      <c r="D4831" s="50"/>
      <c r="E4831" s="73"/>
      <c r="F4831" s="45"/>
    </row>
    <row r="4832" spans="4:6" x14ac:dyDescent="0.2">
      <c r="D4832" s="50"/>
      <c r="E4832" s="73"/>
      <c r="F4832" s="45"/>
    </row>
    <row r="4833" spans="4:6" x14ac:dyDescent="0.2">
      <c r="D4833" s="50"/>
      <c r="E4833" s="73"/>
      <c r="F4833" s="45"/>
    </row>
    <row r="4834" spans="4:6" x14ac:dyDescent="0.2">
      <c r="D4834" s="50"/>
      <c r="E4834" s="73"/>
      <c r="F4834" s="45"/>
    </row>
    <row r="4835" spans="4:6" x14ac:dyDescent="0.2">
      <c r="D4835" s="50"/>
      <c r="E4835" s="73"/>
      <c r="F4835" s="45"/>
    </row>
    <row r="4836" spans="4:6" x14ac:dyDescent="0.2">
      <c r="D4836" s="50"/>
      <c r="E4836" s="73"/>
      <c r="F4836" s="45"/>
    </row>
    <row r="4837" spans="4:6" x14ac:dyDescent="0.2">
      <c r="D4837" s="50"/>
      <c r="E4837" s="73"/>
      <c r="F4837" s="45"/>
    </row>
    <row r="4838" spans="4:6" x14ac:dyDescent="0.2">
      <c r="D4838" s="50"/>
      <c r="E4838" s="73"/>
      <c r="F4838" s="45"/>
    </row>
    <row r="4839" spans="4:6" x14ac:dyDescent="0.2">
      <c r="D4839" s="50"/>
      <c r="E4839" s="73"/>
      <c r="F4839" s="45"/>
    </row>
    <row r="4840" spans="4:6" x14ac:dyDescent="0.2">
      <c r="D4840" s="50"/>
      <c r="E4840" s="73"/>
      <c r="F4840" s="45"/>
    </row>
    <row r="4841" spans="4:6" x14ac:dyDescent="0.2">
      <c r="D4841" s="50"/>
      <c r="E4841" s="73"/>
      <c r="F4841" s="45"/>
    </row>
    <row r="4842" spans="4:6" x14ac:dyDescent="0.2">
      <c r="D4842" s="50"/>
      <c r="E4842" s="73"/>
      <c r="F4842" s="45"/>
    </row>
    <row r="4843" spans="4:6" x14ac:dyDescent="0.2">
      <c r="D4843" s="50"/>
      <c r="E4843" s="73"/>
      <c r="F4843" s="45"/>
    </row>
    <row r="4844" spans="4:6" x14ac:dyDescent="0.2">
      <c r="D4844" s="50"/>
      <c r="E4844" s="73"/>
      <c r="F4844" s="45"/>
    </row>
    <row r="4845" spans="4:6" x14ac:dyDescent="0.2">
      <c r="D4845" s="50"/>
      <c r="E4845" s="73"/>
      <c r="F4845" s="45"/>
    </row>
    <row r="4846" spans="4:6" x14ac:dyDescent="0.2">
      <c r="D4846" s="50"/>
      <c r="E4846" s="73"/>
      <c r="F4846" s="45"/>
    </row>
    <row r="4847" spans="4:6" x14ac:dyDescent="0.2">
      <c r="D4847" s="50"/>
      <c r="E4847" s="73"/>
      <c r="F4847" s="45"/>
    </row>
    <row r="4848" spans="4:6" x14ac:dyDescent="0.2">
      <c r="D4848" s="50"/>
      <c r="E4848" s="73"/>
      <c r="F4848" s="45"/>
    </row>
    <row r="4849" spans="4:6" x14ac:dyDescent="0.2">
      <c r="D4849" s="50"/>
      <c r="E4849" s="73"/>
      <c r="F4849" s="45"/>
    </row>
    <row r="4850" spans="4:6" x14ac:dyDescent="0.2">
      <c r="D4850" s="50"/>
      <c r="E4850" s="73"/>
      <c r="F4850" s="45"/>
    </row>
    <row r="4851" spans="4:6" x14ac:dyDescent="0.2">
      <c r="D4851" s="50"/>
      <c r="E4851" s="73"/>
      <c r="F4851" s="45"/>
    </row>
    <row r="4852" spans="4:6" x14ac:dyDescent="0.2">
      <c r="D4852" s="50"/>
      <c r="E4852" s="73"/>
      <c r="F4852" s="45"/>
    </row>
    <row r="4853" spans="4:6" x14ac:dyDescent="0.2">
      <c r="D4853" s="50"/>
      <c r="E4853" s="73"/>
      <c r="F4853" s="45"/>
    </row>
    <row r="4854" spans="4:6" x14ac:dyDescent="0.2">
      <c r="D4854" s="50"/>
      <c r="E4854" s="73"/>
      <c r="F4854" s="45"/>
    </row>
    <row r="4855" spans="4:6" x14ac:dyDescent="0.2">
      <c r="D4855" s="50"/>
      <c r="E4855" s="73"/>
      <c r="F4855" s="45"/>
    </row>
    <row r="4856" spans="4:6" x14ac:dyDescent="0.2">
      <c r="D4856" s="50"/>
      <c r="E4856" s="73"/>
      <c r="F4856" s="45"/>
    </row>
    <row r="4857" spans="4:6" x14ac:dyDescent="0.2">
      <c r="D4857" s="50"/>
      <c r="E4857" s="73"/>
      <c r="F4857" s="45"/>
    </row>
    <row r="4858" spans="4:6" x14ac:dyDescent="0.2">
      <c r="D4858" s="50"/>
      <c r="E4858" s="73"/>
      <c r="F4858" s="45"/>
    </row>
    <row r="4859" spans="4:6" x14ac:dyDescent="0.2">
      <c r="D4859" s="50"/>
      <c r="E4859" s="73"/>
      <c r="F4859" s="45"/>
    </row>
    <row r="4860" spans="4:6" x14ac:dyDescent="0.2">
      <c r="D4860" s="50"/>
      <c r="E4860" s="73"/>
      <c r="F4860" s="45"/>
    </row>
    <row r="4861" spans="4:6" x14ac:dyDescent="0.2">
      <c r="D4861" s="50"/>
      <c r="E4861" s="73"/>
      <c r="F4861" s="45"/>
    </row>
    <row r="4862" spans="4:6" x14ac:dyDescent="0.2">
      <c r="D4862" s="50"/>
      <c r="E4862" s="73"/>
      <c r="F4862" s="45"/>
    </row>
    <row r="4863" spans="4:6" x14ac:dyDescent="0.2">
      <c r="D4863" s="50"/>
      <c r="E4863" s="73"/>
      <c r="F4863" s="45"/>
    </row>
    <row r="4864" spans="4:6" x14ac:dyDescent="0.2">
      <c r="D4864" s="50"/>
      <c r="E4864" s="73"/>
      <c r="F4864" s="45"/>
    </row>
    <row r="4865" spans="4:6" x14ac:dyDescent="0.2">
      <c r="D4865" s="50"/>
      <c r="E4865" s="73"/>
      <c r="F4865" s="45"/>
    </row>
    <row r="4866" spans="4:6" x14ac:dyDescent="0.2">
      <c r="D4866" s="50"/>
      <c r="E4866" s="73"/>
      <c r="F4866" s="45"/>
    </row>
    <row r="4867" spans="4:6" x14ac:dyDescent="0.2">
      <c r="D4867" s="50"/>
      <c r="E4867" s="73"/>
      <c r="F4867" s="45"/>
    </row>
    <row r="4868" spans="4:6" x14ac:dyDescent="0.2">
      <c r="D4868" s="50"/>
      <c r="E4868" s="73"/>
      <c r="F4868" s="45"/>
    </row>
    <row r="4869" spans="4:6" x14ac:dyDescent="0.2">
      <c r="D4869" s="50"/>
      <c r="E4869" s="73"/>
      <c r="F4869" s="45"/>
    </row>
    <row r="4870" spans="4:6" x14ac:dyDescent="0.2">
      <c r="D4870" s="50"/>
      <c r="E4870" s="73"/>
      <c r="F4870" s="45"/>
    </row>
    <row r="4871" spans="4:6" x14ac:dyDescent="0.2">
      <c r="D4871" s="50"/>
      <c r="E4871" s="73"/>
      <c r="F4871" s="45"/>
    </row>
    <row r="4872" spans="4:6" x14ac:dyDescent="0.2">
      <c r="D4872" s="50"/>
      <c r="E4872" s="73"/>
      <c r="F4872" s="45"/>
    </row>
    <row r="4873" spans="4:6" x14ac:dyDescent="0.2">
      <c r="D4873" s="50"/>
      <c r="E4873" s="73"/>
      <c r="F4873" s="45"/>
    </row>
    <row r="4874" spans="4:6" x14ac:dyDescent="0.2">
      <c r="D4874" s="50"/>
      <c r="E4874" s="73"/>
      <c r="F4874" s="45"/>
    </row>
    <row r="4875" spans="4:6" x14ac:dyDescent="0.2">
      <c r="D4875" s="50"/>
      <c r="E4875" s="73"/>
      <c r="F4875" s="45"/>
    </row>
    <row r="4876" spans="4:6" x14ac:dyDescent="0.2">
      <c r="D4876" s="50"/>
      <c r="E4876" s="73"/>
      <c r="F4876" s="45"/>
    </row>
    <row r="4877" spans="4:6" x14ac:dyDescent="0.2">
      <c r="D4877" s="50"/>
      <c r="E4877" s="73"/>
      <c r="F4877" s="45"/>
    </row>
    <row r="4878" spans="4:6" x14ac:dyDescent="0.2">
      <c r="D4878" s="50"/>
      <c r="E4878" s="73"/>
      <c r="F4878" s="45"/>
    </row>
    <row r="4879" spans="4:6" x14ac:dyDescent="0.2">
      <c r="D4879" s="50"/>
      <c r="E4879" s="73"/>
      <c r="F4879" s="45"/>
    </row>
    <row r="4880" spans="4:6" x14ac:dyDescent="0.2">
      <c r="D4880" s="50"/>
      <c r="E4880" s="73"/>
      <c r="F4880" s="45"/>
    </row>
    <row r="4881" spans="4:6" x14ac:dyDescent="0.2">
      <c r="D4881" s="50"/>
      <c r="E4881" s="73"/>
      <c r="F4881" s="45"/>
    </row>
    <row r="4882" spans="4:6" x14ac:dyDescent="0.2">
      <c r="D4882" s="50"/>
      <c r="E4882" s="73"/>
      <c r="F4882" s="45"/>
    </row>
    <row r="4883" spans="4:6" x14ac:dyDescent="0.2">
      <c r="D4883" s="50"/>
      <c r="E4883" s="73"/>
      <c r="F4883" s="45"/>
    </row>
    <row r="4884" spans="4:6" x14ac:dyDescent="0.2">
      <c r="D4884" s="50"/>
      <c r="E4884" s="73"/>
      <c r="F4884" s="45"/>
    </row>
    <row r="4885" spans="4:6" x14ac:dyDescent="0.2">
      <c r="D4885" s="50"/>
      <c r="E4885" s="73"/>
      <c r="F4885" s="45"/>
    </row>
    <row r="4886" spans="4:6" x14ac:dyDescent="0.2">
      <c r="D4886" s="50"/>
      <c r="E4886" s="73"/>
      <c r="F4886" s="45"/>
    </row>
    <row r="4887" spans="4:6" x14ac:dyDescent="0.2">
      <c r="D4887" s="50"/>
      <c r="E4887" s="73"/>
      <c r="F4887" s="45"/>
    </row>
    <row r="4888" spans="4:6" x14ac:dyDescent="0.2">
      <c r="D4888" s="50"/>
      <c r="E4888" s="73"/>
      <c r="F4888" s="45"/>
    </row>
    <row r="4889" spans="4:6" x14ac:dyDescent="0.2">
      <c r="D4889" s="50"/>
      <c r="E4889" s="73"/>
      <c r="F4889" s="45"/>
    </row>
    <row r="4890" spans="4:6" x14ac:dyDescent="0.2">
      <c r="D4890" s="50"/>
      <c r="E4890" s="73"/>
      <c r="F4890" s="45"/>
    </row>
    <row r="4891" spans="4:6" x14ac:dyDescent="0.2">
      <c r="D4891" s="50"/>
      <c r="E4891" s="73"/>
      <c r="F4891" s="45"/>
    </row>
    <row r="4892" spans="4:6" x14ac:dyDescent="0.2">
      <c r="D4892" s="50"/>
      <c r="E4892" s="73"/>
      <c r="F4892" s="45"/>
    </row>
    <row r="4893" spans="4:6" x14ac:dyDescent="0.2">
      <c r="D4893" s="50"/>
      <c r="E4893" s="73"/>
      <c r="F4893" s="45"/>
    </row>
    <row r="4894" spans="4:6" x14ac:dyDescent="0.2">
      <c r="D4894" s="50"/>
      <c r="E4894" s="73"/>
      <c r="F4894" s="45"/>
    </row>
    <row r="4895" spans="4:6" x14ac:dyDescent="0.2">
      <c r="D4895" s="50"/>
      <c r="E4895" s="73"/>
      <c r="F4895" s="45"/>
    </row>
    <row r="4896" spans="4:6" x14ac:dyDescent="0.2">
      <c r="D4896" s="50"/>
      <c r="E4896" s="73"/>
      <c r="F4896" s="45"/>
    </row>
    <row r="4897" spans="4:6" x14ac:dyDescent="0.2">
      <c r="D4897" s="50"/>
      <c r="E4897" s="73"/>
      <c r="F4897" s="45"/>
    </row>
    <row r="4898" spans="4:6" x14ac:dyDescent="0.2">
      <c r="D4898" s="50"/>
      <c r="E4898" s="73"/>
      <c r="F4898" s="45"/>
    </row>
    <row r="4899" spans="4:6" x14ac:dyDescent="0.2">
      <c r="D4899" s="50"/>
      <c r="E4899" s="73"/>
      <c r="F4899" s="45"/>
    </row>
    <row r="4900" spans="4:6" x14ac:dyDescent="0.2">
      <c r="D4900" s="50"/>
      <c r="E4900" s="73"/>
      <c r="F4900" s="45"/>
    </row>
    <row r="4901" spans="4:6" x14ac:dyDescent="0.2">
      <c r="D4901" s="50"/>
      <c r="E4901" s="73"/>
      <c r="F4901" s="45"/>
    </row>
    <row r="4902" spans="4:6" x14ac:dyDescent="0.2">
      <c r="D4902" s="50"/>
      <c r="E4902" s="73"/>
      <c r="F4902" s="45"/>
    </row>
    <row r="4903" spans="4:6" x14ac:dyDescent="0.2">
      <c r="D4903" s="50"/>
      <c r="E4903" s="73"/>
      <c r="F4903" s="45"/>
    </row>
    <row r="4904" spans="4:6" x14ac:dyDescent="0.2">
      <c r="D4904" s="50"/>
      <c r="E4904" s="73"/>
      <c r="F4904" s="45"/>
    </row>
    <row r="4905" spans="4:6" x14ac:dyDescent="0.2">
      <c r="D4905" s="50"/>
      <c r="E4905" s="73"/>
      <c r="F4905" s="45"/>
    </row>
    <row r="4906" spans="4:6" x14ac:dyDescent="0.2">
      <c r="D4906" s="50"/>
      <c r="E4906" s="73"/>
      <c r="F4906" s="45"/>
    </row>
    <row r="4907" spans="4:6" x14ac:dyDescent="0.2">
      <c r="D4907" s="50"/>
      <c r="E4907" s="73"/>
      <c r="F4907" s="45"/>
    </row>
    <row r="4908" spans="4:6" x14ac:dyDescent="0.2">
      <c r="D4908" s="50"/>
      <c r="E4908" s="73"/>
      <c r="F4908" s="45"/>
    </row>
    <row r="4909" spans="4:6" x14ac:dyDescent="0.2">
      <c r="D4909" s="50"/>
      <c r="E4909" s="73"/>
      <c r="F4909" s="45"/>
    </row>
    <row r="4910" spans="4:6" x14ac:dyDescent="0.2">
      <c r="D4910" s="50"/>
      <c r="E4910" s="73"/>
      <c r="F4910" s="45"/>
    </row>
    <row r="4911" spans="4:6" x14ac:dyDescent="0.2">
      <c r="D4911" s="50"/>
      <c r="E4911" s="73"/>
      <c r="F4911" s="45"/>
    </row>
    <row r="4912" spans="4:6" x14ac:dyDescent="0.2">
      <c r="D4912" s="50"/>
      <c r="E4912" s="73"/>
      <c r="F4912" s="45"/>
    </row>
    <row r="4913" spans="4:6" x14ac:dyDescent="0.2">
      <c r="D4913" s="50"/>
      <c r="E4913" s="73"/>
      <c r="F4913" s="45"/>
    </row>
    <row r="4914" spans="4:6" x14ac:dyDescent="0.2">
      <c r="D4914" s="50"/>
      <c r="E4914" s="73"/>
      <c r="F4914" s="45"/>
    </row>
    <row r="4915" spans="4:6" x14ac:dyDescent="0.2">
      <c r="D4915" s="50"/>
      <c r="E4915" s="73"/>
      <c r="F4915" s="45"/>
    </row>
    <row r="4916" spans="4:6" x14ac:dyDescent="0.2">
      <c r="D4916" s="50"/>
      <c r="E4916" s="73"/>
      <c r="F4916" s="45"/>
    </row>
    <row r="4917" spans="4:6" x14ac:dyDescent="0.2">
      <c r="D4917" s="50"/>
      <c r="E4917" s="73"/>
      <c r="F4917" s="45"/>
    </row>
    <row r="4918" spans="4:6" x14ac:dyDescent="0.2">
      <c r="D4918" s="50"/>
      <c r="E4918" s="73"/>
      <c r="F4918" s="45"/>
    </row>
    <row r="4919" spans="4:6" x14ac:dyDescent="0.2">
      <c r="D4919" s="50"/>
      <c r="E4919" s="73"/>
      <c r="F4919" s="45"/>
    </row>
    <row r="4920" spans="4:6" x14ac:dyDescent="0.2">
      <c r="D4920" s="50"/>
      <c r="E4920" s="73"/>
      <c r="F4920" s="45"/>
    </row>
    <row r="4921" spans="4:6" x14ac:dyDescent="0.2">
      <c r="D4921" s="50"/>
      <c r="E4921" s="73"/>
      <c r="F4921" s="45"/>
    </row>
    <row r="4922" spans="4:6" x14ac:dyDescent="0.2">
      <c r="D4922" s="50"/>
      <c r="E4922" s="73"/>
      <c r="F4922" s="45"/>
    </row>
    <row r="4923" spans="4:6" x14ac:dyDescent="0.2">
      <c r="D4923" s="50"/>
      <c r="E4923" s="73"/>
      <c r="F4923" s="45"/>
    </row>
    <row r="4924" spans="4:6" x14ac:dyDescent="0.2">
      <c r="D4924" s="50"/>
      <c r="E4924" s="73"/>
      <c r="F4924" s="45"/>
    </row>
    <row r="4925" spans="4:6" x14ac:dyDescent="0.2">
      <c r="D4925" s="50"/>
      <c r="E4925" s="73"/>
      <c r="F4925" s="45"/>
    </row>
    <row r="4926" spans="4:6" x14ac:dyDescent="0.2">
      <c r="D4926" s="50"/>
      <c r="E4926" s="73"/>
      <c r="F4926" s="45"/>
    </row>
    <row r="4927" spans="4:6" x14ac:dyDescent="0.2">
      <c r="D4927" s="50"/>
      <c r="E4927" s="73"/>
      <c r="F4927" s="45"/>
    </row>
    <row r="4928" spans="4:6" x14ac:dyDescent="0.2">
      <c r="D4928" s="50"/>
      <c r="E4928" s="73"/>
      <c r="F4928" s="45"/>
    </row>
    <row r="4929" spans="4:6" x14ac:dyDescent="0.2">
      <c r="D4929" s="50"/>
      <c r="E4929" s="73"/>
      <c r="F4929" s="45"/>
    </row>
    <row r="4930" spans="4:6" x14ac:dyDescent="0.2">
      <c r="D4930" s="50"/>
      <c r="E4930" s="73"/>
      <c r="F4930" s="45"/>
    </row>
    <row r="4931" spans="4:6" x14ac:dyDescent="0.2">
      <c r="D4931" s="50"/>
      <c r="E4931" s="73"/>
      <c r="F4931" s="45"/>
    </row>
    <row r="4932" spans="4:6" x14ac:dyDescent="0.2">
      <c r="D4932" s="50"/>
      <c r="E4932" s="73"/>
      <c r="F4932" s="45"/>
    </row>
    <row r="4933" spans="4:6" x14ac:dyDescent="0.2">
      <c r="D4933" s="50"/>
      <c r="E4933" s="73"/>
      <c r="F4933" s="45"/>
    </row>
    <row r="4934" spans="4:6" x14ac:dyDescent="0.2">
      <c r="D4934" s="50"/>
      <c r="E4934" s="73"/>
      <c r="F4934" s="45"/>
    </row>
    <row r="4935" spans="4:6" x14ac:dyDescent="0.2">
      <c r="D4935" s="50"/>
      <c r="E4935" s="73"/>
      <c r="F4935" s="45"/>
    </row>
    <row r="4936" spans="4:6" x14ac:dyDescent="0.2">
      <c r="D4936" s="50"/>
      <c r="E4936" s="73"/>
      <c r="F4936" s="45"/>
    </row>
    <row r="4937" spans="4:6" x14ac:dyDescent="0.2">
      <c r="D4937" s="50"/>
      <c r="E4937" s="73"/>
      <c r="F4937" s="45"/>
    </row>
    <row r="4938" spans="4:6" x14ac:dyDescent="0.2">
      <c r="D4938" s="50"/>
      <c r="E4938" s="73"/>
      <c r="F4938" s="45"/>
    </row>
    <row r="4939" spans="4:6" x14ac:dyDescent="0.2">
      <c r="D4939" s="50"/>
      <c r="E4939" s="73"/>
      <c r="F4939" s="45"/>
    </row>
    <row r="4940" spans="4:6" x14ac:dyDescent="0.2">
      <c r="D4940" s="50"/>
      <c r="E4940" s="73"/>
      <c r="F4940" s="45"/>
    </row>
    <row r="4941" spans="4:6" x14ac:dyDescent="0.2">
      <c r="D4941" s="50"/>
      <c r="E4941" s="73"/>
      <c r="F4941" s="45"/>
    </row>
    <row r="4942" spans="4:6" x14ac:dyDescent="0.2">
      <c r="D4942" s="50"/>
      <c r="E4942" s="73"/>
      <c r="F4942" s="45"/>
    </row>
    <row r="4943" spans="4:6" x14ac:dyDescent="0.2">
      <c r="D4943" s="50"/>
      <c r="E4943" s="73"/>
      <c r="F4943" s="45"/>
    </row>
    <row r="4944" spans="4:6" x14ac:dyDescent="0.2">
      <c r="D4944" s="50"/>
      <c r="E4944" s="73"/>
      <c r="F4944" s="45"/>
    </row>
    <row r="4945" spans="4:6" x14ac:dyDescent="0.2">
      <c r="D4945" s="50"/>
      <c r="E4945" s="73"/>
      <c r="F4945" s="45"/>
    </row>
    <row r="4946" spans="4:6" x14ac:dyDescent="0.2">
      <c r="D4946" s="50"/>
      <c r="E4946" s="73"/>
      <c r="F4946" s="45"/>
    </row>
    <row r="4947" spans="4:6" x14ac:dyDescent="0.2">
      <c r="D4947" s="50"/>
      <c r="E4947" s="73"/>
      <c r="F4947" s="45"/>
    </row>
    <row r="4948" spans="4:6" x14ac:dyDescent="0.2">
      <c r="D4948" s="50"/>
      <c r="E4948" s="73"/>
      <c r="F4948" s="45"/>
    </row>
    <row r="4949" spans="4:6" x14ac:dyDescent="0.2">
      <c r="D4949" s="50"/>
      <c r="E4949" s="73"/>
      <c r="F4949" s="45"/>
    </row>
    <row r="4950" spans="4:6" x14ac:dyDescent="0.2">
      <c r="D4950" s="50"/>
      <c r="E4950" s="73"/>
      <c r="F4950" s="45"/>
    </row>
    <row r="4951" spans="4:6" x14ac:dyDescent="0.2">
      <c r="D4951" s="50"/>
      <c r="E4951" s="73"/>
      <c r="F4951" s="45"/>
    </row>
    <row r="4952" spans="4:6" x14ac:dyDescent="0.2">
      <c r="D4952" s="50"/>
      <c r="E4952" s="73"/>
      <c r="F4952" s="45"/>
    </row>
    <row r="4953" spans="4:6" x14ac:dyDescent="0.2">
      <c r="D4953" s="50"/>
      <c r="E4953" s="73"/>
      <c r="F4953" s="45"/>
    </row>
    <row r="4954" spans="4:6" x14ac:dyDescent="0.2">
      <c r="D4954" s="50"/>
      <c r="E4954" s="73"/>
      <c r="F4954" s="45"/>
    </row>
    <row r="4955" spans="4:6" x14ac:dyDescent="0.2">
      <c r="D4955" s="50"/>
      <c r="E4955" s="73"/>
      <c r="F4955" s="45"/>
    </row>
    <row r="4956" spans="4:6" x14ac:dyDescent="0.2">
      <c r="D4956" s="50"/>
      <c r="E4956" s="73"/>
      <c r="F4956" s="45"/>
    </row>
    <row r="4957" spans="4:6" x14ac:dyDescent="0.2">
      <c r="D4957" s="50"/>
      <c r="E4957" s="73"/>
      <c r="F4957" s="45"/>
    </row>
    <row r="4958" spans="4:6" x14ac:dyDescent="0.2">
      <c r="D4958" s="50"/>
      <c r="E4958" s="73"/>
      <c r="F4958" s="45"/>
    </row>
    <row r="4959" spans="4:6" x14ac:dyDescent="0.2">
      <c r="D4959" s="50"/>
      <c r="E4959" s="73"/>
      <c r="F4959" s="45"/>
    </row>
    <row r="4960" spans="4:6" x14ac:dyDescent="0.2">
      <c r="D4960" s="50"/>
      <c r="E4960" s="73"/>
      <c r="F4960" s="45"/>
    </row>
    <row r="4961" spans="4:6" x14ac:dyDescent="0.2">
      <c r="D4961" s="50"/>
      <c r="E4961" s="73"/>
      <c r="F4961" s="45"/>
    </row>
    <row r="4962" spans="4:6" x14ac:dyDescent="0.2">
      <c r="D4962" s="50"/>
      <c r="E4962" s="73"/>
      <c r="F4962" s="45"/>
    </row>
    <row r="4963" spans="4:6" x14ac:dyDescent="0.2">
      <c r="D4963" s="50"/>
      <c r="E4963" s="73"/>
      <c r="F4963" s="45"/>
    </row>
    <row r="4964" spans="4:6" x14ac:dyDescent="0.2">
      <c r="D4964" s="50"/>
      <c r="E4964" s="73"/>
      <c r="F4964" s="45"/>
    </row>
    <row r="4965" spans="4:6" x14ac:dyDescent="0.2">
      <c r="D4965" s="50"/>
      <c r="E4965" s="73"/>
      <c r="F4965" s="45"/>
    </row>
    <row r="4966" spans="4:6" x14ac:dyDescent="0.2">
      <c r="D4966" s="50"/>
      <c r="E4966" s="73"/>
      <c r="F4966" s="45"/>
    </row>
    <row r="4967" spans="4:6" x14ac:dyDescent="0.2">
      <c r="D4967" s="50"/>
      <c r="E4967" s="73"/>
      <c r="F4967" s="45"/>
    </row>
    <row r="4968" spans="4:6" x14ac:dyDescent="0.2">
      <c r="D4968" s="50"/>
      <c r="E4968" s="73"/>
      <c r="F4968" s="45"/>
    </row>
    <row r="4969" spans="4:6" x14ac:dyDescent="0.2">
      <c r="D4969" s="50"/>
      <c r="E4969" s="73"/>
      <c r="F4969" s="45"/>
    </row>
    <row r="4970" spans="4:6" x14ac:dyDescent="0.2">
      <c r="D4970" s="50"/>
      <c r="E4970" s="73"/>
      <c r="F4970" s="45"/>
    </row>
    <row r="4971" spans="4:6" x14ac:dyDescent="0.2">
      <c r="D4971" s="50"/>
      <c r="E4971" s="73"/>
      <c r="F4971" s="45"/>
    </row>
    <row r="4972" spans="4:6" x14ac:dyDescent="0.2">
      <c r="D4972" s="50"/>
      <c r="E4972" s="73"/>
      <c r="F4972" s="45"/>
    </row>
    <row r="4973" spans="4:6" x14ac:dyDescent="0.2">
      <c r="D4973" s="50"/>
      <c r="E4973" s="73"/>
      <c r="F4973" s="45"/>
    </row>
    <row r="4974" spans="4:6" x14ac:dyDescent="0.2">
      <c r="D4974" s="50"/>
      <c r="E4974" s="73"/>
      <c r="F4974" s="45"/>
    </row>
    <row r="4975" spans="4:6" x14ac:dyDescent="0.2">
      <c r="D4975" s="50"/>
      <c r="E4975" s="73"/>
      <c r="F4975" s="45"/>
    </row>
    <row r="4976" spans="4:6" x14ac:dyDescent="0.2">
      <c r="D4976" s="50"/>
      <c r="E4976" s="73"/>
      <c r="F4976" s="45"/>
    </row>
    <row r="4977" spans="4:6" x14ac:dyDescent="0.2">
      <c r="D4977" s="50"/>
      <c r="E4977" s="73"/>
      <c r="F4977" s="45"/>
    </row>
    <row r="4978" spans="4:6" x14ac:dyDescent="0.2">
      <c r="D4978" s="50"/>
      <c r="E4978" s="73"/>
      <c r="F4978" s="45"/>
    </row>
    <row r="4979" spans="4:6" x14ac:dyDescent="0.2">
      <c r="D4979" s="50"/>
      <c r="E4979" s="73"/>
      <c r="F4979" s="45"/>
    </row>
    <row r="4980" spans="4:6" x14ac:dyDescent="0.2">
      <c r="D4980" s="50"/>
      <c r="E4980" s="73"/>
      <c r="F4980" s="45"/>
    </row>
    <row r="4981" spans="4:6" x14ac:dyDescent="0.2">
      <c r="D4981" s="50"/>
      <c r="E4981" s="73"/>
      <c r="F4981" s="45"/>
    </row>
    <row r="4982" spans="4:6" x14ac:dyDescent="0.2">
      <c r="D4982" s="50"/>
      <c r="E4982" s="73"/>
      <c r="F4982" s="45"/>
    </row>
    <row r="4983" spans="4:6" x14ac:dyDescent="0.2">
      <c r="D4983" s="50"/>
      <c r="E4983" s="73"/>
      <c r="F4983" s="45"/>
    </row>
    <row r="4984" spans="4:6" x14ac:dyDescent="0.2">
      <c r="D4984" s="50"/>
      <c r="E4984" s="73"/>
      <c r="F4984" s="45"/>
    </row>
    <row r="4985" spans="4:6" x14ac:dyDescent="0.2">
      <c r="D4985" s="50"/>
      <c r="E4985" s="73"/>
      <c r="F4985" s="45"/>
    </row>
    <row r="4986" spans="4:6" x14ac:dyDescent="0.2">
      <c r="D4986" s="50"/>
      <c r="E4986" s="73"/>
      <c r="F4986" s="45"/>
    </row>
    <row r="4987" spans="4:6" x14ac:dyDescent="0.2">
      <c r="D4987" s="50"/>
      <c r="E4987" s="73"/>
      <c r="F4987" s="45"/>
    </row>
    <row r="4988" spans="4:6" x14ac:dyDescent="0.2">
      <c r="D4988" s="50"/>
      <c r="E4988" s="73"/>
      <c r="F4988" s="45"/>
    </row>
    <row r="4989" spans="4:6" x14ac:dyDescent="0.2">
      <c r="D4989" s="50"/>
      <c r="E4989" s="73"/>
      <c r="F4989" s="45"/>
    </row>
    <row r="4990" spans="4:6" x14ac:dyDescent="0.2">
      <c r="D4990" s="50"/>
      <c r="E4990" s="73"/>
      <c r="F4990" s="45"/>
    </row>
    <row r="4991" spans="4:6" x14ac:dyDescent="0.2">
      <c r="D4991" s="50"/>
      <c r="E4991" s="73"/>
      <c r="F4991" s="45"/>
    </row>
    <row r="4992" spans="4:6" x14ac:dyDescent="0.2">
      <c r="D4992" s="50"/>
      <c r="E4992" s="73"/>
      <c r="F4992" s="45"/>
    </row>
    <row r="4993" spans="4:6" x14ac:dyDescent="0.2">
      <c r="D4993" s="50"/>
      <c r="E4993" s="73"/>
      <c r="F4993" s="45"/>
    </row>
    <row r="4994" spans="4:6" x14ac:dyDescent="0.2">
      <c r="D4994" s="50"/>
      <c r="E4994" s="73"/>
      <c r="F4994" s="45"/>
    </row>
    <row r="4995" spans="4:6" x14ac:dyDescent="0.2">
      <c r="D4995" s="50"/>
      <c r="E4995" s="73"/>
      <c r="F4995" s="45"/>
    </row>
    <row r="4996" spans="4:6" x14ac:dyDescent="0.2">
      <c r="D4996" s="50"/>
      <c r="E4996" s="73"/>
      <c r="F4996" s="45"/>
    </row>
    <row r="4997" spans="4:6" x14ac:dyDescent="0.2">
      <c r="D4997" s="50"/>
      <c r="E4997" s="73"/>
      <c r="F4997" s="45"/>
    </row>
    <row r="4998" spans="4:6" x14ac:dyDescent="0.2">
      <c r="D4998" s="50"/>
      <c r="E4998" s="73"/>
      <c r="F4998" s="45"/>
    </row>
    <row r="4999" spans="4:6" x14ac:dyDescent="0.2">
      <c r="D4999" s="50"/>
      <c r="E4999" s="73"/>
      <c r="F4999" s="45"/>
    </row>
    <row r="5000" spans="4:6" x14ac:dyDescent="0.2">
      <c r="D5000" s="50"/>
      <c r="E5000" s="73"/>
      <c r="F5000" s="45"/>
    </row>
    <row r="5001" spans="4:6" x14ac:dyDescent="0.2">
      <c r="D5001" s="50"/>
      <c r="E5001" s="73"/>
      <c r="F5001" s="45"/>
    </row>
    <row r="5002" spans="4:6" x14ac:dyDescent="0.2">
      <c r="D5002" s="50"/>
      <c r="E5002" s="73"/>
      <c r="F5002" s="45"/>
    </row>
    <row r="5003" spans="4:6" x14ac:dyDescent="0.2">
      <c r="D5003" s="50"/>
      <c r="E5003" s="73"/>
      <c r="F5003" s="45"/>
    </row>
    <row r="5004" spans="4:6" x14ac:dyDescent="0.2">
      <c r="D5004" s="50"/>
      <c r="E5004" s="73"/>
      <c r="F5004" s="45"/>
    </row>
    <row r="5005" spans="4:6" x14ac:dyDescent="0.2">
      <c r="D5005" s="50"/>
      <c r="E5005" s="73"/>
      <c r="F5005" s="45"/>
    </row>
    <row r="5006" spans="4:6" x14ac:dyDescent="0.2">
      <c r="D5006" s="50"/>
      <c r="E5006" s="73"/>
      <c r="F5006" s="45"/>
    </row>
    <row r="5007" spans="4:6" x14ac:dyDescent="0.2">
      <c r="D5007" s="50"/>
      <c r="E5007" s="73"/>
      <c r="F5007" s="45"/>
    </row>
    <row r="5008" spans="4:6" x14ac:dyDescent="0.2">
      <c r="D5008" s="50"/>
      <c r="E5008" s="73"/>
      <c r="F5008" s="45"/>
    </row>
    <row r="5009" spans="4:6" x14ac:dyDescent="0.2">
      <c r="D5009" s="50"/>
      <c r="E5009" s="73"/>
      <c r="F5009" s="45"/>
    </row>
    <row r="5010" spans="4:6" x14ac:dyDescent="0.2">
      <c r="D5010" s="50"/>
      <c r="E5010" s="73"/>
      <c r="F5010" s="45"/>
    </row>
    <row r="5011" spans="4:6" x14ac:dyDescent="0.2">
      <c r="D5011" s="50"/>
      <c r="E5011" s="73"/>
      <c r="F5011" s="45"/>
    </row>
    <row r="5012" spans="4:6" x14ac:dyDescent="0.2">
      <c r="D5012" s="50"/>
      <c r="E5012" s="73"/>
      <c r="F5012" s="45"/>
    </row>
    <row r="5013" spans="4:6" x14ac:dyDescent="0.2">
      <c r="D5013" s="50"/>
      <c r="E5013" s="73"/>
      <c r="F5013" s="45"/>
    </row>
    <row r="5014" spans="4:6" x14ac:dyDescent="0.2">
      <c r="D5014" s="50"/>
      <c r="E5014" s="73"/>
      <c r="F5014" s="45"/>
    </row>
    <row r="5015" spans="4:6" x14ac:dyDescent="0.2">
      <c r="D5015" s="50"/>
      <c r="E5015" s="73"/>
      <c r="F5015" s="45"/>
    </row>
    <row r="5016" spans="4:6" x14ac:dyDescent="0.2">
      <c r="D5016" s="50"/>
      <c r="E5016" s="73"/>
      <c r="F5016" s="45"/>
    </row>
    <row r="5017" spans="4:6" x14ac:dyDescent="0.2">
      <c r="D5017" s="50"/>
      <c r="E5017" s="73"/>
      <c r="F5017" s="45"/>
    </row>
    <row r="5018" spans="4:6" x14ac:dyDescent="0.2">
      <c r="D5018" s="50"/>
      <c r="E5018" s="73"/>
      <c r="F5018" s="45"/>
    </row>
    <row r="5019" spans="4:6" x14ac:dyDescent="0.2">
      <c r="D5019" s="50"/>
      <c r="E5019" s="73"/>
      <c r="F5019" s="45"/>
    </row>
    <row r="5020" spans="4:6" x14ac:dyDescent="0.2">
      <c r="D5020" s="50"/>
      <c r="E5020" s="73"/>
      <c r="F5020" s="45"/>
    </row>
    <row r="5021" spans="4:6" x14ac:dyDescent="0.2">
      <c r="D5021" s="50"/>
      <c r="E5021" s="73"/>
      <c r="F5021" s="45"/>
    </row>
    <row r="5022" spans="4:6" x14ac:dyDescent="0.2">
      <c r="D5022" s="50"/>
      <c r="E5022" s="73"/>
      <c r="F5022" s="45"/>
    </row>
    <row r="5023" spans="4:6" x14ac:dyDescent="0.2">
      <c r="D5023" s="50"/>
      <c r="E5023" s="73"/>
      <c r="F5023" s="45"/>
    </row>
    <row r="5024" spans="4:6" x14ac:dyDescent="0.2">
      <c r="D5024" s="50"/>
      <c r="E5024" s="73"/>
      <c r="F5024" s="45"/>
    </row>
    <row r="5025" spans="4:6" x14ac:dyDescent="0.2">
      <c r="D5025" s="50"/>
      <c r="E5025" s="73"/>
      <c r="F5025" s="45"/>
    </row>
    <row r="5026" spans="4:6" x14ac:dyDescent="0.2">
      <c r="D5026" s="50"/>
      <c r="E5026" s="73"/>
      <c r="F5026" s="45"/>
    </row>
    <row r="5027" spans="4:6" x14ac:dyDescent="0.2">
      <c r="D5027" s="50"/>
      <c r="E5027" s="73"/>
      <c r="F5027" s="45"/>
    </row>
    <row r="5028" spans="4:6" x14ac:dyDescent="0.2">
      <c r="D5028" s="50"/>
      <c r="E5028" s="73"/>
      <c r="F5028" s="45"/>
    </row>
    <row r="5029" spans="4:6" x14ac:dyDescent="0.2">
      <c r="D5029" s="50"/>
      <c r="E5029" s="73"/>
      <c r="F5029" s="45"/>
    </row>
    <row r="5030" spans="4:6" x14ac:dyDescent="0.2">
      <c r="D5030" s="50"/>
      <c r="E5030" s="73"/>
      <c r="F5030" s="45"/>
    </row>
    <row r="5031" spans="4:6" x14ac:dyDescent="0.2">
      <c r="D5031" s="50"/>
      <c r="E5031" s="73"/>
      <c r="F5031" s="45"/>
    </row>
    <row r="5032" spans="4:6" x14ac:dyDescent="0.2">
      <c r="D5032" s="50"/>
      <c r="E5032" s="73"/>
      <c r="F5032" s="45"/>
    </row>
    <row r="5033" spans="4:6" x14ac:dyDescent="0.2">
      <c r="D5033" s="50"/>
      <c r="E5033" s="73"/>
      <c r="F5033" s="45"/>
    </row>
    <row r="5034" spans="4:6" x14ac:dyDescent="0.2">
      <c r="D5034" s="50"/>
      <c r="E5034" s="73"/>
      <c r="F5034" s="45"/>
    </row>
    <row r="5035" spans="4:6" x14ac:dyDescent="0.2">
      <c r="D5035" s="50"/>
      <c r="E5035" s="73"/>
      <c r="F5035" s="45"/>
    </row>
    <row r="5036" spans="4:6" x14ac:dyDescent="0.2">
      <c r="D5036" s="50"/>
      <c r="E5036" s="73"/>
      <c r="F5036" s="45"/>
    </row>
    <row r="5037" spans="4:6" x14ac:dyDescent="0.2">
      <c r="D5037" s="50"/>
      <c r="E5037" s="73"/>
      <c r="F5037" s="45"/>
    </row>
    <row r="5038" spans="4:6" x14ac:dyDescent="0.2">
      <c r="D5038" s="50"/>
      <c r="E5038" s="73"/>
      <c r="F5038" s="45"/>
    </row>
    <row r="5039" spans="4:6" x14ac:dyDescent="0.2">
      <c r="D5039" s="50"/>
      <c r="E5039" s="73"/>
      <c r="F5039" s="45"/>
    </row>
    <row r="5040" spans="4:6" x14ac:dyDescent="0.2">
      <c r="D5040" s="50"/>
      <c r="E5040" s="73"/>
      <c r="F5040" s="45"/>
    </row>
    <row r="5041" spans="4:6" x14ac:dyDescent="0.2">
      <c r="D5041" s="50"/>
      <c r="E5041" s="73"/>
      <c r="F5041" s="45"/>
    </row>
    <row r="5042" spans="4:6" x14ac:dyDescent="0.2">
      <c r="D5042" s="50"/>
      <c r="E5042" s="73"/>
      <c r="F5042" s="45"/>
    </row>
    <row r="5043" spans="4:6" x14ac:dyDescent="0.2">
      <c r="D5043" s="50"/>
      <c r="E5043" s="73"/>
      <c r="F5043" s="45"/>
    </row>
    <row r="5044" spans="4:6" x14ac:dyDescent="0.2">
      <c r="D5044" s="50"/>
      <c r="E5044" s="73"/>
      <c r="F5044" s="45"/>
    </row>
    <row r="5045" spans="4:6" x14ac:dyDescent="0.2">
      <c r="D5045" s="50"/>
      <c r="E5045" s="73"/>
      <c r="F5045" s="45"/>
    </row>
    <row r="5046" spans="4:6" x14ac:dyDescent="0.2">
      <c r="D5046" s="50"/>
      <c r="E5046" s="73"/>
      <c r="F5046" s="45"/>
    </row>
    <row r="5047" spans="4:6" x14ac:dyDescent="0.2">
      <c r="D5047" s="50"/>
      <c r="E5047" s="73"/>
      <c r="F5047" s="45"/>
    </row>
    <row r="5048" spans="4:6" x14ac:dyDescent="0.2">
      <c r="D5048" s="50"/>
      <c r="E5048" s="73"/>
      <c r="F5048" s="45"/>
    </row>
    <row r="5049" spans="4:6" x14ac:dyDescent="0.2">
      <c r="D5049" s="50"/>
      <c r="E5049" s="73"/>
      <c r="F5049" s="45"/>
    </row>
    <row r="5050" spans="4:6" x14ac:dyDescent="0.2">
      <c r="D5050" s="50"/>
      <c r="E5050" s="73"/>
      <c r="F5050" s="45"/>
    </row>
    <row r="5051" spans="4:6" x14ac:dyDescent="0.2">
      <c r="D5051" s="50"/>
      <c r="E5051" s="73"/>
      <c r="F5051" s="45"/>
    </row>
    <row r="5052" spans="4:6" x14ac:dyDescent="0.2">
      <c r="D5052" s="50"/>
      <c r="E5052" s="73"/>
      <c r="F5052" s="45"/>
    </row>
    <row r="5053" spans="4:6" x14ac:dyDescent="0.2">
      <c r="D5053" s="50"/>
      <c r="E5053" s="73"/>
      <c r="F5053" s="45"/>
    </row>
    <row r="5054" spans="4:6" x14ac:dyDescent="0.2">
      <c r="D5054" s="50"/>
      <c r="E5054" s="73"/>
      <c r="F5054" s="45"/>
    </row>
    <row r="5055" spans="4:6" x14ac:dyDescent="0.2">
      <c r="D5055" s="50"/>
      <c r="E5055" s="73"/>
      <c r="F5055" s="45"/>
    </row>
    <row r="5056" spans="4:6" x14ac:dyDescent="0.2">
      <c r="D5056" s="50"/>
      <c r="E5056" s="73"/>
      <c r="F5056" s="45"/>
    </row>
    <row r="5057" spans="4:6" x14ac:dyDescent="0.2">
      <c r="D5057" s="50"/>
      <c r="E5057" s="73"/>
      <c r="F5057" s="45"/>
    </row>
    <row r="5058" spans="4:6" x14ac:dyDescent="0.2">
      <c r="D5058" s="50"/>
      <c r="E5058" s="73"/>
      <c r="F5058" s="45"/>
    </row>
    <row r="5059" spans="4:6" x14ac:dyDescent="0.2">
      <c r="D5059" s="50"/>
      <c r="E5059" s="73"/>
      <c r="F5059" s="45"/>
    </row>
    <row r="5060" spans="4:6" x14ac:dyDescent="0.2">
      <c r="D5060" s="50"/>
      <c r="E5060" s="73"/>
      <c r="F5060" s="45"/>
    </row>
    <row r="5061" spans="4:6" x14ac:dyDescent="0.2">
      <c r="D5061" s="50"/>
      <c r="E5061" s="73"/>
      <c r="F5061" s="45"/>
    </row>
    <row r="5062" spans="4:6" x14ac:dyDescent="0.2">
      <c r="D5062" s="50"/>
      <c r="E5062" s="73"/>
      <c r="F5062" s="45"/>
    </row>
    <row r="5063" spans="4:6" x14ac:dyDescent="0.2">
      <c r="D5063" s="50"/>
      <c r="E5063" s="73"/>
      <c r="F5063" s="45"/>
    </row>
    <row r="5064" spans="4:6" x14ac:dyDescent="0.2">
      <c r="D5064" s="50"/>
      <c r="E5064" s="73"/>
      <c r="F5064" s="45"/>
    </row>
    <row r="5065" spans="4:6" x14ac:dyDescent="0.2">
      <c r="D5065" s="50"/>
      <c r="E5065" s="73"/>
      <c r="F5065" s="45"/>
    </row>
    <row r="5066" spans="4:6" x14ac:dyDescent="0.2">
      <c r="D5066" s="50"/>
      <c r="E5066" s="73"/>
      <c r="F5066" s="45"/>
    </row>
    <row r="5067" spans="4:6" x14ac:dyDescent="0.2">
      <c r="D5067" s="50"/>
      <c r="E5067" s="73"/>
      <c r="F5067" s="45"/>
    </row>
    <row r="5068" spans="4:6" x14ac:dyDescent="0.2">
      <c r="D5068" s="50"/>
      <c r="E5068" s="73"/>
      <c r="F5068" s="45"/>
    </row>
    <row r="5069" spans="4:6" x14ac:dyDescent="0.2">
      <c r="D5069" s="50"/>
      <c r="E5069" s="73"/>
      <c r="F5069" s="45"/>
    </row>
    <row r="5070" spans="4:6" x14ac:dyDescent="0.2">
      <c r="D5070" s="50"/>
      <c r="E5070" s="73"/>
      <c r="F5070" s="45"/>
    </row>
    <row r="5071" spans="4:6" x14ac:dyDescent="0.2">
      <c r="D5071" s="50"/>
      <c r="E5071" s="73"/>
      <c r="F5071" s="45"/>
    </row>
    <row r="5072" spans="4:6" x14ac:dyDescent="0.2">
      <c r="D5072" s="50"/>
      <c r="E5072" s="73"/>
      <c r="F5072" s="45"/>
    </row>
    <row r="5073" spans="4:6" x14ac:dyDescent="0.2">
      <c r="D5073" s="50"/>
      <c r="E5073" s="73"/>
      <c r="F5073" s="45"/>
    </row>
    <row r="5074" spans="4:6" x14ac:dyDescent="0.2">
      <c r="D5074" s="50"/>
      <c r="E5074" s="73"/>
      <c r="F5074" s="45"/>
    </row>
    <row r="5075" spans="4:6" x14ac:dyDescent="0.2">
      <c r="D5075" s="50"/>
      <c r="E5075" s="73"/>
      <c r="F5075" s="45"/>
    </row>
    <row r="5076" spans="4:6" x14ac:dyDescent="0.2">
      <c r="D5076" s="50"/>
      <c r="E5076" s="73"/>
      <c r="F5076" s="45"/>
    </row>
    <row r="5077" spans="4:6" x14ac:dyDescent="0.2">
      <c r="D5077" s="50"/>
      <c r="E5077" s="73"/>
      <c r="F5077" s="45"/>
    </row>
    <row r="5078" spans="4:6" x14ac:dyDescent="0.2">
      <c r="D5078" s="50"/>
      <c r="E5078" s="73"/>
      <c r="F5078" s="45"/>
    </row>
    <row r="5079" spans="4:6" x14ac:dyDescent="0.2">
      <c r="D5079" s="50"/>
      <c r="E5079" s="73"/>
      <c r="F5079" s="45"/>
    </row>
    <row r="5080" spans="4:6" x14ac:dyDescent="0.2">
      <c r="D5080" s="50"/>
      <c r="E5080" s="73"/>
      <c r="F5080" s="45"/>
    </row>
    <row r="5081" spans="4:6" x14ac:dyDescent="0.2">
      <c r="D5081" s="50"/>
      <c r="E5081" s="73"/>
      <c r="F5081" s="45"/>
    </row>
    <row r="5082" spans="4:6" x14ac:dyDescent="0.2">
      <c r="D5082" s="50"/>
      <c r="E5082" s="73"/>
      <c r="F5082" s="45"/>
    </row>
    <row r="5083" spans="4:6" x14ac:dyDescent="0.2">
      <c r="D5083" s="50"/>
      <c r="E5083" s="73"/>
      <c r="F5083" s="45"/>
    </row>
    <row r="5084" spans="4:6" x14ac:dyDescent="0.2">
      <c r="D5084" s="50"/>
      <c r="E5084" s="73"/>
      <c r="F5084" s="45"/>
    </row>
    <row r="5085" spans="4:6" x14ac:dyDescent="0.2">
      <c r="D5085" s="50"/>
      <c r="E5085" s="73"/>
      <c r="F5085" s="45"/>
    </row>
    <row r="5086" spans="4:6" x14ac:dyDescent="0.2">
      <c r="D5086" s="50"/>
      <c r="E5086" s="73"/>
      <c r="F5086" s="45"/>
    </row>
    <row r="5087" spans="4:6" x14ac:dyDescent="0.2">
      <c r="D5087" s="50"/>
      <c r="E5087" s="73"/>
      <c r="F5087" s="45"/>
    </row>
    <row r="5088" spans="4:6" x14ac:dyDescent="0.2">
      <c r="D5088" s="50"/>
      <c r="E5088" s="73"/>
      <c r="F5088" s="45"/>
    </row>
    <row r="5089" spans="4:6" x14ac:dyDescent="0.2">
      <c r="D5089" s="50"/>
      <c r="E5089" s="73"/>
      <c r="F5089" s="45"/>
    </row>
    <row r="5090" spans="4:6" x14ac:dyDescent="0.2">
      <c r="D5090" s="50"/>
      <c r="E5090" s="73"/>
      <c r="F5090" s="45"/>
    </row>
    <row r="5091" spans="4:6" x14ac:dyDescent="0.2">
      <c r="D5091" s="50"/>
      <c r="E5091" s="73"/>
      <c r="F5091" s="45"/>
    </row>
    <row r="5092" spans="4:6" x14ac:dyDescent="0.2">
      <c r="D5092" s="50"/>
      <c r="E5092" s="73"/>
      <c r="F5092" s="45"/>
    </row>
    <row r="5093" spans="4:6" x14ac:dyDescent="0.2">
      <c r="D5093" s="50"/>
      <c r="E5093" s="73"/>
      <c r="F5093" s="45"/>
    </row>
    <row r="5094" spans="4:6" x14ac:dyDescent="0.2">
      <c r="D5094" s="50"/>
      <c r="E5094" s="73"/>
      <c r="F5094" s="45"/>
    </row>
    <row r="5095" spans="4:6" x14ac:dyDescent="0.2">
      <c r="D5095" s="50"/>
      <c r="E5095" s="73"/>
      <c r="F5095" s="45"/>
    </row>
    <row r="5096" spans="4:6" x14ac:dyDescent="0.2">
      <c r="D5096" s="50"/>
      <c r="E5096" s="73"/>
      <c r="F5096" s="45"/>
    </row>
    <row r="5097" spans="4:6" x14ac:dyDescent="0.2">
      <c r="D5097" s="50"/>
      <c r="E5097" s="73"/>
      <c r="F5097" s="45"/>
    </row>
    <row r="5098" spans="4:6" x14ac:dyDescent="0.2">
      <c r="D5098" s="50"/>
      <c r="E5098" s="73"/>
      <c r="F5098" s="45"/>
    </row>
    <row r="5099" spans="4:6" x14ac:dyDescent="0.2">
      <c r="D5099" s="50"/>
      <c r="E5099" s="73"/>
      <c r="F5099" s="45"/>
    </row>
    <row r="5100" spans="4:6" x14ac:dyDescent="0.2">
      <c r="D5100" s="50"/>
      <c r="E5100" s="73"/>
      <c r="F5100" s="45"/>
    </row>
    <row r="5101" spans="4:6" x14ac:dyDescent="0.2">
      <c r="D5101" s="50"/>
      <c r="E5101" s="73"/>
      <c r="F5101" s="45"/>
    </row>
    <row r="5102" spans="4:6" x14ac:dyDescent="0.2">
      <c r="D5102" s="50"/>
      <c r="E5102" s="73"/>
      <c r="F5102" s="45"/>
    </row>
    <row r="5103" spans="4:6" x14ac:dyDescent="0.2">
      <c r="D5103" s="50"/>
      <c r="E5103" s="73"/>
      <c r="F5103" s="45"/>
    </row>
    <row r="5104" spans="4:6" x14ac:dyDescent="0.2">
      <c r="D5104" s="50"/>
      <c r="E5104" s="73"/>
      <c r="F5104" s="45"/>
    </row>
    <row r="5105" spans="4:6" x14ac:dyDescent="0.2">
      <c r="D5105" s="50"/>
      <c r="E5105" s="73"/>
      <c r="F5105" s="45"/>
    </row>
    <row r="5106" spans="4:6" x14ac:dyDescent="0.2">
      <c r="D5106" s="50"/>
      <c r="E5106" s="73"/>
      <c r="F5106" s="45"/>
    </row>
    <row r="5107" spans="4:6" x14ac:dyDescent="0.2">
      <c r="D5107" s="50"/>
      <c r="E5107" s="73"/>
      <c r="F5107" s="45"/>
    </row>
    <row r="5108" spans="4:6" x14ac:dyDescent="0.2">
      <c r="D5108" s="50"/>
      <c r="E5108" s="73"/>
      <c r="F5108" s="45"/>
    </row>
    <row r="5109" spans="4:6" x14ac:dyDescent="0.2">
      <c r="D5109" s="50"/>
      <c r="E5109" s="73"/>
      <c r="F5109" s="45"/>
    </row>
    <row r="5110" spans="4:6" x14ac:dyDescent="0.2">
      <c r="D5110" s="50"/>
      <c r="E5110" s="73"/>
      <c r="F5110" s="45"/>
    </row>
    <row r="5111" spans="4:6" x14ac:dyDescent="0.2">
      <c r="D5111" s="50"/>
      <c r="E5111" s="73"/>
      <c r="F5111" s="45"/>
    </row>
    <row r="5112" spans="4:6" x14ac:dyDescent="0.2">
      <c r="D5112" s="50"/>
      <c r="E5112" s="73"/>
      <c r="F5112" s="45"/>
    </row>
    <row r="5113" spans="4:6" x14ac:dyDescent="0.2">
      <c r="D5113" s="50"/>
      <c r="E5113" s="73"/>
      <c r="F5113" s="45"/>
    </row>
    <row r="5114" spans="4:6" x14ac:dyDescent="0.2">
      <c r="D5114" s="50"/>
      <c r="E5114" s="73"/>
      <c r="F5114" s="45"/>
    </row>
    <row r="5115" spans="4:6" x14ac:dyDescent="0.2">
      <c r="D5115" s="50"/>
      <c r="E5115" s="73"/>
      <c r="F5115" s="45"/>
    </row>
    <row r="5116" spans="4:6" x14ac:dyDescent="0.2">
      <c r="D5116" s="50"/>
      <c r="E5116" s="73"/>
      <c r="F5116" s="45"/>
    </row>
    <row r="5117" spans="4:6" x14ac:dyDescent="0.2">
      <c r="D5117" s="50"/>
      <c r="E5117" s="73"/>
      <c r="F5117" s="45"/>
    </row>
    <row r="5118" spans="4:6" x14ac:dyDescent="0.2">
      <c r="D5118" s="50"/>
      <c r="E5118" s="73"/>
      <c r="F5118" s="45"/>
    </row>
    <row r="5119" spans="4:6" x14ac:dyDescent="0.2">
      <c r="D5119" s="50"/>
      <c r="E5119" s="73"/>
      <c r="F5119" s="45"/>
    </row>
    <row r="5120" spans="4:6" x14ac:dyDescent="0.2">
      <c r="D5120" s="50"/>
      <c r="E5120" s="73"/>
      <c r="F5120" s="45"/>
    </row>
    <row r="5121" spans="4:6" x14ac:dyDescent="0.2">
      <c r="D5121" s="50"/>
      <c r="E5121" s="73"/>
      <c r="F5121" s="45"/>
    </row>
    <row r="5122" spans="4:6" x14ac:dyDescent="0.2">
      <c r="D5122" s="50"/>
      <c r="E5122" s="73"/>
      <c r="F5122" s="45"/>
    </row>
    <row r="5123" spans="4:6" x14ac:dyDescent="0.2">
      <c r="D5123" s="50"/>
      <c r="E5123" s="73"/>
      <c r="F5123" s="45"/>
    </row>
    <row r="5124" spans="4:6" x14ac:dyDescent="0.2">
      <c r="D5124" s="50"/>
      <c r="E5124" s="73"/>
      <c r="F5124" s="45"/>
    </row>
    <row r="5125" spans="4:6" x14ac:dyDescent="0.2">
      <c r="D5125" s="50"/>
      <c r="E5125" s="73"/>
      <c r="F5125" s="45"/>
    </row>
    <row r="5126" spans="4:6" x14ac:dyDescent="0.2">
      <c r="D5126" s="50"/>
      <c r="E5126" s="73"/>
      <c r="F5126" s="45"/>
    </row>
    <row r="5127" spans="4:6" x14ac:dyDescent="0.2">
      <c r="D5127" s="50"/>
      <c r="E5127" s="73"/>
      <c r="F5127" s="45"/>
    </row>
    <row r="5128" spans="4:6" x14ac:dyDescent="0.2">
      <c r="D5128" s="50"/>
      <c r="E5128" s="73"/>
      <c r="F5128" s="45"/>
    </row>
    <row r="5129" spans="4:6" x14ac:dyDescent="0.2">
      <c r="D5129" s="50"/>
      <c r="E5129" s="73"/>
      <c r="F5129" s="45"/>
    </row>
    <row r="5130" spans="4:6" x14ac:dyDescent="0.2">
      <c r="D5130" s="50"/>
      <c r="E5130" s="73"/>
      <c r="F5130" s="45"/>
    </row>
    <row r="5131" spans="4:6" x14ac:dyDescent="0.2">
      <c r="D5131" s="50"/>
      <c r="E5131" s="73"/>
      <c r="F5131" s="45"/>
    </row>
    <row r="5132" spans="4:6" x14ac:dyDescent="0.2">
      <c r="D5132" s="50"/>
      <c r="E5132" s="73"/>
      <c r="F5132" s="45"/>
    </row>
    <row r="5133" spans="4:6" x14ac:dyDescent="0.2">
      <c r="D5133" s="50"/>
      <c r="E5133" s="73"/>
      <c r="F5133" s="45"/>
    </row>
    <row r="5134" spans="4:6" x14ac:dyDescent="0.2">
      <c r="D5134" s="50"/>
      <c r="E5134" s="73"/>
      <c r="F5134" s="45"/>
    </row>
    <row r="5135" spans="4:6" x14ac:dyDescent="0.2">
      <c r="D5135" s="50"/>
      <c r="E5135" s="73"/>
      <c r="F5135" s="45"/>
    </row>
    <row r="5136" spans="4:6" x14ac:dyDescent="0.2">
      <c r="D5136" s="50"/>
      <c r="E5136" s="73"/>
      <c r="F5136" s="45"/>
    </row>
    <row r="5137" spans="4:6" x14ac:dyDescent="0.2">
      <c r="D5137" s="50"/>
      <c r="E5137" s="73"/>
      <c r="F5137" s="45"/>
    </row>
    <row r="5138" spans="4:6" x14ac:dyDescent="0.2">
      <c r="D5138" s="50"/>
      <c r="E5138" s="73"/>
      <c r="F5138" s="45"/>
    </row>
    <row r="5139" spans="4:6" x14ac:dyDescent="0.2">
      <c r="D5139" s="50"/>
      <c r="E5139" s="73"/>
      <c r="F5139" s="45"/>
    </row>
    <row r="5140" spans="4:6" x14ac:dyDescent="0.2">
      <c r="D5140" s="50"/>
      <c r="E5140" s="73"/>
      <c r="F5140" s="45"/>
    </row>
    <row r="5141" spans="4:6" x14ac:dyDescent="0.2">
      <c r="D5141" s="50"/>
      <c r="E5141" s="73"/>
      <c r="F5141" s="45"/>
    </row>
    <row r="5142" spans="4:6" x14ac:dyDescent="0.2">
      <c r="D5142" s="50"/>
      <c r="E5142" s="73"/>
      <c r="F5142" s="45"/>
    </row>
    <row r="5143" spans="4:6" x14ac:dyDescent="0.2">
      <c r="D5143" s="50"/>
      <c r="E5143" s="73"/>
      <c r="F5143" s="45"/>
    </row>
    <row r="5144" spans="4:6" x14ac:dyDescent="0.2">
      <c r="D5144" s="50"/>
      <c r="E5144" s="73"/>
      <c r="F5144" s="45"/>
    </row>
    <row r="5145" spans="4:6" x14ac:dyDescent="0.2">
      <c r="D5145" s="50"/>
      <c r="E5145" s="73"/>
      <c r="F5145" s="45"/>
    </row>
    <row r="5146" spans="4:6" x14ac:dyDescent="0.2">
      <c r="D5146" s="50"/>
      <c r="E5146" s="73"/>
      <c r="F5146" s="45"/>
    </row>
    <row r="5147" spans="4:6" x14ac:dyDescent="0.2">
      <c r="D5147" s="50"/>
      <c r="E5147" s="73"/>
      <c r="F5147" s="45"/>
    </row>
    <row r="5148" spans="4:6" x14ac:dyDescent="0.2">
      <c r="D5148" s="50"/>
      <c r="E5148" s="73"/>
      <c r="F5148" s="45"/>
    </row>
    <row r="5149" spans="4:6" x14ac:dyDescent="0.2">
      <c r="D5149" s="50"/>
      <c r="E5149" s="73"/>
      <c r="F5149" s="45"/>
    </row>
    <row r="5150" spans="4:6" x14ac:dyDescent="0.2">
      <c r="D5150" s="50"/>
      <c r="E5150" s="73"/>
      <c r="F5150" s="45"/>
    </row>
    <row r="5151" spans="4:6" x14ac:dyDescent="0.2">
      <c r="D5151" s="50"/>
      <c r="E5151" s="73"/>
      <c r="F5151" s="45"/>
    </row>
    <row r="5152" spans="4:6" x14ac:dyDescent="0.2">
      <c r="D5152" s="50"/>
      <c r="E5152" s="73"/>
      <c r="F5152" s="45"/>
    </row>
    <row r="5153" spans="4:6" x14ac:dyDescent="0.2">
      <c r="D5153" s="50"/>
      <c r="E5153" s="73"/>
      <c r="F5153" s="45"/>
    </row>
    <row r="5154" spans="4:6" x14ac:dyDescent="0.2">
      <c r="D5154" s="50"/>
      <c r="E5154" s="73"/>
      <c r="F5154" s="45"/>
    </row>
    <row r="5155" spans="4:6" x14ac:dyDescent="0.2">
      <c r="D5155" s="50"/>
      <c r="E5155" s="73"/>
      <c r="F5155" s="45"/>
    </row>
    <row r="5156" spans="4:6" x14ac:dyDescent="0.2">
      <c r="D5156" s="50"/>
      <c r="E5156" s="73"/>
      <c r="F5156" s="45"/>
    </row>
    <row r="5157" spans="4:6" x14ac:dyDescent="0.2">
      <c r="D5157" s="50"/>
      <c r="E5157" s="73"/>
      <c r="F5157" s="45"/>
    </row>
    <row r="5158" spans="4:6" x14ac:dyDescent="0.2">
      <c r="D5158" s="50"/>
      <c r="E5158" s="73"/>
      <c r="F5158" s="45"/>
    </row>
    <row r="5159" spans="4:6" x14ac:dyDescent="0.2">
      <c r="D5159" s="50"/>
      <c r="E5159" s="73"/>
      <c r="F5159" s="45"/>
    </row>
    <row r="5160" spans="4:6" x14ac:dyDescent="0.2">
      <c r="D5160" s="50"/>
      <c r="E5160" s="73"/>
      <c r="F5160" s="45"/>
    </row>
    <row r="5161" spans="4:6" x14ac:dyDescent="0.2">
      <c r="D5161" s="50"/>
      <c r="E5161" s="73"/>
      <c r="F5161" s="45"/>
    </row>
    <row r="5162" spans="4:6" x14ac:dyDescent="0.2">
      <c r="D5162" s="50"/>
      <c r="E5162" s="73"/>
      <c r="F5162" s="45"/>
    </row>
    <row r="5163" spans="4:6" x14ac:dyDescent="0.2">
      <c r="D5163" s="50"/>
      <c r="E5163" s="73"/>
      <c r="F5163" s="45"/>
    </row>
    <row r="5164" spans="4:6" x14ac:dyDescent="0.2">
      <c r="D5164" s="50"/>
      <c r="E5164" s="73"/>
      <c r="F5164" s="45"/>
    </row>
    <row r="5165" spans="4:6" x14ac:dyDescent="0.2">
      <c r="D5165" s="50"/>
      <c r="E5165" s="73"/>
      <c r="F5165" s="45"/>
    </row>
    <row r="5166" spans="4:6" x14ac:dyDescent="0.2">
      <c r="D5166" s="50"/>
      <c r="E5166" s="73"/>
      <c r="F5166" s="45"/>
    </row>
    <row r="5167" spans="4:6" x14ac:dyDescent="0.2">
      <c r="D5167" s="50"/>
      <c r="E5167" s="73"/>
      <c r="F5167" s="45"/>
    </row>
    <row r="5168" spans="4:6" x14ac:dyDescent="0.2">
      <c r="D5168" s="50"/>
      <c r="E5168" s="73"/>
      <c r="F5168" s="45"/>
    </row>
    <row r="5169" spans="4:6" x14ac:dyDescent="0.2">
      <c r="D5169" s="50"/>
      <c r="E5169" s="73"/>
      <c r="F5169" s="45"/>
    </row>
    <row r="5170" spans="4:6" x14ac:dyDescent="0.2">
      <c r="D5170" s="50"/>
      <c r="E5170" s="73"/>
      <c r="F5170" s="45"/>
    </row>
    <row r="5171" spans="4:6" x14ac:dyDescent="0.2">
      <c r="D5171" s="50"/>
      <c r="E5171" s="73"/>
      <c r="F5171" s="45"/>
    </row>
    <row r="5172" spans="4:6" x14ac:dyDescent="0.2">
      <c r="D5172" s="50"/>
      <c r="E5172" s="73"/>
      <c r="F5172" s="45"/>
    </row>
    <row r="5173" spans="4:6" x14ac:dyDescent="0.2">
      <c r="D5173" s="50"/>
      <c r="E5173" s="73"/>
      <c r="F5173" s="45"/>
    </row>
    <row r="5174" spans="4:6" x14ac:dyDescent="0.2">
      <c r="D5174" s="50"/>
      <c r="E5174" s="73"/>
      <c r="F5174" s="45"/>
    </row>
    <row r="5175" spans="4:6" x14ac:dyDescent="0.2">
      <c r="D5175" s="50"/>
      <c r="E5175" s="73"/>
      <c r="F5175" s="45"/>
    </row>
    <row r="5176" spans="4:6" x14ac:dyDescent="0.2">
      <c r="D5176" s="50"/>
      <c r="E5176" s="73"/>
      <c r="F5176" s="45"/>
    </row>
    <row r="5177" spans="4:6" x14ac:dyDescent="0.2">
      <c r="D5177" s="50"/>
      <c r="E5177" s="73"/>
      <c r="F5177" s="45"/>
    </row>
    <row r="5178" spans="4:6" x14ac:dyDescent="0.2">
      <c r="D5178" s="50"/>
      <c r="E5178" s="73"/>
      <c r="F5178" s="45"/>
    </row>
    <row r="5179" spans="4:6" x14ac:dyDescent="0.2">
      <c r="D5179" s="50"/>
      <c r="E5179" s="73"/>
      <c r="F5179" s="45"/>
    </row>
    <row r="5180" spans="4:6" x14ac:dyDescent="0.2">
      <c r="D5180" s="50"/>
      <c r="E5180" s="73"/>
      <c r="F5180" s="45"/>
    </row>
    <row r="5181" spans="4:6" x14ac:dyDescent="0.2">
      <c r="D5181" s="50"/>
      <c r="E5181" s="73"/>
      <c r="F5181" s="45"/>
    </row>
    <row r="5182" spans="4:6" x14ac:dyDescent="0.2">
      <c r="D5182" s="50"/>
      <c r="E5182" s="73"/>
      <c r="F5182" s="45"/>
    </row>
    <row r="5183" spans="4:6" x14ac:dyDescent="0.2">
      <c r="D5183" s="50"/>
      <c r="E5183" s="73"/>
      <c r="F5183" s="45"/>
    </row>
    <row r="5184" spans="4:6" x14ac:dyDescent="0.2">
      <c r="D5184" s="50"/>
      <c r="E5184" s="73"/>
      <c r="F5184" s="45"/>
    </row>
    <row r="5185" spans="4:6" x14ac:dyDescent="0.2">
      <c r="D5185" s="50"/>
      <c r="E5185" s="73"/>
      <c r="F5185" s="45"/>
    </row>
    <row r="5186" spans="4:6" x14ac:dyDescent="0.2">
      <c r="D5186" s="50"/>
      <c r="E5186" s="73"/>
      <c r="F5186" s="45"/>
    </row>
    <row r="5187" spans="4:6" x14ac:dyDescent="0.2">
      <c r="D5187" s="50"/>
      <c r="E5187" s="73"/>
      <c r="F5187" s="45"/>
    </row>
    <row r="5188" spans="4:6" x14ac:dyDescent="0.2">
      <c r="D5188" s="50"/>
      <c r="E5188" s="73"/>
      <c r="F5188" s="45"/>
    </row>
    <row r="5189" spans="4:6" x14ac:dyDescent="0.2">
      <c r="D5189" s="50"/>
      <c r="E5189" s="73"/>
      <c r="F5189" s="45"/>
    </row>
    <row r="5190" spans="4:6" x14ac:dyDescent="0.2">
      <c r="D5190" s="50"/>
      <c r="E5190" s="73"/>
      <c r="F5190" s="45"/>
    </row>
    <row r="5191" spans="4:6" x14ac:dyDescent="0.2">
      <c r="D5191" s="50"/>
      <c r="E5191" s="73"/>
      <c r="F5191" s="45"/>
    </row>
    <row r="5192" spans="4:6" x14ac:dyDescent="0.2">
      <c r="D5192" s="50"/>
      <c r="E5192" s="73"/>
      <c r="F5192" s="45"/>
    </row>
    <row r="5193" spans="4:6" x14ac:dyDescent="0.2">
      <c r="D5193" s="50"/>
      <c r="E5193" s="73"/>
      <c r="F5193" s="45"/>
    </row>
    <row r="5194" spans="4:6" x14ac:dyDescent="0.2">
      <c r="D5194" s="50"/>
      <c r="E5194" s="73"/>
      <c r="F5194" s="45"/>
    </row>
    <row r="5195" spans="4:6" x14ac:dyDescent="0.2">
      <c r="D5195" s="50"/>
      <c r="E5195" s="73"/>
      <c r="F5195" s="45"/>
    </row>
    <row r="5196" spans="4:6" x14ac:dyDescent="0.2">
      <c r="D5196" s="50"/>
      <c r="E5196" s="73"/>
      <c r="F5196" s="45"/>
    </row>
    <row r="5197" spans="4:6" x14ac:dyDescent="0.2">
      <c r="D5197" s="50"/>
      <c r="E5197" s="73"/>
      <c r="F5197" s="45"/>
    </row>
    <row r="5198" spans="4:6" x14ac:dyDescent="0.2">
      <c r="D5198" s="50"/>
      <c r="E5198" s="73"/>
      <c r="F5198" s="45"/>
    </row>
    <row r="5199" spans="4:6" x14ac:dyDescent="0.2">
      <c r="D5199" s="50"/>
      <c r="E5199" s="73"/>
      <c r="F5199" s="45"/>
    </row>
    <row r="5200" spans="4:6" x14ac:dyDescent="0.2">
      <c r="D5200" s="50"/>
      <c r="E5200" s="73"/>
      <c r="F5200" s="45"/>
    </row>
    <row r="5201" spans="4:6" x14ac:dyDescent="0.2">
      <c r="D5201" s="50"/>
      <c r="E5201" s="73"/>
      <c r="F5201" s="45"/>
    </row>
    <row r="5202" spans="4:6" x14ac:dyDescent="0.2">
      <c r="D5202" s="50"/>
      <c r="E5202" s="73"/>
      <c r="F5202" s="45"/>
    </row>
    <row r="5203" spans="4:6" x14ac:dyDescent="0.2">
      <c r="D5203" s="50"/>
      <c r="E5203" s="73"/>
      <c r="F5203" s="45"/>
    </row>
    <row r="5204" spans="4:6" x14ac:dyDescent="0.2">
      <c r="D5204" s="50"/>
      <c r="E5204" s="73"/>
      <c r="F5204" s="45"/>
    </row>
    <row r="5205" spans="4:6" x14ac:dyDescent="0.2">
      <c r="D5205" s="50"/>
      <c r="E5205" s="73"/>
      <c r="F5205" s="45"/>
    </row>
    <row r="5206" spans="4:6" x14ac:dyDescent="0.2">
      <c r="D5206" s="50"/>
      <c r="E5206" s="73"/>
      <c r="F5206" s="45"/>
    </row>
    <row r="5207" spans="4:6" x14ac:dyDescent="0.2">
      <c r="D5207" s="50"/>
      <c r="E5207" s="73"/>
      <c r="F5207" s="45"/>
    </row>
    <row r="5208" spans="4:6" x14ac:dyDescent="0.2">
      <c r="D5208" s="50"/>
      <c r="E5208" s="73"/>
      <c r="F5208" s="45"/>
    </row>
    <row r="5209" spans="4:6" x14ac:dyDescent="0.2">
      <c r="D5209" s="50"/>
      <c r="E5209" s="73"/>
      <c r="F5209" s="45"/>
    </row>
    <row r="5210" spans="4:6" x14ac:dyDescent="0.2">
      <c r="D5210" s="50"/>
      <c r="E5210" s="73"/>
      <c r="F5210" s="45"/>
    </row>
    <row r="5211" spans="4:6" x14ac:dyDescent="0.2">
      <c r="D5211" s="50"/>
      <c r="E5211" s="73"/>
      <c r="F5211" s="45"/>
    </row>
    <row r="5212" spans="4:6" x14ac:dyDescent="0.2">
      <c r="D5212" s="50"/>
      <c r="E5212" s="73"/>
      <c r="F5212" s="45"/>
    </row>
    <row r="5213" spans="4:6" x14ac:dyDescent="0.2">
      <c r="D5213" s="50"/>
      <c r="E5213" s="73"/>
      <c r="F5213" s="45"/>
    </row>
    <row r="5214" spans="4:6" x14ac:dyDescent="0.2">
      <c r="D5214" s="50"/>
      <c r="E5214" s="73"/>
      <c r="F5214" s="45"/>
    </row>
    <row r="5215" spans="4:6" x14ac:dyDescent="0.2">
      <c r="D5215" s="50"/>
      <c r="E5215" s="73"/>
      <c r="F5215" s="45"/>
    </row>
    <row r="5216" spans="4:6" x14ac:dyDescent="0.2">
      <c r="D5216" s="50"/>
      <c r="E5216" s="73"/>
      <c r="F5216" s="45"/>
    </row>
    <row r="5217" spans="4:6" x14ac:dyDescent="0.2">
      <c r="D5217" s="50"/>
      <c r="E5217" s="73"/>
      <c r="F5217" s="45"/>
    </row>
    <row r="5218" spans="4:6" x14ac:dyDescent="0.2">
      <c r="D5218" s="50"/>
      <c r="E5218" s="73"/>
      <c r="F5218" s="45"/>
    </row>
    <row r="5219" spans="4:6" x14ac:dyDescent="0.2">
      <c r="D5219" s="50"/>
      <c r="E5219" s="73"/>
      <c r="F5219" s="45"/>
    </row>
    <row r="5220" spans="4:6" x14ac:dyDescent="0.2">
      <c r="D5220" s="50"/>
      <c r="E5220" s="73"/>
      <c r="F5220" s="45"/>
    </row>
    <row r="5221" spans="4:6" x14ac:dyDescent="0.2">
      <c r="D5221" s="50"/>
      <c r="E5221" s="73"/>
      <c r="F5221" s="45"/>
    </row>
    <row r="5222" spans="4:6" x14ac:dyDescent="0.2">
      <c r="D5222" s="50"/>
      <c r="E5222" s="73"/>
      <c r="F5222" s="45"/>
    </row>
    <row r="5223" spans="4:6" x14ac:dyDescent="0.2">
      <c r="D5223" s="50"/>
      <c r="E5223" s="73"/>
      <c r="F5223" s="45"/>
    </row>
    <row r="5224" spans="4:6" x14ac:dyDescent="0.2">
      <c r="D5224" s="50"/>
      <c r="E5224" s="73"/>
      <c r="F5224" s="45"/>
    </row>
    <row r="5225" spans="4:6" x14ac:dyDescent="0.2">
      <c r="D5225" s="50"/>
      <c r="E5225" s="73"/>
      <c r="F5225" s="45"/>
    </row>
    <row r="5226" spans="4:6" x14ac:dyDescent="0.2">
      <c r="D5226" s="50"/>
      <c r="E5226" s="73"/>
      <c r="F5226" s="45"/>
    </row>
    <row r="5227" spans="4:6" x14ac:dyDescent="0.2">
      <c r="D5227" s="50"/>
      <c r="E5227" s="73"/>
      <c r="F5227" s="45"/>
    </row>
    <row r="5228" spans="4:6" x14ac:dyDescent="0.2">
      <c r="D5228" s="50"/>
      <c r="E5228" s="73"/>
      <c r="F5228" s="45"/>
    </row>
    <row r="5229" spans="4:6" x14ac:dyDescent="0.2">
      <c r="D5229" s="50"/>
      <c r="E5229" s="73"/>
      <c r="F5229" s="45"/>
    </row>
    <row r="5230" spans="4:6" x14ac:dyDescent="0.2">
      <c r="D5230" s="50"/>
      <c r="E5230" s="73"/>
      <c r="F5230" s="45"/>
    </row>
    <row r="5231" spans="4:6" x14ac:dyDescent="0.2">
      <c r="D5231" s="50"/>
      <c r="E5231" s="73"/>
      <c r="F5231" s="45"/>
    </row>
    <row r="5232" spans="4:6" x14ac:dyDescent="0.2">
      <c r="D5232" s="50"/>
      <c r="E5232" s="73"/>
      <c r="F5232" s="45"/>
    </row>
    <row r="5233" spans="4:6" x14ac:dyDescent="0.2">
      <c r="D5233" s="50"/>
      <c r="E5233" s="73"/>
      <c r="F5233" s="45"/>
    </row>
    <row r="5234" spans="4:6" x14ac:dyDescent="0.2">
      <c r="D5234" s="50"/>
      <c r="E5234" s="73"/>
      <c r="F5234" s="45"/>
    </row>
    <row r="5235" spans="4:6" x14ac:dyDescent="0.2">
      <c r="D5235" s="50"/>
      <c r="E5235" s="73"/>
      <c r="F5235" s="45"/>
    </row>
    <row r="5236" spans="4:6" x14ac:dyDescent="0.2">
      <c r="D5236" s="50"/>
      <c r="E5236" s="73"/>
      <c r="F5236" s="45"/>
    </row>
    <row r="5237" spans="4:6" x14ac:dyDescent="0.2">
      <c r="D5237" s="50"/>
      <c r="E5237" s="73"/>
      <c r="F5237" s="45"/>
    </row>
    <row r="5238" spans="4:6" x14ac:dyDescent="0.2">
      <c r="D5238" s="50"/>
      <c r="E5238" s="73"/>
      <c r="F5238" s="45"/>
    </row>
    <row r="5239" spans="4:6" x14ac:dyDescent="0.2">
      <c r="D5239" s="50"/>
      <c r="E5239" s="73"/>
      <c r="F5239" s="45"/>
    </row>
    <row r="5240" spans="4:6" x14ac:dyDescent="0.2">
      <c r="D5240" s="50"/>
      <c r="E5240" s="73"/>
      <c r="F5240" s="45"/>
    </row>
    <row r="5241" spans="4:6" x14ac:dyDescent="0.2">
      <c r="D5241" s="50"/>
      <c r="E5241" s="73"/>
      <c r="F5241" s="45"/>
    </row>
    <row r="5242" spans="4:6" x14ac:dyDescent="0.2">
      <c r="D5242" s="50"/>
      <c r="E5242" s="73"/>
      <c r="F5242" s="45"/>
    </row>
    <row r="5243" spans="4:6" x14ac:dyDescent="0.2">
      <c r="D5243" s="50"/>
      <c r="E5243" s="73"/>
      <c r="F5243" s="45"/>
    </row>
    <row r="5244" spans="4:6" x14ac:dyDescent="0.2">
      <c r="D5244" s="50"/>
      <c r="E5244" s="73"/>
      <c r="F5244" s="45"/>
    </row>
    <row r="5245" spans="4:6" x14ac:dyDescent="0.2">
      <c r="D5245" s="50"/>
      <c r="E5245" s="73"/>
      <c r="F5245" s="45"/>
    </row>
    <row r="5246" spans="4:6" x14ac:dyDescent="0.2">
      <c r="D5246" s="50"/>
      <c r="E5246" s="73"/>
      <c r="F5246" s="45"/>
    </row>
    <row r="5247" spans="4:6" x14ac:dyDescent="0.2">
      <c r="D5247" s="50"/>
      <c r="E5247" s="73"/>
      <c r="F5247" s="45"/>
    </row>
    <row r="5248" spans="4:6" x14ac:dyDescent="0.2">
      <c r="D5248" s="50"/>
      <c r="E5248" s="73"/>
      <c r="F5248" s="45"/>
    </row>
    <row r="5249" spans="4:6" x14ac:dyDescent="0.2">
      <c r="D5249" s="50"/>
      <c r="E5249" s="73"/>
      <c r="F5249" s="45"/>
    </row>
    <row r="5250" spans="4:6" x14ac:dyDescent="0.2">
      <c r="D5250" s="50"/>
      <c r="E5250" s="73"/>
      <c r="F5250" s="45"/>
    </row>
    <row r="5251" spans="4:6" x14ac:dyDescent="0.2">
      <c r="D5251" s="50"/>
      <c r="E5251" s="73"/>
      <c r="F5251" s="45"/>
    </row>
    <row r="5252" spans="4:6" x14ac:dyDescent="0.2">
      <c r="D5252" s="50"/>
      <c r="E5252" s="73"/>
      <c r="F5252" s="45"/>
    </row>
    <row r="5253" spans="4:6" x14ac:dyDescent="0.2">
      <c r="D5253" s="50"/>
      <c r="E5253" s="73"/>
      <c r="F5253" s="45"/>
    </row>
    <row r="5254" spans="4:6" x14ac:dyDescent="0.2">
      <c r="D5254" s="50"/>
      <c r="E5254" s="73"/>
      <c r="F5254" s="45"/>
    </row>
    <row r="5255" spans="4:6" x14ac:dyDescent="0.2">
      <c r="D5255" s="50"/>
      <c r="E5255" s="73"/>
      <c r="F5255" s="45"/>
    </row>
    <row r="5256" spans="4:6" x14ac:dyDescent="0.2">
      <c r="D5256" s="50"/>
      <c r="E5256" s="73"/>
      <c r="F5256" s="45"/>
    </row>
    <row r="5257" spans="4:6" x14ac:dyDescent="0.2">
      <c r="D5257" s="50"/>
      <c r="E5257" s="73"/>
      <c r="F5257" s="45"/>
    </row>
    <row r="5258" spans="4:6" x14ac:dyDescent="0.2">
      <c r="D5258" s="50"/>
      <c r="E5258" s="73"/>
      <c r="F5258" s="45"/>
    </row>
    <row r="5259" spans="4:6" x14ac:dyDescent="0.2">
      <c r="D5259" s="50"/>
      <c r="E5259" s="73"/>
      <c r="F5259" s="45"/>
    </row>
    <row r="5260" spans="4:6" x14ac:dyDescent="0.2">
      <c r="D5260" s="50"/>
      <c r="E5260" s="73"/>
      <c r="F5260" s="45"/>
    </row>
    <row r="5261" spans="4:6" x14ac:dyDescent="0.2">
      <c r="D5261" s="50"/>
      <c r="E5261" s="73"/>
      <c r="F5261" s="45"/>
    </row>
    <row r="5262" spans="4:6" x14ac:dyDescent="0.2">
      <c r="D5262" s="50"/>
      <c r="E5262" s="73"/>
      <c r="F5262" s="45"/>
    </row>
    <row r="5263" spans="4:6" x14ac:dyDescent="0.2">
      <c r="D5263" s="50"/>
      <c r="E5263" s="73"/>
      <c r="F5263" s="45"/>
    </row>
    <row r="5264" spans="4:6" x14ac:dyDescent="0.2">
      <c r="D5264" s="50"/>
      <c r="E5264" s="73"/>
      <c r="F5264" s="45"/>
    </row>
    <row r="5265" spans="4:6" x14ac:dyDescent="0.2">
      <c r="D5265" s="50"/>
      <c r="E5265" s="73"/>
      <c r="F5265" s="45"/>
    </row>
    <row r="5266" spans="4:6" x14ac:dyDescent="0.2">
      <c r="D5266" s="50"/>
      <c r="E5266" s="73"/>
      <c r="F5266" s="45"/>
    </row>
    <row r="5267" spans="4:6" x14ac:dyDescent="0.2">
      <c r="D5267" s="50"/>
      <c r="E5267" s="73"/>
      <c r="F5267" s="45"/>
    </row>
    <row r="5268" spans="4:6" x14ac:dyDescent="0.2">
      <c r="D5268" s="50"/>
      <c r="E5268" s="73"/>
      <c r="F5268" s="45"/>
    </row>
    <row r="5269" spans="4:6" x14ac:dyDescent="0.2">
      <c r="D5269" s="50"/>
      <c r="E5269" s="73"/>
      <c r="F5269" s="45"/>
    </row>
    <row r="5270" spans="4:6" x14ac:dyDescent="0.2">
      <c r="D5270" s="50"/>
      <c r="E5270" s="73"/>
      <c r="F5270" s="45"/>
    </row>
    <row r="5271" spans="4:6" x14ac:dyDescent="0.2">
      <c r="D5271" s="50"/>
      <c r="E5271" s="73"/>
      <c r="F5271" s="45"/>
    </row>
    <row r="5272" spans="4:6" x14ac:dyDescent="0.2">
      <c r="D5272" s="50"/>
      <c r="E5272" s="73"/>
      <c r="F5272" s="45"/>
    </row>
    <row r="5273" spans="4:6" x14ac:dyDescent="0.2">
      <c r="D5273" s="50"/>
      <c r="E5273" s="73"/>
      <c r="F5273" s="45"/>
    </row>
    <row r="5274" spans="4:6" x14ac:dyDescent="0.2">
      <c r="D5274" s="50"/>
      <c r="E5274" s="73"/>
      <c r="F5274" s="45"/>
    </row>
    <row r="5275" spans="4:6" x14ac:dyDescent="0.2">
      <c r="D5275" s="50"/>
      <c r="E5275" s="73"/>
      <c r="F5275" s="45"/>
    </row>
    <row r="5276" spans="4:6" x14ac:dyDescent="0.2">
      <c r="D5276" s="50"/>
      <c r="E5276" s="73"/>
      <c r="F5276" s="45"/>
    </row>
    <row r="5277" spans="4:6" x14ac:dyDescent="0.2">
      <c r="D5277" s="50"/>
      <c r="E5277" s="73"/>
      <c r="F5277" s="45"/>
    </row>
    <row r="5278" spans="4:6" x14ac:dyDescent="0.2">
      <c r="D5278" s="50"/>
      <c r="E5278" s="73"/>
      <c r="F5278" s="45"/>
    </row>
    <row r="5279" spans="4:6" x14ac:dyDescent="0.2">
      <c r="D5279" s="50"/>
      <c r="E5279" s="73"/>
      <c r="F5279" s="45"/>
    </row>
    <row r="5280" spans="4:6" x14ac:dyDescent="0.2">
      <c r="D5280" s="50"/>
      <c r="E5280" s="73"/>
      <c r="F5280" s="45"/>
    </row>
    <row r="5281" spans="4:6" x14ac:dyDescent="0.2">
      <c r="D5281" s="50"/>
      <c r="E5281" s="73"/>
      <c r="F5281" s="45"/>
    </row>
    <row r="5282" spans="4:6" x14ac:dyDescent="0.2">
      <c r="D5282" s="50"/>
      <c r="E5282" s="73"/>
      <c r="F5282" s="45"/>
    </row>
    <row r="5283" spans="4:6" x14ac:dyDescent="0.2">
      <c r="D5283" s="50"/>
      <c r="E5283" s="73"/>
      <c r="F5283" s="45"/>
    </row>
    <row r="5284" spans="4:6" x14ac:dyDescent="0.2">
      <c r="D5284" s="50"/>
      <c r="E5284" s="73"/>
      <c r="F5284" s="45"/>
    </row>
    <row r="5285" spans="4:6" x14ac:dyDescent="0.2">
      <c r="D5285" s="50"/>
      <c r="E5285" s="73"/>
      <c r="F5285" s="45"/>
    </row>
    <row r="5286" spans="4:6" x14ac:dyDescent="0.2">
      <c r="D5286" s="50"/>
      <c r="E5286" s="73"/>
      <c r="F5286" s="45"/>
    </row>
    <row r="5287" spans="4:6" x14ac:dyDescent="0.2">
      <c r="D5287" s="50"/>
      <c r="E5287" s="73"/>
      <c r="F5287" s="45"/>
    </row>
    <row r="5288" spans="4:6" x14ac:dyDescent="0.2">
      <c r="D5288" s="50"/>
      <c r="E5288" s="73"/>
      <c r="F5288" s="45"/>
    </row>
    <row r="5289" spans="4:6" x14ac:dyDescent="0.2">
      <c r="D5289" s="50"/>
      <c r="E5289" s="73"/>
      <c r="F5289" s="45"/>
    </row>
    <row r="5290" spans="4:6" x14ac:dyDescent="0.2">
      <c r="D5290" s="50"/>
      <c r="E5290" s="73"/>
      <c r="F5290" s="45"/>
    </row>
    <row r="5291" spans="4:6" x14ac:dyDescent="0.2">
      <c r="D5291" s="50"/>
      <c r="E5291" s="73"/>
      <c r="F5291" s="45"/>
    </row>
    <row r="5292" spans="4:6" x14ac:dyDescent="0.2">
      <c r="D5292" s="50"/>
      <c r="E5292" s="73"/>
      <c r="F5292" s="45"/>
    </row>
    <row r="5293" spans="4:6" x14ac:dyDescent="0.2">
      <c r="D5293" s="50"/>
      <c r="E5293" s="73"/>
      <c r="F5293" s="45"/>
    </row>
    <row r="5294" spans="4:6" x14ac:dyDescent="0.2">
      <c r="D5294" s="50"/>
      <c r="E5294" s="73"/>
      <c r="F5294" s="45"/>
    </row>
    <row r="5295" spans="4:6" x14ac:dyDescent="0.2">
      <c r="D5295" s="50"/>
      <c r="E5295" s="73"/>
      <c r="F5295" s="45"/>
    </row>
    <row r="5296" spans="4:6" x14ac:dyDescent="0.2">
      <c r="D5296" s="50"/>
      <c r="E5296" s="73"/>
      <c r="F5296" s="45"/>
    </row>
    <row r="5297" spans="4:6" x14ac:dyDescent="0.2">
      <c r="D5297" s="50"/>
      <c r="E5297" s="73"/>
      <c r="F5297" s="45"/>
    </row>
    <row r="5298" spans="4:6" x14ac:dyDescent="0.2">
      <c r="D5298" s="50"/>
      <c r="E5298" s="73"/>
      <c r="F5298" s="45"/>
    </row>
    <row r="5299" spans="4:6" x14ac:dyDescent="0.2">
      <c r="D5299" s="50"/>
      <c r="E5299" s="73"/>
      <c r="F5299" s="45"/>
    </row>
    <row r="5300" spans="4:6" x14ac:dyDescent="0.2">
      <c r="D5300" s="50"/>
      <c r="E5300" s="73"/>
      <c r="F5300" s="45"/>
    </row>
    <row r="5301" spans="4:6" x14ac:dyDescent="0.2">
      <c r="D5301" s="50"/>
      <c r="E5301" s="73"/>
      <c r="F5301" s="45"/>
    </row>
    <row r="5302" spans="4:6" x14ac:dyDescent="0.2">
      <c r="D5302" s="50"/>
      <c r="E5302" s="73"/>
      <c r="F5302" s="45"/>
    </row>
    <row r="5303" spans="4:6" x14ac:dyDescent="0.2">
      <c r="D5303" s="50"/>
      <c r="E5303" s="73"/>
      <c r="F5303" s="45"/>
    </row>
    <row r="5304" spans="4:6" x14ac:dyDescent="0.2">
      <c r="D5304" s="50"/>
      <c r="E5304" s="73"/>
      <c r="F5304" s="45"/>
    </row>
    <row r="5305" spans="4:6" x14ac:dyDescent="0.2">
      <c r="D5305" s="50"/>
      <c r="E5305" s="73"/>
      <c r="F5305" s="45"/>
    </row>
    <row r="5306" spans="4:6" x14ac:dyDescent="0.2">
      <c r="D5306" s="50"/>
      <c r="E5306" s="73"/>
      <c r="F5306" s="45"/>
    </row>
    <row r="5307" spans="4:6" x14ac:dyDescent="0.2">
      <c r="D5307" s="50"/>
      <c r="E5307" s="73"/>
      <c r="F5307" s="45"/>
    </row>
    <row r="5308" spans="4:6" x14ac:dyDescent="0.2">
      <c r="D5308" s="50"/>
      <c r="E5308" s="73"/>
      <c r="F5308" s="45"/>
    </row>
    <row r="5309" spans="4:6" x14ac:dyDescent="0.2">
      <c r="D5309" s="50"/>
      <c r="E5309" s="73"/>
      <c r="F5309" s="45"/>
    </row>
    <row r="5310" spans="4:6" x14ac:dyDescent="0.2">
      <c r="D5310" s="50"/>
      <c r="E5310" s="73"/>
      <c r="F5310" s="45"/>
    </row>
    <row r="5311" spans="4:6" x14ac:dyDescent="0.2">
      <c r="D5311" s="50"/>
      <c r="E5311" s="73"/>
      <c r="F5311" s="45"/>
    </row>
    <row r="5312" spans="4:6" x14ac:dyDescent="0.2">
      <c r="D5312" s="50"/>
      <c r="E5312" s="73"/>
      <c r="F5312" s="45"/>
    </row>
    <row r="5313" spans="4:6" x14ac:dyDescent="0.2">
      <c r="D5313" s="50"/>
      <c r="E5313" s="73"/>
      <c r="F5313" s="45"/>
    </row>
    <row r="5314" spans="4:6" x14ac:dyDescent="0.2">
      <c r="D5314" s="50"/>
      <c r="E5314" s="73"/>
      <c r="F5314" s="45"/>
    </row>
    <row r="5315" spans="4:6" x14ac:dyDescent="0.2">
      <c r="D5315" s="50"/>
      <c r="E5315" s="73"/>
      <c r="F5315" s="45"/>
    </row>
    <row r="5316" spans="4:6" x14ac:dyDescent="0.2">
      <c r="D5316" s="50"/>
      <c r="E5316" s="73"/>
      <c r="F5316" s="45"/>
    </row>
    <row r="5317" spans="4:6" x14ac:dyDescent="0.2">
      <c r="D5317" s="50"/>
      <c r="E5317" s="73"/>
      <c r="F5317" s="45"/>
    </row>
    <row r="5318" spans="4:6" x14ac:dyDescent="0.2">
      <c r="D5318" s="50"/>
      <c r="E5318" s="73"/>
      <c r="F5318" s="45"/>
    </row>
    <row r="5319" spans="4:6" x14ac:dyDescent="0.2">
      <c r="D5319" s="50"/>
      <c r="E5319" s="73"/>
      <c r="F5319" s="45"/>
    </row>
    <row r="5320" spans="4:6" x14ac:dyDescent="0.2">
      <c r="D5320" s="50"/>
      <c r="E5320" s="73"/>
      <c r="F5320" s="45"/>
    </row>
    <row r="5321" spans="4:6" x14ac:dyDescent="0.2">
      <c r="D5321" s="50"/>
      <c r="E5321" s="73"/>
      <c r="F5321" s="45"/>
    </row>
    <row r="5322" spans="4:6" x14ac:dyDescent="0.2">
      <c r="D5322" s="50"/>
      <c r="E5322" s="73"/>
      <c r="F5322" s="45"/>
    </row>
    <row r="5323" spans="4:6" x14ac:dyDescent="0.2">
      <c r="D5323" s="50"/>
      <c r="E5323" s="73"/>
      <c r="F5323" s="45"/>
    </row>
    <row r="5324" spans="4:6" x14ac:dyDescent="0.2">
      <c r="D5324" s="50"/>
      <c r="E5324" s="73"/>
      <c r="F5324" s="45"/>
    </row>
    <row r="5325" spans="4:6" x14ac:dyDescent="0.2">
      <c r="D5325" s="50"/>
      <c r="E5325" s="73"/>
      <c r="F5325" s="45"/>
    </row>
    <row r="5326" spans="4:6" x14ac:dyDescent="0.2">
      <c r="D5326" s="50"/>
      <c r="E5326" s="73"/>
      <c r="F5326" s="45"/>
    </row>
    <row r="5327" spans="4:6" x14ac:dyDescent="0.2">
      <c r="D5327" s="50"/>
      <c r="E5327" s="73"/>
      <c r="F5327" s="45"/>
    </row>
    <row r="5328" spans="4:6" x14ac:dyDescent="0.2">
      <c r="D5328" s="50"/>
      <c r="E5328" s="73"/>
      <c r="F5328" s="45"/>
    </row>
    <row r="5329" spans="4:6" x14ac:dyDescent="0.2">
      <c r="D5329" s="50"/>
      <c r="E5329" s="73"/>
      <c r="F5329" s="45"/>
    </row>
    <row r="5330" spans="4:6" x14ac:dyDescent="0.2">
      <c r="D5330" s="50"/>
      <c r="E5330" s="73"/>
      <c r="F5330" s="45"/>
    </row>
    <row r="5331" spans="4:6" x14ac:dyDescent="0.2">
      <c r="D5331" s="50"/>
      <c r="E5331" s="73"/>
      <c r="F5331" s="45"/>
    </row>
    <row r="5332" spans="4:6" x14ac:dyDescent="0.2">
      <c r="D5332" s="50"/>
      <c r="E5332" s="73"/>
      <c r="F5332" s="45"/>
    </row>
    <row r="5333" spans="4:6" x14ac:dyDescent="0.2">
      <c r="D5333" s="50"/>
      <c r="E5333" s="73"/>
      <c r="F5333" s="45"/>
    </row>
    <row r="5334" spans="4:6" x14ac:dyDescent="0.2">
      <c r="D5334" s="50"/>
      <c r="E5334" s="73"/>
      <c r="F5334" s="45"/>
    </row>
    <row r="5335" spans="4:6" x14ac:dyDescent="0.2">
      <c r="D5335" s="50"/>
      <c r="E5335" s="73"/>
      <c r="F5335" s="45"/>
    </row>
    <row r="5336" spans="4:6" x14ac:dyDescent="0.2">
      <c r="D5336" s="50"/>
      <c r="E5336" s="73"/>
      <c r="F5336" s="45"/>
    </row>
    <row r="5337" spans="4:6" x14ac:dyDescent="0.2">
      <c r="D5337" s="50"/>
      <c r="E5337" s="73"/>
      <c r="F5337" s="45"/>
    </row>
    <row r="5338" spans="4:6" x14ac:dyDescent="0.2">
      <c r="D5338" s="50"/>
      <c r="E5338" s="73"/>
      <c r="F5338" s="45"/>
    </row>
    <row r="5339" spans="4:6" x14ac:dyDescent="0.2">
      <c r="D5339" s="50"/>
      <c r="E5339" s="73"/>
      <c r="F5339" s="45"/>
    </row>
    <row r="5340" spans="4:6" x14ac:dyDescent="0.2">
      <c r="D5340" s="50"/>
      <c r="E5340" s="73"/>
      <c r="F5340" s="45"/>
    </row>
    <row r="5341" spans="4:6" x14ac:dyDescent="0.2">
      <c r="D5341" s="50"/>
      <c r="E5341" s="73"/>
      <c r="F5341" s="45"/>
    </row>
    <row r="5342" spans="4:6" x14ac:dyDescent="0.2">
      <c r="D5342" s="50"/>
      <c r="E5342" s="73"/>
      <c r="F5342" s="45"/>
    </row>
    <row r="5343" spans="4:6" x14ac:dyDescent="0.2">
      <c r="D5343" s="50"/>
      <c r="E5343" s="73"/>
      <c r="F5343" s="45"/>
    </row>
    <row r="5344" spans="4:6" x14ac:dyDescent="0.2">
      <c r="D5344" s="50"/>
      <c r="E5344" s="73"/>
      <c r="F5344" s="45"/>
    </row>
    <row r="5345" spans="4:6" x14ac:dyDescent="0.2">
      <c r="D5345" s="50"/>
      <c r="E5345" s="73"/>
      <c r="F5345" s="45"/>
    </row>
    <row r="5346" spans="4:6" x14ac:dyDescent="0.2">
      <c r="D5346" s="50"/>
      <c r="E5346" s="73"/>
      <c r="F5346" s="45"/>
    </row>
    <row r="5347" spans="4:6" x14ac:dyDescent="0.2">
      <c r="D5347" s="50"/>
      <c r="E5347" s="73"/>
      <c r="F5347" s="45"/>
    </row>
    <row r="5348" spans="4:6" x14ac:dyDescent="0.2">
      <c r="D5348" s="50"/>
      <c r="E5348" s="73"/>
      <c r="F5348" s="45"/>
    </row>
    <row r="5349" spans="4:6" x14ac:dyDescent="0.2">
      <c r="D5349" s="50"/>
      <c r="E5349" s="73"/>
      <c r="F5349" s="45"/>
    </row>
    <row r="5350" spans="4:6" x14ac:dyDescent="0.2">
      <c r="D5350" s="50"/>
      <c r="E5350" s="73"/>
      <c r="F5350" s="45"/>
    </row>
    <row r="5351" spans="4:6" x14ac:dyDescent="0.2">
      <c r="D5351" s="50"/>
      <c r="E5351" s="73"/>
      <c r="F5351" s="45"/>
    </row>
    <row r="5352" spans="4:6" x14ac:dyDescent="0.2">
      <c r="D5352" s="50"/>
      <c r="E5352" s="73"/>
      <c r="F5352" s="45"/>
    </row>
    <row r="5353" spans="4:6" x14ac:dyDescent="0.2">
      <c r="D5353" s="50"/>
      <c r="E5353" s="73"/>
      <c r="F5353" s="45"/>
    </row>
    <row r="5354" spans="4:6" x14ac:dyDescent="0.2">
      <c r="D5354" s="50"/>
      <c r="E5354" s="73"/>
      <c r="F5354" s="45"/>
    </row>
    <row r="5355" spans="4:6" x14ac:dyDescent="0.2">
      <c r="D5355" s="50"/>
      <c r="E5355" s="73"/>
      <c r="F5355" s="45"/>
    </row>
    <row r="5356" spans="4:6" x14ac:dyDescent="0.2">
      <c r="D5356" s="50"/>
      <c r="E5356" s="73"/>
      <c r="F5356" s="45"/>
    </row>
    <row r="5357" spans="4:6" x14ac:dyDescent="0.2">
      <c r="D5357" s="50"/>
      <c r="E5357" s="73"/>
      <c r="F5357" s="45"/>
    </row>
    <row r="5358" spans="4:6" x14ac:dyDescent="0.2">
      <c r="D5358" s="50"/>
      <c r="E5358" s="73"/>
      <c r="F5358" s="45"/>
    </row>
    <row r="5359" spans="4:6" x14ac:dyDescent="0.2">
      <c r="D5359" s="50"/>
      <c r="E5359" s="73"/>
      <c r="F5359" s="45"/>
    </row>
    <row r="5360" spans="4:6" x14ac:dyDescent="0.2">
      <c r="D5360" s="50"/>
      <c r="E5360" s="73"/>
      <c r="F5360" s="45"/>
    </row>
    <row r="5361" spans="4:6" x14ac:dyDescent="0.2">
      <c r="D5361" s="50"/>
      <c r="E5361" s="73"/>
      <c r="F5361" s="45"/>
    </row>
    <row r="5362" spans="4:6" x14ac:dyDescent="0.2">
      <c r="D5362" s="50"/>
      <c r="E5362" s="73"/>
      <c r="F5362" s="45"/>
    </row>
    <row r="5363" spans="4:6" x14ac:dyDescent="0.2">
      <c r="D5363" s="50"/>
      <c r="E5363" s="73"/>
      <c r="F5363" s="45"/>
    </row>
    <row r="5364" spans="4:6" x14ac:dyDescent="0.2">
      <c r="D5364" s="50"/>
      <c r="E5364" s="73"/>
      <c r="F5364" s="45"/>
    </row>
    <row r="5365" spans="4:6" x14ac:dyDescent="0.2">
      <c r="D5365" s="50"/>
      <c r="E5365" s="73"/>
      <c r="F5365" s="45"/>
    </row>
    <row r="5366" spans="4:6" x14ac:dyDescent="0.2">
      <c r="D5366" s="50"/>
      <c r="E5366" s="73"/>
      <c r="F5366" s="45"/>
    </row>
    <row r="5367" spans="4:6" x14ac:dyDescent="0.2">
      <c r="D5367" s="50"/>
      <c r="E5367" s="73"/>
      <c r="F5367" s="45"/>
    </row>
    <row r="5368" spans="4:6" x14ac:dyDescent="0.2">
      <c r="D5368" s="50"/>
      <c r="E5368" s="73"/>
      <c r="F5368" s="45"/>
    </row>
    <row r="5369" spans="4:6" x14ac:dyDescent="0.2">
      <c r="D5369" s="50"/>
      <c r="E5369" s="73"/>
      <c r="F5369" s="45"/>
    </row>
    <row r="5370" spans="4:6" x14ac:dyDescent="0.2">
      <c r="D5370" s="50"/>
      <c r="E5370" s="73"/>
      <c r="F5370" s="45"/>
    </row>
    <row r="5371" spans="4:6" x14ac:dyDescent="0.2">
      <c r="D5371" s="50"/>
      <c r="E5371" s="73"/>
      <c r="F5371" s="45"/>
    </row>
    <row r="5372" spans="4:6" x14ac:dyDescent="0.2">
      <c r="D5372" s="50"/>
      <c r="E5372" s="73"/>
      <c r="F5372" s="45"/>
    </row>
    <row r="5373" spans="4:6" x14ac:dyDescent="0.2">
      <c r="D5373" s="50"/>
      <c r="E5373" s="73"/>
      <c r="F5373" s="45"/>
    </row>
    <row r="5374" spans="4:6" x14ac:dyDescent="0.2">
      <c r="D5374" s="50"/>
      <c r="E5374" s="73"/>
      <c r="F5374" s="45"/>
    </row>
    <row r="5375" spans="4:6" x14ac:dyDescent="0.2">
      <c r="D5375" s="50"/>
      <c r="E5375" s="73"/>
      <c r="F5375" s="45"/>
    </row>
    <row r="5376" spans="4:6" x14ac:dyDescent="0.2">
      <c r="D5376" s="50"/>
      <c r="E5376" s="73"/>
      <c r="F5376" s="45"/>
    </row>
    <row r="5377" spans="4:6" x14ac:dyDescent="0.2">
      <c r="D5377" s="50"/>
      <c r="E5377" s="73"/>
      <c r="F5377" s="45"/>
    </row>
    <row r="5378" spans="4:6" x14ac:dyDescent="0.2">
      <c r="D5378" s="50"/>
      <c r="E5378" s="73"/>
      <c r="F5378" s="45"/>
    </row>
    <row r="5379" spans="4:6" x14ac:dyDescent="0.2">
      <c r="D5379" s="50"/>
      <c r="E5379" s="73"/>
      <c r="F5379" s="45"/>
    </row>
    <row r="5380" spans="4:6" x14ac:dyDescent="0.2">
      <c r="D5380" s="50"/>
      <c r="E5380" s="73"/>
      <c r="F5380" s="45"/>
    </row>
    <row r="5381" spans="4:6" x14ac:dyDescent="0.2">
      <c r="D5381" s="50"/>
      <c r="E5381" s="73"/>
      <c r="F5381" s="45"/>
    </row>
    <row r="5382" spans="4:6" x14ac:dyDescent="0.2">
      <c r="D5382" s="50"/>
      <c r="E5382" s="73"/>
      <c r="F5382" s="45"/>
    </row>
    <row r="5383" spans="4:6" x14ac:dyDescent="0.2">
      <c r="D5383" s="50"/>
      <c r="E5383" s="73"/>
      <c r="F5383" s="45"/>
    </row>
    <row r="5384" spans="4:6" x14ac:dyDescent="0.2">
      <c r="D5384" s="50"/>
      <c r="E5384" s="73"/>
      <c r="F5384" s="45"/>
    </row>
    <row r="5385" spans="4:6" x14ac:dyDescent="0.2">
      <c r="D5385" s="50"/>
      <c r="E5385" s="73"/>
      <c r="F5385" s="45"/>
    </row>
    <row r="5386" spans="4:6" x14ac:dyDescent="0.2">
      <c r="D5386" s="50"/>
      <c r="E5386" s="73"/>
      <c r="F5386" s="45"/>
    </row>
    <row r="5387" spans="4:6" x14ac:dyDescent="0.2">
      <c r="D5387" s="50"/>
      <c r="E5387" s="73"/>
      <c r="F5387" s="45"/>
    </row>
    <row r="5388" spans="4:6" x14ac:dyDescent="0.2">
      <c r="D5388" s="50"/>
      <c r="E5388" s="73"/>
      <c r="F5388" s="45"/>
    </row>
    <row r="5389" spans="4:6" x14ac:dyDescent="0.2">
      <c r="D5389" s="50"/>
      <c r="E5389" s="73"/>
      <c r="F5389" s="45"/>
    </row>
    <row r="5390" spans="4:6" x14ac:dyDescent="0.2">
      <c r="D5390" s="50"/>
      <c r="E5390" s="73"/>
      <c r="F5390" s="45"/>
    </row>
    <row r="5391" spans="4:6" x14ac:dyDescent="0.2">
      <c r="D5391" s="50"/>
      <c r="E5391" s="73"/>
      <c r="F5391" s="45"/>
    </row>
    <row r="5392" spans="4:6" x14ac:dyDescent="0.2">
      <c r="D5392" s="50"/>
      <c r="E5392" s="73"/>
      <c r="F5392" s="45"/>
    </row>
    <row r="5393" spans="4:6" x14ac:dyDescent="0.2">
      <c r="D5393" s="50"/>
      <c r="E5393" s="73"/>
      <c r="F5393" s="45"/>
    </row>
    <row r="5394" spans="4:6" x14ac:dyDescent="0.2">
      <c r="D5394" s="50"/>
      <c r="E5394" s="73"/>
      <c r="F5394" s="45"/>
    </row>
    <row r="5395" spans="4:6" x14ac:dyDescent="0.2">
      <c r="D5395" s="50"/>
      <c r="E5395" s="73"/>
      <c r="F5395" s="45"/>
    </row>
    <row r="5396" spans="4:6" x14ac:dyDescent="0.2">
      <c r="D5396" s="50"/>
      <c r="E5396" s="73"/>
      <c r="F5396" s="45"/>
    </row>
    <row r="5397" spans="4:6" x14ac:dyDescent="0.2">
      <c r="D5397" s="50"/>
      <c r="E5397" s="73"/>
      <c r="F5397" s="45"/>
    </row>
    <row r="5398" spans="4:6" x14ac:dyDescent="0.2">
      <c r="D5398" s="50"/>
      <c r="E5398" s="73"/>
      <c r="F5398" s="45"/>
    </row>
    <row r="5399" spans="4:6" x14ac:dyDescent="0.2">
      <c r="D5399" s="50"/>
      <c r="E5399" s="73"/>
      <c r="F5399" s="45"/>
    </row>
    <row r="5400" spans="4:6" x14ac:dyDescent="0.2">
      <c r="D5400" s="50"/>
      <c r="E5400" s="73"/>
      <c r="F5400" s="45"/>
    </row>
    <row r="5401" spans="4:6" x14ac:dyDescent="0.2">
      <c r="D5401" s="50"/>
      <c r="E5401" s="73"/>
      <c r="F5401" s="45"/>
    </row>
    <row r="5402" spans="4:6" x14ac:dyDescent="0.2">
      <c r="D5402" s="50"/>
      <c r="E5402" s="73"/>
      <c r="F5402" s="45"/>
    </row>
    <row r="5403" spans="4:6" x14ac:dyDescent="0.2">
      <c r="D5403" s="50"/>
      <c r="E5403" s="73"/>
      <c r="F5403" s="45"/>
    </row>
    <row r="5404" spans="4:6" x14ac:dyDescent="0.2">
      <c r="D5404" s="50"/>
      <c r="E5404" s="73"/>
      <c r="F5404" s="45"/>
    </row>
    <row r="5405" spans="4:6" x14ac:dyDescent="0.2">
      <c r="D5405" s="50"/>
      <c r="E5405" s="73"/>
      <c r="F5405" s="45"/>
    </row>
    <row r="5406" spans="4:6" x14ac:dyDescent="0.2">
      <c r="D5406" s="50"/>
      <c r="E5406" s="73"/>
      <c r="F5406" s="45"/>
    </row>
    <row r="5407" spans="4:6" x14ac:dyDescent="0.2">
      <c r="D5407" s="50"/>
      <c r="E5407" s="73"/>
      <c r="F5407" s="45"/>
    </row>
    <row r="5408" spans="4:6" x14ac:dyDescent="0.2">
      <c r="D5408" s="50"/>
      <c r="E5408" s="73"/>
      <c r="F5408" s="45"/>
    </row>
    <row r="5409" spans="4:6" x14ac:dyDescent="0.2">
      <c r="D5409" s="50"/>
      <c r="E5409" s="73"/>
      <c r="F5409" s="45"/>
    </row>
    <row r="5410" spans="4:6" x14ac:dyDescent="0.2">
      <c r="D5410" s="50"/>
      <c r="E5410" s="73"/>
      <c r="F5410" s="45"/>
    </row>
    <row r="5411" spans="4:6" x14ac:dyDescent="0.2">
      <c r="D5411" s="50"/>
      <c r="E5411" s="73"/>
      <c r="F5411" s="45"/>
    </row>
    <row r="5412" spans="4:6" x14ac:dyDescent="0.2">
      <c r="D5412" s="50"/>
      <c r="E5412" s="73"/>
      <c r="F5412" s="45"/>
    </row>
    <row r="5413" spans="4:6" x14ac:dyDescent="0.2">
      <c r="D5413" s="50"/>
      <c r="E5413" s="73"/>
      <c r="F5413" s="45"/>
    </row>
    <row r="5414" spans="4:6" x14ac:dyDescent="0.2">
      <c r="D5414" s="50"/>
      <c r="E5414" s="73"/>
      <c r="F5414" s="45"/>
    </row>
    <row r="5415" spans="4:6" x14ac:dyDescent="0.2">
      <c r="D5415" s="50"/>
      <c r="E5415" s="73"/>
      <c r="F5415" s="45"/>
    </row>
    <row r="5416" spans="4:6" x14ac:dyDescent="0.2">
      <c r="D5416" s="50"/>
      <c r="E5416" s="73"/>
      <c r="F5416" s="45"/>
    </row>
    <row r="5417" spans="4:6" x14ac:dyDescent="0.2">
      <c r="D5417" s="50"/>
      <c r="E5417" s="73"/>
      <c r="F5417" s="45"/>
    </row>
    <row r="5418" spans="4:6" x14ac:dyDescent="0.2">
      <c r="D5418" s="50"/>
      <c r="E5418" s="73"/>
      <c r="F5418" s="45"/>
    </row>
    <row r="5419" spans="4:6" x14ac:dyDescent="0.2">
      <c r="D5419" s="50"/>
      <c r="E5419" s="73"/>
      <c r="F5419" s="45"/>
    </row>
    <row r="5420" spans="4:6" x14ac:dyDescent="0.2">
      <c r="D5420" s="50"/>
      <c r="E5420" s="73"/>
      <c r="F5420" s="45"/>
    </row>
    <row r="5421" spans="4:6" x14ac:dyDescent="0.2">
      <c r="D5421" s="50"/>
      <c r="E5421" s="73"/>
      <c r="F5421" s="45"/>
    </row>
    <row r="5422" spans="4:6" x14ac:dyDescent="0.2">
      <c r="D5422" s="50"/>
      <c r="E5422" s="73"/>
      <c r="F5422" s="45"/>
    </row>
    <row r="5423" spans="4:6" x14ac:dyDescent="0.2">
      <c r="D5423" s="50"/>
      <c r="E5423" s="73"/>
      <c r="F5423" s="45"/>
    </row>
    <row r="5424" spans="4:6" x14ac:dyDescent="0.2">
      <c r="D5424" s="50"/>
      <c r="E5424" s="73"/>
      <c r="F5424" s="45"/>
    </row>
    <row r="5425" spans="4:6" x14ac:dyDescent="0.2">
      <c r="D5425" s="50"/>
      <c r="E5425" s="73"/>
      <c r="F5425" s="45"/>
    </row>
    <row r="5426" spans="4:6" x14ac:dyDescent="0.2">
      <c r="D5426" s="50"/>
      <c r="E5426" s="73"/>
      <c r="F5426" s="45"/>
    </row>
    <row r="5427" spans="4:6" x14ac:dyDescent="0.2">
      <c r="D5427" s="50"/>
      <c r="E5427" s="73"/>
      <c r="F5427" s="45"/>
    </row>
    <row r="5428" spans="4:6" x14ac:dyDescent="0.2">
      <c r="D5428" s="50"/>
      <c r="E5428" s="73"/>
      <c r="F5428" s="45"/>
    </row>
    <row r="5429" spans="4:6" x14ac:dyDescent="0.2">
      <c r="D5429" s="50"/>
      <c r="E5429" s="73"/>
      <c r="F5429" s="45"/>
    </row>
    <row r="5430" spans="4:6" x14ac:dyDescent="0.2">
      <c r="D5430" s="50"/>
      <c r="E5430" s="73"/>
      <c r="F5430" s="45"/>
    </row>
    <row r="5431" spans="4:6" x14ac:dyDescent="0.2">
      <c r="D5431" s="50"/>
      <c r="E5431" s="73"/>
      <c r="F5431" s="45"/>
    </row>
    <row r="5432" spans="4:6" x14ac:dyDescent="0.2">
      <c r="D5432" s="50"/>
      <c r="E5432" s="73"/>
      <c r="F5432" s="45"/>
    </row>
    <row r="5433" spans="4:6" x14ac:dyDescent="0.2">
      <c r="D5433" s="50"/>
      <c r="E5433" s="73"/>
      <c r="F5433" s="45"/>
    </row>
    <row r="5434" spans="4:6" x14ac:dyDescent="0.2">
      <c r="D5434" s="50"/>
      <c r="E5434" s="73"/>
      <c r="F5434" s="45"/>
    </row>
    <row r="5435" spans="4:6" x14ac:dyDescent="0.2">
      <c r="D5435" s="50"/>
      <c r="E5435" s="73"/>
      <c r="F5435" s="45"/>
    </row>
    <row r="5436" spans="4:6" x14ac:dyDescent="0.2">
      <c r="D5436" s="50"/>
      <c r="E5436" s="73"/>
      <c r="F5436" s="45"/>
    </row>
    <row r="5437" spans="4:6" x14ac:dyDescent="0.2">
      <c r="D5437" s="50"/>
      <c r="E5437" s="73"/>
      <c r="F5437" s="45"/>
    </row>
    <row r="5438" spans="4:6" x14ac:dyDescent="0.2">
      <c r="D5438" s="50"/>
      <c r="E5438" s="73"/>
      <c r="F5438" s="45"/>
    </row>
    <row r="5439" spans="4:6" x14ac:dyDescent="0.2">
      <c r="D5439" s="50"/>
      <c r="E5439" s="73"/>
      <c r="F5439" s="45"/>
    </row>
    <row r="5440" spans="4:6" x14ac:dyDescent="0.2">
      <c r="D5440" s="50"/>
      <c r="E5440" s="73"/>
      <c r="F5440" s="45"/>
    </row>
    <row r="5441" spans="4:6" x14ac:dyDescent="0.2">
      <c r="D5441" s="50"/>
      <c r="E5441" s="73"/>
      <c r="F5441" s="45"/>
    </row>
    <row r="5442" spans="4:6" x14ac:dyDescent="0.2">
      <c r="D5442" s="50"/>
      <c r="E5442" s="73"/>
      <c r="F5442" s="45"/>
    </row>
    <row r="5443" spans="4:6" x14ac:dyDescent="0.2">
      <c r="D5443" s="50"/>
      <c r="E5443" s="73"/>
      <c r="F5443" s="45"/>
    </row>
    <row r="5444" spans="4:6" x14ac:dyDescent="0.2">
      <c r="D5444" s="50"/>
      <c r="E5444" s="73"/>
      <c r="F5444" s="45"/>
    </row>
    <row r="5445" spans="4:6" x14ac:dyDescent="0.2">
      <c r="D5445" s="50"/>
      <c r="E5445" s="73"/>
      <c r="F5445" s="45"/>
    </row>
    <row r="5446" spans="4:6" x14ac:dyDescent="0.2">
      <c r="D5446" s="50"/>
      <c r="E5446" s="73"/>
      <c r="F5446" s="45"/>
    </row>
    <row r="5447" spans="4:6" x14ac:dyDescent="0.2">
      <c r="D5447" s="50"/>
      <c r="E5447" s="73"/>
      <c r="F5447" s="45"/>
    </row>
    <row r="5448" spans="4:6" x14ac:dyDescent="0.2">
      <c r="D5448" s="50"/>
      <c r="E5448" s="73"/>
      <c r="F5448" s="45"/>
    </row>
    <row r="5449" spans="4:6" x14ac:dyDescent="0.2">
      <c r="D5449" s="50"/>
      <c r="E5449" s="73"/>
      <c r="F5449" s="45"/>
    </row>
    <row r="5450" spans="4:6" x14ac:dyDescent="0.2">
      <c r="D5450" s="50"/>
      <c r="E5450" s="73"/>
      <c r="F5450" s="45"/>
    </row>
    <row r="5451" spans="4:6" x14ac:dyDescent="0.2">
      <c r="D5451" s="50"/>
      <c r="E5451" s="73"/>
      <c r="F5451" s="45"/>
    </row>
    <row r="5452" spans="4:6" x14ac:dyDescent="0.2">
      <c r="D5452" s="50"/>
      <c r="E5452" s="73"/>
      <c r="F5452" s="45"/>
    </row>
    <row r="5453" spans="4:6" x14ac:dyDescent="0.2">
      <c r="D5453" s="50"/>
      <c r="E5453" s="73"/>
      <c r="F5453" s="45"/>
    </row>
    <row r="5454" spans="4:6" x14ac:dyDescent="0.2">
      <c r="D5454" s="50"/>
      <c r="E5454" s="73"/>
      <c r="F5454" s="45"/>
    </row>
    <row r="5455" spans="4:6" x14ac:dyDescent="0.2">
      <c r="D5455" s="50"/>
      <c r="E5455" s="73"/>
      <c r="F5455" s="45"/>
    </row>
    <row r="5456" spans="4:6" x14ac:dyDescent="0.2">
      <c r="D5456" s="50"/>
      <c r="E5456" s="73"/>
      <c r="F5456" s="45"/>
    </row>
    <row r="5457" spans="4:6" x14ac:dyDescent="0.2">
      <c r="D5457" s="50"/>
      <c r="E5457" s="73"/>
      <c r="F5457" s="45"/>
    </row>
    <row r="5458" spans="4:6" x14ac:dyDescent="0.2">
      <c r="D5458" s="50"/>
      <c r="E5458" s="73"/>
      <c r="F5458" s="45"/>
    </row>
    <row r="5459" spans="4:6" x14ac:dyDescent="0.2">
      <c r="D5459" s="50"/>
      <c r="E5459" s="73"/>
      <c r="F5459" s="45"/>
    </row>
    <row r="5460" spans="4:6" x14ac:dyDescent="0.2">
      <c r="D5460" s="50"/>
      <c r="E5460" s="73"/>
      <c r="F5460" s="45"/>
    </row>
    <row r="5461" spans="4:6" x14ac:dyDescent="0.2">
      <c r="D5461" s="50"/>
      <c r="E5461" s="73"/>
      <c r="F5461" s="45"/>
    </row>
    <row r="5462" spans="4:6" x14ac:dyDescent="0.2">
      <c r="D5462" s="50"/>
      <c r="E5462" s="73"/>
      <c r="F5462" s="45"/>
    </row>
    <row r="5463" spans="4:6" x14ac:dyDescent="0.2">
      <c r="D5463" s="50"/>
      <c r="E5463" s="73"/>
      <c r="F5463" s="45"/>
    </row>
    <row r="5464" spans="4:6" x14ac:dyDescent="0.2">
      <c r="D5464" s="50"/>
      <c r="E5464" s="73"/>
      <c r="F5464" s="45"/>
    </row>
    <row r="5465" spans="4:6" x14ac:dyDescent="0.2">
      <c r="D5465" s="50"/>
      <c r="E5465" s="73"/>
      <c r="F5465" s="45"/>
    </row>
    <row r="5466" spans="4:6" x14ac:dyDescent="0.2">
      <c r="D5466" s="50"/>
      <c r="E5466" s="73"/>
      <c r="F5466" s="45"/>
    </row>
    <row r="5467" spans="4:6" x14ac:dyDescent="0.2">
      <c r="D5467" s="50"/>
      <c r="E5467" s="73"/>
      <c r="F5467" s="45"/>
    </row>
    <row r="5468" spans="4:6" x14ac:dyDescent="0.2">
      <c r="D5468" s="50"/>
      <c r="E5468" s="73"/>
      <c r="F5468" s="45"/>
    </row>
    <row r="5469" spans="4:6" x14ac:dyDescent="0.2">
      <c r="D5469" s="50"/>
      <c r="E5469" s="73"/>
      <c r="F5469" s="45"/>
    </row>
    <row r="5470" spans="4:6" x14ac:dyDescent="0.2">
      <c r="D5470" s="50"/>
      <c r="E5470" s="73"/>
      <c r="F5470" s="45"/>
    </row>
    <row r="5471" spans="4:6" x14ac:dyDescent="0.2">
      <c r="D5471" s="50"/>
      <c r="E5471" s="73"/>
      <c r="F5471" s="45"/>
    </row>
    <row r="5472" spans="4:6" x14ac:dyDescent="0.2">
      <c r="D5472" s="50"/>
      <c r="E5472" s="73"/>
      <c r="F5472" s="45"/>
    </row>
    <row r="5473" spans="4:6" x14ac:dyDescent="0.2">
      <c r="D5473" s="50"/>
      <c r="E5473" s="73"/>
      <c r="F5473" s="45"/>
    </row>
    <row r="5474" spans="4:6" x14ac:dyDescent="0.2">
      <c r="D5474" s="50"/>
      <c r="E5474" s="73"/>
      <c r="F5474" s="45"/>
    </row>
    <row r="5475" spans="4:6" x14ac:dyDescent="0.2">
      <c r="D5475" s="50"/>
      <c r="E5475" s="73"/>
      <c r="F5475" s="45"/>
    </row>
    <row r="5476" spans="4:6" x14ac:dyDescent="0.2">
      <c r="D5476" s="50"/>
      <c r="E5476" s="73"/>
      <c r="F5476" s="45"/>
    </row>
    <row r="5477" spans="4:6" x14ac:dyDescent="0.2">
      <c r="D5477" s="50"/>
      <c r="E5477" s="73"/>
      <c r="F5477" s="45"/>
    </row>
    <row r="5478" spans="4:6" x14ac:dyDescent="0.2">
      <c r="D5478" s="50"/>
      <c r="E5478" s="73"/>
      <c r="F5478" s="45"/>
    </row>
    <row r="5479" spans="4:6" x14ac:dyDescent="0.2">
      <c r="D5479" s="50"/>
      <c r="E5479" s="73"/>
      <c r="F5479" s="45"/>
    </row>
    <row r="5480" spans="4:6" x14ac:dyDescent="0.2">
      <c r="D5480" s="50"/>
      <c r="E5480" s="73"/>
      <c r="F5480" s="45"/>
    </row>
    <row r="5481" spans="4:6" x14ac:dyDescent="0.2">
      <c r="D5481" s="50"/>
      <c r="E5481" s="73"/>
      <c r="F5481" s="45"/>
    </row>
    <row r="5482" spans="4:6" x14ac:dyDescent="0.2">
      <c r="D5482" s="50"/>
      <c r="E5482" s="73"/>
      <c r="F5482" s="45"/>
    </row>
    <row r="5483" spans="4:6" x14ac:dyDescent="0.2">
      <c r="D5483" s="50"/>
      <c r="E5483" s="73"/>
      <c r="F5483" s="45"/>
    </row>
    <row r="5484" spans="4:6" x14ac:dyDescent="0.2">
      <c r="D5484" s="50"/>
      <c r="E5484" s="73"/>
      <c r="F5484" s="45"/>
    </row>
    <row r="5485" spans="4:6" x14ac:dyDescent="0.2">
      <c r="D5485" s="50"/>
      <c r="E5485" s="73"/>
      <c r="F5485" s="45"/>
    </row>
    <row r="5486" spans="4:6" x14ac:dyDescent="0.2">
      <c r="D5486" s="50"/>
      <c r="E5486" s="73"/>
      <c r="F5486" s="45"/>
    </row>
    <row r="5487" spans="4:6" x14ac:dyDescent="0.2">
      <c r="D5487" s="50"/>
      <c r="E5487" s="73"/>
      <c r="F5487" s="45"/>
    </row>
    <row r="5488" spans="4:6" x14ac:dyDescent="0.2">
      <c r="D5488" s="50"/>
      <c r="E5488" s="73"/>
      <c r="F5488" s="45"/>
    </row>
    <row r="5489" spans="4:6" x14ac:dyDescent="0.2">
      <c r="D5489" s="50"/>
      <c r="E5489" s="73"/>
      <c r="F5489" s="45"/>
    </row>
    <row r="5490" spans="4:6" x14ac:dyDescent="0.2">
      <c r="D5490" s="50"/>
      <c r="E5490" s="73"/>
      <c r="F5490" s="45"/>
    </row>
    <row r="5491" spans="4:6" x14ac:dyDescent="0.2">
      <c r="D5491" s="50"/>
      <c r="E5491" s="73"/>
      <c r="F5491" s="45"/>
    </row>
    <row r="5492" spans="4:6" x14ac:dyDescent="0.2">
      <c r="D5492" s="50"/>
      <c r="E5492" s="73"/>
      <c r="F5492" s="45"/>
    </row>
    <row r="5493" spans="4:6" x14ac:dyDescent="0.2">
      <c r="D5493" s="50"/>
      <c r="E5493" s="73"/>
      <c r="F5493" s="45"/>
    </row>
    <row r="5494" spans="4:6" x14ac:dyDescent="0.2">
      <c r="D5494" s="50"/>
      <c r="E5494" s="73"/>
      <c r="F5494" s="45"/>
    </row>
    <row r="5495" spans="4:6" x14ac:dyDescent="0.2">
      <c r="D5495" s="50"/>
      <c r="E5495" s="73"/>
      <c r="F5495" s="45"/>
    </row>
    <row r="5496" spans="4:6" x14ac:dyDescent="0.2">
      <c r="D5496" s="50"/>
      <c r="E5496" s="73"/>
      <c r="F5496" s="45"/>
    </row>
    <row r="5497" spans="4:6" x14ac:dyDescent="0.2">
      <c r="D5497" s="50"/>
      <c r="E5497" s="73"/>
      <c r="F5497" s="45"/>
    </row>
    <row r="5498" spans="4:6" x14ac:dyDescent="0.2">
      <c r="D5498" s="50"/>
      <c r="E5498" s="73"/>
      <c r="F5498" s="45"/>
    </row>
    <row r="5499" spans="4:6" x14ac:dyDescent="0.2">
      <c r="D5499" s="50"/>
      <c r="E5499" s="73"/>
      <c r="F5499" s="45"/>
    </row>
    <row r="5500" spans="4:6" x14ac:dyDescent="0.2">
      <c r="D5500" s="50"/>
      <c r="E5500" s="73"/>
      <c r="F5500" s="45"/>
    </row>
    <row r="5501" spans="4:6" x14ac:dyDescent="0.2">
      <c r="D5501" s="50"/>
      <c r="E5501" s="73"/>
      <c r="F5501" s="45"/>
    </row>
    <row r="5502" spans="4:6" x14ac:dyDescent="0.2">
      <c r="D5502" s="50"/>
      <c r="E5502" s="73"/>
      <c r="F5502" s="45"/>
    </row>
    <row r="5503" spans="4:6" x14ac:dyDescent="0.2">
      <c r="D5503" s="50"/>
      <c r="E5503" s="73"/>
      <c r="F5503" s="45"/>
    </row>
    <row r="5504" spans="4:6" x14ac:dyDescent="0.2">
      <c r="D5504" s="50"/>
      <c r="E5504" s="73"/>
      <c r="F5504" s="45"/>
    </row>
    <row r="5505" spans="4:6" x14ac:dyDescent="0.2">
      <c r="D5505" s="50"/>
      <c r="E5505" s="73"/>
      <c r="F5505" s="45"/>
    </row>
    <row r="5506" spans="4:6" x14ac:dyDescent="0.2">
      <c r="D5506" s="50"/>
      <c r="E5506" s="73"/>
      <c r="F5506" s="45"/>
    </row>
    <row r="5507" spans="4:6" x14ac:dyDescent="0.2">
      <c r="D5507" s="50"/>
      <c r="E5507" s="73"/>
      <c r="F5507" s="45"/>
    </row>
    <row r="5508" spans="4:6" x14ac:dyDescent="0.2">
      <c r="D5508" s="50"/>
      <c r="E5508" s="73"/>
      <c r="F5508" s="45"/>
    </row>
    <row r="5509" spans="4:6" x14ac:dyDescent="0.2">
      <c r="D5509" s="50"/>
      <c r="E5509" s="73"/>
      <c r="F5509" s="45"/>
    </row>
    <row r="5510" spans="4:6" x14ac:dyDescent="0.2">
      <c r="D5510" s="50"/>
      <c r="E5510" s="73"/>
      <c r="F5510" s="45"/>
    </row>
    <row r="5511" spans="4:6" x14ac:dyDescent="0.2">
      <c r="D5511" s="50"/>
      <c r="E5511" s="73"/>
      <c r="F5511" s="45"/>
    </row>
    <row r="5512" spans="4:6" x14ac:dyDescent="0.2">
      <c r="D5512" s="50"/>
      <c r="E5512" s="73"/>
      <c r="F5512" s="45"/>
    </row>
    <row r="5513" spans="4:6" x14ac:dyDescent="0.2">
      <c r="D5513" s="50"/>
      <c r="E5513" s="73"/>
      <c r="F5513" s="45"/>
    </row>
    <row r="5514" spans="4:6" x14ac:dyDescent="0.2">
      <c r="D5514" s="50"/>
      <c r="E5514" s="73"/>
      <c r="F5514" s="45"/>
    </row>
    <row r="5515" spans="4:6" x14ac:dyDescent="0.2">
      <c r="D5515" s="50"/>
      <c r="E5515" s="73"/>
      <c r="F5515" s="45"/>
    </row>
    <row r="5516" spans="4:6" x14ac:dyDescent="0.2">
      <c r="D5516" s="50"/>
      <c r="E5516" s="73"/>
      <c r="F5516" s="45"/>
    </row>
    <row r="5517" spans="4:6" x14ac:dyDescent="0.2">
      <c r="D5517" s="50"/>
      <c r="E5517" s="73"/>
      <c r="F5517" s="45"/>
    </row>
    <row r="5518" spans="4:6" x14ac:dyDescent="0.2">
      <c r="D5518" s="50"/>
      <c r="E5518" s="73"/>
      <c r="F5518" s="45"/>
    </row>
    <row r="5519" spans="4:6" x14ac:dyDescent="0.2">
      <c r="D5519" s="50"/>
      <c r="E5519" s="73"/>
      <c r="F5519" s="45"/>
    </row>
    <row r="5520" spans="4:6" x14ac:dyDescent="0.2">
      <c r="D5520" s="50"/>
      <c r="E5520" s="73"/>
      <c r="F5520" s="45"/>
    </row>
    <row r="5521" spans="4:6" x14ac:dyDescent="0.2">
      <c r="D5521" s="50"/>
      <c r="E5521" s="73"/>
      <c r="F5521" s="45"/>
    </row>
    <row r="5522" spans="4:6" x14ac:dyDescent="0.2">
      <c r="D5522" s="50"/>
      <c r="E5522" s="73"/>
      <c r="F5522" s="45"/>
    </row>
    <row r="5523" spans="4:6" x14ac:dyDescent="0.2">
      <c r="D5523" s="50"/>
      <c r="E5523" s="73"/>
      <c r="F5523" s="45"/>
    </row>
    <row r="5524" spans="4:6" x14ac:dyDescent="0.2">
      <c r="D5524" s="50"/>
      <c r="E5524" s="73"/>
      <c r="F5524" s="45"/>
    </row>
    <row r="5525" spans="4:6" x14ac:dyDescent="0.2">
      <c r="D5525" s="50"/>
      <c r="E5525" s="73"/>
      <c r="F5525" s="45"/>
    </row>
    <row r="5526" spans="4:6" x14ac:dyDescent="0.2">
      <c r="D5526" s="50"/>
      <c r="E5526" s="73"/>
      <c r="F5526" s="45"/>
    </row>
    <row r="5527" spans="4:6" x14ac:dyDescent="0.2">
      <c r="D5527" s="50"/>
      <c r="E5527" s="73"/>
      <c r="F5527" s="45"/>
    </row>
    <row r="5528" spans="4:6" x14ac:dyDescent="0.2">
      <c r="D5528" s="50"/>
      <c r="E5528" s="73"/>
      <c r="F5528" s="45"/>
    </row>
    <row r="5529" spans="4:6" x14ac:dyDescent="0.2">
      <c r="D5529" s="50"/>
      <c r="E5529" s="73"/>
      <c r="F5529" s="45"/>
    </row>
    <row r="5530" spans="4:6" x14ac:dyDescent="0.2">
      <c r="D5530" s="50"/>
      <c r="E5530" s="73"/>
      <c r="F5530" s="45"/>
    </row>
    <row r="5531" spans="4:6" x14ac:dyDescent="0.2">
      <c r="D5531" s="50"/>
      <c r="E5531" s="73"/>
      <c r="F5531" s="45"/>
    </row>
    <row r="5532" spans="4:6" x14ac:dyDescent="0.2">
      <c r="D5532" s="50"/>
      <c r="E5532" s="73"/>
      <c r="F5532" s="45"/>
    </row>
    <row r="5533" spans="4:6" x14ac:dyDescent="0.2">
      <c r="D5533" s="50"/>
      <c r="E5533" s="73"/>
      <c r="F5533" s="45"/>
    </row>
    <row r="5534" spans="4:6" x14ac:dyDescent="0.2">
      <c r="D5534" s="50"/>
      <c r="E5534" s="73"/>
      <c r="F5534" s="45"/>
    </row>
    <row r="5535" spans="4:6" x14ac:dyDescent="0.2">
      <c r="D5535" s="50"/>
      <c r="E5535" s="73"/>
      <c r="F5535" s="45"/>
    </row>
    <row r="5536" spans="4:6" x14ac:dyDescent="0.2">
      <c r="D5536" s="50"/>
      <c r="E5536" s="73"/>
      <c r="F5536" s="45"/>
    </row>
    <row r="5537" spans="4:6" x14ac:dyDescent="0.2">
      <c r="D5537" s="50"/>
      <c r="E5537" s="73"/>
      <c r="F5537" s="45"/>
    </row>
    <row r="5538" spans="4:6" x14ac:dyDescent="0.2">
      <c r="D5538" s="50"/>
      <c r="E5538" s="73"/>
      <c r="F5538" s="45"/>
    </row>
    <row r="5539" spans="4:6" x14ac:dyDescent="0.2">
      <c r="D5539" s="50"/>
      <c r="E5539" s="73"/>
      <c r="F5539" s="45"/>
    </row>
    <row r="5540" spans="4:6" x14ac:dyDescent="0.2">
      <c r="D5540" s="50"/>
      <c r="E5540" s="73"/>
      <c r="F5540" s="45"/>
    </row>
    <row r="5541" spans="4:6" x14ac:dyDescent="0.2">
      <c r="D5541" s="50"/>
      <c r="E5541" s="73"/>
      <c r="F5541" s="45"/>
    </row>
    <row r="5542" spans="4:6" x14ac:dyDescent="0.2">
      <c r="D5542" s="50"/>
      <c r="E5542" s="73"/>
      <c r="F5542" s="45"/>
    </row>
    <row r="5543" spans="4:6" x14ac:dyDescent="0.2">
      <c r="D5543" s="50"/>
      <c r="E5543" s="73"/>
      <c r="F5543" s="45"/>
    </row>
    <row r="5544" spans="4:6" x14ac:dyDescent="0.2">
      <c r="D5544" s="50"/>
      <c r="E5544" s="73"/>
      <c r="F5544" s="45"/>
    </row>
    <row r="5545" spans="4:6" x14ac:dyDescent="0.2">
      <c r="D5545" s="50"/>
      <c r="E5545" s="73"/>
      <c r="F5545" s="45"/>
    </row>
    <row r="5546" spans="4:6" x14ac:dyDescent="0.2">
      <c r="D5546" s="50"/>
      <c r="E5546" s="73"/>
      <c r="F5546" s="45"/>
    </row>
    <row r="5547" spans="4:6" x14ac:dyDescent="0.2">
      <c r="D5547" s="50"/>
      <c r="E5547" s="73"/>
      <c r="F5547" s="45"/>
    </row>
    <row r="5548" spans="4:6" x14ac:dyDescent="0.2">
      <c r="D5548" s="50"/>
      <c r="E5548" s="73"/>
      <c r="F5548" s="45"/>
    </row>
    <row r="5549" spans="4:6" x14ac:dyDescent="0.2">
      <c r="D5549" s="50"/>
      <c r="E5549" s="73"/>
      <c r="F5549" s="45"/>
    </row>
    <row r="5550" spans="4:6" x14ac:dyDescent="0.2">
      <c r="D5550" s="50"/>
      <c r="E5550" s="73"/>
      <c r="F5550" s="45"/>
    </row>
    <row r="5551" spans="4:6" x14ac:dyDescent="0.2">
      <c r="D5551" s="50"/>
      <c r="E5551" s="73"/>
      <c r="F5551" s="45"/>
    </row>
    <row r="5552" spans="4:6" x14ac:dyDescent="0.2">
      <c r="D5552" s="50"/>
      <c r="E5552" s="73"/>
      <c r="F5552" s="45"/>
    </row>
    <row r="5553" spans="4:6" x14ac:dyDescent="0.2">
      <c r="D5553" s="50"/>
      <c r="E5553" s="73"/>
      <c r="F5553" s="45"/>
    </row>
    <row r="5554" spans="4:6" x14ac:dyDescent="0.2">
      <c r="D5554" s="50"/>
      <c r="E5554" s="73"/>
      <c r="F5554" s="45"/>
    </row>
    <row r="5555" spans="4:6" x14ac:dyDescent="0.2">
      <c r="D5555" s="50"/>
      <c r="E5555" s="73"/>
      <c r="F5555" s="45"/>
    </row>
    <row r="5556" spans="4:6" x14ac:dyDescent="0.2">
      <c r="D5556" s="50"/>
      <c r="E5556" s="73"/>
      <c r="F5556" s="45"/>
    </row>
    <row r="5557" spans="4:6" x14ac:dyDescent="0.2">
      <c r="D5557" s="50"/>
      <c r="E5557" s="73"/>
      <c r="F5557" s="45"/>
    </row>
    <row r="5558" spans="4:6" x14ac:dyDescent="0.2">
      <c r="D5558" s="50"/>
      <c r="E5558" s="73"/>
      <c r="F5558" s="45"/>
    </row>
    <row r="5559" spans="4:6" x14ac:dyDescent="0.2">
      <c r="D5559" s="50"/>
      <c r="E5559" s="73"/>
      <c r="F5559" s="45"/>
    </row>
    <row r="5560" spans="4:6" x14ac:dyDescent="0.2">
      <c r="D5560" s="50"/>
      <c r="E5560" s="73"/>
      <c r="F5560" s="45"/>
    </row>
    <row r="5561" spans="4:6" x14ac:dyDescent="0.2">
      <c r="D5561" s="50"/>
      <c r="E5561" s="73"/>
      <c r="F5561" s="45"/>
    </row>
    <row r="5562" spans="4:6" x14ac:dyDescent="0.2">
      <c r="D5562" s="50"/>
      <c r="E5562" s="73"/>
      <c r="F5562" s="45"/>
    </row>
    <row r="5563" spans="4:6" x14ac:dyDescent="0.2">
      <c r="D5563" s="50"/>
      <c r="E5563" s="73"/>
      <c r="F5563" s="45"/>
    </row>
    <row r="5564" spans="4:6" x14ac:dyDescent="0.2">
      <c r="D5564" s="50"/>
      <c r="E5564" s="73"/>
      <c r="F5564" s="45"/>
    </row>
    <row r="5565" spans="4:6" x14ac:dyDescent="0.2">
      <c r="D5565" s="50"/>
      <c r="E5565" s="73"/>
      <c r="F5565" s="45"/>
    </row>
    <row r="5566" spans="4:6" x14ac:dyDescent="0.2">
      <c r="D5566" s="50"/>
      <c r="E5566" s="73"/>
      <c r="F5566" s="45"/>
    </row>
    <row r="5567" spans="4:6" x14ac:dyDescent="0.2">
      <c r="D5567" s="50"/>
      <c r="E5567" s="73"/>
      <c r="F5567" s="45"/>
    </row>
    <row r="5568" spans="4:6" x14ac:dyDescent="0.2">
      <c r="D5568" s="50"/>
      <c r="E5568" s="73"/>
      <c r="F5568" s="45"/>
    </row>
    <row r="5569" spans="4:6" x14ac:dyDescent="0.2">
      <c r="D5569" s="50"/>
      <c r="E5569" s="73"/>
      <c r="F5569" s="45"/>
    </row>
    <row r="5570" spans="4:6" x14ac:dyDescent="0.2">
      <c r="D5570" s="50"/>
      <c r="E5570" s="73"/>
      <c r="F5570" s="45"/>
    </row>
    <row r="5571" spans="4:6" x14ac:dyDescent="0.2">
      <c r="D5571" s="50"/>
      <c r="E5571" s="73"/>
      <c r="F5571" s="45"/>
    </row>
    <row r="5572" spans="4:6" x14ac:dyDescent="0.2">
      <c r="D5572" s="50"/>
      <c r="E5572" s="73"/>
      <c r="F5572" s="45"/>
    </row>
    <row r="5573" spans="4:6" x14ac:dyDescent="0.2">
      <c r="D5573" s="50"/>
      <c r="E5573" s="73"/>
      <c r="F5573" s="45"/>
    </row>
    <row r="5574" spans="4:6" x14ac:dyDescent="0.2">
      <c r="D5574" s="50"/>
      <c r="E5574" s="73"/>
      <c r="F5574" s="45"/>
    </row>
    <row r="5575" spans="4:6" x14ac:dyDescent="0.2">
      <c r="D5575" s="50"/>
      <c r="E5575" s="73"/>
      <c r="F5575" s="45"/>
    </row>
    <row r="5576" spans="4:6" x14ac:dyDescent="0.2">
      <c r="D5576" s="50"/>
      <c r="E5576" s="73"/>
      <c r="F5576" s="45"/>
    </row>
    <row r="5577" spans="4:6" x14ac:dyDescent="0.2">
      <c r="D5577" s="50"/>
      <c r="E5577" s="73"/>
      <c r="F5577" s="45"/>
    </row>
    <row r="5578" spans="4:6" x14ac:dyDescent="0.2">
      <c r="D5578" s="50"/>
      <c r="E5578" s="73"/>
      <c r="F5578" s="45"/>
    </row>
    <row r="5579" spans="4:6" x14ac:dyDescent="0.2">
      <c r="D5579" s="50"/>
      <c r="E5579" s="73"/>
      <c r="F5579" s="45"/>
    </row>
    <row r="5580" spans="4:6" x14ac:dyDescent="0.2">
      <c r="D5580" s="50"/>
      <c r="E5580" s="73"/>
      <c r="F5580" s="45"/>
    </row>
    <row r="5581" spans="4:6" x14ac:dyDescent="0.2">
      <c r="D5581" s="50"/>
      <c r="E5581" s="73"/>
      <c r="F5581" s="45"/>
    </row>
    <row r="5582" spans="4:6" x14ac:dyDescent="0.2">
      <c r="D5582" s="50"/>
      <c r="E5582" s="73"/>
      <c r="F5582" s="45"/>
    </row>
    <row r="5583" spans="4:6" x14ac:dyDescent="0.2">
      <c r="D5583" s="50"/>
      <c r="E5583" s="73"/>
      <c r="F5583" s="45"/>
    </row>
    <row r="5584" spans="4:6" x14ac:dyDescent="0.2">
      <c r="D5584" s="50"/>
      <c r="E5584" s="73"/>
      <c r="F5584" s="45"/>
    </row>
    <row r="5585" spans="4:6" x14ac:dyDescent="0.2">
      <c r="D5585" s="50"/>
      <c r="E5585" s="73"/>
      <c r="F5585" s="45"/>
    </row>
    <row r="5586" spans="4:6" x14ac:dyDescent="0.2">
      <c r="D5586" s="50"/>
      <c r="E5586" s="73"/>
      <c r="F5586" s="45"/>
    </row>
    <row r="5587" spans="4:6" x14ac:dyDescent="0.2">
      <c r="D5587" s="50"/>
      <c r="E5587" s="73"/>
      <c r="F5587" s="45"/>
    </row>
    <row r="5588" spans="4:6" x14ac:dyDescent="0.2">
      <c r="D5588" s="50"/>
      <c r="E5588" s="73"/>
      <c r="F5588" s="45"/>
    </row>
    <row r="5589" spans="4:6" x14ac:dyDescent="0.2">
      <c r="D5589" s="50"/>
      <c r="E5589" s="73"/>
      <c r="F5589" s="45"/>
    </row>
    <row r="5590" spans="4:6" x14ac:dyDescent="0.2">
      <c r="D5590" s="50"/>
      <c r="E5590" s="73"/>
      <c r="F5590" s="45"/>
    </row>
    <row r="5591" spans="4:6" x14ac:dyDescent="0.2">
      <c r="D5591" s="50"/>
      <c r="E5591" s="73"/>
      <c r="F5591" s="45"/>
    </row>
    <row r="5592" spans="4:6" x14ac:dyDescent="0.2">
      <c r="D5592" s="50"/>
      <c r="E5592" s="73"/>
      <c r="F5592" s="45"/>
    </row>
    <row r="5593" spans="4:6" x14ac:dyDescent="0.2">
      <c r="D5593" s="50"/>
      <c r="E5593" s="73"/>
      <c r="F5593" s="45"/>
    </row>
    <row r="5594" spans="4:6" x14ac:dyDescent="0.2">
      <c r="D5594" s="50"/>
      <c r="E5594" s="73"/>
      <c r="F5594" s="45"/>
    </row>
    <row r="5595" spans="4:6" x14ac:dyDescent="0.2">
      <c r="D5595" s="50"/>
      <c r="E5595" s="73"/>
      <c r="F5595" s="45"/>
    </row>
    <row r="5596" spans="4:6" x14ac:dyDescent="0.2">
      <c r="D5596" s="50"/>
      <c r="E5596" s="73"/>
      <c r="F5596" s="45"/>
    </row>
    <row r="5597" spans="4:6" x14ac:dyDescent="0.2">
      <c r="D5597" s="50"/>
      <c r="E5597" s="73"/>
      <c r="F5597" s="45"/>
    </row>
    <row r="5598" spans="4:6" x14ac:dyDescent="0.2">
      <c r="D5598" s="50"/>
      <c r="E5598" s="73"/>
      <c r="F5598" s="45"/>
    </row>
    <row r="5599" spans="4:6" x14ac:dyDescent="0.2">
      <c r="D5599" s="50"/>
      <c r="E5599" s="73"/>
      <c r="F5599" s="45"/>
    </row>
    <row r="5600" spans="4:6" x14ac:dyDescent="0.2">
      <c r="D5600" s="50"/>
      <c r="E5600" s="73"/>
      <c r="F5600" s="45"/>
    </row>
    <row r="5601" spans="4:6" x14ac:dyDescent="0.2">
      <c r="D5601" s="50"/>
      <c r="E5601" s="73"/>
      <c r="F5601" s="45"/>
    </row>
    <row r="5602" spans="4:6" x14ac:dyDescent="0.2">
      <c r="D5602" s="50"/>
      <c r="E5602" s="73"/>
      <c r="F5602" s="45"/>
    </row>
    <row r="5603" spans="4:6" x14ac:dyDescent="0.2">
      <c r="D5603" s="50"/>
      <c r="E5603" s="73"/>
      <c r="F5603" s="45"/>
    </row>
    <row r="5604" spans="4:6" x14ac:dyDescent="0.2">
      <c r="D5604" s="50"/>
      <c r="E5604" s="73"/>
      <c r="F5604" s="45"/>
    </row>
    <row r="5605" spans="4:6" x14ac:dyDescent="0.2">
      <c r="D5605" s="50"/>
      <c r="E5605" s="73"/>
      <c r="F5605" s="45"/>
    </row>
    <row r="5606" spans="4:6" x14ac:dyDescent="0.2">
      <c r="D5606" s="50"/>
      <c r="E5606" s="73"/>
      <c r="F5606" s="45"/>
    </row>
    <row r="5607" spans="4:6" x14ac:dyDescent="0.2">
      <c r="D5607" s="50"/>
      <c r="E5607" s="73"/>
      <c r="F5607" s="45"/>
    </row>
    <row r="5608" spans="4:6" x14ac:dyDescent="0.2">
      <c r="D5608" s="50"/>
      <c r="E5608" s="73"/>
      <c r="F5608" s="45"/>
    </row>
    <row r="5609" spans="4:6" x14ac:dyDescent="0.2">
      <c r="D5609" s="50"/>
      <c r="E5609" s="73"/>
      <c r="F5609" s="45"/>
    </row>
    <row r="5610" spans="4:6" x14ac:dyDescent="0.2">
      <c r="D5610" s="50"/>
      <c r="E5610" s="73"/>
      <c r="F5610" s="45"/>
    </row>
    <row r="5611" spans="4:6" x14ac:dyDescent="0.2">
      <c r="D5611" s="50"/>
      <c r="E5611" s="73"/>
      <c r="F5611" s="45"/>
    </row>
    <row r="5612" spans="4:6" x14ac:dyDescent="0.2">
      <c r="D5612" s="50"/>
      <c r="E5612" s="73"/>
      <c r="F5612" s="45"/>
    </row>
    <row r="5613" spans="4:6" x14ac:dyDescent="0.2">
      <c r="D5613" s="50"/>
      <c r="E5613" s="73"/>
      <c r="F5613" s="45"/>
    </row>
    <row r="5614" spans="4:6" x14ac:dyDescent="0.2">
      <c r="D5614" s="50"/>
      <c r="E5614" s="73"/>
      <c r="F5614" s="45"/>
    </row>
    <row r="5615" spans="4:6" x14ac:dyDescent="0.2">
      <c r="D5615" s="50"/>
      <c r="E5615" s="73"/>
      <c r="F5615" s="45"/>
    </row>
    <row r="5616" spans="4:6" x14ac:dyDescent="0.2">
      <c r="D5616" s="50"/>
      <c r="E5616" s="73"/>
      <c r="F5616" s="45"/>
    </row>
    <row r="5617" spans="4:6" x14ac:dyDescent="0.2">
      <c r="D5617" s="50"/>
      <c r="E5617" s="73"/>
      <c r="F5617" s="45"/>
    </row>
    <row r="5618" spans="4:6" x14ac:dyDescent="0.2">
      <c r="D5618" s="50"/>
      <c r="E5618" s="73"/>
      <c r="F5618" s="45"/>
    </row>
    <row r="5619" spans="4:6" x14ac:dyDescent="0.2">
      <c r="D5619" s="50"/>
      <c r="E5619" s="73"/>
      <c r="F5619" s="45"/>
    </row>
    <row r="5620" spans="4:6" x14ac:dyDescent="0.2">
      <c r="D5620" s="50"/>
      <c r="E5620" s="73"/>
      <c r="F5620" s="45"/>
    </row>
    <row r="5621" spans="4:6" x14ac:dyDescent="0.2">
      <c r="D5621" s="50"/>
      <c r="E5621" s="73"/>
      <c r="F5621" s="45"/>
    </row>
    <row r="5622" spans="4:6" x14ac:dyDescent="0.2">
      <c r="D5622" s="50"/>
      <c r="E5622" s="73"/>
      <c r="F5622" s="45"/>
    </row>
    <row r="5623" spans="4:6" x14ac:dyDescent="0.2">
      <c r="D5623" s="50"/>
      <c r="E5623" s="73"/>
      <c r="F5623" s="45"/>
    </row>
    <row r="5624" spans="4:6" x14ac:dyDescent="0.2">
      <c r="D5624" s="50"/>
      <c r="E5624" s="73"/>
      <c r="F5624" s="45"/>
    </row>
    <row r="5625" spans="4:6" x14ac:dyDescent="0.2">
      <c r="D5625" s="50"/>
      <c r="E5625" s="73"/>
      <c r="F5625" s="45"/>
    </row>
    <row r="5626" spans="4:6" x14ac:dyDescent="0.2">
      <c r="D5626" s="50"/>
      <c r="E5626" s="73"/>
      <c r="F5626" s="45"/>
    </row>
    <row r="5627" spans="4:6" x14ac:dyDescent="0.2">
      <c r="D5627" s="50"/>
      <c r="E5627" s="73"/>
      <c r="F5627" s="45"/>
    </row>
    <row r="5628" spans="4:6" x14ac:dyDescent="0.2">
      <c r="D5628" s="50"/>
      <c r="E5628" s="73"/>
      <c r="F5628" s="45"/>
    </row>
    <row r="5629" spans="4:6" x14ac:dyDescent="0.2">
      <c r="D5629" s="50"/>
      <c r="E5629" s="73"/>
      <c r="F5629" s="45"/>
    </row>
    <row r="5630" spans="4:6" x14ac:dyDescent="0.2">
      <c r="D5630" s="50"/>
      <c r="E5630" s="73"/>
      <c r="F5630" s="45"/>
    </row>
    <row r="5631" spans="4:6" x14ac:dyDescent="0.2">
      <c r="D5631" s="50"/>
      <c r="E5631" s="73"/>
      <c r="F5631" s="45"/>
    </row>
    <row r="5632" spans="4:6" x14ac:dyDescent="0.2">
      <c r="D5632" s="50"/>
      <c r="E5632" s="73"/>
      <c r="F5632" s="45"/>
    </row>
    <row r="5633" spans="4:6" x14ac:dyDescent="0.2">
      <c r="D5633" s="50"/>
      <c r="E5633" s="73"/>
      <c r="F5633" s="45"/>
    </row>
    <row r="5634" spans="4:6" x14ac:dyDescent="0.2">
      <c r="D5634" s="50"/>
      <c r="E5634" s="73"/>
      <c r="F5634" s="45"/>
    </row>
    <row r="5635" spans="4:6" x14ac:dyDescent="0.2">
      <c r="D5635" s="50"/>
      <c r="E5635" s="73"/>
      <c r="F5635" s="45"/>
    </row>
    <row r="5636" spans="4:6" x14ac:dyDescent="0.2">
      <c r="D5636" s="50"/>
      <c r="E5636" s="73"/>
      <c r="F5636" s="45"/>
    </row>
    <row r="5637" spans="4:6" x14ac:dyDescent="0.2">
      <c r="D5637" s="50"/>
      <c r="E5637" s="73"/>
      <c r="F5637" s="45"/>
    </row>
    <row r="5638" spans="4:6" x14ac:dyDescent="0.2">
      <c r="D5638" s="50"/>
      <c r="E5638" s="73"/>
      <c r="F5638" s="45"/>
    </row>
    <row r="5639" spans="4:6" x14ac:dyDescent="0.2">
      <c r="D5639" s="50"/>
      <c r="E5639" s="73"/>
      <c r="F5639" s="45"/>
    </row>
    <row r="5640" spans="4:6" x14ac:dyDescent="0.2">
      <c r="D5640" s="50"/>
      <c r="E5640" s="73"/>
      <c r="F5640" s="45"/>
    </row>
    <row r="5641" spans="4:6" x14ac:dyDescent="0.2">
      <c r="D5641" s="50"/>
      <c r="E5641" s="73"/>
      <c r="F5641" s="45"/>
    </row>
    <row r="5642" spans="4:6" x14ac:dyDescent="0.2">
      <c r="D5642" s="50"/>
      <c r="E5642" s="73"/>
      <c r="F5642" s="45"/>
    </row>
    <row r="5643" spans="4:6" x14ac:dyDescent="0.2">
      <c r="D5643" s="50"/>
      <c r="E5643" s="73"/>
      <c r="F5643" s="45"/>
    </row>
    <row r="5644" spans="4:6" x14ac:dyDescent="0.2">
      <c r="D5644" s="50"/>
      <c r="E5644" s="73"/>
      <c r="F5644" s="45"/>
    </row>
    <row r="5645" spans="4:6" x14ac:dyDescent="0.2">
      <c r="D5645" s="50"/>
      <c r="E5645" s="73"/>
      <c r="F5645" s="45"/>
    </row>
    <row r="5646" spans="4:6" x14ac:dyDescent="0.2">
      <c r="D5646" s="50"/>
      <c r="E5646" s="73"/>
      <c r="F5646" s="45"/>
    </row>
    <row r="5647" spans="4:6" x14ac:dyDescent="0.2">
      <c r="D5647" s="50"/>
      <c r="E5647" s="73"/>
      <c r="F5647" s="45"/>
    </row>
    <row r="5648" spans="4:6" x14ac:dyDescent="0.2">
      <c r="D5648" s="50"/>
      <c r="E5648" s="73"/>
      <c r="F5648" s="45"/>
    </row>
    <row r="5649" spans="4:6" x14ac:dyDescent="0.2">
      <c r="D5649" s="50"/>
      <c r="E5649" s="73"/>
      <c r="F5649" s="45"/>
    </row>
    <row r="5650" spans="4:6" x14ac:dyDescent="0.2">
      <c r="D5650" s="50"/>
      <c r="E5650" s="73"/>
      <c r="F5650" s="45"/>
    </row>
    <row r="5651" spans="4:6" x14ac:dyDescent="0.2">
      <c r="D5651" s="50"/>
      <c r="E5651" s="73"/>
      <c r="F5651" s="45"/>
    </row>
    <row r="5652" spans="4:6" x14ac:dyDescent="0.2">
      <c r="D5652" s="50"/>
      <c r="E5652" s="73"/>
      <c r="F5652" s="45"/>
    </row>
    <row r="5653" spans="4:6" x14ac:dyDescent="0.2">
      <c r="D5653" s="50"/>
      <c r="E5653" s="73"/>
      <c r="F5653" s="45"/>
    </row>
    <row r="5654" spans="4:6" x14ac:dyDescent="0.2">
      <c r="D5654" s="50"/>
      <c r="E5654" s="73"/>
      <c r="F5654" s="45"/>
    </row>
    <row r="5655" spans="4:6" x14ac:dyDescent="0.2">
      <c r="D5655" s="50"/>
      <c r="E5655" s="73"/>
      <c r="F5655" s="45"/>
    </row>
    <row r="5656" spans="4:6" x14ac:dyDescent="0.2">
      <c r="D5656" s="50"/>
      <c r="E5656" s="73"/>
      <c r="F5656" s="45"/>
    </row>
    <row r="5657" spans="4:6" x14ac:dyDescent="0.2">
      <c r="D5657" s="50"/>
      <c r="E5657" s="73"/>
      <c r="F5657" s="45"/>
    </row>
    <row r="5658" spans="4:6" x14ac:dyDescent="0.2">
      <c r="D5658" s="50"/>
      <c r="E5658" s="73"/>
      <c r="F5658" s="45"/>
    </row>
    <row r="5659" spans="4:6" x14ac:dyDescent="0.2">
      <c r="D5659" s="50"/>
      <c r="E5659" s="73"/>
      <c r="F5659" s="45"/>
    </row>
    <row r="5660" spans="4:6" x14ac:dyDescent="0.2">
      <c r="D5660" s="50"/>
      <c r="E5660" s="73"/>
      <c r="F5660" s="45"/>
    </row>
    <row r="5661" spans="4:6" x14ac:dyDescent="0.2">
      <c r="D5661" s="50"/>
      <c r="E5661" s="73"/>
      <c r="F5661" s="45"/>
    </row>
    <row r="5662" spans="4:6" x14ac:dyDescent="0.2">
      <c r="D5662" s="50"/>
      <c r="E5662" s="73"/>
      <c r="F5662" s="45"/>
    </row>
    <row r="5663" spans="4:6" x14ac:dyDescent="0.2">
      <c r="D5663" s="50"/>
      <c r="E5663" s="73"/>
      <c r="F5663" s="45"/>
    </row>
    <row r="5664" spans="4:6" x14ac:dyDescent="0.2">
      <c r="D5664" s="50"/>
      <c r="E5664" s="73"/>
      <c r="F5664" s="45"/>
    </row>
    <row r="5665" spans="4:6" x14ac:dyDescent="0.2">
      <c r="D5665" s="50"/>
      <c r="E5665" s="73"/>
      <c r="F5665" s="45"/>
    </row>
    <row r="5666" spans="4:6" x14ac:dyDescent="0.2">
      <c r="D5666" s="50"/>
      <c r="E5666" s="73"/>
      <c r="F5666" s="45"/>
    </row>
    <row r="5667" spans="4:6" x14ac:dyDescent="0.2">
      <c r="D5667" s="50"/>
      <c r="E5667" s="73"/>
      <c r="F5667" s="45"/>
    </row>
    <row r="5668" spans="4:6" x14ac:dyDescent="0.2">
      <c r="D5668" s="50"/>
      <c r="E5668" s="73"/>
      <c r="F5668" s="45"/>
    </row>
    <row r="5669" spans="4:6" x14ac:dyDescent="0.2">
      <c r="D5669" s="50"/>
      <c r="E5669" s="73"/>
      <c r="F5669" s="45"/>
    </row>
    <row r="5670" spans="4:6" x14ac:dyDescent="0.2">
      <c r="D5670" s="50"/>
      <c r="E5670" s="73"/>
      <c r="F5670" s="45"/>
    </row>
    <row r="5671" spans="4:6" x14ac:dyDescent="0.2">
      <c r="D5671" s="50"/>
      <c r="E5671" s="73"/>
      <c r="F5671" s="45"/>
    </row>
    <row r="5672" spans="4:6" x14ac:dyDescent="0.2">
      <c r="D5672" s="50"/>
      <c r="E5672" s="73"/>
      <c r="F5672" s="45"/>
    </row>
    <row r="5673" spans="4:6" x14ac:dyDescent="0.2">
      <c r="D5673" s="50"/>
      <c r="E5673" s="73"/>
      <c r="F5673" s="45"/>
    </row>
    <row r="5674" spans="4:6" x14ac:dyDescent="0.2">
      <c r="D5674" s="50"/>
      <c r="E5674" s="73"/>
      <c r="F5674" s="45"/>
    </row>
    <row r="5675" spans="4:6" x14ac:dyDescent="0.2">
      <c r="D5675" s="50"/>
      <c r="E5675" s="73"/>
      <c r="F5675" s="45"/>
    </row>
    <row r="5676" spans="4:6" x14ac:dyDescent="0.2">
      <c r="D5676" s="50"/>
      <c r="E5676" s="73"/>
      <c r="F5676" s="45"/>
    </row>
    <row r="5677" spans="4:6" x14ac:dyDescent="0.2">
      <c r="D5677" s="50"/>
      <c r="E5677" s="73"/>
      <c r="F5677" s="45"/>
    </row>
    <row r="5678" spans="4:6" x14ac:dyDescent="0.2">
      <c r="D5678" s="50"/>
      <c r="E5678" s="73"/>
      <c r="F5678" s="45"/>
    </row>
    <row r="5679" spans="4:6" x14ac:dyDescent="0.2">
      <c r="D5679" s="50"/>
      <c r="E5679" s="73"/>
      <c r="F5679" s="45"/>
    </row>
    <row r="5680" spans="4:6" x14ac:dyDescent="0.2">
      <c r="D5680" s="50"/>
      <c r="E5680" s="73"/>
      <c r="F5680" s="45"/>
    </row>
    <row r="5681" spans="4:6" x14ac:dyDescent="0.2">
      <c r="D5681" s="50"/>
      <c r="E5681" s="73"/>
      <c r="F5681" s="45"/>
    </row>
    <row r="5682" spans="4:6" x14ac:dyDescent="0.2">
      <c r="D5682" s="50"/>
      <c r="E5682" s="73"/>
      <c r="F5682" s="45"/>
    </row>
    <row r="5683" spans="4:6" x14ac:dyDescent="0.2">
      <c r="D5683" s="50"/>
      <c r="E5683" s="73"/>
      <c r="F5683" s="45"/>
    </row>
    <row r="5684" spans="4:6" x14ac:dyDescent="0.2">
      <c r="D5684" s="50"/>
      <c r="E5684" s="73"/>
      <c r="F5684" s="45"/>
    </row>
    <row r="5685" spans="4:6" x14ac:dyDescent="0.2">
      <c r="D5685" s="50"/>
      <c r="E5685" s="73"/>
      <c r="F5685" s="45"/>
    </row>
    <row r="5686" spans="4:6" x14ac:dyDescent="0.2">
      <c r="D5686" s="50"/>
      <c r="E5686" s="73"/>
      <c r="F5686" s="45"/>
    </row>
    <row r="5687" spans="4:6" x14ac:dyDescent="0.2">
      <c r="D5687" s="50"/>
      <c r="E5687" s="73"/>
      <c r="F5687" s="45"/>
    </row>
    <row r="5688" spans="4:6" x14ac:dyDescent="0.2">
      <c r="D5688" s="50"/>
      <c r="E5688" s="73"/>
      <c r="F5688" s="45"/>
    </row>
    <row r="5689" spans="4:6" x14ac:dyDescent="0.2">
      <c r="D5689" s="50"/>
      <c r="E5689" s="73"/>
      <c r="F5689" s="45"/>
    </row>
    <row r="5690" spans="4:6" x14ac:dyDescent="0.2">
      <c r="D5690" s="50"/>
      <c r="E5690" s="73"/>
      <c r="F5690" s="45"/>
    </row>
    <row r="5691" spans="4:6" x14ac:dyDescent="0.2">
      <c r="D5691" s="50"/>
      <c r="E5691" s="73"/>
      <c r="F5691" s="45"/>
    </row>
    <row r="5692" spans="4:6" x14ac:dyDescent="0.2">
      <c r="D5692" s="50"/>
      <c r="E5692" s="73"/>
      <c r="F5692" s="45"/>
    </row>
    <row r="5693" spans="4:6" x14ac:dyDescent="0.2">
      <c r="D5693" s="50"/>
      <c r="E5693" s="73"/>
      <c r="F5693" s="45"/>
    </row>
    <row r="5694" spans="4:6" x14ac:dyDescent="0.2">
      <c r="D5694" s="50"/>
      <c r="E5694" s="73"/>
      <c r="F5694" s="45"/>
    </row>
    <row r="5695" spans="4:6" x14ac:dyDescent="0.2">
      <c r="D5695" s="50"/>
      <c r="E5695" s="73"/>
      <c r="F5695" s="45"/>
    </row>
    <row r="5696" spans="4:6" x14ac:dyDescent="0.2">
      <c r="D5696" s="50"/>
      <c r="E5696" s="73"/>
      <c r="F5696" s="45"/>
    </row>
    <row r="5697" spans="4:6" x14ac:dyDescent="0.2">
      <c r="D5697" s="50"/>
      <c r="E5697" s="73"/>
      <c r="F5697" s="45"/>
    </row>
    <row r="5698" spans="4:6" x14ac:dyDescent="0.2">
      <c r="D5698" s="50"/>
      <c r="E5698" s="73"/>
      <c r="F5698" s="45"/>
    </row>
    <row r="5699" spans="4:6" x14ac:dyDescent="0.2">
      <c r="D5699" s="50"/>
      <c r="E5699" s="73"/>
      <c r="F5699" s="45"/>
    </row>
    <row r="5700" spans="4:6" x14ac:dyDescent="0.2">
      <c r="D5700" s="50"/>
      <c r="E5700" s="73"/>
      <c r="F5700" s="45"/>
    </row>
    <row r="5701" spans="4:6" x14ac:dyDescent="0.2">
      <c r="D5701" s="50"/>
      <c r="E5701" s="73"/>
      <c r="F5701" s="45"/>
    </row>
    <row r="5702" spans="4:6" x14ac:dyDescent="0.2">
      <c r="D5702" s="50"/>
      <c r="E5702" s="73"/>
      <c r="F5702" s="45"/>
    </row>
    <row r="5703" spans="4:6" x14ac:dyDescent="0.2">
      <c r="D5703" s="50"/>
      <c r="E5703" s="73"/>
      <c r="F5703" s="45"/>
    </row>
    <row r="5704" spans="4:6" x14ac:dyDescent="0.2">
      <c r="D5704" s="50"/>
      <c r="E5704" s="73"/>
      <c r="F5704" s="45"/>
    </row>
    <row r="5705" spans="4:6" x14ac:dyDescent="0.2">
      <c r="D5705" s="50"/>
      <c r="E5705" s="73"/>
      <c r="F5705" s="45"/>
    </row>
    <row r="5706" spans="4:6" x14ac:dyDescent="0.2">
      <c r="D5706" s="50"/>
      <c r="E5706" s="73"/>
      <c r="F5706" s="45"/>
    </row>
    <row r="5707" spans="4:6" x14ac:dyDescent="0.2">
      <c r="D5707" s="50"/>
      <c r="E5707" s="73"/>
      <c r="F5707" s="45"/>
    </row>
    <row r="5708" spans="4:6" x14ac:dyDescent="0.2">
      <c r="D5708" s="50"/>
      <c r="E5708" s="73"/>
      <c r="F5708" s="45"/>
    </row>
    <row r="5709" spans="4:6" x14ac:dyDescent="0.2">
      <c r="D5709" s="50"/>
      <c r="E5709" s="73"/>
      <c r="F5709" s="45"/>
    </row>
    <row r="5710" spans="4:6" x14ac:dyDescent="0.2">
      <c r="D5710" s="50"/>
      <c r="E5710" s="73"/>
      <c r="F5710" s="45"/>
    </row>
    <row r="5711" spans="4:6" x14ac:dyDescent="0.2">
      <c r="D5711" s="50"/>
      <c r="E5711" s="73"/>
      <c r="F5711" s="45"/>
    </row>
    <row r="5712" spans="4:6" x14ac:dyDescent="0.2">
      <c r="D5712" s="50"/>
      <c r="E5712" s="73"/>
      <c r="F5712" s="45"/>
    </row>
    <row r="5713" spans="4:6" x14ac:dyDescent="0.2">
      <c r="D5713" s="50"/>
      <c r="E5713" s="73"/>
      <c r="F5713" s="45"/>
    </row>
    <row r="5714" spans="4:6" x14ac:dyDescent="0.2">
      <c r="D5714" s="50"/>
      <c r="E5714" s="73"/>
      <c r="F5714" s="45"/>
    </row>
    <row r="5715" spans="4:6" x14ac:dyDescent="0.2">
      <c r="D5715" s="50"/>
      <c r="E5715" s="73"/>
      <c r="F5715" s="45"/>
    </row>
    <row r="5716" spans="4:6" x14ac:dyDescent="0.2">
      <c r="D5716" s="50"/>
      <c r="E5716" s="73"/>
      <c r="F5716" s="45"/>
    </row>
    <row r="5717" spans="4:6" x14ac:dyDescent="0.2">
      <c r="D5717" s="50"/>
      <c r="E5717" s="73"/>
      <c r="F5717" s="45"/>
    </row>
    <row r="5718" spans="4:6" x14ac:dyDescent="0.2">
      <c r="D5718" s="50"/>
      <c r="E5718" s="73"/>
      <c r="F5718" s="45"/>
    </row>
    <row r="5719" spans="4:6" x14ac:dyDescent="0.2">
      <c r="D5719" s="50"/>
      <c r="E5719" s="73"/>
      <c r="F5719" s="45"/>
    </row>
    <row r="5720" spans="4:6" x14ac:dyDescent="0.2">
      <c r="D5720" s="50"/>
      <c r="E5720" s="73"/>
      <c r="F5720" s="45"/>
    </row>
    <row r="5721" spans="4:6" x14ac:dyDescent="0.2">
      <c r="D5721" s="50"/>
      <c r="E5721" s="73"/>
      <c r="F5721" s="45"/>
    </row>
    <row r="5722" spans="4:6" x14ac:dyDescent="0.2">
      <c r="D5722" s="50"/>
      <c r="E5722" s="73"/>
      <c r="F5722" s="45"/>
    </row>
    <row r="5723" spans="4:6" x14ac:dyDescent="0.2">
      <c r="D5723" s="50"/>
      <c r="E5723" s="73"/>
      <c r="F5723" s="45"/>
    </row>
    <row r="5724" spans="4:6" x14ac:dyDescent="0.2">
      <c r="D5724" s="50"/>
      <c r="E5724" s="73"/>
      <c r="F5724" s="45"/>
    </row>
    <row r="5725" spans="4:6" x14ac:dyDescent="0.2">
      <c r="D5725" s="50"/>
      <c r="E5725" s="73"/>
      <c r="F5725" s="45"/>
    </row>
    <row r="5726" spans="4:6" x14ac:dyDescent="0.2">
      <c r="D5726" s="50"/>
      <c r="E5726" s="73"/>
      <c r="F5726" s="45"/>
    </row>
    <row r="5727" spans="4:6" x14ac:dyDescent="0.2">
      <c r="D5727" s="50"/>
      <c r="E5727" s="73"/>
      <c r="F5727" s="45"/>
    </row>
    <row r="5728" spans="4:6" x14ac:dyDescent="0.2">
      <c r="D5728" s="50"/>
      <c r="E5728" s="73"/>
      <c r="F5728" s="45"/>
    </row>
    <row r="5729" spans="4:6" x14ac:dyDescent="0.2">
      <c r="D5729" s="50"/>
      <c r="E5729" s="73"/>
      <c r="F5729" s="45"/>
    </row>
    <row r="5730" spans="4:6" x14ac:dyDescent="0.2">
      <c r="D5730" s="50"/>
      <c r="E5730" s="73"/>
      <c r="F5730" s="45"/>
    </row>
    <row r="5731" spans="4:6" x14ac:dyDescent="0.2">
      <c r="D5731" s="50"/>
      <c r="E5731" s="73"/>
      <c r="F5731" s="45"/>
    </row>
    <row r="5732" spans="4:6" x14ac:dyDescent="0.2">
      <c r="D5732" s="50"/>
      <c r="E5732" s="73"/>
      <c r="F5732" s="45"/>
    </row>
    <row r="5733" spans="4:6" x14ac:dyDescent="0.2">
      <c r="D5733" s="50"/>
      <c r="E5733" s="73"/>
      <c r="F5733" s="45"/>
    </row>
    <row r="5734" spans="4:6" x14ac:dyDescent="0.2">
      <c r="D5734" s="50"/>
      <c r="E5734" s="73"/>
      <c r="F5734" s="45"/>
    </row>
    <row r="5735" spans="4:6" x14ac:dyDescent="0.2">
      <c r="D5735" s="50"/>
      <c r="E5735" s="73"/>
      <c r="F5735" s="45"/>
    </row>
    <row r="5736" spans="4:6" x14ac:dyDescent="0.2">
      <c r="D5736" s="50"/>
      <c r="E5736" s="73"/>
      <c r="F5736" s="45"/>
    </row>
    <row r="5737" spans="4:6" x14ac:dyDescent="0.2">
      <c r="D5737" s="50"/>
      <c r="E5737" s="73"/>
      <c r="F5737" s="45"/>
    </row>
    <row r="5738" spans="4:6" x14ac:dyDescent="0.2">
      <c r="D5738" s="50"/>
      <c r="E5738" s="73"/>
      <c r="F5738" s="45"/>
    </row>
    <row r="5739" spans="4:6" x14ac:dyDescent="0.2">
      <c r="D5739" s="50"/>
      <c r="E5739" s="73"/>
      <c r="F5739" s="45"/>
    </row>
    <row r="5740" spans="4:6" x14ac:dyDescent="0.2">
      <c r="D5740" s="50"/>
      <c r="E5740" s="73"/>
      <c r="F5740" s="45"/>
    </row>
    <row r="5741" spans="4:6" x14ac:dyDescent="0.2">
      <c r="D5741" s="50"/>
      <c r="E5741" s="73"/>
      <c r="F5741" s="45"/>
    </row>
    <row r="5742" spans="4:6" x14ac:dyDescent="0.2">
      <c r="D5742" s="50"/>
      <c r="E5742" s="73"/>
      <c r="F5742" s="45"/>
    </row>
    <row r="5743" spans="4:6" x14ac:dyDescent="0.2">
      <c r="D5743" s="50"/>
      <c r="E5743" s="73"/>
      <c r="F5743" s="45"/>
    </row>
    <row r="5744" spans="4:6" x14ac:dyDescent="0.2">
      <c r="D5744" s="50"/>
      <c r="E5744" s="73"/>
      <c r="F5744" s="45"/>
    </row>
    <row r="5745" spans="4:6" x14ac:dyDescent="0.2">
      <c r="D5745" s="50"/>
      <c r="E5745" s="73"/>
      <c r="F5745" s="45"/>
    </row>
    <row r="5746" spans="4:6" x14ac:dyDescent="0.2">
      <c r="D5746" s="50"/>
      <c r="E5746" s="73"/>
      <c r="F5746" s="45"/>
    </row>
    <row r="5747" spans="4:6" x14ac:dyDescent="0.2">
      <c r="D5747" s="50"/>
      <c r="E5747" s="73"/>
      <c r="F5747" s="45"/>
    </row>
    <row r="5748" spans="4:6" x14ac:dyDescent="0.2">
      <c r="D5748" s="50"/>
      <c r="E5748" s="73"/>
      <c r="F5748" s="45"/>
    </row>
    <row r="5749" spans="4:6" x14ac:dyDescent="0.2">
      <c r="D5749" s="50"/>
      <c r="E5749" s="73"/>
      <c r="F5749" s="45"/>
    </row>
    <row r="5750" spans="4:6" x14ac:dyDescent="0.2">
      <c r="D5750" s="50"/>
      <c r="E5750" s="73"/>
      <c r="F5750" s="45"/>
    </row>
    <row r="5751" spans="4:6" x14ac:dyDescent="0.2">
      <c r="D5751" s="50"/>
      <c r="E5751" s="73"/>
      <c r="F5751" s="45"/>
    </row>
    <row r="5752" spans="4:6" x14ac:dyDescent="0.2">
      <c r="D5752" s="50"/>
      <c r="E5752" s="73"/>
      <c r="F5752" s="45"/>
    </row>
    <row r="5753" spans="4:6" x14ac:dyDescent="0.2">
      <c r="D5753" s="50"/>
      <c r="E5753" s="73"/>
      <c r="F5753" s="45"/>
    </row>
    <row r="5754" spans="4:6" x14ac:dyDescent="0.2">
      <c r="D5754" s="50"/>
      <c r="E5754" s="73"/>
      <c r="F5754" s="45"/>
    </row>
    <row r="5755" spans="4:6" x14ac:dyDescent="0.2">
      <c r="D5755" s="50"/>
      <c r="E5755" s="73"/>
      <c r="F5755" s="45"/>
    </row>
    <row r="5756" spans="4:6" x14ac:dyDescent="0.2">
      <c r="D5756" s="50"/>
      <c r="E5756" s="73"/>
      <c r="F5756" s="45"/>
    </row>
    <row r="5757" spans="4:6" x14ac:dyDescent="0.2">
      <c r="D5757" s="50"/>
      <c r="E5757" s="73"/>
      <c r="F5757" s="45"/>
    </row>
    <row r="5758" spans="4:6" x14ac:dyDescent="0.2">
      <c r="D5758" s="50"/>
      <c r="E5758" s="73"/>
      <c r="F5758" s="45"/>
    </row>
    <row r="5759" spans="4:6" x14ac:dyDescent="0.2">
      <c r="D5759" s="50"/>
      <c r="E5759" s="73"/>
      <c r="F5759" s="45"/>
    </row>
    <row r="5760" spans="4:6" x14ac:dyDescent="0.2">
      <c r="D5760" s="50"/>
      <c r="E5760" s="73"/>
      <c r="F5760" s="45"/>
    </row>
    <row r="5761" spans="4:6" x14ac:dyDescent="0.2">
      <c r="D5761" s="50"/>
      <c r="E5761" s="73"/>
      <c r="F5761" s="45"/>
    </row>
    <row r="5762" spans="4:6" x14ac:dyDescent="0.2">
      <c r="D5762" s="50"/>
      <c r="E5762" s="73"/>
      <c r="F5762" s="45"/>
    </row>
    <row r="5763" spans="4:6" x14ac:dyDescent="0.2">
      <c r="D5763" s="50"/>
      <c r="E5763" s="73"/>
      <c r="F5763" s="45"/>
    </row>
    <row r="5764" spans="4:6" x14ac:dyDescent="0.2">
      <c r="D5764" s="50"/>
      <c r="E5764" s="73"/>
      <c r="F5764" s="45"/>
    </row>
    <row r="5765" spans="4:6" x14ac:dyDescent="0.2">
      <c r="D5765" s="50"/>
      <c r="E5765" s="73"/>
      <c r="F5765" s="45"/>
    </row>
    <row r="5766" spans="4:6" x14ac:dyDescent="0.2">
      <c r="D5766" s="50"/>
      <c r="E5766" s="73"/>
      <c r="F5766" s="45"/>
    </row>
    <row r="5767" spans="4:6" x14ac:dyDescent="0.2">
      <c r="D5767" s="50"/>
      <c r="E5767" s="73"/>
      <c r="F5767" s="45"/>
    </row>
    <row r="5768" spans="4:6" x14ac:dyDescent="0.2">
      <c r="D5768" s="50"/>
      <c r="E5768" s="73"/>
      <c r="F5768" s="45"/>
    </row>
    <row r="5769" spans="4:6" x14ac:dyDescent="0.2">
      <c r="D5769" s="50"/>
      <c r="E5769" s="73"/>
      <c r="F5769" s="45"/>
    </row>
    <row r="5770" spans="4:6" x14ac:dyDescent="0.2">
      <c r="D5770" s="50"/>
      <c r="E5770" s="73"/>
      <c r="F5770" s="45"/>
    </row>
    <row r="5771" spans="4:6" x14ac:dyDescent="0.2">
      <c r="D5771" s="50"/>
      <c r="E5771" s="73"/>
      <c r="F5771" s="45"/>
    </row>
    <row r="5772" spans="4:6" x14ac:dyDescent="0.2">
      <c r="D5772" s="50"/>
      <c r="E5772" s="73"/>
      <c r="F5772" s="45"/>
    </row>
    <row r="5773" spans="4:6" x14ac:dyDescent="0.2">
      <c r="D5773" s="50"/>
      <c r="E5773" s="73"/>
      <c r="F5773" s="45"/>
    </row>
    <row r="5774" spans="4:6" x14ac:dyDescent="0.2">
      <c r="D5774" s="50"/>
      <c r="E5774" s="73"/>
      <c r="F5774" s="45"/>
    </row>
    <row r="5775" spans="4:6" x14ac:dyDescent="0.2">
      <c r="D5775" s="50"/>
      <c r="E5775" s="73"/>
      <c r="F5775" s="45"/>
    </row>
    <row r="5776" spans="4:6" x14ac:dyDescent="0.2">
      <c r="D5776" s="50"/>
      <c r="E5776" s="73"/>
      <c r="F5776" s="45"/>
    </row>
    <row r="5777" spans="4:6" x14ac:dyDescent="0.2">
      <c r="D5777" s="50"/>
      <c r="E5777" s="73"/>
      <c r="F5777" s="45"/>
    </row>
    <row r="5778" spans="4:6" x14ac:dyDescent="0.2">
      <c r="D5778" s="50"/>
      <c r="E5778" s="73"/>
      <c r="F5778" s="45"/>
    </row>
    <row r="5779" spans="4:6" x14ac:dyDescent="0.2">
      <c r="D5779" s="50"/>
      <c r="E5779" s="73"/>
      <c r="F5779" s="45"/>
    </row>
    <row r="5780" spans="4:6" x14ac:dyDescent="0.2">
      <c r="D5780" s="50"/>
      <c r="E5780" s="73"/>
      <c r="F5780" s="45"/>
    </row>
    <row r="5781" spans="4:6" x14ac:dyDescent="0.2">
      <c r="D5781" s="50"/>
      <c r="E5781" s="73"/>
      <c r="F5781" s="45"/>
    </row>
    <row r="5782" spans="4:6" x14ac:dyDescent="0.2">
      <c r="D5782" s="50"/>
      <c r="E5782" s="73"/>
      <c r="F5782" s="45"/>
    </row>
    <row r="5783" spans="4:6" x14ac:dyDescent="0.2">
      <c r="D5783" s="50"/>
      <c r="E5783" s="73"/>
      <c r="F5783" s="45"/>
    </row>
    <row r="5784" spans="4:6" x14ac:dyDescent="0.2">
      <c r="D5784" s="50"/>
      <c r="E5784" s="73"/>
      <c r="F5784" s="45"/>
    </row>
    <row r="5785" spans="4:6" x14ac:dyDescent="0.2">
      <c r="D5785" s="50"/>
      <c r="E5785" s="73"/>
      <c r="F5785" s="45"/>
    </row>
    <row r="5786" spans="4:6" x14ac:dyDescent="0.2">
      <c r="D5786" s="50"/>
      <c r="E5786" s="73"/>
      <c r="F5786" s="45"/>
    </row>
    <row r="5787" spans="4:6" x14ac:dyDescent="0.2">
      <c r="D5787" s="50"/>
      <c r="E5787" s="73"/>
      <c r="F5787" s="45"/>
    </row>
    <row r="5788" spans="4:6" x14ac:dyDescent="0.2">
      <c r="D5788" s="50"/>
      <c r="E5788" s="73"/>
      <c r="F5788" s="45"/>
    </row>
    <row r="5789" spans="4:6" x14ac:dyDescent="0.2">
      <c r="D5789" s="50"/>
      <c r="E5789" s="73"/>
      <c r="F5789" s="45"/>
    </row>
    <row r="5790" spans="4:6" x14ac:dyDescent="0.2">
      <c r="D5790" s="50"/>
      <c r="E5790" s="73"/>
      <c r="F5790" s="45"/>
    </row>
    <row r="5791" spans="4:6" x14ac:dyDescent="0.2">
      <c r="D5791" s="50"/>
      <c r="E5791" s="73"/>
      <c r="F5791" s="45"/>
    </row>
    <row r="5792" spans="4:6" x14ac:dyDescent="0.2">
      <c r="D5792" s="50"/>
      <c r="E5792" s="73"/>
      <c r="F5792" s="45"/>
    </row>
    <row r="5793" spans="4:6" x14ac:dyDescent="0.2">
      <c r="D5793" s="50"/>
      <c r="E5793" s="73"/>
      <c r="F5793" s="45"/>
    </row>
    <row r="5794" spans="4:6" x14ac:dyDescent="0.2">
      <c r="D5794" s="50"/>
      <c r="E5794" s="73"/>
      <c r="F5794" s="45"/>
    </row>
    <row r="5795" spans="4:6" x14ac:dyDescent="0.2">
      <c r="D5795" s="50"/>
      <c r="E5795" s="73"/>
      <c r="F5795" s="45"/>
    </row>
    <row r="5796" spans="4:6" x14ac:dyDescent="0.2">
      <c r="D5796" s="50"/>
      <c r="E5796" s="73"/>
      <c r="F5796" s="45"/>
    </row>
    <row r="5797" spans="4:6" x14ac:dyDescent="0.2">
      <c r="D5797" s="50"/>
      <c r="E5797" s="73"/>
      <c r="F5797" s="45"/>
    </row>
    <row r="5798" spans="4:6" x14ac:dyDescent="0.2">
      <c r="D5798" s="50"/>
      <c r="E5798" s="73"/>
      <c r="F5798" s="45"/>
    </row>
    <row r="5799" spans="4:6" x14ac:dyDescent="0.2">
      <c r="D5799" s="50"/>
      <c r="E5799" s="73"/>
      <c r="F5799" s="45"/>
    </row>
    <row r="5800" spans="4:6" x14ac:dyDescent="0.2">
      <c r="D5800" s="50"/>
      <c r="E5800" s="73"/>
      <c r="F5800" s="45"/>
    </row>
    <row r="5801" spans="4:6" x14ac:dyDescent="0.2">
      <c r="D5801" s="50"/>
      <c r="E5801" s="73"/>
      <c r="F5801" s="45"/>
    </row>
    <row r="5802" spans="4:6" x14ac:dyDescent="0.2">
      <c r="D5802" s="50"/>
      <c r="E5802" s="73"/>
      <c r="F5802" s="45"/>
    </row>
    <row r="5803" spans="4:6" x14ac:dyDescent="0.2">
      <c r="D5803" s="50"/>
      <c r="E5803" s="73"/>
      <c r="F5803" s="45"/>
    </row>
    <row r="5804" spans="4:6" x14ac:dyDescent="0.2">
      <c r="D5804" s="50"/>
      <c r="E5804" s="73"/>
      <c r="F5804" s="45"/>
    </row>
    <row r="5805" spans="4:6" x14ac:dyDescent="0.2">
      <c r="D5805" s="50"/>
      <c r="E5805" s="73"/>
      <c r="F5805" s="45"/>
    </row>
    <row r="5806" spans="4:6" x14ac:dyDescent="0.2">
      <c r="D5806" s="50"/>
      <c r="E5806" s="73"/>
      <c r="F5806" s="45"/>
    </row>
    <row r="5807" spans="4:6" x14ac:dyDescent="0.2">
      <c r="D5807" s="50"/>
      <c r="E5807" s="73"/>
      <c r="F5807" s="45"/>
    </row>
    <row r="5808" spans="4:6" x14ac:dyDescent="0.2">
      <c r="D5808" s="50"/>
      <c r="E5808" s="73"/>
      <c r="F5808" s="45"/>
    </row>
    <row r="5809" spans="4:6" x14ac:dyDescent="0.2">
      <c r="D5809" s="50"/>
      <c r="E5809" s="73"/>
      <c r="F5809" s="45"/>
    </row>
    <row r="5810" spans="4:6" x14ac:dyDescent="0.2">
      <c r="D5810" s="50"/>
      <c r="E5810" s="73"/>
      <c r="F5810" s="45"/>
    </row>
    <row r="5811" spans="4:6" x14ac:dyDescent="0.2">
      <c r="D5811" s="50"/>
      <c r="E5811" s="73"/>
      <c r="F5811" s="45"/>
    </row>
    <row r="5812" spans="4:6" x14ac:dyDescent="0.2">
      <c r="D5812" s="50"/>
      <c r="E5812" s="73"/>
      <c r="F5812" s="45"/>
    </row>
    <row r="5813" spans="4:6" x14ac:dyDescent="0.2">
      <c r="D5813" s="50"/>
      <c r="E5813" s="73"/>
      <c r="F5813" s="45"/>
    </row>
    <row r="5814" spans="4:6" x14ac:dyDescent="0.2">
      <c r="D5814" s="50"/>
      <c r="E5814" s="73"/>
      <c r="F5814" s="45"/>
    </row>
    <row r="5815" spans="4:6" x14ac:dyDescent="0.2">
      <c r="D5815" s="50"/>
      <c r="E5815" s="73"/>
      <c r="F5815" s="45"/>
    </row>
    <row r="5816" spans="4:6" x14ac:dyDescent="0.2">
      <c r="D5816" s="50"/>
      <c r="E5816" s="73"/>
      <c r="F5816" s="45"/>
    </row>
    <row r="5817" spans="4:6" x14ac:dyDescent="0.2">
      <c r="D5817" s="50"/>
      <c r="E5817" s="73"/>
      <c r="F5817" s="45"/>
    </row>
    <row r="5818" spans="4:6" x14ac:dyDescent="0.2">
      <c r="D5818" s="50"/>
      <c r="E5818" s="73"/>
      <c r="F5818" s="45"/>
    </row>
    <row r="5819" spans="4:6" x14ac:dyDescent="0.2">
      <c r="D5819" s="50"/>
      <c r="E5819" s="73"/>
      <c r="F5819" s="45"/>
    </row>
    <row r="5820" spans="4:6" x14ac:dyDescent="0.2">
      <c r="D5820" s="50"/>
      <c r="E5820" s="73"/>
      <c r="F5820" s="45"/>
    </row>
    <row r="5821" spans="4:6" x14ac:dyDescent="0.2">
      <c r="D5821" s="50"/>
      <c r="E5821" s="73"/>
      <c r="F5821" s="45"/>
    </row>
    <row r="5822" spans="4:6" x14ac:dyDescent="0.2">
      <c r="D5822" s="50"/>
      <c r="E5822" s="73"/>
      <c r="F5822" s="45"/>
    </row>
    <row r="5823" spans="4:6" x14ac:dyDescent="0.2">
      <c r="D5823" s="50"/>
      <c r="E5823" s="73"/>
      <c r="F5823" s="45"/>
    </row>
    <row r="5824" spans="4:6" x14ac:dyDescent="0.2">
      <c r="D5824" s="50"/>
      <c r="E5824" s="73"/>
      <c r="F5824" s="45"/>
    </row>
    <row r="5825" spans="4:6" x14ac:dyDescent="0.2">
      <c r="D5825" s="50"/>
      <c r="E5825" s="73"/>
      <c r="F5825" s="45"/>
    </row>
    <row r="5826" spans="4:6" x14ac:dyDescent="0.2">
      <c r="D5826" s="50"/>
      <c r="E5826" s="73"/>
      <c r="F5826" s="45"/>
    </row>
    <row r="5827" spans="4:6" x14ac:dyDescent="0.2">
      <c r="D5827" s="50"/>
      <c r="E5827" s="73"/>
      <c r="F5827" s="45"/>
    </row>
    <row r="5828" spans="4:6" x14ac:dyDescent="0.2">
      <c r="D5828" s="50"/>
      <c r="E5828" s="73"/>
      <c r="F5828" s="45"/>
    </row>
    <row r="5829" spans="4:6" x14ac:dyDescent="0.2">
      <c r="D5829" s="50"/>
      <c r="E5829" s="73"/>
      <c r="F5829" s="45"/>
    </row>
    <row r="5830" spans="4:6" x14ac:dyDescent="0.2">
      <c r="D5830" s="50"/>
      <c r="E5830" s="73"/>
      <c r="F5830" s="45"/>
    </row>
    <row r="5831" spans="4:6" x14ac:dyDescent="0.2">
      <c r="D5831" s="50"/>
      <c r="E5831" s="73"/>
      <c r="F5831" s="45"/>
    </row>
    <row r="5832" spans="4:6" x14ac:dyDescent="0.2">
      <c r="D5832" s="50"/>
      <c r="E5832" s="73"/>
      <c r="F5832" s="45"/>
    </row>
    <row r="5833" spans="4:6" x14ac:dyDescent="0.2">
      <c r="D5833" s="50"/>
      <c r="E5833" s="73"/>
      <c r="F5833" s="45"/>
    </row>
    <row r="5834" spans="4:6" x14ac:dyDescent="0.2">
      <c r="D5834" s="50"/>
      <c r="E5834" s="73"/>
      <c r="F5834" s="45"/>
    </row>
    <row r="5835" spans="4:6" x14ac:dyDescent="0.2">
      <c r="D5835" s="50"/>
      <c r="E5835" s="73"/>
      <c r="F5835" s="45"/>
    </row>
    <row r="5836" spans="4:6" x14ac:dyDescent="0.2">
      <c r="D5836" s="50"/>
      <c r="E5836" s="73"/>
      <c r="F5836" s="45"/>
    </row>
    <row r="5837" spans="4:6" x14ac:dyDescent="0.2">
      <c r="D5837" s="50"/>
      <c r="E5837" s="73"/>
      <c r="F5837" s="45"/>
    </row>
    <row r="5838" spans="4:6" x14ac:dyDescent="0.2">
      <c r="D5838" s="50"/>
      <c r="E5838" s="73"/>
      <c r="F5838" s="45"/>
    </row>
    <row r="5839" spans="4:6" x14ac:dyDescent="0.2">
      <c r="D5839" s="50"/>
      <c r="E5839" s="73"/>
      <c r="F5839" s="45"/>
    </row>
    <row r="5840" spans="4:6" x14ac:dyDescent="0.2">
      <c r="D5840" s="50"/>
      <c r="E5840" s="73"/>
      <c r="F5840" s="45"/>
    </row>
    <row r="5841" spans="4:6" x14ac:dyDescent="0.2">
      <c r="D5841" s="50"/>
      <c r="E5841" s="73"/>
      <c r="F5841" s="45"/>
    </row>
    <row r="5842" spans="4:6" x14ac:dyDescent="0.2">
      <c r="D5842" s="50"/>
      <c r="E5842" s="73"/>
      <c r="F5842" s="45"/>
    </row>
    <row r="5843" spans="4:6" x14ac:dyDescent="0.2">
      <c r="D5843" s="50"/>
      <c r="E5843" s="73"/>
      <c r="F5843" s="45"/>
    </row>
    <row r="5844" spans="4:6" x14ac:dyDescent="0.2">
      <c r="D5844" s="50"/>
      <c r="E5844" s="73"/>
      <c r="F5844" s="45"/>
    </row>
    <row r="5845" spans="4:6" x14ac:dyDescent="0.2">
      <c r="D5845" s="50"/>
      <c r="E5845" s="73"/>
      <c r="F5845" s="45"/>
    </row>
    <row r="5846" spans="4:6" x14ac:dyDescent="0.2">
      <c r="D5846" s="50"/>
      <c r="E5846" s="73"/>
      <c r="F5846" s="45"/>
    </row>
    <row r="5847" spans="4:6" x14ac:dyDescent="0.2">
      <c r="D5847" s="50"/>
      <c r="E5847" s="73"/>
      <c r="F5847" s="45"/>
    </row>
    <row r="5848" spans="4:6" x14ac:dyDescent="0.2">
      <c r="D5848" s="50"/>
      <c r="E5848" s="73"/>
      <c r="F5848" s="45"/>
    </row>
    <row r="5849" spans="4:6" x14ac:dyDescent="0.2">
      <c r="D5849" s="50"/>
      <c r="E5849" s="73"/>
      <c r="F5849" s="45"/>
    </row>
    <row r="5850" spans="4:6" x14ac:dyDescent="0.2">
      <c r="D5850" s="50"/>
      <c r="E5850" s="73"/>
      <c r="F5850" s="45"/>
    </row>
    <row r="5851" spans="4:6" x14ac:dyDescent="0.2">
      <c r="D5851" s="50"/>
      <c r="E5851" s="73"/>
      <c r="F5851" s="45"/>
    </row>
    <row r="5852" spans="4:6" x14ac:dyDescent="0.2">
      <c r="D5852" s="50"/>
      <c r="E5852" s="73"/>
      <c r="F5852" s="45"/>
    </row>
    <row r="5853" spans="4:6" x14ac:dyDescent="0.2">
      <c r="D5853" s="50"/>
      <c r="E5853" s="73"/>
      <c r="F5853" s="45"/>
    </row>
    <row r="5854" spans="4:6" x14ac:dyDescent="0.2">
      <c r="D5854" s="50"/>
      <c r="E5854" s="73"/>
      <c r="F5854" s="45"/>
    </row>
    <row r="5855" spans="4:6" x14ac:dyDescent="0.2">
      <c r="D5855" s="50"/>
      <c r="E5855" s="73"/>
      <c r="F5855" s="45"/>
    </row>
    <row r="5856" spans="4:6" x14ac:dyDescent="0.2">
      <c r="D5856" s="50"/>
      <c r="E5856" s="73"/>
      <c r="F5856" s="45"/>
    </row>
    <row r="5857" spans="4:6" x14ac:dyDescent="0.2">
      <c r="D5857" s="50"/>
      <c r="E5857" s="73"/>
      <c r="F5857" s="45"/>
    </row>
    <row r="5858" spans="4:6" x14ac:dyDescent="0.2">
      <c r="D5858" s="50"/>
      <c r="E5858" s="73"/>
      <c r="F5858" s="45"/>
    </row>
    <row r="5859" spans="4:6" x14ac:dyDescent="0.2">
      <c r="D5859" s="50"/>
      <c r="E5859" s="73"/>
      <c r="F5859" s="45"/>
    </row>
    <row r="5860" spans="4:6" x14ac:dyDescent="0.2">
      <c r="D5860" s="50"/>
      <c r="E5860" s="73"/>
      <c r="F5860" s="45"/>
    </row>
    <row r="5861" spans="4:6" x14ac:dyDescent="0.2">
      <c r="D5861" s="50"/>
      <c r="E5861" s="73"/>
      <c r="F5861" s="45"/>
    </row>
    <row r="5862" spans="4:6" x14ac:dyDescent="0.2">
      <c r="D5862" s="50"/>
      <c r="E5862" s="73"/>
      <c r="F5862" s="45"/>
    </row>
    <row r="5863" spans="4:6" x14ac:dyDescent="0.2">
      <c r="D5863" s="50"/>
      <c r="E5863" s="73"/>
      <c r="F5863" s="45"/>
    </row>
    <row r="5864" spans="4:6" x14ac:dyDescent="0.2">
      <c r="D5864" s="50"/>
      <c r="E5864" s="73"/>
      <c r="F5864" s="45"/>
    </row>
    <row r="5865" spans="4:6" x14ac:dyDescent="0.2">
      <c r="D5865" s="50"/>
      <c r="E5865" s="73"/>
      <c r="F5865" s="45"/>
    </row>
    <row r="5866" spans="4:6" x14ac:dyDescent="0.2">
      <c r="D5866" s="50"/>
      <c r="E5866" s="73"/>
      <c r="F5866" s="45"/>
    </row>
    <row r="5867" spans="4:6" x14ac:dyDescent="0.2">
      <c r="D5867" s="50"/>
      <c r="E5867" s="73"/>
      <c r="F5867" s="45"/>
    </row>
    <row r="5868" spans="4:6" x14ac:dyDescent="0.2">
      <c r="D5868" s="50"/>
      <c r="E5868" s="73"/>
      <c r="F5868" s="45"/>
    </row>
    <row r="5869" spans="4:6" x14ac:dyDescent="0.2">
      <c r="D5869" s="50"/>
      <c r="E5869" s="73"/>
      <c r="F5869" s="45"/>
    </row>
    <row r="5870" spans="4:6" x14ac:dyDescent="0.2">
      <c r="D5870" s="50"/>
      <c r="E5870" s="73"/>
      <c r="F5870" s="45"/>
    </row>
    <row r="5871" spans="4:6" x14ac:dyDescent="0.2">
      <c r="D5871" s="50"/>
      <c r="E5871" s="73"/>
      <c r="F5871" s="45"/>
    </row>
    <row r="5872" spans="4:6" x14ac:dyDescent="0.2">
      <c r="D5872" s="50"/>
      <c r="E5872" s="73"/>
      <c r="F5872" s="45"/>
    </row>
    <row r="5873" spans="4:6" x14ac:dyDescent="0.2">
      <c r="D5873" s="50"/>
      <c r="E5873" s="73"/>
      <c r="F5873" s="45"/>
    </row>
    <row r="5874" spans="4:6" x14ac:dyDescent="0.2">
      <c r="D5874" s="50"/>
      <c r="E5874" s="73"/>
      <c r="F5874" s="45"/>
    </row>
    <row r="5875" spans="4:6" x14ac:dyDescent="0.2">
      <c r="D5875" s="50"/>
      <c r="E5875" s="73"/>
      <c r="F5875" s="45"/>
    </row>
    <row r="5876" spans="4:6" x14ac:dyDescent="0.2">
      <c r="D5876" s="50"/>
      <c r="E5876" s="73"/>
      <c r="F5876" s="45"/>
    </row>
    <row r="5877" spans="4:6" x14ac:dyDescent="0.2">
      <c r="D5877" s="50"/>
      <c r="E5877" s="73"/>
      <c r="F5877" s="45"/>
    </row>
    <row r="5878" spans="4:6" x14ac:dyDescent="0.2">
      <c r="D5878" s="50"/>
      <c r="E5878" s="73"/>
      <c r="F5878" s="45"/>
    </row>
    <row r="5879" spans="4:6" x14ac:dyDescent="0.2">
      <c r="D5879" s="50"/>
      <c r="E5879" s="73"/>
      <c r="F5879" s="45"/>
    </row>
    <row r="5880" spans="4:6" x14ac:dyDescent="0.2">
      <c r="D5880" s="50"/>
      <c r="E5880" s="73"/>
      <c r="F5880" s="45"/>
    </row>
    <row r="5881" spans="4:6" x14ac:dyDescent="0.2">
      <c r="D5881" s="50"/>
      <c r="E5881" s="73"/>
      <c r="F5881" s="45"/>
    </row>
    <row r="5882" spans="4:6" x14ac:dyDescent="0.2">
      <c r="D5882" s="50"/>
      <c r="E5882" s="73"/>
      <c r="F5882" s="45"/>
    </row>
    <row r="5883" spans="4:6" x14ac:dyDescent="0.2">
      <c r="D5883" s="50"/>
      <c r="E5883" s="73"/>
      <c r="F5883" s="45"/>
    </row>
    <row r="5884" spans="4:6" x14ac:dyDescent="0.2">
      <c r="D5884" s="50"/>
      <c r="E5884" s="73"/>
      <c r="F5884" s="45"/>
    </row>
    <row r="5885" spans="4:6" x14ac:dyDescent="0.2">
      <c r="D5885" s="50"/>
      <c r="E5885" s="73"/>
      <c r="F5885" s="45"/>
    </row>
    <row r="5886" spans="4:6" x14ac:dyDescent="0.2">
      <c r="D5886" s="50"/>
      <c r="E5886" s="73"/>
      <c r="F5886" s="45"/>
    </row>
    <row r="5887" spans="4:6" x14ac:dyDescent="0.2">
      <c r="D5887" s="50"/>
      <c r="E5887" s="73"/>
      <c r="F5887" s="45"/>
    </row>
    <row r="5888" spans="4:6" x14ac:dyDescent="0.2">
      <c r="D5888" s="50"/>
      <c r="E5888" s="73"/>
      <c r="F5888" s="45"/>
    </row>
    <row r="5889" spans="4:6" x14ac:dyDescent="0.2">
      <c r="D5889" s="50"/>
      <c r="E5889" s="73"/>
      <c r="F5889" s="45"/>
    </row>
    <row r="5890" spans="4:6" x14ac:dyDescent="0.2">
      <c r="D5890" s="50"/>
      <c r="E5890" s="73"/>
      <c r="F5890" s="45"/>
    </row>
    <row r="5891" spans="4:6" x14ac:dyDescent="0.2">
      <c r="D5891" s="50"/>
      <c r="E5891" s="73"/>
      <c r="F5891" s="45"/>
    </row>
    <row r="5892" spans="4:6" x14ac:dyDescent="0.2">
      <c r="D5892" s="50"/>
      <c r="E5892" s="73"/>
      <c r="F5892" s="45"/>
    </row>
    <row r="5893" spans="4:6" x14ac:dyDescent="0.2">
      <c r="D5893" s="50"/>
      <c r="E5893" s="73"/>
      <c r="F5893" s="45"/>
    </row>
    <row r="5894" spans="4:6" x14ac:dyDescent="0.2">
      <c r="D5894" s="50"/>
      <c r="E5894" s="73"/>
      <c r="F5894" s="45"/>
    </row>
    <row r="5895" spans="4:6" x14ac:dyDescent="0.2">
      <c r="D5895" s="50"/>
      <c r="E5895" s="73"/>
      <c r="F5895" s="45"/>
    </row>
    <row r="5896" spans="4:6" x14ac:dyDescent="0.2">
      <c r="D5896" s="50"/>
      <c r="E5896" s="73"/>
      <c r="F5896" s="45"/>
    </row>
    <row r="5897" spans="4:6" x14ac:dyDescent="0.2">
      <c r="D5897" s="50"/>
      <c r="E5897" s="73"/>
      <c r="F5897" s="45"/>
    </row>
    <row r="5898" spans="4:6" x14ac:dyDescent="0.2">
      <c r="D5898" s="50"/>
      <c r="E5898" s="73"/>
      <c r="F5898" s="45"/>
    </row>
    <row r="5899" spans="4:6" x14ac:dyDescent="0.2">
      <c r="D5899" s="50"/>
      <c r="E5899" s="73"/>
      <c r="F5899" s="45"/>
    </row>
    <row r="5900" spans="4:6" x14ac:dyDescent="0.2">
      <c r="D5900" s="50"/>
      <c r="E5900" s="73"/>
      <c r="F5900" s="45"/>
    </row>
    <row r="5901" spans="4:6" x14ac:dyDescent="0.2">
      <c r="D5901" s="50"/>
      <c r="E5901" s="73"/>
      <c r="F5901" s="45"/>
    </row>
    <row r="5902" spans="4:6" x14ac:dyDescent="0.2">
      <c r="D5902" s="50"/>
      <c r="E5902" s="73"/>
      <c r="F5902" s="45"/>
    </row>
    <row r="5903" spans="4:6" x14ac:dyDescent="0.2">
      <c r="D5903" s="50"/>
      <c r="E5903" s="73"/>
      <c r="F5903" s="45"/>
    </row>
    <row r="5904" spans="4:6" x14ac:dyDescent="0.2">
      <c r="D5904" s="50"/>
      <c r="E5904" s="73"/>
      <c r="F5904" s="45"/>
    </row>
    <row r="5905" spans="4:6" x14ac:dyDescent="0.2">
      <c r="D5905" s="50"/>
      <c r="E5905" s="73"/>
      <c r="F5905" s="45"/>
    </row>
    <row r="5906" spans="4:6" x14ac:dyDescent="0.2">
      <c r="D5906" s="50"/>
      <c r="E5906" s="73"/>
      <c r="F5906" s="45"/>
    </row>
    <row r="5907" spans="4:6" x14ac:dyDescent="0.2">
      <c r="D5907" s="50"/>
      <c r="E5907" s="73"/>
      <c r="F5907" s="45"/>
    </row>
    <row r="5908" spans="4:6" x14ac:dyDescent="0.2">
      <c r="D5908" s="50"/>
      <c r="E5908" s="73"/>
      <c r="F5908" s="45"/>
    </row>
    <row r="5909" spans="4:6" x14ac:dyDescent="0.2">
      <c r="D5909" s="50"/>
      <c r="E5909" s="73"/>
      <c r="F5909" s="45"/>
    </row>
    <row r="5910" spans="4:6" x14ac:dyDescent="0.2">
      <c r="D5910" s="50"/>
      <c r="E5910" s="73"/>
      <c r="F5910" s="45"/>
    </row>
    <row r="5911" spans="4:6" x14ac:dyDescent="0.2">
      <c r="D5911" s="50"/>
      <c r="E5911" s="73"/>
      <c r="F5911" s="45"/>
    </row>
    <row r="5912" spans="4:6" x14ac:dyDescent="0.2">
      <c r="D5912" s="50"/>
      <c r="E5912" s="73"/>
      <c r="F5912" s="45"/>
    </row>
    <row r="5913" spans="4:6" x14ac:dyDescent="0.2">
      <c r="D5913" s="50"/>
      <c r="E5913" s="73"/>
      <c r="F5913" s="45"/>
    </row>
    <row r="5914" spans="4:6" x14ac:dyDescent="0.2">
      <c r="D5914" s="50"/>
      <c r="E5914" s="73"/>
      <c r="F5914" s="45"/>
    </row>
    <row r="5915" spans="4:6" x14ac:dyDescent="0.2">
      <c r="D5915" s="50"/>
      <c r="E5915" s="73"/>
      <c r="F5915" s="45"/>
    </row>
    <row r="5916" spans="4:6" x14ac:dyDescent="0.2">
      <c r="D5916" s="50"/>
      <c r="E5916" s="73"/>
      <c r="F5916" s="45"/>
    </row>
    <row r="5917" spans="4:6" x14ac:dyDescent="0.2">
      <c r="D5917" s="50"/>
      <c r="E5917" s="73"/>
      <c r="F5917" s="45"/>
    </row>
    <row r="5918" spans="4:6" x14ac:dyDescent="0.2">
      <c r="D5918" s="50"/>
      <c r="E5918" s="73"/>
      <c r="F5918" s="45"/>
    </row>
    <row r="5919" spans="4:6" x14ac:dyDescent="0.2">
      <c r="D5919" s="50"/>
      <c r="E5919" s="73"/>
      <c r="F5919" s="45"/>
    </row>
    <row r="5920" spans="4:6" x14ac:dyDescent="0.2">
      <c r="D5920" s="50"/>
      <c r="E5920" s="73"/>
      <c r="F5920" s="45"/>
    </row>
    <row r="5921" spans="4:6" x14ac:dyDescent="0.2">
      <c r="D5921" s="50"/>
      <c r="E5921" s="73"/>
      <c r="F5921" s="45"/>
    </row>
    <row r="5922" spans="4:6" x14ac:dyDescent="0.2">
      <c r="D5922" s="50"/>
      <c r="E5922" s="73"/>
      <c r="F5922" s="45"/>
    </row>
    <row r="5923" spans="4:6" x14ac:dyDescent="0.2">
      <c r="D5923" s="50"/>
      <c r="E5923" s="73"/>
      <c r="F5923" s="45"/>
    </row>
    <row r="5924" spans="4:6" x14ac:dyDescent="0.2">
      <c r="D5924" s="50"/>
      <c r="E5924" s="73"/>
      <c r="F5924" s="45"/>
    </row>
    <row r="5925" spans="4:6" x14ac:dyDescent="0.2">
      <c r="D5925" s="50"/>
      <c r="E5925" s="73"/>
      <c r="F5925" s="45"/>
    </row>
    <row r="5926" spans="4:6" x14ac:dyDescent="0.2">
      <c r="D5926" s="50"/>
      <c r="E5926" s="73"/>
      <c r="F5926" s="45"/>
    </row>
    <row r="5927" spans="4:6" x14ac:dyDescent="0.2">
      <c r="D5927" s="50"/>
      <c r="E5927" s="73"/>
      <c r="F5927" s="45"/>
    </row>
    <row r="5928" spans="4:6" x14ac:dyDescent="0.2">
      <c r="D5928" s="50"/>
      <c r="E5928" s="73"/>
      <c r="F5928" s="45"/>
    </row>
    <row r="5929" spans="4:6" x14ac:dyDescent="0.2">
      <c r="D5929" s="50"/>
      <c r="E5929" s="73"/>
      <c r="F5929" s="45"/>
    </row>
    <row r="5930" spans="4:6" x14ac:dyDescent="0.2">
      <c r="D5930" s="50"/>
      <c r="E5930" s="73"/>
      <c r="F5930" s="45"/>
    </row>
    <row r="5931" spans="4:6" x14ac:dyDescent="0.2">
      <c r="D5931" s="50"/>
      <c r="E5931" s="73"/>
      <c r="F5931" s="45"/>
    </row>
    <row r="5932" spans="4:6" x14ac:dyDescent="0.2">
      <c r="D5932" s="50"/>
      <c r="E5932" s="73"/>
      <c r="F5932" s="45"/>
    </row>
    <row r="5933" spans="4:6" x14ac:dyDescent="0.2">
      <c r="D5933" s="50"/>
      <c r="E5933" s="73"/>
      <c r="F5933" s="45"/>
    </row>
    <row r="5934" spans="4:6" x14ac:dyDescent="0.2">
      <c r="D5934" s="50"/>
      <c r="E5934" s="73"/>
      <c r="F5934" s="45"/>
    </row>
    <row r="5935" spans="4:6" x14ac:dyDescent="0.2">
      <c r="D5935" s="50"/>
      <c r="E5935" s="73"/>
      <c r="F5935" s="45"/>
    </row>
    <row r="5936" spans="4:6" x14ac:dyDescent="0.2">
      <c r="D5936" s="50"/>
      <c r="E5936" s="73"/>
      <c r="F5936" s="45"/>
    </row>
    <row r="5937" spans="4:6" x14ac:dyDescent="0.2">
      <c r="D5937" s="50"/>
      <c r="E5937" s="73"/>
      <c r="F5937" s="45"/>
    </row>
    <row r="5938" spans="4:6" x14ac:dyDescent="0.2">
      <c r="D5938" s="50"/>
      <c r="E5938" s="73"/>
      <c r="F5938" s="45"/>
    </row>
    <row r="5939" spans="4:6" x14ac:dyDescent="0.2">
      <c r="D5939" s="50"/>
      <c r="E5939" s="73"/>
      <c r="F5939" s="45"/>
    </row>
    <row r="5940" spans="4:6" x14ac:dyDescent="0.2">
      <c r="D5940" s="50"/>
      <c r="E5940" s="73"/>
      <c r="F5940" s="45"/>
    </row>
    <row r="5941" spans="4:6" x14ac:dyDescent="0.2">
      <c r="D5941" s="50"/>
      <c r="E5941" s="73"/>
      <c r="F5941" s="45"/>
    </row>
    <row r="5942" spans="4:6" x14ac:dyDescent="0.2">
      <c r="D5942" s="50"/>
      <c r="E5942" s="73"/>
      <c r="F5942" s="45"/>
    </row>
    <row r="5943" spans="4:6" x14ac:dyDescent="0.2">
      <c r="D5943" s="50"/>
      <c r="E5943" s="73"/>
      <c r="F5943" s="45"/>
    </row>
    <row r="5944" spans="4:6" x14ac:dyDescent="0.2">
      <c r="D5944" s="50"/>
      <c r="E5944" s="73"/>
      <c r="F5944" s="45"/>
    </row>
    <row r="5945" spans="4:6" x14ac:dyDescent="0.2">
      <c r="D5945" s="50"/>
      <c r="E5945" s="73"/>
      <c r="F5945" s="45"/>
    </row>
    <row r="5946" spans="4:6" x14ac:dyDescent="0.2">
      <c r="D5946" s="50"/>
      <c r="E5946" s="73"/>
      <c r="F5946" s="45"/>
    </row>
    <row r="5947" spans="4:6" x14ac:dyDescent="0.2">
      <c r="D5947" s="50"/>
      <c r="E5947" s="73"/>
      <c r="F5947" s="45"/>
    </row>
    <row r="5948" spans="4:6" x14ac:dyDescent="0.2">
      <c r="D5948" s="50"/>
      <c r="E5948" s="73"/>
      <c r="F5948" s="45"/>
    </row>
    <row r="5949" spans="4:6" x14ac:dyDescent="0.2">
      <c r="D5949" s="50"/>
      <c r="E5949" s="73"/>
      <c r="F5949" s="45"/>
    </row>
    <row r="5950" spans="4:6" x14ac:dyDescent="0.2">
      <c r="D5950" s="50"/>
      <c r="E5950" s="73"/>
      <c r="F5950" s="45"/>
    </row>
    <row r="5951" spans="4:6" x14ac:dyDescent="0.2">
      <c r="D5951" s="50"/>
      <c r="E5951" s="73"/>
      <c r="F5951" s="45"/>
    </row>
    <row r="5952" spans="4:6" x14ac:dyDescent="0.2">
      <c r="D5952" s="50"/>
      <c r="E5952" s="73"/>
      <c r="F5952" s="45"/>
    </row>
    <row r="5953" spans="4:6" x14ac:dyDescent="0.2">
      <c r="D5953" s="50"/>
      <c r="E5953" s="73"/>
      <c r="F5953" s="45"/>
    </row>
    <row r="5954" spans="4:6" x14ac:dyDescent="0.2">
      <c r="D5954" s="50"/>
      <c r="E5954" s="73"/>
      <c r="F5954" s="45"/>
    </row>
    <row r="5955" spans="4:6" x14ac:dyDescent="0.2">
      <c r="D5955" s="50"/>
      <c r="E5955" s="73"/>
      <c r="F5955" s="45"/>
    </row>
    <row r="5956" spans="4:6" x14ac:dyDescent="0.2">
      <c r="D5956" s="50"/>
      <c r="E5956" s="73"/>
      <c r="F5956" s="45"/>
    </row>
    <row r="5957" spans="4:6" x14ac:dyDescent="0.2">
      <c r="D5957" s="50"/>
      <c r="E5957" s="73"/>
      <c r="F5957" s="45"/>
    </row>
    <row r="5958" spans="4:6" x14ac:dyDescent="0.2">
      <c r="D5958" s="50"/>
      <c r="E5958" s="73"/>
      <c r="F5958" s="45"/>
    </row>
    <row r="5959" spans="4:6" x14ac:dyDescent="0.2">
      <c r="D5959" s="50"/>
      <c r="E5959" s="73"/>
      <c r="F5959" s="45"/>
    </row>
    <row r="5960" spans="4:6" x14ac:dyDescent="0.2">
      <c r="D5960" s="50"/>
      <c r="E5960" s="73"/>
      <c r="F5960" s="45"/>
    </row>
    <row r="5961" spans="4:6" x14ac:dyDescent="0.2">
      <c r="D5961" s="50"/>
      <c r="E5961" s="73"/>
      <c r="F5961" s="45"/>
    </row>
    <row r="5962" spans="4:6" x14ac:dyDescent="0.2">
      <c r="D5962" s="50"/>
      <c r="E5962" s="73"/>
      <c r="F5962" s="45"/>
    </row>
    <row r="5963" spans="4:6" x14ac:dyDescent="0.2">
      <c r="D5963" s="50"/>
      <c r="E5963" s="73"/>
      <c r="F5963" s="45"/>
    </row>
    <row r="5964" spans="4:6" x14ac:dyDescent="0.2">
      <c r="D5964" s="50"/>
      <c r="E5964" s="73"/>
      <c r="F5964" s="45"/>
    </row>
    <row r="5965" spans="4:6" x14ac:dyDescent="0.2">
      <c r="D5965" s="50"/>
      <c r="E5965" s="73"/>
      <c r="F5965" s="45"/>
    </row>
    <row r="5966" spans="4:6" x14ac:dyDescent="0.2">
      <c r="D5966" s="50"/>
      <c r="E5966" s="73"/>
      <c r="F5966" s="45"/>
    </row>
    <row r="5967" spans="4:6" x14ac:dyDescent="0.2">
      <c r="D5967" s="50"/>
      <c r="E5967" s="73"/>
      <c r="F5967" s="45"/>
    </row>
    <row r="5968" spans="4:6" x14ac:dyDescent="0.2">
      <c r="D5968" s="50"/>
      <c r="E5968" s="73"/>
      <c r="F5968" s="45"/>
    </row>
    <row r="5969" spans="4:6" x14ac:dyDescent="0.2">
      <c r="D5969" s="50"/>
      <c r="E5969" s="73"/>
      <c r="F5969" s="45"/>
    </row>
    <row r="5970" spans="4:6" x14ac:dyDescent="0.2">
      <c r="D5970" s="50"/>
      <c r="E5970" s="73"/>
      <c r="F5970" s="45"/>
    </row>
    <row r="5971" spans="4:6" x14ac:dyDescent="0.2">
      <c r="D5971" s="50"/>
      <c r="E5971" s="73"/>
      <c r="F5971" s="45"/>
    </row>
    <row r="5972" spans="4:6" x14ac:dyDescent="0.2">
      <c r="D5972" s="50"/>
      <c r="E5972" s="73"/>
      <c r="F5972" s="45"/>
    </row>
    <row r="5973" spans="4:6" x14ac:dyDescent="0.2">
      <c r="D5973" s="50"/>
      <c r="E5973" s="73"/>
      <c r="F5973" s="45"/>
    </row>
    <row r="5974" spans="4:6" x14ac:dyDescent="0.2">
      <c r="D5974" s="50"/>
      <c r="E5974" s="73"/>
      <c r="F5974" s="45"/>
    </row>
    <row r="5975" spans="4:6" x14ac:dyDescent="0.2">
      <c r="D5975" s="50"/>
      <c r="E5975" s="73"/>
      <c r="F5975" s="45"/>
    </row>
    <row r="5976" spans="4:6" x14ac:dyDescent="0.2">
      <c r="D5976" s="50"/>
      <c r="E5976" s="73"/>
      <c r="F5976" s="45"/>
    </row>
    <row r="5977" spans="4:6" x14ac:dyDescent="0.2">
      <c r="D5977" s="50"/>
      <c r="E5977" s="73"/>
      <c r="F5977" s="45"/>
    </row>
    <row r="5978" spans="4:6" x14ac:dyDescent="0.2">
      <c r="D5978" s="50"/>
      <c r="E5978" s="73"/>
      <c r="F5978" s="45"/>
    </row>
    <row r="5979" spans="4:6" x14ac:dyDescent="0.2">
      <c r="D5979" s="50"/>
      <c r="E5979" s="73"/>
      <c r="F5979" s="45"/>
    </row>
    <row r="5980" spans="4:6" x14ac:dyDescent="0.2">
      <c r="D5980" s="50"/>
      <c r="E5980" s="73"/>
      <c r="F5980" s="45"/>
    </row>
    <row r="5981" spans="4:6" x14ac:dyDescent="0.2">
      <c r="D5981" s="50"/>
      <c r="E5981" s="73"/>
      <c r="F5981" s="45"/>
    </row>
    <row r="5982" spans="4:6" x14ac:dyDescent="0.2">
      <c r="D5982" s="50"/>
      <c r="E5982" s="73"/>
      <c r="F5982" s="45"/>
    </row>
    <row r="5983" spans="4:6" x14ac:dyDescent="0.2">
      <c r="D5983" s="50"/>
      <c r="E5983" s="73"/>
      <c r="F5983" s="45"/>
    </row>
    <row r="5984" spans="4:6" x14ac:dyDescent="0.2">
      <c r="D5984" s="50"/>
      <c r="E5984" s="73"/>
      <c r="F5984" s="45"/>
    </row>
    <row r="5985" spans="4:6" x14ac:dyDescent="0.2">
      <c r="D5985" s="50"/>
      <c r="E5985" s="73"/>
      <c r="F5985" s="45"/>
    </row>
    <row r="5986" spans="4:6" x14ac:dyDescent="0.2">
      <c r="D5986" s="50"/>
      <c r="E5986" s="73"/>
      <c r="F5986" s="45"/>
    </row>
    <row r="5987" spans="4:6" x14ac:dyDescent="0.2">
      <c r="D5987" s="50"/>
      <c r="E5987" s="73"/>
      <c r="F5987" s="45"/>
    </row>
    <row r="5988" spans="4:6" x14ac:dyDescent="0.2">
      <c r="D5988" s="50"/>
      <c r="E5988" s="73"/>
      <c r="F5988" s="45"/>
    </row>
    <row r="5989" spans="4:6" x14ac:dyDescent="0.2">
      <c r="D5989" s="50"/>
      <c r="E5989" s="73"/>
      <c r="F5989" s="45"/>
    </row>
    <row r="5990" spans="4:6" x14ac:dyDescent="0.2">
      <c r="D5990" s="50"/>
      <c r="E5990" s="73"/>
      <c r="F5990" s="45"/>
    </row>
    <row r="5991" spans="4:6" x14ac:dyDescent="0.2">
      <c r="D5991" s="50"/>
      <c r="E5991" s="73"/>
      <c r="F5991" s="45"/>
    </row>
    <row r="5992" spans="4:6" x14ac:dyDescent="0.2">
      <c r="D5992" s="50"/>
      <c r="E5992" s="73"/>
      <c r="F5992" s="45"/>
    </row>
    <row r="5993" spans="4:6" x14ac:dyDescent="0.2">
      <c r="D5993" s="50"/>
      <c r="E5993" s="73"/>
      <c r="F5993" s="45"/>
    </row>
    <row r="5994" spans="4:6" x14ac:dyDescent="0.2">
      <c r="D5994" s="50"/>
      <c r="E5994" s="73"/>
      <c r="F5994" s="45"/>
    </row>
    <row r="5995" spans="4:6" x14ac:dyDescent="0.2">
      <c r="D5995" s="50"/>
      <c r="E5995" s="73"/>
      <c r="F5995" s="45"/>
    </row>
    <row r="5996" spans="4:6" x14ac:dyDescent="0.2">
      <c r="D5996" s="50"/>
      <c r="E5996" s="73"/>
      <c r="F5996" s="45"/>
    </row>
    <row r="5997" spans="4:6" x14ac:dyDescent="0.2">
      <c r="D5997" s="50"/>
      <c r="E5997" s="73"/>
      <c r="F5997" s="45"/>
    </row>
    <row r="5998" spans="4:6" x14ac:dyDescent="0.2">
      <c r="D5998" s="50"/>
      <c r="E5998" s="73"/>
      <c r="F5998" s="45"/>
    </row>
    <row r="5999" spans="4:6" x14ac:dyDescent="0.2">
      <c r="D5999" s="50"/>
      <c r="E5999" s="73"/>
      <c r="F5999" s="45"/>
    </row>
    <row r="6000" spans="4:6" x14ac:dyDescent="0.2">
      <c r="D6000" s="50"/>
      <c r="E6000" s="73"/>
      <c r="F6000" s="45"/>
    </row>
    <row r="6001" spans="4:6" x14ac:dyDescent="0.2">
      <c r="D6001" s="50"/>
      <c r="E6001" s="73"/>
      <c r="F6001" s="45"/>
    </row>
    <row r="6002" spans="4:6" x14ac:dyDescent="0.2">
      <c r="D6002" s="50"/>
      <c r="E6002" s="73"/>
      <c r="F6002" s="45"/>
    </row>
    <row r="6003" spans="4:6" x14ac:dyDescent="0.2">
      <c r="D6003" s="50"/>
      <c r="E6003" s="73"/>
      <c r="F6003" s="45"/>
    </row>
    <row r="6004" spans="4:6" x14ac:dyDescent="0.2">
      <c r="D6004" s="50"/>
      <c r="E6004" s="73"/>
      <c r="F6004" s="45"/>
    </row>
    <row r="6005" spans="4:6" x14ac:dyDescent="0.2">
      <c r="D6005" s="50"/>
      <c r="E6005" s="73"/>
      <c r="F6005" s="45"/>
    </row>
    <row r="6006" spans="4:6" x14ac:dyDescent="0.2">
      <c r="D6006" s="50"/>
      <c r="E6006" s="73"/>
      <c r="F6006" s="45"/>
    </row>
    <row r="6007" spans="4:6" x14ac:dyDescent="0.2">
      <c r="D6007" s="50"/>
      <c r="E6007" s="73"/>
      <c r="F6007" s="45"/>
    </row>
    <row r="6008" spans="4:6" x14ac:dyDescent="0.2">
      <c r="D6008" s="50"/>
      <c r="E6008" s="73"/>
      <c r="F6008" s="45"/>
    </row>
    <row r="6009" spans="4:6" x14ac:dyDescent="0.2">
      <c r="D6009" s="50"/>
      <c r="E6009" s="73"/>
      <c r="F6009" s="45"/>
    </row>
    <row r="6010" spans="4:6" x14ac:dyDescent="0.2">
      <c r="D6010" s="50"/>
      <c r="E6010" s="73"/>
      <c r="F6010" s="45"/>
    </row>
    <row r="6011" spans="4:6" x14ac:dyDescent="0.2">
      <c r="D6011" s="50"/>
      <c r="E6011" s="73"/>
      <c r="F6011" s="45"/>
    </row>
    <row r="6012" spans="4:6" x14ac:dyDescent="0.2">
      <c r="D6012" s="50"/>
      <c r="E6012" s="73"/>
      <c r="F6012" s="45"/>
    </row>
    <row r="6013" spans="4:6" x14ac:dyDescent="0.2">
      <c r="D6013" s="50"/>
      <c r="E6013" s="73"/>
      <c r="F6013" s="45"/>
    </row>
    <row r="6014" spans="4:6" x14ac:dyDescent="0.2">
      <c r="D6014" s="50"/>
      <c r="E6014" s="73"/>
      <c r="F6014" s="45"/>
    </row>
    <row r="6015" spans="4:6" x14ac:dyDescent="0.2">
      <c r="D6015" s="50"/>
      <c r="E6015" s="73"/>
      <c r="F6015" s="45"/>
    </row>
    <row r="6016" spans="4:6" x14ac:dyDescent="0.2">
      <c r="D6016" s="50"/>
      <c r="E6016" s="73"/>
      <c r="F6016" s="45"/>
    </row>
    <row r="6017" spans="4:6" x14ac:dyDescent="0.2">
      <c r="D6017" s="50"/>
      <c r="E6017" s="73"/>
      <c r="F6017" s="45"/>
    </row>
    <row r="6018" spans="4:6" x14ac:dyDescent="0.2">
      <c r="D6018" s="50"/>
      <c r="E6018" s="73"/>
      <c r="F6018" s="45"/>
    </row>
    <row r="6019" spans="4:6" x14ac:dyDescent="0.2">
      <c r="D6019" s="50"/>
      <c r="E6019" s="73"/>
      <c r="F6019" s="45"/>
    </row>
    <row r="6020" spans="4:6" x14ac:dyDescent="0.2">
      <c r="D6020" s="50"/>
      <c r="E6020" s="73"/>
      <c r="F6020" s="45"/>
    </row>
    <row r="6021" spans="4:6" x14ac:dyDescent="0.2">
      <c r="D6021" s="50"/>
      <c r="E6021" s="73"/>
      <c r="F6021" s="45"/>
    </row>
    <row r="6022" spans="4:6" x14ac:dyDescent="0.2">
      <c r="D6022" s="50"/>
      <c r="E6022" s="73"/>
      <c r="F6022" s="45"/>
    </row>
    <row r="6023" spans="4:6" x14ac:dyDescent="0.2">
      <c r="D6023" s="50"/>
      <c r="E6023" s="73"/>
      <c r="F6023" s="45"/>
    </row>
    <row r="6024" spans="4:6" x14ac:dyDescent="0.2">
      <c r="D6024" s="50"/>
      <c r="E6024" s="73"/>
      <c r="F6024" s="45"/>
    </row>
    <row r="6025" spans="4:6" x14ac:dyDescent="0.2">
      <c r="D6025" s="50"/>
      <c r="E6025" s="73"/>
      <c r="F6025" s="45"/>
    </row>
    <row r="6026" spans="4:6" x14ac:dyDescent="0.2">
      <c r="D6026" s="50"/>
      <c r="E6026" s="73"/>
      <c r="F6026" s="45"/>
    </row>
    <row r="6027" spans="4:6" x14ac:dyDescent="0.2">
      <c r="D6027" s="50"/>
      <c r="E6027" s="73"/>
      <c r="F6027" s="45"/>
    </row>
    <row r="6028" spans="4:6" x14ac:dyDescent="0.2">
      <c r="D6028" s="50"/>
      <c r="E6028" s="73"/>
      <c r="F6028" s="45"/>
    </row>
    <row r="6029" spans="4:6" x14ac:dyDescent="0.2">
      <c r="D6029" s="50"/>
      <c r="E6029" s="73"/>
      <c r="F6029" s="45"/>
    </row>
    <row r="6030" spans="4:6" x14ac:dyDescent="0.2">
      <c r="D6030" s="50"/>
      <c r="E6030" s="73"/>
      <c r="F6030" s="45"/>
    </row>
    <row r="6031" spans="4:6" x14ac:dyDescent="0.2">
      <c r="D6031" s="50"/>
      <c r="E6031" s="73"/>
      <c r="F6031" s="45"/>
    </row>
    <row r="6032" spans="4:6" x14ac:dyDescent="0.2">
      <c r="D6032" s="50"/>
      <c r="E6032" s="73"/>
      <c r="F6032" s="45"/>
    </row>
    <row r="6033" spans="4:6" x14ac:dyDescent="0.2">
      <c r="D6033" s="50"/>
      <c r="E6033" s="73"/>
      <c r="F6033" s="45"/>
    </row>
    <row r="6034" spans="4:6" x14ac:dyDescent="0.2">
      <c r="D6034" s="50"/>
      <c r="E6034" s="73"/>
      <c r="F6034" s="45"/>
    </row>
    <row r="6035" spans="4:6" x14ac:dyDescent="0.2">
      <c r="D6035" s="50"/>
      <c r="E6035" s="73"/>
      <c r="F6035" s="45"/>
    </row>
    <row r="6036" spans="4:6" x14ac:dyDescent="0.2">
      <c r="D6036" s="50"/>
      <c r="E6036" s="73"/>
      <c r="F6036" s="45"/>
    </row>
    <row r="6037" spans="4:6" x14ac:dyDescent="0.2">
      <c r="D6037" s="50"/>
      <c r="E6037" s="73"/>
      <c r="F6037" s="45"/>
    </row>
    <row r="6038" spans="4:6" x14ac:dyDescent="0.2">
      <c r="D6038" s="50"/>
      <c r="E6038" s="73"/>
      <c r="F6038" s="45"/>
    </row>
    <row r="6039" spans="4:6" x14ac:dyDescent="0.2">
      <c r="D6039" s="50"/>
      <c r="E6039" s="73"/>
      <c r="F6039" s="45"/>
    </row>
    <row r="6040" spans="4:6" x14ac:dyDescent="0.2">
      <c r="D6040" s="50"/>
      <c r="E6040" s="73"/>
      <c r="F6040" s="45"/>
    </row>
    <row r="6041" spans="4:6" x14ac:dyDescent="0.2">
      <c r="D6041" s="50"/>
      <c r="E6041" s="73"/>
      <c r="F6041" s="45"/>
    </row>
    <row r="6042" spans="4:6" x14ac:dyDescent="0.2">
      <c r="D6042" s="50"/>
      <c r="E6042" s="73"/>
      <c r="F6042" s="45"/>
    </row>
    <row r="6043" spans="4:6" x14ac:dyDescent="0.2">
      <c r="D6043" s="50"/>
      <c r="E6043" s="73"/>
      <c r="F6043" s="45"/>
    </row>
    <row r="6044" spans="4:6" x14ac:dyDescent="0.2">
      <c r="D6044" s="50"/>
      <c r="E6044" s="73"/>
      <c r="F6044" s="45"/>
    </row>
    <row r="6045" spans="4:6" x14ac:dyDescent="0.2">
      <c r="D6045" s="50"/>
      <c r="E6045" s="73"/>
      <c r="F6045" s="45"/>
    </row>
    <row r="6046" spans="4:6" x14ac:dyDescent="0.2">
      <c r="D6046" s="50"/>
      <c r="E6046" s="73"/>
      <c r="F6046" s="45"/>
    </row>
    <row r="6047" spans="4:6" x14ac:dyDescent="0.2">
      <c r="D6047" s="50"/>
      <c r="E6047" s="73"/>
      <c r="F6047" s="45"/>
    </row>
    <row r="6048" spans="4:6" x14ac:dyDescent="0.2">
      <c r="D6048" s="50"/>
      <c r="E6048" s="73"/>
      <c r="F6048" s="45"/>
    </row>
    <row r="6049" spans="4:6" x14ac:dyDescent="0.2">
      <c r="D6049" s="50"/>
      <c r="E6049" s="73"/>
      <c r="F6049" s="45"/>
    </row>
    <row r="6050" spans="4:6" x14ac:dyDescent="0.2">
      <c r="D6050" s="50"/>
      <c r="E6050" s="73"/>
      <c r="F6050" s="45"/>
    </row>
    <row r="6051" spans="4:6" x14ac:dyDescent="0.2">
      <c r="D6051" s="50"/>
      <c r="E6051" s="73"/>
      <c r="F6051" s="45"/>
    </row>
    <row r="6052" spans="4:6" x14ac:dyDescent="0.2">
      <c r="D6052" s="50"/>
      <c r="E6052" s="73"/>
      <c r="F6052" s="45"/>
    </row>
    <row r="6053" spans="4:6" x14ac:dyDescent="0.2">
      <c r="D6053" s="50"/>
      <c r="E6053" s="73"/>
      <c r="F6053" s="45"/>
    </row>
    <row r="6054" spans="4:6" x14ac:dyDescent="0.2">
      <c r="D6054" s="50"/>
      <c r="E6054" s="73"/>
      <c r="F6054" s="45"/>
    </row>
    <row r="6055" spans="4:6" x14ac:dyDescent="0.2">
      <c r="D6055" s="50"/>
      <c r="E6055" s="73"/>
      <c r="F6055" s="45"/>
    </row>
    <row r="6056" spans="4:6" x14ac:dyDescent="0.2">
      <c r="D6056" s="50"/>
      <c r="E6056" s="73"/>
      <c r="F6056" s="45"/>
    </row>
    <row r="6057" spans="4:6" x14ac:dyDescent="0.2">
      <c r="D6057" s="50"/>
      <c r="E6057" s="73"/>
      <c r="F6057" s="45"/>
    </row>
    <row r="6058" spans="4:6" x14ac:dyDescent="0.2">
      <c r="D6058" s="50"/>
      <c r="E6058" s="73"/>
      <c r="F6058" s="45"/>
    </row>
    <row r="6059" spans="4:6" x14ac:dyDescent="0.2">
      <c r="D6059" s="50"/>
      <c r="E6059" s="73"/>
      <c r="F6059" s="45"/>
    </row>
    <row r="6060" spans="4:6" x14ac:dyDescent="0.2">
      <c r="D6060" s="50"/>
      <c r="E6060" s="73"/>
      <c r="F6060" s="45"/>
    </row>
    <row r="6061" spans="4:6" x14ac:dyDescent="0.2">
      <c r="D6061" s="50"/>
      <c r="E6061" s="73"/>
      <c r="F6061" s="45"/>
    </row>
    <row r="6062" spans="4:6" x14ac:dyDescent="0.2">
      <c r="D6062" s="50"/>
      <c r="E6062" s="73"/>
      <c r="F6062" s="45"/>
    </row>
    <row r="6063" spans="4:6" x14ac:dyDescent="0.2">
      <c r="D6063" s="50"/>
      <c r="E6063" s="73"/>
      <c r="F6063" s="45"/>
    </row>
    <row r="6064" spans="4:6" x14ac:dyDescent="0.2">
      <c r="D6064" s="50"/>
      <c r="E6064" s="73"/>
      <c r="F6064" s="45"/>
    </row>
    <row r="6065" spans="4:6" x14ac:dyDescent="0.2">
      <c r="D6065" s="50"/>
      <c r="E6065" s="73"/>
      <c r="F6065" s="45"/>
    </row>
    <row r="6066" spans="4:6" x14ac:dyDescent="0.2">
      <c r="D6066" s="50"/>
      <c r="E6066" s="73"/>
      <c r="F6066" s="45"/>
    </row>
    <row r="6067" spans="4:6" x14ac:dyDescent="0.2">
      <c r="D6067" s="50"/>
      <c r="E6067" s="73"/>
      <c r="F6067" s="45"/>
    </row>
    <row r="6068" spans="4:6" x14ac:dyDescent="0.2">
      <c r="D6068" s="50"/>
      <c r="E6068" s="73"/>
      <c r="F6068" s="45"/>
    </row>
    <row r="6069" spans="4:6" x14ac:dyDescent="0.2">
      <c r="D6069" s="50"/>
      <c r="E6069" s="73"/>
      <c r="F6069" s="45"/>
    </row>
    <row r="6070" spans="4:6" x14ac:dyDescent="0.2">
      <c r="D6070" s="50"/>
      <c r="E6070" s="73"/>
      <c r="F6070" s="45"/>
    </row>
    <row r="6071" spans="4:6" x14ac:dyDescent="0.2">
      <c r="D6071" s="50"/>
      <c r="E6071" s="73"/>
      <c r="F6071" s="45"/>
    </row>
    <row r="6072" spans="4:6" x14ac:dyDescent="0.2">
      <c r="D6072" s="50"/>
      <c r="E6072" s="73"/>
      <c r="F6072" s="45"/>
    </row>
    <row r="6073" spans="4:6" x14ac:dyDescent="0.2">
      <c r="D6073" s="50"/>
      <c r="E6073" s="73"/>
      <c r="F6073" s="45"/>
    </row>
    <row r="6074" spans="4:6" x14ac:dyDescent="0.2">
      <c r="D6074" s="50"/>
      <c r="E6074" s="73"/>
      <c r="F6074" s="45"/>
    </row>
    <row r="6075" spans="4:6" x14ac:dyDescent="0.2">
      <c r="D6075" s="50"/>
      <c r="E6075" s="73"/>
      <c r="F6075" s="45"/>
    </row>
    <row r="6076" spans="4:6" x14ac:dyDescent="0.2">
      <c r="D6076" s="50"/>
      <c r="E6076" s="73"/>
      <c r="F6076" s="45"/>
    </row>
    <row r="6077" spans="4:6" x14ac:dyDescent="0.2">
      <c r="D6077" s="50"/>
      <c r="E6077" s="73"/>
      <c r="F6077" s="45"/>
    </row>
    <row r="6078" spans="4:6" x14ac:dyDescent="0.2">
      <c r="D6078" s="50"/>
      <c r="E6078" s="73"/>
      <c r="F6078" s="45"/>
    </row>
    <row r="6079" spans="4:6" x14ac:dyDescent="0.2">
      <c r="D6079" s="50"/>
      <c r="E6079" s="73"/>
      <c r="F6079" s="45"/>
    </row>
    <row r="6080" spans="4:6" x14ac:dyDescent="0.2">
      <c r="D6080" s="50"/>
      <c r="E6080" s="73"/>
      <c r="F6080" s="45"/>
    </row>
    <row r="6081" spans="4:6" x14ac:dyDescent="0.2">
      <c r="D6081" s="50"/>
      <c r="E6081" s="73"/>
      <c r="F6081" s="45"/>
    </row>
    <row r="6082" spans="4:6" x14ac:dyDescent="0.2">
      <c r="D6082" s="50"/>
      <c r="E6082" s="73"/>
      <c r="F6082" s="45"/>
    </row>
    <row r="6083" spans="4:6" x14ac:dyDescent="0.2">
      <c r="D6083" s="50"/>
      <c r="E6083" s="73"/>
      <c r="F6083" s="45"/>
    </row>
    <row r="6084" spans="4:6" x14ac:dyDescent="0.2">
      <c r="D6084" s="50"/>
      <c r="E6084" s="73"/>
      <c r="F6084" s="45"/>
    </row>
    <row r="6085" spans="4:6" x14ac:dyDescent="0.2">
      <c r="D6085" s="50"/>
      <c r="E6085" s="73"/>
      <c r="F6085" s="45"/>
    </row>
    <row r="6086" spans="4:6" x14ac:dyDescent="0.2">
      <c r="D6086" s="50"/>
      <c r="E6086" s="73"/>
      <c r="F6086" s="45"/>
    </row>
    <row r="6087" spans="4:6" x14ac:dyDescent="0.2">
      <c r="D6087" s="50"/>
      <c r="E6087" s="73"/>
      <c r="F6087" s="45"/>
    </row>
    <row r="6088" spans="4:6" x14ac:dyDescent="0.2">
      <c r="D6088" s="50"/>
      <c r="E6088" s="73"/>
      <c r="F6088" s="45"/>
    </row>
    <row r="6089" spans="4:6" x14ac:dyDescent="0.2">
      <c r="D6089" s="50"/>
      <c r="E6089" s="73"/>
      <c r="F6089" s="45"/>
    </row>
    <row r="6090" spans="4:6" x14ac:dyDescent="0.2">
      <c r="D6090" s="50"/>
      <c r="E6090" s="73"/>
      <c r="F6090" s="45"/>
    </row>
    <row r="6091" spans="4:6" x14ac:dyDescent="0.2">
      <c r="D6091" s="50"/>
      <c r="E6091" s="73"/>
      <c r="F6091" s="45"/>
    </row>
    <row r="6092" spans="4:6" x14ac:dyDescent="0.2">
      <c r="D6092" s="50"/>
      <c r="E6092" s="73"/>
      <c r="F6092" s="45"/>
    </row>
    <row r="6093" spans="4:6" x14ac:dyDescent="0.2">
      <c r="D6093" s="50"/>
      <c r="E6093" s="73"/>
      <c r="F6093" s="45"/>
    </row>
    <row r="6094" spans="4:6" x14ac:dyDescent="0.2">
      <c r="D6094" s="50"/>
      <c r="E6094" s="73"/>
      <c r="F6094" s="45"/>
    </row>
    <row r="6095" spans="4:6" x14ac:dyDescent="0.2">
      <c r="D6095" s="50"/>
      <c r="E6095" s="73"/>
      <c r="F6095" s="45"/>
    </row>
    <row r="6096" spans="4:6" x14ac:dyDescent="0.2">
      <c r="D6096" s="50"/>
      <c r="E6096" s="73"/>
      <c r="F6096" s="45"/>
    </row>
    <row r="6097" spans="4:6" x14ac:dyDescent="0.2">
      <c r="D6097" s="50"/>
      <c r="E6097" s="73"/>
      <c r="F6097" s="45"/>
    </row>
    <row r="6098" spans="4:6" x14ac:dyDescent="0.2">
      <c r="D6098" s="50"/>
      <c r="E6098" s="73"/>
      <c r="F6098" s="45"/>
    </row>
    <row r="6099" spans="4:6" x14ac:dyDescent="0.2">
      <c r="D6099" s="50"/>
      <c r="E6099" s="73"/>
      <c r="F6099" s="45"/>
    </row>
    <row r="6100" spans="4:6" x14ac:dyDescent="0.2">
      <c r="D6100" s="50"/>
      <c r="E6100" s="73"/>
      <c r="F6100" s="45"/>
    </row>
    <row r="6101" spans="4:6" x14ac:dyDescent="0.2">
      <c r="D6101" s="50"/>
      <c r="E6101" s="73"/>
      <c r="F6101" s="45"/>
    </row>
    <row r="6102" spans="4:6" x14ac:dyDescent="0.2">
      <c r="D6102" s="50"/>
      <c r="E6102" s="73"/>
      <c r="F6102" s="45"/>
    </row>
    <row r="6103" spans="4:6" x14ac:dyDescent="0.2">
      <c r="D6103" s="50"/>
      <c r="E6103" s="73"/>
      <c r="F6103" s="45"/>
    </row>
    <row r="6104" spans="4:6" x14ac:dyDescent="0.2">
      <c r="D6104" s="50"/>
      <c r="E6104" s="73"/>
      <c r="F6104" s="45"/>
    </row>
    <row r="6105" spans="4:6" x14ac:dyDescent="0.2">
      <c r="D6105" s="50"/>
      <c r="E6105" s="73"/>
      <c r="F6105" s="45"/>
    </row>
    <row r="6106" spans="4:6" x14ac:dyDescent="0.2">
      <c r="D6106" s="50"/>
      <c r="E6106" s="73"/>
      <c r="F6106" s="45"/>
    </row>
    <row r="6107" spans="4:6" x14ac:dyDescent="0.2">
      <c r="D6107" s="50"/>
      <c r="E6107" s="73"/>
      <c r="F6107" s="45"/>
    </row>
    <row r="6108" spans="4:6" x14ac:dyDescent="0.2">
      <c r="D6108" s="50"/>
      <c r="E6108" s="73"/>
      <c r="F6108" s="45"/>
    </row>
    <row r="6109" spans="4:6" x14ac:dyDescent="0.2">
      <c r="D6109" s="50"/>
      <c r="E6109" s="73"/>
      <c r="F6109" s="45"/>
    </row>
    <row r="6110" spans="4:6" x14ac:dyDescent="0.2">
      <c r="D6110" s="50"/>
      <c r="E6110" s="73"/>
      <c r="F6110" s="45"/>
    </row>
    <row r="6111" spans="4:6" x14ac:dyDescent="0.2">
      <c r="D6111" s="50"/>
      <c r="E6111" s="73"/>
      <c r="F6111" s="45"/>
    </row>
    <row r="6112" spans="4:6" x14ac:dyDescent="0.2">
      <c r="D6112" s="50"/>
      <c r="E6112" s="73"/>
      <c r="F6112" s="45"/>
    </row>
    <row r="6113" spans="4:6" x14ac:dyDescent="0.2">
      <c r="D6113" s="50"/>
      <c r="E6113" s="73"/>
      <c r="F6113" s="45"/>
    </row>
    <row r="6114" spans="4:6" x14ac:dyDescent="0.2">
      <c r="D6114" s="50"/>
      <c r="E6114" s="73"/>
      <c r="F6114" s="45"/>
    </row>
    <row r="6115" spans="4:6" x14ac:dyDescent="0.2">
      <c r="D6115" s="50"/>
      <c r="E6115" s="73"/>
      <c r="F6115" s="45"/>
    </row>
    <row r="6116" spans="4:6" x14ac:dyDescent="0.2">
      <c r="D6116" s="50"/>
      <c r="E6116" s="73"/>
      <c r="F6116" s="45"/>
    </row>
    <row r="6117" spans="4:6" x14ac:dyDescent="0.2">
      <c r="D6117" s="50"/>
      <c r="E6117" s="73"/>
      <c r="F6117" s="45"/>
    </row>
    <row r="6118" spans="4:6" x14ac:dyDescent="0.2">
      <c r="D6118" s="50"/>
      <c r="E6118" s="73"/>
      <c r="F6118" s="45"/>
    </row>
    <row r="6119" spans="4:6" x14ac:dyDescent="0.2">
      <c r="D6119" s="50"/>
      <c r="E6119" s="73"/>
      <c r="F6119" s="45"/>
    </row>
    <row r="6120" spans="4:6" x14ac:dyDescent="0.2">
      <c r="D6120" s="50"/>
      <c r="E6120" s="73"/>
      <c r="F6120" s="45"/>
    </row>
    <row r="6121" spans="4:6" x14ac:dyDescent="0.2">
      <c r="D6121" s="50"/>
      <c r="E6121" s="73"/>
      <c r="F6121" s="45"/>
    </row>
    <row r="6122" spans="4:6" x14ac:dyDescent="0.2">
      <c r="D6122" s="50"/>
      <c r="E6122" s="73"/>
      <c r="F6122" s="45"/>
    </row>
    <row r="6123" spans="4:6" x14ac:dyDescent="0.2">
      <c r="D6123" s="50"/>
      <c r="E6123" s="73"/>
      <c r="F6123" s="45"/>
    </row>
    <row r="6124" spans="4:6" x14ac:dyDescent="0.2">
      <c r="D6124" s="50"/>
      <c r="E6124" s="73"/>
      <c r="F6124" s="45"/>
    </row>
    <row r="6125" spans="4:6" x14ac:dyDescent="0.2">
      <c r="D6125" s="50"/>
      <c r="E6125" s="73"/>
      <c r="F6125" s="45"/>
    </row>
    <row r="6126" spans="4:6" x14ac:dyDescent="0.2">
      <c r="D6126" s="50"/>
      <c r="E6126" s="73"/>
      <c r="F6126" s="45"/>
    </row>
    <row r="6127" spans="4:6" x14ac:dyDescent="0.2">
      <c r="D6127" s="50"/>
      <c r="E6127" s="73"/>
      <c r="F6127" s="45"/>
    </row>
    <row r="6128" spans="4:6" x14ac:dyDescent="0.2">
      <c r="D6128" s="50"/>
      <c r="E6128" s="73"/>
      <c r="F6128" s="45"/>
    </row>
    <row r="6129" spans="4:6" x14ac:dyDescent="0.2">
      <c r="D6129" s="50"/>
      <c r="E6129" s="73"/>
      <c r="F6129" s="45"/>
    </row>
    <row r="6130" spans="4:6" x14ac:dyDescent="0.2">
      <c r="D6130" s="50"/>
      <c r="E6130" s="73"/>
      <c r="F6130" s="45"/>
    </row>
    <row r="6131" spans="4:6" x14ac:dyDescent="0.2">
      <c r="D6131" s="50"/>
      <c r="E6131" s="73"/>
      <c r="F6131" s="45"/>
    </row>
    <row r="6132" spans="4:6" x14ac:dyDescent="0.2">
      <c r="D6132" s="50"/>
      <c r="E6132" s="73"/>
      <c r="F6132" s="45"/>
    </row>
    <row r="6133" spans="4:6" x14ac:dyDescent="0.2">
      <c r="D6133" s="50"/>
      <c r="E6133" s="73"/>
      <c r="F6133" s="45"/>
    </row>
    <row r="6134" spans="4:6" x14ac:dyDescent="0.2">
      <c r="D6134" s="50"/>
      <c r="E6134" s="73"/>
      <c r="F6134" s="45"/>
    </row>
    <row r="6135" spans="4:6" x14ac:dyDescent="0.2">
      <c r="D6135" s="50"/>
      <c r="E6135" s="73"/>
      <c r="F6135" s="45"/>
    </row>
    <row r="6136" spans="4:6" x14ac:dyDescent="0.2">
      <c r="D6136" s="50"/>
      <c r="E6136" s="73"/>
      <c r="F6136" s="45"/>
    </row>
    <row r="6137" spans="4:6" x14ac:dyDescent="0.2">
      <c r="D6137" s="50"/>
      <c r="E6137" s="73"/>
      <c r="F6137" s="45"/>
    </row>
    <row r="6138" spans="4:6" x14ac:dyDescent="0.2">
      <c r="D6138" s="50"/>
      <c r="E6138" s="73"/>
      <c r="F6138" s="45"/>
    </row>
    <row r="6139" spans="4:6" x14ac:dyDescent="0.2">
      <c r="D6139" s="50"/>
      <c r="E6139" s="73"/>
      <c r="F6139" s="45"/>
    </row>
    <row r="6140" spans="4:6" x14ac:dyDescent="0.2">
      <c r="D6140" s="50"/>
      <c r="E6140" s="73"/>
      <c r="F6140" s="45"/>
    </row>
    <row r="6141" spans="4:6" x14ac:dyDescent="0.2">
      <c r="D6141" s="50"/>
      <c r="E6141" s="73"/>
      <c r="F6141" s="45"/>
    </row>
    <row r="6142" spans="4:6" x14ac:dyDescent="0.2">
      <c r="D6142" s="50"/>
      <c r="E6142" s="73"/>
      <c r="F6142" s="45"/>
    </row>
    <row r="6143" spans="4:6" x14ac:dyDescent="0.2">
      <c r="D6143" s="50"/>
      <c r="E6143" s="73"/>
      <c r="F6143" s="45"/>
    </row>
    <row r="6144" spans="4:6" x14ac:dyDescent="0.2">
      <c r="D6144" s="50"/>
      <c r="E6144" s="73"/>
      <c r="F6144" s="45"/>
    </row>
    <row r="6145" spans="4:6" x14ac:dyDescent="0.2">
      <c r="D6145" s="50"/>
      <c r="E6145" s="73"/>
      <c r="F6145" s="45"/>
    </row>
    <row r="6146" spans="4:6" x14ac:dyDescent="0.2">
      <c r="D6146" s="50"/>
      <c r="E6146" s="73"/>
      <c r="F6146" s="45"/>
    </row>
    <row r="6147" spans="4:6" x14ac:dyDescent="0.2">
      <c r="D6147" s="50"/>
      <c r="E6147" s="73"/>
      <c r="F6147" s="45"/>
    </row>
    <row r="6148" spans="4:6" x14ac:dyDescent="0.2">
      <c r="D6148" s="50"/>
      <c r="E6148" s="73"/>
      <c r="F6148" s="45"/>
    </row>
    <row r="6149" spans="4:6" x14ac:dyDescent="0.2">
      <c r="D6149" s="50"/>
      <c r="E6149" s="73"/>
      <c r="F6149" s="45"/>
    </row>
    <row r="6150" spans="4:6" x14ac:dyDescent="0.2">
      <c r="D6150" s="50"/>
      <c r="E6150" s="73"/>
      <c r="F6150" s="45"/>
    </row>
    <row r="6151" spans="4:6" x14ac:dyDescent="0.2">
      <c r="D6151" s="50"/>
      <c r="E6151" s="73"/>
      <c r="F6151" s="45"/>
    </row>
    <row r="6152" spans="4:6" x14ac:dyDescent="0.2">
      <c r="D6152" s="50"/>
      <c r="E6152" s="73"/>
      <c r="F6152" s="45"/>
    </row>
    <row r="6153" spans="4:6" x14ac:dyDescent="0.2">
      <c r="D6153" s="50"/>
      <c r="E6153" s="73"/>
      <c r="F6153" s="45"/>
    </row>
    <row r="6154" spans="4:6" x14ac:dyDescent="0.2">
      <c r="D6154" s="50"/>
      <c r="E6154" s="73"/>
      <c r="F6154" s="45"/>
    </row>
    <row r="6155" spans="4:6" x14ac:dyDescent="0.2">
      <c r="D6155" s="50"/>
      <c r="E6155" s="73"/>
      <c r="F6155" s="45"/>
    </row>
    <row r="6156" spans="4:6" x14ac:dyDescent="0.2">
      <c r="D6156" s="50"/>
      <c r="E6156" s="73"/>
      <c r="F6156" s="45"/>
    </row>
    <row r="6157" spans="4:6" x14ac:dyDescent="0.2">
      <c r="D6157" s="50"/>
      <c r="E6157" s="73"/>
      <c r="F6157" s="45"/>
    </row>
    <row r="6158" spans="4:6" x14ac:dyDescent="0.2">
      <c r="D6158" s="50"/>
      <c r="E6158" s="73"/>
      <c r="F6158" s="45"/>
    </row>
    <row r="6159" spans="4:6" x14ac:dyDescent="0.2">
      <c r="D6159" s="50"/>
      <c r="E6159" s="73"/>
      <c r="F6159" s="45"/>
    </row>
    <row r="6160" spans="4:6" x14ac:dyDescent="0.2">
      <c r="D6160" s="50"/>
      <c r="E6160" s="73"/>
      <c r="F6160" s="45"/>
    </row>
    <row r="6161" spans="4:6" x14ac:dyDescent="0.2">
      <c r="D6161" s="50"/>
      <c r="E6161" s="73"/>
      <c r="F6161" s="45"/>
    </row>
    <row r="6162" spans="4:6" x14ac:dyDescent="0.2">
      <c r="D6162" s="50"/>
      <c r="E6162" s="73"/>
      <c r="F6162" s="45"/>
    </row>
    <row r="6163" spans="4:6" x14ac:dyDescent="0.2">
      <c r="D6163" s="50"/>
      <c r="E6163" s="73"/>
      <c r="F6163" s="45"/>
    </row>
    <row r="6164" spans="4:6" x14ac:dyDescent="0.2">
      <c r="D6164" s="50"/>
      <c r="E6164" s="73"/>
      <c r="F6164" s="45"/>
    </row>
    <row r="6165" spans="4:6" x14ac:dyDescent="0.2">
      <c r="D6165" s="50"/>
      <c r="E6165" s="73"/>
      <c r="F6165" s="45"/>
    </row>
    <row r="6166" spans="4:6" x14ac:dyDescent="0.2">
      <c r="D6166" s="50"/>
      <c r="E6166" s="73"/>
      <c r="F6166" s="45"/>
    </row>
    <row r="6167" spans="4:6" x14ac:dyDescent="0.2">
      <c r="D6167" s="50"/>
      <c r="E6167" s="73"/>
      <c r="F6167" s="45"/>
    </row>
    <row r="6168" spans="4:6" x14ac:dyDescent="0.2">
      <c r="D6168" s="50"/>
      <c r="E6168" s="73"/>
      <c r="F6168" s="45"/>
    </row>
    <row r="6169" spans="4:6" x14ac:dyDescent="0.2">
      <c r="D6169" s="50"/>
      <c r="E6169" s="73"/>
      <c r="F6169" s="45"/>
    </row>
    <row r="6170" spans="4:6" x14ac:dyDescent="0.2">
      <c r="D6170" s="50"/>
      <c r="E6170" s="73"/>
      <c r="F6170" s="45"/>
    </row>
    <row r="6171" spans="4:6" x14ac:dyDescent="0.2">
      <c r="D6171" s="50"/>
      <c r="E6171" s="73"/>
      <c r="F6171" s="45"/>
    </row>
    <row r="6172" spans="4:6" x14ac:dyDescent="0.2">
      <c r="D6172" s="50"/>
      <c r="E6172" s="73"/>
      <c r="F6172" s="45"/>
    </row>
    <row r="6173" spans="4:6" x14ac:dyDescent="0.2">
      <c r="D6173" s="50"/>
      <c r="E6173" s="73"/>
      <c r="F6173" s="45"/>
    </row>
    <row r="6174" spans="4:6" x14ac:dyDescent="0.2">
      <c r="D6174" s="50"/>
      <c r="E6174" s="73"/>
      <c r="F6174" s="45"/>
    </row>
    <row r="6175" spans="4:6" x14ac:dyDescent="0.2">
      <c r="D6175" s="50"/>
      <c r="E6175" s="73"/>
      <c r="F6175" s="45"/>
    </row>
    <row r="6176" spans="4:6" x14ac:dyDescent="0.2">
      <c r="D6176" s="50"/>
      <c r="E6176" s="73"/>
      <c r="F6176" s="45"/>
    </row>
    <row r="6177" spans="4:6" x14ac:dyDescent="0.2">
      <c r="D6177" s="50"/>
      <c r="E6177" s="73"/>
      <c r="F6177" s="45"/>
    </row>
    <row r="6178" spans="4:6" x14ac:dyDescent="0.2">
      <c r="D6178" s="50"/>
      <c r="E6178" s="73"/>
      <c r="F6178" s="45"/>
    </row>
    <row r="6179" spans="4:6" x14ac:dyDescent="0.2">
      <c r="D6179" s="50"/>
      <c r="E6179" s="73"/>
      <c r="F6179" s="45"/>
    </row>
    <row r="6180" spans="4:6" x14ac:dyDescent="0.2">
      <c r="D6180" s="50"/>
      <c r="E6180" s="73"/>
      <c r="F6180" s="45"/>
    </row>
    <row r="6181" spans="4:6" x14ac:dyDescent="0.2">
      <c r="D6181" s="50"/>
      <c r="E6181" s="73"/>
      <c r="F6181" s="45"/>
    </row>
    <row r="6182" spans="4:6" x14ac:dyDescent="0.2">
      <c r="D6182" s="50"/>
      <c r="E6182" s="73"/>
      <c r="F6182" s="45"/>
    </row>
    <row r="6183" spans="4:6" x14ac:dyDescent="0.2">
      <c r="D6183" s="50"/>
      <c r="E6183" s="73"/>
      <c r="F6183" s="45"/>
    </row>
    <row r="6184" spans="4:6" x14ac:dyDescent="0.2">
      <c r="D6184" s="50"/>
      <c r="E6184" s="73"/>
      <c r="F6184" s="45"/>
    </row>
    <row r="6185" spans="4:6" x14ac:dyDescent="0.2">
      <c r="D6185" s="50"/>
      <c r="E6185" s="73"/>
      <c r="F6185" s="45"/>
    </row>
    <row r="6186" spans="4:6" x14ac:dyDescent="0.2">
      <c r="D6186" s="50"/>
      <c r="E6186" s="73"/>
      <c r="F6186" s="45"/>
    </row>
    <row r="6187" spans="4:6" x14ac:dyDescent="0.2">
      <c r="D6187" s="50"/>
      <c r="E6187" s="73"/>
      <c r="F6187" s="45"/>
    </row>
    <row r="6188" spans="4:6" x14ac:dyDescent="0.2">
      <c r="D6188" s="50"/>
      <c r="E6188" s="73"/>
      <c r="F6188" s="45"/>
    </row>
    <row r="6189" spans="4:6" x14ac:dyDescent="0.2">
      <c r="D6189" s="50"/>
      <c r="E6189" s="73"/>
      <c r="F6189" s="45"/>
    </row>
    <row r="6190" spans="4:6" x14ac:dyDescent="0.2">
      <c r="D6190" s="50"/>
      <c r="E6190" s="73"/>
      <c r="F6190" s="45"/>
    </row>
    <row r="6191" spans="4:6" x14ac:dyDescent="0.2">
      <c r="D6191" s="50"/>
      <c r="E6191" s="73"/>
      <c r="F6191" s="45"/>
    </row>
    <row r="6192" spans="4:6" x14ac:dyDescent="0.2">
      <c r="D6192" s="50"/>
      <c r="E6192" s="73"/>
      <c r="F6192" s="45"/>
    </row>
    <row r="6193" spans="4:6" x14ac:dyDescent="0.2">
      <c r="D6193" s="50"/>
      <c r="E6193" s="73"/>
      <c r="F6193" s="45"/>
    </row>
    <row r="6194" spans="4:6" x14ac:dyDescent="0.2">
      <c r="D6194" s="50"/>
      <c r="E6194" s="73"/>
      <c r="F6194" s="45"/>
    </row>
    <row r="6195" spans="4:6" x14ac:dyDescent="0.2">
      <c r="D6195" s="50"/>
      <c r="E6195" s="73"/>
      <c r="F6195" s="45"/>
    </row>
    <row r="6196" spans="4:6" x14ac:dyDescent="0.2">
      <c r="D6196" s="50"/>
      <c r="E6196" s="73"/>
      <c r="F6196" s="45"/>
    </row>
    <row r="6197" spans="4:6" x14ac:dyDescent="0.2">
      <c r="D6197" s="50"/>
      <c r="E6197" s="73"/>
      <c r="F6197" s="45"/>
    </row>
    <row r="6198" spans="4:6" x14ac:dyDescent="0.2">
      <c r="D6198" s="50"/>
      <c r="E6198" s="73"/>
      <c r="F6198" s="45"/>
    </row>
    <row r="6199" spans="4:6" x14ac:dyDescent="0.2">
      <c r="D6199" s="50"/>
      <c r="E6199" s="73"/>
      <c r="F6199" s="45"/>
    </row>
    <row r="6200" spans="4:6" x14ac:dyDescent="0.2">
      <c r="D6200" s="50"/>
      <c r="E6200" s="73"/>
      <c r="F6200" s="45"/>
    </row>
    <row r="6201" spans="4:6" x14ac:dyDescent="0.2">
      <c r="D6201" s="50"/>
      <c r="E6201" s="73"/>
      <c r="F6201" s="45"/>
    </row>
    <row r="6202" spans="4:6" x14ac:dyDescent="0.2">
      <c r="D6202" s="50"/>
      <c r="E6202" s="73"/>
      <c r="F6202" s="45"/>
    </row>
    <row r="6203" spans="4:6" x14ac:dyDescent="0.2">
      <c r="D6203" s="50"/>
      <c r="E6203" s="73"/>
      <c r="F6203" s="45"/>
    </row>
    <row r="6204" spans="4:6" x14ac:dyDescent="0.2">
      <c r="D6204" s="50"/>
      <c r="E6204" s="73"/>
      <c r="F6204" s="45"/>
    </row>
    <row r="6205" spans="4:6" x14ac:dyDescent="0.2">
      <c r="D6205" s="50"/>
      <c r="E6205" s="73"/>
      <c r="F6205" s="45"/>
    </row>
    <row r="6206" spans="4:6" x14ac:dyDescent="0.2">
      <c r="D6206" s="50"/>
      <c r="E6206" s="73"/>
      <c r="F6206" s="45"/>
    </row>
    <row r="6207" spans="4:6" x14ac:dyDescent="0.2">
      <c r="D6207" s="50"/>
      <c r="E6207" s="73"/>
      <c r="F6207" s="45"/>
    </row>
    <row r="6208" spans="4:6" x14ac:dyDescent="0.2">
      <c r="D6208" s="50"/>
      <c r="E6208" s="73"/>
      <c r="F6208" s="45"/>
    </row>
    <row r="6209" spans="4:6" x14ac:dyDescent="0.2">
      <c r="D6209" s="50"/>
      <c r="E6209" s="73"/>
      <c r="F6209" s="45"/>
    </row>
    <row r="6210" spans="4:6" x14ac:dyDescent="0.2">
      <c r="D6210" s="50"/>
      <c r="E6210" s="73"/>
      <c r="F6210" s="45"/>
    </row>
    <row r="6211" spans="4:6" x14ac:dyDescent="0.2">
      <c r="D6211" s="50"/>
      <c r="E6211" s="73"/>
      <c r="F6211" s="45"/>
    </row>
    <row r="6212" spans="4:6" x14ac:dyDescent="0.2">
      <c r="D6212" s="50"/>
      <c r="E6212" s="73"/>
      <c r="F6212" s="45"/>
    </row>
    <row r="6213" spans="4:6" x14ac:dyDescent="0.2">
      <c r="D6213" s="50"/>
      <c r="E6213" s="73"/>
      <c r="F6213" s="45"/>
    </row>
    <row r="6214" spans="4:6" x14ac:dyDescent="0.2">
      <c r="D6214" s="50"/>
      <c r="E6214" s="73"/>
      <c r="F6214" s="45"/>
    </row>
    <row r="6215" spans="4:6" x14ac:dyDescent="0.2">
      <c r="D6215" s="50"/>
      <c r="E6215" s="73"/>
      <c r="F6215" s="45"/>
    </row>
    <row r="6216" spans="4:6" x14ac:dyDescent="0.2">
      <c r="D6216" s="50"/>
      <c r="E6216" s="73"/>
      <c r="F6216" s="45"/>
    </row>
    <row r="6217" spans="4:6" x14ac:dyDescent="0.2">
      <c r="D6217" s="50"/>
      <c r="E6217" s="73"/>
      <c r="F6217" s="45"/>
    </row>
    <row r="6218" spans="4:6" x14ac:dyDescent="0.2">
      <c r="D6218" s="50"/>
      <c r="E6218" s="73"/>
      <c r="F6218" s="45"/>
    </row>
    <row r="6219" spans="4:6" x14ac:dyDescent="0.2">
      <c r="D6219" s="50"/>
      <c r="E6219" s="73"/>
      <c r="F6219" s="45"/>
    </row>
    <row r="6220" spans="4:6" x14ac:dyDescent="0.2">
      <c r="D6220" s="50"/>
      <c r="E6220" s="73"/>
      <c r="F6220" s="45"/>
    </row>
    <row r="6221" spans="4:6" x14ac:dyDescent="0.2">
      <c r="D6221" s="50"/>
      <c r="E6221" s="73"/>
      <c r="F6221" s="45"/>
    </row>
    <row r="6222" spans="4:6" x14ac:dyDescent="0.2">
      <c r="D6222" s="50"/>
      <c r="E6222" s="73"/>
      <c r="F6222" s="45"/>
    </row>
    <row r="6223" spans="4:6" x14ac:dyDescent="0.2">
      <c r="D6223" s="50"/>
      <c r="E6223" s="73"/>
      <c r="F6223" s="45"/>
    </row>
    <row r="6224" spans="4:6" x14ac:dyDescent="0.2">
      <c r="D6224" s="50"/>
      <c r="E6224" s="73"/>
      <c r="F6224" s="45"/>
    </row>
    <row r="6225" spans="4:6" x14ac:dyDescent="0.2">
      <c r="D6225" s="50"/>
      <c r="E6225" s="73"/>
      <c r="F6225" s="45"/>
    </row>
    <row r="6226" spans="4:6" x14ac:dyDescent="0.2">
      <c r="D6226" s="50"/>
      <c r="E6226" s="73"/>
      <c r="F6226" s="45"/>
    </row>
    <row r="6227" spans="4:6" x14ac:dyDescent="0.2">
      <c r="D6227" s="50"/>
      <c r="E6227" s="73"/>
      <c r="F6227" s="45"/>
    </row>
    <row r="6228" spans="4:6" x14ac:dyDescent="0.2">
      <c r="D6228" s="50"/>
      <c r="E6228" s="73"/>
      <c r="F6228" s="45"/>
    </row>
    <row r="6229" spans="4:6" x14ac:dyDescent="0.2">
      <c r="D6229" s="50"/>
      <c r="E6229" s="73"/>
      <c r="F6229" s="45"/>
    </row>
    <row r="6230" spans="4:6" x14ac:dyDescent="0.2">
      <c r="D6230" s="50"/>
      <c r="E6230" s="73"/>
      <c r="F6230" s="45"/>
    </row>
    <row r="6231" spans="4:6" x14ac:dyDescent="0.2">
      <c r="D6231" s="50"/>
      <c r="E6231" s="73"/>
      <c r="F6231" s="45"/>
    </row>
    <row r="6232" spans="4:6" x14ac:dyDescent="0.2">
      <c r="D6232" s="50"/>
      <c r="E6232" s="73"/>
      <c r="F6232" s="45"/>
    </row>
    <row r="6233" spans="4:6" x14ac:dyDescent="0.2">
      <c r="D6233" s="50"/>
      <c r="E6233" s="73"/>
      <c r="F6233" s="45"/>
    </row>
    <row r="6234" spans="4:6" x14ac:dyDescent="0.2">
      <c r="D6234" s="50"/>
      <c r="E6234" s="73"/>
      <c r="F6234" s="45"/>
    </row>
    <row r="6235" spans="4:6" x14ac:dyDescent="0.2">
      <c r="D6235" s="50"/>
      <c r="E6235" s="73"/>
      <c r="F6235" s="45"/>
    </row>
    <row r="6236" spans="4:6" x14ac:dyDescent="0.2">
      <c r="D6236" s="50"/>
      <c r="E6236" s="73"/>
      <c r="F6236" s="45"/>
    </row>
    <row r="6237" spans="4:6" x14ac:dyDescent="0.2">
      <c r="D6237" s="50"/>
      <c r="E6237" s="73"/>
      <c r="F6237" s="45"/>
    </row>
    <row r="6238" spans="4:6" x14ac:dyDescent="0.2">
      <c r="D6238" s="50"/>
      <c r="E6238" s="73"/>
      <c r="F6238" s="45"/>
    </row>
    <row r="6239" spans="4:6" x14ac:dyDescent="0.2">
      <c r="D6239" s="50"/>
      <c r="E6239" s="73"/>
      <c r="F6239" s="45"/>
    </row>
    <row r="6240" spans="4:6" x14ac:dyDescent="0.2">
      <c r="D6240" s="50"/>
      <c r="E6240" s="73"/>
      <c r="F6240" s="45"/>
    </row>
    <row r="6241" spans="4:6" x14ac:dyDescent="0.2">
      <c r="D6241" s="50"/>
      <c r="E6241" s="73"/>
      <c r="F6241" s="45"/>
    </row>
    <row r="6242" spans="4:6" x14ac:dyDescent="0.2">
      <c r="D6242" s="50"/>
      <c r="E6242" s="73"/>
      <c r="F6242" s="45"/>
    </row>
    <row r="6243" spans="4:6" x14ac:dyDescent="0.2">
      <c r="D6243" s="50"/>
      <c r="E6243" s="73"/>
      <c r="F6243" s="45"/>
    </row>
    <row r="6244" spans="4:6" x14ac:dyDescent="0.2">
      <c r="D6244" s="50"/>
      <c r="E6244" s="73"/>
      <c r="F6244" s="45"/>
    </row>
    <row r="6245" spans="4:6" x14ac:dyDescent="0.2">
      <c r="D6245" s="50"/>
      <c r="E6245" s="73"/>
      <c r="F6245" s="45"/>
    </row>
    <row r="6246" spans="4:6" x14ac:dyDescent="0.2">
      <c r="D6246" s="50"/>
      <c r="E6246" s="73"/>
      <c r="F6246" s="45"/>
    </row>
    <row r="6247" spans="4:6" x14ac:dyDescent="0.2">
      <c r="D6247" s="50"/>
      <c r="E6247" s="73"/>
      <c r="F6247" s="45"/>
    </row>
    <row r="6248" spans="4:6" x14ac:dyDescent="0.2">
      <c r="D6248" s="50"/>
      <c r="E6248" s="73"/>
      <c r="F6248" s="45"/>
    </row>
    <row r="6249" spans="4:6" x14ac:dyDescent="0.2">
      <c r="D6249" s="50"/>
      <c r="E6249" s="73"/>
      <c r="F6249" s="45"/>
    </row>
    <row r="6250" spans="4:6" x14ac:dyDescent="0.2">
      <c r="D6250" s="50"/>
      <c r="E6250" s="73"/>
      <c r="F6250" s="45"/>
    </row>
    <row r="6251" spans="4:6" x14ac:dyDescent="0.2">
      <c r="D6251" s="50"/>
      <c r="E6251" s="73"/>
      <c r="F6251" s="45"/>
    </row>
    <row r="6252" spans="4:6" x14ac:dyDescent="0.2">
      <c r="D6252" s="50"/>
      <c r="E6252" s="73"/>
      <c r="F6252" s="45"/>
    </row>
    <row r="6253" spans="4:6" x14ac:dyDescent="0.2">
      <c r="D6253" s="50"/>
      <c r="E6253" s="73"/>
      <c r="F6253" s="45"/>
    </row>
    <row r="6254" spans="4:6" x14ac:dyDescent="0.2">
      <c r="D6254" s="50"/>
      <c r="E6254" s="73"/>
      <c r="F6254" s="45"/>
    </row>
    <row r="6255" spans="4:6" x14ac:dyDescent="0.2">
      <c r="D6255" s="50"/>
      <c r="E6255" s="73"/>
      <c r="F6255" s="45"/>
    </row>
    <row r="6256" spans="4:6" x14ac:dyDescent="0.2">
      <c r="D6256" s="50"/>
      <c r="E6256" s="73"/>
      <c r="F6256" s="45"/>
    </row>
    <row r="6257" spans="4:6" x14ac:dyDescent="0.2">
      <c r="D6257" s="50"/>
      <c r="E6257" s="73"/>
      <c r="F6257" s="45"/>
    </row>
    <row r="6258" spans="4:6" x14ac:dyDescent="0.2">
      <c r="D6258" s="50"/>
      <c r="E6258" s="73"/>
      <c r="F6258" s="45"/>
    </row>
    <row r="6259" spans="4:6" x14ac:dyDescent="0.2">
      <c r="D6259" s="50"/>
      <c r="E6259" s="73"/>
      <c r="F6259" s="45"/>
    </row>
    <row r="6260" spans="4:6" x14ac:dyDescent="0.2">
      <c r="D6260" s="50"/>
      <c r="E6260" s="73"/>
      <c r="F6260" s="45"/>
    </row>
    <row r="6261" spans="4:6" x14ac:dyDescent="0.2">
      <c r="D6261" s="50"/>
      <c r="E6261" s="73"/>
      <c r="F6261" s="45"/>
    </row>
    <row r="6262" spans="4:6" x14ac:dyDescent="0.2">
      <c r="D6262" s="50"/>
      <c r="E6262" s="73"/>
      <c r="F6262" s="45"/>
    </row>
    <row r="6263" spans="4:6" x14ac:dyDescent="0.2">
      <c r="D6263" s="50"/>
      <c r="E6263" s="73"/>
      <c r="F6263" s="45"/>
    </row>
    <row r="6264" spans="4:6" x14ac:dyDescent="0.2">
      <c r="D6264" s="50"/>
      <c r="E6264" s="73"/>
      <c r="F6264" s="45"/>
    </row>
    <row r="6265" spans="4:6" x14ac:dyDescent="0.2">
      <c r="D6265" s="50"/>
      <c r="E6265" s="73"/>
      <c r="F6265" s="45"/>
    </row>
    <row r="6266" spans="4:6" x14ac:dyDescent="0.2">
      <c r="D6266" s="50"/>
      <c r="E6266" s="73"/>
      <c r="F6266" s="45"/>
    </row>
    <row r="6267" spans="4:6" x14ac:dyDescent="0.2">
      <c r="D6267" s="50"/>
      <c r="E6267" s="73"/>
      <c r="F6267" s="45"/>
    </row>
    <row r="6268" spans="4:6" x14ac:dyDescent="0.2">
      <c r="D6268" s="50"/>
      <c r="E6268" s="73"/>
      <c r="F6268" s="45"/>
    </row>
    <row r="6269" spans="4:6" x14ac:dyDescent="0.2">
      <c r="D6269" s="50"/>
      <c r="E6269" s="73"/>
      <c r="F6269" s="45"/>
    </row>
    <row r="6270" spans="4:6" x14ac:dyDescent="0.2">
      <c r="D6270" s="50"/>
      <c r="E6270" s="73"/>
      <c r="F6270" s="45"/>
    </row>
    <row r="6271" spans="4:6" x14ac:dyDescent="0.2">
      <c r="D6271" s="50"/>
      <c r="E6271" s="73"/>
      <c r="F6271" s="45"/>
    </row>
    <row r="6272" spans="4:6" x14ac:dyDescent="0.2">
      <c r="D6272" s="50"/>
      <c r="E6272" s="73"/>
      <c r="F6272" s="45"/>
    </row>
    <row r="6273" spans="4:6" x14ac:dyDescent="0.2">
      <c r="D6273" s="50"/>
      <c r="E6273" s="73"/>
      <c r="F6273" s="45"/>
    </row>
    <row r="6274" spans="4:6" x14ac:dyDescent="0.2">
      <c r="D6274" s="50"/>
      <c r="E6274" s="73"/>
      <c r="F6274" s="45"/>
    </row>
    <row r="6275" spans="4:6" x14ac:dyDescent="0.2">
      <c r="D6275" s="50"/>
      <c r="E6275" s="73"/>
      <c r="F6275" s="45"/>
    </row>
    <row r="6276" spans="4:6" x14ac:dyDescent="0.2">
      <c r="D6276" s="50"/>
      <c r="E6276" s="73"/>
      <c r="F6276" s="45"/>
    </row>
    <row r="6277" spans="4:6" x14ac:dyDescent="0.2">
      <c r="D6277" s="50"/>
      <c r="E6277" s="73"/>
      <c r="F6277" s="45"/>
    </row>
    <row r="6278" spans="4:6" x14ac:dyDescent="0.2">
      <c r="D6278" s="50"/>
      <c r="E6278" s="73"/>
      <c r="F6278" s="45"/>
    </row>
    <row r="6279" spans="4:6" x14ac:dyDescent="0.2">
      <c r="D6279" s="50"/>
      <c r="E6279" s="73"/>
      <c r="F6279" s="45"/>
    </row>
    <row r="6280" spans="4:6" x14ac:dyDescent="0.2">
      <c r="D6280" s="50"/>
      <c r="E6280" s="73"/>
      <c r="F6280" s="45"/>
    </row>
    <row r="6281" spans="4:6" x14ac:dyDescent="0.2">
      <c r="D6281" s="50"/>
      <c r="E6281" s="73"/>
      <c r="F6281" s="45"/>
    </row>
    <row r="6282" spans="4:6" x14ac:dyDescent="0.2">
      <c r="D6282" s="50"/>
      <c r="E6282" s="73"/>
      <c r="F6282" s="45"/>
    </row>
    <row r="6283" spans="4:6" x14ac:dyDescent="0.2">
      <c r="D6283" s="50"/>
      <c r="E6283" s="73"/>
      <c r="F6283" s="45"/>
    </row>
    <row r="6284" spans="4:6" x14ac:dyDescent="0.2">
      <c r="D6284" s="50"/>
      <c r="E6284" s="73"/>
      <c r="F6284" s="45"/>
    </row>
    <row r="6285" spans="4:6" x14ac:dyDescent="0.2">
      <c r="D6285" s="50"/>
      <c r="E6285" s="73"/>
      <c r="F6285" s="45"/>
    </row>
    <row r="6286" spans="4:6" x14ac:dyDescent="0.2">
      <c r="D6286" s="50"/>
      <c r="E6286" s="73"/>
      <c r="F6286" s="45"/>
    </row>
    <row r="6287" spans="4:6" x14ac:dyDescent="0.2">
      <c r="D6287" s="50"/>
      <c r="E6287" s="73"/>
      <c r="F6287" s="45"/>
    </row>
    <row r="6288" spans="4:6" x14ac:dyDescent="0.2">
      <c r="D6288" s="50"/>
      <c r="E6288" s="73"/>
      <c r="F6288" s="45"/>
    </row>
    <row r="6289" spans="4:6" x14ac:dyDescent="0.2">
      <c r="D6289" s="50"/>
      <c r="E6289" s="73"/>
      <c r="F6289" s="45"/>
    </row>
    <row r="6290" spans="4:6" x14ac:dyDescent="0.2">
      <c r="D6290" s="50"/>
      <c r="E6290" s="73"/>
      <c r="F6290" s="45"/>
    </row>
    <row r="6291" spans="4:6" x14ac:dyDescent="0.2">
      <c r="D6291" s="50"/>
      <c r="E6291" s="73"/>
      <c r="F6291" s="45"/>
    </row>
    <row r="6292" spans="4:6" x14ac:dyDescent="0.2">
      <c r="D6292" s="50"/>
      <c r="E6292" s="73"/>
      <c r="F6292" s="45"/>
    </row>
    <row r="6293" spans="4:6" x14ac:dyDescent="0.2">
      <c r="D6293" s="50"/>
      <c r="E6293" s="73"/>
      <c r="F6293" s="45"/>
    </row>
    <row r="6294" spans="4:6" x14ac:dyDescent="0.2">
      <c r="D6294" s="50"/>
      <c r="E6294" s="73"/>
      <c r="F6294" s="45"/>
    </row>
    <row r="6295" spans="4:6" x14ac:dyDescent="0.2">
      <c r="D6295" s="50"/>
      <c r="E6295" s="73"/>
      <c r="F6295" s="45"/>
    </row>
    <row r="6296" spans="4:6" x14ac:dyDescent="0.2">
      <c r="D6296" s="50"/>
      <c r="E6296" s="73"/>
      <c r="F6296" s="45"/>
    </row>
    <row r="6297" spans="4:6" x14ac:dyDescent="0.2">
      <c r="D6297" s="50"/>
      <c r="E6297" s="73"/>
      <c r="F6297" s="45"/>
    </row>
    <row r="6298" spans="4:6" x14ac:dyDescent="0.2">
      <c r="D6298" s="50"/>
      <c r="E6298" s="73"/>
      <c r="F6298" s="45"/>
    </row>
    <row r="6299" spans="4:6" x14ac:dyDescent="0.2">
      <c r="D6299" s="50"/>
      <c r="E6299" s="73"/>
      <c r="F6299" s="45"/>
    </row>
    <row r="6300" spans="4:6" x14ac:dyDescent="0.2">
      <c r="D6300" s="50"/>
      <c r="E6300" s="73"/>
      <c r="F6300" s="45"/>
    </row>
    <row r="6301" spans="4:6" x14ac:dyDescent="0.2">
      <c r="D6301" s="50"/>
      <c r="E6301" s="73"/>
      <c r="F6301" s="45"/>
    </row>
    <row r="6302" spans="4:6" x14ac:dyDescent="0.2">
      <c r="D6302" s="50"/>
      <c r="E6302" s="73"/>
      <c r="F6302" s="45"/>
    </row>
    <row r="6303" spans="4:6" x14ac:dyDescent="0.2">
      <c r="D6303" s="50"/>
      <c r="E6303" s="73"/>
      <c r="F6303" s="45"/>
    </row>
    <row r="6304" spans="4:6" x14ac:dyDescent="0.2">
      <c r="D6304" s="50"/>
      <c r="E6304" s="73"/>
      <c r="F6304" s="45"/>
    </row>
    <row r="6305" spans="4:6" x14ac:dyDescent="0.2">
      <c r="D6305" s="50"/>
      <c r="E6305" s="73"/>
      <c r="F6305" s="45"/>
    </row>
    <row r="6306" spans="4:6" x14ac:dyDescent="0.2">
      <c r="D6306" s="50"/>
      <c r="E6306" s="73"/>
      <c r="F6306" s="45"/>
    </row>
    <row r="6307" spans="4:6" x14ac:dyDescent="0.2">
      <c r="D6307" s="50"/>
      <c r="E6307" s="73"/>
      <c r="F6307" s="45"/>
    </row>
    <row r="6308" spans="4:6" x14ac:dyDescent="0.2">
      <c r="D6308" s="50"/>
      <c r="E6308" s="73"/>
      <c r="F6308" s="45"/>
    </row>
    <row r="6309" spans="4:6" x14ac:dyDescent="0.2">
      <c r="D6309" s="50"/>
      <c r="E6309" s="73"/>
      <c r="F6309" s="45"/>
    </row>
    <row r="6310" spans="4:6" x14ac:dyDescent="0.2">
      <c r="D6310" s="50"/>
      <c r="E6310" s="73"/>
      <c r="F6310" s="45"/>
    </row>
    <row r="6311" spans="4:6" x14ac:dyDescent="0.2">
      <c r="D6311" s="50"/>
      <c r="E6311" s="73"/>
      <c r="F6311" s="45"/>
    </row>
    <row r="6312" spans="4:6" x14ac:dyDescent="0.2">
      <c r="D6312" s="50"/>
      <c r="E6312" s="73"/>
      <c r="F6312" s="45"/>
    </row>
    <row r="6313" spans="4:6" x14ac:dyDescent="0.2">
      <c r="D6313" s="50"/>
      <c r="E6313" s="73"/>
      <c r="F6313" s="45"/>
    </row>
    <row r="6314" spans="4:6" x14ac:dyDescent="0.2">
      <c r="D6314" s="50"/>
      <c r="E6314" s="73"/>
      <c r="F6314" s="45"/>
    </row>
    <row r="6315" spans="4:6" x14ac:dyDescent="0.2">
      <c r="D6315" s="50"/>
      <c r="E6315" s="73"/>
      <c r="F6315" s="45"/>
    </row>
    <row r="6316" spans="4:6" x14ac:dyDescent="0.2">
      <c r="D6316" s="50"/>
      <c r="E6316" s="73"/>
      <c r="F6316" s="45"/>
    </row>
    <row r="6317" spans="4:6" x14ac:dyDescent="0.2">
      <c r="D6317" s="50"/>
      <c r="E6317" s="73"/>
      <c r="F6317" s="45"/>
    </row>
    <row r="6318" spans="4:6" x14ac:dyDescent="0.2">
      <c r="D6318" s="50"/>
      <c r="E6318" s="73"/>
      <c r="F6318" s="45"/>
    </row>
    <row r="6319" spans="4:6" x14ac:dyDescent="0.2">
      <c r="D6319" s="50"/>
      <c r="E6319" s="73"/>
      <c r="F6319" s="45"/>
    </row>
    <row r="6320" spans="4:6" x14ac:dyDescent="0.2">
      <c r="D6320" s="50"/>
      <c r="E6320" s="73"/>
      <c r="F6320" s="45"/>
    </row>
    <row r="6321" spans="4:6" x14ac:dyDescent="0.2">
      <c r="D6321" s="50"/>
      <c r="E6321" s="73"/>
      <c r="F6321" s="45"/>
    </row>
    <row r="6322" spans="4:6" x14ac:dyDescent="0.2">
      <c r="D6322" s="50"/>
      <c r="E6322" s="73"/>
      <c r="F6322" s="45"/>
    </row>
    <row r="6323" spans="4:6" x14ac:dyDescent="0.2">
      <c r="D6323" s="50"/>
      <c r="E6323" s="73"/>
      <c r="F6323" s="45"/>
    </row>
    <row r="6324" spans="4:6" x14ac:dyDescent="0.2">
      <c r="D6324" s="50"/>
      <c r="E6324" s="73"/>
      <c r="F6324" s="45"/>
    </row>
    <row r="6325" spans="4:6" x14ac:dyDescent="0.2">
      <c r="D6325" s="50"/>
      <c r="E6325" s="73"/>
      <c r="F6325" s="45"/>
    </row>
    <row r="6326" spans="4:6" x14ac:dyDescent="0.2">
      <c r="D6326" s="50"/>
      <c r="E6326" s="73"/>
      <c r="F6326" s="45"/>
    </row>
    <row r="6327" spans="4:6" x14ac:dyDescent="0.2">
      <c r="D6327" s="50"/>
      <c r="E6327" s="73"/>
      <c r="F6327" s="45"/>
    </row>
    <row r="6328" spans="4:6" x14ac:dyDescent="0.2">
      <c r="D6328" s="50"/>
      <c r="E6328" s="73"/>
      <c r="F6328" s="45"/>
    </row>
    <row r="6329" spans="4:6" x14ac:dyDescent="0.2">
      <c r="D6329" s="50"/>
      <c r="E6329" s="73"/>
      <c r="F6329" s="45"/>
    </row>
    <row r="6330" spans="4:6" x14ac:dyDescent="0.2">
      <c r="D6330" s="50"/>
      <c r="E6330" s="73"/>
      <c r="F6330" s="45"/>
    </row>
    <row r="6331" spans="4:6" x14ac:dyDescent="0.2">
      <c r="D6331" s="50"/>
      <c r="E6331" s="73"/>
      <c r="F6331" s="45"/>
    </row>
    <row r="6332" spans="4:6" x14ac:dyDescent="0.2">
      <c r="D6332" s="50"/>
      <c r="E6332" s="73"/>
      <c r="F6332" s="45"/>
    </row>
    <row r="6333" spans="4:6" x14ac:dyDescent="0.2">
      <c r="D6333" s="50"/>
      <c r="E6333" s="73"/>
      <c r="F6333" s="45"/>
    </row>
    <row r="6334" spans="4:6" x14ac:dyDescent="0.2">
      <c r="D6334" s="50"/>
      <c r="E6334" s="73"/>
      <c r="F6334" s="45"/>
    </row>
    <row r="6335" spans="4:6" x14ac:dyDescent="0.2">
      <c r="D6335" s="50"/>
      <c r="E6335" s="73"/>
      <c r="F6335" s="45"/>
    </row>
    <row r="6336" spans="4:6" x14ac:dyDescent="0.2">
      <c r="D6336" s="50"/>
      <c r="E6336" s="73"/>
      <c r="F6336" s="45"/>
    </row>
    <row r="6337" spans="4:6" x14ac:dyDescent="0.2">
      <c r="D6337" s="50"/>
      <c r="E6337" s="73"/>
      <c r="F6337" s="45"/>
    </row>
    <row r="6338" spans="4:6" x14ac:dyDescent="0.2">
      <c r="D6338" s="50"/>
      <c r="E6338" s="73"/>
      <c r="F6338" s="45"/>
    </row>
    <row r="6339" spans="4:6" x14ac:dyDescent="0.2">
      <c r="D6339" s="50"/>
      <c r="E6339" s="73"/>
      <c r="F6339" s="45"/>
    </row>
    <row r="6340" spans="4:6" x14ac:dyDescent="0.2">
      <c r="D6340" s="50"/>
      <c r="E6340" s="73"/>
      <c r="F6340" s="45"/>
    </row>
    <row r="6341" spans="4:6" x14ac:dyDescent="0.2">
      <c r="D6341" s="50"/>
      <c r="E6341" s="73"/>
      <c r="F6341" s="45"/>
    </row>
    <row r="6342" spans="4:6" x14ac:dyDescent="0.2">
      <c r="D6342" s="50"/>
      <c r="E6342" s="73"/>
      <c r="F6342" s="45"/>
    </row>
    <row r="6343" spans="4:6" x14ac:dyDescent="0.2">
      <c r="D6343" s="50"/>
      <c r="E6343" s="73"/>
      <c r="F6343" s="45"/>
    </row>
    <row r="6344" spans="4:6" x14ac:dyDescent="0.2">
      <c r="D6344" s="50"/>
      <c r="E6344" s="73"/>
      <c r="F6344" s="45"/>
    </row>
    <row r="6345" spans="4:6" x14ac:dyDescent="0.2">
      <c r="D6345" s="50"/>
      <c r="E6345" s="73"/>
      <c r="F6345" s="45"/>
    </row>
    <row r="6346" spans="4:6" x14ac:dyDescent="0.2">
      <c r="D6346" s="50"/>
      <c r="E6346" s="73"/>
      <c r="F6346" s="45"/>
    </row>
    <row r="6347" spans="4:6" x14ac:dyDescent="0.2">
      <c r="D6347" s="50"/>
      <c r="E6347" s="73"/>
      <c r="F6347" s="45"/>
    </row>
    <row r="6348" spans="4:6" x14ac:dyDescent="0.2">
      <c r="D6348" s="50"/>
      <c r="E6348" s="73"/>
      <c r="F6348" s="45"/>
    </row>
    <row r="6349" spans="4:6" x14ac:dyDescent="0.2">
      <c r="D6349" s="50"/>
      <c r="E6349" s="73"/>
      <c r="F6349" s="45"/>
    </row>
    <row r="6350" spans="4:6" x14ac:dyDescent="0.2">
      <c r="D6350" s="50"/>
      <c r="E6350" s="73"/>
      <c r="F6350" s="45"/>
    </row>
    <row r="6351" spans="4:6" x14ac:dyDescent="0.2">
      <c r="D6351" s="50"/>
      <c r="E6351" s="73"/>
      <c r="F6351" s="45"/>
    </row>
    <row r="6352" spans="4:6" x14ac:dyDescent="0.2">
      <c r="D6352" s="50"/>
      <c r="E6352" s="73"/>
      <c r="F6352" s="45"/>
    </row>
    <row r="6353" spans="4:6" x14ac:dyDescent="0.2">
      <c r="D6353" s="50"/>
      <c r="E6353" s="73"/>
      <c r="F6353" s="45"/>
    </row>
    <row r="6354" spans="4:6" x14ac:dyDescent="0.2">
      <c r="D6354" s="50"/>
      <c r="E6354" s="73"/>
      <c r="F6354" s="45"/>
    </row>
    <row r="6355" spans="4:6" x14ac:dyDescent="0.2">
      <c r="D6355" s="50"/>
      <c r="E6355" s="73"/>
      <c r="F6355" s="45"/>
    </row>
    <row r="6356" spans="4:6" x14ac:dyDescent="0.2">
      <c r="D6356" s="50"/>
      <c r="E6356" s="73"/>
      <c r="F6356" s="45"/>
    </row>
    <row r="6357" spans="4:6" x14ac:dyDescent="0.2">
      <c r="D6357" s="50"/>
      <c r="E6357" s="73"/>
      <c r="F6357" s="45"/>
    </row>
    <row r="6358" spans="4:6" x14ac:dyDescent="0.2">
      <c r="D6358" s="50"/>
      <c r="E6358" s="73"/>
      <c r="F6358" s="45"/>
    </row>
    <row r="6359" spans="4:6" x14ac:dyDescent="0.2">
      <c r="D6359" s="50"/>
      <c r="E6359" s="73"/>
      <c r="F6359" s="45"/>
    </row>
    <row r="6360" spans="4:6" x14ac:dyDescent="0.2">
      <c r="D6360" s="50"/>
      <c r="E6360" s="73"/>
      <c r="F6360" s="45"/>
    </row>
    <row r="6361" spans="4:6" x14ac:dyDescent="0.2">
      <c r="D6361" s="50"/>
      <c r="E6361" s="73"/>
      <c r="F6361" s="45"/>
    </row>
    <row r="6362" spans="4:6" x14ac:dyDescent="0.2">
      <c r="D6362" s="50"/>
      <c r="E6362" s="73"/>
      <c r="F6362" s="45"/>
    </row>
    <row r="6363" spans="4:6" x14ac:dyDescent="0.2">
      <c r="D6363" s="50"/>
      <c r="E6363" s="73"/>
      <c r="F6363" s="45"/>
    </row>
    <row r="6364" spans="4:6" x14ac:dyDescent="0.2">
      <c r="D6364" s="50"/>
      <c r="E6364" s="73"/>
      <c r="F6364" s="45"/>
    </row>
    <row r="6365" spans="4:6" x14ac:dyDescent="0.2">
      <c r="D6365" s="50"/>
      <c r="E6365" s="73"/>
      <c r="F6365" s="45"/>
    </row>
    <row r="6366" spans="4:6" x14ac:dyDescent="0.2">
      <c r="D6366" s="50"/>
      <c r="E6366" s="73"/>
      <c r="F6366" s="45"/>
    </row>
    <row r="6367" spans="4:6" x14ac:dyDescent="0.2">
      <c r="D6367" s="50"/>
      <c r="E6367" s="73"/>
      <c r="F6367" s="45"/>
    </row>
    <row r="6368" spans="4:6" x14ac:dyDescent="0.2">
      <c r="D6368" s="50"/>
      <c r="E6368" s="73"/>
      <c r="F6368" s="45"/>
    </row>
    <row r="6369" spans="4:6" x14ac:dyDescent="0.2">
      <c r="D6369" s="50"/>
      <c r="E6369" s="73"/>
      <c r="F6369" s="45"/>
    </row>
    <row r="6370" spans="4:6" x14ac:dyDescent="0.2">
      <c r="D6370" s="50"/>
      <c r="E6370" s="73"/>
      <c r="F6370" s="45"/>
    </row>
    <row r="6371" spans="4:6" x14ac:dyDescent="0.2">
      <c r="D6371" s="50"/>
      <c r="E6371" s="73"/>
      <c r="F6371" s="45"/>
    </row>
    <row r="6372" spans="4:6" x14ac:dyDescent="0.2">
      <c r="D6372" s="50"/>
      <c r="E6372" s="73"/>
      <c r="F6372" s="45"/>
    </row>
    <row r="6373" spans="4:6" x14ac:dyDescent="0.2">
      <c r="D6373" s="50"/>
      <c r="E6373" s="73"/>
      <c r="F6373" s="45"/>
    </row>
    <row r="6374" spans="4:6" x14ac:dyDescent="0.2">
      <c r="D6374" s="50"/>
      <c r="E6374" s="73"/>
      <c r="F6374" s="45"/>
    </row>
    <row r="6375" spans="4:6" x14ac:dyDescent="0.2">
      <c r="D6375" s="50"/>
      <c r="E6375" s="73"/>
      <c r="F6375" s="45"/>
    </row>
    <row r="6376" spans="4:6" x14ac:dyDescent="0.2">
      <c r="D6376" s="50"/>
      <c r="E6376" s="73"/>
      <c r="F6376" s="45"/>
    </row>
    <row r="6377" spans="4:6" x14ac:dyDescent="0.2">
      <c r="D6377" s="50"/>
      <c r="E6377" s="73"/>
      <c r="F6377" s="45"/>
    </row>
    <row r="6378" spans="4:6" x14ac:dyDescent="0.2">
      <c r="D6378" s="50"/>
      <c r="E6378" s="73"/>
      <c r="F6378" s="45"/>
    </row>
    <row r="6379" spans="4:6" x14ac:dyDescent="0.2">
      <c r="D6379" s="50"/>
      <c r="E6379" s="73"/>
      <c r="F6379" s="45"/>
    </row>
    <row r="6380" spans="4:6" x14ac:dyDescent="0.2">
      <c r="D6380" s="50"/>
      <c r="E6380" s="73"/>
      <c r="F6380" s="45"/>
    </row>
    <row r="6381" spans="4:6" x14ac:dyDescent="0.2">
      <c r="D6381" s="50"/>
      <c r="E6381" s="73"/>
      <c r="F6381" s="45"/>
    </row>
    <row r="6382" spans="4:6" x14ac:dyDescent="0.2">
      <c r="D6382" s="50"/>
      <c r="E6382" s="73"/>
      <c r="F6382" s="45"/>
    </row>
    <row r="6383" spans="4:6" x14ac:dyDescent="0.2">
      <c r="D6383" s="50"/>
      <c r="E6383" s="73"/>
      <c r="F6383" s="45"/>
    </row>
    <row r="6384" spans="4:6" x14ac:dyDescent="0.2">
      <c r="D6384" s="50"/>
      <c r="E6384" s="73"/>
      <c r="F6384" s="45"/>
    </row>
    <row r="6385" spans="4:6" x14ac:dyDescent="0.2">
      <c r="D6385" s="50"/>
      <c r="E6385" s="73"/>
      <c r="F6385" s="45"/>
    </row>
    <row r="6386" spans="4:6" x14ac:dyDescent="0.2">
      <c r="D6386" s="50"/>
      <c r="E6386" s="73"/>
      <c r="F6386" s="45"/>
    </row>
    <row r="6387" spans="4:6" x14ac:dyDescent="0.2">
      <c r="D6387" s="50"/>
      <c r="E6387" s="73"/>
      <c r="F6387" s="45"/>
    </row>
    <row r="6388" spans="4:6" x14ac:dyDescent="0.2">
      <c r="D6388" s="50"/>
      <c r="E6388" s="73"/>
      <c r="F6388" s="45"/>
    </row>
    <row r="6389" spans="4:6" x14ac:dyDescent="0.2">
      <c r="D6389" s="50"/>
      <c r="E6389" s="73"/>
      <c r="F6389" s="45"/>
    </row>
    <row r="6390" spans="4:6" x14ac:dyDescent="0.2">
      <c r="D6390" s="50"/>
      <c r="E6390" s="73"/>
      <c r="F6390" s="45"/>
    </row>
    <row r="6391" spans="4:6" x14ac:dyDescent="0.2">
      <c r="D6391" s="50"/>
      <c r="E6391" s="73"/>
      <c r="F6391" s="45"/>
    </row>
    <row r="6392" spans="4:6" x14ac:dyDescent="0.2">
      <c r="D6392" s="50"/>
      <c r="E6392" s="73"/>
      <c r="F6392" s="45"/>
    </row>
    <row r="6393" spans="4:6" x14ac:dyDescent="0.2">
      <c r="D6393" s="50"/>
      <c r="E6393" s="73"/>
      <c r="F6393" s="45"/>
    </row>
    <row r="6394" spans="4:6" x14ac:dyDescent="0.2">
      <c r="D6394" s="50"/>
      <c r="E6394" s="73"/>
      <c r="F6394" s="45"/>
    </row>
    <row r="6395" spans="4:6" x14ac:dyDescent="0.2">
      <c r="D6395" s="50"/>
      <c r="E6395" s="73"/>
      <c r="F6395" s="45"/>
    </row>
    <row r="6396" spans="4:6" x14ac:dyDescent="0.2">
      <c r="D6396" s="50"/>
      <c r="E6396" s="73"/>
      <c r="F6396" s="45"/>
    </row>
    <row r="6397" spans="4:6" x14ac:dyDescent="0.2">
      <c r="D6397" s="50"/>
      <c r="E6397" s="73"/>
      <c r="F6397" s="45"/>
    </row>
    <row r="6398" spans="4:6" x14ac:dyDescent="0.2">
      <c r="D6398" s="50"/>
      <c r="E6398" s="73"/>
      <c r="F6398" s="45"/>
    </row>
    <row r="6399" spans="4:6" x14ac:dyDescent="0.2">
      <c r="D6399" s="50"/>
      <c r="E6399" s="73"/>
      <c r="F6399" s="45"/>
    </row>
    <row r="6400" spans="4:6" x14ac:dyDescent="0.2">
      <c r="D6400" s="50"/>
      <c r="E6400" s="73"/>
      <c r="F6400" s="45"/>
    </row>
    <row r="6401" spans="4:6" x14ac:dyDescent="0.2">
      <c r="D6401" s="50"/>
      <c r="E6401" s="73"/>
      <c r="F6401" s="45"/>
    </row>
    <row r="6402" spans="4:6" x14ac:dyDescent="0.2">
      <c r="D6402" s="50"/>
      <c r="E6402" s="73"/>
      <c r="F6402" s="45"/>
    </row>
    <row r="6403" spans="4:6" x14ac:dyDescent="0.2">
      <c r="D6403" s="50"/>
      <c r="E6403" s="73"/>
      <c r="F6403" s="45"/>
    </row>
    <row r="6404" spans="4:6" x14ac:dyDescent="0.2">
      <c r="D6404" s="50"/>
      <c r="E6404" s="73"/>
      <c r="F6404" s="45"/>
    </row>
    <row r="6405" spans="4:6" x14ac:dyDescent="0.2">
      <c r="D6405" s="50"/>
      <c r="E6405" s="73"/>
      <c r="F6405" s="45"/>
    </row>
    <row r="6406" spans="4:6" x14ac:dyDescent="0.2">
      <c r="D6406" s="50"/>
      <c r="E6406" s="73"/>
      <c r="F6406" s="45"/>
    </row>
    <row r="6407" spans="4:6" x14ac:dyDescent="0.2">
      <c r="D6407" s="50"/>
      <c r="E6407" s="73"/>
      <c r="F6407" s="45"/>
    </row>
    <row r="6408" spans="4:6" x14ac:dyDescent="0.2">
      <c r="D6408" s="50"/>
      <c r="E6408" s="73"/>
      <c r="F6408" s="45"/>
    </row>
    <row r="6409" spans="4:6" x14ac:dyDescent="0.2">
      <c r="D6409" s="50"/>
      <c r="E6409" s="73"/>
      <c r="F6409" s="45"/>
    </row>
    <row r="6410" spans="4:6" x14ac:dyDescent="0.2">
      <c r="D6410" s="50"/>
      <c r="E6410" s="73"/>
      <c r="F6410" s="45"/>
    </row>
    <row r="6411" spans="4:6" x14ac:dyDescent="0.2">
      <c r="D6411" s="50"/>
      <c r="E6411" s="73"/>
      <c r="F6411" s="45"/>
    </row>
    <row r="6412" spans="4:6" x14ac:dyDescent="0.2">
      <c r="D6412" s="50"/>
      <c r="E6412" s="73"/>
      <c r="F6412" s="45"/>
    </row>
    <row r="6413" spans="4:6" x14ac:dyDescent="0.2">
      <c r="D6413" s="50"/>
      <c r="E6413" s="73"/>
      <c r="F6413" s="45"/>
    </row>
    <row r="6414" spans="4:6" x14ac:dyDescent="0.2">
      <c r="D6414" s="50"/>
      <c r="E6414" s="73"/>
      <c r="F6414" s="45"/>
    </row>
    <row r="6415" spans="4:6" x14ac:dyDescent="0.2">
      <c r="D6415" s="50"/>
      <c r="E6415" s="73"/>
      <c r="F6415" s="45"/>
    </row>
    <row r="6416" spans="4:6" x14ac:dyDescent="0.2">
      <c r="D6416" s="50"/>
      <c r="E6416" s="73"/>
      <c r="F6416" s="45"/>
    </row>
    <row r="6417" spans="4:6" x14ac:dyDescent="0.2">
      <c r="D6417" s="50"/>
      <c r="E6417" s="73"/>
      <c r="F6417" s="45"/>
    </row>
    <row r="6418" spans="4:6" x14ac:dyDescent="0.2">
      <c r="D6418" s="50"/>
      <c r="E6418" s="73"/>
      <c r="F6418" s="45"/>
    </row>
    <row r="6419" spans="4:6" x14ac:dyDescent="0.2">
      <c r="D6419" s="50"/>
      <c r="E6419" s="73"/>
      <c r="F6419" s="45"/>
    </row>
    <row r="6420" spans="4:6" x14ac:dyDescent="0.2">
      <c r="D6420" s="50"/>
      <c r="E6420" s="73"/>
      <c r="F6420" s="45"/>
    </row>
    <row r="6421" spans="4:6" x14ac:dyDescent="0.2">
      <c r="D6421" s="50"/>
      <c r="E6421" s="73"/>
      <c r="F6421" s="45"/>
    </row>
    <row r="6422" spans="4:6" x14ac:dyDescent="0.2">
      <c r="D6422" s="50"/>
      <c r="E6422" s="73"/>
      <c r="F6422" s="45"/>
    </row>
    <row r="6423" spans="4:6" x14ac:dyDescent="0.2">
      <c r="D6423" s="50"/>
      <c r="E6423" s="73"/>
      <c r="F6423" s="45"/>
    </row>
    <row r="6424" spans="4:6" x14ac:dyDescent="0.2">
      <c r="D6424" s="50"/>
      <c r="E6424" s="73"/>
      <c r="F6424" s="45"/>
    </row>
    <row r="6425" spans="4:6" x14ac:dyDescent="0.2">
      <c r="D6425" s="50"/>
      <c r="E6425" s="73"/>
      <c r="F6425" s="45"/>
    </row>
    <row r="6426" spans="4:6" x14ac:dyDescent="0.2">
      <c r="D6426" s="50"/>
      <c r="E6426" s="73"/>
      <c r="F6426" s="45"/>
    </row>
    <row r="6427" spans="4:6" x14ac:dyDescent="0.2">
      <c r="D6427" s="50"/>
      <c r="E6427" s="73"/>
      <c r="F6427" s="45"/>
    </row>
    <row r="6428" spans="4:6" x14ac:dyDescent="0.2">
      <c r="D6428" s="50"/>
      <c r="E6428" s="73"/>
      <c r="F6428" s="45"/>
    </row>
    <row r="6429" spans="4:6" x14ac:dyDescent="0.2">
      <c r="D6429" s="50"/>
      <c r="E6429" s="73"/>
      <c r="F6429" s="45"/>
    </row>
    <row r="6430" spans="4:6" x14ac:dyDescent="0.2">
      <c r="D6430" s="50"/>
      <c r="E6430" s="73"/>
      <c r="F6430" s="45"/>
    </row>
    <row r="6431" spans="4:6" x14ac:dyDescent="0.2">
      <c r="D6431" s="50"/>
      <c r="E6431" s="73"/>
      <c r="F6431" s="45"/>
    </row>
    <row r="6432" spans="4:6" x14ac:dyDescent="0.2">
      <c r="D6432" s="50"/>
      <c r="E6432" s="73"/>
      <c r="F6432" s="45"/>
    </row>
    <row r="6433" spans="4:6" x14ac:dyDescent="0.2">
      <c r="D6433" s="50"/>
      <c r="E6433" s="73"/>
      <c r="F6433" s="45"/>
    </row>
    <row r="6434" spans="4:6" x14ac:dyDescent="0.2">
      <c r="D6434" s="50"/>
      <c r="E6434" s="73"/>
      <c r="F6434" s="45"/>
    </row>
    <row r="6435" spans="4:6" x14ac:dyDescent="0.2">
      <c r="D6435" s="50"/>
      <c r="E6435" s="73"/>
      <c r="F6435" s="45"/>
    </row>
    <row r="6436" spans="4:6" x14ac:dyDescent="0.2">
      <c r="D6436" s="50"/>
      <c r="E6436" s="73"/>
      <c r="F6436" s="45"/>
    </row>
    <row r="6437" spans="4:6" x14ac:dyDescent="0.2">
      <c r="D6437" s="50"/>
      <c r="E6437" s="73"/>
      <c r="F6437" s="45"/>
    </row>
    <row r="6438" spans="4:6" x14ac:dyDescent="0.2">
      <c r="D6438" s="50"/>
      <c r="E6438" s="73"/>
      <c r="F6438" s="45"/>
    </row>
    <row r="6439" spans="4:6" x14ac:dyDescent="0.2">
      <c r="D6439" s="50"/>
      <c r="E6439" s="73"/>
      <c r="F6439" s="45"/>
    </row>
    <row r="6440" spans="4:6" x14ac:dyDescent="0.2">
      <c r="D6440" s="50"/>
      <c r="E6440" s="73"/>
      <c r="F6440" s="45"/>
    </row>
    <row r="6441" spans="4:6" x14ac:dyDescent="0.2">
      <c r="D6441" s="50"/>
      <c r="E6441" s="73"/>
      <c r="F6441" s="45"/>
    </row>
    <row r="6442" spans="4:6" x14ac:dyDescent="0.2">
      <c r="D6442" s="50"/>
      <c r="E6442" s="73"/>
      <c r="F6442" s="45"/>
    </row>
    <row r="6443" spans="4:6" x14ac:dyDescent="0.2">
      <c r="D6443" s="50"/>
      <c r="E6443" s="73"/>
      <c r="F6443" s="45"/>
    </row>
    <row r="6444" spans="4:6" x14ac:dyDescent="0.2">
      <c r="D6444" s="50"/>
      <c r="E6444" s="73"/>
      <c r="F6444" s="45"/>
    </row>
    <row r="6445" spans="4:6" x14ac:dyDescent="0.2">
      <c r="D6445" s="50"/>
      <c r="E6445" s="73"/>
      <c r="F6445" s="45"/>
    </row>
    <row r="6446" spans="4:6" x14ac:dyDescent="0.2">
      <c r="D6446" s="50"/>
      <c r="E6446" s="73"/>
      <c r="F6446" s="45"/>
    </row>
    <row r="6447" spans="4:6" x14ac:dyDescent="0.2">
      <c r="D6447" s="50"/>
      <c r="E6447" s="73"/>
      <c r="F6447" s="45"/>
    </row>
    <row r="6448" spans="4:6" x14ac:dyDescent="0.2">
      <c r="D6448" s="50"/>
      <c r="E6448" s="73"/>
      <c r="F6448" s="45"/>
    </row>
    <row r="6449" spans="4:6" x14ac:dyDescent="0.2">
      <c r="D6449" s="50"/>
      <c r="E6449" s="73"/>
      <c r="F6449" s="45"/>
    </row>
    <row r="6450" spans="4:6" x14ac:dyDescent="0.2">
      <c r="D6450" s="50"/>
      <c r="E6450" s="73"/>
      <c r="F6450" s="45"/>
    </row>
    <row r="6451" spans="4:6" x14ac:dyDescent="0.2">
      <c r="D6451" s="50"/>
      <c r="E6451" s="73"/>
      <c r="F6451" s="45"/>
    </row>
    <row r="6452" spans="4:6" x14ac:dyDescent="0.2">
      <c r="D6452" s="50"/>
      <c r="E6452" s="73"/>
      <c r="F6452" s="45"/>
    </row>
    <row r="6453" spans="4:6" x14ac:dyDescent="0.2">
      <c r="D6453" s="50"/>
      <c r="E6453" s="73"/>
      <c r="F6453" s="45"/>
    </row>
    <row r="6454" spans="4:6" x14ac:dyDescent="0.2">
      <c r="D6454" s="50"/>
      <c r="E6454" s="73"/>
      <c r="F6454" s="45"/>
    </row>
    <row r="6455" spans="4:6" x14ac:dyDescent="0.2">
      <c r="D6455" s="50"/>
      <c r="E6455" s="73"/>
      <c r="F6455" s="45"/>
    </row>
    <row r="6456" spans="4:6" x14ac:dyDescent="0.2">
      <c r="D6456" s="50"/>
      <c r="E6456" s="73"/>
      <c r="F6456" s="45"/>
    </row>
    <row r="6457" spans="4:6" x14ac:dyDescent="0.2">
      <c r="D6457" s="50"/>
      <c r="E6457" s="73"/>
      <c r="F6457" s="45"/>
    </row>
    <row r="6458" spans="4:6" x14ac:dyDescent="0.2">
      <c r="D6458" s="50"/>
      <c r="E6458" s="73"/>
      <c r="F6458" s="45"/>
    </row>
    <row r="6459" spans="4:6" x14ac:dyDescent="0.2">
      <c r="D6459" s="50"/>
      <c r="E6459" s="73"/>
      <c r="F6459" s="45"/>
    </row>
    <row r="6460" spans="4:6" x14ac:dyDescent="0.2">
      <c r="D6460" s="50"/>
      <c r="E6460" s="73"/>
      <c r="F6460" s="45"/>
    </row>
    <row r="6461" spans="4:6" x14ac:dyDescent="0.2">
      <c r="D6461" s="50"/>
      <c r="E6461" s="73"/>
      <c r="F6461" s="45"/>
    </row>
    <row r="6462" spans="4:6" x14ac:dyDescent="0.2">
      <c r="D6462" s="50"/>
      <c r="E6462" s="73"/>
      <c r="F6462" s="45"/>
    </row>
    <row r="6463" spans="4:6" x14ac:dyDescent="0.2">
      <c r="D6463" s="50"/>
      <c r="E6463" s="73"/>
      <c r="F6463" s="45"/>
    </row>
    <row r="6464" spans="4:6" x14ac:dyDescent="0.2">
      <c r="D6464" s="50"/>
      <c r="E6464" s="73"/>
      <c r="F6464" s="45"/>
    </row>
    <row r="6465" spans="4:6" x14ac:dyDescent="0.2">
      <c r="D6465" s="50"/>
      <c r="E6465" s="73"/>
      <c r="F6465" s="45"/>
    </row>
    <row r="6466" spans="4:6" x14ac:dyDescent="0.2">
      <c r="D6466" s="50"/>
      <c r="E6466" s="73"/>
      <c r="F6466" s="45"/>
    </row>
    <row r="6467" spans="4:6" x14ac:dyDescent="0.2">
      <c r="D6467" s="50"/>
      <c r="E6467" s="73"/>
      <c r="F6467" s="45"/>
    </row>
    <row r="6468" spans="4:6" x14ac:dyDescent="0.2">
      <c r="D6468" s="50"/>
      <c r="E6468" s="73"/>
      <c r="F6468" s="45"/>
    </row>
    <row r="6469" spans="4:6" x14ac:dyDescent="0.2">
      <c r="D6469" s="50"/>
      <c r="E6469" s="73"/>
      <c r="F6469" s="45"/>
    </row>
    <row r="6470" spans="4:6" x14ac:dyDescent="0.2">
      <c r="D6470" s="50"/>
      <c r="E6470" s="73"/>
      <c r="F6470" s="45"/>
    </row>
    <row r="6471" spans="4:6" x14ac:dyDescent="0.2">
      <c r="D6471" s="50"/>
      <c r="E6471" s="73"/>
      <c r="F6471" s="45"/>
    </row>
    <row r="6472" spans="4:6" x14ac:dyDescent="0.2">
      <c r="D6472" s="50"/>
      <c r="E6472" s="73"/>
      <c r="F6472" s="45"/>
    </row>
    <row r="6473" spans="4:6" x14ac:dyDescent="0.2">
      <c r="D6473" s="50"/>
      <c r="E6473" s="73"/>
      <c r="F6473" s="45"/>
    </row>
    <row r="6474" spans="4:6" x14ac:dyDescent="0.2">
      <c r="D6474" s="50"/>
      <c r="E6474" s="73"/>
      <c r="F6474" s="45"/>
    </row>
    <row r="6475" spans="4:6" x14ac:dyDescent="0.2">
      <c r="D6475" s="50"/>
      <c r="E6475" s="73"/>
      <c r="F6475" s="45"/>
    </row>
    <row r="6476" spans="4:6" x14ac:dyDescent="0.2">
      <c r="D6476" s="50"/>
      <c r="E6476" s="73"/>
      <c r="F6476" s="45"/>
    </row>
    <row r="6477" spans="4:6" x14ac:dyDescent="0.2">
      <c r="D6477" s="50"/>
      <c r="E6477" s="73"/>
      <c r="F6477" s="45"/>
    </row>
    <row r="6478" spans="4:6" x14ac:dyDescent="0.2">
      <c r="D6478" s="50"/>
      <c r="E6478" s="73"/>
      <c r="F6478" s="45"/>
    </row>
    <row r="6479" spans="4:6" x14ac:dyDescent="0.2">
      <c r="D6479" s="50"/>
      <c r="E6479" s="73"/>
      <c r="F6479" s="45"/>
    </row>
    <row r="6480" spans="4:6" x14ac:dyDescent="0.2">
      <c r="D6480" s="50"/>
      <c r="E6480" s="73"/>
      <c r="F6480" s="45"/>
    </row>
    <row r="6481" spans="4:6" x14ac:dyDescent="0.2">
      <c r="D6481" s="50"/>
      <c r="E6481" s="73"/>
      <c r="F6481" s="45"/>
    </row>
    <row r="6482" spans="4:6" x14ac:dyDescent="0.2">
      <c r="D6482" s="50"/>
      <c r="E6482" s="73"/>
      <c r="F6482" s="45"/>
    </row>
    <row r="6483" spans="4:6" x14ac:dyDescent="0.2">
      <c r="D6483" s="50"/>
      <c r="E6483" s="73"/>
      <c r="F6483" s="45"/>
    </row>
    <row r="6484" spans="4:6" x14ac:dyDescent="0.2">
      <c r="D6484" s="50"/>
      <c r="E6484" s="73"/>
      <c r="F6484" s="45"/>
    </row>
    <row r="6485" spans="4:6" x14ac:dyDescent="0.2">
      <c r="D6485" s="50"/>
      <c r="E6485" s="73"/>
      <c r="F6485" s="45"/>
    </row>
    <row r="6486" spans="4:6" x14ac:dyDescent="0.2">
      <c r="D6486" s="50"/>
      <c r="E6486" s="73"/>
      <c r="F6486" s="45"/>
    </row>
    <row r="6487" spans="4:6" x14ac:dyDescent="0.2">
      <c r="D6487" s="50"/>
      <c r="E6487" s="73"/>
      <c r="F6487" s="45"/>
    </row>
    <row r="6488" spans="4:6" x14ac:dyDescent="0.2">
      <c r="D6488" s="50"/>
      <c r="E6488" s="73"/>
      <c r="F6488" s="45"/>
    </row>
    <row r="6489" spans="4:6" x14ac:dyDescent="0.2">
      <c r="D6489" s="50"/>
      <c r="E6489" s="73"/>
      <c r="F6489" s="45"/>
    </row>
    <row r="6490" spans="4:6" x14ac:dyDescent="0.2">
      <c r="D6490" s="50"/>
      <c r="E6490" s="73"/>
      <c r="F6490" s="45"/>
    </row>
    <row r="6491" spans="4:6" x14ac:dyDescent="0.2">
      <c r="D6491" s="50"/>
      <c r="E6491" s="73"/>
      <c r="F6491" s="45"/>
    </row>
    <row r="6492" spans="4:6" x14ac:dyDescent="0.2">
      <c r="D6492" s="50"/>
      <c r="E6492" s="73"/>
      <c r="F6492" s="45"/>
    </row>
    <row r="6493" spans="4:6" x14ac:dyDescent="0.2">
      <c r="D6493" s="50"/>
      <c r="E6493" s="73"/>
      <c r="F6493" s="45"/>
    </row>
    <row r="6494" spans="4:6" x14ac:dyDescent="0.2">
      <c r="D6494" s="50"/>
      <c r="E6494" s="73"/>
      <c r="F6494" s="45"/>
    </row>
    <row r="6495" spans="4:6" x14ac:dyDescent="0.2">
      <c r="D6495" s="50"/>
      <c r="E6495" s="73"/>
      <c r="F6495" s="45"/>
    </row>
    <row r="6496" spans="4:6" x14ac:dyDescent="0.2">
      <c r="D6496" s="50"/>
      <c r="E6496" s="73"/>
      <c r="F6496" s="45"/>
    </row>
    <row r="6497" spans="4:6" x14ac:dyDescent="0.2">
      <c r="D6497" s="50"/>
      <c r="E6497" s="73"/>
      <c r="F6497" s="45"/>
    </row>
    <row r="6498" spans="4:6" x14ac:dyDescent="0.2">
      <c r="D6498" s="50"/>
      <c r="E6498" s="73"/>
      <c r="F6498" s="45"/>
    </row>
    <row r="6499" spans="4:6" x14ac:dyDescent="0.2">
      <c r="D6499" s="50"/>
      <c r="E6499" s="73"/>
      <c r="F6499" s="45"/>
    </row>
    <row r="6500" spans="4:6" x14ac:dyDescent="0.2">
      <c r="D6500" s="50"/>
      <c r="E6500" s="73"/>
      <c r="F6500" s="45"/>
    </row>
    <row r="6501" spans="4:6" x14ac:dyDescent="0.2">
      <c r="D6501" s="50"/>
      <c r="E6501" s="73"/>
      <c r="F6501" s="45"/>
    </row>
    <row r="6502" spans="4:6" x14ac:dyDescent="0.2">
      <c r="D6502" s="50"/>
      <c r="E6502" s="73"/>
      <c r="F6502" s="45"/>
    </row>
    <row r="6503" spans="4:6" x14ac:dyDescent="0.2">
      <c r="D6503" s="50"/>
      <c r="E6503" s="73"/>
      <c r="F6503" s="45"/>
    </row>
    <row r="6504" spans="4:6" x14ac:dyDescent="0.2">
      <c r="D6504" s="50"/>
      <c r="E6504" s="73"/>
      <c r="F6504" s="45"/>
    </row>
    <row r="6505" spans="4:6" x14ac:dyDescent="0.2">
      <c r="D6505" s="50"/>
      <c r="E6505" s="73"/>
      <c r="F6505" s="45"/>
    </row>
    <row r="6506" spans="4:6" x14ac:dyDescent="0.2">
      <c r="D6506" s="50"/>
      <c r="E6506" s="73"/>
      <c r="F6506" s="45"/>
    </row>
    <row r="6507" spans="4:6" x14ac:dyDescent="0.2">
      <c r="D6507" s="50"/>
      <c r="E6507" s="73"/>
      <c r="F6507" s="45"/>
    </row>
    <row r="6508" spans="4:6" x14ac:dyDescent="0.2">
      <c r="D6508" s="50"/>
      <c r="E6508" s="73"/>
      <c r="F6508" s="45"/>
    </row>
    <row r="6509" spans="4:6" x14ac:dyDescent="0.2">
      <c r="D6509" s="50"/>
      <c r="E6509" s="73"/>
      <c r="F6509" s="45"/>
    </row>
    <row r="6510" spans="4:6" x14ac:dyDescent="0.2">
      <c r="D6510" s="50"/>
      <c r="E6510" s="73"/>
      <c r="F6510" s="45"/>
    </row>
    <row r="6511" spans="4:6" x14ac:dyDescent="0.2">
      <c r="D6511" s="50"/>
      <c r="E6511" s="73"/>
      <c r="F6511" s="45"/>
    </row>
    <row r="6512" spans="4:6" x14ac:dyDescent="0.2">
      <c r="D6512" s="50"/>
      <c r="E6512" s="73"/>
      <c r="F6512" s="45"/>
    </row>
    <row r="6513" spans="4:6" x14ac:dyDescent="0.2">
      <c r="D6513" s="50"/>
      <c r="E6513" s="73"/>
      <c r="F6513" s="45"/>
    </row>
    <row r="6514" spans="4:6" x14ac:dyDescent="0.2">
      <c r="D6514" s="50"/>
      <c r="E6514" s="73"/>
      <c r="F6514" s="45"/>
    </row>
    <row r="6515" spans="4:6" x14ac:dyDescent="0.2">
      <c r="D6515" s="50"/>
      <c r="E6515" s="73"/>
      <c r="F6515" s="45"/>
    </row>
    <row r="6516" spans="4:6" x14ac:dyDescent="0.2">
      <c r="D6516" s="50"/>
      <c r="E6516" s="73"/>
      <c r="F6516" s="45"/>
    </row>
    <row r="6517" spans="4:6" x14ac:dyDescent="0.2">
      <c r="D6517" s="50"/>
      <c r="E6517" s="73"/>
      <c r="F6517" s="45"/>
    </row>
    <row r="6518" spans="4:6" x14ac:dyDescent="0.2">
      <c r="D6518" s="50"/>
      <c r="E6518" s="73"/>
      <c r="F6518" s="45"/>
    </row>
    <row r="6519" spans="4:6" x14ac:dyDescent="0.2">
      <c r="D6519" s="50"/>
      <c r="E6519" s="73"/>
      <c r="F6519" s="45"/>
    </row>
    <row r="6520" spans="4:6" x14ac:dyDescent="0.2">
      <c r="D6520" s="50"/>
      <c r="E6520" s="73"/>
      <c r="F6520" s="45"/>
    </row>
    <row r="6521" spans="4:6" x14ac:dyDescent="0.2">
      <c r="D6521" s="50"/>
      <c r="E6521" s="73"/>
      <c r="F6521" s="45"/>
    </row>
    <row r="6522" spans="4:6" x14ac:dyDescent="0.2">
      <c r="D6522" s="50"/>
      <c r="E6522" s="73"/>
      <c r="F6522" s="45"/>
    </row>
    <row r="6523" spans="4:6" x14ac:dyDescent="0.2">
      <c r="D6523" s="50"/>
      <c r="E6523" s="73"/>
      <c r="F6523" s="45"/>
    </row>
    <row r="6524" spans="4:6" x14ac:dyDescent="0.2">
      <c r="D6524" s="50"/>
      <c r="E6524" s="73"/>
      <c r="F6524" s="45"/>
    </row>
    <row r="6525" spans="4:6" x14ac:dyDescent="0.2">
      <c r="D6525" s="50"/>
      <c r="E6525" s="73"/>
      <c r="F6525" s="45"/>
    </row>
    <row r="6526" spans="4:6" x14ac:dyDescent="0.2">
      <c r="D6526" s="50"/>
      <c r="E6526" s="73"/>
      <c r="F6526" s="45"/>
    </row>
    <row r="6527" spans="4:6" x14ac:dyDescent="0.2">
      <c r="D6527" s="50"/>
      <c r="E6527" s="73"/>
      <c r="F6527" s="45"/>
    </row>
    <row r="6528" spans="4:6" x14ac:dyDescent="0.2">
      <c r="D6528" s="50"/>
      <c r="E6528" s="73"/>
      <c r="F6528" s="45"/>
    </row>
    <row r="6529" spans="4:6" x14ac:dyDescent="0.2">
      <c r="D6529" s="50"/>
      <c r="E6529" s="73"/>
      <c r="F6529" s="45"/>
    </row>
    <row r="6530" spans="4:6" x14ac:dyDescent="0.2">
      <c r="D6530" s="50"/>
      <c r="E6530" s="73"/>
      <c r="F6530" s="45"/>
    </row>
    <row r="6531" spans="4:6" x14ac:dyDescent="0.2">
      <c r="D6531" s="50"/>
      <c r="E6531" s="73"/>
      <c r="F6531" s="45"/>
    </row>
    <row r="6532" spans="4:6" x14ac:dyDescent="0.2">
      <c r="D6532" s="50"/>
      <c r="E6532" s="73"/>
      <c r="F6532" s="45"/>
    </row>
    <row r="6533" spans="4:6" x14ac:dyDescent="0.2">
      <c r="D6533" s="50"/>
      <c r="E6533" s="73"/>
      <c r="F6533" s="45"/>
    </row>
    <row r="6534" spans="4:6" x14ac:dyDescent="0.2">
      <c r="D6534" s="50"/>
      <c r="E6534" s="73"/>
      <c r="F6534" s="45"/>
    </row>
    <row r="6535" spans="4:6" x14ac:dyDescent="0.2">
      <c r="D6535" s="50"/>
      <c r="E6535" s="73"/>
      <c r="F6535" s="45"/>
    </row>
    <row r="6536" spans="4:6" x14ac:dyDescent="0.2">
      <c r="D6536" s="50"/>
      <c r="E6536" s="73"/>
      <c r="F6536" s="45"/>
    </row>
    <row r="6537" spans="4:6" x14ac:dyDescent="0.2">
      <c r="D6537" s="50"/>
      <c r="E6537" s="73"/>
      <c r="F6537" s="45"/>
    </row>
    <row r="6538" spans="4:6" x14ac:dyDescent="0.2">
      <c r="D6538" s="50"/>
      <c r="E6538" s="73"/>
      <c r="F6538" s="45"/>
    </row>
    <row r="6539" spans="4:6" x14ac:dyDescent="0.2">
      <c r="D6539" s="50"/>
      <c r="E6539" s="73"/>
      <c r="F6539" s="45"/>
    </row>
    <row r="6540" spans="4:6" x14ac:dyDescent="0.2">
      <c r="D6540" s="50"/>
      <c r="E6540" s="73"/>
      <c r="F6540" s="45"/>
    </row>
    <row r="6541" spans="4:6" x14ac:dyDescent="0.2">
      <c r="D6541" s="50"/>
      <c r="E6541" s="73"/>
      <c r="F6541" s="45"/>
    </row>
    <row r="6542" spans="4:6" x14ac:dyDescent="0.2">
      <c r="D6542" s="50"/>
      <c r="E6542" s="73"/>
      <c r="F6542" s="45"/>
    </row>
    <row r="6543" spans="4:6" x14ac:dyDescent="0.2">
      <c r="D6543" s="50"/>
      <c r="E6543" s="73"/>
      <c r="F6543" s="45"/>
    </row>
    <row r="6544" spans="4:6" x14ac:dyDescent="0.2">
      <c r="D6544" s="50"/>
      <c r="E6544" s="73"/>
      <c r="F6544" s="45"/>
    </row>
    <row r="6545" spans="4:6" x14ac:dyDescent="0.2">
      <c r="D6545" s="50"/>
      <c r="E6545" s="73"/>
      <c r="F6545" s="45"/>
    </row>
    <row r="6546" spans="4:6" x14ac:dyDescent="0.2">
      <c r="D6546" s="50"/>
      <c r="E6546" s="73"/>
      <c r="F6546" s="45"/>
    </row>
    <row r="6547" spans="4:6" x14ac:dyDescent="0.2">
      <c r="D6547" s="50"/>
      <c r="E6547" s="73"/>
      <c r="F6547" s="45"/>
    </row>
    <row r="6548" spans="4:6" x14ac:dyDescent="0.2">
      <c r="D6548" s="50"/>
      <c r="E6548" s="73"/>
      <c r="F6548" s="45"/>
    </row>
    <row r="6549" spans="4:6" x14ac:dyDescent="0.2">
      <c r="D6549" s="50"/>
      <c r="E6549" s="73"/>
      <c r="F6549" s="45"/>
    </row>
    <row r="6550" spans="4:6" x14ac:dyDescent="0.2">
      <c r="D6550" s="50"/>
      <c r="E6550" s="73"/>
      <c r="F6550" s="45"/>
    </row>
    <row r="6551" spans="4:6" x14ac:dyDescent="0.2">
      <c r="D6551" s="50"/>
      <c r="E6551" s="73"/>
      <c r="F6551" s="45"/>
    </row>
    <row r="6552" spans="4:6" x14ac:dyDescent="0.2">
      <c r="D6552" s="50"/>
      <c r="E6552" s="73"/>
      <c r="F6552" s="45"/>
    </row>
    <row r="6553" spans="4:6" x14ac:dyDescent="0.2">
      <c r="D6553" s="50"/>
      <c r="E6553" s="73"/>
      <c r="F6553" s="45"/>
    </row>
    <row r="6554" spans="4:6" x14ac:dyDescent="0.2">
      <c r="D6554" s="50"/>
      <c r="E6554" s="73"/>
      <c r="F6554" s="45"/>
    </row>
    <row r="6555" spans="4:6" x14ac:dyDescent="0.2">
      <c r="D6555" s="50"/>
      <c r="E6555" s="73"/>
      <c r="F6555" s="45"/>
    </row>
    <row r="6556" spans="4:6" x14ac:dyDescent="0.2">
      <c r="D6556" s="50"/>
      <c r="E6556" s="73"/>
      <c r="F6556" s="45"/>
    </row>
    <row r="6557" spans="4:6" x14ac:dyDescent="0.2">
      <c r="D6557" s="50"/>
      <c r="E6557" s="73"/>
      <c r="F6557" s="45"/>
    </row>
    <row r="6558" spans="4:6" x14ac:dyDescent="0.2">
      <c r="D6558" s="50"/>
      <c r="E6558" s="73"/>
      <c r="F6558" s="45"/>
    </row>
    <row r="6559" spans="4:6" x14ac:dyDescent="0.2">
      <c r="D6559" s="50"/>
      <c r="E6559" s="73"/>
      <c r="F6559" s="45"/>
    </row>
    <row r="6560" spans="4:6" x14ac:dyDescent="0.2">
      <c r="D6560" s="50"/>
      <c r="E6560" s="73"/>
      <c r="F6560" s="45"/>
    </row>
    <row r="6561" spans="4:6" x14ac:dyDescent="0.2">
      <c r="D6561" s="50"/>
      <c r="E6561" s="73"/>
      <c r="F6561" s="45"/>
    </row>
    <row r="6562" spans="4:6" x14ac:dyDescent="0.2">
      <c r="D6562" s="50"/>
      <c r="E6562" s="73"/>
      <c r="F6562" s="45"/>
    </row>
    <row r="6563" spans="4:6" x14ac:dyDescent="0.2">
      <c r="D6563" s="50"/>
      <c r="E6563" s="73"/>
      <c r="F6563" s="45"/>
    </row>
    <row r="6564" spans="4:6" x14ac:dyDescent="0.2">
      <c r="D6564" s="50"/>
      <c r="E6564" s="73"/>
      <c r="F6564" s="45"/>
    </row>
    <row r="6565" spans="4:6" x14ac:dyDescent="0.2">
      <c r="D6565" s="50"/>
      <c r="E6565" s="73"/>
      <c r="F6565" s="45"/>
    </row>
    <row r="6566" spans="4:6" x14ac:dyDescent="0.2">
      <c r="D6566" s="50"/>
      <c r="E6566" s="73"/>
      <c r="F6566" s="45"/>
    </row>
    <row r="6567" spans="4:6" x14ac:dyDescent="0.2">
      <c r="D6567" s="50"/>
      <c r="E6567" s="73"/>
      <c r="F6567" s="45"/>
    </row>
    <row r="6568" spans="4:6" x14ac:dyDescent="0.2">
      <c r="D6568" s="50"/>
      <c r="E6568" s="73"/>
      <c r="F6568" s="45"/>
    </row>
    <row r="6569" spans="4:6" x14ac:dyDescent="0.2">
      <c r="D6569" s="50"/>
      <c r="E6569" s="73"/>
      <c r="F6569" s="45"/>
    </row>
    <row r="6570" spans="4:6" x14ac:dyDescent="0.2">
      <c r="D6570" s="50"/>
      <c r="E6570" s="73"/>
      <c r="F6570" s="45"/>
    </row>
    <row r="6571" spans="4:6" x14ac:dyDescent="0.2">
      <c r="D6571" s="50"/>
      <c r="E6571" s="73"/>
      <c r="F6571" s="45"/>
    </row>
    <row r="6572" spans="4:6" x14ac:dyDescent="0.2">
      <c r="D6572" s="50"/>
      <c r="E6572" s="73"/>
      <c r="F6572" s="45"/>
    </row>
    <row r="6573" spans="4:6" x14ac:dyDescent="0.2">
      <c r="D6573" s="50"/>
      <c r="E6573" s="73"/>
      <c r="F6573" s="45"/>
    </row>
    <row r="6574" spans="4:6" x14ac:dyDescent="0.2">
      <c r="D6574" s="50"/>
      <c r="E6574" s="73"/>
      <c r="F6574" s="45"/>
    </row>
    <row r="6575" spans="4:6" x14ac:dyDescent="0.2">
      <c r="D6575" s="50"/>
      <c r="E6575" s="73"/>
      <c r="F6575" s="45"/>
    </row>
    <row r="6576" spans="4:6" x14ac:dyDescent="0.2">
      <c r="D6576" s="50"/>
      <c r="E6576" s="73"/>
      <c r="F6576" s="45"/>
    </row>
    <row r="6577" spans="4:6" x14ac:dyDescent="0.2">
      <c r="D6577" s="50"/>
      <c r="E6577" s="73"/>
      <c r="F6577" s="45"/>
    </row>
    <row r="6578" spans="4:6" x14ac:dyDescent="0.2">
      <c r="D6578" s="50"/>
      <c r="E6578" s="73"/>
      <c r="F6578" s="45"/>
    </row>
    <row r="6579" spans="4:6" x14ac:dyDescent="0.2">
      <c r="D6579" s="50"/>
      <c r="E6579" s="73"/>
      <c r="F6579" s="45"/>
    </row>
    <row r="6580" spans="4:6" x14ac:dyDescent="0.2">
      <c r="D6580" s="50"/>
      <c r="E6580" s="73"/>
      <c r="F6580" s="45"/>
    </row>
    <row r="6581" spans="4:6" x14ac:dyDescent="0.2">
      <c r="D6581" s="50"/>
      <c r="E6581" s="73"/>
      <c r="F6581" s="45"/>
    </row>
    <row r="6582" spans="4:6" x14ac:dyDescent="0.2">
      <c r="D6582" s="50"/>
      <c r="E6582" s="73"/>
      <c r="F6582" s="45"/>
    </row>
    <row r="6583" spans="4:6" x14ac:dyDescent="0.2">
      <c r="D6583" s="50"/>
      <c r="E6583" s="73"/>
      <c r="F6583" s="45"/>
    </row>
    <row r="6584" spans="4:6" x14ac:dyDescent="0.2">
      <c r="D6584" s="50"/>
      <c r="E6584" s="73"/>
      <c r="F6584" s="45"/>
    </row>
    <row r="6585" spans="4:6" x14ac:dyDescent="0.2">
      <c r="D6585" s="50"/>
      <c r="E6585" s="73"/>
      <c r="F6585" s="45"/>
    </row>
    <row r="6586" spans="4:6" x14ac:dyDescent="0.2">
      <c r="D6586" s="50"/>
      <c r="E6586" s="73"/>
      <c r="F6586" s="45"/>
    </row>
    <row r="6587" spans="4:6" x14ac:dyDescent="0.2">
      <c r="D6587" s="50"/>
      <c r="E6587" s="73"/>
      <c r="F6587" s="45"/>
    </row>
    <row r="6588" spans="4:6" x14ac:dyDescent="0.2">
      <c r="D6588" s="50"/>
      <c r="E6588" s="73"/>
      <c r="F6588" s="45"/>
    </row>
    <row r="6589" spans="4:6" x14ac:dyDescent="0.2">
      <c r="D6589" s="50"/>
      <c r="E6589" s="73"/>
      <c r="F6589" s="45"/>
    </row>
    <row r="6590" spans="4:6" x14ac:dyDescent="0.2">
      <c r="D6590" s="50"/>
      <c r="E6590" s="73"/>
      <c r="F6590" s="45"/>
    </row>
    <row r="6591" spans="4:6" x14ac:dyDescent="0.2">
      <c r="D6591" s="50"/>
      <c r="E6591" s="73"/>
      <c r="F6591" s="45"/>
    </row>
    <row r="6592" spans="4:6" x14ac:dyDescent="0.2">
      <c r="D6592" s="50"/>
      <c r="E6592" s="73"/>
      <c r="F6592" s="45"/>
    </row>
    <row r="6593" spans="4:6" x14ac:dyDescent="0.2">
      <c r="D6593" s="50"/>
      <c r="E6593" s="73"/>
      <c r="F6593" s="45"/>
    </row>
    <row r="6594" spans="4:6" x14ac:dyDescent="0.2">
      <c r="D6594" s="50"/>
      <c r="E6594" s="73"/>
      <c r="F6594" s="45"/>
    </row>
    <row r="6595" spans="4:6" x14ac:dyDescent="0.2">
      <c r="D6595" s="50"/>
      <c r="E6595" s="73"/>
      <c r="F6595" s="45"/>
    </row>
    <row r="6596" spans="4:6" x14ac:dyDescent="0.2">
      <c r="D6596" s="50"/>
      <c r="E6596" s="73"/>
      <c r="F6596" s="45"/>
    </row>
    <row r="6597" spans="4:6" x14ac:dyDescent="0.2">
      <c r="D6597" s="50"/>
      <c r="E6597" s="73"/>
      <c r="F6597" s="45"/>
    </row>
    <row r="6598" spans="4:6" x14ac:dyDescent="0.2">
      <c r="D6598" s="50"/>
      <c r="E6598" s="73"/>
      <c r="F6598" s="45"/>
    </row>
    <row r="6599" spans="4:6" x14ac:dyDescent="0.2">
      <c r="D6599" s="50"/>
      <c r="E6599" s="73"/>
      <c r="F6599" s="45"/>
    </row>
    <row r="6600" spans="4:6" x14ac:dyDescent="0.2">
      <c r="D6600" s="50"/>
      <c r="E6600" s="73"/>
      <c r="F6600" s="45"/>
    </row>
    <row r="6601" spans="4:6" x14ac:dyDescent="0.2">
      <c r="D6601" s="50"/>
      <c r="E6601" s="73"/>
      <c r="F6601" s="45"/>
    </row>
    <row r="6602" spans="4:6" x14ac:dyDescent="0.2">
      <c r="D6602" s="50"/>
      <c r="E6602" s="73"/>
      <c r="F6602" s="45"/>
    </row>
    <row r="6603" spans="4:6" x14ac:dyDescent="0.2">
      <c r="D6603" s="50"/>
      <c r="E6603" s="73"/>
      <c r="F6603" s="45"/>
    </row>
    <row r="6604" spans="4:6" x14ac:dyDescent="0.2">
      <c r="D6604" s="50"/>
      <c r="E6604" s="73"/>
      <c r="F6604" s="45"/>
    </row>
    <row r="6605" spans="4:6" x14ac:dyDescent="0.2">
      <c r="D6605" s="50"/>
      <c r="E6605" s="73"/>
      <c r="F6605" s="45"/>
    </row>
    <row r="6606" spans="4:6" x14ac:dyDescent="0.2">
      <c r="D6606" s="50"/>
      <c r="E6606" s="73"/>
      <c r="F6606" s="45"/>
    </row>
    <row r="6607" spans="4:6" x14ac:dyDescent="0.2">
      <c r="D6607" s="50"/>
      <c r="E6607" s="73"/>
      <c r="F6607" s="45"/>
    </row>
    <row r="6608" spans="4:6" x14ac:dyDescent="0.2">
      <c r="D6608" s="50"/>
      <c r="E6608" s="73"/>
      <c r="F6608" s="45"/>
    </row>
    <row r="6609" spans="4:6" x14ac:dyDescent="0.2">
      <c r="D6609" s="50"/>
      <c r="E6609" s="73"/>
      <c r="F6609" s="45"/>
    </row>
    <row r="6610" spans="4:6" x14ac:dyDescent="0.2">
      <c r="D6610" s="50"/>
      <c r="E6610" s="73"/>
      <c r="F6610" s="45"/>
    </row>
    <row r="6611" spans="4:6" x14ac:dyDescent="0.2">
      <c r="D6611" s="50"/>
      <c r="E6611" s="73"/>
      <c r="F6611" s="45"/>
    </row>
    <row r="6612" spans="4:6" x14ac:dyDescent="0.2">
      <c r="D6612" s="50"/>
      <c r="E6612" s="73"/>
      <c r="F6612" s="45"/>
    </row>
    <row r="6613" spans="4:6" x14ac:dyDescent="0.2">
      <c r="D6613" s="50"/>
      <c r="E6613" s="73"/>
      <c r="F6613" s="45"/>
    </row>
    <row r="6614" spans="4:6" x14ac:dyDescent="0.2">
      <c r="D6614" s="50"/>
      <c r="E6614" s="73"/>
      <c r="F6614" s="45"/>
    </row>
    <row r="6615" spans="4:6" x14ac:dyDescent="0.2">
      <c r="D6615" s="50"/>
      <c r="E6615" s="73"/>
      <c r="F6615" s="45"/>
    </row>
    <row r="6616" spans="4:6" x14ac:dyDescent="0.2">
      <c r="D6616" s="50"/>
      <c r="E6616" s="73"/>
      <c r="F6616" s="45"/>
    </row>
    <row r="6617" spans="4:6" x14ac:dyDescent="0.2">
      <c r="D6617" s="50"/>
      <c r="E6617" s="73"/>
      <c r="F6617" s="45"/>
    </row>
    <row r="6618" spans="4:6" x14ac:dyDescent="0.2">
      <c r="D6618" s="50"/>
      <c r="E6618" s="73"/>
      <c r="F6618" s="45"/>
    </row>
    <row r="6619" spans="4:6" x14ac:dyDescent="0.2">
      <c r="D6619" s="50"/>
      <c r="E6619" s="73"/>
      <c r="F6619" s="45"/>
    </row>
    <row r="6620" spans="4:6" x14ac:dyDescent="0.2">
      <c r="D6620" s="50"/>
      <c r="E6620" s="73"/>
      <c r="F6620" s="45"/>
    </row>
    <row r="6621" spans="4:6" x14ac:dyDescent="0.2">
      <c r="D6621" s="50"/>
      <c r="E6621" s="73"/>
      <c r="F6621" s="45"/>
    </row>
    <row r="6622" spans="4:6" x14ac:dyDescent="0.2">
      <c r="D6622" s="50"/>
      <c r="E6622" s="73"/>
      <c r="F6622" s="45"/>
    </row>
    <row r="6623" spans="4:6" x14ac:dyDescent="0.2">
      <c r="D6623" s="50"/>
      <c r="E6623" s="73"/>
      <c r="F6623" s="45"/>
    </row>
    <row r="6624" spans="4:6" x14ac:dyDescent="0.2">
      <c r="D6624" s="50"/>
      <c r="E6624" s="73"/>
      <c r="F6624" s="45"/>
    </row>
    <row r="6625" spans="4:6" x14ac:dyDescent="0.2">
      <c r="D6625" s="50"/>
      <c r="E6625" s="73"/>
      <c r="F6625" s="45"/>
    </row>
    <row r="6626" spans="4:6" x14ac:dyDescent="0.2">
      <c r="D6626" s="50"/>
      <c r="E6626" s="73"/>
      <c r="F6626" s="45"/>
    </row>
    <row r="6627" spans="4:6" x14ac:dyDescent="0.2">
      <c r="D6627" s="50"/>
      <c r="E6627" s="73"/>
      <c r="F6627" s="45"/>
    </row>
    <row r="6628" spans="4:6" x14ac:dyDescent="0.2">
      <c r="D6628" s="50"/>
      <c r="E6628" s="73"/>
      <c r="F6628" s="45"/>
    </row>
    <row r="6629" spans="4:6" x14ac:dyDescent="0.2">
      <c r="D6629" s="50"/>
      <c r="E6629" s="73"/>
      <c r="F6629" s="45"/>
    </row>
    <row r="6630" spans="4:6" x14ac:dyDescent="0.2">
      <c r="D6630" s="50"/>
      <c r="E6630" s="73"/>
      <c r="F6630" s="45"/>
    </row>
    <row r="6631" spans="4:6" x14ac:dyDescent="0.2">
      <c r="D6631" s="50"/>
      <c r="E6631" s="73"/>
      <c r="F6631" s="45"/>
    </row>
    <row r="6632" spans="4:6" x14ac:dyDescent="0.2">
      <c r="D6632" s="50"/>
      <c r="E6632" s="73"/>
      <c r="F6632" s="45"/>
    </row>
    <row r="6633" spans="4:6" x14ac:dyDescent="0.2">
      <c r="D6633" s="50"/>
      <c r="E6633" s="73"/>
      <c r="F6633" s="45"/>
    </row>
    <row r="6634" spans="4:6" x14ac:dyDescent="0.2">
      <c r="D6634" s="50"/>
      <c r="E6634" s="73"/>
      <c r="F6634" s="45"/>
    </row>
    <row r="6635" spans="4:6" x14ac:dyDescent="0.2">
      <c r="D6635" s="50"/>
      <c r="E6635" s="73"/>
      <c r="F6635" s="45"/>
    </row>
    <row r="6636" spans="4:6" x14ac:dyDescent="0.2">
      <c r="D6636" s="50"/>
      <c r="E6636" s="73"/>
      <c r="F6636" s="45"/>
    </row>
    <row r="6637" spans="4:6" x14ac:dyDescent="0.2">
      <c r="D6637" s="50"/>
      <c r="E6637" s="73"/>
      <c r="F6637" s="45"/>
    </row>
    <row r="6638" spans="4:6" x14ac:dyDescent="0.2">
      <c r="D6638" s="50"/>
      <c r="E6638" s="73"/>
      <c r="F6638" s="45"/>
    </row>
    <row r="6639" spans="4:6" x14ac:dyDescent="0.2">
      <c r="D6639" s="50"/>
      <c r="E6639" s="73"/>
      <c r="F6639" s="45"/>
    </row>
    <row r="6640" spans="4:6" x14ac:dyDescent="0.2">
      <c r="D6640" s="50"/>
      <c r="E6640" s="73"/>
      <c r="F6640" s="45"/>
    </row>
    <row r="6641" spans="4:6" x14ac:dyDescent="0.2">
      <c r="D6641" s="50"/>
      <c r="E6641" s="73"/>
      <c r="F6641" s="45"/>
    </row>
    <row r="6642" spans="4:6" x14ac:dyDescent="0.2">
      <c r="D6642" s="50"/>
      <c r="E6642" s="73"/>
      <c r="F6642" s="45"/>
    </row>
    <row r="6643" spans="4:6" x14ac:dyDescent="0.2">
      <c r="D6643" s="50"/>
      <c r="E6643" s="73"/>
      <c r="F6643" s="45"/>
    </row>
    <row r="6644" spans="4:6" x14ac:dyDescent="0.2">
      <c r="D6644" s="50"/>
      <c r="E6644" s="73"/>
      <c r="F6644" s="45"/>
    </row>
    <row r="6645" spans="4:6" x14ac:dyDescent="0.2">
      <c r="D6645" s="50"/>
      <c r="E6645" s="73"/>
      <c r="F6645" s="45"/>
    </row>
    <row r="6646" spans="4:6" x14ac:dyDescent="0.2">
      <c r="D6646" s="50"/>
      <c r="E6646" s="73"/>
      <c r="F6646" s="45"/>
    </row>
    <row r="6647" spans="4:6" x14ac:dyDescent="0.2">
      <c r="D6647" s="50"/>
      <c r="E6647" s="73"/>
      <c r="F6647" s="45"/>
    </row>
    <row r="6648" spans="4:6" x14ac:dyDescent="0.2">
      <c r="D6648" s="50"/>
      <c r="E6648" s="73"/>
      <c r="F6648" s="45"/>
    </row>
    <row r="6649" spans="4:6" x14ac:dyDescent="0.2">
      <c r="D6649" s="50"/>
      <c r="E6649" s="73"/>
      <c r="F6649" s="45"/>
    </row>
    <row r="6650" spans="4:6" x14ac:dyDescent="0.2">
      <c r="D6650" s="50"/>
      <c r="E6650" s="73"/>
      <c r="F6650" s="45"/>
    </row>
    <row r="6651" spans="4:6" x14ac:dyDescent="0.2">
      <c r="D6651" s="50"/>
      <c r="E6651" s="73"/>
      <c r="F6651" s="45"/>
    </row>
    <row r="6652" spans="4:6" x14ac:dyDescent="0.2">
      <c r="D6652" s="50"/>
      <c r="E6652" s="73"/>
      <c r="F6652" s="45"/>
    </row>
    <row r="6653" spans="4:6" x14ac:dyDescent="0.2">
      <c r="D6653" s="50"/>
      <c r="E6653" s="73"/>
      <c r="F6653" s="45"/>
    </row>
    <row r="6654" spans="4:6" x14ac:dyDescent="0.2">
      <c r="D6654" s="50"/>
      <c r="E6654" s="73"/>
      <c r="F6654" s="45"/>
    </row>
    <row r="6655" spans="4:6" x14ac:dyDescent="0.2">
      <c r="D6655" s="50"/>
      <c r="E6655" s="73"/>
      <c r="F6655" s="45"/>
    </row>
    <row r="6656" spans="4:6" x14ac:dyDescent="0.2">
      <c r="D6656" s="50"/>
      <c r="E6656" s="73"/>
      <c r="F6656" s="45"/>
    </row>
    <row r="6657" spans="4:6" x14ac:dyDescent="0.2">
      <c r="D6657" s="50"/>
      <c r="E6657" s="73"/>
      <c r="F6657" s="45"/>
    </row>
    <row r="6658" spans="4:6" x14ac:dyDescent="0.2">
      <c r="D6658" s="50"/>
      <c r="E6658" s="73"/>
      <c r="F6658" s="45"/>
    </row>
    <row r="6659" spans="4:6" x14ac:dyDescent="0.2">
      <c r="D6659" s="50"/>
      <c r="E6659" s="73"/>
      <c r="F6659" s="45"/>
    </row>
    <row r="6660" spans="4:6" x14ac:dyDescent="0.2">
      <c r="D6660" s="50"/>
      <c r="E6660" s="73"/>
      <c r="F6660" s="45"/>
    </row>
    <row r="6661" spans="4:6" x14ac:dyDescent="0.2">
      <c r="D6661" s="50"/>
      <c r="E6661" s="73"/>
      <c r="F6661" s="45"/>
    </row>
    <row r="6662" spans="4:6" x14ac:dyDescent="0.2">
      <c r="D6662" s="50"/>
      <c r="E6662" s="73"/>
      <c r="F6662" s="45"/>
    </row>
    <row r="6663" spans="4:6" x14ac:dyDescent="0.2">
      <c r="D6663" s="50"/>
      <c r="E6663" s="73"/>
      <c r="F6663" s="45"/>
    </row>
    <row r="6664" spans="4:6" x14ac:dyDescent="0.2">
      <c r="D6664" s="50"/>
      <c r="E6664" s="73"/>
      <c r="F6664" s="45"/>
    </row>
    <row r="6665" spans="4:6" x14ac:dyDescent="0.2">
      <c r="D6665" s="50"/>
      <c r="E6665" s="73"/>
      <c r="F6665" s="45"/>
    </row>
    <row r="6666" spans="4:6" x14ac:dyDescent="0.2">
      <c r="D6666" s="50"/>
      <c r="E6666" s="73"/>
      <c r="F6666" s="45"/>
    </row>
    <row r="6667" spans="4:6" x14ac:dyDescent="0.2">
      <c r="D6667" s="50"/>
      <c r="E6667" s="73"/>
      <c r="F6667" s="45"/>
    </row>
    <row r="6668" spans="4:6" x14ac:dyDescent="0.2">
      <c r="D6668" s="50"/>
      <c r="E6668" s="73"/>
      <c r="F6668" s="45"/>
    </row>
    <row r="6669" spans="4:6" x14ac:dyDescent="0.2">
      <c r="D6669" s="50"/>
      <c r="E6669" s="73"/>
      <c r="F6669" s="45"/>
    </row>
    <row r="6670" spans="4:6" x14ac:dyDescent="0.2">
      <c r="D6670" s="50"/>
      <c r="E6670" s="73"/>
      <c r="F6670" s="45"/>
    </row>
    <row r="6671" spans="4:6" x14ac:dyDescent="0.2">
      <c r="D6671" s="50"/>
      <c r="E6671" s="73"/>
      <c r="F6671" s="45"/>
    </row>
    <row r="6672" spans="4:6" x14ac:dyDescent="0.2">
      <c r="D6672" s="50"/>
      <c r="E6672" s="73"/>
      <c r="F6672" s="45"/>
    </row>
    <row r="6673" spans="4:6" x14ac:dyDescent="0.2">
      <c r="D6673" s="50"/>
      <c r="E6673" s="73"/>
      <c r="F6673" s="45"/>
    </row>
    <row r="6674" spans="4:6" x14ac:dyDescent="0.2">
      <c r="D6674" s="50"/>
      <c r="E6674" s="73"/>
      <c r="F6674" s="45"/>
    </row>
    <row r="6675" spans="4:6" x14ac:dyDescent="0.2">
      <c r="D6675" s="50"/>
      <c r="E6675" s="73"/>
      <c r="F6675" s="45"/>
    </row>
    <row r="6676" spans="4:6" x14ac:dyDescent="0.2">
      <c r="D6676" s="50"/>
      <c r="E6676" s="73"/>
      <c r="F6676" s="45"/>
    </row>
    <row r="6677" spans="4:6" x14ac:dyDescent="0.2">
      <c r="D6677" s="50"/>
      <c r="E6677" s="73"/>
      <c r="F6677" s="45"/>
    </row>
    <row r="6678" spans="4:6" x14ac:dyDescent="0.2">
      <c r="D6678" s="50"/>
      <c r="E6678" s="73"/>
      <c r="F6678" s="45"/>
    </row>
    <row r="6679" spans="4:6" x14ac:dyDescent="0.2">
      <c r="D6679" s="50"/>
      <c r="E6679" s="73"/>
      <c r="F6679" s="45"/>
    </row>
    <row r="6680" spans="4:6" x14ac:dyDescent="0.2">
      <c r="D6680" s="50"/>
      <c r="E6680" s="73"/>
      <c r="F6680" s="45"/>
    </row>
    <row r="6681" spans="4:6" x14ac:dyDescent="0.2">
      <c r="D6681" s="50"/>
      <c r="E6681" s="73"/>
      <c r="F6681" s="45"/>
    </row>
    <row r="6682" spans="4:6" x14ac:dyDescent="0.2">
      <c r="D6682" s="50"/>
      <c r="E6682" s="73"/>
      <c r="F6682" s="45"/>
    </row>
    <row r="6683" spans="4:6" x14ac:dyDescent="0.2">
      <c r="D6683" s="50"/>
      <c r="E6683" s="73"/>
      <c r="F6683" s="45"/>
    </row>
    <row r="6684" spans="4:6" x14ac:dyDescent="0.2">
      <c r="D6684" s="50"/>
      <c r="E6684" s="73"/>
      <c r="F6684" s="45"/>
    </row>
    <row r="6685" spans="4:6" x14ac:dyDescent="0.2">
      <c r="D6685" s="50"/>
      <c r="E6685" s="73"/>
      <c r="F6685" s="45"/>
    </row>
    <row r="6686" spans="4:6" x14ac:dyDescent="0.2">
      <c r="D6686" s="50"/>
      <c r="E6686" s="73"/>
      <c r="F6686" s="45"/>
    </row>
    <row r="6687" spans="4:6" x14ac:dyDescent="0.2">
      <c r="D6687" s="50"/>
      <c r="E6687" s="73"/>
      <c r="F6687" s="45"/>
    </row>
    <row r="6688" spans="4:6" x14ac:dyDescent="0.2">
      <c r="D6688" s="50"/>
      <c r="E6688" s="73"/>
      <c r="F6688" s="45"/>
    </row>
    <row r="6689" spans="4:6" x14ac:dyDescent="0.2">
      <c r="D6689" s="50"/>
      <c r="E6689" s="73"/>
      <c r="F6689" s="45"/>
    </row>
    <row r="6690" spans="4:6" x14ac:dyDescent="0.2">
      <c r="D6690" s="50"/>
      <c r="E6690" s="73"/>
      <c r="F6690" s="45"/>
    </row>
    <row r="6691" spans="4:6" x14ac:dyDescent="0.2">
      <c r="D6691" s="50"/>
      <c r="E6691" s="73"/>
      <c r="F6691" s="45"/>
    </row>
    <row r="6692" spans="4:6" x14ac:dyDescent="0.2">
      <c r="D6692" s="50"/>
      <c r="E6692" s="73"/>
      <c r="F6692" s="45"/>
    </row>
    <row r="6693" spans="4:6" x14ac:dyDescent="0.2">
      <c r="D6693" s="50"/>
      <c r="E6693" s="73"/>
      <c r="F6693" s="45"/>
    </row>
    <row r="6694" spans="4:6" x14ac:dyDescent="0.2">
      <c r="D6694" s="50"/>
      <c r="E6694" s="73"/>
      <c r="F6694" s="45"/>
    </row>
    <row r="6695" spans="4:6" x14ac:dyDescent="0.2">
      <c r="D6695" s="50"/>
      <c r="E6695" s="73"/>
      <c r="F6695" s="45"/>
    </row>
    <row r="6696" spans="4:6" x14ac:dyDescent="0.2">
      <c r="D6696" s="50"/>
      <c r="E6696" s="73"/>
      <c r="F6696" s="45"/>
    </row>
    <row r="6697" spans="4:6" x14ac:dyDescent="0.2">
      <c r="D6697" s="50"/>
      <c r="E6697" s="73"/>
      <c r="F6697" s="45"/>
    </row>
    <row r="6698" spans="4:6" x14ac:dyDescent="0.2">
      <c r="D6698" s="50"/>
      <c r="E6698" s="73"/>
      <c r="F6698" s="45"/>
    </row>
    <row r="6699" spans="4:6" x14ac:dyDescent="0.2">
      <c r="D6699" s="50"/>
      <c r="E6699" s="73"/>
      <c r="F6699" s="45"/>
    </row>
    <row r="6700" spans="4:6" x14ac:dyDescent="0.2">
      <c r="D6700" s="50"/>
      <c r="E6700" s="73"/>
      <c r="F6700" s="45"/>
    </row>
    <row r="6701" spans="4:6" x14ac:dyDescent="0.2">
      <c r="D6701" s="50"/>
      <c r="E6701" s="73"/>
      <c r="F6701" s="45"/>
    </row>
    <row r="6702" spans="4:6" x14ac:dyDescent="0.2">
      <c r="D6702" s="50"/>
      <c r="E6702" s="73"/>
      <c r="F6702" s="45"/>
    </row>
    <row r="6703" spans="4:6" x14ac:dyDescent="0.2">
      <c r="D6703" s="50"/>
      <c r="E6703" s="73"/>
      <c r="F6703" s="45"/>
    </row>
    <row r="6704" spans="4:6" x14ac:dyDescent="0.2">
      <c r="D6704" s="50"/>
      <c r="E6704" s="73"/>
      <c r="F6704" s="45"/>
    </row>
    <row r="6705" spans="4:6" x14ac:dyDescent="0.2">
      <c r="D6705" s="50"/>
      <c r="E6705" s="73"/>
      <c r="F6705" s="45"/>
    </row>
    <row r="6706" spans="4:6" x14ac:dyDescent="0.2">
      <c r="D6706" s="50"/>
      <c r="E6706" s="73"/>
      <c r="F6706" s="45"/>
    </row>
    <row r="6707" spans="4:6" x14ac:dyDescent="0.2">
      <c r="D6707" s="50"/>
      <c r="E6707" s="73"/>
      <c r="F6707" s="45"/>
    </row>
    <row r="6708" spans="4:6" x14ac:dyDescent="0.2">
      <c r="D6708" s="50"/>
      <c r="E6708" s="73"/>
      <c r="F6708" s="45"/>
    </row>
    <row r="6709" spans="4:6" x14ac:dyDescent="0.2">
      <c r="D6709" s="50"/>
      <c r="E6709" s="73"/>
      <c r="F6709" s="45"/>
    </row>
    <row r="6710" spans="4:6" x14ac:dyDescent="0.2">
      <c r="D6710" s="50"/>
      <c r="E6710" s="73"/>
      <c r="F6710" s="45"/>
    </row>
    <row r="6711" spans="4:6" x14ac:dyDescent="0.2">
      <c r="D6711" s="50"/>
      <c r="E6711" s="73"/>
      <c r="F6711" s="45"/>
    </row>
    <row r="6712" spans="4:6" x14ac:dyDescent="0.2">
      <c r="D6712" s="50"/>
      <c r="E6712" s="73"/>
      <c r="F6712" s="45"/>
    </row>
    <row r="6713" spans="4:6" x14ac:dyDescent="0.2">
      <c r="D6713" s="50"/>
      <c r="E6713" s="73"/>
      <c r="F6713" s="45"/>
    </row>
    <row r="6714" spans="4:6" x14ac:dyDescent="0.2">
      <c r="D6714" s="50"/>
      <c r="E6714" s="73"/>
      <c r="F6714" s="45"/>
    </row>
    <row r="6715" spans="4:6" x14ac:dyDescent="0.2">
      <c r="D6715" s="50"/>
      <c r="E6715" s="73"/>
      <c r="F6715" s="45"/>
    </row>
    <row r="6716" spans="4:6" x14ac:dyDescent="0.2">
      <c r="D6716" s="50"/>
      <c r="E6716" s="73"/>
      <c r="F6716" s="45"/>
    </row>
    <row r="6717" spans="4:6" x14ac:dyDescent="0.2">
      <c r="D6717" s="50"/>
      <c r="E6717" s="73"/>
      <c r="F6717" s="45"/>
    </row>
    <row r="6718" spans="4:6" x14ac:dyDescent="0.2">
      <c r="D6718" s="50"/>
      <c r="E6718" s="73"/>
      <c r="F6718" s="45"/>
    </row>
    <row r="6719" spans="4:6" x14ac:dyDescent="0.2">
      <c r="D6719" s="50"/>
      <c r="E6719" s="73"/>
      <c r="F6719" s="45"/>
    </row>
    <row r="6720" spans="4:6" x14ac:dyDescent="0.2">
      <c r="D6720" s="50"/>
      <c r="E6720" s="73"/>
      <c r="F6720" s="45"/>
    </row>
    <row r="6721" spans="4:6" x14ac:dyDescent="0.2">
      <c r="D6721" s="50"/>
      <c r="E6721" s="73"/>
      <c r="F6721" s="45"/>
    </row>
    <row r="6722" spans="4:6" x14ac:dyDescent="0.2">
      <c r="D6722" s="50"/>
      <c r="E6722" s="73"/>
      <c r="F6722" s="45"/>
    </row>
    <row r="6723" spans="4:6" x14ac:dyDescent="0.2">
      <c r="D6723" s="50"/>
      <c r="E6723" s="73"/>
      <c r="F6723" s="45"/>
    </row>
    <row r="6724" spans="4:6" x14ac:dyDescent="0.2">
      <c r="D6724" s="50"/>
      <c r="E6724" s="73"/>
      <c r="F6724" s="45"/>
    </row>
    <row r="6725" spans="4:6" x14ac:dyDescent="0.2">
      <c r="D6725" s="50"/>
      <c r="E6725" s="73"/>
      <c r="F6725" s="45"/>
    </row>
    <row r="6726" spans="4:6" x14ac:dyDescent="0.2">
      <c r="D6726" s="50"/>
      <c r="E6726" s="73"/>
      <c r="F6726" s="45"/>
    </row>
    <row r="6727" spans="4:6" x14ac:dyDescent="0.2">
      <c r="D6727" s="50"/>
      <c r="E6727" s="73"/>
      <c r="F6727" s="45"/>
    </row>
    <row r="6728" spans="4:6" x14ac:dyDescent="0.2">
      <c r="D6728" s="50"/>
      <c r="E6728" s="73"/>
      <c r="F6728" s="45"/>
    </row>
    <row r="6729" spans="4:6" x14ac:dyDescent="0.2">
      <c r="D6729" s="50"/>
      <c r="E6729" s="73"/>
      <c r="F6729" s="45"/>
    </row>
    <row r="6730" spans="4:6" x14ac:dyDescent="0.2">
      <c r="D6730" s="50"/>
      <c r="E6730" s="73"/>
      <c r="F6730" s="45"/>
    </row>
    <row r="6731" spans="4:6" x14ac:dyDescent="0.2">
      <c r="D6731" s="50"/>
      <c r="E6731" s="73"/>
      <c r="F6731" s="45"/>
    </row>
    <row r="6732" spans="4:6" x14ac:dyDescent="0.2">
      <c r="D6732" s="50"/>
      <c r="E6732" s="73"/>
      <c r="F6732" s="45"/>
    </row>
    <row r="6733" spans="4:6" x14ac:dyDescent="0.2">
      <c r="D6733" s="50"/>
      <c r="E6733" s="73"/>
      <c r="F6733" s="45"/>
    </row>
    <row r="6734" spans="4:6" x14ac:dyDescent="0.2">
      <c r="D6734" s="50"/>
      <c r="E6734" s="73"/>
      <c r="F6734" s="45"/>
    </row>
    <row r="6735" spans="4:6" x14ac:dyDescent="0.2">
      <c r="D6735" s="50"/>
      <c r="E6735" s="73"/>
      <c r="F6735" s="45"/>
    </row>
    <row r="6736" spans="4:6" x14ac:dyDescent="0.2">
      <c r="D6736" s="50"/>
      <c r="E6736" s="73"/>
      <c r="F6736" s="45"/>
    </row>
    <row r="6737" spans="4:6" x14ac:dyDescent="0.2">
      <c r="D6737" s="50"/>
      <c r="E6737" s="73"/>
      <c r="F6737" s="45"/>
    </row>
    <row r="6738" spans="4:6" x14ac:dyDescent="0.2">
      <c r="D6738" s="50"/>
      <c r="E6738" s="73"/>
      <c r="F6738" s="45"/>
    </row>
    <row r="6739" spans="4:6" x14ac:dyDescent="0.2">
      <c r="D6739" s="50"/>
      <c r="E6739" s="73"/>
      <c r="F6739" s="45"/>
    </row>
    <row r="6740" spans="4:6" x14ac:dyDescent="0.2">
      <c r="D6740" s="50"/>
      <c r="E6740" s="73"/>
      <c r="F6740" s="45"/>
    </row>
    <row r="6741" spans="4:6" x14ac:dyDescent="0.2">
      <c r="D6741" s="50"/>
      <c r="E6741" s="73"/>
      <c r="F6741" s="45"/>
    </row>
    <row r="6742" spans="4:6" x14ac:dyDescent="0.2">
      <c r="D6742" s="50"/>
      <c r="E6742" s="73"/>
      <c r="F6742" s="45"/>
    </row>
    <row r="6743" spans="4:6" x14ac:dyDescent="0.2">
      <c r="D6743" s="50"/>
      <c r="E6743" s="73"/>
      <c r="F6743" s="45"/>
    </row>
    <row r="6744" spans="4:6" x14ac:dyDescent="0.2">
      <c r="D6744" s="50"/>
      <c r="E6744" s="73"/>
      <c r="F6744" s="45"/>
    </row>
    <row r="6745" spans="4:6" x14ac:dyDescent="0.2">
      <c r="D6745" s="50"/>
      <c r="E6745" s="73"/>
      <c r="F6745" s="45"/>
    </row>
    <row r="6746" spans="4:6" x14ac:dyDescent="0.2">
      <c r="D6746" s="50"/>
      <c r="E6746" s="73"/>
      <c r="F6746" s="45"/>
    </row>
    <row r="6747" spans="4:6" x14ac:dyDescent="0.2">
      <c r="D6747" s="50"/>
      <c r="E6747" s="73"/>
      <c r="F6747" s="45"/>
    </row>
    <row r="6748" spans="4:6" x14ac:dyDescent="0.2">
      <c r="D6748" s="50"/>
      <c r="E6748" s="73"/>
      <c r="F6748" s="45"/>
    </row>
    <row r="6749" spans="4:6" x14ac:dyDescent="0.2">
      <c r="D6749" s="50"/>
      <c r="E6749" s="73"/>
      <c r="F6749" s="45"/>
    </row>
    <row r="6750" spans="4:6" x14ac:dyDescent="0.2">
      <c r="D6750" s="50"/>
      <c r="E6750" s="73"/>
      <c r="F6750" s="45"/>
    </row>
    <row r="6751" spans="4:6" x14ac:dyDescent="0.2">
      <c r="D6751" s="50"/>
      <c r="E6751" s="73"/>
      <c r="F6751" s="45"/>
    </row>
    <row r="6752" spans="4:6" x14ac:dyDescent="0.2">
      <c r="D6752" s="50"/>
      <c r="E6752" s="73"/>
      <c r="F6752" s="45"/>
    </row>
    <row r="6753" spans="4:6" x14ac:dyDescent="0.2">
      <c r="D6753" s="50"/>
      <c r="E6753" s="73"/>
      <c r="F6753" s="45"/>
    </row>
    <row r="6754" spans="4:6" x14ac:dyDescent="0.2">
      <c r="D6754" s="50"/>
      <c r="E6754" s="73"/>
      <c r="F6754" s="45"/>
    </row>
    <row r="6755" spans="4:6" x14ac:dyDescent="0.2">
      <c r="D6755" s="50"/>
      <c r="E6755" s="73"/>
      <c r="F6755" s="45"/>
    </row>
    <row r="6756" spans="4:6" x14ac:dyDescent="0.2">
      <c r="D6756" s="50"/>
      <c r="E6756" s="73"/>
      <c r="F6756" s="45"/>
    </row>
    <row r="6757" spans="4:6" x14ac:dyDescent="0.2">
      <c r="D6757" s="50"/>
      <c r="E6757" s="73"/>
      <c r="F6757" s="45"/>
    </row>
    <row r="6758" spans="4:6" x14ac:dyDescent="0.2">
      <c r="D6758" s="50"/>
      <c r="E6758" s="73"/>
      <c r="F6758" s="45"/>
    </row>
    <row r="6759" spans="4:6" x14ac:dyDescent="0.2">
      <c r="D6759" s="50"/>
      <c r="E6759" s="73"/>
      <c r="F6759" s="45"/>
    </row>
    <row r="6760" spans="4:6" x14ac:dyDescent="0.2">
      <c r="D6760" s="50"/>
      <c r="E6760" s="73"/>
      <c r="F6760" s="45"/>
    </row>
    <row r="6761" spans="4:6" x14ac:dyDescent="0.2">
      <c r="D6761" s="50"/>
      <c r="E6761" s="73"/>
      <c r="F6761" s="45"/>
    </row>
    <row r="6762" spans="4:6" x14ac:dyDescent="0.2">
      <c r="D6762" s="50"/>
      <c r="E6762" s="73"/>
      <c r="F6762" s="45"/>
    </row>
    <row r="6763" spans="4:6" x14ac:dyDescent="0.2">
      <c r="D6763" s="50"/>
      <c r="E6763" s="73"/>
      <c r="F6763" s="45"/>
    </row>
    <row r="6764" spans="4:6" x14ac:dyDescent="0.2">
      <c r="D6764" s="50"/>
      <c r="E6764" s="73"/>
      <c r="F6764" s="45"/>
    </row>
    <row r="6765" spans="4:6" x14ac:dyDescent="0.2">
      <c r="D6765" s="50"/>
      <c r="E6765" s="73"/>
      <c r="F6765" s="45"/>
    </row>
    <row r="6766" spans="4:6" x14ac:dyDescent="0.2">
      <c r="D6766" s="50"/>
      <c r="E6766" s="73"/>
      <c r="F6766" s="45"/>
    </row>
    <row r="6767" spans="4:6" x14ac:dyDescent="0.2">
      <c r="D6767" s="50"/>
      <c r="E6767" s="73"/>
      <c r="F6767" s="45"/>
    </row>
    <row r="6768" spans="4:6" x14ac:dyDescent="0.2">
      <c r="D6768" s="50"/>
      <c r="E6768" s="73"/>
      <c r="F6768" s="45"/>
    </row>
    <row r="6769" spans="4:6" x14ac:dyDescent="0.2">
      <c r="D6769" s="50"/>
      <c r="E6769" s="73"/>
      <c r="F6769" s="45"/>
    </row>
    <row r="6770" spans="4:6" x14ac:dyDescent="0.2">
      <c r="D6770" s="50"/>
      <c r="E6770" s="73"/>
      <c r="F6770" s="45"/>
    </row>
    <row r="6771" spans="4:6" x14ac:dyDescent="0.2">
      <c r="D6771" s="50"/>
      <c r="E6771" s="73"/>
      <c r="F6771" s="45"/>
    </row>
    <row r="6772" spans="4:6" x14ac:dyDescent="0.2">
      <c r="D6772" s="50"/>
      <c r="E6772" s="73"/>
      <c r="F6772" s="45"/>
    </row>
    <row r="6773" spans="4:6" x14ac:dyDescent="0.2">
      <c r="D6773" s="50"/>
      <c r="E6773" s="73"/>
      <c r="F6773" s="45"/>
    </row>
    <row r="6774" spans="4:6" x14ac:dyDescent="0.2">
      <c r="D6774" s="50"/>
      <c r="E6774" s="73"/>
      <c r="F6774" s="45"/>
    </row>
    <row r="6775" spans="4:6" x14ac:dyDescent="0.2">
      <c r="D6775" s="50"/>
      <c r="E6775" s="73"/>
      <c r="F6775" s="45"/>
    </row>
    <row r="6776" spans="4:6" x14ac:dyDescent="0.2">
      <c r="D6776" s="50"/>
      <c r="E6776" s="73"/>
      <c r="F6776" s="45"/>
    </row>
    <row r="6777" spans="4:6" x14ac:dyDescent="0.2">
      <c r="D6777" s="50"/>
      <c r="E6777" s="73"/>
      <c r="F6777" s="45"/>
    </row>
    <row r="6778" spans="4:6" x14ac:dyDescent="0.2">
      <c r="D6778" s="50"/>
      <c r="E6778" s="73"/>
      <c r="F6778" s="45"/>
    </row>
    <row r="6779" spans="4:6" x14ac:dyDescent="0.2">
      <c r="D6779" s="50"/>
      <c r="E6779" s="73"/>
      <c r="F6779" s="45"/>
    </row>
    <row r="6780" spans="4:6" x14ac:dyDescent="0.2">
      <c r="D6780" s="50"/>
      <c r="E6780" s="73"/>
      <c r="F6780" s="45"/>
    </row>
    <row r="6781" spans="4:6" x14ac:dyDescent="0.2">
      <c r="D6781" s="50"/>
      <c r="E6781" s="73"/>
      <c r="F6781" s="45"/>
    </row>
    <row r="6782" spans="4:6" x14ac:dyDescent="0.2">
      <c r="D6782" s="50"/>
      <c r="E6782" s="73"/>
      <c r="F6782" s="45"/>
    </row>
    <row r="6783" spans="4:6" x14ac:dyDescent="0.2">
      <c r="D6783" s="50"/>
      <c r="E6783" s="73"/>
      <c r="F6783" s="45"/>
    </row>
    <row r="6784" spans="4:6" x14ac:dyDescent="0.2">
      <c r="D6784" s="50"/>
      <c r="E6784" s="73"/>
      <c r="F6784" s="45"/>
    </row>
    <row r="6785" spans="4:6" x14ac:dyDescent="0.2">
      <c r="D6785" s="50"/>
      <c r="E6785" s="73"/>
      <c r="F6785" s="45"/>
    </row>
    <row r="6786" spans="4:6" x14ac:dyDescent="0.2">
      <c r="D6786" s="50"/>
      <c r="E6786" s="73"/>
      <c r="F6786" s="45"/>
    </row>
    <row r="6787" spans="4:6" x14ac:dyDescent="0.2">
      <c r="D6787" s="50"/>
      <c r="E6787" s="73"/>
      <c r="F6787" s="45"/>
    </row>
    <row r="6788" spans="4:6" x14ac:dyDescent="0.2">
      <c r="D6788" s="50"/>
      <c r="E6788" s="73"/>
      <c r="F6788" s="45"/>
    </row>
    <row r="6789" spans="4:6" x14ac:dyDescent="0.2">
      <c r="D6789" s="50"/>
      <c r="E6789" s="73"/>
      <c r="F6789" s="45"/>
    </row>
    <row r="6790" spans="4:6" x14ac:dyDescent="0.2">
      <c r="D6790" s="50"/>
      <c r="E6790" s="73"/>
      <c r="F6790" s="45"/>
    </row>
    <row r="6791" spans="4:6" x14ac:dyDescent="0.2">
      <c r="D6791" s="50"/>
      <c r="E6791" s="73"/>
      <c r="F6791" s="45"/>
    </row>
    <row r="6792" spans="4:6" x14ac:dyDescent="0.2">
      <c r="D6792" s="50"/>
      <c r="E6792" s="73"/>
      <c r="F6792" s="45"/>
    </row>
    <row r="6793" spans="4:6" x14ac:dyDescent="0.2">
      <c r="D6793" s="50"/>
      <c r="E6793" s="73"/>
      <c r="F6793" s="45"/>
    </row>
    <row r="6794" spans="4:6" x14ac:dyDescent="0.2">
      <c r="D6794" s="50"/>
      <c r="E6794" s="73"/>
      <c r="F6794" s="45"/>
    </row>
    <row r="6795" spans="4:6" x14ac:dyDescent="0.2">
      <c r="D6795" s="50"/>
      <c r="E6795" s="73"/>
      <c r="F6795" s="45"/>
    </row>
    <row r="6796" spans="4:6" x14ac:dyDescent="0.2">
      <c r="D6796" s="50"/>
      <c r="E6796" s="73"/>
      <c r="F6796" s="45"/>
    </row>
    <row r="6797" spans="4:6" x14ac:dyDescent="0.2">
      <c r="D6797" s="50"/>
      <c r="E6797" s="73"/>
      <c r="F6797" s="45"/>
    </row>
    <row r="6798" spans="4:6" x14ac:dyDescent="0.2">
      <c r="D6798" s="50"/>
      <c r="E6798" s="73"/>
      <c r="F6798" s="45"/>
    </row>
    <row r="6799" spans="4:6" x14ac:dyDescent="0.2">
      <c r="D6799" s="50"/>
      <c r="E6799" s="73"/>
      <c r="F6799" s="45"/>
    </row>
    <row r="6800" spans="4:6" x14ac:dyDescent="0.2">
      <c r="D6800" s="50"/>
      <c r="E6800" s="73"/>
      <c r="F6800" s="45"/>
    </row>
    <row r="6801" spans="4:6" x14ac:dyDescent="0.2">
      <c r="D6801" s="50"/>
      <c r="E6801" s="73"/>
      <c r="F6801" s="45"/>
    </row>
    <row r="6802" spans="4:6" x14ac:dyDescent="0.2">
      <c r="D6802" s="50"/>
      <c r="E6802" s="73"/>
      <c r="F6802" s="45"/>
    </row>
    <row r="6803" spans="4:6" x14ac:dyDescent="0.2">
      <c r="D6803" s="50"/>
      <c r="E6803" s="73"/>
      <c r="F6803" s="45"/>
    </row>
    <row r="6804" spans="4:6" x14ac:dyDescent="0.2">
      <c r="D6804" s="50"/>
      <c r="E6804" s="73"/>
      <c r="F6804" s="45"/>
    </row>
    <row r="6805" spans="4:6" x14ac:dyDescent="0.2">
      <c r="D6805" s="50"/>
      <c r="E6805" s="73"/>
      <c r="F6805" s="45"/>
    </row>
    <row r="6806" spans="4:6" x14ac:dyDescent="0.2">
      <c r="D6806" s="50"/>
      <c r="E6806" s="73"/>
      <c r="F6806" s="45"/>
    </row>
    <row r="6807" spans="4:6" x14ac:dyDescent="0.2">
      <c r="D6807" s="50"/>
      <c r="E6807" s="73"/>
      <c r="F6807" s="45"/>
    </row>
    <row r="6808" spans="4:6" x14ac:dyDescent="0.2">
      <c r="D6808" s="50"/>
      <c r="E6808" s="73"/>
      <c r="F6808" s="45"/>
    </row>
    <row r="6809" spans="4:6" x14ac:dyDescent="0.2">
      <c r="D6809" s="50"/>
      <c r="E6809" s="73"/>
      <c r="F6809" s="45"/>
    </row>
    <row r="6810" spans="4:6" x14ac:dyDescent="0.2">
      <c r="D6810" s="50"/>
      <c r="E6810" s="73"/>
      <c r="F6810" s="45"/>
    </row>
    <row r="6811" spans="4:6" x14ac:dyDescent="0.2">
      <c r="D6811" s="50"/>
      <c r="E6811" s="73"/>
      <c r="F6811" s="45"/>
    </row>
    <row r="6812" spans="4:6" x14ac:dyDescent="0.2">
      <c r="D6812" s="50"/>
      <c r="E6812" s="73"/>
      <c r="F6812" s="45"/>
    </row>
    <row r="6813" spans="4:6" x14ac:dyDescent="0.2">
      <c r="D6813" s="50"/>
      <c r="E6813" s="73"/>
      <c r="F6813" s="45"/>
    </row>
    <row r="6814" spans="4:6" x14ac:dyDescent="0.2">
      <c r="D6814" s="50"/>
      <c r="E6814" s="73"/>
      <c r="F6814" s="45"/>
    </row>
    <row r="6815" spans="4:6" x14ac:dyDescent="0.2">
      <c r="D6815" s="50"/>
      <c r="E6815" s="73"/>
      <c r="F6815" s="45"/>
    </row>
    <row r="6816" spans="4:6" x14ac:dyDescent="0.2">
      <c r="D6816" s="50"/>
      <c r="E6816" s="73"/>
      <c r="F6816" s="45"/>
    </row>
    <row r="6817" spans="4:6" x14ac:dyDescent="0.2">
      <c r="D6817" s="50"/>
      <c r="E6817" s="73"/>
      <c r="F6817" s="45"/>
    </row>
    <row r="6818" spans="4:6" x14ac:dyDescent="0.2">
      <c r="D6818" s="50"/>
      <c r="E6818" s="73"/>
      <c r="F6818" s="45"/>
    </row>
    <row r="6819" spans="4:6" x14ac:dyDescent="0.2">
      <c r="D6819" s="50"/>
      <c r="E6819" s="73"/>
      <c r="F6819" s="45"/>
    </row>
    <row r="6820" spans="4:6" x14ac:dyDescent="0.2">
      <c r="D6820" s="50"/>
      <c r="E6820" s="73"/>
      <c r="F6820" s="45"/>
    </row>
    <row r="6821" spans="4:6" x14ac:dyDescent="0.2">
      <c r="D6821" s="50"/>
      <c r="E6821" s="73"/>
      <c r="F6821" s="45"/>
    </row>
    <row r="6822" spans="4:6" x14ac:dyDescent="0.2">
      <c r="D6822" s="50"/>
      <c r="E6822" s="73"/>
      <c r="F6822" s="45"/>
    </row>
    <row r="6823" spans="4:6" x14ac:dyDescent="0.2">
      <c r="D6823" s="50"/>
      <c r="E6823" s="73"/>
      <c r="F6823" s="45"/>
    </row>
    <row r="6824" spans="4:6" x14ac:dyDescent="0.2">
      <c r="D6824" s="50"/>
      <c r="E6824" s="73"/>
      <c r="F6824" s="45"/>
    </row>
    <row r="6825" spans="4:6" x14ac:dyDescent="0.2">
      <c r="D6825" s="50"/>
      <c r="E6825" s="73"/>
      <c r="F6825" s="45"/>
    </row>
    <row r="6826" spans="4:6" x14ac:dyDescent="0.2">
      <c r="D6826" s="50"/>
      <c r="E6826" s="73"/>
      <c r="F6826" s="45"/>
    </row>
    <row r="6827" spans="4:6" x14ac:dyDescent="0.2">
      <c r="D6827" s="50"/>
      <c r="E6827" s="73"/>
      <c r="F6827" s="45"/>
    </row>
    <row r="6828" spans="4:6" x14ac:dyDescent="0.2">
      <c r="D6828" s="50"/>
      <c r="E6828" s="73"/>
      <c r="F6828" s="45"/>
    </row>
    <row r="6829" spans="4:6" x14ac:dyDescent="0.2">
      <c r="D6829" s="50"/>
      <c r="E6829" s="73"/>
      <c r="F6829" s="45"/>
    </row>
    <row r="6830" spans="4:6" x14ac:dyDescent="0.2">
      <c r="D6830" s="50"/>
      <c r="E6830" s="73"/>
      <c r="F6830" s="45"/>
    </row>
    <row r="6831" spans="4:6" x14ac:dyDescent="0.2">
      <c r="D6831" s="50"/>
      <c r="E6831" s="73"/>
      <c r="F6831" s="45"/>
    </row>
    <row r="6832" spans="4:6" x14ac:dyDescent="0.2">
      <c r="D6832" s="50"/>
      <c r="E6832" s="73"/>
      <c r="F6832" s="45"/>
    </row>
    <row r="6833" spans="4:6" x14ac:dyDescent="0.2">
      <c r="D6833" s="50"/>
      <c r="E6833" s="73"/>
      <c r="F6833" s="45"/>
    </row>
    <row r="6834" spans="4:6" x14ac:dyDescent="0.2">
      <c r="D6834" s="50"/>
      <c r="E6834" s="73"/>
      <c r="F6834" s="45"/>
    </row>
    <row r="6835" spans="4:6" x14ac:dyDescent="0.2">
      <c r="D6835" s="50"/>
      <c r="E6835" s="73"/>
      <c r="F6835" s="45"/>
    </row>
    <row r="6836" spans="4:6" x14ac:dyDescent="0.2">
      <c r="D6836" s="50"/>
      <c r="E6836" s="73"/>
      <c r="F6836" s="45"/>
    </row>
    <row r="6837" spans="4:6" x14ac:dyDescent="0.2">
      <c r="D6837" s="50"/>
      <c r="E6837" s="73"/>
      <c r="F6837" s="45"/>
    </row>
    <row r="6838" spans="4:6" x14ac:dyDescent="0.2">
      <c r="D6838" s="50"/>
      <c r="E6838" s="73"/>
      <c r="F6838" s="45"/>
    </row>
    <row r="6839" spans="4:6" x14ac:dyDescent="0.2">
      <c r="D6839" s="50"/>
      <c r="E6839" s="73"/>
      <c r="F6839" s="45"/>
    </row>
    <row r="6840" spans="4:6" x14ac:dyDescent="0.2">
      <c r="D6840" s="50"/>
      <c r="E6840" s="73"/>
      <c r="F6840" s="45"/>
    </row>
    <row r="6841" spans="4:6" x14ac:dyDescent="0.2">
      <c r="D6841" s="50"/>
      <c r="E6841" s="73"/>
      <c r="F6841" s="45"/>
    </row>
    <row r="6842" spans="4:6" x14ac:dyDescent="0.2">
      <c r="D6842" s="50"/>
      <c r="E6842" s="73"/>
      <c r="F6842" s="45"/>
    </row>
    <row r="6843" spans="4:6" x14ac:dyDescent="0.2">
      <c r="D6843" s="50"/>
      <c r="E6843" s="73"/>
      <c r="F6843" s="45"/>
    </row>
    <row r="6844" spans="4:6" x14ac:dyDescent="0.2">
      <c r="D6844" s="50"/>
      <c r="E6844" s="73"/>
      <c r="F6844" s="45"/>
    </row>
    <row r="6845" spans="4:6" x14ac:dyDescent="0.2">
      <c r="D6845" s="50"/>
      <c r="E6845" s="73"/>
      <c r="F6845" s="45"/>
    </row>
    <row r="6846" spans="4:6" x14ac:dyDescent="0.2">
      <c r="D6846" s="50"/>
      <c r="E6846" s="73"/>
      <c r="F6846" s="45"/>
    </row>
    <row r="6847" spans="4:6" x14ac:dyDescent="0.2">
      <c r="D6847" s="50"/>
      <c r="E6847" s="73"/>
      <c r="F6847" s="45"/>
    </row>
    <row r="6848" spans="4:6" x14ac:dyDescent="0.2">
      <c r="D6848" s="50"/>
      <c r="E6848" s="73"/>
      <c r="F6848" s="45"/>
    </row>
    <row r="6849" spans="4:6" x14ac:dyDescent="0.2">
      <c r="D6849" s="50"/>
      <c r="E6849" s="73"/>
      <c r="F6849" s="45"/>
    </row>
    <row r="6850" spans="4:6" x14ac:dyDescent="0.2">
      <c r="D6850" s="50"/>
      <c r="E6850" s="73"/>
      <c r="F6850" s="45"/>
    </row>
    <row r="6851" spans="4:6" x14ac:dyDescent="0.2">
      <c r="D6851" s="50"/>
      <c r="E6851" s="73"/>
      <c r="F6851" s="45"/>
    </row>
    <row r="6852" spans="4:6" x14ac:dyDescent="0.2">
      <c r="D6852" s="50"/>
      <c r="E6852" s="73"/>
      <c r="F6852" s="45"/>
    </row>
    <row r="6853" spans="4:6" x14ac:dyDescent="0.2">
      <c r="D6853" s="50"/>
      <c r="E6853" s="73"/>
      <c r="F6853" s="45"/>
    </row>
    <row r="6854" spans="4:6" x14ac:dyDescent="0.2">
      <c r="D6854" s="50"/>
      <c r="E6854" s="73"/>
      <c r="F6854" s="45"/>
    </row>
    <row r="6855" spans="4:6" x14ac:dyDescent="0.2">
      <c r="D6855" s="50"/>
      <c r="E6855" s="73"/>
      <c r="F6855" s="45"/>
    </row>
    <row r="6856" spans="4:6" x14ac:dyDescent="0.2">
      <c r="D6856" s="50"/>
      <c r="E6856" s="73"/>
      <c r="F6856" s="45"/>
    </row>
    <row r="6857" spans="4:6" x14ac:dyDescent="0.2">
      <c r="D6857" s="50"/>
      <c r="E6857" s="73"/>
      <c r="F6857" s="45"/>
    </row>
    <row r="6858" spans="4:6" x14ac:dyDescent="0.2">
      <c r="D6858" s="50"/>
      <c r="E6858" s="73"/>
      <c r="F6858" s="45"/>
    </row>
    <row r="6859" spans="4:6" x14ac:dyDescent="0.2">
      <c r="D6859" s="50"/>
      <c r="E6859" s="73"/>
      <c r="F6859" s="45"/>
    </row>
    <row r="6860" spans="4:6" x14ac:dyDescent="0.2">
      <c r="D6860" s="50"/>
      <c r="E6860" s="73"/>
      <c r="F6860" s="45"/>
    </row>
    <row r="6861" spans="4:6" x14ac:dyDescent="0.2">
      <c r="D6861" s="50"/>
      <c r="E6861" s="73"/>
      <c r="F6861" s="45"/>
    </row>
    <row r="6862" spans="4:6" x14ac:dyDescent="0.2">
      <c r="D6862" s="50"/>
      <c r="E6862" s="73"/>
      <c r="F6862" s="45"/>
    </row>
    <row r="6863" spans="4:6" x14ac:dyDescent="0.2">
      <c r="D6863" s="50"/>
      <c r="E6863" s="73"/>
      <c r="F6863" s="45"/>
    </row>
    <row r="6864" spans="4:6" x14ac:dyDescent="0.2">
      <c r="D6864" s="50"/>
      <c r="E6864" s="73"/>
      <c r="F6864" s="45"/>
    </row>
    <row r="6865" spans="4:6" x14ac:dyDescent="0.2">
      <c r="D6865" s="50"/>
      <c r="E6865" s="73"/>
      <c r="F6865" s="45"/>
    </row>
    <row r="6866" spans="4:6" x14ac:dyDescent="0.2">
      <c r="D6866" s="50"/>
      <c r="E6866" s="73"/>
      <c r="F6866" s="45"/>
    </row>
    <row r="6867" spans="4:6" x14ac:dyDescent="0.2">
      <c r="D6867" s="50"/>
      <c r="E6867" s="73"/>
      <c r="F6867" s="45"/>
    </row>
    <row r="6868" spans="4:6" x14ac:dyDescent="0.2">
      <c r="D6868" s="50"/>
      <c r="E6868" s="73"/>
      <c r="F6868" s="45"/>
    </row>
    <row r="6869" spans="4:6" x14ac:dyDescent="0.2">
      <c r="D6869" s="50"/>
      <c r="E6869" s="73"/>
      <c r="F6869" s="45"/>
    </row>
    <row r="6870" spans="4:6" x14ac:dyDescent="0.2">
      <c r="D6870" s="50"/>
      <c r="E6870" s="73"/>
      <c r="F6870" s="45"/>
    </row>
    <row r="6871" spans="4:6" x14ac:dyDescent="0.2">
      <c r="D6871" s="50"/>
      <c r="E6871" s="73"/>
      <c r="F6871" s="45"/>
    </row>
    <row r="6872" spans="4:6" x14ac:dyDescent="0.2">
      <c r="D6872" s="50"/>
      <c r="E6872" s="73"/>
      <c r="F6872" s="45"/>
    </row>
    <row r="6873" spans="4:6" x14ac:dyDescent="0.2">
      <c r="D6873" s="50"/>
      <c r="E6873" s="73"/>
      <c r="F6873" s="45"/>
    </row>
    <row r="6874" spans="4:6" x14ac:dyDescent="0.2">
      <c r="D6874" s="50"/>
      <c r="E6874" s="73"/>
      <c r="F6874" s="45"/>
    </row>
    <row r="6875" spans="4:6" x14ac:dyDescent="0.2">
      <c r="D6875" s="50"/>
      <c r="E6875" s="73"/>
      <c r="F6875" s="45"/>
    </row>
    <row r="6876" spans="4:6" x14ac:dyDescent="0.2">
      <c r="D6876" s="50"/>
      <c r="E6876" s="73"/>
      <c r="F6876" s="45"/>
    </row>
    <row r="6877" spans="4:6" x14ac:dyDescent="0.2">
      <c r="D6877" s="50"/>
      <c r="E6877" s="73"/>
      <c r="F6877" s="45"/>
    </row>
    <row r="6878" spans="4:6" x14ac:dyDescent="0.2">
      <c r="D6878" s="50"/>
      <c r="E6878" s="73"/>
      <c r="F6878" s="45"/>
    </row>
    <row r="6879" spans="4:6" x14ac:dyDescent="0.2">
      <c r="D6879" s="50"/>
      <c r="E6879" s="73"/>
      <c r="F6879" s="45"/>
    </row>
    <row r="6880" spans="4:6" x14ac:dyDescent="0.2">
      <c r="D6880" s="50"/>
      <c r="E6880" s="73"/>
      <c r="F6880" s="45"/>
    </row>
    <row r="6881" spans="4:6" x14ac:dyDescent="0.2">
      <c r="D6881" s="50"/>
      <c r="E6881" s="73"/>
      <c r="F6881" s="45"/>
    </row>
    <row r="6882" spans="4:6" x14ac:dyDescent="0.2">
      <c r="D6882" s="50"/>
      <c r="E6882" s="73"/>
      <c r="F6882" s="45"/>
    </row>
    <row r="6883" spans="4:6" x14ac:dyDescent="0.2">
      <c r="D6883" s="50"/>
      <c r="E6883" s="73"/>
      <c r="F6883" s="45"/>
    </row>
    <row r="6884" spans="4:6" x14ac:dyDescent="0.2">
      <c r="D6884" s="50"/>
      <c r="E6884" s="73"/>
      <c r="F6884" s="45"/>
    </row>
    <row r="6885" spans="4:6" x14ac:dyDescent="0.2">
      <c r="D6885" s="50"/>
      <c r="E6885" s="73"/>
      <c r="F6885" s="45"/>
    </row>
    <row r="6886" spans="4:6" x14ac:dyDescent="0.2">
      <c r="D6886" s="50"/>
      <c r="E6886" s="73"/>
      <c r="F6886" s="45"/>
    </row>
    <row r="6887" spans="4:6" x14ac:dyDescent="0.2">
      <c r="D6887" s="50"/>
      <c r="E6887" s="73"/>
      <c r="F6887" s="45"/>
    </row>
    <row r="6888" spans="4:6" x14ac:dyDescent="0.2">
      <c r="D6888" s="50"/>
      <c r="E6888" s="73"/>
      <c r="F6888" s="45"/>
    </row>
    <row r="6889" spans="4:6" x14ac:dyDescent="0.2">
      <c r="D6889" s="50"/>
      <c r="E6889" s="73"/>
      <c r="F6889" s="45"/>
    </row>
    <row r="6890" spans="4:6" x14ac:dyDescent="0.2">
      <c r="D6890" s="50"/>
      <c r="E6890" s="73"/>
      <c r="F6890" s="45"/>
    </row>
    <row r="6891" spans="4:6" x14ac:dyDescent="0.2">
      <c r="D6891" s="50"/>
      <c r="E6891" s="73"/>
      <c r="F6891" s="45"/>
    </row>
    <row r="6892" spans="4:6" x14ac:dyDescent="0.2">
      <c r="D6892" s="50"/>
      <c r="E6892" s="73"/>
      <c r="F6892" s="45"/>
    </row>
    <row r="6893" spans="4:6" x14ac:dyDescent="0.2">
      <c r="D6893" s="50"/>
      <c r="E6893" s="73"/>
      <c r="F6893" s="45"/>
    </row>
    <row r="6894" spans="4:6" x14ac:dyDescent="0.2">
      <c r="D6894" s="50"/>
      <c r="E6894" s="73"/>
      <c r="F6894" s="45"/>
    </row>
    <row r="6895" spans="4:6" x14ac:dyDescent="0.2">
      <c r="D6895" s="50"/>
      <c r="E6895" s="73"/>
      <c r="F6895" s="45"/>
    </row>
    <row r="6896" spans="4:6" x14ac:dyDescent="0.2">
      <c r="D6896" s="50"/>
      <c r="E6896" s="73"/>
      <c r="F6896" s="45"/>
    </row>
    <row r="6897" spans="4:6" x14ac:dyDescent="0.2">
      <c r="D6897" s="50"/>
      <c r="E6897" s="73"/>
      <c r="F6897" s="45"/>
    </row>
    <row r="6898" spans="4:6" x14ac:dyDescent="0.2">
      <c r="D6898" s="50"/>
      <c r="E6898" s="73"/>
      <c r="F6898" s="45"/>
    </row>
    <row r="6899" spans="4:6" x14ac:dyDescent="0.2">
      <c r="D6899" s="50"/>
      <c r="E6899" s="73"/>
      <c r="F6899" s="45"/>
    </row>
    <row r="6900" spans="4:6" x14ac:dyDescent="0.2">
      <c r="D6900" s="50"/>
      <c r="E6900" s="73"/>
      <c r="F6900" s="45"/>
    </row>
    <row r="6901" spans="4:6" x14ac:dyDescent="0.2">
      <c r="D6901" s="50"/>
      <c r="E6901" s="73"/>
      <c r="F6901" s="45"/>
    </row>
    <row r="6902" spans="4:6" x14ac:dyDescent="0.2">
      <c r="D6902" s="50"/>
      <c r="E6902" s="73"/>
      <c r="F6902" s="45"/>
    </row>
    <row r="6903" spans="4:6" x14ac:dyDescent="0.2">
      <c r="D6903" s="50"/>
      <c r="E6903" s="73"/>
      <c r="F6903" s="45"/>
    </row>
    <row r="6904" spans="4:6" x14ac:dyDescent="0.2">
      <c r="D6904" s="50"/>
      <c r="E6904" s="73"/>
      <c r="F6904" s="45"/>
    </row>
    <row r="6905" spans="4:6" x14ac:dyDescent="0.2">
      <c r="D6905" s="50"/>
      <c r="E6905" s="73"/>
      <c r="F6905" s="45"/>
    </row>
    <row r="6906" spans="4:6" x14ac:dyDescent="0.2">
      <c r="D6906" s="50"/>
      <c r="E6906" s="73"/>
      <c r="F6906" s="45"/>
    </row>
    <row r="6907" spans="4:6" x14ac:dyDescent="0.2">
      <c r="D6907" s="50"/>
      <c r="E6907" s="73"/>
      <c r="F6907" s="45"/>
    </row>
    <row r="6908" spans="4:6" x14ac:dyDescent="0.2">
      <c r="D6908" s="50"/>
      <c r="E6908" s="73"/>
      <c r="F6908" s="45"/>
    </row>
    <row r="6909" spans="4:6" x14ac:dyDescent="0.2">
      <c r="D6909" s="50"/>
      <c r="E6909" s="73"/>
      <c r="F6909" s="45"/>
    </row>
    <row r="6910" spans="4:6" x14ac:dyDescent="0.2">
      <c r="D6910" s="50"/>
      <c r="E6910" s="73"/>
      <c r="F6910" s="45"/>
    </row>
    <row r="6911" spans="4:6" x14ac:dyDescent="0.2">
      <c r="D6911" s="50"/>
      <c r="E6911" s="73"/>
      <c r="F6911" s="45"/>
    </row>
    <row r="6912" spans="4:6" x14ac:dyDescent="0.2">
      <c r="D6912" s="50"/>
      <c r="E6912" s="73"/>
      <c r="F6912" s="45"/>
    </row>
    <row r="6913" spans="4:6" x14ac:dyDescent="0.2">
      <c r="D6913" s="50"/>
      <c r="E6913" s="73"/>
      <c r="F6913" s="45"/>
    </row>
    <row r="6914" spans="4:6" x14ac:dyDescent="0.2">
      <c r="D6914" s="50"/>
      <c r="E6914" s="73"/>
      <c r="F6914" s="45"/>
    </row>
    <row r="6915" spans="4:6" x14ac:dyDescent="0.2">
      <c r="D6915" s="50"/>
      <c r="E6915" s="73"/>
      <c r="F6915" s="45"/>
    </row>
    <row r="6916" spans="4:6" x14ac:dyDescent="0.2">
      <c r="D6916" s="50"/>
      <c r="E6916" s="73"/>
      <c r="F6916" s="45"/>
    </row>
    <row r="6917" spans="4:6" x14ac:dyDescent="0.2">
      <c r="D6917" s="50"/>
      <c r="E6917" s="73"/>
      <c r="F6917" s="45"/>
    </row>
    <row r="6918" spans="4:6" x14ac:dyDescent="0.2">
      <c r="D6918" s="50"/>
      <c r="E6918" s="73"/>
      <c r="F6918" s="45"/>
    </row>
    <row r="6919" spans="4:6" x14ac:dyDescent="0.2">
      <c r="D6919" s="50"/>
      <c r="E6919" s="73"/>
      <c r="F6919" s="45"/>
    </row>
    <row r="6920" spans="4:6" x14ac:dyDescent="0.2">
      <c r="D6920" s="50"/>
      <c r="E6920" s="73"/>
      <c r="F6920" s="45"/>
    </row>
    <row r="6921" spans="4:6" x14ac:dyDescent="0.2">
      <c r="D6921" s="50"/>
      <c r="E6921" s="73"/>
      <c r="F6921" s="45"/>
    </row>
    <row r="6922" spans="4:6" x14ac:dyDescent="0.2">
      <c r="D6922" s="50"/>
      <c r="E6922" s="73"/>
      <c r="F6922" s="45"/>
    </row>
    <row r="6923" spans="4:6" x14ac:dyDescent="0.2">
      <c r="D6923" s="50"/>
      <c r="E6923" s="73"/>
      <c r="F6923" s="45"/>
    </row>
    <row r="6924" spans="4:6" x14ac:dyDescent="0.2">
      <c r="D6924" s="50"/>
      <c r="E6924" s="73"/>
      <c r="F6924" s="45"/>
    </row>
    <row r="6925" spans="4:6" x14ac:dyDescent="0.2">
      <c r="D6925" s="50"/>
      <c r="E6925" s="73"/>
      <c r="F6925" s="45"/>
    </row>
    <row r="6926" spans="4:6" x14ac:dyDescent="0.2">
      <c r="D6926" s="50"/>
      <c r="E6926" s="73"/>
      <c r="F6926" s="45"/>
    </row>
    <row r="6927" spans="4:6" x14ac:dyDescent="0.2">
      <c r="D6927" s="50"/>
      <c r="E6927" s="73"/>
      <c r="F6927" s="45"/>
    </row>
    <row r="6928" spans="4:6" x14ac:dyDescent="0.2">
      <c r="D6928" s="50"/>
      <c r="E6928" s="73"/>
      <c r="F6928" s="45"/>
    </row>
    <row r="6929" spans="4:6" x14ac:dyDescent="0.2">
      <c r="D6929" s="50"/>
      <c r="E6929" s="73"/>
      <c r="F6929" s="45"/>
    </row>
    <row r="6930" spans="4:6" x14ac:dyDescent="0.2">
      <c r="D6930" s="50"/>
      <c r="E6930" s="73"/>
      <c r="F6930" s="45"/>
    </row>
    <row r="6931" spans="4:6" x14ac:dyDescent="0.2">
      <c r="D6931" s="50"/>
      <c r="E6931" s="73"/>
      <c r="F6931" s="45"/>
    </row>
    <row r="6932" spans="4:6" x14ac:dyDescent="0.2">
      <c r="D6932" s="50"/>
      <c r="E6932" s="73"/>
      <c r="F6932" s="45"/>
    </row>
    <row r="6933" spans="4:6" x14ac:dyDescent="0.2">
      <c r="D6933" s="50"/>
      <c r="E6933" s="73"/>
      <c r="F6933" s="45"/>
    </row>
    <row r="6934" spans="4:6" x14ac:dyDescent="0.2">
      <c r="D6934" s="50"/>
      <c r="E6934" s="73"/>
      <c r="F6934" s="45"/>
    </row>
    <row r="6935" spans="4:6" x14ac:dyDescent="0.2">
      <c r="D6935" s="50"/>
      <c r="E6935" s="73"/>
      <c r="F6935" s="45"/>
    </row>
    <row r="6936" spans="4:6" x14ac:dyDescent="0.2">
      <c r="D6936" s="50"/>
      <c r="E6936" s="73"/>
      <c r="F6936" s="45"/>
    </row>
    <row r="6937" spans="4:6" x14ac:dyDescent="0.2">
      <c r="D6937" s="50"/>
      <c r="E6937" s="73"/>
      <c r="F6937" s="45"/>
    </row>
    <row r="6938" spans="4:6" x14ac:dyDescent="0.2">
      <c r="D6938" s="50"/>
      <c r="E6938" s="73"/>
      <c r="F6938" s="45"/>
    </row>
    <row r="6939" spans="4:6" x14ac:dyDescent="0.2">
      <c r="D6939" s="50"/>
      <c r="E6939" s="73"/>
      <c r="F6939" s="45"/>
    </row>
    <row r="6940" spans="4:6" x14ac:dyDescent="0.2">
      <c r="D6940" s="50"/>
      <c r="E6940" s="73"/>
      <c r="F6940" s="45"/>
    </row>
    <row r="6941" spans="4:6" x14ac:dyDescent="0.2">
      <c r="D6941" s="50"/>
      <c r="E6941" s="73"/>
      <c r="F6941" s="45"/>
    </row>
    <row r="6942" spans="4:6" x14ac:dyDescent="0.2">
      <c r="D6942" s="50"/>
      <c r="E6942" s="73"/>
      <c r="F6942" s="45"/>
    </row>
    <row r="6943" spans="4:6" x14ac:dyDescent="0.2">
      <c r="D6943" s="50"/>
      <c r="E6943" s="73"/>
      <c r="F6943" s="45"/>
    </row>
    <row r="6944" spans="4:6" x14ac:dyDescent="0.2">
      <c r="D6944" s="50"/>
      <c r="E6944" s="73"/>
      <c r="F6944" s="45"/>
    </row>
    <row r="6945" spans="4:6" x14ac:dyDescent="0.2">
      <c r="D6945" s="50"/>
      <c r="E6945" s="73"/>
      <c r="F6945" s="45"/>
    </row>
    <row r="6946" spans="4:6" x14ac:dyDescent="0.2">
      <c r="D6946" s="50"/>
      <c r="E6946" s="73"/>
      <c r="F6946" s="45"/>
    </row>
    <row r="6947" spans="4:6" x14ac:dyDescent="0.2">
      <c r="D6947" s="50"/>
      <c r="E6947" s="73"/>
      <c r="F6947" s="45"/>
    </row>
    <row r="6948" spans="4:6" x14ac:dyDescent="0.2">
      <c r="D6948" s="50"/>
      <c r="E6948" s="73"/>
      <c r="F6948" s="45"/>
    </row>
    <row r="6949" spans="4:6" x14ac:dyDescent="0.2">
      <c r="D6949" s="50"/>
      <c r="E6949" s="73"/>
      <c r="F6949" s="45"/>
    </row>
    <row r="6950" spans="4:6" x14ac:dyDescent="0.2">
      <c r="D6950" s="50"/>
      <c r="E6950" s="73"/>
      <c r="F6950" s="45"/>
    </row>
    <row r="6951" spans="4:6" x14ac:dyDescent="0.2">
      <c r="D6951" s="50"/>
      <c r="E6951" s="73"/>
      <c r="F6951" s="45"/>
    </row>
    <row r="6952" spans="4:6" x14ac:dyDescent="0.2">
      <c r="D6952" s="50"/>
      <c r="E6952" s="73"/>
      <c r="F6952" s="45"/>
    </row>
    <row r="6953" spans="4:6" x14ac:dyDescent="0.2">
      <c r="D6953" s="50"/>
      <c r="E6953" s="73"/>
      <c r="F6953" s="45"/>
    </row>
    <row r="6954" spans="4:6" x14ac:dyDescent="0.2">
      <c r="D6954" s="50"/>
      <c r="E6954" s="73"/>
      <c r="F6954" s="45"/>
    </row>
    <row r="6955" spans="4:6" x14ac:dyDescent="0.2">
      <c r="D6955" s="50"/>
      <c r="E6955" s="73"/>
      <c r="F6955" s="45"/>
    </row>
    <row r="6956" spans="4:6" x14ac:dyDescent="0.2">
      <c r="D6956" s="50"/>
      <c r="E6956" s="73"/>
      <c r="F6956" s="45"/>
    </row>
    <row r="6957" spans="4:6" x14ac:dyDescent="0.2">
      <c r="D6957" s="50"/>
      <c r="E6957" s="73"/>
      <c r="F6957" s="45"/>
    </row>
    <row r="6958" spans="4:6" x14ac:dyDescent="0.2">
      <c r="D6958" s="50"/>
      <c r="E6958" s="73"/>
      <c r="F6958" s="45"/>
    </row>
    <row r="6959" spans="4:6" x14ac:dyDescent="0.2">
      <c r="D6959" s="50"/>
      <c r="E6959" s="73"/>
      <c r="F6959" s="45"/>
    </row>
    <row r="6960" spans="4:6" x14ac:dyDescent="0.2">
      <c r="D6960" s="50"/>
      <c r="E6960" s="73"/>
      <c r="F6960" s="45"/>
    </row>
    <row r="6961" spans="4:6" x14ac:dyDescent="0.2">
      <c r="D6961" s="50"/>
      <c r="E6961" s="73"/>
      <c r="F6961" s="45"/>
    </row>
    <row r="6962" spans="4:6" x14ac:dyDescent="0.2">
      <c r="D6962" s="50"/>
      <c r="E6962" s="73"/>
      <c r="F6962" s="45"/>
    </row>
    <row r="6963" spans="4:6" x14ac:dyDescent="0.2">
      <c r="D6963" s="50"/>
      <c r="E6963" s="73"/>
      <c r="F6963" s="45"/>
    </row>
    <row r="6964" spans="4:6" x14ac:dyDescent="0.2">
      <c r="D6964" s="50"/>
      <c r="E6964" s="73"/>
      <c r="F6964" s="45"/>
    </row>
    <row r="6965" spans="4:6" x14ac:dyDescent="0.2">
      <c r="D6965" s="50"/>
      <c r="E6965" s="73"/>
      <c r="F6965" s="45"/>
    </row>
    <row r="6966" spans="4:6" x14ac:dyDescent="0.2">
      <c r="D6966" s="50"/>
      <c r="E6966" s="73"/>
      <c r="F6966" s="45"/>
    </row>
    <row r="6967" spans="4:6" x14ac:dyDescent="0.2">
      <c r="D6967" s="50"/>
      <c r="E6967" s="73"/>
      <c r="F6967" s="45"/>
    </row>
    <row r="6968" spans="4:6" x14ac:dyDescent="0.2">
      <c r="D6968" s="50"/>
      <c r="E6968" s="73"/>
      <c r="F6968" s="45"/>
    </row>
    <row r="6969" spans="4:6" x14ac:dyDescent="0.2">
      <c r="D6969" s="50"/>
      <c r="E6969" s="73"/>
      <c r="F6969" s="45"/>
    </row>
    <row r="6970" spans="4:6" x14ac:dyDescent="0.2">
      <c r="D6970" s="50"/>
      <c r="E6970" s="73"/>
      <c r="F6970" s="45"/>
    </row>
    <row r="6971" spans="4:6" x14ac:dyDescent="0.2">
      <c r="D6971" s="50"/>
      <c r="E6971" s="73"/>
      <c r="F6971" s="45"/>
    </row>
    <row r="6972" spans="4:6" x14ac:dyDescent="0.2">
      <c r="D6972" s="50"/>
      <c r="E6972" s="73"/>
      <c r="F6972" s="45"/>
    </row>
    <row r="6973" spans="4:6" x14ac:dyDescent="0.2">
      <c r="D6973" s="50"/>
      <c r="E6973" s="73"/>
      <c r="F6973" s="45"/>
    </row>
    <row r="6974" spans="4:6" x14ac:dyDescent="0.2">
      <c r="D6974" s="50"/>
      <c r="E6974" s="73"/>
      <c r="F6974" s="45"/>
    </row>
    <row r="6975" spans="4:6" x14ac:dyDescent="0.2">
      <c r="D6975" s="50"/>
      <c r="E6975" s="73"/>
      <c r="F6975" s="45"/>
    </row>
    <row r="6976" spans="4:6" x14ac:dyDescent="0.2">
      <c r="D6976" s="50"/>
      <c r="E6976" s="73"/>
      <c r="F6976" s="45"/>
    </row>
    <row r="6977" spans="4:6" x14ac:dyDescent="0.2">
      <c r="D6977" s="50"/>
      <c r="E6977" s="73"/>
      <c r="F6977" s="45"/>
    </row>
    <row r="6978" spans="4:6" x14ac:dyDescent="0.2">
      <c r="D6978" s="50"/>
      <c r="E6978" s="73"/>
      <c r="F6978" s="45"/>
    </row>
    <row r="6979" spans="4:6" x14ac:dyDescent="0.2">
      <c r="D6979" s="50"/>
      <c r="E6979" s="73"/>
      <c r="F6979" s="45"/>
    </row>
    <row r="6980" spans="4:6" x14ac:dyDescent="0.2">
      <c r="D6980" s="50"/>
      <c r="E6980" s="73"/>
      <c r="F6980" s="45"/>
    </row>
    <row r="6981" spans="4:6" x14ac:dyDescent="0.2">
      <c r="D6981" s="50"/>
      <c r="E6981" s="73"/>
      <c r="F6981" s="45"/>
    </row>
    <row r="6982" spans="4:6" x14ac:dyDescent="0.2">
      <c r="D6982" s="50"/>
      <c r="E6982" s="73"/>
      <c r="F6982" s="45"/>
    </row>
    <row r="6983" spans="4:6" x14ac:dyDescent="0.2">
      <c r="D6983" s="50"/>
      <c r="E6983" s="73"/>
      <c r="F6983" s="45"/>
    </row>
    <row r="6984" spans="4:6" x14ac:dyDescent="0.2">
      <c r="D6984" s="50"/>
      <c r="E6984" s="73"/>
      <c r="F6984" s="45"/>
    </row>
    <row r="6985" spans="4:6" x14ac:dyDescent="0.2">
      <c r="D6985" s="50"/>
      <c r="E6985" s="73"/>
      <c r="F6985" s="45"/>
    </row>
    <row r="6986" spans="4:6" x14ac:dyDescent="0.2">
      <c r="D6986" s="50"/>
      <c r="E6986" s="73"/>
      <c r="F6986" s="45"/>
    </row>
    <row r="6987" spans="4:6" x14ac:dyDescent="0.2">
      <c r="D6987" s="50"/>
      <c r="E6987" s="73"/>
      <c r="F6987" s="45"/>
    </row>
    <row r="6988" spans="4:6" x14ac:dyDescent="0.2">
      <c r="D6988" s="50"/>
      <c r="E6988" s="73"/>
      <c r="F6988" s="45"/>
    </row>
    <row r="6989" spans="4:6" x14ac:dyDescent="0.2">
      <c r="D6989" s="50"/>
      <c r="E6989" s="73"/>
      <c r="F6989" s="45"/>
    </row>
    <row r="6990" spans="4:6" x14ac:dyDescent="0.2">
      <c r="D6990" s="50"/>
      <c r="E6990" s="73"/>
      <c r="F6990" s="45"/>
    </row>
    <row r="6991" spans="4:6" x14ac:dyDescent="0.2">
      <c r="D6991" s="50"/>
      <c r="E6991" s="73"/>
      <c r="F6991" s="45"/>
    </row>
    <row r="6992" spans="4:6" x14ac:dyDescent="0.2">
      <c r="D6992" s="50"/>
      <c r="E6992" s="73"/>
      <c r="F6992" s="45"/>
    </row>
    <row r="6993" spans="4:6" x14ac:dyDescent="0.2">
      <c r="D6993" s="50"/>
      <c r="E6993" s="73"/>
      <c r="F6993" s="45"/>
    </row>
    <row r="6994" spans="4:6" x14ac:dyDescent="0.2">
      <c r="D6994" s="50"/>
      <c r="E6994" s="73"/>
      <c r="F6994" s="45"/>
    </row>
    <row r="6995" spans="4:6" x14ac:dyDescent="0.2">
      <c r="D6995" s="50"/>
      <c r="E6995" s="73"/>
      <c r="F6995" s="45"/>
    </row>
    <row r="6996" spans="4:6" x14ac:dyDescent="0.2">
      <c r="D6996" s="50"/>
      <c r="E6996" s="73"/>
      <c r="F6996" s="45"/>
    </row>
    <row r="6997" spans="4:6" x14ac:dyDescent="0.2">
      <c r="D6997" s="50"/>
      <c r="E6997" s="73"/>
      <c r="F6997" s="45"/>
    </row>
    <row r="6998" spans="4:6" x14ac:dyDescent="0.2">
      <c r="D6998" s="50"/>
      <c r="E6998" s="73"/>
      <c r="F6998" s="45"/>
    </row>
    <row r="6999" spans="4:6" x14ac:dyDescent="0.2">
      <c r="D6999" s="50"/>
      <c r="E6999" s="73"/>
      <c r="F6999" s="45"/>
    </row>
    <row r="7000" spans="4:6" x14ac:dyDescent="0.2">
      <c r="D7000" s="50"/>
      <c r="E7000" s="73"/>
      <c r="F7000" s="45"/>
    </row>
    <row r="7001" spans="4:6" x14ac:dyDescent="0.2">
      <c r="D7001" s="50"/>
      <c r="E7001" s="73"/>
      <c r="F7001" s="45"/>
    </row>
    <row r="7002" spans="4:6" x14ac:dyDescent="0.2">
      <c r="D7002" s="50"/>
      <c r="E7002" s="73"/>
      <c r="F7002" s="45"/>
    </row>
    <row r="7003" spans="4:6" x14ac:dyDescent="0.2">
      <c r="D7003" s="50"/>
      <c r="E7003" s="73"/>
      <c r="F7003" s="45"/>
    </row>
    <row r="7004" spans="4:6" x14ac:dyDescent="0.2">
      <c r="D7004" s="50"/>
      <c r="E7004" s="73"/>
      <c r="F7004" s="45"/>
    </row>
    <row r="7005" spans="4:6" x14ac:dyDescent="0.2">
      <c r="D7005" s="50"/>
      <c r="E7005" s="73"/>
      <c r="F7005" s="45"/>
    </row>
    <row r="7006" spans="4:6" x14ac:dyDescent="0.2">
      <c r="D7006" s="50"/>
      <c r="E7006" s="73"/>
      <c r="F7006" s="45"/>
    </row>
    <row r="7007" spans="4:6" x14ac:dyDescent="0.2">
      <c r="D7007" s="50"/>
      <c r="E7007" s="73"/>
      <c r="F7007" s="45"/>
    </row>
    <row r="7008" spans="4:6" x14ac:dyDescent="0.2">
      <c r="D7008" s="50"/>
      <c r="E7008" s="73"/>
      <c r="F7008" s="45"/>
    </row>
    <row r="7009" spans="4:6" x14ac:dyDescent="0.2">
      <c r="D7009" s="50"/>
      <c r="E7009" s="73"/>
      <c r="F7009" s="45"/>
    </row>
    <row r="7010" spans="4:6" x14ac:dyDescent="0.2">
      <c r="D7010" s="50"/>
      <c r="E7010" s="73"/>
      <c r="F7010" s="45"/>
    </row>
    <row r="7011" spans="4:6" x14ac:dyDescent="0.2">
      <c r="D7011" s="50"/>
      <c r="E7011" s="73"/>
      <c r="F7011" s="45"/>
    </row>
    <row r="7012" spans="4:6" x14ac:dyDescent="0.2">
      <c r="D7012" s="50"/>
      <c r="E7012" s="73"/>
      <c r="F7012" s="45"/>
    </row>
    <row r="7013" spans="4:6" x14ac:dyDescent="0.2">
      <c r="D7013" s="50"/>
      <c r="E7013" s="73"/>
      <c r="F7013" s="45"/>
    </row>
    <row r="7014" spans="4:6" x14ac:dyDescent="0.2">
      <c r="D7014" s="50"/>
      <c r="E7014" s="73"/>
      <c r="F7014" s="45"/>
    </row>
    <row r="7015" spans="4:6" x14ac:dyDescent="0.2">
      <c r="D7015" s="50"/>
      <c r="E7015" s="73"/>
      <c r="F7015" s="45"/>
    </row>
    <row r="7016" spans="4:6" x14ac:dyDescent="0.2">
      <c r="D7016" s="50"/>
      <c r="E7016" s="73"/>
      <c r="F7016" s="45"/>
    </row>
    <row r="7017" spans="4:6" x14ac:dyDescent="0.2">
      <c r="D7017" s="50"/>
      <c r="E7017" s="73"/>
      <c r="F7017" s="45"/>
    </row>
    <row r="7018" spans="4:6" x14ac:dyDescent="0.2">
      <c r="D7018" s="50"/>
      <c r="E7018" s="73"/>
      <c r="F7018" s="45"/>
    </row>
    <row r="7019" spans="4:6" x14ac:dyDescent="0.2">
      <c r="D7019" s="50"/>
      <c r="E7019" s="73"/>
      <c r="F7019" s="45"/>
    </row>
    <row r="7020" spans="4:6" x14ac:dyDescent="0.2">
      <c r="D7020" s="50"/>
      <c r="E7020" s="73"/>
      <c r="F7020" s="45"/>
    </row>
    <row r="7021" spans="4:6" x14ac:dyDescent="0.2">
      <c r="D7021" s="50"/>
      <c r="E7021" s="73"/>
      <c r="F7021" s="45"/>
    </row>
    <row r="7022" spans="4:6" x14ac:dyDescent="0.2">
      <c r="D7022" s="50"/>
      <c r="E7022" s="73"/>
      <c r="F7022" s="45"/>
    </row>
    <row r="7023" spans="4:6" x14ac:dyDescent="0.2">
      <c r="D7023" s="50"/>
      <c r="E7023" s="73"/>
      <c r="F7023" s="45"/>
    </row>
    <row r="7024" spans="4:6" x14ac:dyDescent="0.2">
      <c r="D7024" s="50"/>
      <c r="E7024" s="73"/>
      <c r="F7024" s="45"/>
    </row>
    <row r="7025" spans="4:6" x14ac:dyDescent="0.2">
      <c r="D7025" s="50"/>
      <c r="E7025" s="73"/>
      <c r="F7025" s="45"/>
    </row>
    <row r="7026" spans="4:6" x14ac:dyDescent="0.2">
      <c r="D7026" s="50"/>
      <c r="E7026" s="73"/>
      <c r="F7026" s="45"/>
    </row>
    <row r="7027" spans="4:6" x14ac:dyDescent="0.2">
      <c r="D7027" s="50"/>
      <c r="E7027" s="73"/>
      <c r="F7027" s="45"/>
    </row>
    <row r="7028" spans="4:6" x14ac:dyDescent="0.2">
      <c r="D7028" s="50"/>
      <c r="E7028" s="73"/>
      <c r="F7028" s="45"/>
    </row>
    <row r="7029" spans="4:6" x14ac:dyDescent="0.2">
      <c r="D7029" s="50"/>
      <c r="E7029" s="73"/>
      <c r="F7029" s="45"/>
    </row>
    <row r="7030" spans="4:6" x14ac:dyDescent="0.2">
      <c r="D7030" s="50"/>
      <c r="E7030" s="73"/>
      <c r="F7030" s="45"/>
    </row>
    <row r="7031" spans="4:6" x14ac:dyDescent="0.2">
      <c r="D7031" s="50"/>
      <c r="E7031" s="73"/>
      <c r="F7031" s="45"/>
    </row>
    <row r="7032" spans="4:6" x14ac:dyDescent="0.2">
      <c r="D7032" s="50"/>
      <c r="E7032" s="73"/>
      <c r="F7032" s="45"/>
    </row>
    <row r="7033" spans="4:6" x14ac:dyDescent="0.2">
      <c r="D7033" s="50"/>
      <c r="E7033" s="73"/>
      <c r="F7033" s="45"/>
    </row>
    <row r="7034" spans="4:6" x14ac:dyDescent="0.2">
      <c r="D7034" s="50"/>
      <c r="E7034" s="73"/>
      <c r="F7034" s="45"/>
    </row>
    <row r="7035" spans="4:6" x14ac:dyDescent="0.2">
      <c r="D7035" s="50"/>
      <c r="E7035" s="73"/>
      <c r="F7035" s="45"/>
    </row>
    <row r="7036" spans="4:6" x14ac:dyDescent="0.2">
      <c r="D7036" s="50"/>
      <c r="E7036" s="73"/>
      <c r="F7036" s="45"/>
    </row>
    <row r="7037" spans="4:6" x14ac:dyDescent="0.2">
      <c r="D7037" s="50"/>
      <c r="E7037" s="73"/>
      <c r="F7037" s="45"/>
    </row>
    <row r="7038" spans="4:6" x14ac:dyDescent="0.2">
      <c r="D7038" s="50"/>
      <c r="E7038" s="73"/>
      <c r="F7038" s="45"/>
    </row>
    <row r="7039" spans="4:6" x14ac:dyDescent="0.2">
      <c r="D7039" s="50"/>
      <c r="E7039" s="73"/>
      <c r="F7039" s="45"/>
    </row>
    <row r="7040" spans="4:6" x14ac:dyDescent="0.2">
      <c r="D7040" s="50"/>
      <c r="E7040" s="73"/>
      <c r="F7040" s="45"/>
    </row>
    <row r="7041" spans="4:6" x14ac:dyDescent="0.2">
      <c r="D7041" s="50"/>
      <c r="E7041" s="73"/>
      <c r="F7041" s="45"/>
    </row>
    <row r="7042" spans="4:6" x14ac:dyDescent="0.2">
      <c r="D7042" s="50"/>
      <c r="E7042" s="73"/>
      <c r="F7042" s="45"/>
    </row>
    <row r="7043" spans="4:6" x14ac:dyDescent="0.2">
      <c r="D7043" s="50"/>
      <c r="E7043" s="73"/>
      <c r="F7043" s="45"/>
    </row>
    <row r="7044" spans="4:6" x14ac:dyDescent="0.2">
      <c r="D7044" s="50"/>
      <c r="E7044" s="73"/>
      <c r="F7044" s="45"/>
    </row>
    <row r="7045" spans="4:6" x14ac:dyDescent="0.2">
      <c r="D7045" s="50"/>
      <c r="E7045" s="73"/>
      <c r="F7045" s="45"/>
    </row>
    <row r="7046" spans="4:6" x14ac:dyDescent="0.2">
      <c r="D7046" s="50"/>
      <c r="E7046" s="73"/>
      <c r="F7046" s="45"/>
    </row>
    <row r="7047" spans="4:6" x14ac:dyDescent="0.2">
      <c r="D7047" s="50"/>
      <c r="E7047" s="73"/>
      <c r="F7047" s="45"/>
    </row>
    <row r="7048" spans="4:6" x14ac:dyDescent="0.2">
      <c r="D7048" s="50"/>
      <c r="E7048" s="73"/>
      <c r="F7048" s="45"/>
    </row>
    <row r="7049" spans="4:6" x14ac:dyDescent="0.2">
      <c r="D7049" s="50"/>
      <c r="E7049" s="73"/>
      <c r="F7049" s="45"/>
    </row>
    <row r="7050" spans="4:6" x14ac:dyDescent="0.2">
      <c r="D7050" s="50"/>
      <c r="E7050" s="73"/>
      <c r="F7050" s="45"/>
    </row>
    <row r="7051" spans="4:6" x14ac:dyDescent="0.2">
      <c r="D7051" s="50"/>
      <c r="E7051" s="73"/>
      <c r="F7051" s="45"/>
    </row>
    <row r="7052" spans="4:6" x14ac:dyDescent="0.2">
      <c r="D7052" s="50"/>
      <c r="E7052" s="73"/>
      <c r="F7052" s="45"/>
    </row>
    <row r="7053" spans="4:6" x14ac:dyDescent="0.2">
      <c r="D7053" s="50"/>
      <c r="E7053" s="73"/>
      <c r="F7053" s="45"/>
    </row>
    <row r="7054" spans="4:6" x14ac:dyDescent="0.2">
      <c r="D7054" s="50"/>
      <c r="E7054" s="73"/>
      <c r="F7054" s="45"/>
    </row>
    <row r="7055" spans="4:6" x14ac:dyDescent="0.2">
      <c r="D7055" s="50"/>
      <c r="E7055" s="73"/>
      <c r="F7055" s="45"/>
    </row>
    <row r="7056" spans="4:6" x14ac:dyDescent="0.2">
      <c r="D7056" s="50"/>
      <c r="E7056" s="73"/>
      <c r="F7056" s="45"/>
    </row>
    <row r="7057" spans="4:6" x14ac:dyDescent="0.2">
      <c r="D7057" s="50"/>
      <c r="E7057" s="73"/>
      <c r="F7057" s="45"/>
    </row>
    <row r="7058" spans="4:6" x14ac:dyDescent="0.2">
      <c r="D7058" s="50"/>
      <c r="E7058" s="73"/>
      <c r="F7058" s="45"/>
    </row>
    <row r="7059" spans="4:6" x14ac:dyDescent="0.2">
      <c r="D7059" s="50"/>
      <c r="E7059" s="73"/>
      <c r="F7059" s="45"/>
    </row>
    <row r="7060" spans="4:6" x14ac:dyDescent="0.2">
      <c r="D7060" s="50"/>
      <c r="E7060" s="73"/>
      <c r="F7060" s="45"/>
    </row>
    <row r="7061" spans="4:6" x14ac:dyDescent="0.2">
      <c r="D7061" s="50"/>
      <c r="E7061" s="73"/>
      <c r="F7061" s="45"/>
    </row>
    <row r="7062" spans="4:6" x14ac:dyDescent="0.2">
      <c r="D7062" s="50"/>
      <c r="E7062" s="73"/>
      <c r="F7062" s="45"/>
    </row>
    <row r="7063" spans="4:6" x14ac:dyDescent="0.2">
      <c r="D7063" s="50"/>
      <c r="E7063" s="73"/>
      <c r="F7063" s="45"/>
    </row>
    <row r="7064" spans="4:6" x14ac:dyDescent="0.2">
      <c r="D7064" s="50"/>
      <c r="E7064" s="73"/>
      <c r="F7064" s="45"/>
    </row>
    <row r="7065" spans="4:6" x14ac:dyDescent="0.2">
      <c r="D7065" s="50"/>
      <c r="E7065" s="73"/>
      <c r="F7065" s="45"/>
    </row>
    <row r="7066" spans="4:6" x14ac:dyDescent="0.2">
      <c r="D7066" s="50"/>
      <c r="E7066" s="73"/>
      <c r="F7066" s="45"/>
    </row>
    <row r="7067" spans="4:6" x14ac:dyDescent="0.2">
      <c r="D7067" s="50"/>
      <c r="E7067" s="73"/>
      <c r="F7067" s="45"/>
    </row>
    <row r="7068" spans="4:6" x14ac:dyDescent="0.2">
      <c r="D7068" s="50"/>
      <c r="E7068" s="73"/>
      <c r="F7068" s="45"/>
    </row>
    <row r="7069" spans="4:6" x14ac:dyDescent="0.2">
      <c r="D7069" s="50"/>
      <c r="E7069" s="73"/>
      <c r="F7069" s="45"/>
    </row>
    <row r="7070" spans="4:6" x14ac:dyDescent="0.2">
      <c r="D7070" s="50"/>
      <c r="E7070" s="73"/>
      <c r="F7070" s="45"/>
    </row>
    <row r="7071" spans="4:6" x14ac:dyDescent="0.2">
      <c r="D7071" s="50"/>
      <c r="E7071" s="73"/>
      <c r="F7071" s="45"/>
    </row>
    <row r="7072" spans="4:6" x14ac:dyDescent="0.2">
      <c r="D7072" s="50"/>
      <c r="E7072" s="73"/>
      <c r="F7072" s="45"/>
    </row>
    <row r="7073" spans="4:6" x14ac:dyDescent="0.2">
      <c r="D7073" s="50"/>
      <c r="E7073" s="73"/>
      <c r="F7073" s="45"/>
    </row>
    <row r="7074" spans="4:6" x14ac:dyDescent="0.2">
      <c r="D7074" s="50"/>
      <c r="E7074" s="73"/>
      <c r="F7074" s="45"/>
    </row>
    <row r="7075" spans="4:6" x14ac:dyDescent="0.2">
      <c r="D7075" s="50"/>
      <c r="E7075" s="73"/>
      <c r="F7075" s="45"/>
    </row>
    <row r="7076" spans="4:6" x14ac:dyDescent="0.2">
      <c r="D7076" s="50"/>
      <c r="E7076" s="73"/>
      <c r="F7076" s="45"/>
    </row>
    <row r="7077" spans="4:6" x14ac:dyDescent="0.2">
      <c r="D7077" s="50"/>
      <c r="E7077" s="73"/>
      <c r="F7077" s="45"/>
    </row>
    <row r="7078" spans="4:6" x14ac:dyDescent="0.2">
      <c r="D7078" s="50"/>
      <c r="E7078" s="73"/>
      <c r="F7078" s="45"/>
    </row>
    <row r="7079" spans="4:6" x14ac:dyDescent="0.2">
      <c r="D7079" s="50"/>
      <c r="E7079" s="73"/>
      <c r="F7079" s="45"/>
    </row>
    <row r="7080" spans="4:6" x14ac:dyDescent="0.2">
      <c r="D7080" s="50"/>
      <c r="E7080" s="73"/>
      <c r="F7080" s="45"/>
    </row>
    <row r="7081" spans="4:6" x14ac:dyDescent="0.2">
      <c r="D7081" s="50"/>
      <c r="E7081" s="73"/>
      <c r="F7081" s="45"/>
    </row>
    <row r="7082" spans="4:6" x14ac:dyDescent="0.2">
      <c r="D7082" s="50"/>
      <c r="E7082" s="73"/>
      <c r="F7082" s="45"/>
    </row>
    <row r="7083" spans="4:6" x14ac:dyDescent="0.2">
      <c r="D7083" s="50"/>
      <c r="E7083" s="73"/>
      <c r="F7083" s="45"/>
    </row>
    <row r="7084" spans="4:6" x14ac:dyDescent="0.2">
      <c r="D7084" s="50"/>
      <c r="E7084" s="73"/>
      <c r="F7084" s="45"/>
    </row>
    <row r="7085" spans="4:6" x14ac:dyDescent="0.2">
      <c r="D7085" s="50"/>
      <c r="E7085" s="73"/>
      <c r="F7085" s="45"/>
    </row>
    <row r="7086" spans="4:6" x14ac:dyDescent="0.2">
      <c r="D7086" s="50"/>
      <c r="E7086" s="73"/>
      <c r="F7086" s="45"/>
    </row>
    <row r="7087" spans="4:6" x14ac:dyDescent="0.2">
      <c r="D7087" s="50"/>
      <c r="E7087" s="73"/>
      <c r="F7087" s="45"/>
    </row>
    <row r="7088" spans="4:6" x14ac:dyDescent="0.2">
      <c r="D7088" s="50"/>
      <c r="E7088" s="73"/>
      <c r="F7088" s="45"/>
    </row>
    <row r="7089" spans="4:6" x14ac:dyDescent="0.2">
      <c r="D7089" s="50"/>
      <c r="E7089" s="73"/>
      <c r="F7089" s="45"/>
    </row>
    <row r="7090" spans="4:6" x14ac:dyDescent="0.2">
      <c r="D7090" s="50"/>
      <c r="E7090" s="73"/>
      <c r="F7090" s="45"/>
    </row>
    <row r="7091" spans="4:6" x14ac:dyDescent="0.2">
      <c r="D7091" s="50"/>
      <c r="E7091" s="73"/>
      <c r="F7091" s="45"/>
    </row>
    <row r="7092" spans="4:6" x14ac:dyDescent="0.2">
      <c r="D7092" s="50"/>
      <c r="E7092" s="73"/>
      <c r="F7092" s="45"/>
    </row>
    <row r="7093" spans="4:6" x14ac:dyDescent="0.2">
      <c r="D7093" s="50"/>
      <c r="E7093" s="73"/>
      <c r="F7093" s="45"/>
    </row>
    <row r="7094" spans="4:6" x14ac:dyDescent="0.2">
      <c r="D7094" s="50"/>
      <c r="E7094" s="73"/>
      <c r="F7094" s="45"/>
    </row>
    <row r="7095" spans="4:6" x14ac:dyDescent="0.2">
      <c r="D7095" s="50"/>
      <c r="E7095" s="73"/>
      <c r="F7095" s="45"/>
    </row>
    <row r="7096" spans="4:6" x14ac:dyDescent="0.2">
      <c r="D7096" s="50"/>
      <c r="E7096" s="73"/>
      <c r="F7096" s="45"/>
    </row>
    <row r="7097" spans="4:6" x14ac:dyDescent="0.2">
      <c r="D7097" s="50"/>
      <c r="E7097" s="73"/>
      <c r="F7097" s="45"/>
    </row>
    <row r="7098" spans="4:6" x14ac:dyDescent="0.2">
      <c r="D7098" s="50"/>
      <c r="E7098" s="73"/>
      <c r="F7098" s="45"/>
    </row>
    <row r="7099" spans="4:6" x14ac:dyDescent="0.2">
      <c r="D7099" s="50"/>
      <c r="E7099" s="73"/>
      <c r="F7099" s="45"/>
    </row>
    <row r="7100" spans="4:6" x14ac:dyDescent="0.2">
      <c r="D7100" s="50"/>
      <c r="E7100" s="73"/>
      <c r="F7100" s="45"/>
    </row>
    <row r="7101" spans="4:6" x14ac:dyDescent="0.2">
      <c r="D7101" s="50"/>
      <c r="E7101" s="73"/>
      <c r="F7101" s="45"/>
    </row>
    <row r="7102" spans="4:6" x14ac:dyDescent="0.2">
      <c r="D7102" s="50"/>
      <c r="E7102" s="73"/>
      <c r="F7102" s="45"/>
    </row>
    <row r="7103" spans="4:6" x14ac:dyDescent="0.2">
      <c r="D7103" s="50"/>
      <c r="E7103" s="73"/>
      <c r="F7103" s="45"/>
    </row>
    <row r="7104" spans="4:6" x14ac:dyDescent="0.2">
      <c r="D7104" s="50"/>
      <c r="E7104" s="73"/>
      <c r="F7104" s="45"/>
    </row>
    <row r="7105" spans="4:6" x14ac:dyDescent="0.2">
      <c r="D7105" s="50"/>
      <c r="E7105" s="73"/>
      <c r="F7105" s="45"/>
    </row>
    <row r="7106" spans="4:6" x14ac:dyDescent="0.2">
      <c r="D7106" s="50"/>
      <c r="E7106" s="73"/>
      <c r="F7106" s="45"/>
    </row>
    <row r="7107" spans="4:6" x14ac:dyDescent="0.2">
      <c r="D7107" s="50"/>
      <c r="E7107" s="73"/>
      <c r="F7107" s="45"/>
    </row>
    <row r="7108" spans="4:6" x14ac:dyDescent="0.2">
      <c r="D7108" s="50"/>
      <c r="E7108" s="73"/>
      <c r="F7108" s="45"/>
    </row>
    <row r="7109" spans="4:6" x14ac:dyDescent="0.2">
      <c r="D7109" s="50"/>
      <c r="E7109" s="73"/>
      <c r="F7109" s="45"/>
    </row>
    <row r="7110" spans="4:6" x14ac:dyDescent="0.2">
      <c r="D7110" s="50"/>
      <c r="E7110" s="73"/>
      <c r="F7110" s="45"/>
    </row>
    <row r="7111" spans="4:6" x14ac:dyDescent="0.2">
      <c r="D7111" s="50"/>
      <c r="E7111" s="73"/>
      <c r="F7111" s="45"/>
    </row>
    <row r="7112" spans="4:6" x14ac:dyDescent="0.2">
      <c r="D7112" s="50"/>
      <c r="E7112" s="73"/>
      <c r="F7112" s="45"/>
    </row>
    <row r="7113" spans="4:6" x14ac:dyDescent="0.2">
      <c r="D7113" s="50"/>
      <c r="E7113" s="73"/>
      <c r="F7113" s="45"/>
    </row>
    <row r="7114" spans="4:6" x14ac:dyDescent="0.2">
      <c r="D7114" s="50"/>
      <c r="E7114" s="73"/>
      <c r="F7114" s="45"/>
    </row>
    <row r="7115" spans="4:6" x14ac:dyDescent="0.2">
      <c r="D7115" s="50"/>
      <c r="E7115" s="73"/>
      <c r="F7115" s="45"/>
    </row>
    <row r="7116" spans="4:6" x14ac:dyDescent="0.2">
      <c r="D7116" s="50"/>
      <c r="E7116" s="73"/>
      <c r="F7116" s="45"/>
    </row>
    <row r="7117" spans="4:6" x14ac:dyDescent="0.2">
      <c r="D7117" s="50"/>
      <c r="E7117" s="73"/>
      <c r="F7117" s="45"/>
    </row>
    <row r="7118" spans="4:6" x14ac:dyDescent="0.2">
      <c r="D7118" s="50"/>
      <c r="E7118" s="73"/>
      <c r="F7118" s="45"/>
    </row>
    <row r="7119" spans="4:6" x14ac:dyDescent="0.2">
      <c r="D7119" s="50"/>
      <c r="E7119" s="73"/>
      <c r="F7119" s="45"/>
    </row>
    <row r="7120" spans="4:6" x14ac:dyDescent="0.2">
      <c r="D7120" s="50"/>
      <c r="E7120" s="73"/>
      <c r="F7120" s="45"/>
    </row>
    <row r="7121" spans="4:6" x14ac:dyDescent="0.2">
      <c r="D7121" s="50"/>
      <c r="E7121" s="73"/>
      <c r="F7121" s="45"/>
    </row>
    <row r="7122" spans="4:6" x14ac:dyDescent="0.2">
      <c r="D7122" s="50"/>
      <c r="E7122" s="73"/>
      <c r="F7122" s="45"/>
    </row>
    <row r="7123" spans="4:6" x14ac:dyDescent="0.2">
      <c r="D7123" s="50"/>
      <c r="E7123" s="73"/>
      <c r="F7123" s="45"/>
    </row>
    <row r="7124" spans="4:6" x14ac:dyDescent="0.2">
      <c r="D7124" s="50"/>
      <c r="E7124" s="73"/>
      <c r="F7124" s="45"/>
    </row>
    <row r="7125" spans="4:6" x14ac:dyDescent="0.2">
      <c r="D7125" s="50"/>
      <c r="E7125" s="73"/>
      <c r="F7125" s="45"/>
    </row>
    <row r="7126" spans="4:6" x14ac:dyDescent="0.2">
      <c r="D7126" s="50"/>
      <c r="E7126" s="73"/>
      <c r="F7126" s="45"/>
    </row>
    <row r="7127" spans="4:6" x14ac:dyDescent="0.2">
      <c r="D7127" s="50"/>
      <c r="E7127" s="73"/>
      <c r="F7127" s="45"/>
    </row>
    <row r="7128" spans="4:6" x14ac:dyDescent="0.2">
      <c r="D7128" s="50"/>
      <c r="E7128" s="73"/>
      <c r="F7128" s="45"/>
    </row>
    <row r="7129" spans="4:6" x14ac:dyDescent="0.2">
      <c r="D7129" s="50"/>
      <c r="E7129" s="73"/>
      <c r="F7129" s="45"/>
    </row>
    <row r="7130" spans="4:6" x14ac:dyDescent="0.2">
      <c r="D7130" s="50"/>
      <c r="E7130" s="73"/>
      <c r="F7130" s="45"/>
    </row>
    <row r="7131" spans="4:6" x14ac:dyDescent="0.2">
      <c r="D7131" s="50"/>
      <c r="E7131" s="73"/>
      <c r="F7131" s="45"/>
    </row>
    <row r="7132" spans="4:6" x14ac:dyDescent="0.2">
      <c r="D7132" s="50"/>
      <c r="E7132" s="73"/>
      <c r="F7132" s="45"/>
    </row>
    <row r="7133" spans="4:6" x14ac:dyDescent="0.2">
      <c r="D7133" s="50"/>
      <c r="E7133" s="73"/>
      <c r="F7133" s="45"/>
    </row>
    <row r="7134" spans="4:6" x14ac:dyDescent="0.2">
      <c r="D7134" s="50"/>
      <c r="E7134" s="73"/>
      <c r="F7134" s="45"/>
    </row>
    <row r="7135" spans="4:6" x14ac:dyDescent="0.2">
      <c r="D7135" s="50"/>
      <c r="E7135" s="73"/>
      <c r="F7135" s="45"/>
    </row>
    <row r="7136" spans="4:6" x14ac:dyDescent="0.2">
      <c r="D7136" s="50"/>
      <c r="E7136" s="73"/>
      <c r="F7136" s="45"/>
    </row>
    <row r="7137" spans="4:6" x14ac:dyDescent="0.2">
      <c r="D7137" s="50"/>
      <c r="E7137" s="73"/>
      <c r="F7137" s="45"/>
    </row>
    <row r="7138" spans="4:6" x14ac:dyDescent="0.2">
      <c r="D7138" s="50"/>
      <c r="E7138" s="73"/>
      <c r="F7138" s="45"/>
    </row>
    <row r="7139" spans="4:6" x14ac:dyDescent="0.2">
      <c r="D7139" s="50"/>
      <c r="E7139" s="73"/>
      <c r="F7139" s="45"/>
    </row>
    <row r="7140" spans="4:6" x14ac:dyDescent="0.2">
      <c r="D7140" s="50"/>
      <c r="E7140" s="73"/>
      <c r="F7140" s="45"/>
    </row>
    <row r="7141" spans="4:6" x14ac:dyDescent="0.2">
      <c r="D7141" s="50"/>
      <c r="E7141" s="73"/>
      <c r="F7141" s="45"/>
    </row>
    <row r="7142" spans="4:6" x14ac:dyDescent="0.2">
      <c r="D7142" s="50"/>
      <c r="E7142" s="73"/>
      <c r="F7142" s="45"/>
    </row>
    <row r="7143" spans="4:6" x14ac:dyDescent="0.2">
      <c r="D7143" s="50"/>
      <c r="E7143" s="73"/>
      <c r="F7143" s="45"/>
    </row>
    <row r="7144" spans="4:6" x14ac:dyDescent="0.2">
      <c r="D7144" s="50"/>
      <c r="E7144" s="73"/>
      <c r="F7144" s="45"/>
    </row>
    <row r="7145" spans="4:6" x14ac:dyDescent="0.2">
      <c r="D7145" s="50"/>
      <c r="E7145" s="73"/>
      <c r="F7145" s="45"/>
    </row>
    <row r="7146" spans="4:6" x14ac:dyDescent="0.2">
      <c r="D7146" s="50"/>
      <c r="E7146" s="73"/>
      <c r="F7146" s="45"/>
    </row>
    <row r="7147" spans="4:6" x14ac:dyDescent="0.2">
      <c r="D7147" s="50"/>
      <c r="E7147" s="73"/>
      <c r="F7147" s="45"/>
    </row>
    <row r="7148" spans="4:6" x14ac:dyDescent="0.2">
      <c r="D7148" s="50"/>
      <c r="E7148" s="73"/>
      <c r="F7148" s="45"/>
    </row>
    <row r="7149" spans="4:6" x14ac:dyDescent="0.2">
      <c r="D7149" s="50"/>
      <c r="E7149" s="73"/>
      <c r="F7149" s="45"/>
    </row>
    <row r="7150" spans="4:6" x14ac:dyDescent="0.2">
      <c r="D7150" s="50"/>
      <c r="E7150" s="73"/>
      <c r="F7150" s="45"/>
    </row>
    <row r="7151" spans="4:6" x14ac:dyDescent="0.2">
      <c r="D7151" s="50"/>
      <c r="E7151" s="73"/>
      <c r="F7151" s="45"/>
    </row>
    <row r="7152" spans="4:6" x14ac:dyDescent="0.2">
      <c r="D7152" s="50"/>
      <c r="E7152" s="73"/>
      <c r="F7152" s="45"/>
    </row>
    <row r="7153" spans="4:6" x14ac:dyDescent="0.2">
      <c r="D7153" s="50"/>
      <c r="E7153" s="73"/>
      <c r="F7153" s="45"/>
    </row>
    <row r="7154" spans="4:6" x14ac:dyDescent="0.2">
      <c r="D7154" s="50"/>
      <c r="E7154" s="73"/>
      <c r="F7154" s="45"/>
    </row>
    <row r="7155" spans="4:6" x14ac:dyDescent="0.2">
      <c r="D7155" s="50"/>
      <c r="E7155" s="73"/>
      <c r="F7155" s="45"/>
    </row>
    <row r="7156" spans="4:6" x14ac:dyDescent="0.2">
      <c r="D7156" s="50"/>
      <c r="E7156" s="73"/>
      <c r="F7156" s="45"/>
    </row>
    <row r="7157" spans="4:6" x14ac:dyDescent="0.2">
      <c r="D7157" s="50"/>
      <c r="E7157" s="73"/>
      <c r="F7157" s="45"/>
    </row>
    <row r="7158" spans="4:6" x14ac:dyDescent="0.2">
      <c r="D7158" s="50"/>
      <c r="E7158" s="73"/>
      <c r="F7158" s="45"/>
    </row>
    <row r="7159" spans="4:6" x14ac:dyDescent="0.2">
      <c r="D7159" s="50"/>
      <c r="E7159" s="73"/>
      <c r="F7159" s="45"/>
    </row>
    <row r="7160" spans="4:6" x14ac:dyDescent="0.2">
      <c r="D7160" s="50"/>
      <c r="E7160" s="73"/>
      <c r="F7160" s="45"/>
    </row>
    <row r="7161" spans="4:6" x14ac:dyDescent="0.2">
      <c r="D7161" s="50"/>
      <c r="E7161" s="73"/>
      <c r="F7161" s="45"/>
    </row>
    <row r="7162" spans="4:6" x14ac:dyDescent="0.2">
      <c r="D7162" s="50"/>
      <c r="E7162" s="73"/>
      <c r="F7162" s="45"/>
    </row>
    <row r="7163" spans="4:6" x14ac:dyDescent="0.2">
      <c r="D7163" s="50"/>
      <c r="E7163" s="73"/>
      <c r="F7163" s="45"/>
    </row>
    <row r="7164" spans="4:6" x14ac:dyDescent="0.2">
      <c r="D7164" s="50"/>
      <c r="E7164" s="73"/>
      <c r="F7164" s="45"/>
    </row>
    <row r="7165" spans="4:6" x14ac:dyDescent="0.2">
      <c r="D7165" s="50"/>
      <c r="E7165" s="73"/>
      <c r="F7165" s="45"/>
    </row>
    <row r="7166" spans="4:6" x14ac:dyDescent="0.2">
      <c r="D7166" s="50"/>
      <c r="E7166" s="73"/>
      <c r="F7166" s="45"/>
    </row>
    <row r="7167" spans="4:6" x14ac:dyDescent="0.2">
      <c r="D7167" s="50"/>
      <c r="E7167" s="73"/>
      <c r="F7167" s="45"/>
    </row>
    <row r="7168" spans="4:6" x14ac:dyDescent="0.2">
      <c r="D7168" s="50"/>
      <c r="E7168" s="73"/>
      <c r="F7168" s="45"/>
    </row>
    <row r="7169" spans="4:6" x14ac:dyDescent="0.2">
      <c r="D7169" s="50"/>
      <c r="E7169" s="73"/>
      <c r="F7169" s="45"/>
    </row>
    <row r="7170" spans="4:6" x14ac:dyDescent="0.2">
      <c r="D7170" s="50"/>
      <c r="E7170" s="73"/>
      <c r="F7170" s="45"/>
    </row>
    <row r="7171" spans="4:6" x14ac:dyDescent="0.2">
      <c r="D7171" s="50"/>
      <c r="E7171" s="73"/>
      <c r="F7171" s="45"/>
    </row>
    <row r="7172" spans="4:6" x14ac:dyDescent="0.2">
      <c r="D7172" s="50"/>
      <c r="E7172" s="73"/>
      <c r="F7172" s="45"/>
    </row>
    <row r="7173" spans="4:6" x14ac:dyDescent="0.2">
      <c r="D7173" s="50"/>
      <c r="E7173" s="73"/>
      <c r="F7173" s="45"/>
    </row>
    <row r="7174" spans="4:6" x14ac:dyDescent="0.2">
      <c r="D7174" s="50"/>
      <c r="E7174" s="73"/>
      <c r="F7174" s="45"/>
    </row>
    <row r="7175" spans="4:6" x14ac:dyDescent="0.2">
      <c r="D7175" s="50"/>
      <c r="E7175" s="73"/>
      <c r="F7175" s="45"/>
    </row>
    <row r="7176" spans="4:6" x14ac:dyDescent="0.2">
      <c r="D7176" s="50"/>
      <c r="E7176" s="73"/>
      <c r="F7176" s="45"/>
    </row>
    <row r="7177" spans="4:6" x14ac:dyDescent="0.2">
      <c r="D7177" s="50"/>
      <c r="E7177" s="73"/>
      <c r="F7177" s="45"/>
    </row>
    <row r="7178" spans="4:6" x14ac:dyDescent="0.2">
      <c r="D7178" s="50"/>
      <c r="E7178" s="73"/>
      <c r="F7178" s="45"/>
    </row>
    <row r="7179" spans="4:6" x14ac:dyDescent="0.2">
      <c r="D7179" s="50"/>
      <c r="E7179" s="73"/>
      <c r="F7179" s="45"/>
    </row>
    <row r="7180" spans="4:6" x14ac:dyDescent="0.2">
      <c r="D7180" s="50"/>
      <c r="E7180" s="73"/>
      <c r="F7180" s="45"/>
    </row>
    <row r="7181" spans="4:6" x14ac:dyDescent="0.2">
      <c r="D7181" s="50"/>
      <c r="E7181" s="73"/>
      <c r="F7181" s="45"/>
    </row>
    <row r="7182" spans="4:6" x14ac:dyDescent="0.2">
      <c r="D7182" s="50"/>
      <c r="E7182" s="73"/>
      <c r="F7182" s="45"/>
    </row>
    <row r="7183" spans="4:6" x14ac:dyDescent="0.2">
      <c r="D7183" s="50"/>
      <c r="E7183" s="73"/>
      <c r="F7183" s="45"/>
    </row>
    <row r="7184" spans="4:6" x14ac:dyDescent="0.2">
      <c r="D7184" s="50"/>
      <c r="E7184" s="73"/>
      <c r="F7184" s="45"/>
    </row>
    <row r="7185" spans="4:6" x14ac:dyDescent="0.2">
      <c r="D7185" s="50"/>
      <c r="E7185" s="73"/>
      <c r="F7185" s="45"/>
    </row>
    <row r="7186" spans="4:6" x14ac:dyDescent="0.2">
      <c r="D7186" s="50"/>
      <c r="E7186" s="73"/>
      <c r="F7186" s="45"/>
    </row>
    <row r="7187" spans="4:6" x14ac:dyDescent="0.2">
      <c r="D7187" s="50"/>
      <c r="E7187" s="73"/>
      <c r="F7187" s="45"/>
    </row>
    <row r="7188" spans="4:6" x14ac:dyDescent="0.2">
      <c r="D7188" s="50"/>
      <c r="E7188" s="73"/>
      <c r="F7188" s="45"/>
    </row>
    <row r="7189" spans="4:6" x14ac:dyDescent="0.2">
      <c r="D7189" s="50"/>
      <c r="E7189" s="73"/>
      <c r="F7189" s="45"/>
    </row>
    <row r="7190" spans="4:6" x14ac:dyDescent="0.2">
      <c r="D7190" s="50"/>
      <c r="E7190" s="73"/>
      <c r="F7190" s="45"/>
    </row>
    <row r="7191" spans="4:6" x14ac:dyDescent="0.2">
      <c r="D7191" s="50"/>
      <c r="E7191" s="73"/>
      <c r="F7191" s="45"/>
    </row>
    <row r="7192" spans="4:6" x14ac:dyDescent="0.2">
      <c r="D7192" s="50"/>
      <c r="E7192" s="73"/>
      <c r="F7192" s="45"/>
    </row>
    <row r="7193" spans="4:6" x14ac:dyDescent="0.2">
      <c r="D7193" s="50"/>
      <c r="E7193" s="73"/>
      <c r="F7193" s="45"/>
    </row>
    <row r="7194" spans="4:6" x14ac:dyDescent="0.2">
      <c r="D7194" s="50"/>
      <c r="E7194" s="73"/>
      <c r="F7194" s="45"/>
    </row>
    <row r="7195" spans="4:6" x14ac:dyDescent="0.2">
      <c r="D7195" s="50"/>
      <c r="E7195" s="73"/>
      <c r="F7195" s="45"/>
    </row>
    <row r="7196" spans="4:6" x14ac:dyDescent="0.2">
      <c r="D7196" s="50"/>
      <c r="E7196" s="73"/>
      <c r="F7196" s="45"/>
    </row>
    <row r="7197" spans="4:6" x14ac:dyDescent="0.2">
      <c r="D7197" s="50"/>
      <c r="E7197" s="73"/>
      <c r="F7197" s="45"/>
    </row>
    <row r="7198" spans="4:6" x14ac:dyDescent="0.2">
      <c r="D7198" s="50"/>
      <c r="E7198" s="73"/>
      <c r="F7198" s="45"/>
    </row>
    <row r="7199" spans="4:6" x14ac:dyDescent="0.2">
      <c r="D7199" s="50"/>
      <c r="E7199" s="73"/>
      <c r="F7199" s="45"/>
    </row>
    <row r="7200" spans="4:6" x14ac:dyDescent="0.2">
      <c r="D7200" s="50"/>
      <c r="E7200" s="73"/>
      <c r="F7200" s="45"/>
    </row>
    <row r="7201" spans="4:6" x14ac:dyDescent="0.2">
      <c r="D7201" s="50"/>
      <c r="E7201" s="73"/>
      <c r="F7201" s="45"/>
    </row>
    <row r="7202" spans="4:6" x14ac:dyDescent="0.2">
      <c r="D7202" s="50"/>
      <c r="E7202" s="73"/>
      <c r="F7202" s="45"/>
    </row>
    <row r="7203" spans="4:6" x14ac:dyDescent="0.2">
      <c r="D7203" s="50"/>
      <c r="E7203" s="73"/>
      <c r="F7203" s="45"/>
    </row>
    <row r="7204" spans="4:6" x14ac:dyDescent="0.2">
      <c r="D7204" s="50"/>
      <c r="E7204" s="73"/>
      <c r="F7204" s="45"/>
    </row>
    <row r="7205" spans="4:6" x14ac:dyDescent="0.2">
      <c r="D7205" s="50"/>
      <c r="E7205" s="73"/>
      <c r="F7205" s="45"/>
    </row>
    <row r="7206" spans="4:6" x14ac:dyDescent="0.2">
      <c r="D7206" s="50"/>
      <c r="E7206" s="73"/>
      <c r="F7206" s="45"/>
    </row>
    <row r="7207" spans="4:6" x14ac:dyDescent="0.2">
      <c r="D7207" s="50"/>
      <c r="E7207" s="73"/>
      <c r="F7207" s="45"/>
    </row>
    <row r="7208" spans="4:6" x14ac:dyDescent="0.2">
      <c r="D7208" s="50"/>
      <c r="E7208" s="73"/>
      <c r="F7208" s="45"/>
    </row>
    <row r="7209" spans="4:6" x14ac:dyDescent="0.2">
      <c r="D7209" s="50"/>
      <c r="E7209" s="73"/>
      <c r="F7209" s="45"/>
    </row>
    <row r="7210" spans="4:6" x14ac:dyDescent="0.2">
      <c r="D7210" s="50"/>
      <c r="E7210" s="73"/>
      <c r="F7210" s="45"/>
    </row>
    <row r="7211" spans="4:6" x14ac:dyDescent="0.2">
      <c r="D7211" s="50"/>
      <c r="E7211" s="73"/>
      <c r="F7211" s="45"/>
    </row>
    <row r="7212" spans="4:6" x14ac:dyDescent="0.2">
      <c r="D7212" s="50"/>
      <c r="E7212" s="73"/>
      <c r="F7212" s="45"/>
    </row>
    <row r="7213" spans="4:6" x14ac:dyDescent="0.2">
      <c r="D7213" s="50"/>
      <c r="E7213" s="73"/>
      <c r="F7213" s="45"/>
    </row>
    <row r="7214" spans="4:6" x14ac:dyDescent="0.2">
      <c r="D7214" s="50"/>
      <c r="E7214" s="73"/>
      <c r="F7214" s="45"/>
    </row>
    <row r="7215" spans="4:6" x14ac:dyDescent="0.2">
      <c r="D7215" s="50"/>
      <c r="E7215" s="73"/>
      <c r="F7215" s="45"/>
    </row>
    <row r="7216" spans="4:6" x14ac:dyDescent="0.2">
      <c r="D7216" s="50"/>
      <c r="E7216" s="73"/>
      <c r="F7216" s="45"/>
    </row>
    <row r="7217" spans="4:6" x14ac:dyDescent="0.2">
      <c r="D7217" s="50"/>
      <c r="E7217" s="73"/>
      <c r="F7217" s="45"/>
    </row>
    <row r="7218" spans="4:6" x14ac:dyDescent="0.2">
      <c r="D7218" s="50"/>
      <c r="E7218" s="73"/>
      <c r="F7218" s="45"/>
    </row>
    <row r="7219" spans="4:6" x14ac:dyDescent="0.2">
      <c r="D7219" s="50"/>
      <c r="E7219" s="73"/>
      <c r="F7219" s="45"/>
    </row>
    <row r="7220" spans="4:6" x14ac:dyDescent="0.2">
      <c r="D7220" s="50"/>
      <c r="E7220" s="73"/>
      <c r="F7220" s="45"/>
    </row>
    <row r="7221" spans="4:6" x14ac:dyDescent="0.2">
      <c r="D7221" s="50"/>
      <c r="E7221" s="73"/>
      <c r="F7221" s="45"/>
    </row>
    <row r="7222" spans="4:6" x14ac:dyDescent="0.2">
      <c r="D7222" s="50"/>
      <c r="E7222" s="73"/>
      <c r="F7222" s="45"/>
    </row>
    <row r="7223" spans="4:6" x14ac:dyDescent="0.2">
      <c r="D7223" s="50"/>
      <c r="E7223" s="73"/>
      <c r="F7223" s="45"/>
    </row>
    <row r="7224" spans="4:6" x14ac:dyDescent="0.2">
      <c r="D7224" s="50"/>
      <c r="E7224" s="73"/>
      <c r="F7224" s="45"/>
    </row>
    <row r="7225" spans="4:6" x14ac:dyDescent="0.2">
      <c r="D7225" s="50"/>
      <c r="E7225" s="73"/>
      <c r="F7225" s="45"/>
    </row>
    <row r="7226" spans="4:6" x14ac:dyDescent="0.2">
      <c r="D7226" s="50"/>
      <c r="E7226" s="73"/>
      <c r="F7226" s="45"/>
    </row>
    <row r="7227" spans="4:6" x14ac:dyDescent="0.2">
      <c r="D7227" s="50"/>
      <c r="E7227" s="73"/>
      <c r="F7227" s="45"/>
    </row>
    <row r="7228" spans="4:6" x14ac:dyDescent="0.2">
      <c r="D7228" s="50"/>
      <c r="E7228" s="73"/>
      <c r="F7228" s="45"/>
    </row>
    <row r="7229" spans="4:6" x14ac:dyDescent="0.2">
      <c r="D7229" s="50"/>
      <c r="E7229" s="73"/>
      <c r="F7229" s="45"/>
    </row>
    <row r="7230" spans="4:6" x14ac:dyDescent="0.2">
      <c r="D7230" s="50"/>
      <c r="E7230" s="73"/>
      <c r="F7230" s="45"/>
    </row>
    <row r="7231" spans="4:6" x14ac:dyDescent="0.2">
      <c r="D7231" s="50"/>
      <c r="E7231" s="73"/>
      <c r="F7231" s="45"/>
    </row>
    <row r="7232" spans="4:6" x14ac:dyDescent="0.2">
      <c r="D7232" s="50"/>
      <c r="E7232" s="73"/>
      <c r="F7232" s="45"/>
    </row>
    <row r="7233" spans="4:6" x14ac:dyDescent="0.2">
      <c r="D7233" s="50"/>
      <c r="E7233" s="73"/>
      <c r="F7233" s="45"/>
    </row>
    <row r="7234" spans="4:6" x14ac:dyDescent="0.2">
      <c r="D7234" s="50"/>
      <c r="E7234" s="73"/>
      <c r="F7234" s="45"/>
    </row>
    <row r="7235" spans="4:6" x14ac:dyDescent="0.2">
      <c r="D7235" s="50"/>
      <c r="E7235" s="73"/>
      <c r="F7235" s="45"/>
    </row>
    <row r="7236" spans="4:6" x14ac:dyDescent="0.2">
      <c r="D7236" s="50"/>
      <c r="E7236" s="73"/>
      <c r="F7236" s="45"/>
    </row>
    <row r="7237" spans="4:6" x14ac:dyDescent="0.2">
      <c r="D7237" s="50"/>
      <c r="E7237" s="73"/>
      <c r="F7237" s="45"/>
    </row>
    <row r="7238" spans="4:6" x14ac:dyDescent="0.2">
      <c r="D7238" s="50"/>
      <c r="E7238" s="73"/>
      <c r="F7238" s="45"/>
    </row>
    <row r="7239" spans="4:6" x14ac:dyDescent="0.2">
      <c r="D7239" s="50"/>
      <c r="E7239" s="73"/>
      <c r="F7239" s="45"/>
    </row>
    <row r="7240" spans="4:6" x14ac:dyDescent="0.2">
      <c r="D7240" s="50"/>
      <c r="E7240" s="73"/>
      <c r="F7240" s="45"/>
    </row>
    <row r="7241" spans="4:6" x14ac:dyDescent="0.2">
      <c r="D7241" s="50"/>
      <c r="E7241" s="73"/>
      <c r="F7241" s="45"/>
    </row>
    <row r="7242" spans="4:6" x14ac:dyDescent="0.2">
      <c r="D7242" s="50"/>
      <c r="E7242" s="73"/>
      <c r="F7242" s="45"/>
    </row>
    <row r="7243" spans="4:6" x14ac:dyDescent="0.2">
      <c r="D7243" s="50"/>
      <c r="E7243" s="73"/>
      <c r="F7243" s="45"/>
    </row>
    <row r="7244" spans="4:6" x14ac:dyDescent="0.2">
      <c r="D7244" s="50"/>
      <c r="E7244" s="73"/>
      <c r="F7244" s="45"/>
    </row>
    <row r="7245" spans="4:6" x14ac:dyDescent="0.2">
      <c r="D7245" s="50"/>
      <c r="E7245" s="73"/>
      <c r="F7245" s="45"/>
    </row>
    <row r="7246" spans="4:6" x14ac:dyDescent="0.2">
      <c r="D7246" s="50"/>
      <c r="E7246" s="73"/>
      <c r="F7246" s="45"/>
    </row>
    <row r="7247" spans="4:6" x14ac:dyDescent="0.2">
      <c r="D7247" s="50"/>
      <c r="E7247" s="73"/>
      <c r="F7247" s="45"/>
    </row>
    <row r="7248" spans="4:6" x14ac:dyDescent="0.2">
      <c r="D7248" s="50"/>
      <c r="E7248" s="73"/>
      <c r="F7248" s="45"/>
    </row>
    <row r="7249" spans="4:6" x14ac:dyDescent="0.2">
      <c r="D7249" s="50"/>
      <c r="E7249" s="73"/>
      <c r="F7249" s="45"/>
    </row>
    <row r="7250" spans="4:6" x14ac:dyDescent="0.2">
      <c r="D7250" s="50"/>
      <c r="E7250" s="73"/>
      <c r="F7250" s="45"/>
    </row>
    <row r="7251" spans="4:6" x14ac:dyDescent="0.2">
      <c r="D7251" s="50"/>
      <c r="E7251" s="73"/>
      <c r="F7251" s="45"/>
    </row>
    <row r="7252" spans="4:6" x14ac:dyDescent="0.2">
      <c r="D7252" s="50"/>
      <c r="E7252" s="73"/>
      <c r="F7252" s="45"/>
    </row>
    <row r="7253" spans="4:6" x14ac:dyDescent="0.2">
      <c r="D7253" s="50"/>
      <c r="E7253" s="73"/>
      <c r="F7253" s="45"/>
    </row>
    <row r="7254" spans="4:6" x14ac:dyDescent="0.2">
      <c r="D7254" s="50"/>
      <c r="E7254" s="73"/>
      <c r="F7254" s="45"/>
    </row>
    <row r="7255" spans="4:6" x14ac:dyDescent="0.2">
      <c r="D7255" s="50"/>
      <c r="E7255" s="73"/>
      <c r="F7255" s="45"/>
    </row>
    <row r="7256" spans="4:6" x14ac:dyDescent="0.2">
      <c r="D7256" s="50"/>
      <c r="E7256" s="73"/>
      <c r="F7256" s="45"/>
    </row>
    <row r="7257" spans="4:6" x14ac:dyDescent="0.2">
      <c r="D7257" s="50"/>
      <c r="E7257" s="73"/>
      <c r="F7257" s="45"/>
    </row>
    <row r="7258" spans="4:6" x14ac:dyDescent="0.2">
      <c r="D7258" s="50"/>
      <c r="E7258" s="73"/>
      <c r="F7258" s="45"/>
    </row>
    <row r="7259" spans="4:6" x14ac:dyDescent="0.2">
      <c r="D7259" s="50"/>
      <c r="E7259" s="73"/>
      <c r="F7259" s="45"/>
    </row>
    <row r="7260" spans="4:6" x14ac:dyDescent="0.2">
      <c r="D7260" s="50"/>
      <c r="E7260" s="73"/>
      <c r="F7260" s="45"/>
    </row>
    <row r="7261" spans="4:6" x14ac:dyDescent="0.2">
      <c r="D7261" s="50"/>
      <c r="E7261" s="73"/>
      <c r="F7261" s="45"/>
    </row>
    <row r="7262" spans="4:6" x14ac:dyDescent="0.2">
      <c r="D7262" s="50"/>
      <c r="E7262" s="73"/>
      <c r="F7262" s="45"/>
    </row>
    <row r="7263" spans="4:6" x14ac:dyDescent="0.2">
      <c r="D7263" s="50"/>
      <c r="E7263" s="73"/>
      <c r="F7263" s="45"/>
    </row>
    <row r="7264" spans="4:6" x14ac:dyDescent="0.2">
      <c r="D7264" s="50"/>
      <c r="E7264" s="73"/>
      <c r="F7264" s="45"/>
    </row>
    <row r="7265" spans="4:6" x14ac:dyDescent="0.2">
      <c r="D7265" s="50"/>
      <c r="E7265" s="73"/>
      <c r="F7265" s="45"/>
    </row>
    <row r="7266" spans="4:6" x14ac:dyDescent="0.2">
      <c r="D7266" s="50"/>
      <c r="E7266" s="73"/>
      <c r="F7266" s="45"/>
    </row>
    <row r="7267" spans="4:6" x14ac:dyDescent="0.2">
      <c r="D7267" s="50"/>
      <c r="E7267" s="73"/>
      <c r="F7267" s="45"/>
    </row>
    <row r="7268" spans="4:6" x14ac:dyDescent="0.2">
      <c r="D7268" s="50"/>
      <c r="E7268" s="73"/>
      <c r="F7268" s="45"/>
    </row>
    <row r="7269" spans="4:6" x14ac:dyDescent="0.2">
      <c r="D7269" s="50"/>
      <c r="E7269" s="73"/>
      <c r="F7269" s="45"/>
    </row>
    <row r="7270" spans="4:6" x14ac:dyDescent="0.2">
      <c r="D7270" s="50"/>
      <c r="E7270" s="73"/>
      <c r="F7270" s="45"/>
    </row>
    <row r="7271" spans="4:6" x14ac:dyDescent="0.2">
      <c r="D7271" s="50"/>
      <c r="E7271" s="73"/>
      <c r="F7271" s="45"/>
    </row>
    <row r="7272" spans="4:6" x14ac:dyDescent="0.2">
      <c r="D7272" s="50"/>
      <c r="E7272" s="73"/>
      <c r="F7272" s="45"/>
    </row>
    <row r="7273" spans="4:6" x14ac:dyDescent="0.2">
      <c r="D7273" s="50"/>
      <c r="E7273" s="73"/>
      <c r="F7273" s="45"/>
    </row>
    <row r="7274" spans="4:6" x14ac:dyDescent="0.2">
      <c r="D7274" s="50"/>
      <c r="E7274" s="73"/>
      <c r="F7274" s="45"/>
    </row>
    <row r="7275" spans="4:6" x14ac:dyDescent="0.2">
      <c r="D7275" s="50"/>
      <c r="E7275" s="73"/>
      <c r="F7275" s="45"/>
    </row>
    <row r="7276" spans="4:6" x14ac:dyDescent="0.2">
      <c r="D7276" s="50"/>
      <c r="E7276" s="73"/>
      <c r="F7276" s="45"/>
    </row>
    <row r="7277" spans="4:6" x14ac:dyDescent="0.2">
      <c r="D7277" s="50"/>
      <c r="E7277" s="73"/>
      <c r="F7277" s="45"/>
    </row>
    <row r="7278" spans="4:6" x14ac:dyDescent="0.2">
      <c r="D7278" s="50"/>
      <c r="E7278" s="73"/>
      <c r="F7278" s="45"/>
    </row>
    <row r="7279" spans="4:6" x14ac:dyDescent="0.2">
      <c r="D7279" s="50"/>
      <c r="E7279" s="73"/>
      <c r="F7279" s="45"/>
    </row>
    <row r="7280" spans="4:6" x14ac:dyDescent="0.2">
      <c r="D7280" s="50"/>
      <c r="E7280" s="73"/>
      <c r="F7280" s="45"/>
    </row>
    <row r="7281" spans="4:6" x14ac:dyDescent="0.2">
      <c r="D7281" s="50"/>
      <c r="E7281" s="73"/>
      <c r="F7281" s="45"/>
    </row>
    <row r="7282" spans="4:6" x14ac:dyDescent="0.2">
      <c r="D7282" s="50"/>
      <c r="E7282" s="73"/>
      <c r="F7282" s="45"/>
    </row>
    <row r="7283" spans="4:6" x14ac:dyDescent="0.2">
      <c r="D7283" s="50"/>
      <c r="E7283" s="73"/>
      <c r="F7283" s="45"/>
    </row>
    <row r="7284" spans="4:6" x14ac:dyDescent="0.2">
      <c r="D7284" s="50"/>
      <c r="E7284" s="73"/>
      <c r="F7284" s="45"/>
    </row>
    <row r="7285" spans="4:6" x14ac:dyDescent="0.2">
      <c r="D7285" s="50"/>
      <c r="E7285" s="73"/>
      <c r="F7285" s="45"/>
    </row>
    <row r="7286" spans="4:6" x14ac:dyDescent="0.2">
      <c r="D7286" s="50"/>
      <c r="E7286" s="73"/>
      <c r="F7286" s="45"/>
    </row>
    <row r="7287" spans="4:6" x14ac:dyDescent="0.2">
      <c r="D7287" s="50"/>
      <c r="E7287" s="73"/>
      <c r="F7287" s="45"/>
    </row>
    <row r="7288" spans="4:6" x14ac:dyDescent="0.2">
      <c r="D7288" s="50"/>
      <c r="E7288" s="73"/>
      <c r="F7288" s="45"/>
    </row>
    <row r="7289" spans="4:6" x14ac:dyDescent="0.2">
      <c r="D7289" s="50"/>
      <c r="E7289" s="73"/>
      <c r="F7289" s="45"/>
    </row>
    <row r="7290" spans="4:6" x14ac:dyDescent="0.2">
      <c r="D7290" s="50"/>
      <c r="E7290" s="73"/>
      <c r="F7290" s="45"/>
    </row>
    <row r="7291" spans="4:6" x14ac:dyDescent="0.2">
      <c r="D7291" s="50"/>
      <c r="E7291" s="73"/>
      <c r="F7291" s="45"/>
    </row>
    <row r="7292" spans="4:6" x14ac:dyDescent="0.2">
      <c r="D7292" s="50"/>
      <c r="E7292" s="73"/>
      <c r="F7292" s="45"/>
    </row>
    <row r="7293" spans="4:6" x14ac:dyDescent="0.2">
      <c r="D7293" s="50"/>
      <c r="E7293" s="73"/>
      <c r="F7293" s="45"/>
    </row>
    <row r="7294" spans="4:6" x14ac:dyDescent="0.2">
      <c r="D7294" s="50"/>
      <c r="E7294" s="73"/>
      <c r="F7294" s="45"/>
    </row>
    <row r="7295" spans="4:6" x14ac:dyDescent="0.2">
      <c r="D7295" s="50"/>
      <c r="E7295" s="73"/>
      <c r="F7295" s="45"/>
    </row>
    <row r="7296" spans="4:6" x14ac:dyDescent="0.2">
      <c r="D7296" s="50"/>
      <c r="E7296" s="73"/>
      <c r="F7296" s="45"/>
    </row>
    <row r="7297" spans="4:6" x14ac:dyDescent="0.2">
      <c r="D7297" s="50"/>
      <c r="E7297" s="73"/>
      <c r="F7297" s="45"/>
    </row>
    <row r="7298" spans="4:6" x14ac:dyDescent="0.2">
      <c r="D7298" s="50"/>
      <c r="E7298" s="73"/>
      <c r="F7298" s="45"/>
    </row>
    <row r="7299" spans="4:6" x14ac:dyDescent="0.2">
      <c r="D7299" s="50"/>
      <c r="E7299" s="73"/>
      <c r="F7299" s="45"/>
    </row>
    <row r="7300" spans="4:6" x14ac:dyDescent="0.2">
      <c r="D7300" s="50"/>
      <c r="E7300" s="73"/>
      <c r="F7300" s="45"/>
    </row>
    <row r="7301" spans="4:6" x14ac:dyDescent="0.2">
      <c r="D7301" s="50"/>
      <c r="E7301" s="73"/>
      <c r="F7301" s="45"/>
    </row>
    <row r="7302" spans="4:6" x14ac:dyDescent="0.2">
      <c r="D7302" s="50"/>
      <c r="E7302" s="73"/>
      <c r="F7302" s="45"/>
    </row>
    <row r="7303" spans="4:6" x14ac:dyDescent="0.2">
      <c r="D7303" s="50"/>
      <c r="E7303" s="73"/>
      <c r="F7303" s="45"/>
    </row>
    <row r="7304" spans="4:6" x14ac:dyDescent="0.2">
      <c r="D7304" s="50"/>
      <c r="E7304" s="73"/>
      <c r="F7304" s="45"/>
    </row>
    <row r="7305" spans="4:6" x14ac:dyDescent="0.2">
      <c r="D7305" s="50"/>
      <c r="E7305" s="73"/>
      <c r="F7305" s="45"/>
    </row>
    <row r="7306" spans="4:6" x14ac:dyDescent="0.2">
      <c r="D7306" s="50"/>
      <c r="E7306" s="73"/>
      <c r="F7306" s="45"/>
    </row>
    <row r="7307" spans="4:6" x14ac:dyDescent="0.2">
      <c r="D7307" s="50"/>
      <c r="E7307" s="73"/>
      <c r="F7307" s="45"/>
    </row>
    <row r="7308" spans="4:6" x14ac:dyDescent="0.2">
      <c r="D7308" s="50"/>
      <c r="E7308" s="73"/>
      <c r="F7308" s="45"/>
    </row>
    <row r="7309" spans="4:6" x14ac:dyDescent="0.2">
      <c r="D7309" s="50"/>
      <c r="E7309" s="73"/>
      <c r="F7309" s="45"/>
    </row>
    <row r="7310" spans="4:6" x14ac:dyDescent="0.2">
      <c r="D7310" s="50"/>
      <c r="E7310" s="73"/>
      <c r="F7310" s="45"/>
    </row>
    <row r="7311" spans="4:6" x14ac:dyDescent="0.2">
      <c r="D7311" s="50"/>
      <c r="E7311" s="73"/>
      <c r="F7311" s="45"/>
    </row>
    <row r="7312" spans="4:6" x14ac:dyDescent="0.2">
      <c r="D7312" s="50"/>
      <c r="E7312" s="73"/>
      <c r="F7312" s="45"/>
    </row>
    <row r="7313" spans="4:6" x14ac:dyDescent="0.2">
      <c r="D7313" s="50"/>
      <c r="E7313" s="73"/>
      <c r="F7313" s="45"/>
    </row>
    <row r="7314" spans="4:6" x14ac:dyDescent="0.2">
      <c r="D7314" s="50"/>
      <c r="E7314" s="73"/>
      <c r="F7314" s="45"/>
    </row>
    <row r="7315" spans="4:6" x14ac:dyDescent="0.2">
      <c r="D7315" s="50"/>
      <c r="E7315" s="73"/>
      <c r="F7315" s="45"/>
    </row>
    <row r="7316" spans="4:6" x14ac:dyDescent="0.2">
      <c r="D7316" s="50"/>
      <c r="E7316" s="73"/>
      <c r="F7316" s="45"/>
    </row>
    <row r="7317" spans="4:6" x14ac:dyDescent="0.2">
      <c r="D7317" s="50"/>
      <c r="E7317" s="73"/>
      <c r="F7317" s="45"/>
    </row>
    <row r="7318" spans="4:6" x14ac:dyDescent="0.2">
      <c r="D7318" s="50"/>
      <c r="E7318" s="73"/>
      <c r="F7318" s="45"/>
    </row>
    <row r="7319" spans="4:6" x14ac:dyDescent="0.2">
      <c r="D7319" s="50"/>
      <c r="E7319" s="73"/>
      <c r="F7319" s="45"/>
    </row>
    <row r="7320" spans="4:6" x14ac:dyDescent="0.2">
      <c r="D7320" s="50"/>
      <c r="E7320" s="73"/>
      <c r="F7320" s="45"/>
    </row>
    <row r="7321" spans="4:6" x14ac:dyDescent="0.2">
      <c r="D7321" s="50"/>
      <c r="E7321" s="73"/>
      <c r="F7321" s="45"/>
    </row>
    <row r="7322" spans="4:6" x14ac:dyDescent="0.2">
      <c r="D7322" s="50"/>
      <c r="E7322" s="73"/>
      <c r="F7322" s="45"/>
    </row>
    <row r="7323" spans="4:6" x14ac:dyDescent="0.2">
      <c r="D7323" s="50"/>
      <c r="E7323" s="73"/>
      <c r="F7323" s="45"/>
    </row>
    <row r="7324" spans="4:6" x14ac:dyDescent="0.2">
      <c r="D7324" s="50"/>
      <c r="E7324" s="73"/>
      <c r="F7324" s="45"/>
    </row>
    <row r="7325" spans="4:6" x14ac:dyDescent="0.2">
      <c r="D7325" s="50"/>
      <c r="E7325" s="73"/>
      <c r="F7325" s="45"/>
    </row>
    <row r="7326" spans="4:6" x14ac:dyDescent="0.2">
      <c r="D7326" s="50"/>
      <c r="E7326" s="73"/>
      <c r="F7326" s="45"/>
    </row>
    <row r="7327" spans="4:6" x14ac:dyDescent="0.2">
      <c r="D7327" s="50"/>
      <c r="E7327" s="73"/>
      <c r="F7327" s="45"/>
    </row>
    <row r="7328" spans="4:6" x14ac:dyDescent="0.2">
      <c r="D7328" s="50"/>
      <c r="E7328" s="73"/>
      <c r="F7328" s="45"/>
    </row>
    <row r="7329" spans="4:6" x14ac:dyDescent="0.2">
      <c r="D7329" s="50"/>
      <c r="E7329" s="73"/>
      <c r="F7329" s="45"/>
    </row>
    <row r="7330" spans="4:6" x14ac:dyDescent="0.2">
      <c r="D7330" s="50"/>
      <c r="E7330" s="73"/>
      <c r="F7330" s="45"/>
    </row>
    <row r="7331" spans="4:6" x14ac:dyDescent="0.2">
      <c r="D7331" s="50"/>
      <c r="E7331" s="73"/>
      <c r="F7331" s="45"/>
    </row>
    <row r="7332" spans="4:6" x14ac:dyDescent="0.2">
      <c r="D7332" s="50"/>
      <c r="E7332" s="73"/>
      <c r="F7332" s="45"/>
    </row>
    <row r="7333" spans="4:6" x14ac:dyDescent="0.2">
      <c r="D7333" s="50"/>
      <c r="E7333" s="73"/>
      <c r="F7333" s="45"/>
    </row>
    <row r="7334" spans="4:6" x14ac:dyDescent="0.2">
      <c r="D7334" s="50"/>
      <c r="E7334" s="73"/>
      <c r="F7334" s="45"/>
    </row>
    <row r="7335" spans="4:6" x14ac:dyDescent="0.2">
      <c r="D7335" s="50"/>
      <c r="E7335" s="73"/>
      <c r="F7335" s="45"/>
    </row>
    <row r="7336" spans="4:6" x14ac:dyDescent="0.2">
      <c r="D7336" s="50"/>
      <c r="E7336" s="73"/>
      <c r="F7336" s="45"/>
    </row>
    <row r="7337" spans="4:6" x14ac:dyDescent="0.2">
      <c r="D7337" s="50"/>
      <c r="E7337" s="73"/>
      <c r="F7337" s="45"/>
    </row>
    <row r="7338" spans="4:6" x14ac:dyDescent="0.2">
      <c r="D7338" s="50"/>
      <c r="E7338" s="73"/>
      <c r="F7338" s="45"/>
    </row>
    <row r="7339" spans="4:6" x14ac:dyDescent="0.2">
      <c r="D7339" s="50"/>
      <c r="E7339" s="73"/>
      <c r="F7339" s="45"/>
    </row>
    <row r="7340" spans="4:6" x14ac:dyDescent="0.2">
      <c r="D7340" s="50"/>
      <c r="E7340" s="73"/>
      <c r="F7340" s="45"/>
    </row>
    <row r="7341" spans="4:6" x14ac:dyDescent="0.2">
      <c r="D7341" s="50"/>
      <c r="E7341" s="73"/>
      <c r="F7341" s="45"/>
    </row>
    <row r="7342" spans="4:6" x14ac:dyDescent="0.2">
      <c r="D7342" s="50"/>
      <c r="E7342" s="73"/>
      <c r="F7342" s="45"/>
    </row>
    <row r="7343" spans="4:6" x14ac:dyDescent="0.2">
      <c r="D7343" s="50"/>
      <c r="E7343" s="73"/>
      <c r="F7343" s="45"/>
    </row>
    <row r="7344" spans="4:6" x14ac:dyDescent="0.2">
      <c r="D7344" s="50"/>
      <c r="E7344" s="73"/>
      <c r="F7344" s="45"/>
    </row>
    <row r="7345" spans="4:6" x14ac:dyDescent="0.2">
      <c r="D7345" s="50"/>
      <c r="E7345" s="73"/>
      <c r="F7345" s="45"/>
    </row>
    <row r="7346" spans="4:6" x14ac:dyDescent="0.2">
      <c r="D7346" s="50"/>
      <c r="E7346" s="73"/>
      <c r="F7346" s="45"/>
    </row>
    <row r="7347" spans="4:6" x14ac:dyDescent="0.2">
      <c r="D7347" s="50"/>
      <c r="E7347" s="73"/>
      <c r="F7347" s="45"/>
    </row>
    <row r="7348" spans="4:6" x14ac:dyDescent="0.2">
      <c r="D7348" s="50"/>
      <c r="E7348" s="73"/>
      <c r="F7348" s="45"/>
    </row>
    <row r="7349" spans="4:6" x14ac:dyDescent="0.2">
      <c r="D7349" s="50"/>
      <c r="E7349" s="73"/>
      <c r="F7349" s="45"/>
    </row>
    <row r="7350" spans="4:6" x14ac:dyDescent="0.2">
      <c r="D7350" s="50"/>
      <c r="E7350" s="73"/>
      <c r="F7350" s="45"/>
    </row>
    <row r="7351" spans="4:6" x14ac:dyDescent="0.2">
      <c r="D7351" s="50"/>
      <c r="E7351" s="73"/>
      <c r="F7351" s="45"/>
    </row>
    <row r="7352" spans="4:6" x14ac:dyDescent="0.2">
      <c r="D7352" s="50"/>
      <c r="E7352" s="73"/>
      <c r="F7352" s="45"/>
    </row>
    <row r="7353" spans="4:6" x14ac:dyDescent="0.2">
      <c r="D7353" s="50"/>
      <c r="E7353" s="73"/>
      <c r="F7353" s="45"/>
    </row>
    <row r="7354" spans="4:6" x14ac:dyDescent="0.2">
      <c r="D7354" s="50"/>
      <c r="E7354" s="73"/>
      <c r="F7354" s="45"/>
    </row>
    <row r="7355" spans="4:6" x14ac:dyDescent="0.2">
      <c r="D7355" s="50"/>
      <c r="E7355" s="73"/>
      <c r="F7355" s="45"/>
    </row>
    <row r="7356" spans="4:6" x14ac:dyDescent="0.2">
      <c r="D7356" s="50"/>
      <c r="E7356" s="73"/>
      <c r="F7356" s="45"/>
    </row>
    <row r="7357" spans="4:6" x14ac:dyDescent="0.2">
      <c r="D7357" s="50"/>
      <c r="E7357" s="73"/>
      <c r="F7357" s="45"/>
    </row>
    <row r="7358" spans="4:6" x14ac:dyDescent="0.2">
      <c r="D7358" s="50"/>
      <c r="E7358" s="73"/>
      <c r="F7358" s="45"/>
    </row>
    <row r="7359" spans="4:6" x14ac:dyDescent="0.2">
      <c r="D7359" s="50"/>
      <c r="E7359" s="73"/>
      <c r="F7359" s="45"/>
    </row>
    <row r="7360" spans="4:6" x14ac:dyDescent="0.2">
      <c r="D7360" s="50"/>
      <c r="E7360" s="73"/>
      <c r="F7360" s="45"/>
    </row>
    <row r="7361" spans="4:6" x14ac:dyDescent="0.2">
      <c r="D7361" s="50"/>
      <c r="E7361" s="73"/>
      <c r="F7361" s="45"/>
    </row>
    <row r="7362" spans="4:6" x14ac:dyDescent="0.2">
      <c r="D7362" s="50"/>
      <c r="E7362" s="73"/>
      <c r="F7362" s="45"/>
    </row>
    <row r="7363" spans="4:6" x14ac:dyDescent="0.2">
      <c r="D7363" s="50"/>
      <c r="E7363" s="73"/>
      <c r="F7363" s="45"/>
    </row>
    <row r="7364" spans="4:6" x14ac:dyDescent="0.2">
      <c r="D7364" s="50"/>
      <c r="E7364" s="73"/>
      <c r="F7364" s="45"/>
    </row>
    <row r="7365" spans="4:6" x14ac:dyDescent="0.2">
      <c r="D7365" s="50"/>
      <c r="E7365" s="73"/>
      <c r="F7365" s="45"/>
    </row>
    <row r="7366" spans="4:6" x14ac:dyDescent="0.2">
      <c r="D7366" s="50"/>
      <c r="E7366" s="73"/>
      <c r="F7366" s="45"/>
    </row>
    <row r="7367" spans="4:6" x14ac:dyDescent="0.2">
      <c r="D7367" s="50"/>
      <c r="E7367" s="73"/>
      <c r="F7367" s="45"/>
    </row>
    <row r="7368" spans="4:6" x14ac:dyDescent="0.2">
      <c r="D7368" s="50"/>
      <c r="E7368" s="73"/>
      <c r="F7368" s="45"/>
    </row>
    <row r="7369" spans="4:6" x14ac:dyDescent="0.2">
      <c r="D7369" s="50"/>
      <c r="E7369" s="73"/>
      <c r="F7369" s="45"/>
    </row>
    <row r="7370" spans="4:6" x14ac:dyDescent="0.2">
      <c r="D7370" s="50"/>
      <c r="E7370" s="73"/>
      <c r="F7370" s="45"/>
    </row>
    <row r="7371" spans="4:6" x14ac:dyDescent="0.2">
      <c r="D7371" s="50"/>
      <c r="E7371" s="73"/>
      <c r="F7371" s="45"/>
    </row>
    <row r="7372" spans="4:6" x14ac:dyDescent="0.2">
      <c r="D7372" s="50"/>
      <c r="E7372" s="73"/>
      <c r="F7372" s="45"/>
    </row>
    <row r="7373" spans="4:6" x14ac:dyDescent="0.2">
      <c r="D7373" s="50"/>
      <c r="E7373" s="73"/>
      <c r="F7373" s="45"/>
    </row>
    <row r="7374" spans="4:6" x14ac:dyDescent="0.2">
      <c r="D7374" s="50"/>
      <c r="E7374" s="73"/>
      <c r="F7374" s="45"/>
    </row>
    <row r="7375" spans="4:6" x14ac:dyDescent="0.2">
      <c r="D7375" s="50"/>
      <c r="E7375" s="73"/>
      <c r="F7375" s="45"/>
    </row>
    <row r="7376" spans="4:6" x14ac:dyDescent="0.2">
      <c r="D7376" s="50"/>
      <c r="E7376" s="73"/>
      <c r="F7376" s="45"/>
    </row>
    <row r="7377" spans="4:6" x14ac:dyDescent="0.2">
      <c r="D7377" s="50"/>
      <c r="E7377" s="73"/>
      <c r="F7377" s="45"/>
    </row>
    <row r="7378" spans="4:6" x14ac:dyDescent="0.2">
      <c r="D7378" s="50"/>
      <c r="E7378" s="73"/>
      <c r="F7378" s="45"/>
    </row>
    <row r="7379" spans="4:6" x14ac:dyDescent="0.2">
      <c r="D7379" s="50"/>
      <c r="E7379" s="73"/>
      <c r="F7379" s="45"/>
    </row>
    <row r="7380" spans="4:6" x14ac:dyDescent="0.2">
      <c r="D7380" s="50"/>
      <c r="E7380" s="73"/>
      <c r="F7380" s="45"/>
    </row>
    <row r="7381" spans="4:6" x14ac:dyDescent="0.2">
      <c r="D7381" s="50"/>
      <c r="E7381" s="73"/>
      <c r="F7381" s="45"/>
    </row>
    <row r="7382" spans="4:6" x14ac:dyDescent="0.2">
      <c r="D7382" s="50"/>
      <c r="E7382" s="73"/>
      <c r="F7382" s="45"/>
    </row>
    <row r="7383" spans="4:6" x14ac:dyDescent="0.2">
      <c r="D7383" s="50"/>
      <c r="E7383" s="73"/>
      <c r="F7383" s="45"/>
    </row>
    <row r="7384" spans="4:6" x14ac:dyDescent="0.2">
      <c r="D7384" s="50"/>
      <c r="E7384" s="73"/>
      <c r="F7384" s="45"/>
    </row>
    <row r="7385" spans="4:6" x14ac:dyDescent="0.2">
      <c r="D7385" s="50"/>
      <c r="E7385" s="73"/>
      <c r="F7385" s="45"/>
    </row>
    <row r="7386" spans="4:6" x14ac:dyDescent="0.2">
      <c r="D7386" s="50"/>
      <c r="E7386" s="73"/>
      <c r="F7386" s="45"/>
    </row>
    <row r="7387" spans="4:6" x14ac:dyDescent="0.2">
      <c r="D7387" s="50"/>
      <c r="E7387" s="73"/>
      <c r="F7387" s="45"/>
    </row>
    <row r="7388" spans="4:6" x14ac:dyDescent="0.2">
      <c r="D7388" s="50"/>
      <c r="E7388" s="73"/>
      <c r="F7388" s="45"/>
    </row>
    <row r="7389" spans="4:6" x14ac:dyDescent="0.2">
      <c r="D7389" s="50"/>
      <c r="E7389" s="73"/>
      <c r="F7389" s="45"/>
    </row>
    <row r="7390" spans="4:6" x14ac:dyDescent="0.2">
      <c r="D7390" s="50"/>
      <c r="E7390" s="73"/>
      <c r="F7390" s="45"/>
    </row>
    <row r="7391" spans="4:6" x14ac:dyDescent="0.2">
      <c r="D7391" s="50"/>
      <c r="E7391" s="73"/>
      <c r="F7391" s="45"/>
    </row>
    <row r="7392" spans="4:6" x14ac:dyDescent="0.2">
      <c r="D7392" s="50"/>
      <c r="E7392" s="73"/>
      <c r="F7392" s="45"/>
    </row>
    <row r="7393" spans="4:6" x14ac:dyDescent="0.2">
      <c r="D7393" s="50"/>
      <c r="E7393" s="73"/>
      <c r="F7393" s="45"/>
    </row>
    <row r="7394" spans="4:6" x14ac:dyDescent="0.2">
      <c r="D7394" s="50"/>
      <c r="E7394" s="73"/>
      <c r="F7394" s="45"/>
    </row>
    <row r="7395" spans="4:6" x14ac:dyDescent="0.2">
      <c r="D7395" s="50"/>
      <c r="E7395" s="73"/>
      <c r="F7395" s="45"/>
    </row>
    <row r="7396" spans="4:6" x14ac:dyDescent="0.2">
      <c r="D7396" s="50"/>
      <c r="E7396" s="73"/>
      <c r="F7396" s="45"/>
    </row>
    <row r="7397" spans="4:6" x14ac:dyDescent="0.2">
      <c r="D7397" s="50"/>
      <c r="E7397" s="73"/>
      <c r="F7397" s="45"/>
    </row>
    <row r="7398" spans="4:6" x14ac:dyDescent="0.2">
      <c r="D7398" s="50"/>
      <c r="E7398" s="73"/>
      <c r="F7398" s="45"/>
    </row>
    <row r="7399" spans="4:6" x14ac:dyDescent="0.2">
      <c r="D7399" s="50"/>
      <c r="E7399" s="73"/>
      <c r="F7399" s="45"/>
    </row>
    <row r="7400" spans="4:6" x14ac:dyDescent="0.2">
      <c r="D7400" s="50"/>
      <c r="E7400" s="73"/>
      <c r="F7400" s="45"/>
    </row>
    <row r="7401" spans="4:6" x14ac:dyDescent="0.2">
      <c r="D7401" s="50"/>
      <c r="E7401" s="73"/>
      <c r="F7401" s="45"/>
    </row>
    <row r="7402" spans="4:6" x14ac:dyDescent="0.2">
      <c r="D7402" s="50"/>
      <c r="E7402" s="73"/>
      <c r="F7402" s="45"/>
    </row>
    <row r="7403" spans="4:6" x14ac:dyDescent="0.2">
      <c r="D7403" s="50"/>
      <c r="E7403" s="73"/>
      <c r="F7403" s="45"/>
    </row>
    <row r="7404" spans="4:6" x14ac:dyDescent="0.2">
      <c r="D7404" s="50"/>
      <c r="E7404" s="73"/>
      <c r="F7404" s="45"/>
    </row>
    <row r="7405" spans="4:6" x14ac:dyDescent="0.2">
      <c r="D7405" s="50"/>
      <c r="E7405" s="73"/>
      <c r="F7405" s="45"/>
    </row>
    <row r="7406" spans="4:6" x14ac:dyDescent="0.2">
      <c r="D7406" s="50"/>
      <c r="E7406" s="73"/>
      <c r="F7406" s="45"/>
    </row>
    <row r="7407" spans="4:6" x14ac:dyDescent="0.2">
      <c r="D7407" s="50"/>
      <c r="E7407" s="73"/>
      <c r="F7407" s="45"/>
    </row>
    <row r="7408" spans="4:6" x14ac:dyDescent="0.2">
      <c r="D7408" s="50"/>
      <c r="E7408" s="73"/>
      <c r="F7408" s="45"/>
    </row>
    <row r="7409" spans="4:6" x14ac:dyDescent="0.2">
      <c r="D7409" s="50"/>
      <c r="E7409" s="73"/>
      <c r="F7409" s="45"/>
    </row>
    <row r="7410" spans="4:6" x14ac:dyDescent="0.2">
      <c r="D7410" s="50"/>
      <c r="E7410" s="73"/>
      <c r="F7410" s="45"/>
    </row>
    <row r="7411" spans="4:6" x14ac:dyDescent="0.2">
      <c r="D7411" s="50"/>
      <c r="E7411" s="73"/>
      <c r="F7411" s="45"/>
    </row>
    <row r="7412" spans="4:6" x14ac:dyDescent="0.2">
      <c r="D7412" s="50"/>
      <c r="E7412" s="73"/>
      <c r="F7412" s="45"/>
    </row>
    <row r="7413" spans="4:6" x14ac:dyDescent="0.2">
      <c r="D7413" s="50"/>
      <c r="E7413" s="73"/>
      <c r="F7413" s="45"/>
    </row>
    <row r="7414" spans="4:6" x14ac:dyDescent="0.2">
      <c r="D7414" s="50"/>
      <c r="E7414" s="73"/>
      <c r="F7414" s="45"/>
    </row>
    <row r="7415" spans="4:6" x14ac:dyDescent="0.2">
      <c r="D7415" s="50"/>
      <c r="E7415" s="73"/>
      <c r="F7415" s="45"/>
    </row>
    <row r="7416" spans="4:6" x14ac:dyDescent="0.2">
      <c r="D7416" s="50"/>
      <c r="E7416" s="73"/>
      <c r="F7416" s="45"/>
    </row>
    <row r="7417" spans="4:6" x14ac:dyDescent="0.2">
      <c r="D7417" s="50"/>
      <c r="E7417" s="73"/>
      <c r="F7417" s="45"/>
    </row>
    <row r="7418" spans="4:6" x14ac:dyDescent="0.2">
      <c r="D7418" s="50"/>
      <c r="E7418" s="73"/>
      <c r="F7418" s="45"/>
    </row>
    <row r="7419" spans="4:6" x14ac:dyDescent="0.2">
      <c r="D7419" s="50"/>
      <c r="E7419" s="73"/>
      <c r="F7419" s="45"/>
    </row>
    <row r="7420" spans="4:6" x14ac:dyDescent="0.2">
      <c r="D7420" s="50"/>
      <c r="E7420" s="73"/>
      <c r="F7420" s="45"/>
    </row>
    <row r="7421" spans="4:6" x14ac:dyDescent="0.2">
      <c r="D7421" s="50"/>
      <c r="E7421" s="73"/>
      <c r="F7421" s="45"/>
    </row>
    <row r="7422" spans="4:6" x14ac:dyDescent="0.2">
      <c r="D7422" s="50"/>
      <c r="E7422" s="73"/>
      <c r="F7422" s="45"/>
    </row>
    <row r="7423" spans="4:6" x14ac:dyDescent="0.2">
      <c r="D7423" s="50"/>
      <c r="E7423" s="73"/>
      <c r="F7423" s="45"/>
    </row>
    <row r="7424" spans="4:6" x14ac:dyDescent="0.2">
      <c r="D7424" s="50"/>
      <c r="E7424" s="73"/>
      <c r="F7424" s="45"/>
    </row>
    <row r="7425" spans="4:6" x14ac:dyDescent="0.2">
      <c r="D7425" s="50"/>
      <c r="E7425" s="73"/>
      <c r="F7425" s="45"/>
    </row>
    <row r="7426" spans="4:6" x14ac:dyDescent="0.2">
      <c r="D7426" s="50"/>
      <c r="E7426" s="73"/>
      <c r="F7426" s="45"/>
    </row>
    <row r="7427" spans="4:6" x14ac:dyDescent="0.2">
      <c r="D7427" s="50"/>
      <c r="E7427" s="73"/>
      <c r="F7427" s="45"/>
    </row>
    <row r="7428" spans="4:6" x14ac:dyDescent="0.2">
      <c r="D7428" s="50"/>
      <c r="E7428" s="73"/>
      <c r="F7428" s="45"/>
    </row>
    <row r="7429" spans="4:6" x14ac:dyDescent="0.2">
      <c r="D7429" s="50"/>
      <c r="E7429" s="73"/>
      <c r="F7429" s="45"/>
    </row>
    <row r="7430" spans="4:6" x14ac:dyDescent="0.2">
      <c r="D7430" s="50"/>
      <c r="E7430" s="73"/>
      <c r="F7430" s="45"/>
    </row>
    <row r="7431" spans="4:6" x14ac:dyDescent="0.2">
      <c r="D7431" s="50"/>
      <c r="E7431" s="73"/>
      <c r="F7431" s="45"/>
    </row>
    <row r="7432" spans="4:6" x14ac:dyDescent="0.2">
      <c r="D7432" s="50"/>
      <c r="E7432" s="73"/>
      <c r="F7432" s="45"/>
    </row>
    <row r="7433" spans="4:6" x14ac:dyDescent="0.2">
      <c r="D7433" s="50"/>
      <c r="E7433" s="73"/>
      <c r="F7433" s="45"/>
    </row>
    <row r="7434" spans="4:6" x14ac:dyDescent="0.2">
      <c r="D7434" s="50"/>
      <c r="E7434" s="73"/>
      <c r="F7434" s="45"/>
    </row>
    <row r="7435" spans="4:6" x14ac:dyDescent="0.2">
      <c r="D7435" s="50"/>
      <c r="E7435" s="73"/>
      <c r="F7435" s="45"/>
    </row>
    <row r="7436" spans="4:6" x14ac:dyDescent="0.2">
      <c r="D7436" s="50"/>
      <c r="E7436" s="73"/>
      <c r="F7436" s="45"/>
    </row>
    <row r="7437" spans="4:6" x14ac:dyDescent="0.2">
      <c r="D7437" s="50"/>
      <c r="E7437" s="73"/>
      <c r="F7437" s="45"/>
    </row>
    <row r="7438" spans="4:6" x14ac:dyDescent="0.2">
      <c r="D7438" s="50"/>
      <c r="E7438" s="73"/>
      <c r="F7438" s="45"/>
    </row>
    <row r="7439" spans="4:6" x14ac:dyDescent="0.2">
      <c r="D7439" s="50"/>
      <c r="E7439" s="73"/>
      <c r="F7439" s="45"/>
    </row>
    <row r="7440" spans="4:6" x14ac:dyDescent="0.2">
      <c r="D7440" s="50"/>
      <c r="E7440" s="73"/>
      <c r="F7440" s="45"/>
    </row>
    <row r="7441" spans="4:6" x14ac:dyDescent="0.2">
      <c r="D7441" s="50"/>
      <c r="E7441" s="73"/>
      <c r="F7441" s="45"/>
    </row>
    <row r="7442" spans="4:6" x14ac:dyDescent="0.2">
      <c r="D7442" s="50"/>
      <c r="E7442" s="73"/>
      <c r="F7442" s="45"/>
    </row>
    <row r="7443" spans="4:6" x14ac:dyDescent="0.2">
      <c r="D7443" s="50"/>
      <c r="E7443" s="73"/>
      <c r="F7443" s="45"/>
    </row>
    <row r="7444" spans="4:6" x14ac:dyDescent="0.2">
      <c r="D7444" s="50"/>
      <c r="E7444" s="73"/>
      <c r="F7444" s="45"/>
    </row>
    <row r="7445" spans="4:6" x14ac:dyDescent="0.2">
      <c r="D7445" s="50"/>
      <c r="E7445" s="73"/>
      <c r="F7445" s="45"/>
    </row>
    <row r="7446" spans="4:6" x14ac:dyDescent="0.2">
      <c r="D7446" s="50"/>
      <c r="E7446" s="73"/>
      <c r="F7446" s="45"/>
    </row>
    <row r="7447" spans="4:6" x14ac:dyDescent="0.2">
      <c r="D7447" s="50"/>
      <c r="E7447" s="73"/>
      <c r="F7447" s="45"/>
    </row>
    <row r="7448" spans="4:6" x14ac:dyDescent="0.2">
      <c r="D7448" s="50"/>
      <c r="E7448" s="73"/>
      <c r="F7448" s="45"/>
    </row>
    <row r="7449" spans="4:6" x14ac:dyDescent="0.2">
      <c r="D7449" s="50"/>
      <c r="E7449" s="73"/>
      <c r="F7449" s="45"/>
    </row>
    <row r="7450" spans="4:6" x14ac:dyDescent="0.2">
      <c r="D7450" s="50"/>
      <c r="E7450" s="73"/>
      <c r="F7450" s="45"/>
    </row>
    <row r="7451" spans="4:6" x14ac:dyDescent="0.2">
      <c r="D7451" s="50"/>
      <c r="E7451" s="73"/>
      <c r="F7451" s="45"/>
    </row>
    <row r="7452" spans="4:6" x14ac:dyDescent="0.2">
      <c r="D7452" s="50"/>
      <c r="E7452" s="73"/>
      <c r="F7452" s="45"/>
    </row>
    <row r="7453" spans="4:6" x14ac:dyDescent="0.2">
      <c r="D7453" s="50"/>
      <c r="E7453" s="73"/>
      <c r="F7453" s="45"/>
    </row>
    <row r="7454" spans="4:6" x14ac:dyDescent="0.2">
      <c r="D7454" s="50"/>
      <c r="E7454" s="73"/>
      <c r="F7454" s="45"/>
    </row>
    <row r="7455" spans="4:6" x14ac:dyDescent="0.2">
      <c r="D7455" s="50"/>
      <c r="E7455" s="73"/>
      <c r="F7455" s="45"/>
    </row>
    <row r="7456" spans="4:6" x14ac:dyDescent="0.2">
      <c r="D7456" s="50"/>
      <c r="E7456" s="73"/>
      <c r="F7456" s="45"/>
    </row>
    <row r="7457" spans="4:6" x14ac:dyDescent="0.2">
      <c r="D7457" s="50"/>
      <c r="E7457" s="73"/>
      <c r="F7457" s="45"/>
    </row>
    <row r="7458" spans="4:6" x14ac:dyDescent="0.2">
      <c r="D7458" s="50"/>
      <c r="E7458" s="73"/>
      <c r="F7458" s="45"/>
    </row>
    <row r="7459" spans="4:6" x14ac:dyDescent="0.2">
      <c r="D7459" s="50"/>
      <c r="E7459" s="73"/>
      <c r="F7459" s="45"/>
    </row>
    <row r="7460" spans="4:6" x14ac:dyDescent="0.2">
      <c r="D7460" s="50"/>
      <c r="E7460" s="73"/>
      <c r="F7460" s="45"/>
    </row>
    <row r="7461" spans="4:6" x14ac:dyDescent="0.2">
      <c r="D7461" s="50"/>
      <c r="E7461" s="73"/>
      <c r="F7461" s="45"/>
    </row>
    <row r="7462" spans="4:6" x14ac:dyDescent="0.2">
      <c r="D7462" s="50"/>
      <c r="E7462" s="73"/>
      <c r="F7462" s="45"/>
    </row>
    <row r="7463" spans="4:6" x14ac:dyDescent="0.2">
      <c r="D7463" s="50"/>
      <c r="E7463" s="73"/>
      <c r="F7463" s="45"/>
    </row>
    <row r="7464" spans="4:6" x14ac:dyDescent="0.2">
      <c r="D7464" s="50"/>
      <c r="E7464" s="73"/>
      <c r="F7464" s="45"/>
    </row>
    <row r="7465" spans="4:6" x14ac:dyDescent="0.2">
      <c r="D7465" s="50"/>
      <c r="E7465" s="73"/>
      <c r="F7465" s="45"/>
    </row>
    <row r="7466" spans="4:6" x14ac:dyDescent="0.2">
      <c r="D7466" s="50"/>
      <c r="E7466" s="73"/>
      <c r="F7466" s="45"/>
    </row>
    <row r="7467" spans="4:6" x14ac:dyDescent="0.2">
      <c r="D7467" s="50"/>
      <c r="E7467" s="73"/>
      <c r="F7467" s="45"/>
    </row>
    <row r="7468" spans="4:6" x14ac:dyDescent="0.2">
      <c r="D7468" s="50"/>
      <c r="E7468" s="73"/>
      <c r="F7468" s="45"/>
    </row>
    <row r="7469" spans="4:6" x14ac:dyDescent="0.2">
      <c r="D7469" s="50"/>
      <c r="E7469" s="73"/>
      <c r="F7469" s="45"/>
    </row>
    <row r="7470" spans="4:6" x14ac:dyDescent="0.2">
      <c r="D7470" s="50"/>
      <c r="E7470" s="73"/>
      <c r="F7470" s="45"/>
    </row>
    <row r="7471" spans="4:6" x14ac:dyDescent="0.2">
      <c r="D7471" s="50"/>
      <c r="E7471" s="73"/>
      <c r="F7471" s="45"/>
    </row>
    <row r="7472" spans="4:6" x14ac:dyDescent="0.2">
      <c r="D7472" s="50"/>
      <c r="E7472" s="73"/>
      <c r="F7472" s="45"/>
    </row>
    <row r="7473" spans="4:6" x14ac:dyDescent="0.2">
      <c r="D7473" s="50"/>
      <c r="E7473" s="73"/>
      <c r="F7473" s="45"/>
    </row>
    <row r="7474" spans="4:6" x14ac:dyDescent="0.2">
      <c r="D7474" s="50"/>
      <c r="E7474" s="73"/>
      <c r="F7474" s="45"/>
    </row>
    <row r="7475" spans="4:6" x14ac:dyDescent="0.2">
      <c r="D7475" s="50"/>
      <c r="E7475" s="73"/>
      <c r="F7475" s="45"/>
    </row>
    <row r="7476" spans="4:6" x14ac:dyDescent="0.2">
      <c r="D7476" s="50"/>
      <c r="E7476" s="73"/>
      <c r="F7476" s="45"/>
    </row>
    <row r="7477" spans="4:6" x14ac:dyDescent="0.2">
      <c r="D7477" s="50"/>
      <c r="E7477" s="73"/>
      <c r="F7477" s="45"/>
    </row>
    <row r="7478" spans="4:6" x14ac:dyDescent="0.2">
      <c r="D7478" s="50"/>
      <c r="E7478" s="73"/>
      <c r="F7478" s="45"/>
    </row>
    <row r="7479" spans="4:6" x14ac:dyDescent="0.2">
      <c r="D7479" s="50"/>
      <c r="E7479" s="73"/>
      <c r="F7479" s="45"/>
    </row>
    <row r="7480" spans="4:6" x14ac:dyDescent="0.2">
      <c r="D7480" s="50"/>
      <c r="E7480" s="73"/>
      <c r="F7480" s="45"/>
    </row>
    <row r="7481" spans="4:6" x14ac:dyDescent="0.2">
      <c r="D7481" s="50"/>
      <c r="E7481" s="73"/>
      <c r="F7481" s="45"/>
    </row>
    <row r="7482" spans="4:6" x14ac:dyDescent="0.2">
      <c r="D7482" s="50"/>
      <c r="E7482" s="73"/>
      <c r="F7482" s="45"/>
    </row>
    <row r="7483" spans="4:6" x14ac:dyDescent="0.2">
      <c r="D7483" s="50"/>
      <c r="E7483" s="73"/>
      <c r="F7483" s="45"/>
    </row>
    <row r="7484" spans="4:6" x14ac:dyDescent="0.2">
      <c r="D7484" s="50"/>
      <c r="E7484" s="73"/>
      <c r="F7484" s="45"/>
    </row>
    <row r="7485" spans="4:6" x14ac:dyDescent="0.2">
      <c r="D7485" s="50"/>
      <c r="E7485" s="73"/>
      <c r="F7485" s="45"/>
    </row>
    <row r="7486" spans="4:6" x14ac:dyDescent="0.2">
      <c r="D7486" s="50"/>
      <c r="E7486" s="73"/>
      <c r="F7486" s="45"/>
    </row>
    <row r="7487" spans="4:6" x14ac:dyDescent="0.2">
      <c r="D7487" s="50"/>
      <c r="E7487" s="73"/>
      <c r="F7487" s="45"/>
    </row>
    <row r="7488" spans="4:6" x14ac:dyDescent="0.2">
      <c r="D7488" s="50"/>
      <c r="E7488" s="73"/>
      <c r="F7488" s="45"/>
    </row>
    <row r="7489" spans="4:6" x14ac:dyDescent="0.2">
      <c r="D7489" s="50"/>
      <c r="E7489" s="73"/>
      <c r="F7489" s="45"/>
    </row>
    <row r="7490" spans="4:6" x14ac:dyDescent="0.2">
      <c r="D7490" s="50"/>
      <c r="E7490" s="73"/>
      <c r="F7490" s="45"/>
    </row>
    <row r="7491" spans="4:6" x14ac:dyDescent="0.2">
      <c r="D7491" s="50"/>
      <c r="E7491" s="73"/>
      <c r="F7491" s="45"/>
    </row>
    <row r="7492" spans="4:6" x14ac:dyDescent="0.2">
      <c r="D7492" s="50"/>
      <c r="E7492" s="73"/>
      <c r="F7492" s="45"/>
    </row>
    <row r="7493" spans="4:6" x14ac:dyDescent="0.2">
      <c r="D7493" s="50"/>
      <c r="E7493" s="73"/>
      <c r="F7493" s="45"/>
    </row>
    <row r="7494" spans="4:6" x14ac:dyDescent="0.2">
      <c r="D7494" s="50"/>
      <c r="E7494" s="73"/>
      <c r="F7494" s="45"/>
    </row>
    <row r="7495" spans="4:6" x14ac:dyDescent="0.2">
      <c r="D7495" s="50"/>
      <c r="E7495" s="73"/>
      <c r="F7495" s="45"/>
    </row>
    <row r="7496" spans="4:6" x14ac:dyDescent="0.2">
      <c r="D7496" s="50"/>
      <c r="E7496" s="73"/>
      <c r="F7496" s="45"/>
    </row>
    <row r="7497" spans="4:6" x14ac:dyDescent="0.2">
      <c r="D7497" s="50"/>
      <c r="E7497" s="73"/>
      <c r="F7497" s="45"/>
    </row>
    <row r="7498" spans="4:6" x14ac:dyDescent="0.2">
      <c r="D7498" s="50"/>
      <c r="E7498" s="73"/>
      <c r="F7498" s="45"/>
    </row>
    <row r="7499" spans="4:6" x14ac:dyDescent="0.2">
      <c r="D7499" s="50"/>
      <c r="E7499" s="73"/>
      <c r="F7499" s="45"/>
    </row>
    <row r="7500" spans="4:6" x14ac:dyDescent="0.2">
      <c r="D7500" s="50"/>
      <c r="E7500" s="73"/>
      <c r="F7500" s="45"/>
    </row>
    <row r="7501" spans="4:6" x14ac:dyDescent="0.2">
      <c r="D7501" s="50"/>
      <c r="E7501" s="73"/>
      <c r="F7501" s="45"/>
    </row>
    <row r="7502" spans="4:6" x14ac:dyDescent="0.2">
      <c r="D7502" s="50"/>
      <c r="E7502" s="73"/>
      <c r="F7502" s="45"/>
    </row>
    <row r="7503" spans="4:6" x14ac:dyDescent="0.2">
      <c r="D7503" s="50"/>
      <c r="E7503" s="73"/>
      <c r="F7503" s="45"/>
    </row>
    <row r="7504" spans="4:6" x14ac:dyDescent="0.2">
      <c r="D7504" s="50"/>
      <c r="E7504" s="73"/>
      <c r="F7504" s="45"/>
    </row>
    <row r="7505" spans="4:6" x14ac:dyDescent="0.2">
      <c r="D7505" s="50"/>
      <c r="E7505" s="73"/>
      <c r="F7505" s="45"/>
    </row>
    <row r="7506" spans="4:6" x14ac:dyDescent="0.2">
      <c r="D7506" s="50"/>
      <c r="E7506" s="73"/>
      <c r="F7506" s="45"/>
    </row>
    <row r="7507" spans="4:6" x14ac:dyDescent="0.2">
      <c r="D7507" s="50"/>
      <c r="E7507" s="73"/>
      <c r="F7507" s="45"/>
    </row>
    <row r="7508" spans="4:6" x14ac:dyDescent="0.2">
      <c r="D7508" s="50"/>
      <c r="E7508" s="73"/>
      <c r="F7508" s="45"/>
    </row>
    <row r="7509" spans="4:6" x14ac:dyDescent="0.2">
      <c r="D7509" s="50"/>
      <c r="E7509" s="73"/>
      <c r="F7509" s="45"/>
    </row>
    <row r="7510" spans="4:6" x14ac:dyDescent="0.2">
      <c r="D7510" s="50"/>
      <c r="E7510" s="73"/>
      <c r="F7510" s="45"/>
    </row>
    <row r="7511" spans="4:6" x14ac:dyDescent="0.2">
      <c r="D7511" s="50"/>
      <c r="E7511" s="73"/>
      <c r="F7511" s="45"/>
    </row>
    <row r="7512" spans="4:6" x14ac:dyDescent="0.2">
      <c r="D7512" s="50"/>
      <c r="E7512" s="73"/>
      <c r="F7512" s="45"/>
    </row>
    <row r="7513" spans="4:6" x14ac:dyDescent="0.2">
      <c r="D7513" s="50"/>
      <c r="E7513" s="73"/>
      <c r="F7513" s="45"/>
    </row>
    <row r="7514" spans="4:6" x14ac:dyDescent="0.2">
      <c r="D7514" s="50"/>
      <c r="E7514" s="73"/>
      <c r="F7514" s="45"/>
    </row>
    <row r="7515" spans="4:6" x14ac:dyDescent="0.2">
      <c r="D7515" s="50"/>
      <c r="E7515" s="73"/>
      <c r="F7515" s="45"/>
    </row>
    <row r="7516" spans="4:6" x14ac:dyDescent="0.2">
      <c r="D7516" s="50"/>
      <c r="E7516" s="73"/>
      <c r="F7516" s="45"/>
    </row>
    <row r="7517" spans="4:6" x14ac:dyDescent="0.2">
      <c r="D7517" s="50"/>
      <c r="E7517" s="73"/>
      <c r="F7517" s="45"/>
    </row>
    <row r="7518" spans="4:6" x14ac:dyDescent="0.2">
      <c r="D7518" s="50"/>
      <c r="E7518" s="73"/>
      <c r="F7518" s="45"/>
    </row>
    <row r="7519" spans="4:6" x14ac:dyDescent="0.2">
      <c r="D7519" s="50"/>
      <c r="E7519" s="73"/>
      <c r="F7519" s="45"/>
    </row>
    <row r="7520" spans="4:6" x14ac:dyDescent="0.2">
      <c r="D7520" s="50"/>
      <c r="E7520" s="73"/>
      <c r="F7520" s="45"/>
    </row>
    <row r="7521" spans="4:6" x14ac:dyDescent="0.2">
      <c r="D7521" s="50"/>
      <c r="E7521" s="73"/>
      <c r="F7521" s="45"/>
    </row>
    <row r="7522" spans="4:6" x14ac:dyDescent="0.2">
      <c r="D7522" s="50"/>
      <c r="E7522" s="73"/>
      <c r="F7522" s="45"/>
    </row>
    <row r="7523" spans="4:6" x14ac:dyDescent="0.2">
      <c r="D7523" s="50"/>
      <c r="E7523" s="73"/>
      <c r="F7523" s="45"/>
    </row>
    <row r="7524" spans="4:6" x14ac:dyDescent="0.2">
      <c r="D7524" s="50"/>
      <c r="E7524" s="73"/>
      <c r="F7524" s="45"/>
    </row>
    <row r="7525" spans="4:6" x14ac:dyDescent="0.2">
      <c r="D7525" s="50"/>
      <c r="E7525" s="73"/>
      <c r="F7525" s="45"/>
    </row>
    <row r="7526" spans="4:6" x14ac:dyDescent="0.2">
      <c r="D7526" s="50"/>
      <c r="E7526" s="73"/>
      <c r="F7526" s="45"/>
    </row>
    <row r="7527" spans="4:6" x14ac:dyDescent="0.2">
      <c r="D7527" s="50"/>
      <c r="E7527" s="73"/>
      <c r="F7527" s="45"/>
    </row>
    <row r="7528" spans="4:6" x14ac:dyDescent="0.2">
      <c r="D7528" s="50"/>
      <c r="E7528" s="73"/>
      <c r="F7528" s="45"/>
    </row>
    <row r="7529" spans="4:6" x14ac:dyDescent="0.2">
      <c r="D7529" s="50"/>
      <c r="E7529" s="73"/>
      <c r="F7529" s="45"/>
    </row>
    <row r="7530" spans="4:6" x14ac:dyDescent="0.2">
      <c r="D7530" s="50"/>
      <c r="E7530" s="73"/>
      <c r="F7530" s="45"/>
    </row>
    <row r="7531" spans="4:6" x14ac:dyDescent="0.2">
      <c r="D7531" s="50"/>
      <c r="E7531" s="73"/>
      <c r="F7531" s="45"/>
    </row>
    <row r="7532" spans="4:6" x14ac:dyDescent="0.2">
      <c r="D7532" s="50"/>
      <c r="E7532" s="73"/>
      <c r="F7532" s="45"/>
    </row>
    <row r="7533" spans="4:6" x14ac:dyDescent="0.2">
      <c r="D7533" s="50"/>
      <c r="E7533" s="73"/>
      <c r="F7533" s="45"/>
    </row>
    <row r="7534" spans="4:6" x14ac:dyDescent="0.2">
      <c r="D7534" s="50"/>
      <c r="E7534" s="73"/>
      <c r="F7534" s="45"/>
    </row>
    <row r="7535" spans="4:6" x14ac:dyDescent="0.2">
      <c r="D7535" s="50"/>
      <c r="E7535" s="73"/>
      <c r="F7535" s="45"/>
    </row>
    <row r="7536" spans="4:6" x14ac:dyDescent="0.2">
      <c r="D7536" s="50"/>
      <c r="E7536" s="73"/>
      <c r="F7536" s="45"/>
    </row>
    <row r="7537" spans="4:6" x14ac:dyDescent="0.2">
      <c r="D7537" s="50"/>
      <c r="E7537" s="73"/>
      <c r="F7537" s="45"/>
    </row>
    <row r="7538" spans="4:6" x14ac:dyDescent="0.2">
      <c r="D7538" s="50"/>
      <c r="E7538" s="73"/>
      <c r="F7538" s="45"/>
    </row>
    <row r="7539" spans="4:6" x14ac:dyDescent="0.2">
      <c r="D7539" s="50"/>
      <c r="E7539" s="73"/>
      <c r="F7539" s="45"/>
    </row>
    <row r="7540" spans="4:6" x14ac:dyDescent="0.2">
      <c r="D7540" s="50"/>
      <c r="E7540" s="73"/>
      <c r="F7540" s="45"/>
    </row>
    <row r="7541" spans="4:6" x14ac:dyDescent="0.2">
      <c r="D7541" s="50"/>
      <c r="E7541" s="73"/>
      <c r="F7541" s="45"/>
    </row>
    <row r="7542" spans="4:6" x14ac:dyDescent="0.2">
      <c r="D7542" s="50"/>
      <c r="E7542" s="73"/>
      <c r="F7542" s="45"/>
    </row>
    <row r="7543" spans="4:6" x14ac:dyDescent="0.2">
      <c r="D7543" s="50"/>
      <c r="E7543" s="73"/>
      <c r="F7543" s="45"/>
    </row>
    <row r="7544" spans="4:6" x14ac:dyDescent="0.2">
      <c r="D7544" s="50"/>
      <c r="E7544" s="73"/>
      <c r="F7544" s="45"/>
    </row>
    <row r="7545" spans="4:6" x14ac:dyDescent="0.2">
      <c r="D7545" s="50"/>
      <c r="E7545" s="73"/>
      <c r="F7545" s="45"/>
    </row>
    <row r="7546" spans="4:6" x14ac:dyDescent="0.2">
      <c r="D7546" s="50"/>
      <c r="E7546" s="73"/>
      <c r="F7546" s="45"/>
    </row>
    <row r="7547" spans="4:6" x14ac:dyDescent="0.2">
      <c r="D7547" s="50"/>
      <c r="E7547" s="73"/>
      <c r="F7547" s="45"/>
    </row>
    <row r="7548" spans="4:6" x14ac:dyDescent="0.2">
      <c r="D7548" s="50"/>
      <c r="E7548" s="73"/>
      <c r="F7548" s="45"/>
    </row>
    <row r="7549" spans="4:6" x14ac:dyDescent="0.2">
      <c r="D7549" s="50"/>
      <c r="E7549" s="73"/>
      <c r="F7549" s="45"/>
    </row>
    <row r="7550" spans="4:6" x14ac:dyDescent="0.2">
      <c r="D7550" s="50"/>
      <c r="E7550" s="73"/>
      <c r="F7550" s="45"/>
    </row>
    <row r="7551" spans="4:6" x14ac:dyDescent="0.2">
      <c r="D7551" s="50"/>
      <c r="E7551" s="73"/>
      <c r="F7551" s="45"/>
    </row>
    <row r="7552" spans="4:6" x14ac:dyDescent="0.2">
      <c r="D7552" s="50"/>
      <c r="E7552" s="73"/>
      <c r="F7552" s="45"/>
    </row>
    <row r="7553" spans="4:6" x14ac:dyDescent="0.2">
      <c r="D7553" s="50"/>
      <c r="E7553" s="73"/>
      <c r="F7553" s="45"/>
    </row>
    <row r="7554" spans="4:6" x14ac:dyDescent="0.2">
      <c r="D7554" s="50"/>
      <c r="E7554" s="73"/>
      <c r="F7554" s="45"/>
    </row>
    <row r="7555" spans="4:6" x14ac:dyDescent="0.2">
      <c r="D7555" s="50"/>
      <c r="E7555" s="73"/>
      <c r="F7555" s="45"/>
    </row>
    <row r="7556" spans="4:6" x14ac:dyDescent="0.2">
      <c r="D7556" s="50"/>
      <c r="E7556" s="73"/>
      <c r="F7556" s="45"/>
    </row>
    <row r="7557" spans="4:6" x14ac:dyDescent="0.2">
      <c r="D7557" s="50"/>
      <c r="E7557" s="73"/>
      <c r="F7557" s="45"/>
    </row>
    <row r="7558" spans="4:6" x14ac:dyDescent="0.2">
      <c r="D7558" s="50"/>
      <c r="E7558" s="73"/>
      <c r="F7558" s="45"/>
    </row>
    <row r="7559" spans="4:6" x14ac:dyDescent="0.2">
      <c r="D7559" s="50"/>
      <c r="E7559" s="73"/>
      <c r="F7559" s="45"/>
    </row>
    <row r="7560" spans="4:6" x14ac:dyDescent="0.2">
      <c r="D7560" s="50"/>
      <c r="E7560" s="73"/>
      <c r="F7560" s="45"/>
    </row>
    <row r="7561" spans="4:6" x14ac:dyDescent="0.2">
      <c r="D7561" s="50"/>
      <c r="E7561" s="73"/>
      <c r="F7561" s="45"/>
    </row>
    <row r="7562" spans="4:6" x14ac:dyDescent="0.2">
      <c r="D7562" s="50"/>
      <c r="E7562" s="73"/>
      <c r="F7562" s="45"/>
    </row>
    <row r="7563" spans="4:6" x14ac:dyDescent="0.2">
      <c r="D7563" s="50"/>
      <c r="E7563" s="73"/>
      <c r="F7563" s="45"/>
    </row>
    <row r="7564" spans="4:6" x14ac:dyDescent="0.2">
      <c r="D7564" s="50"/>
      <c r="E7564" s="73"/>
      <c r="F7564" s="45"/>
    </row>
    <row r="7565" spans="4:6" x14ac:dyDescent="0.2">
      <c r="D7565" s="50"/>
      <c r="E7565" s="73"/>
      <c r="F7565" s="45"/>
    </row>
    <row r="7566" spans="4:6" x14ac:dyDescent="0.2">
      <c r="D7566" s="50"/>
      <c r="E7566" s="73"/>
      <c r="F7566" s="45"/>
    </row>
    <row r="7567" spans="4:6" x14ac:dyDescent="0.2">
      <c r="D7567" s="50"/>
      <c r="E7567" s="73"/>
      <c r="F7567" s="45"/>
    </row>
    <row r="7568" spans="4:6" x14ac:dyDescent="0.2">
      <c r="D7568" s="50"/>
      <c r="E7568" s="73"/>
      <c r="F7568" s="45"/>
    </row>
    <row r="7569" spans="4:6" x14ac:dyDescent="0.2">
      <c r="D7569" s="50"/>
      <c r="E7569" s="73"/>
      <c r="F7569" s="45"/>
    </row>
    <row r="7570" spans="4:6" x14ac:dyDescent="0.2">
      <c r="D7570" s="50"/>
      <c r="E7570" s="73"/>
      <c r="F7570" s="45"/>
    </row>
    <row r="7571" spans="4:6" x14ac:dyDescent="0.2">
      <c r="D7571" s="50"/>
      <c r="E7571" s="73"/>
      <c r="F7571" s="45"/>
    </row>
    <row r="7572" spans="4:6" x14ac:dyDescent="0.2">
      <c r="D7572" s="50"/>
      <c r="E7572" s="73"/>
      <c r="F7572" s="45"/>
    </row>
    <row r="7573" spans="4:6" x14ac:dyDescent="0.2">
      <c r="D7573" s="50"/>
      <c r="E7573" s="73"/>
      <c r="F7573" s="45"/>
    </row>
    <row r="7574" spans="4:6" x14ac:dyDescent="0.2">
      <c r="D7574" s="50"/>
      <c r="E7574" s="73"/>
      <c r="F7574" s="45"/>
    </row>
    <row r="7575" spans="4:6" x14ac:dyDescent="0.2">
      <c r="D7575" s="50"/>
      <c r="E7575" s="73"/>
      <c r="F7575" s="45"/>
    </row>
    <row r="7576" spans="4:6" x14ac:dyDescent="0.2">
      <c r="D7576" s="50"/>
      <c r="E7576" s="73"/>
      <c r="F7576" s="45"/>
    </row>
    <row r="7577" spans="4:6" x14ac:dyDescent="0.2">
      <c r="D7577" s="50"/>
      <c r="E7577" s="73"/>
      <c r="F7577" s="45"/>
    </row>
    <row r="7578" spans="4:6" x14ac:dyDescent="0.2">
      <c r="D7578" s="50"/>
      <c r="E7578" s="73"/>
      <c r="F7578" s="45"/>
    </row>
    <row r="7579" spans="4:6" x14ac:dyDescent="0.2">
      <c r="D7579" s="50"/>
      <c r="E7579" s="73"/>
      <c r="F7579" s="45"/>
    </row>
    <row r="7580" spans="4:6" x14ac:dyDescent="0.2">
      <c r="D7580" s="50"/>
      <c r="E7580" s="73"/>
      <c r="F7580" s="45"/>
    </row>
    <row r="7581" spans="4:6" x14ac:dyDescent="0.2">
      <c r="D7581" s="50"/>
      <c r="E7581" s="73"/>
      <c r="F7581" s="45"/>
    </row>
    <row r="7582" spans="4:6" x14ac:dyDescent="0.2">
      <c r="D7582" s="50"/>
      <c r="E7582" s="73"/>
      <c r="F7582" s="45"/>
    </row>
    <row r="7583" spans="4:6" x14ac:dyDescent="0.2">
      <c r="D7583" s="50"/>
      <c r="E7583" s="73"/>
      <c r="F7583" s="45"/>
    </row>
    <row r="7584" spans="4:6" x14ac:dyDescent="0.2">
      <c r="D7584" s="50"/>
      <c r="E7584" s="73"/>
      <c r="F7584" s="45"/>
    </row>
    <row r="7585" spans="4:6" x14ac:dyDescent="0.2">
      <c r="D7585" s="50"/>
      <c r="E7585" s="73"/>
      <c r="F7585" s="45"/>
    </row>
    <row r="7586" spans="4:6" x14ac:dyDescent="0.2">
      <c r="D7586" s="50"/>
      <c r="E7586" s="73"/>
      <c r="F7586" s="45"/>
    </row>
    <row r="7587" spans="4:6" x14ac:dyDescent="0.2">
      <c r="D7587" s="50"/>
      <c r="E7587" s="73"/>
      <c r="F7587" s="45"/>
    </row>
    <row r="7588" spans="4:6" x14ac:dyDescent="0.2">
      <c r="D7588" s="50"/>
      <c r="E7588" s="73"/>
      <c r="F7588" s="45"/>
    </row>
    <row r="7589" spans="4:6" x14ac:dyDescent="0.2">
      <c r="D7589" s="50"/>
      <c r="E7589" s="73"/>
      <c r="F7589" s="45"/>
    </row>
    <row r="7590" spans="4:6" x14ac:dyDescent="0.2">
      <c r="D7590" s="50"/>
      <c r="E7590" s="73"/>
      <c r="F7590" s="45"/>
    </row>
    <row r="7591" spans="4:6" x14ac:dyDescent="0.2">
      <c r="D7591" s="50"/>
      <c r="E7591" s="73"/>
      <c r="F7591" s="45"/>
    </row>
    <row r="7592" spans="4:6" x14ac:dyDescent="0.2">
      <c r="D7592" s="50"/>
      <c r="E7592" s="73"/>
      <c r="F7592" s="45"/>
    </row>
    <row r="7593" spans="4:6" x14ac:dyDescent="0.2">
      <c r="D7593" s="50"/>
      <c r="E7593" s="73"/>
      <c r="F7593" s="45"/>
    </row>
    <row r="7594" spans="4:6" x14ac:dyDescent="0.2">
      <c r="D7594" s="50"/>
      <c r="E7594" s="73"/>
      <c r="F7594" s="45"/>
    </row>
    <row r="7595" spans="4:6" x14ac:dyDescent="0.2">
      <c r="D7595" s="50"/>
      <c r="E7595" s="73"/>
      <c r="F7595" s="45"/>
    </row>
    <row r="7596" spans="4:6" x14ac:dyDescent="0.2">
      <c r="D7596" s="50"/>
      <c r="E7596" s="73"/>
      <c r="F7596" s="45"/>
    </row>
    <row r="7597" spans="4:6" x14ac:dyDescent="0.2">
      <c r="D7597" s="50"/>
      <c r="E7597" s="73"/>
      <c r="F7597" s="45"/>
    </row>
    <row r="7598" spans="4:6" x14ac:dyDescent="0.2">
      <c r="D7598" s="50"/>
      <c r="E7598" s="73"/>
      <c r="F7598" s="45"/>
    </row>
    <row r="7599" spans="4:6" x14ac:dyDescent="0.2">
      <c r="D7599" s="50"/>
      <c r="E7599" s="73"/>
      <c r="F7599" s="45"/>
    </row>
    <row r="7600" spans="4:6" x14ac:dyDescent="0.2">
      <c r="D7600" s="50"/>
      <c r="E7600" s="73"/>
      <c r="F7600" s="45"/>
    </row>
    <row r="7601" spans="4:6" x14ac:dyDescent="0.2">
      <c r="D7601" s="50"/>
      <c r="E7601" s="73"/>
      <c r="F7601" s="45"/>
    </row>
    <row r="7602" spans="4:6" x14ac:dyDescent="0.2">
      <c r="D7602" s="50"/>
      <c r="E7602" s="73"/>
      <c r="F7602" s="45"/>
    </row>
    <row r="7603" spans="4:6" x14ac:dyDescent="0.2">
      <c r="D7603" s="50"/>
      <c r="E7603" s="73"/>
      <c r="F7603" s="45"/>
    </row>
    <row r="7604" spans="4:6" x14ac:dyDescent="0.2">
      <c r="D7604" s="50"/>
      <c r="E7604" s="73"/>
      <c r="F7604" s="45"/>
    </row>
    <row r="7605" spans="4:6" x14ac:dyDescent="0.2">
      <c r="D7605" s="50"/>
      <c r="E7605" s="73"/>
      <c r="F7605" s="45"/>
    </row>
    <row r="7606" spans="4:6" x14ac:dyDescent="0.2">
      <c r="D7606" s="50"/>
      <c r="E7606" s="73"/>
      <c r="F7606" s="45"/>
    </row>
    <row r="7607" spans="4:6" x14ac:dyDescent="0.2">
      <c r="D7607" s="50"/>
      <c r="E7607" s="73"/>
      <c r="F7607" s="45"/>
    </row>
    <row r="7608" spans="4:6" x14ac:dyDescent="0.2">
      <c r="D7608" s="50"/>
      <c r="E7608" s="73"/>
      <c r="F7608" s="45"/>
    </row>
    <row r="7609" spans="4:6" x14ac:dyDescent="0.2">
      <c r="D7609" s="50"/>
      <c r="E7609" s="73"/>
      <c r="F7609" s="45"/>
    </row>
    <row r="7610" spans="4:6" x14ac:dyDescent="0.2">
      <c r="D7610" s="50"/>
      <c r="E7610" s="73"/>
      <c r="F7610" s="45"/>
    </row>
    <row r="7611" spans="4:6" x14ac:dyDescent="0.2">
      <c r="D7611" s="50"/>
      <c r="E7611" s="73"/>
      <c r="F7611" s="45"/>
    </row>
    <row r="7612" spans="4:6" x14ac:dyDescent="0.2">
      <c r="D7612" s="50"/>
      <c r="E7612" s="73"/>
      <c r="F7612" s="45"/>
    </row>
    <row r="7613" spans="4:6" x14ac:dyDescent="0.2">
      <c r="D7613" s="50"/>
      <c r="E7613" s="73"/>
      <c r="F7613" s="45"/>
    </row>
    <row r="7614" spans="4:6" x14ac:dyDescent="0.2">
      <c r="D7614" s="50"/>
      <c r="E7614" s="73"/>
      <c r="F7614" s="45"/>
    </row>
    <row r="7615" spans="4:6" x14ac:dyDescent="0.2">
      <c r="D7615" s="50"/>
      <c r="E7615" s="73"/>
      <c r="F7615" s="45"/>
    </row>
    <row r="7616" spans="4:6" x14ac:dyDescent="0.2">
      <c r="D7616" s="50"/>
      <c r="E7616" s="73"/>
      <c r="F7616" s="45"/>
    </row>
    <row r="7617" spans="4:6" x14ac:dyDescent="0.2">
      <c r="D7617" s="50"/>
      <c r="E7617" s="73"/>
      <c r="F7617" s="45"/>
    </row>
    <row r="7618" spans="4:6" x14ac:dyDescent="0.2">
      <c r="D7618" s="50"/>
      <c r="E7618" s="73"/>
      <c r="F7618" s="45"/>
    </row>
    <row r="7619" spans="4:6" x14ac:dyDescent="0.2">
      <c r="D7619" s="50"/>
      <c r="E7619" s="73"/>
      <c r="F7619" s="45"/>
    </row>
    <row r="7620" spans="4:6" x14ac:dyDescent="0.2">
      <c r="D7620" s="50"/>
      <c r="E7620" s="73"/>
      <c r="F7620" s="45"/>
    </row>
    <row r="7621" spans="4:6" x14ac:dyDescent="0.2">
      <c r="D7621" s="50"/>
      <c r="E7621" s="73"/>
      <c r="F7621" s="45"/>
    </row>
    <row r="7622" spans="4:6" x14ac:dyDescent="0.2">
      <c r="D7622" s="50"/>
      <c r="E7622" s="73"/>
      <c r="F7622" s="45"/>
    </row>
    <row r="7623" spans="4:6" x14ac:dyDescent="0.2">
      <c r="D7623" s="50"/>
      <c r="E7623" s="73"/>
      <c r="F7623" s="45"/>
    </row>
    <row r="7624" spans="4:6" x14ac:dyDescent="0.2">
      <c r="D7624" s="50"/>
      <c r="E7624" s="73"/>
      <c r="F7624" s="45"/>
    </row>
    <row r="7625" spans="4:6" x14ac:dyDescent="0.2">
      <c r="D7625" s="50"/>
      <c r="E7625" s="73"/>
      <c r="F7625" s="45"/>
    </row>
    <row r="7626" spans="4:6" x14ac:dyDescent="0.2">
      <c r="D7626" s="50"/>
      <c r="E7626" s="73"/>
      <c r="F7626" s="45"/>
    </row>
    <row r="7627" spans="4:6" x14ac:dyDescent="0.2">
      <c r="D7627" s="50"/>
      <c r="E7627" s="73"/>
      <c r="F7627" s="45"/>
    </row>
    <row r="7628" spans="4:6" x14ac:dyDescent="0.2">
      <c r="D7628" s="50"/>
      <c r="E7628" s="73"/>
      <c r="F7628" s="45"/>
    </row>
    <row r="7629" spans="4:6" x14ac:dyDescent="0.2">
      <c r="D7629" s="50"/>
      <c r="E7629" s="73"/>
      <c r="F7629" s="45"/>
    </row>
    <row r="7630" spans="4:6" x14ac:dyDescent="0.2">
      <c r="D7630" s="50"/>
      <c r="E7630" s="73"/>
      <c r="F7630" s="45"/>
    </row>
    <row r="7631" spans="4:6" x14ac:dyDescent="0.2">
      <c r="D7631" s="50"/>
      <c r="E7631" s="73"/>
      <c r="F7631" s="45"/>
    </row>
    <row r="7632" spans="4:6" x14ac:dyDescent="0.2">
      <c r="D7632" s="50"/>
      <c r="E7632" s="73"/>
      <c r="F7632" s="45"/>
    </row>
    <row r="7633" spans="4:6" x14ac:dyDescent="0.2">
      <c r="D7633" s="50"/>
      <c r="E7633" s="73"/>
      <c r="F7633" s="45"/>
    </row>
    <row r="7634" spans="4:6" x14ac:dyDescent="0.2">
      <c r="D7634" s="50"/>
      <c r="E7634" s="73"/>
      <c r="F7634" s="45"/>
    </row>
    <row r="7635" spans="4:6" x14ac:dyDescent="0.2">
      <c r="D7635" s="50"/>
      <c r="E7635" s="73"/>
      <c r="F7635" s="45"/>
    </row>
    <row r="7636" spans="4:6" x14ac:dyDescent="0.2">
      <c r="D7636" s="50"/>
      <c r="E7636" s="73"/>
      <c r="F7636" s="45"/>
    </row>
    <row r="7637" spans="4:6" x14ac:dyDescent="0.2">
      <c r="D7637" s="50"/>
      <c r="E7637" s="73"/>
      <c r="F7637" s="45"/>
    </row>
    <row r="7638" spans="4:6" x14ac:dyDescent="0.2">
      <c r="D7638" s="50"/>
      <c r="E7638" s="73"/>
      <c r="F7638" s="45"/>
    </row>
    <row r="7639" spans="4:6" x14ac:dyDescent="0.2">
      <c r="D7639" s="50"/>
      <c r="E7639" s="73"/>
      <c r="F7639" s="45"/>
    </row>
    <row r="7640" spans="4:6" x14ac:dyDescent="0.2">
      <c r="D7640" s="50"/>
      <c r="E7640" s="73"/>
      <c r="F7640" s="45"/>
    </row>
    <row r="7641" spans="4:6" x14ac:dyDescent="0.2">
      <c r="D7641" s="50"/>
      <c r="E7641" s="73"/>
      <c r="F7641" s="45"/>
    </row>
    <row r="7642" spans="4:6" x14ac:dyDescent="0.2">
      <c r="D7642" s="50"/>
      <c r="E7642" s="73"/>
      <c r="F7642" s="45"/>
    </row>
    <row r="7643" spans="4:6" x14ac:dyDescent="0.2">
      <c r="D7643" s="50"/>
      <c r="E7643" s="73"/>
      <c r="F7643" s="45"/>
    </row>
    <row r="7644" spans="4:6" x14ac:dyDescent="0.2">
      <c r="D7644" s="50"/>
      <c r="E7644" s="73"/>
      <c r="F7644" s="45"/>
    </row>
    <row r="7645" spans="4:6" x14ac:dyDescent="0.2">
      <c r="D7645" s="50"/>
      <c r="E7645" s="73"/>
      <c r="F7645" s="45"/>
    </row>
    <row r="7646" spans="4:6" x14ac:dyDescent="0.2">
      <c r="D7646" s="50"/>
      <c r="E7646" s="73"/>
      <c r="F7646" s="45"/>
    </row>
    <row r="7647" spans="4:6" x14ac:dyDescent="0.2">
      <c r="D7647" s="50"/>
      <c r="E7647" s="73"/>
      <c r="F7647" s="45"/>
    </row>
    <row r="7648" spans="4:6" x14ac:dyDescent="0.2">
      <c r="D7648" s="50"/>
      <c r="E7648" s="73"/>
      <c r="F7648" s="45"/>
    </row>
    <row r="7649" spans="4:6" x14ac:dyDescent="0.2">
      <c r="D7649" s="50"/>
      <c r="E7649" s="73"/>
      <c r="F7649" s="45"/>
    </row>
    <row r="7650" spans="4:6" x14ac:dyDescent="0.2">
      <c r="D7650" s="50"/>
      <c r="E7650" s="73"/>
      <c r="F7650" s="45"/>
    </row>
    <row r="7651" spans="4:6" x14ac:dyDescent="0.2">
      <c r="D7651" s="50"/>
      <c r="E7651" s="73"/>
      <c r="F7651" s="45"/>
    </row>
    <row r="7652" spans="4:6" x14ac:dyDescent="0.2">
      <c r="D7652" s="50"/>
      <c r="E7652" s="73"/>
      <c r="F7652" s="45"/>
    </row>
    <row r="7653" spans="4:6" x14ac:dyDescent="0.2">
      <c r="D7653" s="50"/>
      <c r="E7653" s="73"/>
      <c r="F7653" s="45"/>
    </row>
    <row r="7654" spans="4:6" x14ac:dyDescent="0.2">
      <c r="D7654" s="50"/>
      <c r="E7654" s="73"/>
      <c r="F7654" s="45"/>
    </row>
    <row r="7655" spans="4:6" x14ac:dyDescent="0.2">
      <c r="D7655" s="50"/>
      <c r="E7655" s="73"/>
      <c r="F7655" s="45"/>
    </row>
    <row r="7656" spans="4:6" x14ac:dyDescent="0.2">
      <c r="D7656" s="50"/>
      <c r="E7656" s="73"/>
      <c r="F7656" s="45"/>
    </row>
    <row r="7657" spans="4:6" x14ac:dyDescent="0.2">
      <c r="D7657" s="50"/>
      <c r="E7657" s="73"/>
      <c r="F7657" s="45"/>
    </row>
    <row r="7658" spans="4:6" x14ac:dyDescent="0.2">
      <c r="D7658" s="50"/>
      <c r="E7658" s="73"/>
      <c r="F7658" s="45"/>
    </row>
    <row r="7659" spans="4:6" x14ac:dyDescent="0.2">
      <c r="D7659" s="50"/>
      <c r="E7659" s="73"/>
      <c r="F7659" s="45"/>
    </row>
    <row r="7660" spans="4:6" x14ac:dyDescent="0.2">
      <c r="D7660" s="50"/>
      <c r="E7660" s="73"/>
      <c r="F7660" s="45"/>
    </row>
    <row r="7661" spans="4:6" x14ac:dyDescent="0.2">
      <c r="D7661" s="50"/>
      <c r="E7661" s="73"/>
      <c r="F7661" s="45"/>
    </row>
    <row r="7662" spans="4:6" x14ac:dyDescent="0.2">
      <c r="D7662" s="50"/>
      <c r="E7662" s="73"/>
      <c r="F7662" s="45"/>
    </row>
    <row r="7663" spans="4:6" x14ac:dyDescent="0.2">
      <c r="D7663" s="50"/>
      <c r="E7663" s="73"/>
      <c r="F7663" s="45"/>
    </row>
    <row r="7664" spans="4:6" x14ac:dyDescent="0.2">
      <c r="D7664" s="50"/>
      <c r="E7664" s="73"/>
      <c r="F7664" s="45"/>
    </row>
    <row r="7665" spans="4:6" x14ac:dyDescent="0.2">
      <c r="D7665" s="50"/>
      <c r="E7665" s="73"/>
      <c r="F7665" s="45"/>
    </row>
    <row r="7666" spans="4:6" x14ac:dyDescent="0.2">
      <c r="D7666" s="50"/>
      <c r="E7666" s="73"/>
      <c r="F7666" s="45"/>
    </row>
    <row r="7667" spans="4:6" x14ac:dyDescent="0.2">
      <c r="D7667" s="50"/>
      <c r="E7667" s="73"/>
      <c r="F7667" s="45"/>
    </row>
    <row r="7668" spans="4:6" x14ac:dyDescent="0.2">
      <c r="D7668" s="50"/>
      <c r="E7668" s="73"/>
      <c r="F7668" s="45"/>
    </row>
    <row r="7669" spans="4:6" x14ac:dyDescent="0.2">
      <c r="D7669" s="50"/>
      <c r="E7669" s="73"/>
      <c r="F7669" s="45"/>
    </row>
    <row r="7670" spans="4:6" x14ac:dyDescent="0.2">
      <c r="D7670" s="50"/>
      <c r="E7670" s="73"/>
      <c r="F7670" s="45"/>
    </row>
    <row r="7671" spans="4:6" x14ac:dyDescent="0.2">
      <c r="D7671" s="50"/>
      <c r="E7671" s="73"/>
      <c r="F7671" s="45"/>
    </row>
    <row r="7672" spans="4:6" x14ac:dyDescent="0.2">
      <c r="D7672" s="50"/>
      <c r="E7672" s="73"/>
      <c r="F7672" s="45"/>
    </row>
    <row r="7673" spans="4:6" x14ac:dyDescent="0.2">
      <c r="D7673" s="50"/>
      <c r="E7673" s="73"/>
      <c r="F7673" s="45"/>
    </row>
    <row r="7674" spans="4:6" x14ac:dyDescent="0.2">
      <c r="D7674" s="50"/>
      <c r="E7674" s="73"/>
      <c r="F7674" s="45"/>
    </row>
    <row r="7675" spans="4:6" x14ac:dyDescent="0.2">
      <c r="D7675" s="50"/>
      <c r="E7675" s="73"/>
      <c r="F7675" s="45"/>
    </row>
    <row r="7676" spans="4:6" x14ac:dyDescent="0.2">
      <c r="D7676" s="50"/>
      <c r="E7676" s="73"/>
      <c r="F7676" s="45"/>
    </row>
    <row r="7677" spans="4:6" x14ac:dyDescent="0.2">
      <c r="D7677" s="50"/>
      <c r="E7677" s="73"/>
      <c r="F7677" s="45"/>
    </row>
    <row r="7678" spans="4:6" x14ac:dyDescent="0.2">
      <c r="D7678" s="50"/>
      <c r="E7678" s="73"/>
      <c r="F7678" s="45"/>
    </row>
    <row r="7679" spans="4:6" x14ac:dyDescent="0.2">
      <c r="D7679" s="50"/>
      <c r="E7679" s="73"/>
      <c r="F7679" s="45"/>
    </row>
    <row r="7680" spans="4:6" x14ac:dyDescent="0.2">
      <c r="D7680" s="50"/>
      <c r="E7680" s="73"/>
      <c r="F7680" s="45"/>
    </row>
    <row r="7681" spans="4:6" x14ac:dyDescent="0.2">
      <c r="D7681" s="50"/>
      <c r="E7681" s="73"/>
      <c r="F7681" s="45"/>
    </row>
    <row r="7682" spans="4:6" x14ac:dyDescent="0.2">
      <c r="D7682" s="50"/>
      <c r="E7682" s="73"/>
      <c r="F7682" s="45"/>
    </row>
    <row r="7683" spans="4:6" x14ac:dyDescent="0.2">
      <c r="D7683" s="50"/>
      <c r="E7683" s="73"/>
      <c r="F7683" s="45"/>
    </row>
    <row r="7684" spans="4:6" x14ac:dyDescent="0.2">
      <c r="D7684" s="50"/>
      <c r="E7684" s="73"/>
      <c r="F7684" s="45"/>
    </row>
    <row r="7685" spans="4:6" x14ac:dyDescent="0.2">
      <c r="D7685" s="50"/>
      <c r="E7685" s="73"/>
      <c r="F7685" s="45"/>
    </row>
    <row r="7686" spans="4:6" x14ac:dyDescent="0.2">
      <c r="D7686" s="50"/>
      <c r="E7686" s="73"/>
      <c r="F7686" s="45"/>
    </row>
    <row r="7687" spans="4:6" x14ac:dyDescent="0.2">
      <c r="D7687" s="50"/>
      <c r="E7687" s="73"/>
      <c r="F7687" s="45"/>
    </row>
    <row r="7688" spans="4:6" x14ac:dyDescent="0.2">
      <c r="D7688" s="50"/>
      <c r="E7688" s="73"/>
      <c r="F7688" s="45"/>
    </row>
    <row r="7689" spans="4:6" x14ac:dyDescent="0.2">
      <c r="D7689" s="50"/>
      <c r="E7689" s="73"/>
      <c r="F7689" s="45"/>
    </row>
    <row r="7690" spans="4:6" x14ac:dyDescent="0.2">
      <c r="D7690" s="50"/>
      <c r="E7690" s="73"/>
      <c r="F7690" s="45"/>
    </row>
    <row r="7691" spans="4:6" x14ac:dyDescent="0.2">
      <c r="D7691" s="50"/>
      <c r="E7691" s="73"/>
      <c r="F7691" s="45"/>
    </row>
    <row r="7692" spans="4:6" x14ac:dyDescent="0.2">
      <c r="D7692" s="50"/>
      <c r="E7692" s="73"/>
      <c r="F7692" s="45"/>
    </row>
    <row r="7693" spans="4:6" x14ac:dyDescent="0.2">
      <c r="D7693" s="50"/>
      <c r="E7693" s="73"/>
      <c r="F7693" s="45"/>
    </row>
    <row r="7694" spans="4:6" x14ac:dyDescent="0.2">
      <c r="D7694" s="50"/>
      <c r="E7694" s="73"/>
      <c r="F7694" s="45"/>
    </row>
    <row r="7695" spans="4:6" x14ac:dyDescent="0.2">
      <c r="D7695" s="50"/>
      <c r="E7695" s="73"/>
      <c r="F7695" s="45"/>
    </row>
    <row r="7696" spans="4:6" x14ac:dyDescent="0.2">
      <c r="D7696" s="50"/>
      <c r="E7696" s="73"/>
      <c r="F7696" s="45"/>
    </row>
    <row r="7697" spans="4:6" x14ac:dyDescent="0.2">
      <c r="D7697" s="50"/>
      <c r="E7697" s="73"/>
      <c r="F7697" s="45"/>
    </row>
    <row r="7698" spans="4:6" x14ac:dyDescent="0.2">
      <c r="D7698" s="50"/>
      <c r="E7698" s="73"/>
      <c r="F7698" s="45"/>
    </row>
    <row r="7699" spans="4:6" x14ac:dyDescent="0.2">
      <c r="D7699" s="50"/>
      <c r="E7699" s="73"/>
      <c r="F7699" s="45"/>
    </row>
    <row r="7700" spans="4:6" x14ac:dyDescent="0.2">
      <c r="D7700" s="50"/>
      <c r="E7700" s="73"/>
      <c r="F7700" s="45"/>
    </row>
    <row r="7701" spans="4:6" x14ac:dyDescent="0.2">
      <c r="D7701" s="50"/>
      <c r="E7701" s="73"/>
      <c r="F7701" s="45"/>
    </row>
    <row r="7702" spans="4:6" x14ac:dyDescent="0.2">
      <c r="D7702" s="50"/>
      <c r="E7702" s="73"/>
      <c r="F7702" s="45"/>
    </row>
    <row r="7703" spans="4:6" x14ac:dyDescent="0.2">
      <c r="D7703" s="50"/>
      <c r="E7703" s="73"/>
      <c r="F7703" s="45"/>
    </row>
    <row r="7704" spans="4:6" x14ac:dyDescent="0.2">
      <c r="D7704" s="50"/>
      <c r="E7704" s="73"/>
      <c r="F7704" s="45"/>
    </row>
    <row r="7705" spans="4:6" x14ac:dyDescent="0.2">
      <c r="D7705" s="50"/>
      <c r="E7705" s="73"/>
      <c r="F7705" s="45"/>
    </row>
    <row r="7706" spans="4:6" x14ac:dyDescent="0.2">
      <c r="D7706" s="50"/>
      <c r="E7706" s="73"/>
      <c r="F7706" s="45"/>
    </row>
    <row r="7707" spans="4:6" x14ac:dyDescent="0.2">
      <c r="D7707" s="50"/>
      <c r="E7707" s="73"/>
      <c r="F7707" s="45"/>
    </row>
    <row r="7708" spans="4:6" x14ac:dyDescent="0.2">
      <c r="D7708" s="50"/>
      <c r="E7708" s="73"/>
      <c r="F7708" s="45"/>
    </row>
    <row r="7709" spans="4:6" x14ac:dyDescent="0.2">
      <c r="D7709" s="50"/>
      <c r="E7709" s="73"/>
      <c r="F7709" s="45"/>
    </row>
    <row r="7710" spans="4:6" x14ac:dyDescent="0.2">
      <c r="D7710" s="50"/>
      <c r="E7710" s="73"/>
      <c r="F7710" s="45"/>
    </row>
    <row r="7711" spans="4:6" x14ac:dyDescent="0.2">
      <c r="D7711" s="50"/>
      <c r="E7711" s="73"/>
      <c r="F7711" s="45"/>
    </row>
    <row r="7712" spans="4:6" x14ac:dyDescent="0.2">
      <c r="D7712" s="50"/>
      <c r="E7712" s="73"/>
      <c r="F7712" s="45"/>
    </row>
    <row r="7713" spans="4:6" x14ac:dyDescent="0.2">
      <c r="D7713" s="50"/>
      <c r="E7713" s="73"/>
      <c r="F7713" s="45"/>
    </row>
    <row r="7714" spans="4:6" x14ac:dyDescent="0.2">
      <c r="D7714" s="50"/>
      <c r="E7714" s="73"/>
      <c r="F7714" s="45"/>
    </row>
    <row r="7715" spans="4:6" x14ac:dyDescent="0.2">
      <c r="D7715" s="50"/>
      <c r="E7715" s="73"/>
      <c r="F7715" s="45"/>
    </row>
    <row r="7716" spans="4:6" x14ac:dyDescent="0.2">
      <c r="D7716" s="50"/>
      <c r="E7716" s="73"/>
      <c r="F7716" s="45"/>
    </row>
    <row r="7717" spans="4:6" x14ac:dyDescent="0.2">
      <c r="D7717" s="50"/>
      <c r="E7717" s="73"/>
      <c r="F7717" s="45"/>
    </row>
    <row r="7718" spans="4:6" x14ac:dyDescent="0.2">
      <c r="D7718" s="50"/>
      <c r="E7718" s="73"/>
      <c r="F7718" s="45"/>
    </row>
    <row r="7719" spans="4:6" x14ac:dyDescent="0.2">
      <c r="D7719" s="50"/>
      <c r="E7719" s="73"/>
      <c r="F7719" s="45"/>
    </row>
    <row r="7720" spans="4:6" x14ac:dyDescent="0.2">
      <c r="D7720" s="50"/>
      <c r="E7720" s="73"/>
      <c r="F7720" s="45"/>
    </row>
    <row r="7721" spans="4:6" x14ac:dyDescent="0.2">
      <c r="D7721" s="50"/>
      <c r="E7721" s="73"/>
      <c r="F7721" s="45"/>
    </row>
    <row r="7722" spans="4:6" x14ac:dyDescent="0.2">
      <c r="D7722" s="50"/>
      <c r="E7722" s="73"/>
      <c r="F7722" s="45"/>
    </row>
    <row r="7723" spans="4:6" x14ac:dyDescent="0.2">
      <c r="D7723" s="50"/>
      <c r="E7723" s="73"/>
      <c r="F7723" s="45"/>
    </row>
    <row r="7724" spans="4:6" x14ac:dyDescent="0.2">
      <c r="D7724" s="50"/>
      <c r="E7724" s="73"/>
      <c r="F7724" s="45"/>
    </row>
    <row r="7725" spans="4:6" x14ac:dyDescent="0.2">
      <c r="D7725" s="50"/>
      <c r="E7725" s="73"/>
      <c r="F7725" s="45"/>
    </row>
    <row r="7726" spans="4:6" x14ac:dyDescent="0.2">
      <c r="D7726" s="50"/>
      <c r="E7726" s="73"/>
      <c r="F7726" s="45"/>
    </row>
    <row r="7727" spans="4:6" x14ac:dyDescent="0.2">
      <c r="D7727" s="50"/>
      <c r="E7727" s="73"/>
      <c r="F7727" s="45"/>
    </row>
    <row r="7728" spans="4:6" x14ac:dyDescent="0.2">
      <c r="D7728" s="50"/>
      <c r="E7728" s="73"/>
      <c r="F7728" s="45"/>
    </row>
    <row r="7729" spans="4:6" x14ac:dyDescent="0.2">
      <c r="D7729" s="50"/>
      <c r="E7729" s="73"/>
      <c r="F7729" s="45"/>
    </row>
    <row r="7730" spans="4:6" x14ac:dyDescent="0.2">
      <c r="D7730" s="50"/>
      <c r="E7730" s="73"/>
      <c r="F7730" s="45"/>
    </row>
    <row r="7731" spans="4:6" x14ac:dyDescent="0.2">
      <c r="D7731" s="50"/>
      <c r="E7731" s="73"/>
      <c r="F7731" s="45"/>
    </row>
    <row r="7732" spans="4:6" x14ac:dyDescent="0.2">
      <c r="D7732" s="50"/>
      <c r="E7732" s="73"/>
      <c r="F7732" s="45"/>
    </row>
    <row r="7733" spans="4:6" x14ac:dyDescent="0.2">
      <c r="D7733" s="50"/>
      <c r="E7733" s="73"/>
      <c r="F7733" s="45"/>
    </row>
    <row r="7734" spans="4:6" x14ac:dyDescent="0.2">
      <c r="D7734" s="50"/>
      <c r="E7734" s="73"/>
      <c r="F7734" s="45"/>
    </row>
    <row r="7735" spans="4:6" x14ac:dyDescent="0.2">
      <c r="D7735" s="50"/>
      <c r="E7735" s="73"/>
      <c r="F7735" s="45"/>
    </row>
    <row r="7736" spans="4:6" x14ac:dyDescent="0.2">
      <c r="D7736" s="50"/>
      <c r="E7736" s="73"/>
      <c r="F7736" s="45"/>
    </row>
    <row r="7737" spans="4:6" x14ac:dyDescent="0.2">
      <c r="D7737" s="50"/>
      <c r="E7737" s="73"/>
      <c r="F7737" s="45"/>
    </row>
    <row r="7738" spans="4:6" x14ac:dyDescent="0.2">
      <c r="D7738" s="50"/>
      <c r="E7738" s="73"/>
      <c r="F7738" s="45"/>
    </row>
    <row r="7739" spans="4:6" x14ac:dyDescent="0.2">
      <c r="D7739" s="50"/>
      <c r="E7739" s="73"/>
      <c r="F7739" s="45"/>
    </row>
    <row r="7740" spans="4:6" x14ac:dyDescent="0.2">
      <c r="D7740" s="50"/>
      <c r="E7740" s="73"/>
      <c r="F7740" s="45"/>
    </row>
    <row r="7741" spans="4:6" x14ac:dyDescent="0.2">
      <c r="D7741" s="50"/>
      <c r="E7741" s="73"/>
      <c r="F7741" s="45"/>
    </row>
    <row r="7742" spans="4:6" x14ac:dyDescent="0.2">
      <c r="D7742" s="50"/>
      <c r="E7742" s="73"/>
      <c r="F7742" s="45"/>
    </row>
    <row r="7743" spans="4:6" x14ac:dyDescent="0.2">
      <c r="D7743" s="50"/>
      <c r="E7743" s="73"/>
      <c r="F7743" s="45"/>
    </row>
    <row r="7744" spans="4:6" x14ac:dyDescent="0.2">
      <c r="D7744" s="50"/>
      <c r="E7744" s="73"/>
      <c r="F7744" s="45"/>
    </row>
    <row r="7745" spans="4:6" x14ac:dyDescent="0.2">
      <c r="D7745" s="50"/>
      <c r="E7745" s="73"/>
      <c r="F7745" s="45"/>
    </row>
    <row r="7746" spans="4:6" x14ac:dyDescent="0.2">
      <c r="D7746" s="50"/>
      <c r="E7746" s="73"/>
      <c r="F7746" s="45"/>
    </row>
    <row r="7747" spans="4:6" x14ac:dyDescent="0.2">
      <c r="D7747" s="50"/>
      <c r="E7747" s="73"/>
      <c r="F7747" s="45"/>
    </row>
    <row r="7748" spans="4:6" x14ac:dyDescent="0.2">
      <c r="D7748" s="50"/>
      <c r="E7748" s="73"/>
      <c r="F7748" s="45"/>
    </row>
    <row r="7749" spans="4:6" x14ac:dyDescent="0.2">
      <c r="D7749" s="50"/>
      <c r="E7749" s="73"/>
      <c r="F7749" s="45"/>
    </row>
    <row r="7750" spans="4:6" x14ac:dyDescent="0.2">
      <c r="D7750" s="50"/>
      <c r="E7750" s="73"/>
      <c r="F7750" s="45"/>
    </row>
    <row r="7751" spans="4:6" x14ac:dyDescent="0.2">
      <c r="D7751" s="50"/>
      <c r="E7751" s="73"/>
      <c r="F7751" s="45"/>
    </row>
    <row r="7752" spans="4:6" x14ac:dyDescent="0.2">
      <c r="D7752" s="50"/>
      <c r="E7752" s="73"/>
      <c r="F7752" s="45"/>
    </row>
    <row r="7753" spans="4:6" x14ac:dyDescent="0.2">
      <c r="D7753" s="50"/>
      <c r="E7753" s="73"/>
      <c r="F7753" s="45"/>
    </row>
    <row r="7754" spans="4:6" x14ac:dyDescent="0.2">
      <c r="D7754" s="50"/>
      <c r="E7754" s="73"/>
      <c r="F7754" s="45"/>
    </row>
    <row r="7755" spans="4:6" x14ac:dyDescent="0.2">
      <c r="D7755" s="50"/>
      <c r="E7755" s="73"/>
      <c r="F7755" s="45"/>
    </row>
    <row r="7756" spans="4:6" x14ac:dyDescent="0.2">
      <c r="D7756" s="50"/>
      <c r="E7756" s="73"/>
      <c r="F7756" s="45"/>
    </row>
    <row r="7757" spans="4:6" x14ac:dyDescent="0.2">
      <c r="D7757" s="50"/>
      <c r="E7757" s="73"/>
      <c r="F7757" s="45"/>
    </row>
    <row r="7758" spans="4:6" x14ac:dyDescent="0.2">
      <c r="D7758" s="50"/>
      <c r="E7758" s="73"/>
      <c r="F7758" s="45"/>
    </row>
    <row r="7759" spans="4:6" x14ac:dyDescent="0.2">
      <c r="D7759" s="50"/>
      <c r="E7759" s="73"/>
      <c r="F7759" s="45"/>
    </row>
    <row r="7760" spans="4:6" x14ac:dyDescent="0.2">
      <c r="D7760" s="50"/>
      <c r="E7760" s="73"/>
      <c r="F7760" s="45"/>
    </row>
    <row r="7761" spans="4:6" x14ac:dyDescent="0.2">
      <c r="D7761" s="50"/>
      <c r="E7761" s="73"/>
      <c r="F7761" s="45"/>
    </row>
    <row r="7762" spans="4:6" x14ac:dyDescent="0.2">
      <c r="D7762" s="50"/>
      <c r="E7762" s="73"/>
      <c r="F7762" s="45"/>
    </row>
    <row r="7763" spans="4:6" x14ac:dyDescent="0.2">
      <c r="D7763" s="50"/>
      <c r="E7763" s="73"/>
      <c r="F7763" s="45"/>
    </row>
    <row r="7764" spans="4:6" x14ac:dyDescent="0.2">
      <c r="D7764" s="50"/>
      <c r="E7764" s="73"/>
      <c r="F7764" s="45"/>
    </row>
    <row r="7765" spans="4:6" x14ac:dyDescent="0.2">
      <c r="D7765" s="50"/>
      <c r="E7765" s="73"/>
      <c r="F7765" s="45"/>
    </row>
    <row r="7766" spans="4:6" x14ac:dyDescent="0.2">
      <c r="D7766" s="50"/>
      <c r="E7766" s="73"/>
      <c r="F7766" s="45"/>
    </row>
    <row r="7767" spans="4:6" x14ac:dyDescent="0.2">
      <c r="D7767" s="50"/>
      <c r="E7767" s="73"/>
      <c r="F7767" s="45"/>
    </row>
    <row r="7768" spans="4:6" x14ac:dyDescent="0.2">
      <c r="D7768" s="50"/>
      <c r="E7768" s="73"/>
      <c r="F7768" s="45"/>
    </row>
    <row r="7769" spans="4:6" x14ac:dyDescent="0.2">
      <c r="D7769" s="50"/>
      <c r="E7769" s="73"/>
      <c r="F7769" s="45"/>
    </row>
    <row r="7770" spans="4:6" x14ac:dyDescent="0.2">
      <c r="D7770" s="50"/>
      <c r="E7770" s="73"/>
      <c r="F7770" s="45"/>
    </row>
    <row r="7771" spans="4:6" x14ac:dyDescent="0.2">
      <c r="D7771" s="50"/>
      <c r="E7771" s="73"/>
      <c r="F7771" s="45"/>
    </row>
    <row r="7772" spans="4:6" x14ac:dyDescent="0.2">
      <c r="D7772" s="50"/>
      <c r="E7772" s="73"/>
      <c r="F7772" s="45"/>
    </row>
    <row r="7773" spans="4:6" x14ac:dyDescent="0.2">
      <c r="D7773" s="50"/>
      <c r="E7773" s="73"/>
      <c r="F7773" s="45"/>
    </row>
    <row r="7774" spans="4:6" x14ac:dyDescent="0.2">
      <c r="D7774" s="50"/>
      <c r="E7774" s="73"/>
      <c r="F7774" s="45"/>
    </row>
    <row r="7775" spans="4:6" x14ac:dyDescent="0.2">
      <c r="D7775" s="50"/>
      <c r="E7775" s="73"/>
      <c r="F7775" s="45"/>
    </row>
    <row r="7776" spans="4:6" x14ac:dyDescent="0.2">
      <c r="D7776" s="50"/>
      <c r="E7776" s="73"/>
      <c r="F7776" s="45"/>
    </row>
    <row r="7777" spans="4:6" x14ac:dyDescent="0.2">
      <c r="D7777" s="50"/>
      <c r="E7777" s="73"/>
      <c r="F7777" s="45"/>
    </row>
    <row r="7778" spans="4:6" x14ac:dyDescent="0.2">
      <c r="D7778" s="50"/>
      <c r="E7778" s="73"/>
      <c r="F7778" s="45"/>
    </row>
    <row r="7779" spans="4:6" x14ac:dyDescent="0.2">
      <c r="D7779" s="50"/>
      <c r="E7779" s="73"/>
      <c r="F7779" s="45"/>
    </row>
    <row r="7780" spans="4:6" x14ac:dyDescent="0.2">
      <c r="D7780" s="50"/>
      <c r="E7780" s="73"/>
      <c r="F7780" s="45"/>
    </row>
    <row r="7781" spans="4:6" x14ac:dyDescent="0.2">
      <c r="D7781" s="50"/>
      <c r="E7781" s="73"/>
      <c r="F7781" s="45"/>
    </row>
    <row r="7782" spans="4:6" x14ac:dyDescent="0.2">
      <c r="D7782" s="50"/>
      <c r="E7782" s="73"/>
      <c r="F7782" s="45"/>
    </row>
    <row r="7783" spans="4:6" x14ac:dyDescent="0.2">
      <c r="D7783" s="50"/>
      <c r="E7783" s="73"/>
      <c r="F7783" s="45"/>
    </row>
    <row r="7784" spans="4:6" x14ac:dyDescent="0.2">
      <c r="D7784" s="50"/>
      <c r="E7784" s="73"/>
      <c r="F7784" s="45"/>
    </row>
    <row r="7785" spans="4:6" x14ac:dyDescent="0.2">
      <c r="D7785" s="50"/>
      <c r="E7785" s="73"/>
      <c r="F7785" s="45"/>
    </row>
    <row r="7786" spans="4:6" x14ac:dyDescent="0.2">
      <c r="D7786" s="50"/>
      <c r="E7786" s="73"/>
      <c r="F7786" s="45"/>
    </row>
    <row r="7787" spans="4:6" x14ac:dyDescent="0.2">
      <c r="D7787" s="50"/>
      <c r="E7787" s="73"/>
      <c r="F7787" s="45"/>
    </row>
    <row r="7788" spans="4:6" x14ac:dyDescent="0.2">
      <c r="D7788" s="50"/>
      <c r="E7788" s="73"/>
      <c r="F7788" s="45"/>
    </row>
    <row r="7789" spans="4:6" x14ac:dyDescent="0.2">
      <c r="D7789" s="50"/>
      <c r="E7789" s="73"/>
      <c r="F7789" s="45"/>
    </row>
    <row r="7790" spans="4:6" x14ac:dyDescent="0.2">
      <c r="D7790" s="50"/>
      <c r="E7790" s="73"/>
      <c r="F7790" s="45"/>
    </row>
    <row r="7791" spans="4:6" x14ac:dyDescent="0.2">
      <c r="D7791" s="50"/>
      <c r="E7791" s="73"/>
      <c r="F7791" s="45"/>
    </row>
    <row r="7792" spans="4:6" x14ac:dyDescent="0.2">
      <c r="D7792" s="50"/>
      <c r="E7792" s="73"/>
      <c r="F7792" s="45"/>
    </row>
    <row r="7793" spans="4:6" x14ac:dyDescent="0.2">
      <c r="D7793" s="50"/>
      <c r="E7793" s="73"/>
      <c r="F7793" s="45"/>
    </row>
    <row r="7794" spans="4:6" x14ac:dyDescent="0.2">
      <c r="D7794" s="50"/>
      <c r="E7794" s="73"/>
      <c r="F7794" s="45"/>
    </row>
    <row r="7795" spans="4:6" x14ac:dyDescent="0.2">
      <c r="D7795" s="50"/>
      <c r="E7795" s="73"/>
      <c r="F7795" s="45"/>
    </row>
    <row r="7796" spans="4:6" x14ac:dyDescent="0.2">
      <c r="D7796" s="50"/>
      <c r="E7796" s="73"/>
      <c r="F7796" s="45"/>
    </row>
    <row r="7797" spans="4:6" x14ac:dyDescent="0.2">
      <c r="D7797" s="50"/>
      <c r="E7797" s="73"/>
      <c r="F7797" s="45"/>
    </row>
    <row r="7798" spans="4:6" x14ac:dyDescent="0.2">
      <c r="D7798" s="50"/>
      <c r="E7798" s="73"/>
      <c r="F7798" s="45"/>
    </row>
    <row r="7799" spans="4:6" x14ac:dyDescent="0.2">
      <c r="D7799" s="50"/>
      <c r="E7799" s="73"/>
      <c r="F7799" s="45"/>
    </row>
    <row r="7800" spans="4:6" x14ac:dyDescent="0.2">
      <c r="D7800" s="50"/>
      <c r="E7800" s="73"/>
      <c r="F7800" s="45"/>
    </row>
    <row r="7801" spans="4:6" x14ac:dyDescent="0.2">
      <c r="D7801" s="50"/>
      <c r="E7801" s="73"/>
      <c r="F7801" s="45"/>
    </row>
    <row r="7802" spans="4:6" x14ac:dyDescent="0.2">
      <c r="D7802" s="50"/>
      <c r="E7802" s="73"/>
      <c r="F7802" s="45"/>
    </row>
    <row r="7803" spans="4:6" x14ac:dyDescent="0.2">
      <c r="D7803" s="50"/>
      <c r="E7803" s="73"/>
      <c r="F7803" s="45"/>
    </row>
    <row r="7804" spans="4:6" x14ac:dyDescent="0.2">
      <c r="D7804" s="50"/>
      <c r="E7804" s="73"/>
      <c r="F7804" s="45"/>
    </row>
    <row r="7805" spans="4:6" x14ac:dyDescent="0.2">
      <c r="D7805" s="50"/>
      <c r="E7805" s="73"/>
      <c r="F7805" s="45"/>
    </row>
    <row r="7806" spans="4:6" x14ac:dyDescent="0.2">
      <c r="D7806" s="50"/>
      <c r="E7806" s="73"/>
      <c r="F7806" s="45"/>
    </row>
    <row r="7807" spans="4:6" x14ac:dyDescent="0.2">
      <c r="D7807" s="50"/>
      <c r="E7807" s="73"/>
      <c r="F7807" s="45"/>
    </row>
    <row r="7808" spans="4:6" x14ac:dyDescent="0.2">
      <c r="D7808" s="50"/>
      <c r="E7808" s="73"/>
      <c r="F7808" s="45"/>
    </row>
    <row r="7809" spans="4:6" x14ac:dyDescent="0.2">
      <c r="D7809" s="50"/>
      <c r="E7809" s="73"/>
      <c r="F7809" s="45"/>
    </row>
    <row r="7810" spans="4:6" x14ac:dyDescent="0.2">
      <c r="D7810" s="50"/>
      <c r="E7810" s="73"/>
      <c r="F7810" s="45"/>
    </row>
    <row r="7811" spans="4:6" x14ac:dyDescent="0.2">
      <c r="D7811" s="50"/>
      <c r="E7811" s="73"/>
      <c r="F7811" s="45"/>
    </row>
    <row r="7812" spans="4:6" x14ac:dyDescent="0.2">
      <c r="D7812" s="50"/>
      <c r="E7812" s="73"/>
      <c r="F7812" s="45"/>
    </row>
    <row r="7813" spans="4:6" x14ac:dyDescent="0.2">
      <c r="D7813" s="50"/>
      <c r="E7813" s="73"/>
      <c r="F7813" s="45"/>
    </row>
    <row r="7814" spans="4:6" x14ac:dyDescent="0.2">
      <c r="D7814" s="50"/>
      <c r="E7814" s="73"/>
      <c r="F7814" s="45"/>
    </row>
    <row r="7815" spans="4:6" x14ac:dyDescent="0.2">
      <c r="D7815" s="50"/>
      <c r="E7815" s="73"/>
      <c r="F7815" s="45"/>
    </row>
    <row r="7816" spans="4:6" x14ac:dyDescent="0.2">
      <c r="D7816" s="50"/>
      <c r="E7816" s="73"/>
      <c r="F7816" s="45"/>
    </row>
    <row r="7817" spans="4:6" x14ac:dyDescent="0.2">
      <c r="D7817" s="50"/>
      <c r="E7817" s="73"/>
      <c r="F7817" s="45"/>
    </row>
    <row r="7818" spans="4:6" x14ac:dyDescent="0.2">
      <c r="D7818" s="50"/>
      <c r="E7818" s="73"/>
      <c r="F7818" s="45"/>
    </row>
    <row r="7819" spans="4:6" x14ac:dyDescent="0.2">
      <c r="D7819" s="50"/>
      <c r="E7819" s="73"/>
      <c r="F7819" s="45"/>
    </row>
    <row r="7820" spans="4:6" x14ac:dyDescent="0.2">
      <c r="D7820" s="50"/>
      <c r="E7820" s="73"/>
      <c r="F7820" s="45"/>
    </row>
    <row r="7821" spans="4:6" x14ac:dyDescent="0.2">
      <c r="D7821" s="50"/>
      <c r="E7821" s="73"/>
      <c r="F7821" s="45"/>
    </row>
    <row r="7822" spans="4:6" x14ac:dyDescent="0.2">
      <c r="D7822" s="50"/>
      <c r="E7822" s="73"/>
      <c r="F7822" s="45"/>
    </row>
    <row r="7823" spans="4:6" x14ac:dyDescent="0.2">
      <c r="D7823" s="50"/>
      <c r="E7823" s="73"/>
      <c r="F7823" s="45"/>
    </row>
    <row r="7824" spans="4:6" x14ac:dyDescent="0.2">
      <c r="D7824" s="50"/>
      <c r="E7824" s="73"/>
      <c r="F7824" s="45"/>
    </row>
    <row r="7825" spans="4:6" x14ac:dyDescent="0.2">
      <c r="D7825" s="50"/>
      <c r="E7825" s="73"/>
      <c r="F7825" s="45"/>
    </row>
    <row r="7826" spans="4:6" x14ac:dyDescent="0.2">
      <c r="D7826" s="50"/>
      <c r="E7826" s="73"/>
      <c r="F7826" s="45"/>
    </row>
    <row r="7827" spans="4:6" x14ac:dyDescent="0.2">
      <c r="D7827" s="50"/>
      <c r="E7827" s="73"/>
      <c r="F7827" s="45"/>
    </row>
    <row r="7828" spans="4:6" x14ac:dyDescent="0.2">
      <c r="D7828" s="50"/>
      <c r="E7828" s="73"/>
      <c r="F7828" s="45"/>
    </row>
    <row r="7829" spans="4:6" x14ac:dyDescent="0.2">
      <c r="D7829" s="50"/>
      <c r="E7829" s="73"/>
      <c r="F7829" s="45"/>
    </row>
    <row r="7830" spans="4:6" x14ac:dyDescent="0.2">
      <c r="D7830" s="50"/>
      <c r="E7830" s="73"/>
      <c r="F7830" s="45"/>
    </row>
    <row r="7831" spans="4:6" x14ac:dyDescent="0.2">
      <c r="D7831" s="50"/>
      <c r="E7831" s="73"/>
      <c r="F7831" s="45"/>
    </row>
    <row r="7832" spans="4:6" x14ac:dyDescent="0.2">
      <c r="D7832" s="50"/>
      <c r="E7832" s="73"/>
      <c r="F7832" s="45"/>
    </row>
    <row r="7833" spans="4:6" x14ac:dyDescent="0.2">
      <c r="D7833" s="50"/>
      <c r="E7833" s="73"/>
      <c r="F7833" s="45"/>
    </row>
    <row r="7834" spans="4:6" x14ac:dyDescent="0.2">
      <c r="D7834" s="50"/>
      <c r="E7834" s="73"/>
      <c r="F7834" s="45"/>
    </row>
    <row r="7835" spans="4:6" x14ac:dyDescent="0.2">
      <c r="D7835" s="50"/>
      <c r="E7835" s="73"/>
      <c r="F7835" s="45"/>
    </row>
    <row r="7836" spans="4:6" x14ac:dyDescent="0.2">
      <c r="D7836" s="50"/>
      <c r="E7836" s="73"/>
      <c r="F7836" s="45"/>
    </row>
    <row r="7837" spans="4:6" x14ac:dyDescent="0.2">
      <c r="D7837" s="50"/>
      <c r="E7837" s="73"/>
      <c r="F7837" s="45"/>
    </row>
    <row r="7838" spans="4:6" x14ac:dyDescent="0.2">
      <c r="D7838" s="50"/>
      <c r="E7838" s="73"/>
      <c r="F7838" s="45"/>
    </row>
    <row r="7839" spans="4:6" x14ac:dyDescent="0.2">
      <c r="D7839" s="50"/>
      <c r="E7839" s="73"/>
      <c r="F7839" s="45"/>
    </row>
    <row r="7840" spans="4:6" x14ac:dyDescent="0.2">
      <c r="D7840" s="50"/>
      <c r="E7840" s="73"/>
      <c r="F7840" s="45"/>
    </row>
    <row r="7841" spans="4:6" x14ac:dyDescent="0.2">
      <c r="D7841" s="50"/>
      <c r="E7841" s="73"/>
      <c r="F7841" s="45"/>
    </row>
    <row r="7842" spans="4:6" x14ac:dyDescent="0.2">
      <c r="D7842" s="50"/>
      <c r="E7842" s="73"/>
      <c r="F7842" s="45"/>
    </row>
    <row r="7843" spans="4:6" x14ac:dyDescent="0.2">
      <c r="D7843" s="50"/>
      <c r="E7843" s="73"/>
      <c r="F7843" s="45"/>
    </row>
    <row r="7844" spans="4:6" x14ac:dyDescent="0.2">
      <c r="D7844" s="50"/>
      <c r="E7844" s="73"/>
      <c r="F7844" s="45"/>
    </row>
    <row r="7845" spans="4:6" x14ac:dyDescent="0.2">
      <c r="D7845" s="50"/>
      <c r="E7845" s="73"/>
      <c r="F7845" s="45"/>
    </row>
    <row r="7846" spans="4:6" x14ac:dyDescent="0.2">
      <c r="D7846" s="50"/>
      <c r="E7846" s="73"/>
      <c r="F7846" s="45"/>
    </row>
    <row r="7847" spans="4:6" x14ac:dyDescent="0.2">
      <c r="D7847" s="50"/>
      <c r="E7847" s="73"/>
      <c r="F7847" s="45"/>
    </row>
    <row r="7848" spans="4:6" x14ac:dyDescent="0.2">
      <c r="D7848" s="50"/>
      <c r="E7848" s="73"/>
      <c r="F7848" s="45"/>
    </row>
    <row r="7849" spans="4:6" x14ac:dyDescent="0.2">
      <c r="D7849" s="50"/>
      <c r="E7849" s="73"/>
      <c r="F7849" s="45"/>
    </row>
    <row r="7850" spans="4:6" x14ac:dyDescent="0.2">
      <c r="D7850" s="50"/>
      <c r="E7850" s="73"/>
      <c r="F7850" s="45"/>
    </row>
    <row r="7851" spans="4:6" x14ac:dyDescent="0.2">
      <c r="D7851" s="50"/>
      <c r="E7851" s="73"/>
      <c r="F7851" s="45"/>
    </row>
    <row r="7852" spans="4:6" x14ac:dyDescent="0.2">
      <c r="D7852" s="50"/>
      <c r="E7852" s="73"/>
      <c r="F7852" s="45"/>
    </row>
    <row r="7853" spans="4:6" x14ac:dyDescent="0.2">
      <c r="D7853" s="50"/>
      <c r="E7853" s="73"/>
      <c r="F7853" s="45"/>
    </row>
    <row r="7854" spans="4:6" x14ac:dyDescent="0.2">
      <c r="D7854" s="50"/>
      <c r="E7854" s="73"/>
      <c r="F7854" s="45"/>
    </row>
    <row r="7855" spans="4:6" x14ac:dyDescent="0.2">
      <c r="D7855" s="50"/>
      <c r="E7855" s="73"/>
      <c r="F7855" s="45"/>
    </row>
    <row r="7856" spans="4:6" x14ac:dyDescent="0.2">
      <c r="D7856" s="50"/>
      <c r="E7856" s="73"/>
      <c r="F7856" s="45"/>
    </row>
    <row r="7857" spans="4:6" x14ac:dyDescent="0.2">
      <c r="D7857" s="50"/>
      <c r="E7857" s="73"/>
      <c r="F7857" s="45"/>
    </row>
    <row r="7858" spans="4:6" x14ac:dyDescent="0.2">
      <c r="D7858" s="50"/>
      <c r="E7858" s="73"/>
      <c r="F7858" s="45"/>
    </row>
    <row r="7859" spans="4:6" x14ac:dyDescent="0.2">
      <c r="D7859" s="50"/>
      <c r="E7859" s="73"/>
      <c r="F7859" s="45"/>
    </row>
    <row r="7860" spans="4:6" x14ac:dyDescent="0.2">
      <c r="D7860" s="50"/>
      <c r="E7860" s="73"/>
      <c r="F7860" s="45"/>
    </row>
    <row r="7861" spans="4:6" x14ac:dyDescent="0.2">
      <c r="D7861" s="50"/>
      <c r="E7861" s="73"/>
      <c r="F7861" s="45"/>
    </row>
    <row r="7862" spans="4:6" x14ac:dyDescent="0.2">
      <c r="D7862" s="50"/>
      <c r="E7862" s="73"/>
      <c r="F7862" s="45"/>
    </row>
    <row r="7863" spans="4:6" x14ac:dyDescent="0.2">
      <c r="D7863" s="50"/>
      <c r="E7863" s="73"/>
      <c r="F7863" s="45"/>
    </row>
    <row r="7864" spans="4:6" x14ac:dyDescent="0.2">
      <c r="D7864" s="50"/>
      <c r="E7864" s="73"/>
      <c r="F7864" s="45"/>
    </row>
    <row r="7865" spans="4:6" x14ac:dyDescent="0.2">
      <c r="D7865" s="50"/>
      <c r="E7865" s="73"/>
      <c r="F7865" s="45"/>
    </row>
    <row r="7866" spans="4:6" x14ac:dyDescent="0.2">
      <c r="D7866" s="50"/>
      <c r="E7866" s="73"/>
      <c r="F7866" s="45"/>
    </row>
    <row r="7867" spans="4:6" x14ac:dyDescent="0.2">
      <c r="D7867" s="50"/>
      <c r="E7867" s="73"/>
      <c r="F7867" s="45"/>
    </row>
    <row r="7868" spans="4:6" x14ac:dyDescent="0.2">
      <c r="D7868" s="50"/>
      <c r="E7868" s="73"/>
      <c r="F7868" s="45"/>
    </row>
    <row r="7869" spans="4:6" x14ac:dyDescent="0.2">
      <c r="D7869" s="50"/>
      <c r="E7869" s="73"/>
      <c r="F7869" s="45"/>
    </row>
    <row r="7870" spans="4:6" x14ac:dyDescent="0.2">
      <c r="D7870" s="50"/>
      <c r="E7870" s="73"/>
      <c r="F7870" s="45"/>
    </row>
    <row r="7871" spans="4:6" x14ac:dyDescent="0.2">
      <c r="D7871" s="50"/>
      <c r="E7871" s="73"/>
      <c r="F7871" s="45"/>
    </row>
    <row r="7872" spans="4:6" x14ac:dyDescent="0.2">
      <c r="D7872" s="50"/>
      <c r="E7872" s="73"/>
      <c r="F7872" s="45"/>
    </row>
    <row r="7873" spans="4:6" x14ac:dyDescent="0.2">
      <c r="D7873" s="50"/>
      <c r="E7873" s="73"/>
      <c r="F7873" s="45"/>
    </row>
    <row r="7874" spans="4:6" x14ac:dyDescent="0.2">
      <c r="D7874" s="50"/>
      <c r="E7874" s="73"/>
      <c r="F7874" s="45"/>
    </row>
    <row r="7875" spans="4:6" x14ac:dyDescent="0.2">
      <c r="D7875" s="50"/>
      <c r="E7875" s="73"/>
      <c r="F7875" s="45"/>
    </row>
    <row r="7876" spans="4:6" x14ac:dyDescent="0.2">
      <c r="D7876" s="50"/>
      <c r="E7876" s="73"/>
      <c r="F7876" s="45"/>
    </row>
    <row r="7877" spans="4:6" x14ac:dyDescent="0.2">
      <c r="D7877" s="50"/>
      <c r="E7877" s="73"/>
      <c r="F7877" s="45"/>
    </row>
    <row r="7878" spans="4:6" x14ac:dyDescent="0.2">
      <c r="D7878" s="50"/>
      <c r="E7878" s="73"/>
      <c r="F7878" s="45"/>
    </row>
    <row r="7879" spans="4:6" x14ac:dyDescent="0.2">
      <c r="D7879" s="50"/>
      <c r="E7879" s="73"/>
      <c r="F7879" s="45"/>
    </row>
    <row r="7880" spans="4:6" x14ac:dyDescent="0.2">
      <c r="D7880" s="50"/>
      <c r="E7880" s="73"/>
      <c r="F7880" s="45"/>
    </row>
    <row r="7881" spans="4:6" x14ac:dyDescent="0.2">
      <c r="D7881" s="50"/>
      <c r="E7881" s="73"/>
      <c r="F7881" s="45"/>
    </row>
    <row r="7882" spans="4:6" x14ac:dyDescent="0.2">
      <c r="D7882" s="50"/>
      <c r="E7882" s="73"/>
      <c r="F7882" s="45"/>
    </row>
    <row r="7883" spans="4:6" x14ac:dyDescent="0.2">
      <c r="D7883" s="50"/>
      <c r="E7883" s="73"/>
      <c r="F7883" s="45"/>
    </row>
    <row r="7884" spans="4:6" x14ac:dyDescent="0.2">
      <c r="D7884" s="50"/>
      <c r="E7884" s="73"/>
      <c r="F7884" s="45"/>
    </row>
    <row r="7885" spans="4:6" x14ac:dyDescent="0.2">
      <c r="D7885" s="50"/>
      <c r="E7885" s="73"/>
      <c r="F7885" s="45"/>
    </row>
    <row r="7886" spans="4:6" x14ac:dyDescent="0.2">
      <c r="D7886" s="50"/>
      <c r="E7886" s="73"/>
      <c r="F7886" s="45"/>
    </row>
    <row r="7887" spans="4:6" x14ac:dyDescent="0.2">
      <c r="D7887" s="50"/>
      <c r="E7887" s="73"/>
      <c r="F7887" s="45"/>
    </row>
    <row r="7888" spans="4:6" x14ac:dyDescent="0.2">
      <c r="D7888" s="50"/>
      <c r="E7888" s="73"/>
      <c r="F7888" s="45"/>
    </row>
    <row r="7889" spans="4:6" x14ac:dyDescent="0.2">
      <c r="D7889" s="50"/>
      <c r="E7889" s="73"/>
      <c r="F7889" s="45"/>
    </row>
    <row r="7890" spans="4:6" x14ac:dyDescent="0.2">
      <c r="D7890" s="50"/>
      <c r="E7890" s="73"/>
      <c r="F7890" s="45"/>
    </row>
    <row r="7891" spans="4:6" x14ac:dyDescent="0.2">
      <c r="D7891" s="50"/>
      <c r="E7891" s="73"/>
      <c r="F7891" s="45"/>
    </row>
    <row r="7892" spans="4:6" x14ac:dyDescent="0.2">
      <c r="D7892" s="50"/>
      <c r="E7892" s="73"/>
      <c r="F7892" s="45"/>
    </row>
    <row r="7893" spans="4:6" x14ac:dyDescent="0.2">
      <c r="D7893" s="50"/>
      <c r="E7893" s="73"/>
      <c r="F7893" s="45"/>
    </row>
    <row r="7894" spans="4:6" x14ac:dyDescent="0.2">
      <c r="D7894" s="50"/>
      <c r="E7894" s="73"/>
      <c r="F7894" s="45"/>
    </row>
    <row r="7895" spans="4:6" x14ac:dyDescent="0.2">
      <c r="D7895" s="50"/>
      <c r="E7895" s="73"/>
      <c r="F7895" s="45"/>
    </row>
    <row r="7896" spans="4:6" x14ac:dyDescent="0.2">
      <c r="D7896" s="50"/>
      <c r="E7896" s="73"/>
      <c r="F7896" s="45"/>
    </row>
    <row r="7897" spans="4:6" x14ac:dyDescent="0.2">
      <c r="D7897" s="50"/>
      <c r="E7897" s="73"/>
      <c r="F7897" s="45"/>
    </row>
    <row r="7898" spans="4:6" x14ac:dyDescent="0.2">
      <c r="D7898" s="50"/>
      <c r="E7898" s="73"/>
      <c r="F7898" s="45"/>
    </row>
    <row r="7899" spans="4:6" x14ac:dyDescent="0.2">
      <c r="D7899" s="50"/>
      <c r="E7899" s="73"/>
      <c r="F7899" s="45"/>
    </row>
    <row r="7900" spans="4:6" x14ac:dyDescent="0.2">
      <c r="D7900" s="50"/>
      <c r="E7900" s="73"/>
      <c r="F7900" s="45"/>
    </row>
    <row r="7901" spans="4:6" x14ac:dyDescent="0.2">
      <c r="D7901" s="50"/>
      <c r="E7901" s="73"/>
      <c r="F7901" s="45"/>
    </row>
    <row r="7902" spans="4:6" x14ac:dyDescent="0.2">
      <c r="D7902" s="50"/>
      <c r="E7902" s="73"/>
      <c r="F7902" s="45"/>
    </row>
    <row r="7903" spans="4:6" x14ac:dyDescent="0.2">
      <c r="D7903" s="50"/>
      <c r="E7903" s="73"/>
      <c r="F7903" s="45"/>
    </row>
    <row r="7904" spans="4:6" x14ac:dyDescent="0.2">
      <c r="D7904" s="50"/>
      <c r="E7904" s="73"/>
      <c r="F7904" s="45"/>
    </row>
    <row r="7905" spans="4:6" x14ac:dyDescent="0.2">
      <c r="D7905" s="50"/>
      <c r="E7905" s="73"/>
      <c r="F7905" s="45"/>
    </row>
    <row r="7906" spans="4:6" x14ac:dyDescent="0.2">
      <c r="D7906" s="50"/>
      <c r="E7906" s="73"/>
      <c r="F7906" s="45"/>
    </row>
    <row r="7907" spans="4:6" x14ac:dyDescent="0.2">
      <c r="D7907" s="50"/>
      <c r="E7907" s="73"/>
      <c r="F7907" s="45"/>
    </row>
    <row r="7908" spans="4:6" x14ac:dyDescent="0.2">
      <c r="D7908" s="50"/>
      <c r="E7908" s="73"/>
      <c r="F7908" s="45"/>
    </row>
    <row r="7909" spans="4:6" x14ac:dyDescent="0.2">
      <c r="D7909" s="50"/>
      <c r="E7909" s="73"/>
      <c r="F7909" s="45"/>
    </row>
    <row r="7910" spans="4:6" x14ac:dyDescent="0.2">
      <c r="D7910" s="50"/>
      <c r="E7910" s="73"/>
      <c r="F7910" s="45"/>
    </row>
    <row r="7911" spans="4:6" x14ac:dyDescent="0.2">
      <c r="D7911" s="50"/>
      <c r="E7911" s="73"/>
      <c r="F7911" s="45"/>
    </row>
    <row r="7912" spans="4:6" x14ac:dyDescent="0.2">
      <c r="D7912" s="50"/>
      <c r="E7912" s="73"/>
      <c r="F7912" s="45"/>
    </row>
    <row r="7913" spans="4:6" x14ac:dyDescent="0.2">
      <c r="D7913" s="50"/>
      <c r="E7913" s="73"/>
      <c r="F7913" s="45"/>
    </row>
    <row r="7914" spans="4:6" x14ac:dyDescent="0.2">
      <c r="D7914" s="50"/>
      <c r="E7914" s="73"/>
      <c r="F7914" s="45"/>
    </row>
    <row r="7915" spans="4:6" x14ac:dyDescent="0.2">
      <c r="D7915" s="50"/>
      <c r="E7915" s="73"/>
      <c r="F7915" s="45"/>
    </row>
    <row r="7916" spans="4:6" x14ac:dyDescent="0.2">
      <c r="D7916" s="50"/>
      <c r="E7916" s="73"/>
      <c r="F7916" s="45"/>
    </row>
    <row r="7917" spans="4:6" x14ac:dyDescent="0.2">
      <c r="D7917" s="50"/>
      <c r="E7917" s="73"/>
      <c r="F7917" s="45"/>
    </row>
    <row r="7918" spans="4:6" x14ac:dyDescent="0.2">
      <c r="D7918" s="50"/>
      <c r="E7918" s="73"/>
      <c r="F7918" s="45"/>
    </row>
    <row r="7919" spans="4:6" x14ac:dyDescent="0.2">
      <c r="D7919" s="50"/>
      <c r="E7919" s="73"/>
      <c r="F7919" s="45"/>
    </row>
    <row r="7920" spans="4:6" x14ac:dyDescent="0.2">
      <c r="D7920" s="50"/>
      <c r="E7920" s="73"/>
      <c r="F7920" s="45"/>
    </row>
    <row r="7921" spans="4:6" x14ac:dyDescent="0.2">
      <c r="D7921" s="50"/>
      <c r="E7921" s="73"/>
      <c r="F7921" s="45"/>
    </row>
    <row r="7922" spans="4:6" x14ac:dyDescent="0.2">
      <c r="D7922" s="50"/>
      <c r="E7922" s="73"/>
      <c r="F7922" s="45"/>
    </row>
    <row r="7923" spans="4:6" x14ac:dyDescent="0.2">
      <c r="D7923" s="50"/>
      <c r="E7923" s="73"/>
      <c r="F7923" s="45"/>
    </row>
    <row r="7924" spans="4:6" x14ac:dyDescent="0.2">
      <c r="D7924" s="50"/>
      <c r="E7924" s="73"/>
      <c r="F7924" s="45"/>
    </row>
    <row r="7925" spans="4:6" x14ac:dyDescent="0.2">
      <c r="D7925" s="50"/>
      <c r="E7925" s="73"/>
      <c r="F7925" s="45"/>
    </row>
    <row r="7926" spans="4:6" x14ac:dyDescent="0.2">
      <c r="D7926" s="50"/>
      <c r="E7926" s="73"/>
      <c r="F7926" s="45"/>
    </row>
    <row r="7927" spans="4:6" x14ac:dyDescent="0.2">
      <c r="D7927" s="50"/>
      <c r="E7927" s="73"/>
      <c r="F7927" s="45"/>
    </row>
    <row r="7928" spans="4:6" x14ac:dyDescent="0.2">
      <c r="D7928" s="50"/>
      <c r="E7928" s="73"/>
      <c r="F7928" s="45"/>
    </row>
    <row r="7929" spans="4:6" x14ac:dyDescent="0.2">
      <c r="D7929" s="50"/>
      <c r="E7929" s="73"/>
      <c r="F7929" s="45"/>
    </row>
    <row r="7930" spans="4:6" x14ac:dyDescent="0.2">
      <c r="D7930" s="50"/>
      <c r="E7930" s="73"/>
      <c r="F7930" s="45"/>
    </row>
    <row r="7931" spans="4:6" x14ac:dyDescent="0.2">
      <c r="D7931" s="50"/>
      <c r="E7931" s="73"/>
      <c r="F7931" s="45"/>
    </row>
    <row r="7932" spans="4:6" x14ac:dyDescent="0.2">
      <c r="D7932" s="50"/>
      <c r="E7932" s="73"/>
      <c r="F7932" s="45"/>
    </row>
    <row r="7933" spans="4:6" x14ac:dyDescent="0.2">
      <c r="D7933" s="50"/>
      <c r="E7933" s="73"/>
      <c r="F7933" s="45"/>
    </row>
    <row r="7934" spans="4:6" x14ac:dyDescent="0.2">
      <c r="D7934" s="50"/>
      <c r="E7934" s="73"/>
      <c r="F7934" s="45"/>
    </row>
    <row r="7935" spans="4:6" x14ac:dyDescent="0.2">
      <c r="D7935" s="50"/>
      <c r="E7935" s="73"/>
      <c r="F7935" s="45"/>
    </row>
    <row r="7936" spans="4:6" x14ac:dyDescent="0.2">
      <c r="D7936" s="50"/>
      <c r="E7936" s="73"/>
      <c r="F7936" s="45"/>
    </row>
    <row r="7937" spans="4:6" x14ac:dyDescent="0.2">
      <c r="D7937" s="50"/>
      <c r="E7937" s="73"/>
      <c r="F7937" s="45"/>
    </row>
    <row r="7938" spans="4:6" x14ac:dyDescent="0.2">
      <c r="D7938" s="50"/>
      <c r="E7938" s="73"/>
      <c r="F7938" s="45"/>
    </row>
    <row r="7939" spans="4:6" x14ac:dyDescent="0.2">
      <c r="D7939" s="50"/>
      <c r="E7939" s="73"/>
      <c r="F7939" s="45"/>
    </row>
    <row r="7940" spans="4:6" x14ac:dyDescent="0.2">
      <c r="D7940" s="50"/>
      <c r="E7940" s="73"/>
      <c r="F7940" s="45"/>
    </row>
    <row r="7941" spans="4:6" x14ac:dyDescent="0.2">
      <c r="D7941" s="50"/>
      <c r="E7941" s="73"/>
      <c r="F7941" s="45"/>
    </row>
    <row r="7942" spans="4:6" x14ac:dyDescent="0.2">
      <c r="D7942" s="50"/>
      <c r="E7942" s="73"/>
      <c r="F7942" s="45"/>
    </row>
    <row r="7943" spans="4:6" x14ac:dyDescent="0.2">
      <c r="D7943" s="50"/>
      <c r="E7943" s="73"/>
      <c r="F7943" s="45"/>
    </row>
    <row r="7944" spans="4:6" x14ac:dyDescent="0.2">
      <c r="D7944" s="50"/>
      <c r="E7944" s="73"/>
      <c r="F7944" s="45"/>
    </row>
    <row r="7945" spans="4:6" x14ac:dyDescent="0.2">
      <c r="D7945" s="50"/>
      <c r="E7945" s="73"/>
      <c r="F7945" s="45"/>
    </row>
    <row r="7946" spans="4:6" x14ac:dyDescent="0.2">
      <c r="D7946" s="50"/>
      <c r="E7946" s="73"/>
      <c r="F7946" s="45"/>
    </row>
    <row r="7947" spans="4:6" x14ac:dyDescent="0.2">
      <c r="D7947" s="50"/>
      <c r="E7947" s="73"/>
      <c r="F7947" s="45"/>
    </row>
    <row r="7948" spans="4:6" x14ac:dyDescent="0.2">
      <c r="D7948" s="50"/>
      <c r="E7948" s="73"/>
      <c r="F7948" s="45"/>
    </row>
    <row r="7949" spans="4:6" x14ac:dyDescent="0.2">
      <c r="D7949" s="50"/>
      <c r="E7949" s="73"/>
      <c r="F7949" s="45"/>
    </row>
    <row r="7950" spans="4:6" x14ac:dyDescent="0.2">
      <c r="D7950" s="50"/>
      <c r="E7950" s="73"/>
      <c r="F7950" s="45"/>
    </row>
    <row r="7951" spans="4:6" x14ac:dyDescent="0.2">
      <c r="D7951" s="50"/>
      <c r="E7951" s="73"/>
      <c r="F7951" s="45"/>
    </row>
    <row r="7952" spans="4:6" x14ac:dyDescent="0.2">
      <c r="D7952" s="50"/>
      <c r="E7952" s="73"/>
      <c r="F7952" s="45"/>
    </row>
    <row r="7953" spans="4:6" x14ac:dyDescent="0.2">
      <c r="D7953" s="50"/>
      <c r="E7953" s="73"/>
      <c r="F7953" s="45"/>
    </row>
    <row r="7954" spans="4:6" x14ac:dyDescent="0.2">
      <c r="D7954" s="50"/>
      <c r="E7954" s="73"/>
      <c r="F7954" s="45"/>
    </row>
    <row r="7955" spans="4:6" x14ac:dyDescent="0.2">
      <c r="D7955" s="50"/>
      <c r="E7955" s="73"/>
      <c r="F7955" s="45"/>
    </row>
    <row r="7956" spans="4:6" x14ac:dyDescent="0.2">
      <c r="D7956" s="50"/>
      <c r="E7956" s="73"/>
      <c r="F7956" s="45"/>
    </row>
    <row r="7957" spans="4:6" x14ac:dyDescent="0.2">
      <c r="D7957" s="50"/>
      <c r="E7957" s="73"/>
      <c r="F7957" s="45"/>
    </row>
    <row r="7958" spans="4:6" x14ac:dyDescent="0.2">
      <c r="D7958" s="50"/>
      <c r="E7958" s="73"/>
      <c r="F7958" s="45"/>
    </row>
    <row r="7959" spans="4:6" x14ac:dyDescent="0.2">
      <c r="D7959" s="50"/>
      <c r="E7959" s="73"/>
      <c r="F7959" s="45"/>
    </row>
    <row r="7960" spans="4:6" x14ac:dyDescent="0.2">
      <c r="D7960" s="50"/>
      <c r="E7960" s="73"/>
      <c r="F7960" s="45"/>
    </row>
    <row r="7961" spans="4:6" x14ac:dyDescent="0.2">
      <c r="D7961" s="50"/>
      <c r="E7961" s="73"/>
      <c r="F7961" s="45"/>
    </row>
    <row r="7962" spans="4:6" x14ac:dyDescent="0.2">
      <c r="D7962" s="50"/>
      <c r="E7962" s="73"/>
      <c r="F7962" s="45"/>
    </row>
    <row r="7963" spans="4:6" x14ac:dyDescent="0.2">
      <c r="D7963" s="50"/>
      <c r="E7963" s="73"/>
      <c r="F7963" s="45"/>
    </row>
    <row r="7964" spans="4:6" x14ac:dyDescent="0.2">
      <c r="D7964" s="50"/>
      <c r="E7964" s="73"/>
      <c r="F7964" s="45"/>
    </row>
    <row r="7965" spans="4:6" x14ac:dyDescent="0.2">
      <c r="D7965" s="50"/>
      <c r="E7965" s="73"/>
      <c r="F7965" s="45"/>
    </row>
    <row r="7966" spans="4:6" x14ac:dyDescent="0.2">
      <c r="D7966" s="50"/>
      <c r="E7966" s="73"/>
      <c r="F7966" s="45"/>
    </row>
    <row r="7967" spans="4:6" x14ac:dyDescent="0.2">
      <c r="D7967" s="50"/>
      <c r="E7967" s="73"/>
      <c r="F7967" s="45"/>
    </row>
    <row r="7968" spans="4:6" x14ac:dyDescent="0.2">
      <c r="D7968" s="50"/>
      <c r="E7968" s="73"/>
      <c r="F7968" s="45"/>
    </row>
    <row r="7969" spans="4:6" x14ac:dyDescent="0.2">
      <c r="D7969" s="50"/>
      <c r="E7969" s="73"/>
      <c r="F7969" s="45"/>
    </row>
    <row r="7970" spans="4:6" x14ac:dyDescent="0.2">
      <c r="D7970" s="50"/>
      <c r="E7970" s="73"/>
      <c r="F7970" s="45"/>
    </row>
    <row r="7971" spans="4:6" x14ac:dyDescent="0.2">
      <c r="D7971" s="50"/>
      <c r="E7971" s="73"/>
      <c r="F7971" s="45"/>
    </row>
    <row r="7972" spans="4:6" x14ac:dyDescent="0.2">
      <c r="D7972" s="50"/>
      <c r="E7972" s="73"/>
      <c r="F7972" s="45"/>
    </row>
    <row r="7973" spans="4:6" x14ac:dyDescent="0.2">
      <c r="D7973" s="50"/>
      <c r="E7973" s="73"/>
      <c r="F7973" s="45"/>
    </row>
    <row r="7974" spans="4:6" x14ac:dyDescent="0.2">
      <c r="D7974" s="50"/>
      <c r="E7974" s="73"/>
      <c r="F7974" s="45"/>
    </row>
    <row r="7975" spans="4:6" x14ac:dyDescent="0.2">
      <c r="D7975" s="50"/>
      <c r="E7975" s="73"/>
      <c r="F7975" s="45"/>
    </row>
    <row r="7976" spans="4:6" x14ac:dyDescent="0.2">
      <c r="D7976" s="50"/>
      <c r="E7976" s="73"/>
      <c r="F7976" s="45"/>
    </row>
    <row r="7977" spans="4:6" x14ac:dyDescent="0.2">
      <c r="D7977" s="50"/>
      <c r="E7977" s="73"/>
      <c r="F7977" s="45"/>
    </row>
    <row r="7978" spans="4:6" x14ac:dyDescent="0.2">
      <c r="D7978" s="50"/>
      <c r="E7978" s="73"/>
      <c r="F7978" s="45"/>
    </row>
    <row r="7979" spans="4:6" x14ac:dyDescent="0.2">
      <c r="D7979" s="50"/>
      <c r="E7979" s="73"/>
      <c r="F7979" s="45"/>
    </row>
    <row r="7980" spans="4:6" x14ac:dyDescent="0.2">
      <c r="D7980" s="50"/>
      <c r="E7980" s="73"/>
      <c r="F7980" s="45"/>
    </row>
    <row r="7981" spans="4:6" x14ac:dyDescent="0.2">
      <c r="D7981" s="50"/>
      <c r="E7981" s="73"/>
      <c r="F7981" s="45"/>
    </row>
    <row r="7982" spans="4:6" x14ac:dyDescent="0.2">
      <c r="D7982" s="50"/>
      <c r="E7982" s="73"/>
      <c r="F7982" s="45"/>
    </row>
    <row r="7983" spans="4:6" x14ac:dyDescent="0.2">
      <c r="D7983" s="50"/>
      <c r="E7983" s="73"/>
      <c r="F7983" s="45"/>
    </row>
    <row r="7984" spans="4:6" x14ac:dyDescent="0.2">
      <c r="D7984" s="50"/>
      <c r="E7984" s="73"/>
      <c r="F7984" s="45"/>
    </row>
    <row r="7985" spans="4:6" x14ac:dyDescent="0.2">
      <c r="D7985" s="50"/>
      <c r="E7985" s="73"/>
      <c r="F7985" s="45"/>
    </row>
    <row r="7986" spans="4:6" x14ac:dyDescent="0.2">
      <c r="D7986" s="50"/>
      <c r="E7986" s="73"/>
      <c r="F7986" s="45"/>
    </row>
    <row r="7987" spans="4:6" x14ac:dyDescent="0.2">
      <c r="D7987" s="50"/>
      <c r="E7987" s="73"/>
      <c r="F7987" s="45"/>
    </row>
    <row r="7988" spans="4:6" x14ac:dyDescent="0.2">
      <c r="D7988" s="50"/>
      <c r="E7988" s="73"/>
      <c r="F7988" s="45"/>
    </row>
    <row r="7989" spans="4:6" x14ac:dyDescent="0.2">
      <c r="D7989" s="50"/>
      <c r="E7989" s="73"/>
      <c r="F7989" s="45"/>
    </row>
    <row r="7990" spans="4:6" x14ac:dyDescent="0.2">
      <c r="D7990" s="50"/>
      <c r="E7990" s="73"/>
      <c r="F7990" s="45"/>
    </row>
    <row r="7991" spans="4:6" x14ac:dyDescent="0.2">
      <c r="D7991" s="50"/>
      <c r="E7991" s="73"/>
      <c r="F7991" s="45"/>
    </row>
    <row r="7992" spans="4:6" x14ac:dyDescent="0.2">
      <c r="D7992" s="50"/>
      <c r="E7992" s="73"/>
      <c r="F7992" s="45"/>
    </row>
    <row r="7993" spans="4:6" x14ac:dyDescent="0.2">
      <c r="D7993" s="50"/>
      <c r="E7993" s="73"/>
      <c r="F7993" s="45"/>
    </row>
    <row r="7994" spans="4:6" x14ac:dyDescent="0.2">
      <c r="D7994" s="50"/>
      <c r="E7994" s="73"/>
      <c r="F7994" s="45"/>
    </row>
    <row r="7995" spans="4:6" x14ac:dyDescent="0.2">
      <c r="D7995" s="50"/>
      <c r="E7995" s="73"/>
      <c r="F7995" s="45"/>
    </row>
    <row r="7996" spans="4:6" x14ac:dyDescent="0.2">
      <c r="D7996" s="50"/>
      <c r="E7996" s="73"/>
      <c r="F7996" s="45"/>
    </row>
    <row r="7997" spans="4:6" x14ac:dyDescent="0.2">
      <c r="D7997" s="50"/>
      <c r="E7997" s="73"/>
      <c r="F7997" s="45"/>
    </row>
    <row r="7998" spans="4:6" x14ac:dyDescent="0.2">
      <c r="D7998" s="50"/>
      <c r="E7998" s="73"/>
      <c r="F7998" s="45"/>
    </row>
    <row r="7999" spans="4:6" x14ac:dyDescent="0.2">
      <c r="D7999" s="50"/>
      <c r="E7999" s="73"/>
      <c r="F7999" s="45"/>
    </row>
    <row r="8000" spans="4:6" x14ac:dyDescent="0.2">
      <c r="D8000" s="50"/>
      <c r="E8000" s="73"/>
      <c r="F8000" s="45"/>
    </row>
    <row r="8001" spans="4:6" x14ac:dyDescent="0.2">
      <c r="D8001" s="50"/>
      <c r="E8001" s="73"/>
      <c r="F8001" s="45"/>
    </row>
    <row r="8002" spans="4:6" x14ac:dyDescent="0.2">
      <c r="D8002" s="50"/>
      <c r="E8002" s="73"/>
      <c r="F8002" s="45"/>
    </row>
    <row r="8003" spans="4:6" x14ac:dyDescent="0.2">
      <c r="D8003" s="50"/>
      <c r="E8003" s="73"/>
      <c r="F8003" s="45"/>
    </row>
    <row r="8004" spans="4:6" x14ac:dyDescent="0.2">
      <c r="D8004" s="50"/>
      <c r="E8004" s="73"/>
      <c r="F8004" s="45"/>
    </row>
    <row r="8005" spans="4:6" x14ac:dyDescent="0.2">
      <c r="D8005" s="50"/>
      <c r="E8005" s="73"/>
      <c r="F8005" s="45"/>
    </row>
    <row r="8006" spans="4:6" x14ac:dyDescent="0.2">
      <c r="D8006" s="50"/>
      <c r="E8006" s="73"/>
      <c r="F8006" s="45"/>
    </row>
    <row r="8007" spans="4:6" x14ac:dyDescent="0.2">
      <c r="D8007" s="50"/>
      <c r="E8007" s="73"/>
      <c r="F8007" s="45"/>
    </row>
    <row r="8008" spans="4:6" x14ac:dyDescent="0.2">
      <c r="D8008" s="50"/>
      <c r="E8008" s="73"/>
      <c r="F8008" s="45"/>
    </row>
    <row r="8009" spans="4:6" x14ac:dyDescent="0.2">
      <c r="D8009" s="50"/>
      <c r="E8009" s="73"/>
      <c r="F8009" s="45"/>
    </row>
    <row r="8010" spans="4:6" x14ac:dyDescent="0.2">
      <c r="D8010" s="50"/>
      <c r="E8010" s="73"/>
      <c r="F8010" s="45"/>
    </row>
    <row r="8011" spans="4:6" x14ac:dyDescent="0.2">
      <c r="D8011" s="50"/>
      <c r="E8011" s="73"/>
      <c r="F8011" s="45"/>
    </row>
    <row r="8012" spans="4:6" x14ac:dyDescent="0.2">
      <c r="D8012" s="50"/>
      <c r="E8012" s="73"/>
      <c r="F8012" s="45"/>
    </row>
    <row r="8013" spans="4:6" x14ac:dyDescent="0.2">
      <c r="D8013" s="50"/>
      <c r="E8013" s="73"/>
      <c r="F8013" s="45"/>
    </row>
    <row r="8014" spans="4:6" x14ac:dyDescent="0.2">
      <c r="D8014" s="50"/>
      <c r="E8014" s="73"/>
      <c r="F8014" s="45"/>
    </row>
    <row r="8015" spans="4:6" x14ac:dyDescent="0.2">
      <c r="D8015" s="50"/>
      <c r="E8015" s="73"/>
      <c r="F8015" s="45"/>
    </row>
    <row r="8016" spans="4:6" x14ac:dyDescent="0.2">
      <c r="D8016" s="50"/>
      <c r="E8016" s="73"/>
      <c r="F8016" s="45"/>
    </row>
    <row r="8017" spans="4:6" x14ac:dyDescent="0.2">
      <c r="D8017" s="50"/>
      <c r="E8017" s="73"/>
      <c r="F8017" s="45"/>
    </row>
    <row r="8018" spans="4:6" x14ac:dyDescent="0.2">
      <c r="D8018" s="50"/>
      <c r="E8018" s="73"/>
      <c r="F8018" s="45"/>
    </row>
    <row r="8019" spans="4:6" x14ac:dyDescent="0.2">
      <c r="D8019" s="50"/>
      <c r="E8019" s="73"/>
      <c r="F8019" s="45"/>
    </row>
    <row r="8020" spans="4:6" x14ac:dyDescent="0.2">
      <c r="D8020" s="50"/>
      <c r="E8020" s="73"/>
      <c r="F8020" s="45"/>
    </row>
    <row r="8021" spans="4:6" x14ac:dyDescent="0.2">
      <c r="D8021" s="50"/>
      <c r="E8021" s="73"/>
      <c r="F8021" s="45"/>
    </row>
    <row r="8022" spans="4:6" x14ac:dyDescent="0.2">
      <c r="D8022" s="50"/>
      <c r="E8022" s="73"/>
      <c r="F8022" s="45"/>
    </row>
    <row r="8023" spans="4:6" x14ac:dyDescent="0.2">
      <c r="D8023" s="50"/>
      <c r="E8023" s="73"/>
      <c r="F8023" s="45"/>
    </row>
    <row r="8024" spans="4:6" x14ac:dyDescent="0.2">
      <c r="D8024" s="50"/>
      <c r="E8024" s="73"/>
      <c r="F8024" s="45"/>
    </row>
    <row r="8025" spans="4:6" x14ac:dyDescent="0.2">
      <c r="D8025" s="50"/>
      <c r="E8025" s="73"/>
      <c r="F8025" s="45"/>
    </row>
    <row r="8026" spans="4:6" x14ac:dyDescent="0.2">
      <c r="D8026" s="50"/>
      <c r="E8026" s="73"/>
      <c r="F8026" s="45"/>
    </row>
    <row r="8027" spans="4:6" x14ac:dyDescent="0.2">
      <c r="D8027" s="50"/>
      <c r="E8027" s="73"/>
      <c r="F8027" s="45"/>
    </row>
    <row r="8028" spans="4:6" x14ac:dyDescent="0.2">
      <c r="D8028" s="50"/>
      <c r="E8028" s="73"/>
      <c r="F8028" s="45"/>
    </row>
    <row r="8029" spans="4:6" x14ac:dyDescent="0.2">
      <c r="D8029" s="50"/>
      <c r="E8029" s="73"/>
      <c r="F8029" s="45"/>
    </row>
    <row r="8030" spans="4:6" x14ac:dyDescent="0.2">
      <c r="D8030" s="50"/>
      <c r="E8030" s="73"/>
      <c r="F8030" s="45"/>
    </row>
    <row r="8031" spans="4:6" x14ac:dyDescent="0.2">
      <c r="D8031" s="50"/>
      <c r="E8031" s="73"/>
      <c r="F8031" s="45"/>
    </row>
    <row r="8032" spans="4:6" x14ac:dyDescent="0.2">
      <c r="D8032" s="50"/>
      <c r="E8032" s="73"/>
      <c r="F8032" s="45"/>
    </row>
    <row r="8033" spans="4:6" x14ac:dyDescent="0.2">
      <c r="D8033" s="50"/>
      <c r="E8033" s="73"/>
      <c r="F8033" s="45"/>
    </row>
    <row r="8034" spans="4:6" x14ac:dyDescent="0.2">
      <c r="D8034" s="50"/>
      <c r="E8034" s="73"/>
      <c r="F8034" s="45"/>
    </row>
    <row r="8035" spans="4:6" x14ac:dyDescent="0.2">
      <c r="D8035" s="50"/>
      <c r="E8035" s="73"/>
      <c r="F8035" s="45"/>
    </row>
    <row r="8036" spans="4:6" x14ac:dyDescent="0.2">
      <c r="D8036" s="50"/>
      <c r="E8036" s="73"/>
      <c r="F8036" s="45"/>
    </row>
    <row r="8037" spans="4:6" x14ac:dyDescent="0.2">
      <c r="D8037" s="50"/>
      <c r="E8037" s="73"/>
      <c r="F8037" s="45"/>
    </row>
    <row r="8038" spans="4:6" x14ac:dyDescent="0.2">
      <c r="D8038" s="50"/>
      <c r="E8038" s="73"/>
      <c r="F8038" s="45"/>
    </row>
    <row r="8039" spans="4:6" x14ac:dyDescent="0.2">
      <c r="D8039" s="50"/>
      <c r="E8039" s="73"/>
      <c r="F8039" s="45"/>
    </row>
    <row r="8040" spans="4:6" x14ac:dyDescent="0.2">
      <c r="D8040" s="50"/>
      <c r="E8040" s="73"/>
      <c r="F8040" s="45"/>
    </row>
    <row r="8041" spans="4:6" x14ac:dyDescent="0.2">
      <c r="D8041" s="50"/>
      <c r="E8041" s="73"/>
      <c r="F8041" s="45"/>
    </row>
    <row r="8042" spans="4:6" x14ac:dyDescent="0.2">
      <c r="D8042" s="50"/>
      <c r="E8042" s="73"/>
      <c r="F8042" s="45"/>
    </row>
    <row r="8043" spans="4:6" x14ac:dyDescent="0.2">
      <c r="D8043" s="50"/>
      <c r="E8043" s="73"/>
      <c r="F8043" s="45"/>
    </row>
    <row r="8044" spans="4:6" x14ac:dyDescent="0.2">
      <c r="D8044" s="50"/>
      <c r="E8044" s="73"/>
      <c r="F8044" s="45"/>
    </row>
    <row r="8045" spans="4:6" x14ac:dyDescent="0.2">
      <c r="D8045" s="50"/>
      <c r="E8045" s="73"/>
      <c r="F8045" s="45"/>
    </row>
    <row r="8046" spans="4:6" x14ac:dyDescent="0.2">
      <c r="D8046" s="50"/>
      <c r="E8046" s="73"/>
      <c r="F8046" s="45"/>
    </row>
    <row r="8047" spans="4:6" x14ac:dyDescent="0.2">
      <c r="D8047" s="50"/>
      <c r="E8047" s="73"/>
      <c r="F8047" s="45"/>
    </row>
    <row r="8048" spans="4:6" x14ac:dyDescent="0.2">
      <c r="D8048" s="50"/>
      <c r="E8048" s="73"/>
      <c r="F8048" s="45"/>
    </row>
    <row r="8049" spans="4:6" x14ac:dyDescent="0.2">
      <c r="D8049" s="50"/>
      <c r="E8049" s="73"/>
      <c r="F8049" s="45"/>
    </row>
    <row r="8050" spans="4:6" x14ac:dyDescent="0.2">
      <c r="D8050" s="50"/>
      <c r="E8050" s="73"/>
      <c r="F8050" s="45"/>
    </row>
    <row r="8051" spans="4:6" x14ac:dyDescent="0.2">
      <c r="D8051" s="50"/>
      <c r="E8051" s="73"/>
      <c r="F8051" s="45"/>
    </row>
    <row r="8052" spans="4:6" x14ac:dyDescent="0.2">
      <c r="D8052" s="50"/>
      <c r="E8052" s="73"/>
      <c r="F8052" s="45"/>
    </row>
    <row r="8053" spans="4:6" x14ac:dyDescent="0.2">
      <c r="D8053" s="50"/>
      <c r="E8053" s="73"/>
      <c r="F8053" s="45"/>
    </row>
    <row r="8054" spans="4:6" x14ac:dyDescent="0.2">
      <c r="D8054" s="50"/>
      <c r="E8054" s="73"/>
      <c r="F8054" s="45"/>
    </row>
    <row r="8055" spans="4:6" x14ac:dyDescent="0.2">
      <c r="D8055" s="50"/>
      <c r="E8055" s="73"/>
      <c r="F8055" s="45"/>
    </row>
    <row r="8056" spans="4:6" x14ac:dyDescent="0.2">
      <c r="D8056" s="50"/>
      <c r="E8056" s="73"/>
      <c r="F8056" s="45"/>
    </row>
    <row r="8057" spans="4:6" x14ac:dyDescent="0.2">
      <c r="D8057" s="50"/>
      <c r="E8057" s="73"/>
      <c r="F8057" s="45"/>
    </row>
    <row r="8058" spans="4:6" x14ac:dyDescent="0.2">
      <c r="D8058" s="50"/>
      <c r="E8058" s="73"/>
      <c r="F8058" s="45"/>
    </row>
    <row r="8059" spans="4:6" x14ac:dyDescent="0.2">
      <c r="D8059" s="50"/>
      <c r="E8059" s="73"/>
      <c r="F8059" s="45"/>
    </row>
    <row r="8060" spans="4:6" x14ac:dyDescent="0.2">
      <c r="D8060" s="50"/>
      <c r="E8060" s="73"/>
      <c r="F8060" s="45"/>
    </row>
    <row r="8061" spans="4:6" x14ac:dyDescent="0.2">
      <c r="D8061" s="50"/>
      <c r="E8061" s="73"/>
      <c r="F8061" s="45"/>
    </row>
    <row r="8062" spans="4:6" x14ac:dyDescent="0.2">
      <c r="D8062" s="50"/>
      <c r="E8062" s="73"/>
      <c r="F8062" s="45"/>
    </row>
    <row r="8063" spans="4:6" x14ac:dyDescent="0.2">
      <c r="D8063" s="50"/>
      <c r="E8063" s="73"/>
      <c r="F8063" s="45"/>
    </row>
    <row r="8064" spans="4:6" x14ac:dyDescent="0.2">
      <c r="D8064" s="50"/>
      <c r="E8064" s="73"/>
      <c r="F8064" s="45"/>
    </row>
    <row r="8065" spans="4:6" x14ac:dyDescent="0.2">
      <c r="D8065" s="50"/>
      <c r="E8065" s="73"/>
      <c r="F8065" s="45"/>
    </row>
    <row r="8066" spans="4:6" x14ac:dyDescent="0.2">
      <c r="D8066" s="50"/>
      <c r="E8066" s="73"/>
      <c r="F8066" s="45"/>
    </row>
    <row r="8067" spans="4:6" x14ac:dyDescent="0.2">
      <c r="D8067" s="50"/>
      <c r="E8067" s="73"/>
      <c r="F8067" s="45"/>
    </row>
    <row r="8068" spans="4:6" x14ac:dyDescent="0.2">
      <c r="D8068" s="50"/>
      <c r="E8068" s="73"/>
      <c r="F8068" s="45"/>
    </row>
    <row r="8069" spans="4:6" x14ac:dyDescent="0.2">
      <c r="D8069" s="50"/>
      <c r="E8069" s="73"/>
      <c r="F8069" s="45"/>
    </row>
    <row r="8070" spans="4:6" x14ac:dyDescent="0.2">
      <c r="D8070" s="50"/>
      <c r="E8070" s="73"/>
      <c r="F8070" s="45"/>
    </row>
    <row r="8071" spans="4:6" x14ac:dyDescent="0.2">
      <c r="D8071" s="50"/>
      <c r="E8071" s="73"/>
      <c r="F8071" s="45"/>
    </row>
    <row r="8072" spans="4:6" x14ac:dyDescent="0.2">
      <c r="D8072" s="50"/>
      <c r="E8072" s="73"/>
      <c r="F8072" s="45"/>
    </row>
    <row r="8073" spans="4:6" x14ac:dyDescent="0.2">
      <c r="D8073" s="50"/>
      <c r="E8073" s="73"/>
      <c r="F8073" s="45"/>
    </row>
    <row r="8074" spans="4:6" x14ac:dyDescent="0.2">
      <c r="D8074" s="50"/>
      <c r="E8074" s="73"/>
      <c r="F8074" s="45"/>
    </row>
    <row r="8075" spans="4:6" x14ac:dyDescent="0.2">
      <c r="D8075" s="50"/>
      <c r="E8075" s="73"/>
      <c r="F8075" s="45"/>
    </row>
    <row r="8076" spans="4:6" x14ac:dyDescent="0.2">
      <c r="D8076" s="50"/>
      <c r="E8076" s="73"/>
      <c r="F8076" s="45"/>
    </row>
    <row r="8077" spans="4:6" x14ac:dyDescent="0.2">
      <c r="D8077" s="50"/>
      <c r="E8077" s="73"/>
      <c r="F8077" s="45"/>
    </row>
    <row r="8078" spans="4:6" x14ac:dyDescent="0.2">
      <c r="D8078" s="50"/>
      <c r="E8078" s="73"/>
      <c r="F8078" s="45"/>
    </row>
    <row r="8079" spans="4:6" x14ac:dyDescent="0.2">
      <c r="D8079" s="50"/>
      <c r="E8079" s="73"/>
      <c r="F8079" s="45"/>
    </row>
    <row r="8080" spans="4:6" x14ac:dyDescent="0.2">
      <c r="D8080" s="50"/>
      <c r="E8080" s="73"/>
      <c r="F8080" s="45"/>
    </row>
    <row r="8081" spans="4:6" x14ac:dyDescent="0.2">
      <c r="D8081" s="50"/>
      <c r="E8081" s="73"/>
      <c r="F8081" s="45"/>
    </row>
    <row r="8082" spans="4:6" x14ac:dyDescent="0.2">
      <c r="D8082" s="50"/>
      <c r="E8082" s="73"/>
      <c r="F8082" s="45"/>
    </row>
    <row r="8083" spans="4:6" x14ac:dyDescent="0.2">
      <c r="D8083" s="50"/>
      <c r="E8083" s="73"/>
      <c r="F8083" s="45"/>
    </row>
    <row r="8084" spans="4:6" x14ac:dyDescent="0.2">
      <c r="D8084" s="50"/>
      <c r="E8084" s="73"/>
      <c r="F8084" s="45"/>
    </row>
    <row r="8085" spans="4:6" x14ac:dyDescent="0.2">
      <c r="D8085" s="50"/>
      <c r="E8085" s="73"/>
      <c r="F8085" s="45"/>
    </row>
    <row r="8086" spans="4:6" x14ac:dyDescent="0.2">
      <c r="D8086" s="50"/>
      <c r="E8086" s="73"/>
      <c r="F8086" s="45"/>
    </row>
    <row r="8087" spans="4:6" x14ac:dyDescent="0.2">
      <c r="D8087" s="50"/>
      <c r="E8087" s="73"/>
      <c r="F8087" s="45"/>
    </row>
    <row r="8088" spans="4:6" x14ac:dyDescent="0.2">
      <c r="D8088" s="50"/>
      <c r="E8088" s="73"/>
      <c r="F8088" s="45"/>
    </row>
    <row r="8089" spans="4:6" x14ac:dyDescent="0.2">
      <c r="D8089" s="50"/>
      <c r="E8089" s="73"/>
      <c r="F8089" s="45"/>
    </row>
    <row r="8090" spans="4:6" x14ac:dyDescent="0.2">
      <c r="D8090" s="50"/>
      <c r="E8090" s="73"/>
      <c r="F8090" s="45"/>
    </row>
    <row r="8091" spans="4:6" x14ac:dyDescent="0.2">
      <c r="D8091" s="50"/>
      <c r="E8091" s="73"/>
      <c r="F8091" s="45"/>
    </row>
    <row r="8092" spans="4:6" x14ac:dyDescent="0.2">
      <c r="D8092" s="50"/>
      <c r="E8092" s="73"/>
      <c r="F8092" s="45"/>
    </row>
    <row r="8093" spans="4:6" x14ac:dyDescent="0.2">
      <c r="D8093" s="50"/>
      <c r="E8093" s="73"/>
      <c r="F8093" s="45"/>
    </row>
    <row r="8094" spans="4:6" x14ac:dyDescent="0.2">
      <c r="D8094" s="50"/>
      <c r="E8094" s="73"/>
      <c r="F8094" s="45"/>
    </row>
    <row r="8095" spans="4:6" x14ac:dyDescent="0.2">
      <c r="D8095" s="50"/>
      <c r="E8095" s="73"/>
      <c r="F8095" s="45"/>
    </row>
    <row r="8096" spans="4:6" x14ac:dyDescent="0.2">
      <c r="D8096" s="50"/>
      <c r="E8096" s="73"/>
      <c r="F8096" s="45"/>
    </row>
    <row r="8097" spans="4:6" x14ac:dyDescent="0.2">
      <c r="D8097" s="50"/>
      <c r="E8097" s="73"/>
      <c r="F8097" s="45"/>
    </row>
    <row r="8098" spans="4:6" x14ac:dyDescent="0.2">
      <c r="D8098" s="50"/>
      <c r="E8098" s="73"/>
      <c r="F8098" s="45"/>
    </row>
    <row r="8099" spans="4:6" x14ac:dyDescent="0.2">
      <c r="D8099" s="50"/>
      <c r="E8099" s="73"/>
      <c r="F8099" s="45"/>
    </row>
    <row r="8100" spans="4:6" x14ac:dyDescent="0.2">
      <c r="D8100" s="50"/>
      <c r="E8100" s="73"/>
      <c r="F8100" s="45"/>
    </row>
    <row r="8101" spans="4:6" x14ac:dyDescent="0.2">
      <c r="D8101" s="50"/>
      <c r="E8101" s="73"/>
      <c r="F8101" s="45"/>
    </row>
    <row r="8102" spans="4:6" x14ac:dyDescent="0.2">
      <c r="D8102" s="50"/>
      <c r="E8102" s="73"/>
      <c r="F8102" s="45"/>
    </row>
    <row r="8103" spans="4:6" x14ac:dyDescent="0.2">
      <c r="D8103" s="50"/>
      <c r="E8103" s="73"/>
      <c r="F8103" s="45"/>
    </row>
    <row r="8104" spans="4:6" x14ac:dyDescent="0.2">
      <c r="D8104" s="50"/>
      <c r="E8104" s="73"/>
      <c r="F8104" s="45"/>
    </row>
    <row r="8105" spans="4:6" x14ac:dyDescent="0.2">
      <c r="D8105" s="50"/>
      <c r="E8105" s="73"/>
      <c r="F8105" s="45"/>
    </row>
    <row r="8106" spans="4:6" x14ac:dyDescent="0.2">
      <c r="D8106" s="50"/>
      <c r="E8106" s="73"/>
      <c r="F8106" s="45"/>
    </row>
    <row r="8107" spans="4:6" x14ac:dyDescent="0.2">
      <c r="D8107" s="50"/>
      <c r="E8107" s="73"/>
      <c r="F8107" s="45"/>
    </row>
    <row r="8108" spans="4:6" x14ac:dyDescent="0.2">
      <c r="D8108" s="50"/>
      <c r="E8108" s="73"/>
      <c r="F8108" s="45"/>
    </row>
    <row r="8109" spans="4:6" x14ac:dyDescent="0.2">
      <c r="D8109" s="50"/>
      <c r="E8109" s="73"/>
      <c r="F8109" s="45"/>
    </row>
    <row r="8110" spans="4:6" x14ac:dyDescent="0.2">
      <c r="D8110" s="50"/>
      <c r="E8110" s="73"/>
      <c r="F8110" s="45"/>
    </row>
    <row r="8111" spans="4:6" x14ac:dyDescent="0.2">
      <c r="D8111" s="50"/>
      <c r="E8111" s="73"/>
      <c r="F8111" s="45"/>
    </row>
    <row r="8112" spans="4:6" x14ac:dyDescent="0.2">
      <c r="D8112" s="50"/>
      <c r="E8112" s="73"/>
      <c r="F8112" s="45"/>
    </row>
    <row r="8113" spans="4:6" x14ac:dyDescent="0.2">
      <c r="D8113" s="50"/>
      <c r="E8113" s="73"/>
      <c r="F8113" s="45"/>
    </row>
    <row r="8114" spans="4:6" x14ac:dyDescent="0.2">
      <c r="D8114" s="50"/>
      <c r="E8114" s="73"/>
      <c r="F8114" s="45"/>
    </row>
    <row r="8115" spans="4:6" x14ac:dyDescent="0.2">
      <c r="D8115" s="50"/>
      <c r="E8115" s="73"/>
      <c r="F8115" s="45"/>
    </row>
    <row r="8116" spans="4:6" x14ac:dyDescent="0.2">
      <c r="D8116" s="50"/>
      <c r="E8116" s="73"/>
      <c r="F8116" s="45"/>
    </row>
    <row r="8117" spans="4:6" x14ac:dyDescent="0.2">
      <c r="D8117" s="50"/>
      <c r="E8117" s="73"/>
      <c r="F8117" s="45"/>
    </row>
    <row r="8118" spans="4:6" x14ac:dyDescent="0.2">
      <c r="D8118" s="50"/>
      <c r="E8118" s="73"/>
      <c r="F8118" s="45"/>
    </row>
    <row r="8119" spans="4:6" x14ac:dyDescent="0.2">
      <c r="D8119" s="50"/>
      <c r="E8119" s="73"/>
      <c r="F8119" s="45"/>
    </row>
    <row r="8120" spans="4:6" x14ac:dyDescent="0.2">
      <c r="D8120" s="50"/>
      <c r="E8120" s="73"/>
      <c r="F8120" s="45"/>
    </row>
    <row r="8121" spans="4:6" x14ac:dyDescent="0.2">
      <c r="D8121" s="50"/>
      <c r="E8121" s="73"/>
      <c r="F8121" s="45"/>
    </row>
    <row r="8122" spans="4:6" x14ac:dyDescent="0.2">
      <c r="D8122" s="50"/>
      <c r="E8122" s="73"/>
      <c r="F8122" s="45"/>
    </row>
    <row r="8123" spans="4:6" x14ac:dyDescent="0.2">
      <c r="D8123" s="50"/>
      <c r="E8123" s="73"/>
      <c r="F8123" s="45"/>
    </row>
    <row r="8124" spans="4:6" x14ac:dyDescent="0.2">
      <c r="D8124" s="50"/>
      <c r="E8124" s="73"/>
      <c r="F8124" s="45"/>
    </row>
    <row r="8125" spans="4:6" x14ac:dyDescent="0.2">
      <c r="D8125" s="50"/>
      <c r="E8125" s="73"/>
      <c r="F8125" s="45"/>
    </row>
    <row r="8126" spans="4:6" x14ac:dyDescent="0.2">
      <c r="D8126" s="50"/>
      <c r="E8126" s="73"/>
      <c r="F8126" s="45"/>
    </row>
    <row r="8127" spans="4:6" x14ac:dyDescent="0.2">
      <c r="D8127" s="50"/>
      <c r="E8127" s="73"/>
      <c r="F8127" s="45"/>
    </row>
    <row r="8128" spans="4:6" x14ac:dyDescent="0.2">
      <c r="D8128" s="50"/>
      <c r="E8128" s="73"/>
      <c r="F8128" s="45"/>
    </row>
    <row r="8129" spans="4:6" x14ac:dyDescent="0.2">
      <c r="D8129" s="50"/>
      <c r="E8129" s="73"/>
      <c r="F8129" s="45"/>
    </row>
    <row r="8130" spans="4:6" x14ac:dyDescent="0.2">
      <c r="D8130" s="50"/>
      <c r="E8130" s="73"/>
      <c r="F8130" s="45"/>
    </row>
    <row r="8131" spans="4:6" x14ac:dyDescent="0.2">
      <c r="D8131" s="50"/>
      <c r="E8131" s="73"/>
      <c r="F8131" s="45"/>
    </row>
    <row r="8132" spans="4:6" x14ac:dyDescent="0.2">
      <c r="D8132" s="50"/>
      <c r="E8132" s="73"/>
      <c r="F8132" s="45"/>
    </row>
    <row r="8133" spans="4:6" x14ac:dyDescent="0.2">
      <c r="D8133" s="50"/>
      <c r="E8133" s="73"/>
      <c r="F8133" s="45"/>
    </row>
    <row r="8134" spans="4:6" x14ac:dyDescent="0.2">
      <c r="D8134" s="50"/>
      <c r="E8134" s="73"/>
      <c r="F8134" s="45"/>
    </row>
    <row r="8135" spans="4:6" x14ac:dyDescent="0.2">
      <c r="D8135" s="50"/>
      <c r="E8135" s="73"/>
      <c r="F8135" s="45"/>
    </row>
    <row r="8136" spans="4:6" x14ac:dyDescent="0.2">
      <c r="D8136" s="50"/>
      <c r="E8136" s="73"/>
      <c r="F8136" s="45"/>
    </row>
    <row r="8137" spans="4:6" x14ac:dyDescent="0.2">
      <c r="D8137" s="50"/>
      <c r="E8137" s="73"/>
      <c r="F8137" s="45"/>
    </row>
    <row r="8138" spans="4:6" x14ac:dyDescent="0.2">
      <c r="D8138" s="50"/>
      <c r="E8138" s="73"/>
      <c r="F8138" s="45"/>
    </row>
    <row r="8139" spans="4:6" x14ac:dyDescent="0.2">
      <c r="D8139" s="50"/>
      <c r="E8139" s="73"/>
      <c r="F8139" s="45"/>
    </row>
    <row r="8140" spans="4:6" x14ac:dyDescent="0.2">
      <c r="D8140" s="50"/>
      <c r="E8140" s="73"/>
      <c r="F8140" s="45"/>
    </row>
    <row r="8141" spans="4:6" x14ac:dyDescent="0.2">
      <c r="D8141" s="50"/>
      <c r="E8141" s="73"/>
      <c r="F8141" s="45"/>
    </row>
    <row r="8142" spans="4:6" x14ac:dyDescent="0.2">
      <c r="D8142" s="50"/>
      <c r="E8142" s="73"/>
      <c r="F8142" s="45"/>
    </row>
    <row r="8143" spans="4:6" x14ac:dyDescent="0.2">
      <c r="D8143" s="50"/>
      <c r="E8143" s="73"/>
      <c r="F8143" s="45"/>
    </row>
    <row r="8144" spans="4:6" x14ac:dyDescent="0.2">
      <c r="D8144" s="50"/>
      <c r="E8144" s="73"/>
      <c r="F8144" s="45"/>
    </row>
    <row r="8145" spans="4:6" x14ac:dyDescent="0.2">
      <c r="D8145" s="50"/>
      <c r="E8145" s="73"/>
      <c r="F8145" s="45"/>
    </row>
    <row r="8146" spans="4:6" x14ac:dyDescent="0.2">
      <c r="D8146" s="50"/>
      <c r="E8146" s="73"/>
      <c r="F8146" s="45"/>
    </row>
    <row r="8147" spans="4:6" x14ac:dyDescent="0.2">
      <c r="D8147" s="50"/>
      <c r="E8147" s="73"/>
      <c r="F8147" s="45"/>
    </row>
    <row r="8148" spans="4:6" x14ac:dyDescent="0.2">
      <c r="D8148" s="50"/>
      <c r="E8148" s="73"/>
      <c r="F8148" s="45"/>
    </row>
    <row r="8149" spans="4:6" x14ac:dyDescent="0.2">
      <c r="D8149" s="50"/>
      <c r="E8149" s="73"/>
      <c r="F8149" s="45"/>
    </row>
    <row r="8150" spans="4:6" x14ac:dyDescent="0.2">
      <c r="D8150" s="50"/>
      <c r="E8150" s="73"/>
      <c r="F8150" s="45"/>
    </row>
    <row r="8151" spans="4:6" x14ac:dyDescent="0.2">
      <c r="D8151" s="50"/>
      <c r="E8151" s="73"/>
      <c r="F8151" s="45"/>
    </row>
    <row r="8152" spans="4:6" x14ac:dyDescent="0.2">
      <c r="D8152" s="50"/>
      <c r="E8152" s="73"/>
      <c r="F8152" s="45"/>
    </row>
    <row r="8153" spans="4:6" x14ac:dyDescent="0.2">
      <c r="D8153" s="50"/>
      <c r="E8153" s="73"/>
      <c r="F8153" s="45"/>
    </row>
    <row r="8154" spans="4:6" x14ac:dyDescent="0.2">
      <c r="D8154" s="50"/>
      <c r="E8154" s="73"/>
      <c r="F8154" s="45"/>
    </row>
    <row r="8155" spans="4:6" x14ac:dyDescent="0.2">
      <c r="D8155" s="50"/>
      <c r="E8155" s="73"/>
      <c r="F8155" s="45"/>
    </row>
    <row r="8156" spans="4:6" x14ac:dyDescent="0.2">
      <c r="D8156" s="50"/>
      <c r="E8156" s="73"/>
      <c r="F8156" s="45"/>
    </row>
    <row r="8157" spans="4:6" x14ac:dyDescent="0.2">
      <c r="D8157" s="50"/>
      <c r="E8157" s="73"/>
      <c r="F8157" s="45"/>
    </row>
    <row r="8158" spans="4:6" x14ac:dyDescent="0.2">
      <c r="D8158" s="50"/>
      <c r="E8158" s="73"/>
      <c r="F8158" s="45"/>
    </row>
    <row r="8159" spans="4:6" x14ac:dyDescent="0.2">
      <c r="D8159" s="50"/>
      <c r="E8159" s="73"/>
      <c r="F8159" s="45"/>
    </row>
    <row r="8160" spans="4:6" x14ac:dyDescent="0.2">
      <c r="D8160" s="50"/>
      <c r="E8160" s="73"/>
      <c r="F8160" s="45"/>
    </row>
    <row r="8161" spans="4:6" x14ac:dyDescent="0.2">
      <c r="D8161" s="50"/>
      <c r="E8161" s="73"/>
      <c r="F8161" s="45"/>
    </row>
    <row r="8162" spans="4:6" x14ac:dyDescent="0.2">
      <c r="D8162" s="50"/>
      <c r="E8162" s="73"/>
      <c r="F8162" s="45"/>
    </row>
    <row r="8163" spans="4:6" x14ac:dyDescent="0.2">
      <c r="D8163" s="50"/>
      <c r="E8163" s="73"/>
      <c r="F8163" s="45"/>
    </row>
    <row r="8164" spans="4:6" x14ac:dyDescent="0.2">
      <c r="D8164" s="50"/>
      <c r="E8164" s="73"/>
      <c r="F8164" s="45"/>
    </row>
    <row r="8165" spans="4:6" x14ac:dyDescent="0.2">
      <c r="D8165" s="50"/>
      <c r="E8165" s="73"/>
      <c r="F8165" s="45"/>
    </row>
    <row r="8166" spans="4:6" x14ac:dyDescent="0.2">
      <c r="D8166" s="50"/>
      <c r="E8166" s="73"/>
      <c r="F8166" s="45"/>
    </row>
    <row r="8167" spans="4:6" x14ac:dyDescent="0.2">
      <c r="D8167" s="50"/>
      <c r="E8167" s="73"/>
      <c r="F8167" s="45"/>
    </row>
    <row r="8168" spans="4:6" x14ac:dyDescent="0.2">
      <c r="D8168" s="50"/>
      <c r="E8168" s="73"/>
      <c r="F8168" s="45"/>
    </row>
    <row r="8169" spans="4:6" x14ac:dyDescent="0.2">
      <c r="D8169" s="50"/>
      <c r="E8169" s="73"/>
      <c r="F8169" s="45"/>
    </row>
    <row r="8170" spans="4:6" x14ac:dyDescent="0.2">
      <c r="D8170" s="50"/>
      <c r="E8170" s="73"/>
      <c r="F8170" s="45"/>
    </row>
    <row r="8171" spans="4:6" x14ac:dyDescent="0.2">
      <c r="D8171" s="50"/>
      <c r="E8171" s="73"/>
      <c r="F8171" s="45"/>
    </row>
    <row r="8172" spans="4:6" x14ac:dyDescent="0.2">
      <c r="D8172" s="50"/>
      <c r="E8172" s="73"/>
      <c r="F8172" s="45"/>
    </row>
    <row r="8173" spans="4:6" x14ac:dyDescent="0.2">
      <c r="D8173" s="50"/>
      <c r="E8173" s="73"/>
      <c r="F8173" s="45"/>
    </row>
    <row r="8174" spans="4:6" x14ac:dyDescent="0.2">
      <c r="D8174" s="50"/>
      <c r="E8174" s="73"/>
      <c r="F8174" s="45"/>
    </row>
    <row r="8175" spans="4:6" x14ac:dyDescent="0.2">
      <c r="D8175" s="50"/>
      <c r="E8175" s="73"/>
      <c r="F8175" s="45"/>
    </row>
    <row r="8176" spans="4:6" x14ac:dyDescent="0.2">
      <c r="D8176" s="50"/>
      <c r="E8176" s="73"/>
      <c r="F8176" s="45"/>
    </row>
    <row r="8177" spans="4:6" x14ac:dyDescent="0.2">
      <c r="D8177" s="50"/>
      <c r="E8177" s="73"/>
      <c r="F8177" s="45"/>
    </row>
    <row r="8178" spans="4:6" x14ac:dyDescent="0.2">
      <c r="D8178" s="50"/>
      <c r="E8178" s="73"/>
      <c r="F8178" s="45"/>
    </row>
    <row r="8179" spans="4:6" x14ac:dyDescent="0.2">
      <c r="D8179" s="50"/>
      <c r="E8179" s="73"/>
      <c r="F8179" s="45"/>
    </row>
    <row r="8180" spans="4:6" x14ac:dyDescent="0.2">
      <c r="D8180" s="50"/>
      <c r="E8180" s="73"/>
      <c r="F8180" s="45"/>
    </row>
    <row r="8181" spans="4:6" x14ac:dyDescent="0.2">
      <c r="D8181" s="50"/>
      <c r="E8181" s="73"/>
      <c r="F8181" s="45"/>
    </row>
    <row r="8182" spans="4:6" x14ac:dyDescent="0.2">
      <c r="D8182" s="50"/>
      <c r="E8182" s="73"/>
      <c r="F8182" s="45"/>
    </row>
    <row r="8183" spans="4:6" x14ac:dyDescent="0.2">
      <c r="D8183" s="50"/>
      <c r="E8183" s="73"/>
      <c r="F8183" s="45"/>
    </row>
    <row r="8184" spans="4:6" x14ac:dyDescent="0.2">
      <c r="D8184" s="50"/>
      <c r="E8184" s="73"/>
      <c r="F8184" s="45"/>
    </row>
    <row r="8185" spans="4:6" x14ac:dyDescent="0.2">
      <c r="D8185" s="50"/>
      <c r="E8185" s="73"/>
      <c r="F8185" s="45"/>
    </row>
    <row r="8186" spans="4:6" x14ac:dyDescent="0.2">
      <c r="D8186" s="50"/>
      <c r="E8186" s="73"/>
      <c r="F8186" s="45"/>
    </row>
    <row r="8187" spans="4:6" x14ac:dyDescent="0.2">
      <c r="D8187" s="50"/>
      <c r="E8187" s="73"/>
      <c r="F8187" s="45"/>
    </row>
    <row r="8188" spans="4:6" x14ac:dyDescent="0.2">
      <c r="D8188" s="50"/>
      <c r="E8188" s="73"/>
      <c r="F8188" s="45"/>
    </row>
    <row r="8189" spans="4:6" x14ac:dyDescent="0.2">
      <c r="D8189" s="50"/>
      <c r="E8189" s="73"/>
      <c r="F8189" s="45"/>
    </row>
    <row r="8190" spans="4:6" x14ac:dyDescent="0.2">
      <c r="D8190" s="50"/>
      <c r="E8190" s="73"/>
      <c r="F8190" s="45"/>
    </row>
    <row r="8191" spans="4:6" x14ac:dyDescent="0.2">
      <c r="D8191" s="50"/>
      <c r="E8191" s="73"/>
      <c r="F8191" s="45"/>
    </row>
    <row r="8192" spans="4:6" x14ac:dyDescent="0.2">
      <c r="D8192" s="50"/>
      <c r="E8192" s="73"/>
      <c r="F8192" s="45"/>
    </row>
    <row r="8193" spans="4:6" x14ac:dyDescent="0.2">
      <c r="D8193" s="50"/>
      <c r="E8193" s="73"/>
      <c r="F8193" s="45"/>
    </row>
    <row r="8194" spans="4:6" x14ac:dyDescent="0.2">
      <c r="D8194" s="50"/>
      <c r="E8194" s="73"/>
      <c r="F8194" s="45"/>
    </row>
    <row r="8195" spans="4:6" x14ac:dyDescent="0.2">
      <c r="D8195" s="50"/>
      <c r="E8195" s="73"/>
      <c r="F8195" s="45"/>
    </row>
    <row r="8196" spans="4:6" x14ac:dyDescent="0.2">
      <c r="D8196" s="50"/>
      <c r="E8196" s="73"/>
      <c r="F8196" s="45"/>
    </row>
    <row r="8197" spans="4:6" x14ac:dyDescent="0.2">
      <c r="D8197" s="50"/>
      <c r="E8197" s="73"/>
      <c r="F8197" s="45"/>
    </row>
    <row r="8198" spans="4:6" x14ac:dyDescent="0.2">
      <c r="D8198" s="50"/>
      <c r="E8198" s="73"/>
      <c r="F8198" s="45"/>
    </row>
    <row r="8199" spans="4:6" x14ac:dyDescent="0.2">
      <c r="D8199" s="50"/>
      <c r="E8199" s="73"/>
      <c r="F8199" s="45"/>
    </row>
    <row r="8200" spans="4:6" x14ac:dyDescent="0.2">
      <c r="D8200" s="50"/>
      <c r="E8200" s="73"/>
      <c r="F8200" s="45"/>
    </row>
    <row r="8201" spans="4:6" x14ac:dyDescent="0.2">
      <c r="D8201" s="50"/>
      <c r="E8201" s="73"/>
      <c r="F8201" s="45"/>
    </row>
    <row r="8202" spans="4:6" x14ac:dyDescent="0.2">
      <c r="D8202" s="50"/>
      <c r="E8202" s="73"/>
      <c r="F8202" s="45"/>
    </row>
    <row r="8203" spans="4:6" x14ac:dyDescent="0.2">
      <c r="D8203" s="50"/>
      <c r="E8203" s="73"/>
      <c r="F8203" s="45"/>
    </row>
    <row r="8204" spans="4:6" x14ac:dyDescent="0.2">
      <c r="D8204" s="50"/>
      <c r="E8204" s="73"/>
      <c r="F8204" s="45"/>
    </row>
    <row r="8205" spans="4:6" x14ac:dyDescent="0.2">
      <c r="D8205" s="50"/>
      <c r="E8205" s="73"/>
      <c r="F8205" s="45"/>
    </row>
    <row r="8206" spans="4:6" x14ac:dyDescent="0.2">
      <c r="D8206" s="50"/>
      <c r="E8206" s="73"/>
      <c r="F8206" s="45"/>
    </row>
    <row r="8207" spans="4:6" x14ac:dyDescent="0.2">
      <c r="D8207" s="50"/>
      <c r="E8207" s="73"/>
      <c r="F8207" s="45"/>
    </row>
    <row r="8208" spans="4:6" x14ac:dyDescent="0.2">
      <c r="D8208" s="50"/>
      <c r="E8208" s="73"/>
      <c r="F8208" s="45"/>
    </row>
    <row r="8209" spans="4:6" x14ac:dyDescent="0.2">
      <c r="D8209" s="50"/>
      <c r="E8209" s="73"/>
      <c r="F8209" s="45"/>
    </row>
    <row r="8210" spans="4:6" x14ac:dyDescent="0.2">
      <c r="D8210" s="50"/>
      <c r="E8210" s="73"/>
      <c r="F8210" s="45"/>
    </row>
    <row r="8211" spans="4:6" x14ac:dyDescent="0.2">
      <c r="D8211" s="50"/>
      <c r="E8211" s="73"/>
      <c r="F8211" s="45"/>
    </row>
    <row r="8212" spans="4:6" x14ac:dyDescent="0.2">
      <c r="D8212" s="50"/>
      <c r="E8212" s="73"/>
      <c r="F8212" s="45"/>
    </row>
    <row r="8213" spans="4:6" x14ac:dyDescent="0.2">
      <c r="D8213" s="50"/>
      <c r="E8213" s="73"/>
      <c r="F8213" s="45"/>
    </row>
    <row r="8214" spans="4:6" x14ac:dyDescent="0.2">
      <c r="D8214" s="50"/>
      <c r="E8214" s="73"/>
      <c r="F8214" s="45"/>
    </row>
    <row r="8215" spans="4:6" x14ac:dyDescent="0.2">
      <c r="D8215" s="50"/>
      <c r="E8215" s="73"/>
      <c r="F8215" s="45"/>
    </row>
    <row r="8216" spans="4:6" x14ac:dyDescent="0.2">
      <c r="D8216" s="50"/>
      <c r="E8216" s="73"/>
      <c r="F8216" s="45"/>
    </row>
    <row r="8217" spans="4:6" x14ac:dyDescent="0.2">
      <c r="D8217" s="50"/>
      <c r="E8217" s="73"/>
      <c r="F8217" s="45"/>
    </row>
    <row r="8218" spans="4:6" x14ac:dyDescent="0.2">
      <c r="D8218" s="50"/>
      <c r="E8218" s="73"/>
      <c r="F8218" s="45"/>
    </row>
    <row r="8219" spans="4:6" x14ac:dyDescent="0.2">
      <c r="D8219" s="50"/>
      <c r="E8219" s="73"/>
      <c r="F8219" s="45"/>
    </row>
    <row r="8220" spans="4:6" x14ac:dyDescent="0.2">
      <c r="D8220" s="50"/>
      <c r="E8220" s="73"/>
      <c r="F8220" s="45"/>
    </row>
    <row r="8221" spans="4:6" x14ac:dyDescent="0.2">
      <c r="D8221" s="50"/>
      <c r="E8221" s="73"/>
      <c r="F8221" s="45"/>
    </row>
    <row r="8222" spans="4:6" x14ac:dyDescent="0.2">
      <c r="D8222" s="50"/>
      <c r="E8222" s="73"/>
      <c r="F8222" s="45"/>
    </row>
    <row r="8223" spans="4:6" x14ac:dyDescent="0.2">
      <c r="D8223" s="50"/>
      <c r="E8223" s="73"/>
      <c r="F8223" s="45"/>
    </row>
    <row r="8224" spans="4:6" x14ac:dyDescent="0.2">
      <c r="D8224" s="50"/>
      <c r="E8224" s="73"/>
      <c r="F8224" s="45"/>
    </row>
    <row r="8225" spans="4:6" x14ac:dyDescent="0.2">
      <c r="D8225" s="50"/>
      <c r="E8225" s="73"/>
      <c r="F8225" s="45"/>
    </row>
    <row r="8226" spans="4:6" x14ac:dyDescent="0.2">
      <c r="D8226" s="50"/>
      <c r="E8226" s="73"/>
      <c r="F8226" s="45"/>
    </row>
    <row r="8227" spans="4:6" x14ac:dyDescent="0.2">
      <c r="D8227" s="50"/>
      <c r="E8227" s="73"/>
      <c r="F8227" s="45"/>
    </row>
    <row r="8228" spans="4:6" x14ac:dyDescent="0.2">
      <c r="D8228" s="50"/>
      <c r="E8228" s="73"/>
      <c r="F8228" s="45"/>
    </row>
    <row r="8229" spans="4:6" x14ac:dyDescent="0.2">
      <c r="D8229" s="50"/>
      <c r="E8229" s="73"/>
      <c r="F8229" s="45"/>
    </row>
    <row r="8230" spans="4:6" x14ac:dyDescent="0.2">
      <c r="D8230" s="50"/>
      <c r="E8230" s="73"/>
      <c r="F8230" s="45"/>
    </row>
    <row r="8231" spans="4:6" x14ac:dyDescent="0.2">
      <c r="D8231" s="50"/>
      <c r="E8231" s="73"/>
      <c r="F8231" s="45"/>
    </row>
    <row r="8232" spans="4:6" x14ac:dyDescent="0.2">
      <c r="D8232" s="50"/>
      <c r="E8232" s="73"/>
      <c r="F8232" s="45"/>
    </row>
    <row r="8233" spans="4:6" x14ac:dyDescent="0.2">
      <c r="D8233" s="50"/>
      <c r="E8233" s="73"/>
      <c r="F8233" s="45"/>
    </row>
    <row r="8234" spans="4:6" x14ac:dyDescent="0.2">
      <c r="D8234" s="50"/>
      <c r="E8234" s="73"/>
      <c r="F8234" s="45"/>
    </row>
    <row r="8235" spans="4:6" x14ac:dyDescent="0.2">
      <c r="D8235" s="50"/>
      <c r="E8235" s="73"/>
      <c r="F8235" s="45"/>
    </row>
    <row r="8236" spans="4:6" x14ac:dyDescent="0.2">
      <c r="D8236" s="50"/>
      <c r="E8236" s="73"/>
      <c r="F8236" s="45"/>
    </row>
    <row r="8237" spans="4:6" x14ac:dyDescent="0.2">
      <c r="D8237" s="50"/>
      <c r="E8237" s="73"/>
      <c r="F8237" s="45"/>
    </row>
    <row r="8238" spans="4:6" x14ac:dyDescent="0.2">
      <c r="D8238" s="50"/>
      <c r="E8238" s="73"/>
      <c r="F8238" s="45"/>
    </row>
    <row r="8239" spans="4:6" x14ac:dyDescent="0.2">
      <c r="D8239" s="50"/>
      <c r="E8239" s="73"/>
      <c r="F8239" s="45"/>
    </row>
    <row r="8240" spans="4:6" x14ac:dyDescent="0.2">
      <c r="D8240" s="50"/>
      <c r="E8240" s="73"/>
      <c r="F8240" s="45"/>
    </row>
    <row r="8241" spans="4:6" x14ac:dyDescent="0.2">
      <c r="D8241" s="50"/>
      <c r="E8241" s="73"/>
      <c r="F8241" s="45"/>
    </row>
    <row r="8242" spans="4:6" x14ac:dyDescent="0.2">
      <c r="D8242" s="50"/>
      <c r="E8242" s="73"/>
      <c r="F8242" s="45"/>
    </row>
    <row r="8243" spans="4:6" x14ac:dyDescent="0.2">
      <c r="D8243" s="50"/>
      <c r="E8243" s="73"/>
      <c r="F8243" s="45"/>
    </row>
    <row r="8244" spans="4:6" x14ac:dyDescent="0.2">
      <c r="D8244" s="50"/>
      <c r="E8244" s="73"/>
      <c r="F8244" s="45"/>
    </row>
    <row r="8245" spans="4:6" x14ac:dyDescent="0.2">
      <c r="D8245" s="50"/>
      <c r="E8245" s="73"/>
      <c r="F8245" s="45"/>
    </row>
    <row r="8246" spans="4:6" x14ac:dyDescent="0.2">
      <c r="D8246" s="50"/>
      <c r="E8246" s="73"/>
      <c r="F8246" s="45"/>
    </row>
    <row r="8247" spans="4:6" x14ac:dyDescent="0.2">
      <c r="D8247" s="50"/>
      <c r="E8247" s="73"/>
      <c r="F8247" s="45"/>
    </row>
    <row r="8248" spans="4:6" x14ac:dyDescent="0.2">
      <c r="D8248" s="50"/>
      <c r="E8248" s="73"/>
      <c r="F8248" s="45"/>
    </row>
    <row r="8249" spans="4:6" x14ac:dyDescent="0.2">
      <c r="D8249" s="50"/>
      <c r="E8249" s="73"/>
      <c r="F8249" s="45"/>
    </row>
    <row r="8250" spans="4:6" x14ac:dyDescent="0.2">
      <c r="D8250" s="50"/>
      <c r="E8250" s="73"/>
      <c r="F8250" s="45"/>
    </row>
    <row r="8251" spans="4:6" x14ac:dyDescent="0.2">
      <c r="D8251" s="50"/>
      <c r="E8251" s="73"/>
      <c r="F8251" s="45"/>
    </row>
    <row r="8252" spans="4:6" x14ac:dyDescent="0.2">
      <c r="D8252" s="50"/>
      <c r="E8252" s="73"/>
      <c r="F8252" s="45"/>
    </row>
    <row r="8253" spans="4:6" x14ac:dyDescent="0.2">
      <c r="D8253" s="50"/>
      <c r="E8253" s="73"/>
      <c r="F8253" s="45"/>
    </row>
    <row r="8254" spans="4:6" x14ac:dyDescent="0.2">
      <c r="D8254" s="50"/>
      <c r="E8254" s="73"/>
      <c r="F8254" s="45"/>
    </row>
    <row r="8255" spans="4:6" x14ac:dyDescent="0.2">
      <c r="D8255" s="50"/>
      <c r="E8255" s="73"/>
      <c r="F8255" s="45"/>
    </row>
    <row r="8256" spans="4:6" x14ac:dyDescent="0.2">
      <c r="D8256" s="50"/>
      <c r="E8256" s="73"/>
      <c r="F8256" s="45"/>
    </row>
    <row r="8257" spans="4:6" x14ac:dyDescent="0.2">
      <c r="D8257" s="50"/>
      <c r="E8257" s="73"/>
      <c r="F8257" s="45"/>
    </row>
    <row r="8258" spans="4:6" x14ac:dyDescent="0.2">
      <c r="D8258" s="50"/>
      <c r="E8258" s="73"/>
      <c r="F8258" s="45"/>
    </row>
    <row r="8259" spans="4:6" x14ac:dyDescent="0.2">
      <c r="D8259" s="50"/>
      <c r="E8259" s="73"/>
      <c r="F8259" s="45"/>
    </row>
    <row r="8260" spans="4:6" x14ac:dyDescent="0.2">
      <c r="D8260" s="50"/>
      <c r="E8260" s="73"/>
      <c r="F8260" s="45"/>
    </row>
    <row r="8261" spans="4:6" x14ac:dyDescent="0.2">
      <c r="D8261" s="50"/>
      <c r="E8261" s="73"/>
      <c r="F8261" s="45"/>
    </row>
    <row r="8262" spans="4:6" x14ac:dyDescent="0.2">
      <c r="D8262" s="50"/>
      <c r="E8262" s="73"/>
      <c r="F8262" s="45"/>
    </row>
    <row r="8263" spans="4:6" x14ac:dyDescent="0.2">
      <c r="D8263" s="50"/>
      <c r="E8263" s="73"/>
      <c r="F8263" s="45"/>
    </row>
    <row r="8264" spans="4:6" x14ac:dyDescent="0.2">
      <c r="D8264" s="50"/>
      <c r="E8264" s="73"/>
      <c r="F8264" s="45"/>
    </row>
    <row r="8265" spans="4:6" x14ac:dyDescent="0.2">
      <c r="D8265" s="50"/>
      <c r="E8265" s="73"/>
      <c r="F8265" s="45"/>
    </row>
    <row r="8266" spans="4:6" x14ac:dyDescent="0.2">
      <c r="D8266" s="50"/>
      <c r="E8266" s="73"/>
      <c r="F8266" s="45"/>
    </row>
    <row r="8267" spans="4:6" x14ac:dyDescent="0.2">
      <c r="D8267" s="50"/>
      <c r="E8267" s="73"/>
      <c r="F8267" s="45"/>
    </row>
    <row r="8268" spans="4:6" x14ac:dyDescent="0.2">
      <c r="D8268" s="50"/>
      <c r="E8268" s="73"/>
      <c r="F8268" s="45"/>
    </row>
    <row r="8269" spans="4:6" x14ac:dyDescent="0.2">
      <c r="D8269" s="50"/>
      <c r="E8269" s="73"/>
      <c r="F8269" s="45"/>
    </row>
    <row r="8270" spans="4:6" x14ac:dyDescent="0.2">
      <c r="D8270" s="50"/>
      <c r="E8270" s="73"/>
      <c r="F8270" s="45"/>
    </row>
    <row r="8271" spans="4:6" x14ac:dyDescent="0.2">
      <c r="D8271" s="50"/>
      <c r="E8271" s="73"/>
      <c r="F8271" s="45"/>
    </row>
    <row r="8272" spans="4:6" x14ac:dyDescent="0.2">
      <c r="D8272" s="50"/>
      <c r="E8272" s="73"/>
      <c r="F8272" s="45"/>
    </row>
    <row r="8273" spans="4:6" x14ac:dyDescent="0.2">
      <c r="D8273" s="50"/>
      <c r="E8273" s="73"/>
      <c r="F8273" s="45"/>
    </row>
    <row r="8274" spans="4:6" x14ac:dyDescent="0.2">
      <c r="D8274" s="50"/>
      <c r="E8274" s="73"/>
      <c r="F8274" s="45"/>
    </row>
    <row r="8275" spans="4:6" x14ac:dyDescent="0.2">
      <c r="D8275" s="50"/>
      <c r="E8275" s="73"/>
      <c r="F8275" s="45"/>
    </row>
    <row r="8276" spans="4:6" x14ac:dyDescent="0.2">
      <c r="D8276" s="50"/>
      <c r="E8276" s="73"/>
      <c r="F8276" s="45"/>
    </row>
    <row r="8277" spans="4:6" x14ac:dyDescent="0.2">
      <c r="D8277" s="50"/>
      <c r="E8277" s="73"/>
      <c r="F8277" s="45"/>
    </row>
    <row r="8278" spans="4:6" x14ac:dyDescent="0.2">
      <c r="D8278" s="50"/>
      <c r="E8278" s="73"/>
      <c r="F8278" s="45"/>
    </row>
    <row r="8279" spans="4:6" x14ac:dyDescent="0.2">
      <c r="D8279" s="50"/>
      <c r="E8279" s="73"/>
      <c r="F8279" s="45"/>
    </row>
    <row r="8280" spans="4:6" x14ac:dyDescent="0.2">
      <c r="D8280" s="50"/>
      <c r="E8280" s="73"/>
      <c r="F8280" s="45"/>
    </row>
    <row r="8281" spans="4:6" x14ac:dyDescent="0.2">
      <c r="D8281" s="50"/>
      <c r="E8281" s="73"/>
      <c r="F8281" s="45"/>
    </row>
    <row r="8282" spans="4:6" x14ac:dyDescent="0.2">
      <c r="D8282" s="50"/>
      <c r="E8282" s="73"/>
      <c r="F8282" s="45"/>
    </row>
    <row r="8283" spans="4:6" x14ac:dyDescent="0.2">
      <c r="D8283" s="50"/>
      <c r="E8283" s="73"/>
      <c r="F8283" s="45"/>
    </row>
    <row r="8284" spans="4:6" x14ac:dyDescent="0.2">
      <c r="D8284" s="50"/>
      <c r="E8284" s="73"/>
      <c r="F8284" s="45"/>
    </row>
    <row r="8285" spans="4:6" x14ac:dyDescent="0.2">
      <c r="D8285" s="50"/>
      <c r="E8285" s="73"/>
      <c r="F8285" s="45"/>
    </row>
    <row r="8286" spans="4:6" x14ac:dyDescent="0.2">
      <c r="D8286" s="50"/>
      <c r="E8286" s="73"/>
      <c r="F8286" s="45"/>
    </row>
    <row r="8287" spans="4:6" x14ac:dyDescent="0.2">
      <c r="D8287" s="50"/>
      <c r="E8287" s="73"/>
      <c r="F8287" s="45"/>
    </row>
    <row r="8288" spans="4:6" x14ac:dyDescent="0.2">
      <c r="D8288" s="50"/>
      <c r="E8288" s="73"/>
      <c r="F8288" s="45"/>
    </row>
    <row r="8289" spans="4:6" x14ac:dyDescent="0.2">
      <c r="D8289" s="50"/>
      <c r="E8289" s="73"/>
      <c r="F8289" s="45"/>
    </row>
    <row r="8290" spans="4:6" x14ac:dyDescent="0.2">
      <c r="D8290" s="50"/>
      <c r="E8290" s="73"/>
      <c r="F8290" s="45"/>
    </row>
    <row r="8291" spans="4:6" x14ac:dyDescent="0.2">
      <c r="D8291" s="50"/>
      <c r="E8291" s="73"/>
      <c r="F8291" s="45"/>
    </row>
    <row r="8292" spans="4:6" x14ac:dyDescent="0.2">
      <c r="D8292" s="50"/>
      <c r="E8292" s="73"/>
      <c r="F8292" s="45"/>
    </row>
    <row r="8293" spans="4:6" x14ac:dyDescent="0.2">
      <c r="D8293" s="50"/>
      <c r="E8293" s="73"/>
      <c r="F8293" s="45"/>
    </row>
    <row r="8294" spans="4:6" x14ac:dyDescent="0.2">
      <c r="D8294" s="50"/>
      <c r="E8294" s="73"/>
      <c r="F8294" s="45"/>
    </row>
    <row r="8295" spans="4:6" x14ac:dyDescent="0.2">
      <c r="D8295" s="50"/>
      <c r="E8295" s="73"/>
      <c r="F8295" s="45"/>
    </row>
    <row r="8296" spans="4:6" x14ac:dyDescent="0.2">
      <c r="D8296" s="50"/>
      <c r="E8296" s="73"/>
      <c r="F8296" s="45"/>
    </row>
    <row r="8297" spans="4:6" x14ac:dyDescent="0.2">
      <c r="D8297" s="50"/>
      <c r="E8297" s="73"/>
      <c r="F8297" s="45"/>
    </row>
    <row r="8298" spans="4:6" x14ac:dyDescent="0.2">
      <c r="D8298" s="50"/>
      <c r="E8298" s="73"/>
      <c r="F8298" s="45"/>
    </row>
    <row r="8299" spans="4:6" x14ac:dyDescent="0.2">
      <c r="D8299" s="50"/>
      <c r="E8299" s="73"/>
      <c r="F8299" s="45"/>
    </row>
    <row r="8300" spans="4:6" x14ac:dyDescent="0.2">
      <c r="D8300" s="50"/>
      <c r="E8300" s="73"/>
      <c r="F8300" s="45"/>
    </row>
    <row r="8301" spans="4:6" x14ac:dyDescent="0.2">
      <c r="D8301" s="50"/>
      <c r="E8301" s="73"/>
      <c r="F8301" s="45"/>
    </row>
    <row r="8302" spans="4:6" x14ac:dyDescent="0.2">
      <c r="D8302" s="50"/>
      <c r="E8302" s="73"/>
      <c r="F8302" s="45"/>
    </row>
    <row r="8303" spans="4:6" x14ac:dyDescent="0.2">
      <c r="D8303" s="50"/>
      <c r="E8303" s="73"/>
      <c r="F8303" s="45"/>
    </row>
    <row r="8304" spans="4:6" x14ac:dyDescent="0.2">
      <c r="D8304" s="50"/>
      <c r="E8304" s="73"/>
      <c r="F8304" s="45"/>
    </row>
    <row r="8305" spans="4:6" x14ac:dyDescent="0.2">
      <c r="D8305" s="50"/>
      <c r="E8305" s="73"/>
      <c r="F8305" s="45"/>
    </row>
    <row r="8306" spans="4:6" x14ac:dyDescent="0.2">
      <c r="D8306" s="50"/>
      <c r="E8306" s="73"/>
      <c r="F8306" s="45"/>
    </row>
    <row r="8307" spans="4:6" x14ac:dyDescent="0.2">
      <c r="D8307" s="50"/>
      <c r="E8307" s="73"/>
      <c r="F8307" s="45"/>
    </row>
    <row r="8308" spans="4:6" x14ac:dyDescent="0.2">
      <c r="D8308" s="50"/>
      <c r="E8308" s="73"/>
      <c r="F8308" s="45"/>
    </row>
    <row r="8309" spans="4:6" x14ac:dyDescent="0.2">
      <c r="D8309" s="50"/>
      <c r="E8309" s="73"/>
      <c r="F8309" s="45"/>
    </row>
    <row r="8310" spans="4:6" x14ac:dyDescent="0.2">
      <c r="D8310" s="50"/>
      <c r="E8310" s="73"/>
      <c r="F8310" s="45"/>
    </row>
    <row r="8311" spans="4:6" x14ac:dyDescent="0.2">
      <c r="D8311" s="50"/>
      <c r="E8311" s="73"/>
      <c r="F8311" s="45"/>
    </row>
    <row r="8312" spans="4:6" x14ac:dyDescent="0.2">
      <c r="D8312" s="50"/>
      <c r="E8312" s="73"/>
      <c r="F8312" s="45"/>
    </row>
    <row r="8313" spans="4:6" x14ac:dyDescent="0.2">
      <c r="D8313" s="50"/>
      <c r="E8313" s="73"/>
      <c r="F8313" s="45"/>
    </row>
    <row r="8314" spans="4:6" x14ac:dyDescent="0.2">
      <c r="D8314" s="50"/>
      <c r="E8314" s="73"/>
      <c r="F8314" s="45"/>
    </row>
    <row r="8315" spans="4:6" x14ac:dyDescent="0.2">
      <c r="D8315" s="50"/>
      <c r="E8315" s="73"/>
      <c r="F8315" s="45"/>
    </row>
    <row r="8316" spans="4:6" x14ac:dyDescent="0.2">
      <c r="D8316" s="50"/>
      <c r="E8316" s="73"/>
      <c r="F8316" s="45"/>
    </row>
    <row r="8317" spans="4:6" x14ac:dyDescent="0.2">
      <c r="D8317" s="50"/>
      <c r="E8317" s="73"/>
      <c r="F8317" s="45"/>
    </row>
    <row r="8318" spans="4:6" x14ac:dyDescent="0.2">
      <c r="D8318" s="50"/>
      <c r="E8318" s="73"/>
      <c r="F8318" s="45"/>
    </row>
    <row r="8319" spans="4:6" x14ac:dyDescent="0.2">
      <c r="D8319" s="50"/>
      <c r="E8319" s="73"/>
      <c r="F8319" s="45"/>
    </row>
    <row r="8320" spans="4:6" x14ac:dyDescent="0.2">
      <c r="D8320" s="50"/>
      <c r="E8320" s="73"/>
      <c r="F8320" s="45"/>
    </row>
    <row r="8321" spans="4:6" x14ac:dyDescent="0.2">
      <c r="D8321" s="50"/>
      <c r="E8321" s="73"/>
      <c r="F8321" s="45"/>
    </row>
    <row r="8322" spans="4:6" x14ac:dyDescent="0.2">
      <c r="D8322" s="50"/>
      <c r="E8322" s="73"/>
      <c r="F8322" s="45"/>
    </row>
    <row r="8323" spans="4:6" x14ac:dyDescent="0.2">
      <c r="D8323" s="50"/>
      <c r="E8323" s="73"/>
      <c r="F8323" s="45"/>
    </row>
    <row r="8324" spans="4:6" x14ac:dyDescent="0.2">
      <c r="D8324" s="50"/>
      <c r="E8324" s="73"/>
      <c r="F8324" s="45"/>
    </row>
    <row r="8325" spans="4:6" x14ac:dyDescent="0.2">
      <c r="D8325" s="50"/>
      <c r="E8325" s="73"/>
      <c r="F8325" s="45"/>
    </row>
    <row r="8326" spans="4:6" x14ac:dyDescent="0.2">
      <c r="D8326" s="50"/>
      <c r="E8326" s="73"/>
      <c r="F8326" s="45"/>
    </row>
    <row r="8327" spans="4:6" x14ac:dyDescent="0.2">
      <c r="D8327" s="50"/>
      <c r="E8327" s="73"/>
      <c r="F8327" s="45"/>
    </row>
    <row r="8328" spans="4:6" x14ac:dyDescent="0.2">
      <c r="D8328" s="50"/>
      <c r="E8328" s="73"/>
      <c r="F8328" s="45"/>
    </row>
    <row r="8329" spans="4:6" x14ac:dyDescent="0.2">
      <c r="D8329" s="50"/>
      <c r="E8329" s="73"/>
      <c r="F8329" s="45"/>
    </row>
    <row r="8330" spans="4:6" x14ac:dyDescent="0.2">
      <c r="D8330" s="50"/>
      <c r="E8330" s="73"/>
      <c r="F8330" s="45"/>
    </row>
    <row r="8331" spans="4:6" x14ac:dyDescent="0.2">
      <c r="D8331" s="50"/>
      <c r="E8331" s="73"/>
      <c r="F8331" s="45"/>
    </row>
    <row r="8332" spans="4:6" x14ac:dyDescent="0.2">
      <c r="D8332" s="50"/>
      <c r="E8332" s="73"/>
      <c r="F8332" s="45"/>
    </row>
    <row r="8333" spans="4:6" x14ac:dyDescent="0.2">
      <c r="D8333" s="50"/>
      <c r="E8333" s="73"/>
      <c r="F8333" s="45"/>
    </row>
    <row r="8334" spans="4:6" x14ac:dyDescent="0.2">
      <c r="D8334" s="50"/>
      <c r="E8334" s="73"/>
      <c r="F8334" s="45"/>
    </row>
    <row r="8335" spans="4:6" x14ac:dyDescent="0.2">
      <c r="D8335" s="50"/>
      <c r="E8335" s="73"/>
      <c r="F8335" s="45"/>
    </row>
    <row r="8336" spans="4:6" x14ac:dyDescent="0.2">
      <c r="D8336" s="50"/>
      <c r="E8336" s="73"/>
      <c r="F8336" s="45"/>
    </row>
    <row r="8337" spans="4:6" x14ac:dyDescent="0.2">
      <c r="D8337" s="50"/>
      <c r="E8337" s="73"/>
      <c r="F8337" s="45"/>
    </row>
    <row r="8338" spans="4:6" x14ac:dyDescent="0.2">
      <c r="D8338" s="50"/>
      <c r="E8338" s="73"/>
      <c r="F8338" s="45"/>
    </row>
    <row r="8339" spans="4:6" x14ac:dyDescent="0.2">
      <c r="D8339" s="50"/>
      <c r="E8339" s="73"/>
      <c r="F8339" s="45"/>
    </row>
    <row r="8340" spans="4:6" x14ac:dyDescent="0.2">
      <c r="D8340" s="50"/>
      <c r="E8340" s="73"/>
      <c r="F8340" s="45"/>
    </row>
    <row r="8341" spans="4:6" x14ac:dyDescent="0.2">
      <c r="D8341" s="50"/>
      <c r="E8341" s="73"/>
      <c r="F8341" s="45"/>
    </row>
    <row r="8342" spans="4:6" x14ac:dyDescent="0.2">
      <c r="D8342" s="50"/>
      <c r="E8342" s="73"/>
      <c r="F8342" s="45"/>
    </row>
    <row r="8343" spans="4:6" x14ac:dyDescent="0.2">
      <c r="D8343" s="50"/>
      <c r="E8343" s="73"/>
      <c r="F8343" s="45"/>
    </row>
    <row r="8344" spans="4:6" x14ac:dyDescent="0.2">
      <c r="D8344" s="50"/>
      <c r="E8344" s="73"/>
      <c r="F8344" s="45"/>
    </row>
    <row r="8345" spans="4:6" x14ac:dyDescent="0.2">
      <c r="D8345" s="50"/>
      <c r="E8345" s="73"/>
      <c r="F8345" s="45"/>
    </row>
    <row r="8346" spans="4:6" x14ac:dyDescent="0.2">
      <c r="D8346" s="50"/>
      <c r="E8346" s="73"/>
      <c r="F8346" s="45"/>
    </row>
    <row r="8347" spans="4:6" x14ac:dyDescent="0.2">
      <c r="D8347" s="50"/>
      <c r="E8347" s="73"/>
      <c r="F8347" s="45"/>
    </row>
    <row r="8348" spans="4:6" x14ac:dyDescent="0.2">
      <c r="D8348" s="50"/>
      <c r="E8348" s="73"/>
      <c r="F8348" s="45"/>
    </row>
    <row r="8349" spans="4:6" x14ac:dyDescent="0.2">
      <c r="D8349" s="50"/>
      <c r="E8349" s="73"/>
      <c r="F8349" s="45"/>
    </row>
    <row r="8350" spans="4:6" x14ac:dyDescent="0.2">
      <c r="D8350" s="50"/>
      <c r="E8350" s="73"/>
      <c r="F8350" s="45"/>
    </row>
    <row r="8351" spans="4:6" x14ac:dyDescent="0.2">
      <c r="D8351" s="50"/>
      <c r="E8351" s="73"/>
      <c r="F8351" s="45"/>
    </row>
    <row r="8352" spans="4:6" x14ac:dyDescent="0.2">
      <c r="D8352" s="50"/>
      <c r="E8352" s="73"/>
      <c r="F8352" s="45"/>
    </row>
    <row r="8353" spans="4:6" x14ac:dyDescent="0.2">
      <c r="D8353" s="50"/>
      <c r="E8353" s="73"/>
      <c r="F8353" s="45"/>
    </row>
    <row r="8354" spans="4:6" x14ac:dyDescent="0.2">
      <c r="D8354" s="50"/>
      <c r="E8354" s="73"/>
      <c r="F8354" s="45"/>
    </row>
    <row r="8355" spans="4:6" x14ac:dyDescent="0.2">
      <c r="D8355" s="50"/>
      <c r="E8355" s="73"/>
      <c r="F8355" s="45"/>
    </row>
    <row r="8356" spans="4:6" x14ac:dyDescent="0.2">
      <c r="D8356" s="50"/>
      <c r="E8356" s="73"/>
      <c r="F8356" s="45"/>
    </row>
    <row r="8357" spans="4:6" x14ac:dyDescent="0.2">
      <c r="D8357" s="50"/>
      <c r="E8357" s="73"/>
      <c r="F8357" s="45"/>
    </row>
    <row r="8358" spans="4:6" x14ac:dyDescent="0.2">
      <c r="D8358" s="50"/>
      <c r="E8358" s="73"/>
      <c r="F8358" s="45"/>
    </row>
    <row r="8359" spans="4:6" x14ac:dyDescent="0.2">
      <c r="D8359" s="50"/>
      <c r="E8359" s="73"/>
      <c r="F8359" s="45"/>
    </row>
    <row r="8360" spans="4:6" x14ac:dyDescent="0.2">
      <c r="D8360" s="50"/>
      <c r="E8360" s="73"/>
      <c r="F8360" s="45"/>
    </row>
    <row r="8361" spans="4:6" x14ac:dyDescent="0.2">
      <c r="D8361" s="50"/>
      <c r="E8361" s="73"/>
      <c r="F8361" s="45"/>
    </row>
    <row r="8362" spans="4:6" x14ac:dyDescent="0.2">
      <c r="D8362" s="50"/>
      <c r="E8362" s="73"/>
      <c r="F8362" s="45"/>
    </row>
    <row r="8363" spans="4:6" x14ac:dyDescent="0.2">
      <c r="D8363" s="50"/>
      <c r="E8363" s="73"/>
      <c r="F8363" s="45"/>
    </row>
    <row r="8364" spans="4:6" x14ac:dyDescent="0.2">
      <c r="D8364" s="50"/>
      <c r="E8364" s="73"/>
      <c r="F8364" s="45"/>
    </row>
    <row r="8365" spans="4:6" x14ac:dyDescent="0.2">
      <c r="D8365" s="50"/>
      <c r="E8365" s="73"/>
      <c r="F8365" s="45"/>
    </row>
    <row r="8366" spans="4:6" x14ac:dyDescent="0.2">
      <c r="D8366" s="50"/>
      <c r="E8366" s="73"/>
      <c r="F8366" s="45"/>
    </row>
    <row r="8367" spans="4:6" x14ac:dyDescent="0.2">
      <c r="D8367" s="50"/>
      <c r="E8367" s="73"/>
      <c r="F8367" s="45"/>
    </row>
    <row r="8368" spans="4:6" x14ac:dyDescent="0.2">
      <c r="D8368" s="50"/>
      <c r="E8368" s="73"/>
      <c r="F8368" s="45"/>
    </row>
    <row r="8369" spans="4:6" x14ac:dyDescent="0.2">
      <c r="D8369" s="50"/>
      <c r="E8369" s="73"/>
      <c r="F8369" s="45"/>
    </row>
    <row r="8370" spans="4:6" x14ac:dyDescent="0.2">
      <c r="D8370" s="50"/>
      <c r="E8370" s="73"/>
      <c r="F8370" s="45"/>
    </row>
    <row r="8371" spans="4:6" x14ac:dyDescent="0.2">
      <c r="D8371" s="50"/>
      <c r="E8371" s="73"/>
      <c r="F8371" s="45"/>
    </row>
    <row r="8372" spans="4:6" x14ac:dyDescent="0.2">
      <c r="D8372" s="50"/>
      <c r="E8372" s="73"/>
      <c r="F8372" s="45"/>
    </row>
    <row r="8373" spans="4:6" x14ac:dyDescent="0.2">
      <c r="D8373" s="50"/>
      <c r="E8373" s="73"/>
      <c r="F8373" s="45"/>
    </row>
    <row r="8374" spans="4:6" x14ac:dyDescent="0.2">
      <c r="D8374" s="50"/>
      <c r="E8374" s="73"/>
      <c r="F8374" s="45"/>
    </row>
    <row r="8375" spans="4:6" x14ac:dyDescent="0.2">
      <c r="D8375" s="50"/>
      <c r="E8375" s="73"/>
      <c r="F8375" s="45"/>
    </row>
    <row r="8376" spans="4:6" x14ac:dyDescent="0.2">
      <c r="D8376" s="50"/>
      <c r="E8376" s="73"/>
      <c r="F8376" s="45"/>
    </row>
    <row r="8377" spans="4:6" x14ac:dyDescent="0.2">
      <c r="D8377" s="50"/>
      <c r="E8377" s="73"/>
      <c r="F8377" s="45"/>
    </row>
    <row r="8378" spans="4:6" x14ac:dyDescent="0.2">
      <c r="D8378" s="50"/>
      <c r="E8378" s="73"/>
      <c r="F8378" s="45"/>
    </row>
    <row r="8379" spans="4:6" x14ac:dyDescent="0.2">
      <c r="D8379" s="50"/>
      <c r="E8379" s="73"/>
      <c r="F8379" s="45"/>
    </row>
    <row r="8380" spans="4:6" x14ac:dyDescent="0.2">
      <c r="D8380" s="50"/>
      <c r="E8380" s="73"/>
      <c r="F8380" s="45"/>
    </row>
    <row r="8381" spans="4:6" x14ac:dyDescent="0.2">
      <c r="D8381" s="50"/>
      <c r="E8381" s="73"/>
      <c r="F8381" s="45"/>
    </row>
    <row r="8382" spans="4:6" x14ac:dyDescent="0.2">
      <c r="D8382" s="50"/>
      <c r="E8382" s="73"/>
      <c r="F8382" s="45"/>
    </row>
    <row r="8383" spans="4:6" x14ac:dyDescent="0.2">
      <c r="D8383" s="50"/>
      <c r="E8383" s="73"/>
      <c r="F8383" s="45"/>
    </row>
    <row r="8384" spans="4:6" x14ac:dyDescent="0.2">
      <c r="D8384" s="50"/>
      <c r="E8384" s="73"/>
      <c r="F8384" s="45"/>
    </row>
    <row r="8385" spans="4:6" x14ac:dyDescent="0.2">
      <c r="D8385" s="50"/>
      <c r="E8385" s="73"/>
      <c r="F8385" s="45"/>
    </row>
    <row r="8386" spans="4:6" x14ac:dyDescent="0.2">
      <c r="D8386" s="50"/>
      <c r="E8386" s="73"/>
      <c r="F8386" s="45"/>
    </row>
    <row r="8387" spans="4:6" x14ac:dyDescent="0.2">
      <c r="D8387" s="50"/>
      <c r="E8387" s="73"/>
      <c r="F8387" s="45"/>
    </row>
    <row r="8388" spans="4:6" x14ac:dyDescent="0.2">
      <c r="D8388" s="50"/>
      <c r="E8388" s="73"/>
      <c r="F8388" s="45"/>
    </row>
    <row r="8389" spans="4:6" x14ac:dyDescent="0.2">
      <c r="D8389" s="50"/>
      <c r="E8389" s="73"/>
      <c r="F8389" s="45"/>
    </row>
    <row r="8390" spans="4:6" x14ac:dyDescent="0.2">
      <c r="D8390" s="50"/>
      <c r="E8390" s="73"/>
      <c r="F8390" s="45"/>
    </row>
    <row r="8391" spans="4:6" x14ac:dyDescent="0.2">
      <c r="D8391" s="50"/>
      <c r="E8391" s="73"/>
      <c r="F8391" s="45"/>
    </row>
    <row r="8392" spans="4:6" x14ac:dyDescent="0.2">
      <c r="D8392" s="50"/>
      <c r="E8392" s="73"/>
      <c r="F8392" s="45"/>
    </row>
    <row r="8393" spans="4:6" x14ac:dyDescent="0.2">
      <c r="D8393" s="50"/>
      <c r="E8393" s="73"/>
      <c r="F8393" s="45"/>
    </row>
    <row r="8394" spans="4:6" x14ac:dyDescent="0.2">
      <c r="D8394" s="50"/>
      <c r="E8394" s="73"/>
      <c r="F8394" s="45"/>
    </row>
    <row r="8395" spans="4:6" x14ac:dyDescent="0.2">
      <c r="D8395" s="50"/>
      <c r="E8395" s="73"/>
      <c r="F8395" s="45"/>
    </row>
    <row r="8396" spans="4:6" x14ac:dyDescent="0.2">
      <c r="D8396" s="50"/>
      <c r="E8396" s="73"/>
      <c r="F8396" s="45"/>
    </row>
    <row r="8397" spans="4:6" x14ac:dyDescent="0.2">
      <c r="D8397" s="50"/>
      <c r="E8397" s="73"/>
      <c r="F8397" s="45"/>
    </row>
    <row r="8398" spans="4:6" x14ac:dyDescent="0.2">
      <c r="D8398" s="50"/>
      <c r="E8398" s="73"/>
      <c r="F8398" s="45"/>
    </row>
    <row r="8399" spans="4:6" x14ac:dyDescent="0.2">
      <c r="D8399" s="50"/>
      <c r="E8399" s="73"/>
      <c r="F8399" s="45"/>
    </row>
    <row r="8400" spans="4:6" x14ac:dyDescent="0.2">
      <c r="D8400" s="50"/>
      <c r="E8400" s="73"/>
      <c r="F8400" s="45"/>
    </row>
    <row r="8401" spans="4:6" x14ac:dyDescent="0.2">
      <c r="D8401" s="50"/>
      <c r="E8401" s="73"/>
      <c r="F8401" s="45"/>
    </row>
    <row r="8402" spans="4:6" x14ac:dyDescent="0.2">
      <c r="D8402" s="50"/>
      <c r="E8402" s="73"/>
      <c r="F8402" s="45"/>
    </row>
    <row r="8403" spans="4:6" x14ac:dyDescent="0.2">
      <c r="D8403" s="50"/>
      <c r="E8403" s="73"/>
      <c r="F8403" s="45"/>
    </row>
    <row r="8404" spans="4:6" x14ac:dyDescent="0.2">
      <c r="D8404" s="50"/>
      <c r="E8404" s="73"/>
      <c r="F8404" s="45"/>
    </row>
    <row r="8405" spans="4:6" x14ac:dyDescent="0.2">
      <c r="D8405" s="50"/>
      <c r="E8405" s="73"/>
      <c r="F8405" s="45"/>
    </row>
    <row r="8406" spans="4:6" x14ac:dyDescent="0.2">
      <c r="D8406" s="50"/>
      <c r="E8406" s="73"/>
      <c r="F8406" s="45"/>
    </row>
    <row r="8407" spans="4:6" x14ac:dyDescent="0.2">
      <c r="D8407" s="50"/>
      <c r="E8407" s="73"/>
      <c r="F8407" s="45"/>
    </row>
    <row r="8408" spans="4:6" x14ac:dyDescent="0.2">
      <c r="D8408" s="50"/>
      <c r="E8408" s="73"/>
      <c r="F8408" s="45"/>
    </row>
    <row r="8409" spans="4:6" x14ac:dyDescent="0.2">
      <c r="D8409" s="50"/>
      <c r="E8409" s="73"/>
      <c r="F8409" s="45"/>
    </row>
    <row r="8410" spans="4:6" x14ac:dyDescent="0.2">
      <c r="D8410" s="50"/>
      <c r="E8410" s="73"/>
      <c r="F8410" s="45"/>
    </row>
    <row r="8411" spans="4:6" x14ac:dyDescent="0.2">
      <c r="D8411" s="50"/>
      <c r="E8411" s="73"/>
      <c r="F8411" s="45"/>
    </row>
    <row r="8412" spans="4:6" x14ac:dyDescent="0.2">
      <c r="D8412" s="50"/>
      <c r="E8412" s="73"/>
      <c r="F8412" s="45"/>
    </row>
    <row r="8413" spans="4:6" x14ac:dyDescent="0.2">
      <c r="D8413" s="50"/>
      <c r="E8413" s="73"/>
      <c r="F8413" s="45"/>
    </row>
    <row r="8414" spans="4:6" x14ac:dyDescent="0.2">
      <c r="D8414" s="50"/>
      <c r="E8414" s="73"/>
      <c r="F8414" s="45"/>
    </row>
    <row r="8415" spans="4:6" x14ac:dyDescent="0.2">
      <c r="D8415" s="50"/>
      <c r="E8415" s="73"/>
      <c r="F8415" s="45"/>
    </row>
    <row r="8416" spans="4:6" x14ac:dyDescent="0.2">
      <c r="D8416" s="50"/>
      <c r="E8416" s="73"/>
      <c r="F8416" s="45"/>
    </row>
    <row r="8417" spans="4:6" x14ac:dyDescent="0.2">
      <c r="D8417" s="50"/>
      <c r="E8417" s="73"/>
      <c r="F8417" s="45"/>
    </row>
    <row r="8418" spans="4:6" x14ac:dyDescent="0.2">
      <c r="D8418" s="50"/>
      <c r="E8418" s="73"/>
      <c r="F8418" s="45"/>
    </row>
    <row r="8419" spans="4:6" x14ac:dyDescent="0.2">
      <c r="D8419" s="50"/>
      <c r="E8419" s="73"/>
      <c r="F8419" s="45"/>
    </row>
    <row r="8420" spans="4:6" x14ac:dyDescent="0.2">
      <c r="D8420" s="50"/>
      <c r="E8420" s="73"/>
      <c r="F8420" s="45"/>
    </row>
    <row r="8421" spans="4:6" x14ac:dyDescent="0.2">
      <c r="D8421" s="50"/>
      <c r="E8421" s="73"/>
      <c r="F8421" s="45"/>
    </row>
    <row r="8422" spans="4:6" x14ac:dyDescent="0.2">
      <c r="D8422" s="50"/>
      <c r="E8422" s="73"/>
      <c r="F8422" s="45"/>
    </row>
    <row r="8423" spans="4:6" x14ac:dyDescent="0.2">
      <c r="D8423" s="50"/>
      <c r="E8423" s="73"/>
      <c r="F8423" s="45"/>
    </row>
    <row r="8424" spans="4:6" x14ac:dyDescent="0.2">
      <c r="D8424" s="50"/>
      <c r="E8424" s="73"/>
      <c r="F8424" s="45"/>
    </row>
    <row r="8425" spans="4:6" x14ac:dyDescent="0.2">
      <c r="D8425" s="50"/>
      <c r="E8425" s="73"/>
      <c r="F8425" s="45"/>
    </row>
    <row r="8426" spans="4:6" x14ac:dyDescent="0.2">
      <c r="D8426" s="50"/>
      <c r="E8426" s="73"/>
      <c r="F8426" s="45"/>
    </row>
    <row r="8427" spans="4:6" x14ac:dyDescent="0.2">
      <c r="D8427" s="50"/>
      <c r="E8427" s="73"/>
      <c r="F8427" s="45"/>
    </row>
    <row r="8428" spans="4:6" x14ac:dyDescent="0.2">
      <c r="D8428" s="50"/>
      <c r="E8428" s="73"/>
      <c r="F8428" s="45"/>
    </row>
    <row r="8429" spans="4:6" x14ac:dyDescent="0.2">
      <c r="D8429" s="50"/>
      <c r="E8429" s="73"/>
      <c r="F8429" s="45"/>
    </row>
    <row r="8430" spans="4:6" x14ac:dyDescent="0.2">
      <c r="D8430" s="50"/>
      <c r="E8430" s="73"/>
      <c r="F8430" s="45"/>
    </row>
    <row r="8431" spans="4:6" x14ac:dyDescent="0.2">
      <c r="D8431" s="50"/>
      <c r="E8431" s="73"/>
      <c r="F8431" s="45"/>
    </row>
    <row r="8432" spans="4:6" x14ac:dyDescent="0.2">
      <c r="D8432" s="50"/>
      <c r="E8432" s="73"/>
      <c r="F8432" s="45"/>
    </row>
    <row r="8433" spans="4:6" x14ac:dyDescent="0.2">
      <c r="D8433" s="50"/>
      <c r="E8433" s="73"/>
      <c r="F8433" s="45"/>
    </row>
    <row r="8434" spans="4:6" x14ac:dyDescent="0.2">
      <c r="D8434" s="50"/>
      <c r="E8434" s="73"/>
      <c r="F8434" s="45"/>
    </row>
    <row r="8435" spans="4:6" x14ac:dyDescent="0.2">
      <c r="D8435" s="50"/>
      <c r="E8435" s="73"/>
      <c r="F8435" s="45"/>
    </row>
    <row r="8436" spans="4:6" x14ac:dyDescent="0.2">
      <c r="D8436" s="50"/>
      <c r="E8436" s="73"/>
      <c r="F8436" s="45"/>
    </row>
    <row r="8437" spans="4:6" x14ac:dyDescent="0.2">
      <c r="D8437" s="50"/>
      <c r="E8437" s="73"/>
      <c r="F8437" s="45"/>
    </row>
    <row r="8438" spans="4:6" x14ac:dyDescent="0.2">
      <c r="D8438" s="50"/>
      <c r="E8438" s="73"/>
      <c r="F8438" s="45"/>
    </row>
    <row r="8439" spans="4:6" x14ac:dyDescent="0.2">
      <c r="D8439" s="50"/>
      <c r="E8439" s="73"/>
      <c r="F8439" s="45"/>
    </row>
    <row r="8440" spans="4:6" x14ac:dyDescent="0.2">
      <c r="D8440" s="50"/>
      <c r="E8440" s="73"/>
      <c r="F8440" s="45"/>
    </row>
    <row r="8441" spans="4:6" x14ac:dyDescent="0.2">
      <c r="D8441" s="50"/>
      <c r="E8441" s="73"/>
      <c r="F8441" s="45"/>
    </row>
    <row r="8442" spans="4:6" x14ac:dyDescent="0.2">
      <c r="D8442" s="50"/>
      <c r="E8442" s="73"/>
      <c r="F8442" s="45"/>
    </row>
    <row r="8443" spans="4:6" x14ac:dyDescent="0.2">
      <c r="D8443" s="50"/>
      <c r="E8443" s="73"/>
      <c r="F8443" s="45"/>
    </row>
    <row r="8444" spans="4:6" x14ac:dyDescent="0.2">
      <c r="D8444" s="50"/>
      <c r="E8444" s="73"/>
      <c r="F8444" s="45"/>
    </row>
    <row r="8445" spans="4:6" x14ac:dyDescent="0.2">
      <c r="D8445" s="50"/>
      <c r="E8445" s="73"/>
      <c r="F8445" s="45"/>
    </row>
    <row r="8446" spans="4:6" x14ac:dyDescent="0.2">
      <c r="D8446" s="50"/>
      <c r="E8446" s="73"/>
      <c r="F8446" s="45"/>
    </row>
    <row r="8447" spans="4:6" x14ac:dyDescent="0.2">
      <c r="D8447" s="50"/>
      <c r="E8447" s="73"/>
      <c r="F8447" s="45"/>
    </row>
    <row r="8448" spans="4:6" x14ac:dyDescent="0.2">
      <c r="D8448" s="50"/>
      <c r="E8448" s="73"/>
      <c r="F8448" s="45"/>
    </row>
    <row r="8449" spans="4:6" x14ac:dyDescent="0.2">
      <c r="D8449" s="50"/>
      <c r="E8449" s="73"/>
      <c r="F8449" s="45"/>
    </row>
    <row r="8450" spans="4:6" x14ac:dyDescent="0.2">
      <c r="D8450" s="50"/>
      <c r="E8450" s="73"/>
      <c r="F8450" s="45"/>
    </row>
    <row r="8451" spans="4:6" x14ac:dyDescent="0.2">
      <c r="D8451" s="50"/>
      <c r="E8451" s="73"/>
      <c r="F8451" s="45"/>
    </row>
    <row r="8452" spans="4:6" x14ac:dyDescent="0.2">
      <c r="D8452" s="50"/>
      <c r="E8452" s="73"/>
      <c r="F8452" s="45"/>
    </row>
    <row r="8453" spans="4:6" x14ac:dyDescent="0.2">
      <c r="D8453" s="50"/>
      <c r="E8453" s="73"/>
      <c r="F8453" s="45"/>
    </row>
    <row r="8454" spans="4:6" x14ac:dyDescent="0.2">
      <c r="D8454" s="50"/>
      <c r="E8454" s="73"/>
      <c r="F8454" s="45"/>
    </row>
    <row r="8455" spans="4:6" x14ac:dyDescent="0.2">
      <c r="D8455" s="50"/>
      <c r="E8455" s="73"/>
      <c r="F8455" s="45"/>
    </row>
    <row r="8456" spans="4:6" x14ac:dyDescent="0.2">
      <c r="D8456" s="50"/>
      <c r="E8456" s="73"/>
      <c r="F8456" s="45"/>
    </row>
    <row r="8457" spans="4:6" x14ac:dyDescent="0.2">
      <c r="D8457" s="50"/>
      <c r="E8457" s="73"/>
      <c r="F8457" s="45"/>
    </row>
    <row r="8458" spans="4:6" x14ac:dyDescent="0.2">
      <c r="D8458" s="50"/>
      <c r="E8458" s="73"/>
      <c r="F8458" s="45"/>
    </row>
    <row r="8459" spans="4:6" x14ac:dyDescent="0.2">
      <c r="D8459" s="50"/>
      <c r="E8459" s="73"/>
      <c r="F8459" s="45"/>
    </row>
    <row r="8460" spans="4:6" x14ac:dyDescent="0.2">
      <c r="D8460" s="50"/>
      <c r="E8460" s="73"/>
      <c r="F8460" s="45"/>
    </row>
    <row r="8461" spans="4:6" x14ac:dyDescent="0.2">
      <c r="D8461" s="50"/>
      <c r="E8461" s="73"/>
      <c r="F8461" s="45"/>
    </row>
    <row r="8462" spans="4:6" x14ac:dyDescent="0.2">
      <c r="D8462" s="50"/>
      <c r="E8462" s="73"/>
      <c r="F8462" s="45"/>
    </row>
    <row r="8463" spans="4:6" x14ac:dyDescent="0.2">
      <c r="D8463" s="50"/>
      <c r="E8463" s="73"/>
      <c r="F8463" s="45"/>
    </row>
    <row r="8464" spans="4:6" x14ac:dyDescent="0.2">
      <c r="D8464" s="50"/>
      <c r="E8464" s="73"/>
      <c r="F8464" s="45"/>
    </row>
    <row r="8465" spans="4:6" x14ac:dyDescent="0.2">
      <c r="D8465" s="50"/>
      <c r="E8465" s="73"/>
      <c r="F8465" s="45"/>
    </row>
    <row r="8466" spans="4:6" x14ac:dyDescent="0.2">
      <c r="D8466" s="50"/>
      <c r="E8466" s="73"/>
      <c r="F8466" s="45"/>
    </row>
    <row r="8467" spans="4:6" x14ac:dyDescent="0.2">
      <c r="D8467" s="50"/>
      <c r="E8467" s="73"/>
      <c r="F8467" s="45"/>
    </row>
    <row r="8468" spans="4:6" x14ac:dyDescent="0.2">
      <c r="D8468" s="50"/>
      <c r="E8468" s="73"/>
      <c r="F8468" s="45"/>
    </row>
    <row r="8469" spans="4:6" x14ac:dyDescent="0.2">
      <c r="D8469" s="50"/>
      <c r="E8469" s="73"/>
      <c r="F8469" s="45"/>
    </row>
    <row r="8470" spans="4:6" x14ac:dyDescent="0.2">
      <c r="D8470" s="50"/>
      <c r="E8470" s="73"/>
      <c r="F8470" s="45"/>
    </row>
    <row r="8471" spans="4:6" x14ac:dyDescent="0.2">
      <c r="D8471" s="50"/>
      <c r="E8471" s="73"/>
      <c r="F8471" s="45"/>
    </row>
    <row r="8472" spans="4:6" x14ac:dyDescent="0.2">
      <c r="D8472" s="50"/>
      <c r="E8472" s="73"/>
      <c r="F8472" s="45"/>
    </row>
    <row r="8473" spans="4:6" x14ac:dyDescent="0.2">
      <c r="D8473" s="50"/>
      <c r="E8473" s="73"/>
      <c r="F8473" s="45"/>
    </row>
    <row r="8474" spans="4:6" x14ac:dyDescent="0.2">
      <c r="D8474" s="50"/>
      <c r="E8474" s="73"/>
      <c r="F8474" s="45"/>
    </row>
    <row r="8475" spans="4:6" x14ac:dyDescent="0.2">
      <c r="D8475" s="50"/>
      <c r="E8475" s="73"/>
      <c r="F8475" s="45"/>
    </row>
    <row r="8476" spans="4:6" x14ac:dyDescent="0.2">
      <c r="D8476" s="50"/>
      <c r="E8476" s="73"/>
      <c r="F8476" s="45"/>
    </row>
    <row r="8477" spans="4:6" x14ac:dyDescent="0.2">
      <c r="D8477" s="50"/>
      <c r="E8477" s="73"/>
      <c r="F8477" s="45"/>
    </row>
    <row r="8478" spans="4:6" x14ac:dyDescent="0.2">
      <c r="D8478" s="50"/>
      <c r="E8478" s="73"/>
      <c r="F8478" s="45"/>
    </row>
    <row r="8479" spans="4:6" x14ac:dyDescent="0.2">
      <c r="D8479" s="50"/>
      <c r="E8479" s="73"/>
      <c r="F8479" s="45"/>
    </row>
    <row r="8480" spans="4:6" x14ac:dyDescent="0.2">
      <c r="D8480" s="50"/>
      <c r="E8480" s="73"/>
      <c r="F8480" s="45"/>
    </row>
    <row r="8481" spans="4:6" x14ac:dyDescent="0.2">
      <c r="D8481" s="50"/>
      <c r="E8481" s="73"/>
      <c r="F8481" s="45"/>
    </row>
    <row r="8482" spans="4:6" x14ac:dyDescent="0.2">
      <c r="D8482" s="50"/>
      <c r="E8482" s="73"/>
      <c r="F8482" s="45"/>
    </row>
    <row r="8483" spans="4:6" x14ac:dyDescent="0.2">
      <c r="D8483" s="50"/>
      <c r="E8483" s="73"/>
      <c r="F8483" s="45"/>
    </row>
    <row r="8484" spans="4:6" x14ac:dyDescent="0.2">
      <c r="D8484" s="50"/>
      <c r="E8484" s="73"/>
      <c r="F8484" s="45"/>
    </row>
    <row r="8485" spans="4:6" x14ac:dyDescent="0.2">
      <c r="D8485" s="50"/>
      <c r="E8485" s="73"/>
      <c r="F8485" s="45"/>
    </row>
    <row r="8486" spans="4:6" x14ac:dyDescent="0.2">
      <c r="D8486" s="50"/>
      <c r="E8486" s="73"/>
      <c r="F8486" s="45"/>
    </row>
    <row r="8487" spans="4:6" x14ac:dyDescent="0.2">
      <c r="D8487" s="50"/>
      <c r="E8487" s="73"/>
      <c r="F8487" s="45"/>
    </row>
    <row r="8488" spans="4:6" x14ac:dyDescent="0.2">
      <c r="D8488" s="50"/>
      <c r="E8488" s="73"/>
      <c r="F8488" s="45"/>
    </row>
    <row r="8489" spans="4:6" x14ac:dyDescent="0.2">
      <c r="D8489" s="50"/>
      <c r="E8489" s="73"/>
      <c r="F8489" s="45"/>
    </row>
    <row r="8490" spans="4:6" x14ac:dyDescent="0.2">
      <c r="D8490" s="50"/>
      <c r="E8490" s="73"/>
      <c r="F8490" s="45"/>
    </row>
    <row r="8491" spans="4:6" x14ac:dyDescent="0.2">
      <c r="D8491" s="50"/>
      <c r="E8491" s="73"/>
      <c r="F8491" s="45"/>
    </row>
    <row r="8492" spans="4:6" x14ac:dyDescent="0.2">
      <c r="D8492" s="50"/>
      <c r="E8492" s="73"/>
      <c r="F8492" s="45"/>
    </row>
    <row r="8493" spans="4:6" x14ac:dyDescent="0.2">
      <c r="D8493" s="50"/>
      <c r="E8493" s="73"/>
      <c r="F8493" s="45"/>
    </row>
    <row r="8494" spans="4:6" x14ac:dyDescent="0.2">
      <c r="D8494" s="50"/>
      <c r="E8494" s="73"/>
      <c r="F8494" s="45"/>
    </row>
    <row r="8495" spans="4:6" x14ac:dyDescent="0.2">
      <c r="D8495" s="50"/>
      <c r="E8495" s="73"/>
      <c r="F8495" s="45"/>
    </row>
    <row r="8496" spans="4:6" x14ac:dyDescent="0.2">
      <c r="D8496" s="50"/>
      <c r="E8496" s="73"/>
      <c r="F8496" s="45"/>
    </row>
    <row r="8497" spans="4:6" x14ac:dyDescent="0.2">
      <c r="D8497" s="50"/>
      <c r="E8497" s="73"/>
      <c r="F8497" s="45"/>
    </row>
    <row r="8498" spans="4:6" x14ac:dyDescent="0.2">
      <c r="D8498" s="50"/>
      <c r="E8498" s="73"/>
      <c r="F8498" s="45"/>
    </row>
    <row r="8499" spans="4:6" x14ac:dyDescent="0.2">
      <c r="D8499" s="50"/>
      <c r="E8499" s="73"/>
      <c r="F8499" s="45"/>
    </row>
    <row r="8500" spans="4:6" x14ac:dyDescent="0.2">
      <c r="D8500" s="50"/>
      <c r="E8500" s="73"/>
      <c r="F8500" s="45"/>
    </row>
    <row r="8501" spans="4:6" x14ac:dyDescent="0.2">
      <c r="D8501" s="50"/>
      <c r="E8501" s="73"/>
      <c r="F8501" s="45"/>
    </row>
    <row r="8502" spans="4:6" x14ac:dyDescent="0.2">
      <c r="D8502" s="50"/>
      <c r="E8502" s="73"/>
      <c r="F8502" s="45"/>
    </row>
    <row r="8503" spans="4:6" x14ac:dyDescent="0.2">
      <c r="D8503" s="50"/>
      <c r="E8503" s="73"/>
      <c r="F8503" s="45"/>
    </row>
    <row r="8504" spans="4:6" x14ac:dyDescent="0.2">
      <c r="D8504" s="50"/>
      <c r="E8504" s="73"/>
      <c r="F8504" s="45"/>
    </row>
    <row r="8505" spans="4:6" x14ac:dyDescent="0.2">
      <c r="D8505" s="50"/>
      <c r="E8505" s="73"/>
      <c r="F8505" s="45"/>
    </row>
    <row r="8506" spans="4:6" x14ac:dyDescent="0.2">
      <c r="D8506" s="50"/>
      <c r="E8506" s="73"/>
      <c r="F8506" s="45"/>
    </row>
    <row r="8507" spans="4:6" x14ac:dyDescent="0.2">
      <c r="D8507" s="50"/>
      <c r="E8507" s="73"/>
      <c r="F8507" s="45"/>
    </row>
    <row r="8508" spans="4:6" x14ac:dyDescent="0.2">
      <c r="D8508" s="50"/>
      <c r="E8508" s="73"/>
      <c r="F8508" s="45"/>
    </row>
    <row r="8509" spans="4:6" x14ac:dyDescent="0.2">
      <c r="D8509" s="50"/>
      <c r="E8509" s="73"/>
      <c r="F8509" s="45"/>
    </row>
    <row r="8510" spans="4:6" x14ac:dyDescent="0.2">
      <c r="D8510" s="50"/>
      <c r="E8510" s="73"/>
      <c r="F8510" s="45"/>
    </row>
    <row r="8511" spans="4:6" x14ac:dyDescent="0.2">
      <c r="D8511" s="50"/>
      <c r="E8511" s="73"/>
      <c r="F8511" s="45"/>
    </row>
    <row r="8512" spans="4:6" x14ac:dyDescent="0.2">
      <c r="D8512" s="50"/>
      <c r="E8512" s="73"/>
      <c r="F8512" s="45"/>
    </row>
    <row r="8513" spans="4:6" x14ac:dyDescent="0.2">
      <c r="D8513" s="50"/>
      <c r="E8513" s="73"/>
      <c r="F8513" s="45"/>
    </row>
    <row r="8514" spans="4:6" x14ac:dyDescent="0.2">
      <c r="D8514" s="50"/>
      <c r="E8514" s="73"/>
      <c r="F8514" s="45"/>
    </row>
    <row r="8515" spans="4:6" x14ac:dyDescent="0.2">
      <c r="D8515" s="50"/>
      <c r="E8515" s="73"/>
      <c r="F8515" s="45"/>
    </row>
    <row r="8516" spans="4:6" x14ac:dyDescent="0.2">
      <c r="D8516" s="50"/>
      <c r="E8516" s="73"/>
      <c r="F8516" s="45"/>
    </row>
    <row r="8517" spans="4:6" x14ac:dyDescent="0.2">
      <c r="D8517" s="50"/>
      <c r="E8517" s="73"/>
      <c r="F8517" s="45"/>
    </row>
    <row r="8518" spans="4:6" x14ac:dyDescent="0.2">
      <c r="D8518" s="50"/>
      <c r="E8518" s="73"/>
      <c r="F8518" s="45"/>
    </row>
    <row r="8519" spans="4:6" x14ac:dyDescent="0.2">
      <c r="D8519" s="50"/>
      <c r="E8519" s="73"/>
      <c r="F8519" s="45"/>
    </row>
    <row r="8520" spans="4:6" x14ac:dyDescent="0.2">
      <c r="D8520" s="50"/>
      <c r="E8520" s="73"/>
      <c r="F8520" s="45"/>
    </row>
    <row r="8521" spans="4:6" x14ac:dyDescent="0.2">
      <c r="D8521" s="50"/>
      <c r="E8521" s="73"/>
      <c r="F8521" s="45"/>
    </row>
    <row r="8522" spans="4:6" x14ac:dyDescent="0.2">
      <c r="D8522" s="50"/>
      <c r="E8522" s="73"/>
      <c r="F8522" s="45"/>
    </row>
    <row r="8523" spans="4:6" x14ac:dyDescent="0.2">
      <c r="D8523" s="50"/>
      <c r="E8523" s="73"/>
      <c r="F8523" s="45"/>
    </row>
    <row r="8524" spans="4:6" x14ac:dyDescent="0.2">
      <c r="D8524" s="50"/>
      <c r="E8524" s="73"/>
      <c r="F8524" s="45"/>
    </row>
    <row r="8525" spans="4:6" x14ac:dyDescent="0.2">
      <c r="D8525" s="50"/>
      <c r="E8525" s="73"/>
      <c r="F8525" s="45"/>
    </row>
    <row r="8526" spans="4:6" x14ac:dyDescent="0.2">
      <c r="D8526" s="50"/>
      <c r="E8526" s="73"/>
      <c r="F8526" s="45"/>
    </row>
    <row r="8527" spans="4:6" x14ac:dyDescent="0.2">
      <c r="D8527" s="50"/>
      <c r="E8527" s="73"/>
      <c r="F8527" s="45"/>
    </row>
    <row r="8528" spans="4:6" x14ac:dyDescent="0.2">
      <c r="D8528" s="50"/>
      <c r="E8528" s="73"/>
      <c r="F8528" s="45"/>
    </row>
    <row r="8529" spans="4:6" x14ac:dyDescent="0.2">
      <c r="D8529" s="50"/>
      <c r="E8529" s="73"/>
      <c r="F8529" s="45"/>
    </row>
    <row r="8530" spans="4:6" x14ac:dyDescent="0.2">
      <c r="D8530" s="50"/>
      <c r="E8530" s="73"/>
      <c r="F8530" s="45"/>
    </row>
    <row r="8531" spans="4:6" x14ac:dyDescent="0.2">
      <c r="D8531" s="50"/>
      <c r="E8531" s="73"/>
      <c r="F8531" s="45"/>
    </row>
    <row r="8532" spans="4:6" x14ac:dyDescent="0.2">
      <c r="D8532" s="50"/>
      <c r="E8532" s="73"/>
      <c r="F8532" s="45"/>
    </row>
    <row r="8533" spans="4:6" x14ac:dyDescent="0.2">
      <c r="D8533" s="50"/>
      <c r="E8533" s="73"/>
      <c r="F8533" s="45"/>
    </row>
    <row r="8534" spans="4:6" x14ac:dyDescent="0.2">
      <c r="D8534" s="50"/>
      <c r="E8534" s="73"/>
      <c r="F8534" s="45"/>
    </row>
    <row r="8535" spans="4:6" x14ac:dyDescent="0.2">
      <c r="D8535" s="50"/>
      <c r="E8535" s="73"/>
      <c r="F8535" s="45"/>
    </row>
    <row r="8536" spans="4:6" x14ac:dyDescent="0.2">
      <c r="D8536" s="50"/>
      <c r="E8536" s="73"/>
      <c r="F8536" s="45"/>
    </row>
    <row r="8537" spans="4:6" x14ac:dyDescent="0.2">
      <c r="D8537" s="50"/>
      <c r="E8537" s="73"/>
      <c r="F8537" s="45"/>
    </row>
    <row r="8538" spans="4:6" x14ac:dyDescent="0.2">
      <c r="D8538" s="50"/>
      <c r="E8538" s="73"/>
      <c r="F8538" s="45"/>
    </row>
    <row r="8539" spans="4:6" x14ac:dyDescent="0.2">
      <c r="D8539" s="50"/>
      <c r="E8539" s="73"/>
      <c r="F8539" s="45"/>
    </row>
    <row r="8540" spans="4:6" x14ac:dyDescent="0.2">
      <c r="D8540" s="50"/>
      <c r="E8540" s="73"/>
      <c r="F8540" s="45"/>
    </row>
    <row r="8541" spans="4:6" x14ac:dyDescent="0.2">
      <c r="D8541" s="50"/>
      <c r="E8541" s="73"/>
      <c r="F8541" s="45"/>
    </row>
    <row r="8542" spans="4:6" x14ac:dyDescent="0.2">
      <c r="D8542" s="50"/>
      <c r="E8542" s="73"/>
      <c r="F8542" s="45"/>
    </row>
    <row r="8543" spans="4:6" x14ac:dyDescent="0.2">
      <c r="D8543" s="50"/>
      <c r="E8543" s="73"/>
      <c r="F8543" s="45"/>
    </row>
    <row r="8544" spans="4:6" x14ac:dyDescent="0.2">
      <c r="D8544" s="50"/>
      <c r="E8544" s="73"/>
      <c r="F8544" s="45"/>
    </row>
    <row r="8545" spans="4:6" x14ac:dyDescent="0.2">
      <c r="D8545" s="50"/>
      <c r="E8545" s="73"/>
      <c r="F8545" s="45"/>
    </row>
    <row r="8546" spans="4:6" x14ac:dyDescent="0.2">
      <c r="D8546" s="50"/>
      <c r="E8546" s="73"/>
      <c r="F8546" s="45"/>
    </row>
    <row r="8547" spans="4:6" x14ac:dyDescent="0.2">
      <c r="D8547" s="50"/>
      <c r="E8547" s="73"/>
      <c r="F8547" s="45"/>
    </row>
    <row r="8548" spans="4:6" x14ac:dyDescent="0.2">
      <c r="D8548" s="50"/>
      <c r="E8548" s="73"/>
      <c r="F8548" s="45"/>
    </row>
    <row r="8549" spans="4:6" x14ac:dyDescent="0.2">
      <c r="D8549" s="50"/>
      <c r="E8549" s="73"/>
      <c r="F8549" s="45"/>
    </row>
    <row r="8550" spans="4:6" x14ac:dyDescent="0.2">
      <c r="D8550" s="50"/>
      <c r="E8550" s="73"/>
      <c r="F8550" s="45"/>
    </row>
    <row r="8551" spans="4:6" x14ac:dyDescent="0.2">
      <c r="D8551" s="50"/>
      <c r="E8551" s="73"/>
      <c r="F8551" s="45"/>
    </row>
    <row r="8552" spans="4:6" x14ac:dyDescent="0.2">
      <c r="D8552" s="50"/>
      <c r="E8552" s="73"/>
      <c r="F8552" s="45"/>
    </row>
    <row r="8553" spans="4:6" x14ac:dyDescent="0.2">
      <c r="D8553" s="50"/>
      <c r="E8553" s="73"/>
      <c r="F8553" s="45"/>
    </row>
    <row r="8554" spans="4:6" x14ac:dyDescent="0.2">
      <c r="D8554" s="50"/>
      <c r="E8554" s="73"/>
      <c r="F8554" s="45"/>
    </row>
    <row r="8555" spans="4:6" x14ac:dyDescent="0.2">
      <c r="D8555" s="50"/>
      <c r="E8555" s="73"/>
      <c r="F8555" s="45"/>
    </row>
    <row r="8556" spans="4:6" x14ac:dyDescent="0.2">
      <c r="D8556" s="50"/>
      <c r="E8556" s="73"/>
      <c r="F8556" s="45"/>
    </row>
    <row r="8557" spans="4:6" x14ac:dyDescent="0.2">
      <c r="D8557" s="50"/>
      <c r="E8557" s="73"/>
      <c r="F8557" s="45"/>
    </row>
    <row r="8558" spans="4:6" x14ac:dyDescent="0.2">
      <c r="D8558" s="50"/>
      <c r="E8558" s="73"/>
      <c r="F8558" s="45"/>
    </row>
    <row r="8559" spans="4:6" x14ac:dyDescent="0.2">
      <c r="D8559" s="50"/>
      <c r="E8559" s="73"/>
      <c r="F8559" s="45"/>
    </row>
    <row r="8560" spans="4:6" x14ac:dyDescent="0.2">
      <c r="D8560" s="50"/>
      <c r="E8560" s="73"/>
      <c r="F8560" s="45"/>
    </row>
    <row r="8561" spans="4:6" x14ac:dyDescent="0.2">
      <c r="D8561" s="50"/>
      <c r="E8561" s="73"/>
      <c r="F8561" s="45"/>
    </row>
    <row r="8562" spans="4:6" x14ac:dyDescent="0.2">
      <c r="D8562" s="50"/>
      <c r="E8562" s="73"/>
      <c r="F8562" s="45"/>
    </row>
    <row r="8563" spans="4:6" x14ac:dyDescent="0.2">
      <c r="D8563" s="50"/>
      <c r="E8563" s="73"/>
      <c r="F8563" s="45"/>
    </row>
    <row r="8564" spans="4:6" x14ac:dyDescent="0.2">
      <c r="D8564" s="50"/>
      <c r="E8564" s="73"/>
      <c r="F8564" s="45"/>
    </row>
    <row r="8565" spans="4:6" x14ac:dyDescent="0.2">
      <c r="D8565" s="50"/>
      <c r="E8565" s="73"/>
      <c r="F8565" s="45"/>
    </row>
    <row r="8566" spans="4:6" x14ac:dyDescent="0.2">
      <c r="D8566" s="50"/>
      <c r="E8566" s="73"/>
      <c r="F8566" s="45"/>
    </row>
    <row r="8567" spans="4:6" x14ac:dyDescent="0.2">
      <c r="D8567" s="50"/>
      <c r="E8567" s="73"/>
      <c r="F8567" s="45"/>
    </row>
    <row r="8568" spans="4:6" x14ac:dyDescent="0.2">
      <c r="D8568" s="50"/>
      <c r="E8568" s="73"/>
      <c r="F8568" s="45"/>
    </row>
    <row r="8569" spans="4:6" x14ac:dyDescent="0.2">
      <c r="D8569" s="50"/>
      <c r="E8569" s="73"/>
      <c r="F8569" s="45"/>
    </row>
    <row r="8570" spans="4:6" x14ac:dyDescent="0.2">
      <c r="D8570" s="50"/>
      <c r="E8570" s="73"/>
      <c r="F8570" s="45"/>
    </row>
    <row r="8571" spans="4:6" x14ac:dyDescent="0.2">
      <c r="D8571" s="50"/>
      <c r="E8571" s="73"/>
      <c r="F8571" s="45"/>
    </row>
    <row r="8572" spans="4:6" x14ac:dyDescent="0.2">
      <c r="D8572" s="50"/>
      <c r="E8572" s="73"/>
      <c r="F8572" s="45"/>
    </row>
    <row r="8573" spans="4:6" x14ac:dyDescent="0.2">
      <c r="D8573" s="50"/>
      <c r="E8573" s="73"/>
      <c r="F8573" s="45"/>
    </row>
    <row r="8574" spans="4:6" x14ac:dyDescent="0.2">
      <c r="D8574" s="50"/>
      <c r="E8574" s="73"/>
      <c r="F8574" s="45"/>
    </row>
    <row r="8575" spans="4:6" x14ac:dyDescent="0.2">
      <c r="D8575" s="50"/>
      <c r="E8575" s="73"/>
      <c r="F8575" s="45"/>
    </row>
    <row r="8576" spans="4:6" x14ac:dyDescent="0.2">
      <c r="D8576" s="50"/>
      <c r="E8576" s="73"/>
      <c r="F8576" s="45"/>
    </row>
    <row r="8577" spans="4:6" x14ac:dyDescent="0.2">
      <c r="D8577" s="50"/>
      <c r="E8577" s="73"/>
      <c r="F8577" s="45"/>
    </row>
    <row r="8578" spans="4:6" x14ac:dyDescent="0.2">
      <c r="D8578" s="50"/>
      <c r="E8578" s="73"/>
      <c r="F8578" s="45"/>
    </row>
    <row r="8579" spans="4:6" x14ac:dyDescent="0.2">
      <c r="D8579" s="50"/>
      <c r="E8579" s="73"/>
      <c r="F8579" s="45"/>
    </row>
    <row r="8580" spans="4:6" x14ac:dyDescent="0.2">
      <c r="D8580" s="50"/>
      <c r="E8580" s="73"/>
      <c r="F8580" s="45"/>
    </row>
    <row r="8581" spans="4:6" x14ac:dyDescent="0.2">
      <c r="D8581" s="50"/>
      <c r="E8581" s="73"/>
      <c r="F8581" s="45"/>
    </row>
    <row r="8582" spans="4:6" x14ac:dyDescent="0.2">
      <c r="D8582" s="50"/>
      <c r="E8582" s="73"/>
      <c r="F8582" s="45"/>
    </row>
    <row r="8583" spans="4:6" x14ac:dyDescent="0.2">
      <c r="D8583" s="50"/>
      <c r="E8583" s="73"/>
      <c r="F8583" s="45"/>
    </row>
    <row r="8584" spans="4:6" x14ac:dyDescent="0.2">
      <c r="D8584" s="50"/>
      <c r="E8584" s="73"/>
      <c r="F8584" s="45"/>
    </row>
    <row r="8585" spans="4:6" x14ac:dyDescent="0.2">
      <c r="D8585" s="50"/>
      <c r="E8585" s="73"/>
      <c r="F8585" s="45"/>
    </row>
    <row r="8586" spans="4:6" x14ac:dyDescent="0.2">
      <c r="D8586" s="50"/>
      <c r="E8586" s="73"/>
      <c r="F8586" s="45"/>
    </row>
    <row r="8587" spans="4:6" x14ac:dyDescent="0.2">
      <c r="D8587" s="50"/>
      <c r="E8587" s="73"/>
      <c r="F8587" s="45"/>
    </row>
    <row r="8588" spans="4:6" x14ac:dyDescent="0.2">
      <c r="D8588" s="50"/>
      <c r="E8588" s="73"/>
      <c r="F8588" s="45"/>
    </row>
    <row r="8589" spans="4:6" x14ac:dyDescent="0.2">
      <c r="D8589" s="50"/>
      <c r="E8589" s="73"/>
      <c r="F8589" s="45"/>
    </row>
    <row r="8590" spans="4:6" x14ac:dyDescent="0.2">
      <c r="D8590" s="50"/>
      <c r="E8590" s="73"/>
      <c r="F8590" s="45"/>
    </row>
    <row r="8591" spans="4:6" x14ac:dyDescent="0.2">
      <c r="D8591" s="50"/>
      <c r="E8591" s="73"/>
      <c r="F8591" s="45"/>
    </row>
    <row r="8592" spans="4:6" x14ac:dyDescent="0.2">
      <c r="D8592" s="50"/>
      <c r="E8592" s="73"/>
      <c r="F8592" s="45"/>
    </row>
    <row r="8593" spans="4:6" x14ac:dyDescent="0.2">
      <c r="D8593" s="50"/>
      <c r="E8593" s="73"/>
      <c r="F8593" s="45"/>
    </row>
    <row r="8594" spans="4:6" x14ac:dyDescent="0.2">
      <c r="D8594" s="50"/>
      <c r="E8594" s="73"/>
      <c r="F8594" s="45"/>
    </row>
    <row r="8595" spans="4:6" x14ac:dyDescent="0.2">
      <c r="D8595" s="50"/>
      <c r="E8595" s="73"/>
      <c r="F8595" s="45"/>
    </row>
    <row r="8596" spans="4:6" x14ac:dyDescent="0.2">
      <c r="D8596" s="50"/>
      <c r="E8596" s="73"/>
      <c r="F8596" s="45"/>
    </row>
    <row r="8597" spans="4:6" x14ac:dyDescent="0.2">
      <c r="D8597" s="50"/>
      <c r="E8597" s="73"/>
      <c r="F8597" s="45"/>
    </row>
    <row r="8598" spans="4:6" x14ac:dyDescent="0.2">
      <c r="D8598" s="50"/>
      <c r="E8598" s="73"/>
      <c r="F8598" s="45"/>
    </row>
    <row r="8599" spans="4:6" x14ac:dyDescent="0.2">
      <c r="D8599" s="50"/>
      <c r="E8599" s="73"/>
      <c r="F8599" s="45"/>
    </row>
    <row r="8600" spans="4:6" x14ac:dyDescent="0.2">
      <c r="D8600" s="50"/>
      <c r="E8600" s="73"/>
      <c r="F8600" s="45"/>
    </row>
    <row r="8601" spans="4:6" x14ac:dyDescent="0.2">
      <c r="D8601" s="50"/>
      <c r="E8601" s="73"/>
      <c r="F8601" s="45"/>
    </row>
    <row r="8602" spans="4:6" x14ac:dyDescent="0.2">
      <c r="D8602" s="50"/>
      <c r="E8602" s="73"/>
      <c r="F8602" s="45"/>
    </row>
    <row r="8603" spans="4:6" x14ac:dyDescent="0.2">
      <c r="D8603" s="50"/>
      <c r="E8603" s="73"/>
      <c r="F8603" s="45"/>
    </row>
    <row r="8604" spans="4:6" x14ac:dyDescent="0.2">
      <c r="D8604" s="50"/>
      <c r="E8604" s="73"/>
      <c r="F8604" s="45"/>
    </row>
    <row r="8605" spans="4:6" x14ac:dyDescent="0.2">
      <c r="D8605" s="50"/>
      <c r="E8605" s="73"/>
      <c r="F8605" s="45"/>
    </row>
    <row r="8606" spans="4:6" x14ac:dyDescent="0.2">
      <c r="D8606" s="50"/>
      <c r="E8606" s="73"/>
      <c r="F8606" s="45"/>
    </row>
    <row r="8607" spans="4:6" x14ac:dyDescent="0.2">
      <c r="D8607" s="50"/>
      <c r="E8607" s="73"/>
      <c r="F8607" s="45"/>
    </row>
    <row r="8608" spans="4:6" x14ac:dyDescent="0.2">
      <c r="D8608" s="50"/>
      <c r="E8608" s="73"/>
      <c r="F8608" s="45"/>
    </row>
    <row r="8609" spans="4:6" x14ac:dyDescent="0.2">
      <c r="D8609" s="50"/>
      <c r="E8609" s="73"/>
      <c r="F8609" s="45"/>
    </row>
    <row r="8610" spans="4:6" x14ac:dyDescent="0.2">
      <c r="D8610" s="50"/>
      <c r="E8610" s="73"/>
      <c r="F8610" s="45"/>
    </row>
    <row r="8611" spans="4:6" x14ac:dyDescent="0.2">
      <c r="D8611" s="50"/>
      <c r="E8611" s="73"/>
      <c r="F8611" s="45"/>
    </row>
    <row r="8612" spans="4:6" x14ac:dyDescent="0.2">
      <c r="D8612" s="50"/>
      <c r="E8612" s="73"/>
      <c r="F8612" s="45"/>
    </row>
    <row r="8613" spans="4:6" x14ac:dyDescent="0.2">
      <c r="D8613" s="50"/>
      <c r="E8613" s="73"/>
      <c r="F8613" s="45"/>
    </row>
    <row r="8614" spans="4:6" x14ac:dyDescent="0.2">
      <c r="D8614" s="50"/>
      <c r="E8614" s="73"/>
      <c r="F8614" s="45"/>
    </row>
    <row r="8615" spans="4:6" x14ac:dyDescent="0.2">
      <c r="D8615" s="50"/>
      <c r="E8615" s="73"/>
      <c r="F8615" s="45"/>
    </row>
    <row r="8616" spans="4:6" x14ac:dyDescent="0.2">
      <c r="D8616" s="50"/>
      <c r="E8616" s="73"/>
      <c r="F8616" s="45"/>
    </row>
    <row r="8617" spans="4:6" x14ac:dyDescent="0.2">
      <c r="D8617" s="50"/>
      <c r="E8617" s="73"/>
      <c r="F8617" s="45"/>
    </row>
    <row r="8618" spans="4:6" x14ac:dyDescent="0.2">
      <c r="D8618" s="50"/>
      <c r="E8618" s="73"/>
      <c r="F8618" s="45"/>
    </row>
    <row r="8619" spans="4:6" x14ac:dyDescent="0.2">
      <c r="D8619" s="50"/>
      <c r="E8619" s="73"/>
      <c r="F8619" s="45"/>
    </row>
    <row r="8620" spans="4:6" x14ac:dyDescent="0.2">
      <c r="D8620" s="50"/>
      <c r="E8620" s="73"/>
      <c r="F8620" s="45"/>
    </row>
    <row r="8621" spans="4:6" x14ac:dyDescent="0.2">
      <c r="D8621" s="50"/>
      <c r="E8621" s="73"/>
      <c r="F8621" s="45"/>
    </row>
    <row r="8622" spans="4:6" x14ac:dyDescent="0.2">
      <c r="D8622" s="50"/>
      <c r="E8622" s="73"/>
      <c r="F8622" s="45"/>
    </row>
    <row r="8623" spans="4:6" x14ac:dyDescent="0.2">
      <c r="D8623" s="50"/>
      <c r="E8623" s="73"/>
      <c r="F8623" s="45"/>
    </row>
    <row r="8624" spans="4:6" x14ac:dyDescent="0.2">
      <c r="D8624" s="50"/>
      <c r="E8624" s="73"/>
      <c r="F8624" s="45"/>
    </row>
    <row r="8625" spans="4:6" x14ac:dyDescent="0.2">
      <c r="D8625" s="50"/>
      <c r="E8625" s="73"/>
      <c r="F8625" s="45"/>
    </row>
    <row r="8626" spans="4:6" x14ac:dyDescent="0.2">
      <c r="D8626" s="50"/>
      <c r="E8626" s="73"/>
      <c r="F8626" s="45"/>
    </row>
    <row r="8627" spans="4:6" x14ac:dyDescent="0.2">
      <c r="D8627" s="50"/>
      <c r="E8627" s="73"/>
      <c r="F8627" s="45"/>
    </row>
    <row r="8628" spans="4:6" x14ac:dyDescent="0.2">
      <c r="D8628" s="50"/>
      <c r="E8628" s="73"/>
      <c r="F8628" s="45"/>
    </row>
    <row r="8629" spans="4:6" x14ac:dyDescent="0.2">
      <c r="D8629" s="50"/>
      <c r="E8629" s="73"/>
      <c r="F8629" s="45"/>
    </row>
    <row r="8630" spans="4:6" x14ac:dyDescent="0.2">
      <c r="D8630" s="50"/>
      <c r="E8630" s="73"/>
      <c r="F8630" s="45"/>
    </row>
    <row r="8631" spans="4:6" x14ac:dyDescent="0.2">
      <c r="D8631" s="50"/>
      <c r="E8631" s="73"/>
      <c r="F8631" s="45"/>
    </row>
    <row r="8632" spans="4:6" x14ac:dyDescent="0.2">
      <c r="D8632" s="50"/>
      <c r="E8632" s="73"/>
      <c r="F8632" s="45"/>
    </row>
    <row r="8633" spans="4:6" x14ac:dyDescent="0.2">
      <c r="D8633" s="50"/>
      <c r="E8633" s="73"/>
      <c r="F8633" s="45"/>
    </row>
    <row r="8634" spans="4:6" x14ac:dyDescent="0.2">
      <c r="D8634" s="50"/>
      <c r="E8634" s="73"/>
      <c r="F8634" s="45"/>
    </row>
    <row r="8635" spans="4:6" x14ac:dyDescent="0.2">
      <c r="D8635" s="50"/>
      <c r="E8635" s="73"/>
      <c r="F8635" s="45"/>
    </row>
    <row r="8636" spans="4:6" x14ac:dyDescent="0.2">
      <c r="D8636" s="50"/>
      <c r="E8636" s="73"/>
      <c r="F8636" s="45"/>
    </row>
    <row r="8637" spans="4:6" x14ac:dyDescent="0.2">
      <c r="D8637" s="50"/>
      <c r="E8637" s="73"/>
      <c r="F8637" s="45"/>
    </row>
    <row r="8638" spans="4:6" x14ac:dyDescent="0.2">
      <c r="D8638" s="50"/>
      <c r="E8638" s="73"/>
      <c r="F8638" s="45"/>
    </row>
    <row r="8639" spans="4:6" x14ac:dyDescent="0.2">
      <c r="D8639" s="50"/>
      <c r="E8639" s="73"/>
      <c r="F8639" s="45"/>
    </row>
    <row r="8640" spans="4:6" x14ac:dyDescent="0.2">
      <c r="D8640" s="50"/>
      <c r="E8640" s="73"/>
      <c r="F8640" s="45"/>
    </row>
    <row r="8641" spans="4:6" x14ac:dyDescent="0.2">
      <c r="D8641" s="50"/>
      <c r="E8641" s="73"/>
      <c r="F8641" s="45"/>
    </row>
    <row r="8642" spans="4:6" x14ac:dyDescent="0.2">
      <c r="D8642" s="50"/>
      <c r="E8642" s="73"/>
      <c r="F8642" s="45"/>
    </row>
    <row r="8643" spans="4:6" x14ac:dyDescent="0.2">
      <c r="D8643" s="50"/>
      <c r="E8643" s="73"/>
      <c r="F8643" s="45"/>
    </row>
    <row r="8644" spans="4:6" x14ac:dyDescent="0.2">
      <c r="D8644" s="50"/>
      <c r="E8644" s="73"/>
      <c r="F8644" s="45"/>
    </row>
    <row r="8645" spans="4:6" x14ac:dyDescent="0.2">
      <c r="D8645" s="50"/>
      <c r="E8645" s="73"/>
      <c r="F8645" s="45"/>
    </row>
    <row r="8646" spans="4:6" x14ac:dyDescent="0.2">
      <c r="D8646" s="50"/>
      <c r="E8646" s="73"/>
      <c r="F8646" s="45"/>
    </row>
    <row r="8647" spans="4:6" x14ac:dyDescent="0.2">
      <c r="D8647" s="50"/>
      <c r="E8647" s="73"/>
      <c r="F8647" s="45"/>
    </row>
    <row r="8648" spans="4:6" x14ac:dyDescent="0.2">
      <c r="D8648" s="50"/>
      <c r="E8648" s="73"/>
      <c r="F8648" s="45"/>
    </row>
    <row r="8649" spans="4:6" x14ac:dyDescent="0.2">
      <c r="D8649" s="50"/>
      <c r="E8649" s="73"/>
      <c r="F8649" s="45"/>
    </row>
    <row r="8650" spans="4:6" x14ac:dyDescent="0.2">
      <c r="D8650" s="50"/>
      <c r="E8650" s="73"/>
      <c r="F8650" s="45"/>
    </row>
    <row r="8651" spans="4:6" x14ac:dyDescent="0.2">
      <c r="D8651" s="50"/>
      <c r="E8651" s="73"/>
      <c r="F8651" s="45"/>
    </row>
    <row r="8652" spans="4:6" x14ac:dyDescent="0.2">
      <c r="D8652" s="50"/>
      <c r="E8652" s="73"/>
      <c r="F8652" s="45"/>
    </row>
    <row r="8653" spans="4:6" x14ac:dyDescent="0.2">
      <c r="D8653" s="50"/>
      <c r="E8653" s="73"/>
      <c r="F8653" s="45"/>
    </row>
    <row r="8654" spans="4:6" x14ac:dyDescent="0.2">
      <c r="D8654" s="50"/>
      <c r="E8654" s="73"/>
      <c r="F8654" s="45"/>
    </row>
    <row r="8655" spans="4:6" x14ac:dyDescent="0.2">
      <c r="D8655" s="50"/>
      <c r="E8655" s="73"/>
      <c r="F8655" s="45"/>
    </row>
    <row r="8656" spans="4:6" x14ac:dyDescent="0.2">
      <c r="D8656" s="50"/>
      <c r="E8656" s="73"/>
      <c r="F8656" s="45"/>
    </row>
    <row r="8657" spans="4:6" x14ac:dyDescent="0.2">
      <c r="D8657" s="50"/>
      <c r="E8657" s="73"/>
      <c r="F8657" s="45"/>
    </row>
    <row r="8658" spans="4:6" x14ac:dyDescent="0.2">
      <c r="D8658" s="50"/>
      <c r="E8658" s="73"/>
      <c r="F8658" s="45"/>
    </row>
    <row r="8659" spans="4:6" x14ac:dyDescent="0.2">
      <c r="D8659" s="50"/>
      <c r="E8659" s="73"/>
      <c r="F8659" s="45"/>
    </row>
    <row r="8660" spans="4:6" x14ac:dyDescent="0.2">
      <c r="D8660" s="50"/>
      <c r="E8660" s="73"/>
      <c r="F8660" s="45"/>
    </row>
    <row r="8661" spans="4:6" x14ac:dyDescent="0.2">
      <c r="D8661" s="50"/>
      <c r="E8661" s="73"/>
      <c r="F8661" s="45"/>
    </row>
    <row r="8662" spans="4:6" x14ac:dyDescent="0.2">
      <c r="D8662" s="50"/>
      <c r="E8662" s="73"/>
      <c r="F8662" s="45"/>
    </row>
    <row r="8663" spans="4:6" x14ac:dyDescent="0.2">
      <c r="D8663" s="50"/>
      <c r="E8663" s="73"/>
      <c r="F8663" s="45"/>
    </row>
    <row r="8664" spans="4:6" x14ac:dyDescent="0.2">
      <c r="D8664" s="50"/>
      <c r="E8664" s="73"/>
      <c r="F8664" s="45"/>
    </row>
    <row r="8665" spans="4:6" x14ac:dyDescent="0.2">
      <c r="D8665" s="50"/>
      <c r="E8665" s="73"/>
      <c r="F8665" s="45"/>
    </row>
    <row r="8666" spans="4:6" x14ac:dyDescent="0.2">
      <c r="D8666" s="50"/>
      <c r="E8666" s="73"/>
      <c r="F8666" s="45"/>
    </row>
    <row r="8667" spans="4:6" x14ac:dyDescent="0.2">
      <c r="D8667" s="50"/>
      <c r="E8667" s="73"/>
      <c r="F8667" s="45"/>
    </row>
    <row r="8668" spans="4:6" x14ac:dyDescent="0.2">
      <c r="D8668" s="50"/>
      <c r="E8668" s="73"/>
      <c r="F8668" s="45"/>
    </row>
    <row r="8669" spans="4:6" x14ac:dyDescent="0.2">
      <c r="D8669" s="50"/>
      <c r="E8669" s="73"/>
      <c r="F8669" s="45"/>
    </row>
    <row r="8670" spans="4:6" x14ac:dyDescent="0.2">
      <c r="D8670" s="50"/>
      <c r="E8670" s="73"/>
      <c r="F8670" s="45"/>
    </row>
    <row r="8671" spans="4:6" x14ac:dyDescent="0.2">
      <c r="D8671" s="50"/>
      <c r="E8671" s="73"/>
      <c r="F8671" s="45"/>
    </row>
    <row r="8672" spans="4:6" x14ac:dyDescent="0.2">
      <c r="D8672" s="50"/>
      <c r="E8672" s="73"/>
      <c r="F8672" s="45"/>
    </row>
    <row r="8673" spans="4:6" x14ac:dyDescent="0.2">
      <c r="D8673" s="50"/>
      <c r="E8673" s="73"/>
      <c r="F8673" s="45"/>
    </row>
    <row r="8674" spans="4:6" x14ac:dyDescent="0.2">
      <c r="D8674" s="50"/>
      <c r="E8674" s="73"/>
      <c r="F8674" s="45"/>
    </row>
    <row r="8675" spans="4:6" x14ac:dyDescent="0.2">
      <c r="D8675" s="50"/>
      <c r="E8675" s="73"/>
      <c r="F8675" s="45"/>
    </row>
    <row r="8676" spans="4:6" x14ac:dyDescent="0.2">
      <c r="D8676" s="50"/>
      <c r="E8676" s="73"/>
      <c r="F8676" s="45"/>
    </row>
    <row r="8677" spans="4:6" x14ac:dyDescent="0.2">
      <c r="D8677" s="50"/>
      <c r="E8677" s="73"/>
      <c r="F8677" s="45"/>
    </row>
    <row r="8678" spans="4:6" x14ac:dyDescent="0.2">
      <c r="D8678" s="50"/>
      <c r="E8678" s="73"/>
      <c r="F8678" s="45"/>
    </row>
    <row r="8679" spans="4:6" x14ac:dyDescent="0.2">
      <c r="D8679" s="50"/>
      <c r="E8679" s="73"/>
      <c r="F8679" s="45"/>
    </row>
    <row r="8680" spans="4:6" x14ac:dyDescent="0.2">
      <c r="D8680" s="50"/>
      <c r="E8680" s="73"/>
      <c r="F8680" s="45"/>
    </row>
    <row r="8681" spans="4:6" x14ac:dyDescent="0.2">
      <c r="D8681" s="50"/>
      <c r="E8681" s="73"/>
      <c r="F8681" s="45"/>
    </row>
    <row r="8682" spans="4:6" x14ac:dyDescent="0.2">
      <c r="D8682" s="50"/>
      <c r="E8682" s="73"/>
      <c r="F8682" s="45"/>
    </row>
    <row r="8683" spans="4:6" x14ac:dyDescent="0.2">
      <c r="D8683" s="50"/>
      <c r="E8683" s="73"/>
      <c r="F8683" s="45"/>
    </row>
    <row r="8684" spans="4:6" x14ac:dyDescent="0.2">
      <c r="D8684" s="50"/>
      <c r="E8684" s="73"/>
      <c r="F8684" s="45"/>
    </row>
    <row r="8685" spans="4:6" x14ac:dyDescent="0.2">
      <c r="D8685" s="50"/>
      <c r="E8685" s="73"/>
      <c r="F8685" s="45"/>
    </row>
    <row r="8686" spans="4:6" x14ac:dyDescent="0.2">
      <c r="D8686" s="50"/>
      <c r="E8686" s="73"/>
      <c r="F8686" s="45"/>
    </row>
    <row r="8687" spans="4:6" x14ac:dyDescent="0.2">
      <c r="D8687" s="50"/>
      <c r="E8687" s="73"/>
      <c r="F8687" s="45"/>
    </row>
    <row r="8688" spans="4:6" x14ac:dyDescent="0.2">
      <c r="D8688" s="50"/>
      <c r="E8688" s="73"/>
      <c r="F8688" s="45"/>
    </row>
    <row r="8689" spans="4:6" x14ac:dyDescent="0.2">
      <c r="D8689" s="50"/>
      <c r="E8689" s="73"/>
      <c r="F8689" s="45"/>
    </row>
    <row r="8690" spans="4:6" x14ac:dyDescent="0.2">
      <c r="D8690" s="50"/>
      <c r="E8690" s="73"/>
      <c r="F8690" s="45"/>
    </row>
    <row r="8691" spans="4:6" x14ac:dyDescent="0.2">
      <c r="D8691" s="50"/>
      <c r="E8691" s="73"/>
      <c r="F8691" s="45"/>
    </row>
    <row r="8692" spans="4:6" x14ac:dyDescent="0.2">
      <c r="D8692" s="50"/>
      <c r="E8692" s="73"/>
      <c r="F8692" s="45"/>
    </row>
    <row r="8693" spans="4:6" x14ac:dyDescent="0.2">
      <c r="D8693" s="50"/>
      <c r="E8693" s="73"/>
      <c r="F8693" s="45"/>
    </row>
    <row r="8694" spans="4:6" x14ac:dyDescent="0.2">
      <c r="D8694" s="50"/>
      <c r="E8694" s="73"/>
      <c r="F8694" s="45"/>
    </row>
    <row r="8695" spans="4:6" x14ac:dyDescent="0.2">
      <c r="D8695" s="50"/>
      <c r="E8695" s="73"/>
      <c r="F8695" s="45"/>
    </row>
    <row r="8696" spans="4:6" x14ac:dyDescent="0.2">
      <c r="D8696" s="50"/>
      <c r="E8696" s="73"/>
      <c r="F8696" s="45"/>
    </row>
    <row r="8697" spans="4:6" x14ac:dyDescent="0.2">
      <c r="D8697" s="50"/>
      <c r="E8697" s="73"/>
      <c r="F8697" s="45"/>
    </row>
    <row r="8698" spans="4:6" x14ac:dyDescent="0.2">
      <c r="D8698" s="50"/>
      <c r="E8698" s="73"/>
      <c r="F8698" s="45"/>
    </row>
    <row r="8699" spans="4:6" x14ac:dyDescent="0.2">
      <c r="D8699" s="50"/>
      <c r="E8699" s="73"/>
      <c r="F8699" s="45"/>
    </row>
    <row r="8700" spans="4:6" x14ac:dyDescent="0.2">
      <c r="D8700" s="50"/>
      <c r="E8700" s="73"/>
      <c r="F8700" s="45"/>
    </row>
    <row r="8701" spans="4:6" x14ac:dyDescent="0.2">
      <c r="D8701" s="50"/>
      <c r="E8701" s="73"/>
      <c r="F8701" s="45"/>
    </row>
    <row r="8702" spans="4:6" x14ac:dyDescent="0.2">
      <c r="D8702" s="50"/>
      <c r="E8702" s="73"/>
      <c r="F8702" s="45"/>
    </row>
    <row r="8703" spans="4:6" x14ac:dyDescent="0.2">
      <c r="D8703" s="50"/>
      <c r="E8703" s="73"/>
      <c r="F8703" s="45"/>
    </row>
    <row r="8704" spans="4:6" x14ac:dyDescent="0.2">
      <c r="D8704" s="50"/>
      <c r="E8704" s="73"/>
      <c r="F8704" s="45"/>
    </row>
    <row r="8705" spans="4:6" x14ac:dyDescent="0.2">
      <c r="D8705" s="50"/>
      <c r="E8705" s="73"/>
      <c r="F8705" s="45"/>
    </row>
    <row r="8706" spans="4:6" x14ac:dyDescent="0.2">
      <c r="D8706" s="50"/>
      <c r="E8706" s="73"/>
      <c r="F8706" s="45"/>
    </row>
    <row r="8707" spans="4:6" x14ac:dyDescent="0.2">
      <c r="D8707" s="50"/>
      <c r="E8707" s="73"/>
      <c r="F8707" s="45"/>
    </row>
    <row r="8708" spans="4:6" x14ac:dyDescent="0.2">
      <c r="D8708" s="50"/>
      <c r="E8708" s="73"/>
      <c r="F8708" s="45"/>
    </row>
    <row r="8709" spans="4:6" x14ac:dyDescent="0.2">
      <c r="D8709" s="50"/>
      <c r="E8709" s="73"/>
      <c r="F8709" s="45"/>
    </row>
    <row r="8710" spans="4:6" x14ac:dyDescent="0.2">
      <c r="D8710" s="50"/>
      <c r="E8710" s="73"/>
      <c r="F8710" s="45"/>
    </row>
    <row r="8711" spans="4:6" x14ac:dyDescent="0.2">
      <c r="D8711" s="50"/>
      <c r="E8711" s="73"/>
      <c r="F8711" s="45"/>
    </row>
    <row r="8712" spans="4:6" x14ac:dyDescent="0.2">
      <c r="D8712" s="50"/>
      <c r="E8712" s="73"/>
      <c r="F8712" s="45"/>
    </row>
    <row r="8713" spans="4:6" x14ac:dyDescent="0.2">
      <c r="D8713" s="50"/>
      <c r="E8713" s="73"/>
      <c r="F8713" s="45"/>
    </row>
    <row r="8714" spans="4:6" x14ac:dyDescent="0.2">
      <c r="D8714" s="50"/>
      <c r="E8714" s="73"/>
      <c r="F8714" s="45"/>
    </row>
    <row r="8715" spans="4:6" x14ac:dyDescent="0.2">
      <c r="D8715" s="50"/>
      <c r="E8715" s="73"/>
      <c r="F8715" s="45"/>
    </row>
    <row r="8716" spans="4:6" x14ac:dyDescent="0.2">
      <c r="D8716" s="50"/>
      <c r="E8716" s="73"/>
      <c r="F8716" s="45"/>
    </row>
    <row r="8717" spans="4:6" x14ac:dyDescent="0.2">
      <c r="D8717" s="50"/>
      <c r="E8717" s="73"/>
      <c r="F8717" s="45"/>
    </row>
    <row r="8718" spans="4:6" x14ac:dyDescent="0.2">
      <c r="D8718" s="50"/>
      <c r="E8718" s="73"/>
      <c r="F8718" s="45"/>
    </row>
    <row r="8719" spans="4:6" x14ac:dyDescent="0.2">
      <c r="D8719" s="50"/>
      <c r="E8719" s="73"/>
      <c r="F8719" s="45"/>
    </row>
    <row r="8720" spans="4:6" x14ac:dyDescent="0.2">
      <c r="D8720" s="50"/>
      <c r="E8720" s="73"/>
      <c r="F8720" s="45"/>
    </row>
    <row r="8721" spans="4:6" x14ac:dyDescent="0.2">
      <c r="D8721" s="50"/>
      <c r="E8721" s="73"/>
      <c r="F8721" s="45"/>
    </row>
    <row r="8722" spans="4:6" x14ac:dyDescent="0.2">
      <c r="D8722" s="50"/>
      <c r="E8722" s="73"/>
      <c r="F8722" s="45"/>
    </row>
    <row r="8723" spans="4:6" x14ac:dyDescent="0.2">
      <c r="D8723" s="50"/>
      <c r="E8723" s="73"/>
      <c r="F8723" s="45"/>
    </row>
    <row r="8724" spans="4:6" x14ac:dyDescent="0.2">
      <c r="D8724" s="50"/>
      <c r="E8724" s="73"/>
      <c r="F8724" s="45"/>
    </row>
    <row r="8725" spans="4:6" x14ac:dyDescent="0.2">
      <c r="D8725" s="50"/>
      <c r="E8725" s="73"/>
      <c r="F8725" s="45"/>
    </row>
    <row r="8726" spans="4:6" x14ac:dyDescent="0.2">
      <c r="D8726" s="50"/>
      <c r="E8726" s="73"/>
      <c r="F8726" s="45"/>
    </row>
    <row r="8727" spans="4:6" x14ac:dyDescent="0.2">
      <c r="D8727" s="50"/>
      <c r="E8727" s="73"/>
      <c r="F8727" s="45"/>
    </row>
    <row r="8728" spans="4:6" x14ac:dyDescent="0.2">
      <c r="D8728" s="50"/>
      <c r="E8728" s="73"/>
      <c r="F8728" s="45"/>
    </row>
    <row r="8729" spans="4:6" x14ac:dyDescent="0.2">
      <c r="D8729" s="50"/>
      <c r="E8729" s="73"/>
      <c r="F8729" s="45"/>
    </row>
    <row r="8730" spans="4:6" x14ac:dyDescent="0.2">
      <c r="D8730" s="50"/>
      <c r="E8730" s="73"/>
      <c r="F8730" s="45"/>
    </row>
    <row r="8731" spans="4:6" x14ac:dyDescent="0.2">
      <c r="D8731" s="50"/>
      <c r="E8731" s="73"/>
      <c r="F8731" s="45"/>
    </row>
    <row r="8732" spans="4:6" x14ac:dyDescent="0.2">
      <c r="D8732" s="50"/>
      <c r="E8732" s="73"/>
      <c r="F8732" s="45"/>
    </row>
    <row r="8733" spans="4:6" x14ac:dyDescent="0.2">
      <c r="D8733" s="50"/>
      <c r="E8733" s="73"/>
      <c r="F8733" s="45"/>
    </row>
    <row r="8734" spans="4:6" x14ac:dyDescent="0.2">
      <c r="D8734" s="50"/>
      <c r="E8734" s="73"/>
      <c r="F8734" s="45"/>
    </row>
    <row r="8735" spans="4:6" x14ac:dyDescent="0.2">
      <c r="D8735" s="50"/>
      <c r="E8735" s="73"/>
      <c r="F8735" s="45"/>
    </row>
    <row r="8736" spans="4:6" x14ac:dyDescent="0.2">
      <c r="D8736" s="50"/>
      <c r="E8736" s="73"/>
      <c r="F8736" s="45"/>
    </row>
    <row r="8737" spans="4:6" x14ac:dyDescent="0.2">
      <c r="D8737" s="50"/>
      <c r="E8737" s="73"/>
      <c r="F8737" s="45"/>
    </row>
    <row r="8738" spans="4:6" x14ac:dyDescent="0.2">
      <c r="D8738" s="50"/>
      <c r="E8738" s="73"/>
      <c r="F8738" s="45"/>
    </row>
    <row r="8739" spans="4:6" x14ac:dyDescent="0.2">
      <c r="D8739" s="50"/>
      <c r="E8739" s="73"/>
      <c r="F8739" s="45"/>
    </row>
    <row r="8740" spans="4:6" x14ac:dyDescent="0.2">
      <c r="D8740" s="50"/>
      <c r="E8740" s="73"/>
      <c r="F8740" s="45"/>
    </row>
    <row r="8741" spans="4:6" x14ac:dyDescent="0.2">
      <c r="D8741" s="50"/>
      <c r="E8741" s="73"/>
      <c r="F8741" s="45"/>
    </row>
    <row r="8742" spans="4:6" x14ac:dyDescent="0.2">
      <c r="D8742" s="50"/>
      <c r="E8742" s="73"/>
      <c r="F8742" s="45"/>
    </row>
    <row r="8743" spans="4:6" x14ac:dyDescent="0.2">
      <c r="D8743" s="50"/>
      <c r="E8743" s="73"/>
      <c r="F8743" s="45"/>
    </row>
    <row r="8744" spans="4:6" x14ac:dyDescent="0.2">
      <c r="D8744" s="50"/>
      <c r="E8744" s="73"/>
      <c r="F8744" s="45"/>
    </row>
    <row r="8745" spans="4:6" x14ac:dyDescent="0.2">
      <c r="D8745" s="50"/>
      <c r="E8745" s="73"/>
      <c r="F8745" s="45"/>
    </row>
    <row r="8746" spans="4:6" x14ac:dyDescent="0.2">
      <c r="D8746" s="50"/>
      <c r="E8746" s="73"/>
      <c r="F8746" s="45"/>
    </row>
    <row r="8747" spans="4:6" x14ac:dyDescent="0.2">
      <c r="D8747" s="50"/>
      <c r="E8747" s="73"/>
      <c r="F8747" s="45"/>
    </row>
    <row r="8748" spans="4:6" x14ac:dyDescent="0.2">
      <c r="D8748" s="50"/>
      <c r="E8748" s="73"/>
      <c r="F8748" s="45"/>
    </row>
    <row r="8749" spans="4:6" x14ac:dyDescent="0.2">
      <c r="D8749" s="50"/>
      <c r="E8749" s="73"/>
      <c r="F8749" s="45"/>
    </row>
    <row r="8750" spans="4:6" x14ac:dyDescent="0.2">
      <c r="D8750" s="50"/>
      <c r="E8750" s="73"/>
      <c r="F8750" s="45"/>
    </row>
    <row r="8751" spans="4:6" x14ac:dyDescent="0.2">
      <c r="D8751" s="50"/>
      <c r="E8751" s="73"/>
      <c r="F8751" s="45"/>
    </row>
    <row r="8752" spans="4:6" x14ac:dyDescent="0.2">
      <c r="D8752" s="50"/>
      <c r="E8752" s="73"/>
      <c r="F8752" s="45"/>
    </row>
    <row r="8753" spans="4:6" x14ac:dyDescent="0.2">
      <c r="D8753" s="50"/>
      <c r="E8753" s="73"/>
      <c r="F8753" s="45"/>
    </row>
    <row r="8754" spans="4:6" x14ac:dyDescent="0.2">
      <c r="D8754" s="50"/>
      <c r="E8754" s="73"/>
      <c r="F8754" s="45"/>
    </row>
    <row r="8755" spans="4:6" x14ac:dyDescent="0.2">
      <c r="D8755" s="50"/>
      <c r="E8755" s="73"/>
      <c r="F8755" s="45"/>
    </row>
    <row r="8756" spans="4:6" x14ac:dyDescent="0.2">
      <c r="D8756" s="50"/>
      <c r="E8756" s="73"/>
      <c r="F8756" s="45"/>
    </row>
    <row r="8757" spans="4:6" x14ac:dyDescent="0.2">
      <c r="D8757" s="50"/>
      <c r="E8757" s="73"/>
      <c r="F8757" s="45"/>
    </row>
    <row r="8758" spans="4:6" x14ac:dyDescent="0.2">
      <c r="D8758" s="50"/>
      <c r="E8758" s="73"/>
      <c r="F8758" s="45"/>
    </row>
    <row r="8759" spans="4:6" x14ac:dyDescent="0.2">
      <c r="D8759" s="50"/>
      <c r="E8759" s="73"/>
      <c r="F8759" s="45"/>
    </row>
    <row r="8760" spans="4:6" x14ac:dyDescent="0.2">
      <c r="D8760" s="50"/>
      <c r="E8760" s="73"/>
      <c r="F8760" s="45"/>
    </row>
    <row r="8761" spans="4:6" x14ac:dyDescent="0.2">
      <c r="D8761" s="50"/>
      <c r="E8761" s="73"/>
      <c r="F8761" s="45"/>
    </row>
    <row r="8762" spans="4:6" x14ac:dyDescent="0.2">
      <c r="D8762" s="50"/>
      <c r="E8762" s="73"/>
      <c r="F8762" s="45"/>
    </row>
    <row r="8763" spans="4:6" x14ac:dyDescent="0.2">
      <c r="D8763" s="50"/>
      <c r="E8763" s="73"/>
      <c r="F8763" s="45"/>
    </row>
    <row r="8764" spans="4:6" x14ac:dyDescent="0.2">
      <c r="D8764" s="50"/>
      <c r="E8764" s="73"/>
      <c r="F8764" s="45"/>
    </row>
    <row r="8765" spans="4:6" x14ac:dyDescent="0.2">
      <c r="D8765" s="50"/>
      <c r="E8765" s="73"/>
      <c r="F8765" s="45"/>
    </row>
    <row r="8766" spans="4:6" x14ac:dyDescent="0.2">
      <c r="D8766" s="50"/>
      <c r="E8766" s="73"/>
      <c r="F8766" s="45"/>
    </row>
    <row r="8767" spans="4:6" x14ac:dyDescent="0.2">
      <c r="D8767" s="50"/>
      <c r="E8767" s="73"/>
      <c r="F8767" s="45"/>
    </row>
    <row r="8768" spans="4:6" x14ac:dyDescent="0.2">
      <c r="D8768" s="50"/>
      <c r="E8768" s="73"/>
      <c r="F8768" s="45"/>
    </row>
    <row r="8769" spans="4:6" x14ac:dyDescent="0.2">
      <c r="D8769" s="50"/>
      <c r="E8769" s="73"/>
      <c r="F8769" s="45"/>
    </row>
    <row r="8770" spans="4:6" x14ac:dyDescent="0.2">
      <c r="D8770" s="50"/>
      <c r="E8770" s="73"/>
      <c r="F8770" s="45"/>
    </row>
    <row r="8771" spans="4:6" x14ac:dyDescent="0.2">
      <c r="D8771" s="50"/>
      <c r="E8771" s="73"/>
      <c r="F8771" s="45"/>
    </row>
    <row r="8772" spans="4:6" x14ac:dyDescent="0.2">
      <c r="D8772" s="50"/>
      <c r="E8772" s="73"/>
      <c r="F8772" s="45"/>
    </row>
    <row r="8773" spans="4:6" x14ac:dyDescent="0.2">
      <c r="D8773" s="50"/>
      <c r="E8773" s="73"/>
      <c r="F8773" s="45"/>
    </row>
    <row r="8774" spans="4:6" x14ac:dyDescent="0.2">
      <c r="D8774" s="50"/>
      <c r="E8774" s="73"/>
      <c r="F8774" s="45"/>
    </row>
    <row r="8775" spans="4:6" x14ac:dyDescent="0.2">
      <c r="D8775" s="50"/>
      <c r="E8775" s="73"/>
      <c r="F8775" s="45"/>
    </row>
    <row r="8776" spans="4:6" x14ac:dyDescent="0.2">
      <c r="D8776" s="50"/>
      <c r="E8776" s="73"/>
      <c r="F8776" s="45"/>
    </row>
    <row r="8777" spans="4:6" x14ac:dyDescent="0.2">
      <c r="D8777" s="50"/>
      <c r="E8777" s="73"/>
      <c r="F8777" s="45"/>
    </row>
    <row r="8778" spans="4:6" x14ac:dyDescent="0.2">
      <c r="D8778" s="50"/>
      <c r="E8778" s="73"/>
      <c r="F8778" s="45"/>
    </row>
    <row r="8779" spans="4:6" x14ac:dyDescent="0.2">
      <c r="D8779" s="50"/>
      <c r="E8779" s="73"/>
      <c r="F8779" s="45"/>
    </row>
    <row r="8780" spans="4:6" x14ac:dyDescent="0.2">
      <c r="D8780" s="50"/>
      <c r="E8780" s="73"/>
      <c r="F8780" s="45"/>
    </row>
    <row r="8781" spans="4:6" x14ac:dyDescent="0.2">
      <c r="D8781" s="50"/>
      <c r="E8781" s="73"/>
      <c r="F8781" s="45"/>
    </row>
    <row r="8782" spans="4:6" x14ac:dyDescent="0.2">
      <c r="D8782" s="50"/>
      <c r="E8782" s="73"/>
      <c r="F8782" s="45"/>
    </row>
    <row r="8783" spans="4:6" x14ac:dyDescent="0.2">
      <c r="D8783" s="50"/>
      <c r="E8783" s="73"/>
      <c r="F8783" s="45"/>
    </row>
    <row r="8784" spans="4:6" x14ac:dyDescent="0.2">
      <c r="D8784" s="50"/>
      <c r="E8784" s="73"/>
      <c r="F8784" s="45"/>
    </row>
    <row r="8785" spans="4:6" x14ac:dyDescent="0.2">
      <c r="D8785" s="50"/>
      <c r="E8785" s="73"/>
      <c r="F8785" s="45"/>
    </row>
    <row r="8786" spans="4:6" x14ac:dyDescent="0.2">
      <c r="D8786" s="50"/>
      <c r="E8786" s="73"/>
      <c r="F8786" s="45"/>
    </row>
    <row r="8787" spans="4:6" x14ac:dyDescent="0.2">
      <c r="D8787" s="50"/>
      <c r="E8787" s="73"/>
      <c r="F8787" s="45"/>
    </row>
    <row r="8788" spans="4:6" x14ac:dyDescent="0.2">
      <c r="D8788" s="50"/>
      <c r="E8788" s="73"/>
      <c r="F8788" s="45"/>
    </row>
    <row r="8789" spans="4:6" x14ac:dyDescent="0.2">
      <c r="D8789" s="50"/>
      <c r="E8789" s="73"/>
      <c r="F8789" s="45"/>
    </row>
    <row r="8790" spans="4:6" x14ac:dyDescent="0.2">
      <c r="D8790" s="50"/>
      <c r="E8790" s="73"/>
      <c r="F8790" s="45"/>
    </row>
    <row r="8791" spans="4:6" x14ac:dyDescent="0.2">
      <c r="D8791" s="50"/>
      <c r="E8791" s="73"/>
      <c r="F8791" s="45"/>
    </row>
    <row r="8792" spans="4:6" x14ac:dyDescent="0.2">
      <c r="D8792" s="50"/>
      <c r="E8792" s="73"/>
      <c r="F8792" s="45"/>
    </row>
    <row r="8793" spans="4:6" x14ac:dyDescent="0.2">
      <c r="D8793" s="50"/>
      <c r="E8793" s="73"/>
      <c r="F8793" s="45"/>
    </row>
    <row r="8794" spans="4:6" x14ac:dyDescent="0.2">
      <c r="D8794" s="50"/>
      <c r="E8794" s="73"/>
      <c r="F8794" s="45"/>
    </row>
    <row r="8795" spans="4:6" x14ac:dyDescent="0.2">
      <c r="D8795" s="50"/>
      <c r="E8795" s="73"/>
      <c r="F8795" s="45"/>
    </row>
    <row r="8796" spans="4:6" x14ac:dyDescent="0.2">
      <c r="D8796" s="50"/>
      <c r="E8796" s="73"/>
      <c r="F8796" s="45"/>
    </row>
    <row r="8797" spans="4:6" x14ac:dyDescent="0.2">
      <c r="D8797" s="50"/>
      <c r="E8797" s="73"/>
      <c r="F8797" s="45"/>
    </row>
    <row r="8798" spans="4:6" x14ac:dyDescent="0.2">
      <c r="D8798" s="50"/>
      <c r="E8798" s="73"/>
      <c r="F8798" s="45"/>
    </row>
    <row r="8799" spans="4:6" x14ac:dyDescent="0.2">
      <c r="D8799" s="50"/>
      <c r="E8799" s="73"/>
      <c r="F8799" s="45"/>
    </row>
    <row r="8800" spans="4:6" x14ac:dyDescent="0.2">
      <c r="D8800" s="50"/>
      <c r="E8800" s="73"/>
      <c r="F8800" s="45"/>
    </row>
    <row r="8801" spans="4:6" x14ac:dyDescent="0.2">
      <c r="D8801" s="50"/>
      <c r="E8801" s="73"/>
      <c r="F8801" s="45"/>
    </row>
    <row r="8802" spans="4:6" x14ac:dyDescent="0.2">
      <c r="D8802" s="50"/>
      <c r="E8802" s="73"/>
      <c r="F8802" s="45"/>
    </row>
    <row r="8803" spans="4:6" x14ac:dyDescent="0.2">
      <c r="D8803" s="50"/>
      <c r="E8803" s="73"/>
      <c r="F8803" s="45"/>
    </row>
    <row r="8804" spans="4:6" x14ac:dyDescent="0.2">
      <c r="D8804" s="50"/>
      <c r="E8804" s="73"/>
      <c r="F8804" s="45"/>
    </row>
    <row r="8805" spans="4:6" x14ac:dyDescent="0.2">
      <c r="D8805" s="50"/>
      <c r="E8805" s="73"/>
      <c r="F8805" s="45"/>
    </row>
    <row r="8806" spans="4:6" x14ac:dyDescent="0.2">
      <c r="D8806" s="50"/>
      <c r="E8806" s="73"/>
      <c r="F8806" s="45"/>
    </row>
    <row r="8807" spans="4:6" x14ac:dyDescent="0.2">
      <c r="D8807" s="50"/>
      <c r="E8807" s="73"/>
      <c r="F8807" s="45"/>
    </row>
    <row r="8808" spans="4:6" x14ac:dyDescent="0.2">
      <c r="D8808" s="50"/>
      <c r="E8808" s="73"/>
      <c r="F8808" s="45"/>
    </row>
    <row r="8809" spans="4:6" x14ac:dyDescent="0.2">
      <c r="D8809" s="50"/>
      <c r="E8809" s="73"/>
      <c r="F8809" s="45"/>
    </row>
    <row r="8810" spans="4:6" x14ac:dyDescent="0.2">
      <c r="D8810" s="50"/>
      <c r="E8810" s="73"/>
      <c r="F8810" s="45"/>
    </row>
    <row r="8811" spans="4:6" x14ac:dyDescent="0.2">
      <c r="D8811" s="50"/>
      <c r="E8811" s="73"/>
      <c r="F8811" s="45"/>
    </row>
    <row r="8812" spans="4:6" x14ac:dyDescent="0.2">
      <c r="D8812" s="50"/>
      <c r="E8812" s="73"/>
      <c r="F8812" s="45"/>
    </row>
    <row r="8813" spans="4:6" x14ac:dyDescent="0.2">
      <c r="D8813" s="50"/>
      <c r="E8813" s="73"/>
      <c r="F8813" s="45"/>
    </row>
    <row r="8814" spans="4:6" x14ac:dyDescent="0.2">
      <c r="D8814" s="50"/>
      <c r="E8814" s="73"/>
      <c r="F8814" s="45"/>
    </row>
    <row r="8815" spans="4:6" x14ac:dyDescent="0.2">
      <c r="D8815" s="50"/>
      <c r="E8815" s="73"/>
      <c r="F8815" s="45"/>
    </row>
    <row r="8816" spans="4:6" x14ac:dyDescent="0.2">
      <c r="D8816" s="50"/>
      <c r="E8816" s="73"/>
      <c r="F8816" s="45"/>
    </row>
    <row r="8817" spans="4:6" x14ac:dyDescent="0.2">
      <c r="D8817" s="50"/>
      <c r="E8817" s="73"/>
      <c r="F8817" s="45"/>
    </row>
    <row r="8818" spans="4:6" x14ac:dyDescent="0.2">
      <c r="D8818" s="50"/>
      <c r="E8818" s="73"/>
      <c r="F8818" s="45"/>
    </row>
    <row r="8819" spans="4:6" x14ac:dyDescent="0.2">
      <c r="D8819" s="50"/>
      <c r="E8819" s="73"/>
      <c r="F8819" s="45"/>
    </row>
    <row r="8820" spans="4:6" x14ac:dyDescent="0.2">
      <c r="D8820" s="50"/>
      <c r="E8820" s="73"/>
      <c r="F8820" s="45"/>
    </row>
    <row r="8821" spans="4:6" x14ac:dyDescent="0.2">
      <c r="D8821" s="50"/>
      <c r="E8821" s="73"/>
      <c r="F8821" s="45"/>
    </row>
    <row r="8822" spans="4:6" x14ac:dyDescent="0.2">
      <c r="D8822" s="50"/>
      <c r="E8822" s="73"/>
      <c r="F8822" s="45"/>
    </row>
    <row r="8823" spans="4:6" x14ac:dyDescent="0.2">
      <c r="D8823" s="50"/>
      <c r="E8823" s="73"/>
      <c r="F8823" s="45"/>
    </row>
    <row r="8824" spans="4:6" x14ac:dyDescent="0.2">
      <c r="D8824" s="50"/>
      <c r="E8824" s="73"/>
      <c r="F8824" s="45"/>
    </row>
    <row r="8825" spans="4:6" x14ac:dyDescent="0.2">
      <c r="D8825" s="50"/>
      <c r="E8825" s="73"/>
      <c r="F8825" s="45"/>
    </row>
    <row r="8826" spans="4:6" x14ac:dyDescent="0.2">
      <c r="D8826" s="50"/>
      <c r="E8826" s="73"/>
      <c r="F8826" s="45"/>
    </row>
    <row r="8827" spans="4:6" x14ac:dyDescent="0.2">
      <c r="D8827" s="50"/>
      <c r="E8827" s="73"/>
      <c r="F8827" s="45"/>
    </row>
    <row r="8828" spans="4:6" x14ac:dyDescent="0.2">
      <c r="D8828" s="50"/>
      <c r="E8828" s="73"/>
      <c r="F8828" s="45"/>
    </row>
    <row r="8829" spans="4:6" x14ac:dyDescent="0.2">
      <c r="D8829" s="50"/>
      <c r="E8829" s="73"/>
      <c r="F8829" s="45"/>
    </row>
    <row r="8830" spans="4:6" x14ac:dyDescent="0.2">
      <c r="D8830" s="50"/>
      <c r="E8830" s="73"/>
      <c r="F8830" s="45"/>
    </row>
    <row r="8831" spans="4:6" x14ac:dyDescent="0.2">
      <c r="D8831" s="50"/>
      <c r="E8831" s="73"/>
      <c r="F8831" s="45"/>
    </row>
    <row r="8832" spans="4:6" x14ac:dyDescent="0.2">
      <c r="D8832" s="50"/>
      <c r="E8832" s="73"/>
      <c r="F8832" s="45"/>
    </row>
    <row r="8833" spans="4:6" x14ac:dyDescent="0.2">
      <c r="D8833" s="50"/>
      <c r="E8833" s="73"/>
      <c r="F8833" s="45"/>
    </row>
    <row r="8834" spans="4:6" x14ac:dyDescent="0.2">
      <c r="D8834" s="50"/>
      <c r="E8834" s="73"/>
      <c r="F8834" s="45"/>
    </row>
    <row r="8835" spans="4:6" x14ac:dyDescent="0.2">
      <c r="D8835" s="50"/>
      <c r="E8835" s="73"/>
      <c r="F8835" s="45"/>
    </row>
    <row r="8836" spans="4:6" x14ac:dyDescent="0.2">
      <c r="D8836" s="50"/>
      <c r="E8836" s="73"/>
      <c r="F8836" s="45"/>
    </row>
    <row r="8837" spans="4:6" x14ac:dyDescent="0.2">
      <c r="D8837" s="50"/>
      <c r="E8837" s="73"/>
      <c r="F8837" s="45"/>
    </row>
    <row r="8838" spans="4:6" x14ac:dyDescent="0.2">
      <c r="D8838" s="50"/>
      <c r="E8838" s="73"/>
      <c r="F8838" s="45"/>
    </row>
    <row r="8839" spans="4:6" x14ac:dyDescent="0.2">
      <c r="D8839" s="50"/>
      <c r="E8839" s="73"/>
      <c r="F8839" s="45"/>
    </row>
    <row r="8840" spans="4:6" x14ac:dyDescent="0.2">
      <c r="D8840" s="50"/>
      <c r="E8840" s="73"/>
      <c r="F8840" s="45"/>
    </row>
    <row r="8841" spans="4:6" x14ac:dyDescent="0.2">
      <c r="D8841" s="50"/>
      <c r="E8841" s="73"/>
      <c r="F8841" s="45"/>
    </row>
    <row r="8842" spans="4:6" x14ac:dyDescent="0.2">
      <c r="D8842" s="50"/>
      <c r="E8842" s="73"/>
      <c r="F8842" s="45"/>
    </row>
    <row r="8843" spans="4:6" x14ac:dyDescent="0.2">
      <c r="D8843" s="50"/>
      <c r="E8843" s="73"/>
      <c r="F8843" s="45"/>
    </row>
    <row r="8844" spans="4:6" x14ac:dyDescent="0.2">
      <c r="D8844" s="50"/>
      <c r="E8844" s="73"/>
      <c r="F8844" s="45"/>
    </row>
    <row r="8845" spans="4:6" x14ac:dyDescent="0.2">
      <c r="D8845" s="50"/>
      <c r="E8845" s="73"/>
      <c r="F8845" s="45"/>
    </row>
    <row r="8846" spans="4:6" x14ac:dyDescent="0.2">
      <c r="D8846" s="50"/>
      <c r="E8846" s="73"/>
      <c r="F8846" s="45"/>
    </row>
    <row r="8847" spans="4:6" x14ac:dyDescent="0.2">
      <c r="D8847" s="50"/>
      <c r="E8847" s="73"/>
      <c r="F8847" s="45"/>
    </row>
    <row r="8848" spans="4:6" x14ac:dyDescent="0.2">
      <c r="D8848" s="50"/>
      <c r="E8848" s="73"/>
      <c r="F8848" s="45"/>
    </row>
    <row r="8849" spans="4:6" x14ac:dyDescent="0.2">
      <c r="D8849" s="50"/>
      <c r="E8849" s="73"/>
      <c r="F8849" s="45"/>
    </row>
    <row r="8850" spans="4:6" x14ac:dyDescent="0.2">
      <c r="D8850" s="50"/>
      <c r="E8850" s="73"/>
      <c r="F8850" s="45"/>
    </row>
    <row r="8851" spans="4:6" x14ac:dyDescent="0.2">
      <c r="D8851" s="50"/>
      <c r="E8851" s="73"/>
      <c r="F8851" s="45"/>
    </row>
    <row r="8852" spans="4:6" x14ac:dyDescent="0.2">
      <c r="D8852" s="50"/>
      <c r="E8852" s="73"/>
      <c r="F8852" s="45"/>
    </row>
    <row r="8853" spans="4:6" x14ac:dyDescent="0.2">
      <c r="D8853" s="50"/>
      <c r="E8853" s="73"/>
      <c r="F8853" s="45"/>
    </row>
    <row r="8854" spans="4:6" x14ac:dyDescent="0.2">
      <c r="D8854" s="50"/>
      <c r="E8854" s="73"/>
      <c r="F8854" s="45"/>
    </row>
    <row r="8855" spans="4:6" x14ac:dyDescent="0.2">
      <c r="D8855" s="50"/>
      <c r="E8855" s="73"/>
      <c r="F8855" s="45"/>
    </row>
    <row r="8856" spans="4:6" x14ac:dyDescent="0.2">
      <c r="D8856" s="50"/>
      <c r="E8856" s="73"/>
      <c r="F8856" s="45"/>
    </row>
    <row r="8857" spans="4:6" x14ac:dyDescent="0.2">
      <c r="D8857" s="50"/>
      <c r="E8857" s="73"/>
      <c r="F8857" s="45"/>
    </row>
    <row r="8858" spans="4:6" x14ac:dyDescent="0.2">
      <c r="D8858" s="50"/>
      <c r="E8858" s="73"/>
      <c r="F8858" s="45"/>
    </row>
    <row r="8859" spans="4:6" x14ac:dyDescent="0.2">
      <c r="D8859" s="50"/>
      <c r="E8859" s="73"/>
      <c r="F8859" s="45"/>
    </row>
    <row r="8860" spans="4:6" x14ac:dyDescent="0.2">
      <c r="D8860" s="50"/>
      <c r="E8860" s="73"/>
      <c r="F8860" s="45"/>
    </row>
    <row r="8861" spans="4:6" x14ac:dyDescent="0.2">
      <c r="D8861" s="50"/>
      <c r="E8861" s="73"/>
      <c r="F8861" s="45"/>
    </row>
    <row r="8862" spans="4:6" x14ac:dyDescent="0.2">
      <c r="D8862" s="50"/>
      <c r="E8862" s="73"/>
      <c r="F8862" s="45"/>
    </row>
    <row r="8863" spans="4:6" x14ac:dyDescent="0.2">
      <c r="D8863" s="50"/>
      <c r="E8863" s="73"/>
      <c r="F8863" s="45"/>
    </row>
    <row r="8864" spans="4:6" x14ac:dyDescent="0.2">
      <c r="D8864" s="50"/>
      <c r="E8864" s="73"/>
      <c r="F8864" s="45"/>
    </row>
    <row r="8865" spans="4:6" x14ac:dyDescent="0.2">
      <c r="D8865" s="50"/>
      <c r="E8865" s="73"/>
      <c r="F8865" s="45"/>
    </row>
    <row r="8866" spans="4:6" x14ac:dyDescent="0.2">
      <c r="D8866" s="50"/>
      <c r="E8866" s="73"/>
      <c r="F8866" s="45"/>
    </row>
    <row r="8867" spans="4:6" x14ac:dyDescent="0.2">
      <c r="D8867" s="50"/>
      <c r="E8867" s="73"/>
      <c r="F8867" s="45"/>
    </row>
    <row r="8868" spans="4:6" x14ac:dyDescent="0.2">
      <c r="D8868" s="50"/>
      <c r="E8868" s="73"/>
      <c r="F8868" s="45"/>
    </row>
    <row r="8869" spans="4:6" x14ac:dyDescent="0.2">
      <c r="D8869" s="50"/>
      <c r="E8869" s="73"/>
      <c r="F8869" s="45"/>
    </row>
    <row r="8870" spans="4:6" x14ac:dyDescent="0.2">
      <c r="D8870" s="50"/>
      <c r="E8870" s="73"/>
      <c r="F8870" s="45"/>
    </row>
    <row r="8871" spans="4:6" x14ac:dyDescent="0.2">
      <c r="D8871" s="50"/>
      <c r="E8871" s="73"/>
      <c r="F8871" s="45"/>
    </row>
    <row r="8872" spans="4:6" x14ac:dyDescent="0.2">
      <c r="D8872" s="50"/>
      <c r="E8872" s="73"/>
      <c r="F8872" s="45"/>
    </row>
    <row r="8873" spans="4:6" x14ac:dyDescent="0.2">
      <c r="D8873" s="50"/>
      <c r="E8873" s="73"/>
      <c r="F8873" s="45"/>
    </row>
    <row r="8874" spans="4:6" x14ac:dyDescent="0.2">
      <c r="D8874" s="50"/>
      <c r="E8874" s="73"/>
      <c r="F8874" s="45"/>
    </row>
    <row r="8875" spans="4:6" x14ac:dyDescent="0.2">
      <c r="D8875" s="50"/>
      <c r="E8875" s="73"/>
      <c r="F8875" s="45"/>
    </row>
    <row r="8876" spans="4:6" x14ac:dyDescent="0.2">
      <c r="D8876" s="50"/>
      <c r="E8876" s="73"/>
      <c r="F8876" s="45"/>
    </row>
    <row r="8877" spans="4:6" x14ac:dyDescent="0.2">
      <c r="D8877" s="50"/>
      <c r="E8877" s="73"/>
      <c r="F8877" s="45"/>
    </row>
    <row r="8878" spans="4:6" x14ac:dyDescent="0.2">
      <c r="D8878" s="50"/>
      <c r="E8878" s="73"/>
      <c r="F8878" s="45"/>
    </row>
    <row r="8879" spans="4:6" x14ac:dyDescent="0.2">
      <c r="D8879" s="50"/>
      <c r="E8879" s="73"/>
      <c r="F8879" s="45"/>
    </row>
    <row r="8880" spans="4:6" x14ac:dyDescent="0.2">
      <c r="D8880" s="50"/>
      <c r="E8880" s="73"/>
      <c r="F8880" s="45"/>
    </row>
    <row r="8881" spans="4:6" x14ac:dyDescent="0.2">
      <c r="D8881" s="50"/>
      <c r="E8881" s="73"/>
      <c r="F8881" s="45"/>
    </row>
    <row r="8882" spans="4:6" x14ac:dyDescent="0.2">
      <c r="D8882" s="50"/>
      <c r="E8882" s="73"/>
      <c r="F8882" s="45"/>
    </row>
    <row r="8883" spans="4:6" x14ac:dyDescent="0.2">
      <c r="D8883" s="50"/>
      <c r="E8883" s="73"/>
      <c r="F8883" s="45"/>
    </row>
    <row r="8884" spans="4:6" x14ac:dyDescent="0.2">
      <c r="D8884" s="50"/>
      <c r="E8884" s="73"/>
      <c r="F8884" s="45"/>
    </row>
    <row r="8885" spans="4:6" x14ac:dyDescent="0.2">
      <c r="D8885" s="50"/>
      <c r="E8885" s="73"/>
      <c r="F8885" s="45"/>
    </row>
    <row r="8886" spans="4:6" x14ac:dyDescent="0.2">
      <c r="D8886" s="50"/>
      <c r="E8886" s="73"/>
      <c r="F8886" s="45"/>
    </row>
    <row r="8887" spans="4:6" x14ac:dyDescent="0.2">
      <c r="D8887" s="50"/>
      <c r="E8887" s="73"/>
      <c r="F8887" s="45"/>
    </row>
    <row r="8888" spans="4:6" x14ac:dyDescent="0.2">
      <c r="D8888" s="50"/>
      <c r="E8888" s="73"/>
      <c r="F8888" s="45"/>
    </row>
    <row r="8889" spans="4:6" x14ac:dyDescent="0.2">
      <c r="D8889" s="50"/>
      <c r="E8889" s="73"/>
      <c r="F8889" s="45"/>
    </row>
    <row r="8890" spans="4:6" x14ac:dyDescent="0.2">
      <c r="D8890" s="50"/>
      <c r="E8890" s="73"/>
      <c r="F8890" s="45"/>
    </row>
    <row r="8891" spans="4:6" x14ac:dyDescent="0.2">
      <c r="D8891" s="50"/>
      <c r="E8891" s="73"/>
      <c r="F8891" s="45"/>
    </row>
    <row r="8892" spans="4:6" x14ac:dyDescent="0.2">
      <c r="D8892" s="50"/>
      <c r="E8892" s="73"/>
      <c r="F8892" s="45"/>
    </row>
    <row r="8893" spans="4:6" x14ac:dyDescent="0.2">
      <c r="D8893" s="50"/>
      <c r="E8893" s="73"/>
      <c r="F8893" s="45"/>
    </row>
    <row r="8894" spans="4:6" x14ac:dyDescent="0.2">
      <c r="D8894" s="50"/>
      <c r="E8894" s="73"/>
      <c r="F8894" s="45"/>
    </row>
    <row r="8895" spans="4:6" x14ac:dyDescent="0.2">
      <c r="D8895" s="50"/>
      <c r="E8895" s="73"/>
      <c r="F8895" s="45"/>
    </row>
    <row r="8896" spans="4:6" x14ac:dyDescent="0.2">
      <c r="D8896" s="50"/>
      <c r="E8896" s="73"/>
      <c r="F8896" s="45"/>
    </row>
    <row r="8897" spans="4:6" x14ac:dyDescent="0.2">
      <c r="D8897" s="50"/>
      <c r="E8897" s="73"/>
      <c r="F8897" s="45"/>
    </row>
    <row r="8898" spans="4:6" x14ac:dyDescent="0.2">
      <c r="D8898" s="50"/>
      <c r="E8898" s="73"/>
      <c r="F8898" s="45"/>
    </row>
    <row r="8899" spans="4:6" x14ac:dyDescent="0.2">
      <c r="D8899" s="50"/>
      <c r="E8899" s="73"/>
      <c r="F8899" s="45"/>
    </row>
    <row r="8900" spans="4:6" x14ac:dyDescent="0.2">
      <c r="D8900" s="50"/>
      <c r="E8900" s="73"/>
      <c r="F8900" s="45"/>
    </row>
    <row r="8901" spans="4:6" x14ac:dyDescent="0.2">
      <c r="D8901" s="50"/>
      <c r="E8901" s="73"/>
      <c r="F8901" s="45"/>
    </row>
    <row r="8902" spans="4:6" x14ac:dyDescent="0.2">
      <c r="D8902" s="50"/>
      <c r="E8902" s="73"/>
      <c r="F8902" s="45"/>
    </row>
    <row r="8903" spans="4:6" x14ac:dyDescent="0.2">
      <c r="D8903" s="50"/>
      <c r="E8903" s="73"/>
      <c r="F8903" s="45"/>
    </row>
    <row r="8904" spans="4:6" x14ac:dyDescent="0.2">
      <c r="D8904" s="50"/>
      <c r="E8904" s="73"/>
      <c r="F8904" s="45"/>
    </row>
    <row r="8905" spans="4:6" x14ac:dyDescent="0.2">
      <c r="D8905" s="50"/>
      <c r="E8905" s="73"/>
      <c r="F8905" s="45"/>
    </row>
    <row r="8906" spans="4:6" x14ac:dyDescent="0.2">
      <c r="D8906" s="50"/>
      <c r="E8906" s="73"/>
      <c r="F8906" s="45"/>
    </row>
    <row r="8907" spans="4:6" x14ac:dyDescent="0.2">
      <c r="D8907" s="50"/>
      <c r="E8907" s="73"/>
      <c r="F8907" s="45"/>
    </row>
    <row r="8908" spans="4:6" x14ac:dyDescent="0.2">
      <c r="D8908" s="50"/>
      <c r="E8908" s="73"/>
      <c r="F8908" s="45"/>
    </row>
    <row r="8909" spans="4:6" x14ac:dyDescent="0.2">
      <c r="D8909" s="50"/>
      <c r="E8909" s="73"/>
      <c r="F8909" s="45"/>
    </row>
    <row r="8910" spans="4:6" x14ac:dyDescent="0.2">
      <c r="D8910" s="50"/>
      <c r="E8910" s="73"/>
      <c r="F8910" s="45"/>
    </row>
    <row r="8911" spans="4:6" x14ac:dyDescent="0.2">
      <c r="D8911" s="50"/>
      <c r="E8911" s="73"/>
      <c r="F8911" s="45"/>
    </row>
    <row r="8912" spans="4:6" x14ac:dyDescent="0.2">
      <c r="D8912" s="50"/>
      <c r="E8912" s="73"/>
      <c r="F8912" s="45"/>
    </row>
    <row r="8913" spans="4:6" x14ac:dyDescent="0.2">
      <c r="D8913" s="50"/>
      <c r="E8913" s="73"/>
      <c r="F8913" s="45"/>
    </row>
    <row r="8914" spans="4:6" x14ac:dyDescent="0.2">
      <c r="D8914" s="50"/>
      <c r="E8914" s="73"/>
      <c r="F8914" s="45"/>
    </row>
    <row r="8915" spans="4:6" x14ac:dyDescent="0.2">
      <c r="D8915" s="50"/>
      <c r="E8915" s="73"/>
      <c r="F8915" s="45"/>
    </row>
    <row r="8916" spans="4:6" x14ac:dyDescent="0.2">
      <c r="D8916" s="50"/>
      <c r="E8916" s="73"/>
      <c r="F8916" s="45"/>
    </row>
    <row r="8917" spans="4:6" x14ac:dyDescent="0.2">
      <c r="D8917" s="50"/>
      <c r="E8917" s="73"/>
      <c r="F8917" s="45"/>
    </row>
    <row r="8918" spans="4:6" x14ac:dyDescent="0.2">
      <c r="D8918" s="50"/>
      <c r="E8918" s="73"/>
      <c r="F8918" s="45"/>
    </row>
    <row r="8919" spans="4:6" x14ac:dyDescent="0.2">
      <c r="D8919" s="50"/>
      <c r="E8919" s="73"/>
      <c r="F8919" s="45"/>
    </row>
    <row r="8920" spans="4:6" x14ac:dyDescent="0.2">
      <c r="D8920" s="50"/>
      <c r="E8920" s="73"/>
      <c r="F8920" s="45"/>
    </row>
    <row r="8921" spans="4:6" x14ac:dyDescent="0.2">
      <c r="D8921" s="50"/>
      <c r="E8921" s="73"/>
      <c r="F8921" s="45"/>
    </row>
    <row r="8922" spans="4:6" x14ac:dyDescent="0.2">
      <c r="D8922" s="50"/>
      <c r="E8922" s="73"/>
      <c r="F8922" s="45"/>
    </row>
    <row r="8923" spans="4:6" x14ac:dyDescent="0.2">
      <c r="D8923" s="50"/>
      <c r="E8923" s="73"/>
      <c r="F8923" s="45"/>
    </row>
    <row r="8924" spans="4:6" x14ac:dyDescent="0.2">
      <c r="D8924" s="50"/>
      <c r="E8924" s="73"/>
      <c r="F8924" s="45"/>
    </row>
    <row r="8925" spans="4:6" x14ac:dyDescent="0.2">
      <c r="D8925" s="50"/>
      <c r="E8925" s="73"/>
      <c r="F8925" s="45"/>
    </row>
    <row r="8926" spans="4:6" x14ac:dyDescent="0.2">
      <c r="D8926" s="50"/>
      <c r="E8926" s="73"/>
      <c r="F8926" s="45"/>
    </row>
    <row r="8927" spans="4:6" x14ac:dyDescent="0.2">
      <c r="D8927" s="50"/>
      <c r="E8927" s="73"/>
      <c r="F8927" s="45"/>
    </row>
    <row r="8928" spans="4:6" x14ac:dyDescent="0.2">
      <c r="D8928" s="50"/>
      <c r="E8928" s="73"/>
      <c r="F8928" s="45"/>
    </row>
    <row r="8929" spans="4:6" x14ac:dyDescent="0.2">
      <c r="D8929" s="50"/>
      <c r="E8929" s="73"/>
      <c r="F8929" s="45"/>
    </row>
    <row r="8930" spans="4:6" x14ac:dyDescent="0.2">
      <c r="D8930" s="50"/>
      <c r="E8930" s="73"/>
      <c r="F8930" s="45"/>
    </row>
    <row r="8931" spans="4:6" x14ac:dyDescent="0.2">
      <c r="D8931" s="50"/>
      <c r="E8931" s="73"/>
      <c r="F8931" s="45"/>
    </row>
    <row r="8932" spans="4:6" x14ac:dyDescent="0.2">
      <c r="D8932" s="50"/>
      <c r="E8932" s="73"/>
      <c r="F8932" s="45"/>
    </row>
    <row r="8933" spans="4:6" x14ac:dyDescent="0.2">
      <c r="D8933" s="50"/>
      <c r="E8933" s="73"/>
      <c r="F8933" s="45"/>
    </row>
    <row r="8934" spans="4:6" x14ac:dyDescent="0.2">
      <c r="D8934" s="50"/>
      <c r="E8934" s="73"/>
      <c r="F8934" s="45"/>
    </row>
    <row r="8935" spans="4:6" x14ac:dyDescent="0.2">
      <c r="D8935" s="50"/>
      <c r="E8935" s="73"/>
      <c r="F8935" s="45"/>
    </row>
    <row r="8936" spans="4:6" x14ac:dyDescent="0.2">
      <c r="D8936" s="50"/>
      <c r="E8936" s="73"/>
      <c r="F8936" s="45"/>
    </row>
    <row r="8937" spans="4:6" x14ac:dyDescent="0.2">
      <c r="D8937" s="50"/>
      <c r="E8937" s="73"/>
      <c r="F8937" s="45"/>
    </row>
    <row r="8938" spans="4:6" x14ac:dyDescent="0.2">
      <c r="D8938" s="50"/>
      <c r="E8938" s="73"/>
      <c r="F8938" s="45"/>
    </row>
    <row r="8939" spans="4:6" x14ac:dyDescent="0.2">
      <c r="D8939" s="50"/>
      <c r="E8939" s="73"/>
      <c r="F8939" s="45"/>
    </row>
    <row r="8940" spans="4:6" x14ac:dyDescent="0.2">
      <c r="D8940" s="50"/>
      <c r="E8940" s="73"/>
      <c r="F8940" s="45"/>
    </row>
    <row r="8941" spans="4:6" x14ac:dyDescent="0.2">
      <c r="D8941" s="50"/>
      <c r="E8941" s="73"/>
      <c r="F8941" s="45"/>
    </row>
    <row r="8942" spans="4:6" x14ac:dyDescent="0.2">
      <c r="D8942" s="50"/>
      <c r="E8942" s="73"/>
      <c r="F8942" s="45"/>
    </row>
    <row r="8943" spans="4:6" x14ac:dyDescent="0.2">
      <c r="D8943" s="50"/>
      <c r="E8943" s="73"/>
      <c r="F8943" s="45"/>
    </row>
    <row r="8944" spans="4:6" x14ac:dyDescent="0.2">
      <c r="D8944" s="50"/>
      <c r="E8944" s="73"/>
      <c r="F8944" s="45"/>
    </row>
    <row r="8945" spans="4:6" x14ac:dyDescent="0.2">
      <c r="D8945" s="50"/>
      <c r="E8945" s="73"/>
      <c r="F8945" s="45"/>
    </row>
    <row r="8946" spans="4:6" x14ac:dyDescent="0.2">
      <c r="D8946" s="50"/>
      <c r="E8946" s="73"/>
      <c r="F8946" s="45"/>
    </row>
    <row r="8947" spans="4:6" x14ac:dyDescent="0.2">
      <c r="D8947" s="50"/>
      <c r="E8947" s="73"/>
      <c r="F8947" s="45"/>
    </row>
    <row r="8948" spans="4:6" x14ac:dyDescent="0.2">
      <c r="D8948" s="50"/>
      <c r="E8948" s="73"/>
      <c r="F8948" s="45"/>
    </row>
    <row r="8949" spans="4:6" x14ac:dyDescent="0.2">
      <c r="D8949" s="50"/>
      <c r="E8949" s="73"/>
      <c r="F8949" s="45"/>
    </row>
    <row r="8950" spans="4:6" x14ac:dyDescent="0.2">
      <c r="D8950" s="50"/>
      <c r="E8950" s="73"/>
      <c r="F8950" s="45"/>
    </row>
    <row r="8951" spans="4:6" x14ac:dyDescent="0.2">
      <c r="D8951" s="50"/>
      <c r="E8951" s="73"/>
      <c r="F8951" s="45"/>
    </row>
    <row r="8952" spans="4:6" x14ac:dyDescent="0.2">
      <c r="D8952" s="50"/>
      <c r="E8952" s="73"/>
      <c r="F8952" s="45"/>
    </row>
    <row r="8953" spans="4:6" x14ac:dyDescent="0.2">
      <c r="D8953" s="50"/>
      <c r="E8953" s="73"/>
      <c r="F8953" s="45"/>
    </row>
    <row r="8954" spans="4:6" x14ac:dyDescent="0.2">
      <c r="D8954" s="50"/>
      <c r="E8954" s="73"/>
      <c r="F8954" s="45"/>
    </row>
    <row r="8955" spans="4:6" x14ac:dyDescent="0.2">
      <c r="D8955" s="50"/>
      <c r="E8955" s="73"/>
      <c r="F8955" s="45"/>
    </row>
    <row r="8956" spans="4:6" x14ac:dyDescent="0.2">
      <c r="D8956" s="50"/>
      <c r="E8956" s="73"/>
      <c r="F8956" s="45"/>
    </row>
    <row r="8957" spans="4:6" x14ac:dyDescent="0.2">
      <c r="D8957" s="50"/>
      <c r="E8957" s="73"/>
      <c r="F8957" s="45"/>
    </row>
    <row r="8958" spans="4:6" x14ac:dyDescent="0.2">
      <c r="D8958" s="50"/>
      <c r="E8958" s="73"/>
      <c r="F8958" s="45"/>
    </row>
    <row r="8959" spans="4:6" x14ac:dyDescent="0.2">
      <c r="D8959" s="50"/>
      <c r="E8959" s="73"/>
      <c r="F8959" s="45"/>
    </row>
    <row r="8960" spans="4:6" x14ac:dyDescent="0.2">
      <c r="D8960" s="50"/>
      <c r="E8960" s="73"/>
      <c r="F8960" s="45"/>
    </row>
    <row r="8961" spans="4:6" x14ac:dyDescent="0.2">
      <c r="D8961" s="50"/>
      <c r="E8961" s="73"/>
      <c r="F8961" s="45"/>
    </row>
    <row r="8962" spans="4:6" x14ac:dyDescent="0.2">
      <c r="D8962" s="50"/>
      <c r="E8962" s="73"/>
      <c r="F8962" s="45"/>
    </row>
    <row r="8963" spans="4:6" x14ac:dyDescent="0.2">
      <c r="D8963" s="50"/>
      <c r="E8963" s="73"/>
      <c r="F8963" s="45"/>
    </row>
    <row r="8964" spans="4:6" x14ac:dyDescent="0.2">
      <c r="D8964" s="50"/>
      <c r="E8964" s="73"/>
      <c r="F8964" s="45"/>
    </row>
    <row r="8965" spans="4:6" x14ac:dyDescent="0.2">
      <c r="D8965" s="50"/>
      <c r="E8965" s="73"/>
      <c r="F8965" s="45"/>
    </row>
    <row r="8966" spans="4:6" x14ac:dyDescent="0.2">
      <c r="D8966" s="50"/>
      <c r="E8966" s="73"/>
      <c r="F8966" s="45"/>
    </row>
    <row r="8967" spans="4:6" x14ac:dyDescent="0.2">
      <c r="D8967" s="50"/>
      <c r="E8967" s="73"/>
      <c r="F8967" s="45"/>
    </row>
    <row r="8968" spans="4:6" x14ac:dyDescent="0.2">
      <c r="D8968" s="50"/>
      <c r="E8968" s="73"/>
      <c r="F8968" s="45"/>
    </row>
    <row r="8969" spans="4:6" x14ac:dyDescent="0.2">
      <c r="D8969" s="50"/>
      <c r="E8969" s="73"/>
      <c r="F8969" s="45"/>
    </row>
    <row r="8970" spans="4:6" x14ac:dyDescent="0.2">
      <c r="D8970" s="50"/>
      <c r="E8970" s="73"/>
      <c r="F8970" s="45"/>
    </row>
    <row r="8971" spans="4:6" x14ac:dyDescent="0.2">
      <c r="D8971" s="50"/>
      <c r="E8971" s="73"/>
      <c r="F8971" s="45"/>
    </row>
    <row r="8972" spans="4:6" x14ac:dyDescent="0.2">
      <c r="D8972" s="50"/>
      <c r="E8972" s="73"/>
      <c r="F8972" s="45"/>
    </row>
    <row r="8973" spans="4:6" x14ac:dyDescent="0.2">
      <c r="D8973" s="50"/>
      <c r="E8973" s="73"/>
      <c r="F8973" s="45"/>
    </row>
    <row r="8974" spans="4:6" x14ac:dyDescent="0.2">
      <c r="D8974" s="50"/>
      <c r="E8974" s="73"/>
      <c r="F8974" s="45"/>
    </row>
    <row r="8975" spans="4:6" x14ac:dyDescent="0.2">
      <c r="D8975" s="50"/>
      <c r="E8975" s="73"/>
      <c r="F8975" s="45"/>
    </row>
    <row r="8976" spans="4:6" x14ac:dyDescent="0.2">
      <c r="D8976" s="50"/>
      <c r="E8976" s="73"/>
      <c r="F8976" s="45"/>
    </row>
    <row r="8977" spans="4:6" x14ac:dyDescent="0.2">
      <c r="D8977" s="50"/>
      <c r="E8977" s="73"/>
      <c r="F8977" s="45"/>
    </row>
    <row r="8978" spans="4:6" x14ac:dyDescent="0.2">
      <c r="D8978" s="50"/>
      <c r="E8978" s="73"/>
      <c r="F8978" s="45"/>
    </row>
    <row r="8979" spans="4:6" x14ac:dyDescent="0.2">
      <c r="D8979" s="50"/>
      <c r="E8979" s="73"/>
      <c r="F8979" s="45"/>
    </row>
    <row r="8980" spans="4:6" x14ac:dyDescent="0.2">
      <c r="D8980" s="50"/>
      <c r="E8980" s="73"/>
      <c r="F8980" s="45"/>
    </row>
    <row r="8981" spans="4:6" x14ac:dyDescent="0.2">
      <c r="D8981" s="50"/>
      <c r="E8981" s="73"/>
      <c r="F8981" s="45"/>
    </row>
    <row r="8982" spans="4:6" x14ac:dyDescent="0.2">
      <c r="D8982" s="50"/>
      <c r="E8982" s="73"/>
      <c r="F8982" s="45"/>
    </row>
    <row r="8983" spans="4:6" x14ac:dyDescent="0.2">
      <c r="D8983" s="50"/>
      <c r="E8983" s="73"/>
      <c r="F8983" s="45"/>
    </row>
    <row r="8984" spans="4:6" x14ac:dyDescent="0.2">
      <c r="D8984" s="50"/>
      <c r="E8984" s="73"/>
      <c r="F8984" s="45"/>
    </row>
    <row r="8985" spans="4:6" x14ac:dyDescent="0.2">
      <c r="D8985" s="50"/>
      <c r="E8985" s="73"/>
      <c r="F8985" s="45"/>
    </row>
    <row r="8986" spans="4:6" x14ac:dyDescent="0.2">
      <c r="D8986" s="50"/>
      <c r="E8986" s="73"/>
      <c r="F8986" s="45"/>
    </row>
    <row r="8987" spans="4:6" x14ac:dyDescent="0.2">
      <c r="D8987" s="50"/>
      <c r="E8987" s="73"/>
      <c r="F8987" s="45"/>
    </row>
    <row r="8988" spans="4:6" x14ac:dyDescent="0.2">
      <c r="D8988" s="50"/>
      <c r="E8988" s="73"/>
      <c r="F8988" s="45"/>
    </row>
    <row r="8989" spans="4:6" x14ac:dyDescent="0.2">
      <c r="D8989" s="50"/>
      <c r="E8989" s="73"/>
      <c r="F8989" s="45"/>
    </row>
    <row r="8990" spans="4:6" x14ac:dyDescent="0.2">
      <c r="D8990" s="50"/>
      <c r="E8990" s="73"/>
      <c r="F8990" s="45"/>
    </row>
    <row r="8991" spans="4:6" x14ac:dyDescent="0.2">
      <c r="D8991" s="50"/>
      <c r="E8991" s="73"/>
      <c r="F8991" s="45"/>
    </row>
    <row r="8992" spans="4:6" x14ac:dyDescent="0.2">
      <c r="D8992" s="50"/>
      <c r="E8992" s="73"/>
      <c r="F8992" s="45"/>
    </row>
    <row r="8993" spans="4:6" x14ac:dyDescent="0.2">
      <c r="D8993" s="50"/>
      <c r="E8993" s="73"/>
      <c r="F8993" s="45"/>
    </row>
    <row r="8994" spans="4:6" x14ac:dyDescent="0.2">
      <c r="D8994" s="50"/>
      <c r="E8994" s="73"/>
      <c r="F8994" s="45"/>
    </row>
    <row r="8995" spans="4:6" x14ac:dyDescent="0.2">
      <c r="D8995" s="50"/>
      <c r="E8995" s="73"/>
      <c r="F8995" s="45"/>
    </row>
    <row r="8996" spans="4:6" x14ac:dyDescent="0.2">
      <c r="D8996" s="50"/>
      <c r="E8996" s="73"/>
      <c r="F8996" s="45"/>
    </row>
    <row r="8997" spans="4:6" x14ac:dyDescent="0.2">
      <c r="D8997" s="50"/>
      <c r="E8997" s="73"/>
      <c r="F8997" s="45"/>
    </row>
    <row r="8998" spans="4:6" x14ac:dyDescent="0.2">
      <c r="D8998" s="50"/>
      <c r="E8998" s="73"/>
      <c r="F8998" s="45"/>
    </row>
    <row r="8999" spans="4:6" x14ac:dyDescent="0.2">
      <c r="D8999" s="50"/>
      <c r="E8999" s="73"/>
      <c r="F8999" s="45"/>
    </row>
    <row r="9000" spans="4:6" x14ac:dyDescent="0.2">
      <c r="D9000" s="50"/>
      <c r="E9000" s="73"/>
      <c r="F9000" s="45"/>
    </row>
    <row r="9001" spans="4:6" x14ac:dyDescent="0.2">
      <c r="D9001" s="50"/>
      <c r="E9001" s="73"/>
      <c r="F9001" s="45"/>
    </row>
    <row r="9002" spans="4:6" x14ac:dyDescent="0.2">
      <c r="D9002" s="50"/>
      <c r="E9002" s="73"/>
      <c r="F9002" s="45"/>
    </row>
    <row r="9003" spans="4:6" x14ac:dyDescent="0.2">
      <c r="D9003" s="50"/>
      <c r="E9003" s="73"/>
      <c r="F9003" s="45"/>
    </row>
    <row r="9004" spans="4:6" x14ac:dyDescent="0.2">
      <c r="D9004" s="50"/>
      <c r="E9004" s="73"/>
      <c r="F9004" s="45"/>
    </row>
    <row r="9005" spans="4:6" x14ac:dyDescent="0.2">
      <c r="D9005" s="50"/>
      <c r="E9005" s="73"/>
      <c r="F9005" s="45"/>
    </row>
    <row r="9006" spans="4:6" x14ac:dyDescent="0.2">
      <c r="D9006" s="50"/>
      <c r="E9006" s="73"/>
      <c r="F9006" s="45"/>
    </row>
    <row r="9007" spans="4:6" x14ac:dyDescent="0.2">
      <c r="D9007" s="50"/>
      <c r="E9007" s="73"/>
      <c r="F9007" s="45"/>
    </row>
    <row r="9008" spans="4:6" x14ac:dyDescent="0.2">
      <c r="D9008" s="50"/>
      <c r="E9008" s="73"/>
      <c r="F9008" s="45"/>
    </row>
    <row r="9009" spans="4:6" x14ac:dyDescent="0.2">
      <c r="D9009" s="50"/>
      <c r="E9009" s="73"/>
      <c r="F9009" s="45"/>
    </row>
    <row r="9010" spans="4:6" x14ac:dyDescent="0.2">
      <c r="D9010" s="50"/>
      <c r="E9010" s="73"/>
      <c r="F9010" s="45"/>
    </row>
    <row r="9011" spans="4:6" x14ac:dyDescent="0.2">
      <c r="D9011" s="50"/>
      <c r="E9011" s="73"/>
      <c r="F9011" s="45"/>
    </row>
    <row r="9012" spans="4:6" x14ac:dyDescent="0.2">
      <c r="D9012" s="50"/>
      <c r="E9012" s="73"/>
      <c r="F9012" s="45"/>
    </row>
    <row r="9013" spans="4:6" x14ac:dyDescent="0.2">
      <c r="D9013" s="50"/>
      <c r="E9013" s="73"/>
      <c r="F9013" s="45"/>
    </row>
    <row r="9014" spans="4:6" x14ac:dyDescent="0.2">
      <c r="D9014" s="50"/>
      <c r="E9014" s="73"/>
      <c r="F9014" s="45"/>
    </row>
    <row r="9015" spans="4:6" x14ac:dyDescent="0.2">
      <c r="D9015" s="50"/>
      <c r="E9015" s="73"/>
      <c r="F9015" s="45"/>
    </row>
    <row r="9016" spans="4:6" x14ac:dyDescent="0.2">
      <c r="D9016" s="50"/>
      <c r="E9016" s="73"/>
      <c r="F9016" s="45"/>
    </row>
    <row r="9017" spans="4:6" x14ac:dyDescent="0.2">
      <c r="D9017" s="50"/>
      <c r="E9017" s="73"/>
      <c r="F9017" s="45"/>
    </row>
    <row r="9018" spans="4:6" x14ac:dyDescent="0.2">
      <c r="D9018" s="50"/>
      <c r="E9018" s="73"/>
      <c r="F9018" s="45"/>
    </row>
    <row r="9019" spans="4:6" x14ac:dyDescent="0.2">
      <c r="D9019" s="50"/>
      <c r="E9019" s="73"/>
      <c r="F9019" s="45"/>
    </row>
    <row r="9020" spans="4:6" x14ac:dyDescent="0.2">
      <c r="D9020" s="50"/>
      <c r="E9020" s="73"/>
      <c r="F9020" s="45"/>
    </row>
    <row r="9021" spans="4:6" x14ac:dyDescent="0.2">
      <c r="D9021" s="50"/>
      <c r="E9021" s="73"/>
      <c r="F9021" s="45"/>
    </row>
    <row r="9022" spans="4:6" x14ac:dyDescent="0.2">
      <c r="D9022" s="50"/>
      <c r="E9022" s="73"/>
      <c r="F9022" s="45"/>
    </row>
    <row r="9023" spans="4:6" x14ac:dyDescent="0.2">
      <c r="D9023" s="50"/>
      <c r="E9023" s="73"/>
      <c r="F9023" s="45"/>
    </row>
    <row r="9024" spans="4:6" x14ac:dyDescent="0.2">
      <c r="D9024" s="50"/>
      <c r="E9024" s="73"/>
      <c r="F9024" s="45"/>
    </row>
    <row r="9025" spans="4:6" x14ac:dyDescent="0.2">
      <c r="D9025" s="50"/>
      <c r="E9025" s="73"/>
      <c r="F9025" s="45"/>
    </row>
    <row r="9026" spans="4:6" x14ac:dyDescent="0.2">
      <c r="D9026" s="50"/>
      <c r="E9026" s="73"/>
      <c r="F9026" s="45"/>
    </row>
    <row r="9027" spans="4:6" x14ac:dyDescent="0.2">
      <c r="D9027" s="50"/>
      <c r="E9027" s="73"/>
      <c r="F9027" s="45"/>
    </row>
    <row r="9028" spans="4:6" x14ac:dyDescent="0.2">
      <c r="D9028" s="50"/>
      <c r="E9028" s="73"/>
      <c r="F9028" s="45"/>
    </row>
    <row r="9029" spans="4:6" x14ac:dyDescent="0.2">
      <c r="D9029" s="50"/>
      <c r="E9029" s="73"/>
      <c r="F9029" s="45"/>
    </row>
    <row r="9030" spans="4:6" x14ac:dyDescent="0.2">
      <c r="D9030" s="50"/>
      <c r="E9030" s="73"/>
      <c r="F9030" s="45"/>
    </row>
    <row r="9031" spans="4:6" x14ac:dyDescent="0.2">
      <c r="D9031" s="50"/>
      <c r="E9031" s="73"/>
      <c r="F9031" s="45"/>
    </row>
    <row r="9032" spans="4:6" x14ac:dyDescent="0.2">
      <c r="D9032" s="50"/>
      <c r="E9032" s="73"/>
      <c r="F9032" s="45"/>
    </row>
    <row r="9033" spans="4:6" x14ac:dyDescent="0.2">
      <c r="D9033" s="50"/>
      <c r="E9033" s="73"/>
      <c r="F9033" s="45"/>
    </row>
    <row r="9034" spans="4:6" x14ac:dyDescent="0.2">
      <c r="D9034" s="50"/>
      <c r="E9034" s="73"/>
      <c r="F9034" s="45"/>
    </row>
    <row r="9035" spans="4:6" x14ac:dyDescent="0.2">
      <c r="D9035" s="50"/>
      <c r="E9035" s="73"/>
      <c r="F9035" s="45"/>
    </row>
    <row r="9036" spans="4:6" x14ac:dyDescent="0.2">
      <c r="D9036" s="50"/>
      <c r="E9036" s="73"/>
      <c r="F9036" s="45"/>
    </row>
    <row r="9037" spans="4:6" x14ac:dyDescent="0.2">
      <c r="D9037" s="50"/>
      <c r="E9037" s="73"/>
      <c r="F9037" s="45"/>
    </row>
    <row r="9038" spans="4:6" x14ac:dyDescent="0.2">
      <c r="D9038" s="50"/>
      <c r="E9038" s="73"/>
      <c r="F9038" s="45"/>
    </row>
    <row r="9039" spans="4:6" x14ac:dyDescent="0.2">
      <c r="D9039" s="50"/>
      <c r="E9039" s="73"/>
      <c r="F9039" s="45"/>
    </row>
    <row r="9040" spans="4:6" x14ac:dyDescent="0.2">
      <c r="D9040" s="50"/>
      <c r="E9040" s="73"/>
      <c r="F9040" s="45"/>
    </row>
    <row r="9041" spans="4:6" x14ac:dyDescent="0.2">
      <c r="D9041" s="50"/>
      <c r="E9041" s="73"/>
      <c r="F9041" s="45"/>
    </row>
    <row r="9042" spans="4:6" x14ac:dyDescent="0.2">
      <c r="D9042" s="50"/>
      <c r="E9042" s="73"/>
      <c r="F9042" s="45"/>
    </row>
    <row r="9043" spans="4:6" x14ac:dyDescent="0.2">
      <c r="D9043" s="50"/>
      <c r="E9043" s="73"/>
      <c r="F9043" s="45"/>
    </row>
    <row r="9044" spans="4:6" x14ac:dyDescent="0.2">
      <c r="D9044" s="50"/>
      <c r="E9044" s="73"/>
      <c r="F9044" s="45"/>
    </row>
    <row r="9045" spans="4:6" x14ac:dyDescent="0.2">
      <c r="D9045" s="50"/>
      <c r="E9045" s="73"/>
      <c r="F9045" s="45"/>
    </row>
    <row r="9046" spans="4:6" x14ac:dyDescent="0.2">
      <c r="D9046" s="50"/>
      <c r="E9046" s="73"/>
      <c r="F9046" s="45"/>
    </row>
    <row r="9047" spans="4:6" x14ac:dyDescent="0.2">
      <c r="D9047" s="50"/>
      <c r="E9047" s="73"/>
      <c r="F9047" s="45"/>
    </row>
    <row r="9048" spans="4:6" x14ac:dyDescent="0.2">
      <c r="D9048" s="50"/>
      <c r="E9048" s="73"/>
      <c r="F9048" s="45"/>
    </row>
    <row r="9049" spans="4:6" x14ac:dyDescent="0.2">
      <c r="D9049" s="50"/>
      <c r="E9049" s="73"/>
      <c r="F9049" s="45"/>
    </row>
    <row r="9050" spans="4:6" x14ac:dyDescent="0.2">
      <c r="D9050" s="50"/>
      <c r="E9050" s="73"/>
      <c r="F9050" s="45"/>
    </row>
    <row r="9051" spans="4:6" x14ac:dyDescent="0.2">
      <c r="D9051" s="50"/>
      <c r="E9051" s="73"/>
      <c r="F9051" s="45"/>
    </row>
    <row r="9052" spans="4:6" x14ac:dyDescent="0.2">
      <c r="D9052" s="50"/>
      <c r="E9052" s="73"/>
      <c r="F9052" s="45"/>
    </row>
    <row r="9053" spans="4:6" x14ac:dyDescent="0.2">
      <c r="D9053" s="50"/>
      <c r="E9053" s="73"/>
      <c r="F9053" s="45"/>
    </row>
    <row r="9054" spans="4:6" x14ac:dyDescent="0.2">
      <c r="D9054" s="50"/>
      <c r="E9054" s="73"/>
      <c r="F9054" s="45"/>
    </row>
    <row r="9055" spans="4:6" x14ac:dyDescent="0.2">
      <c r="D9055" s="50"/>
      <c r="E9055" s="73"/>
      <c r="F9055" s="45"/>
    </row>
    <row r="9056" spans="4:6" x14ac:dyDescent="0.2">
      <c r="D9056" s="50"/>
      <c r="E9056" s="73"/>
      <c r="F9056" s="45"/>
    </row>
    <row r="9057" spans="4:6" x14ac:dyDescent="0.2">
      <c r="D9057" s="50"/>
      <c r="E9057" s="73"/>
      <c r="F9057" s="45"/>
    </row>
    <row r="9058" spans="4:6" x14ac:dyDescent="0.2">
      <c r="D9058" s="50"/>
      <c r="E9058" s="73"/>
      <c r="F9058" s="45"/>
    </row>
    <row r="9059" spans="4:6" x14ac:dyDescent="0.2">
      <c r="D9059" s="50"/>
      <c r="E9059" s="73"/>
      <c r="F9059" s="45"/>
    </row>
    <row r="9060" spans="4:6" x14ac:dyDescent="0.2">
      <c r="D9060" s="50"/>
      <c r="E9060" s="73"/>
      <c r="F9060" s="45"/>
    </row>
    <row r="9061" spans="4:6" x14ac:dyDescent="0.2">
      <c r="D9061" s="50"/>
      <c r="E9061" s="73"/>
      <c r="F9061" s="45"/>
    </row>
    <row r="9062" spans="4:6" x14ac:dyDescent="0.2">
      <c r="D9062" s="50"/>
      <c r="E9062" s="73"/>
      <c r="F9062" s="45"/>
    </row>
    <row r="9063" spans="4:6" x14ac:dyDescent="0.2">
      <c r="D9063" s="50"/>
      <c r="E9063" s="73"/>
      <c r="F9063" s="45"/>
    </row>
    <row r="9064" spans="4:6" x14ac:dyDescent="0.2">
      <c r="D9064" s="50"/>
      <c r="E9064" s="73"/>
      <c r="F9064" s="45"/>
    </row>
    <row r="9065" spans="4:6" x14ac:dyDescent="0.2">
      <c r="D9065" s="50"/>
      <c r="E9065" s="73"/>
      <c r="F9065" s="45"/>
    </row>
    <row r="9066" spans="4:6" x14ac:dyDescent="0.2">
      <c r="D9066" s="50"/>
      <c r="E9066" s="73"/>
      <c r="F9066" s="45"/>
    </row>
    <row r="9067" spans="4:6" x14ac:dyDescent="0.2">
      <c r="D9067" s="50"/>
      <c r="E9067" s="73"/>
      <c r="F9067" s="45"/>
    </row>
    <row r="9068" spans="4:6" x14ac:dyDescent="0.2">
      <c r="D9068" s="50"/>
      <c r="E9068" s="73"/>
      <c r="F9068" s="45"/>
    </row>
    <row r="9069" spans="4:6" x14ac:dyDescent="0.2">
      <c r="D9069" s="50"/>
      <c r="E9069" s="73"/>
      <c r="F9069" s="45"/>
    </row>
    <row r="9070" spans="4:6" x14ac:dyDescent="0.2">
      <c r="D9070" s="50"/>
      <c r="E9070" s="73"/>
      <c r="F9070" s="45"/>
    </row>
    <row r="9071" spans="4:6" x14ac:dyDescent="0.2">
      <c r="D9071" s="50"/>
      <c r="E9071" s="73"/>
      <c r="F9071" s="45"/>
    </row>
    <row r="9072" spans="4:6" x14ac:dyDescent="0.2">
      <c r="D9072" s="50"/>
      <c r="E9072" s="73"/>
      <c r="F9072" s="45"/>
    </row>
    <row r="9073" spans="4:6" x14ac:dyDescent="0.2">
      <c r="D9073" s="50"/>
      <c r="E9073" s="73"/>
      <c r="F9073" s="45"/>
    </row>
    <row r="9074" spans="4:6" x14ac:dyDescent="0.2">
      <c r="D9074" s="50"/>
      <c r="E9074" s="73"/>
      <c r="F9074" s="45"/>
    </row>
    <row r="9075" spans="4:6" x14ac:dyDescent="0.2">
      <c r="D9075" s="50"/>
      <c r="E9075" s="73"/>
      <c r="F9075" s="45"/>
    </row>
    <row r="9076" spans="4:6" x14ac:dyDescent="0.2">
      <c r="D9076" s="50"/>
      <c r="E9076" s="73"/>
      <c r="F9076" s="45"/>
    </row>
    <row r="9077" spans="4:6" x14ac:dyDescent="0.2">
      <c r="D9077" s="50"/>
      <c r="E9077" s="73"/>
      <c r="F9077" s="45"/>
    </row>
    <row r="9078" spans="4:6" x14ac:dyDescent="0.2">
      <c r="D9078" s="50"/>
      <c r="E9078" s="73"/>
      <c r="F9078" s="45"/>
    </row>
    <row r="9079" spans="4:6" x14ac:dyDescent="0.2">
      <c r="D9079" s="50"/>
      <c r="E9079" s="73"/>
      <c r="F9079" s="45"/>
    </row>
    <row r="9080" spans="4:6" x14ac:dyDescent="0.2">
      <c r="D9080" s="50"/>
      <c r="E9080" s="73"/>
      <c r="F9080" s="45"/>
    </row>
    <row r="9081" spans="4:6" x14ac:dyDescent="0.2">
      <c r="D9081" s="50"/>
      <c r="E9081" s="73"/>
      <c r="F9081" s="45"/>
    </row>
    <row r="9082" spans="4:6" x14ac:dyDescent="0.2">
      <c r="D9082" s="50"/>
      <c r="E9082" s="73"/>
      <c r="F9082" s="45"/>
    </row>
    <row r="9083" spans="4:6" x14ac:dyDescent="0.2">
      <c r="D9083" s="50"/>
      <c r="E9083" s="73"/>
      <c r="F9083" s="45"/>
    </row>
    <row r="9084" spans="4:6" x14ac:dyDescent="0.2">
      <c r="D9084" s="50"/>
      <c r="E9084" s="73"/>
      <c r="F9084" s="45"/>
    </row>
    <row r="9085" spans="4:6" x14ac:dyDescent="0.2">
      <c r="D9085" s="50"/>
      <c r="E9085" s="73"/>
      <c r="F9085" s="45"/>
    </row>
    <row r="9086" spans="4:6" x14ac:dyDescent="0.2">
      <c r="D9086" s="50"/>
      <c r="E9086" s="73"/>
      <c r="F9086" s="45"/>
    </row>
    <row r="9087" spans="4:6" x14ac:dyDescent="0.2">
      <c r="D9087" s="50"/>
      <c r="E9087" s="73"/>
      <c r="F9087" s="45"/>
    </row>
    <row r="9088" spans="4:6" x14ac:dyDescent="0.2">
      <c r="D9088" s="50"/>
      <c r="E9088" s="73"/>
      <c r="F9088" s="45"/>
    </row>
    <row r="9089" spans="4:6" x14ac:dyDescent="0.2">
      <c r="D9089" s="50"/>
      <c r="E9089" s="73"/>
      <c r="F9089" s="45"/>
    </row>
    <row r="9090" spans="4:6" x14ac:dyDescent="0.2">
      <c r="D9090" s="50"/>
      <c r="E9090" s="73"/>
      <c r="F9090" s="45"/>
    </row>
    <row r="9091" spans="4:6" x14ac:dyDescent="0.2">
      <c r="D9091" s="50"/>
      <c r="E9091" s="73"/>
      <c r="F9091" s="45"/>
    </row>
    <row r="9092" spans="4:6" x14ac:dyDescent="0.2">
      <c r="D9092" s="50"/>
      <c r="E9092" s="73"/>
      <c r="F9092" s="45"/>
    </row>
    <row r="9093" spans="4:6" x14ac:dyDescent="0.2">
      <c r="D9093" s="50"/>
      <c r="E9093" s="73"/>
      <c r="F9093" s="45"/>
    </row>
    <row r="9094" spans="4:6" x14ac:dyDescent="0.2">
      <c r="D9094" s="50"/>
      <c r="E9094" s="73"/>
      <c r="F9094" s="45"/>
    </row>
    <row r="9095" spans="4:6" x14ac:dyDescent="0.2">
      <c r="D9095" s="50"/>
      <c r="E9095" s="73"/>
      <c r="F9095" s="45"/>
    </row>
    <row r="9096" spans="4:6" x14ac:dyDescent="0.2">
      <c r="D9096" s="50"/>
      <c r="E9096" s="73"/>
      <c r="F9096" s="45"/>
    </row>
    <row r="9097" spans="4:6" x14ac:dyDescent="0.2">
      <c r="D9097" s="50"/>
      <c r="E9097" s="73"/>
      <c r="F9097" s="45"/>
    </row>
    <row r="9098" spans="4:6" x14ac:dyDescent="0.2">
      <c r="D9098" s="50"/>
      <c r="E9098" s="73"/>
      <c r="F9098" s="45"/>
    </row>
    <row r="9099" spans="4:6" x14ac:dyDescent="0.2">
      <c r="D9099" s="50"/>
      <c r="E9099" s="73"/>
      <c r="F9099" s="45"/>
    </row>
    <row r="9100" spans="4:6" x14ac:dyDescent="0.2">
      <c r="D9100" s="50"/>
      <c r="E9100" s="73"/>
      <c r="F9100" s="45"/>
    </row>
    <row r="9101" spans="4:6" x14ac:dyDescent="0.2">
      <c r="D9101" s="50"/>
      <c r="E9101" s="73"/>
      <c r="F9101" s="45"/>
    </row>
    <row r="9102" spans="4:6" x14ac:dyDescent="0.2">
      <c r="D9102" s="50"/>
      <c r="E9102" s="73"/>
      <c r="F9102" s="45"/>
    </row>
    <row r="9103" spans="4:6" x14ac:dyDescent="0.2">
      <c r="D9103" s="50"/>
      <c r="E9103" s="73"/>
      <c r="F9103" s="45"/>
    </row>
    <row r="9104" spans="4:6" x14ac:dyDescent="0.2">
      <c r="D9104" s="50"/>
      <c r="E9104" s="73"/>
      <c r="F9104" s="45"/>
    </row>
    <row r="9105" spans="4:6" x14ac:dyDescent="0.2">
      <c r="D9105" s="50"/>
      <c r="E9105" s="73"/>
      <c r="F9105" s="45"/>
    </row>
    <row r="9106" spans="4:6" x14ac:dyDescent="0.2">
      <c r="D9106" s="50"/>
      <c r="E9106" s="73"/>
      <c r="F9106" s="45"/>
    </row>
    <row r="9107" spans="4:6" x14ac:dyDescent="0.2">
      <c r="D9107" s="50"/>
      <c r="E9107" s="73"/>
      <c r="F9107" s="45"/>
    </row>
    <row r="9108" spans="4:6" x14ac:dyDescent="0.2">
      <c r="D9108" s="50"/>
      <c r="E9108" s="73"/>
      <c r="F9108" s="45"/>
    </row>
    <row r="9109" spans="4:6" x14ac:dyDescent="0.2">
      <c r="D9109" s="50"/>
      <c r="E9109" s="73"/>
      <c r="F9109" s="45"/>
    </row>
    <row r="9110" spans="4:6" x14ac:dyDescent="0.2">
      <c r="D9110" s="50"/>
      <c r="E9110" s="73"/>
      <c r="F9110" s="45"/>
    </row>
    <row r="9111" spans="4:6" x14ac:dyDescent="0.2">
      <c r="D9111" s="50"/>
      <c r="E9111" s="73"/>
      <c r="F9111" s="45"/>
    </row>
    <row r="9112" spans="4:6" x14ac:dyDescent="0.2">
      <c r="D9112" s="50"/>
      <c r="E9112" s="73"/>
      <c r="F9112" s="45"/>
    </row>
    <row r="9113" spans="4:6" x14ac:dyDescent="0.2">
      <c r="D9113" s="50"/>
      <c r="E9113" s="73"/>
      <c r="F9113" s="45"/>
    </row>
    <row r="9114" spans="4:6" x14ac:dyDescent="0.2">
      <c r="D9114" s="50"/>
      <c r="E9114" s="73"/>
      <c r="F9114" s="45"/>
    </row>
    <row r="9115" spans="4:6" x14ac:dyDescent="0.2">
      <c r="D9115" s="50"/>
      <c r="E9115" s="73"/>
      <c r="F9115" s="45"/>
    </row>
    <row r="9116" spans="4:6" x14ac:dyDescent="0.2">
      <c r="D9116" s="50"/>
      <c r="E9116" s="73"/>
      <c r="F9116" s="45"/>
    </row>
    <row r="9117" spans="4:6" x14ac:dyDescent="0.2">
      <c r="D9117" s="50"/>
      <c r="E9117" s="73"/>
      <c r="F9117" s="45"/>
    </row>
    <row r="9118" spans="4:6" x14ac:dyDescent="0.2">
      <c r="D9118" s="50"/>
      <c r="E9118" s="73"/>
      <c r="F9118" s="45"/>
    </row>
    <row r="9119" spans="4:6" x14ac:dyDescent="0.2">
      <c r="D9119" s="50"/>
      <c r="E9119" s="73"/>
      <c r="F9119" s="45"/>
    </row>
    <row r="9120" spans="4:6" x14ac:dyDescent="0.2">
      <c r="D9120" s="50"/>
      <c r="E9120" s="73"/>
      <c r="F9120" s="45"/>
    </row>
    <row r="9121" spans="4:6" x14ac:dyDescent="0.2">
      <c r="D9121" s="50"/>
      <c r="E9121" s="73"/>
      <c r="F9121" s="45"/>
    </row>
    <row r="9122" spans="4:6" x14ac:dyDescent="0.2">
      <c r="D9122" s="50"/>
      <c r="E9122" s="73"/>
      <c r="F9122" s="45"/>
    </row>
    <row r="9123" spans="4:6" x14ac:dyDescent="0.2">
      <c r="D9123" s="50"/>
      <c r="E9123" s="73"/>
      <c r="F9123" s="45"/>
    </row>
    <row r="9124" spans="4:6" x14ac:dyDescent="0.2">
      <c r="D9124" s="50"/>
      <c r="E9124" s="73"/>
      <c r="F9124" s="45"/>
    </row>
    <row r="9125" spans="4:6" x14ac:dyDescent="0.2">
      <c r="D9125" s="50"/>
      <c r="E9125" s="73"/>
      <c r="F9125" s="45"/>
    </row>
    <row r="9126" spans="4:6" x14ac:dyDescent="0.2">
      <c r="D9126" s="50"/>
      <c r="E9126" s="73"/>
      <c r="F9126" s="45"/>
    </row>
    <row r="9127" spans="4:6" x14ac:dyDescent="0.2">
      <c r="D9127" s="50"/>
      <c r="E9127" s="73"/>
      <c r="F9127" s="45"/>
    </row>
    <row r="9128" spans="4:6" x14ac:dyDescent="0.2">
      <c r="D9128" s="50"/>
      <c r="E9128" s="73"/>
      <c r="F9128" s="45"/>
    </row>
    <row r="9129" spans="4:6" x14ac:dyDescent="0.2">
      <c r="D9129" s="50"/>
      <c r="E9129" s="73"/>
      <c r="F9129" s="45"/>
    </row>
    <row r="9130" spans="4:6" x14ac:dyDescent="0.2">
      <c r="D9130" s="50"/>
      <c r="E9130" s="73"/>
      <c r="F9130" s="45"/>
    </row>
    <row r="9131" spans="4:6" x14ac:dyDescent="0.2">
      <c r="D9131" s="50"/>
      <c r="E9131" s="73"/>
      <c r="F9131" s="45"/>
    </row>
    <row r="9132" spans="4:6" x14ac:dyDescent="0.2">
      <c r="D9132" s="50"/>
      <c r="E9132" s="73"/>
      <c r="F9132" s="45"/>
    </row>
    <row r="9133" spans="4:6" x14ac:dyDescent="0.2">
      <c r="D9133" s="50"/>
      <c r="E9133" s="73"/>
      <c r="F9133" s="45"/>
    </row>
    <row r="9134" spans="4:6" x14ac:dyDescent="0.2">
      <c r="D9134" s="50"/>
      <c r="E9134" s="73"/>
      <c r="F9134" s="45"/>
    </row>
    <row r="9135" spans="4:6" x14ac:dyDescent="0.2">
      <c r="D9135" s="50"/>
      <c r="E9135" s="73"/>
      <c r="F9135" s="45"/>
    </row>
    <row r="9136" spans="4:6" x14ac:dyDescent="0.2">
      <c r="D9136" s="50"/>
      <c r="E9136" s="73"/>
      <c r="F9136" s="45"/>
    </row>
    <row r="9137" spans="4:6" x14ac:dyDescent="0.2">
      <c r="D9137" s="50"/>
      <c r="E9137" s="73"/>
      <c r="F9137" s="45"/>
    </row>
    <row r="9138" spans="4:6" x14ac:dyDescent="0.2">
      <c r="D9138" s="50"/>
      <c r="E9138" s="73"/>
      <c r="F9138" s="45"/>
    </row>
    <row r="9139" spans="4:6" x14ac:dyDescent="0.2">
      <c r="D9139" s="50"/>
      <c r="E9139" s="73"/>
      <c r="F9139" s="45"/>
    </row>
    <row r="9140" spans="4:6" x14ac:dyDescent="0.2">
      <c r="D9140" s="50"/>
      <c r="E9140" s="73"/>
      <c r="F9140" s="45"/>
    </row>
    <row r="9141" spans="4:6" x14ac:dyDescent="0.2">
      <c r="D9141" s="50"/>
      <c r="E9141" s="73"/>
      <c r="F9141" s="45"/>
    </row>
    <row r="9142" spans="4:6" x14ac:dyDescent="0.2">
      <c r="D9142" s="50"/>
      <c r="E9142" s="73"/>
      <c r="F9142" s="45"/>
    </row>
    <row r="9143" spans="4:6" x14ac:dyDescent="0.2">
      <c r="D9143" s="50"/>
      <c r="E9143" s="73"/>
      <c r="F9143" s="45"/>
    </row>
    <row r="9144" spans="4:6" x14ac:dyDescent="0.2">
      <c r="D9144" s="50"/>
      <c r="E9144" s="73"/>
      <c r="F9144" s="45"/>
    </row>
    <row r="9145" spans="4:6" x14ac:dyDescent="0.2">
      <c r="D9145" s="50"/>
      <c r="E9145" s="73"/>
      <c r="F9145" s="45"/>
    </row>
    <row r="9146" spans="4:6" x14ac:dyDescent="0.2">
      <c r="D9146" s="50"/>
      <c r="E9146" s="73"/>
      <c r="F9146" s="45"/>
    </row>
    <row r="9147" spans="4:6" x14ac:dyDescent="0.2">
      <c r="D9147" s="50"/>
      <c r="E9147" s="73"/>
      <c r="F9147" s="45"/>
    </row>
    <row r="9148" spans="4:6" x14ac:dyDescent="0.2">
      <c r="D9148" s="50"/>
      <c r="E9148" s="73"/>
      <c r="F9148" s="45"/>
    </row>
    <row r="9149" spans="4:6" x14ac:dyDescent="0.2">
      <c r="D9149" s="50"/>
      <c r="E9149" s="73"/>
      <c r="F9149" s="45"/>
    </row>
    <row r="9150" spans="4:6" x14ac:dyDescent="0.2">
      <c r="D9150" s="50"/>
      <c r="E9150" s="73"/>
      <c r="F9150" s="45"/>
    </row>
    <row r="9151" spans="4:6" x14ac:dyDescent="0.2">
      <c r="D9151" s="50"/>
      <c r="E9151" s="73"/>
      <c r="F9151" s="45"/>
    </row>
    <row r="9152" spans="4:6" x14ac:dyDescent="0.2">
      <c r="D9152" s="50"/>
      <c r="E9152" s="73"/>
      <c r="F9152" s="45"/>
    </row>
    <row r="9153" spans="4:6" x14ac:dyDescent="0.2">
      <c r="D9153" s="50"/>
      <c r="E9153" s="73"/>
      <c r="F9153" s="45"/>
    </row>
    <row r="9154" spans="4:6" x14ac:dyDescent="0.2">
      <c r="D9154" s="50"/>
      <c r="E9154" s="73"/>
      <c r="F9154" s="45"/>
    </row>
    <row r="9155" spans="4:6" x14ac:dyDescent="0.2">
      <c r="D9155" s="50"/>
      <c r="E9155" s="73"/>
      <c r="F9155" s="45"/>
    </row>
    <row r="9156" spans="4:6" x14ac:dyDescent="0.2">
      <c r="D9156" s="50"/>
      <c r="E9156" s="73"/>
      <c r="F9156" s="45"/>
    </row>
    <row r="9157" spans="4:6" x14ac:dyDescent="0.2">
      <c r="D9157" s="50"/>
      <c r="E9157" s="73"/>
      <c r="F9157" s="45"/>
    </row>
    <row r="9158" spans="4:6" x14ac:dyDescent="0.2">
      <c r="D9158" s="50"/>
      <c r="E9158" s="73"/>
      <c r="F9158" s="45"/>
    </row>
    <row r="9159" spans="4:6" x14ac:dyDescent="0.2">
      <c r="D9159" s="50"/>
      <c r="E9159" s="73"/>
      <c r="F9159" s="45"/>
    </row>
    <row r="9160" spans="4:6" x14ac:dyDescent="0.2">
      <c r="D9160" s="50"/>
      <c r="E9160" s="73"/>
      <c r="F9160" s="45"/>
    </row>
    <row r="9161" spans="4:6" x14ac:dyDescent="0.2">
      <c r="D9161" s="50"/>
      <c r="E9161" s="73"/>
      <c r="F9161" s="45"/>
    </row>
    <row r="9162" spans="4:6" x14ac:dyDescent="0.2">
      <c r="D9162" s="50"/>
      <c r="E9162" s="73"/>
      <c r="F9162" s="45"/>
    </row>
    <row r="9163" spans="4:6" x14ac:dyDescent="0.2">
      <c r="D9163" s="50"/>
      <c r="E9163" s="73"/>
      <c r="F9163" s="45"/>
    </row>
    <row r="9164" spans="4:6" x14ac:dyDescent="0.2">
      <c r="D9164" s="50"/>
      <c r="E9164" s="73"/>
      <c r="F9164" s="45"/>
    </row>
    <row r="9165" spans="4:6" x14ac:dyDescent="0.2">
      <c r="D9165" s="50"/>
      <c r="E9165" s="73"/>
      <c r="F9165" s="45"/>
    </row>
    <row r="9166" spans="4:6" x14ac:dyDescent="0.2">
      <c r="D9166" s="50"/>
      <c r="E9166" s="73"/>
      <c r="F9166" s="45"/>
    </row>
    <row r="9167" spans="4:6" x14ac:dyDescent="0.2">
      <c r="D9167" s="50"/>
      <c r="E9167" s="73"/>
      <c r="F9167" s="45"/>
    </row>
    <row r="9168" spans="4:6" x14ac:dyDescent="0.2">
      <c r="D9168" s="50"/>
      <c r="E9168" s="73"/>
      <c r="F9168" s="45"/>
    </row>
    <row r="9169" spans="4:6" x14ac:dyDescent="0.2">
      <c r="D9169" s="50"/>
      <c r="E9169" s="73"/>
      <c r="F9169" s="45"/>
    </row>
    <row r="9170" spans="4:6" x14ac:dyDescent="0.2">
      <c r="D9170" s="50"/>
      <c r="E9170" s="73"/>
      <c r="F9170" s="45"/>
    </row>
    <row r="9171" spans="4:6" x14ac:dyDescent="0.2">
      <c r="D9171" s="50"/>
      <c r="E9171" s="73"/>
      <c r="F9171" s="45"/>
    </row>
    <row r="9172" spans="4:6" x14ac:dyDescent="0.2">
      <c r="D9172" s="50"/>
      <c r="E9172" s="73"/>
      <c r="F9172" s="45"/>
    </row>
    <row r="9173" spans="4:6" x14ac:dyDescent="0.2">
      <c r="D9173" s="50"/>
      <c r="E9173" s="73"/>
      <c r="F9173" s="45"/>
    </row>
    <row r="9174" spans="4:6" x14ac:dyDescent="0.2">
      <c r="D9174" s="50"/>
      <c r="E9174" s="73"/>
      <c r="F9174" s="45"/>
    </row>
    <row r="9175" spans="4:6" x14ac:dyDescent="0.2">
      <c r="D9175" s="50"/>
      <c r="E9175" s="73"/>
      <c r="F9175" s="45"/>
    </row>
    <row r="9176" spans="4:6" x14ac:dyDescent="0.2">
      <c r="D9176" s="50"/>
      <c r="E9176" s="73"/>
      <c r="F9176" s="45"/>
    </row>
    <row r="9177" spans="4:6" x14ac:dyDescent="0.2">
      <c r="D9177" s="50"/>
      <c r="E9177" s="73"/>
      <c r="F9177" s="45"/>
    </row>
    <row r="9178" spans="4:6" x14ac:dyDescent="0.2">
      <c r="D9178" s="50"/>
      <c r="E9178" s="73"/>
      <c r="F9178" s="45"/>
    </row>
    <row r="9179" spans="4:6" x14ac:dyDescent="0.2">
      <c r="D9179" s="50"/>
      <c r="E9179" s="73"/>
      <c r="F9179" s="45"/>
    </row>
    <row r="9180" spans="4:6" x14ac:dyDescent="0.2">
      <c r="D9180" s="50"/>
      <c r="E9180" s="73"/>
      <c r="F9180" s="45"/>
    </row>
    <row r="9181" spans="4:6" x14ac:dyDescent="0.2">
      <c r="D9181" s="50"/>
      <c r="E9181" s="73"/>
      <c r="F9181" s="45"/>
    </row>
    <row r="9182" spans="4:6" x14ac:dyDescent="0.2">
      <c r="D9182" s="50"/>
      <c r="E9182" s="73"/>
      <c r="F9182" s="45"/>
    </row>
    <row r="9183" spans="4:6" x14ac:dyDescent="0.2">
      <c r="D9183" s="50"/>
      <c r="E9183" s="73"/>
      <c r="F9183" s="45"/>
    </row>
    <row r="9184" spans="4:6" x14ac:dyDescent="0.2">
      <c r="D9184" s="50"/>
      <c r="E9184" s="73"/>
      <c r="F9184" s="45"/>
    </row>
    <row r="9185" spans="4:6" x14ac:dyDescent="0.2">
      <c r="D9185" s="50"/>
      <c r="E9185" s="73"/>
      <c r="F9185" s="45"/>
    </row>
    <row r="9186" spans="4:6" x14ac:dyDescent="0.2">
      <c r="D9186" s="50"/>
      <c r="E9186" s="73"/>
      <c r="F9186" s="45"/>
    </row>
    <row r="9187" spans="4:6" x14ac:dyDescent="0.2">
      <c r="D9187" s="50"/>
      <c r="E9187" s="73"/>
      <c r="F9187" s="45"/>
    </row>
    <row r="9188" spans="4:6" x14ac:dyDescent="0.2">
      <c r="D9188" s="50"/>
      <c r="E9188" s="73"/>
      <c r="F9188" s="45"/>
    </row>
    <row r="9189" spans="4:6" x14ac:dyDescent="0.2">
      <c r="D9189" s="50"/>
      <c r="E9189" s="73"/>
      <c r="F9189" s="45"/>
    </row>
    <row r="9190" spans="4:6" x14ac:dyDescent="0.2">
      <c r="D9190" s="50"/>
      <c r="E9190" s="73"/>
      <c r="F9190" s="45"/>
    </row>
    <row r="9191" spans="4:6" x14ac:dyDescent="0.2">
      <c r="D9191" s="50"/>
      <c r="E9191" s="73"/>
      <c r="F9191" s="45"/>
    </row>
    <row r="9192" spans="4:6" x14ac:dyDescent="0.2">
      <c r="D9192" s="50"/>
      <c r="E9192" s="73"/>
      <c r="F9192" s="45"/>
    </row>
    <row r="9193" spans="4:6" x14ac:dyDescent="0.2">
      <c r="D9193" s="50"/>
      <c r="E9193" s="73"/>
      <c r="F9193" s="45"/>
    </row>
    <row r="9194" spans="4:6" x14ac:dyDescent="0.2">
      <c r="D9194" s="50"/>
      <c r="E9194" s="73"/>
      <c r="F9194" s="45"/>
    </row>
    <row r="9195" spans="4:6" x14ac:dyDescent="0.2">
      <c r="D9195" s="50"/>
      <c r="E9195" s="73"/>
      <c r="F9195" s="45"/>
    </row>
    <row r="9196" spans="4:6" x14ac:dyDescent="0.2">
      <c r="D9196" s="50"/>
      <c r="E9196" s="73"/>
      <c r="F9196" s="45"/>
    </row>
    <row r="9197" spans="4:6" x14ac:dyDescent="0.2">
      <c r="D9197" s="50"/>
      <c r="E9197" s="73"/>
      <c r="F9197" s="45"/>
    </row>
    <row r="9198" spans="4:6" x14ac:dyDescent="0.2">
      <c r="D9198" s="50"/>
      <c r="E9198" s="73"/>
      <c r="F9198" s="45"/>
    </row>
    <row r="9199" spans="4:6" x14ac:dyDescent="0.2">
      <c r="D9199" s="50"/>
      <c r="E9199" s="73"/>
      <c r="F9199" s="45"/>
    </row>
    <row r="9200" spans="4:6" x14ac:dyDescent="0.2">
      <c r="D9200" s="50"/>
      <c r="E9200" s="73"/>
      <c r="F9200" s="45"/>
    </row>
    <row r="9201" spans="4:6" x14ac:dyDescent="0.2">
      <c r="D9201" s="50"/>
      <c r="E9201" s="73"/>
      <c r="F9201" s="45"/>
    </row>
    <row r="9202" spans="4:6" x14ac:dyDescent="0.2">
      <c r="D9202" s="50"/>
      <c r="E9202" s="73"/>
      <c r="F9202" s="45"/>
    </row>
    <row r="9203" spans="4:6" x14ac:dyDescent="0.2">
      <c r="D9203" s="50"/>
      <c r="E9203" s="73"/>
      <c r="F9203" s="45"/>
    </row>
    <row r="9204" spans="4:6" x14ac:dyDescent="0.2">
      <c r="D9204" s="50"/>
      <c r="E9204" s="73"/>
      <c r="F9204" s="45"/>
    </row>
    <row r="9205" spans="4:6" x14ac:dyDescent="0.2">
      <c r="D9205" s="50"/>
      <c r="E9205" s="73"/>
      <c r="F9205" s="45"/>
    </row>
    <row r="9206" spans="4:6" x14ac:dyDescent="0.2">
      <c r="D9206" s="50"/>
      <c r="E9206" s="73"/>
      <c r="F9206" s="45"/>
    </row>
    <row r="9207" spans="4:6" x14ac:dyDescent="0.2">
      <c r="D9207" s="50"/>
      <c r="E9207" s="73"/>
      <c r="F9207" s="45"/>
    </row>
    <row r="9208" spans="4:6" x14ac:dyDescent="0.2">
      <c r="D9208" s="50"/>
      <c r="E9208" s="73"/>
      <c r="F9208" s="45"/>
    </row>
    <row r="9209" spans="4:6" x14ac:dyDescent="0.2">
      <c r="D9209" s="50"/>
      <c r="E9209" s="73"/>
      <c r="F9209" s="45"/>
    </row>
    <row r="9210" spans="4:6" x14ac:dyDescent="0.2">
      <c r="D9210" s="50"/>
      <c r="E9210" s="73"/>
      <c r="F9210" s="45"/>
    </row>
    <row r="9211" spans="4:6" x14ac:dyDescent="0.2">
      <c r="D9211" s="50"/>
      <c r="E9211" s="73"/>
      <c r="F9211" s="45"/>
    </row>
    <row r="9212" spans="4:6" x14ac:dyDescent="0.2">
      <c r="D9212" s="50"/>
      <c r="E9212" s="73"/>
      <c r="F9212" s="45"/>
    </row>
    <row r="9213" spans="4:6" x14ac:dyDescent="0.2">
      <c r="D9213" s="50"/>
      <c r="E9213" s="73"/>
      <c r="F9213" s="45"/>
    </row>
    <row r="9214" spans="4:6" x14ac:dyDescent="0.2">
      <c r="D9214" s="50"/>
      <c r="E9214" s="73"/>
      <c r="F9214" s="45"/>
    </row>
    <row r="9215" spans="4:6" x14ac:dyDescent="0.2">
      <c r="D9215" s="50"/>
      <c r="E9215" s="73"/>
      <c r="F9215" s="45"/>
    </row>
    <row r="9216" spans="4:6" x14ac:dyDescent="0.2">
      <c r="D9216" s="50"/>
      <c r="E9216" s="73"/>
      <c r="F9216" s="45"/>
    </row>
    <row r="9217" spans="4:6" x14ac:dyDescent="0.2">
      <c r="D9217" s="50"/>
      <c r="E9217" s="73"/>
      <c r="F9217" s="45"/>
    </row>
    <row r="9218" spans="4:6" x14ac:dyDescent="0.2">
      <c r="D9218" s="50"/>
      <c r="E9218" s="73"/>
      <c r="F9218" s="45"/>
    </row>
    <row r="9219" spans="4:6" x14ac:dyDescent="0.2">
      <c r="D9219" s="50"/>
      <c r="E9219" s="73"/>
      <c r="F9219" s="45"/>
    </row>
    <row r="9220" spans="4:6" x14ac:dyDescent="0.2">
      <c r="D9220" s="50"/>
      <c r="E9220" s="73"/>
      <c r="F9220" s="45"/>
    </row>
    <row r="9221" spans="4:6" x14ac:dyDescent="0.2">
      <c r="D9221" s="50"/>
      <c r="E9221" s="73"/>
      <c r="F9221" s="45"/>
    </row>
    <row r="9222" spans="4:6" x14ac:dyDescent="0.2">
      <c r="D9222" s="50"/>
      <c r="E9222" s="73"/>
      <c r="F9222" s="45"/>
    </row>
    <row r="9223" spans="4:6" x14ac:dyDescent="0.2">
      <c r="D9223" s="50"/>
      <c r="E9223" s="73"/>
      <c r="F9223" s="45"/>
    </row>
    <row r="9224" spans="4:6" x14ac:dyDescent="0.2">
      <c r="D9224" s="50"/>
      <c r="E9224" s="73"/>
      <c r="F9224" s="45"/>
    </row>
    <row r="9225" spans="4:6" x14ac:dyDescent="0.2">
      <c r="D9225" s="50"/>
      <c r="E9225" s="73"/>
      <c r="F9225" s="45"/>
    </row>
    <row r="9226" spans="4:6" x14ac:dyDescent="0.2">
      <c r="D9226" s="50"/>
      <c r="E9226" s="73"/>
      <c r="F9226" s="45"/>
    </row>
    <row r="9227" spans="4:6" x14ac:dyDescent="0.2">
      <c r="D9227" s="50"/>
      <c r="E9227" s="73"/>
      <c r="F9227" s="45"/>
    </row>
    <row r="9228" spans="4:6" x14ac:dyDescent="0.2">
      <c r="D9228" s="50"/>
      <c r="E9228" s="73"/>
      <c r="F9228" s="45"/>
    </row>
    <row r="9229" spans="4:6" x14ac:dyDescent="0.2">
      <c r="D9229" s="50"/>
      <c r="E9229" s="73"/>
      <c r="F9229" s="45"/>
    </row>
    <row r="9230" spans="4:6" x14ac:dyDescent="0.2">
      <c r="D9230" s="50"/>
      <c r="E9230" s="73"/>
      <c r="F9230" s="45"/>
    </row>
    <row r="9231" spans="4:6" x14ac:dyDescent="0.2">
      <c r="D9231" s="50"/>
      <c r="E9231" s="73"/>
      <c r="F9231" s="45"/>
    </row>
    <row r="9232" spans="4:6" x14ac:dyDescent="0.2">
      <c r="D9232" s="50"/>
      <c r="E9232" s="73"/>
      <c r="F9232" s="45"/>
    </row>
    <row r="9233" spans="4:6" x14ac:dyDescent="0.2">
      <c r="D9233" s="50"/>
      <c r="E9233" s="73"/>
      <c r="F9233" s="45"/>
    </row>
    <row r="9234" spans="4:6" x14ac:dyDescent="0.2">
      <c r="D9234" s="50"/>
      <c r="E9234" s="73"/>
      <c r="F9234" s="45"/>
    </row>
    <row r="9235" spans="4:6" x14ac:dyDescent="0.2">
      <c r="D9235" s="50"/>
      <c r="E9235" s="73"/>
      <c r="F9235" s="45"/>
    </row>
    <row r="9236" spans="4:6" x14ac:dyDescent="0.2">
      <c r="D9236" s="50"/>
      <c r="E9236" s="73"/>
      <c r="F9236" s="45"/>
    </row>
    <row r="9237" spans="4:6" x14ac:dyDescent="0.2">
      <c r="D9237" s="50"/>
      <c r="E9237" s="73"/>
      <c r="F9237" s="45"/>
    </row>
    <row r="9238" spans="4:6" x14ac:dyDescent="0.2">
      <c r="D9238" s="50"/>
      <c r="E9238" s="73"/>
      <c r="F9238" s="45"/>
    </row>
    <row r="9239" spans="4:6" x14ac:dyDescent="0.2">
      <c r="D9239" s="50"/>
      <c r="E9239" s="73"/>
      <c r="F9239" s="45"/>
    </row>
    <row r="9240" spans="4:6" x14ac:dyDescent="0.2">
      <c r="D9240" s="50"/>
      <c r="E9240" s="73"/>
      <c r="F9240" s="45"/>
    </row>
    <row r="9241" spans="4:6" x14ac:dyDescent="0.2">
      <c r="D9241" s="50"/>
      <c r="E9241" s="73"/>
      <c r="F9241" s="45"/>
    </row>
    <row r="9242" spans="4:6" x14ac:dyDescent="0.2">
      <c r="D9242" s="50"/>
      <c r="E9242" s="73"/>
      <c r="F9242" s="45"/>
    </row>
    <row r="9243" spans="4:6" x14ac:dyDescent="0.2">
      <c r="D9243" s="50"/>
      <c r="E9243" s="73"/>
      <c r="F9243" s="45"/>
    </row>
    <row r="9244" spans="4:6" x14ac:dyDescent="0.2">
      <c r="D9244" s="50"/>
      <c r="E9244" s="73"/>
      <c r="F9244" s="45"/>
    </row>
    <row r="9245" spans="4:6" x14ac:dyDescent="0.2">
      <c r="D9245" s="50"/>
      <c r="E9245" s="73"/>
      <c r="F9245" s="45"/>
    </row>
    <row r="9246" spans="4:6" x14ac:dyDescent="0.2">
      <c r="D9246" s="50"/>
      <c r="E9246" s="73"/>
      <c r="F9246" s="45"/>
    </row>
    <row r="9247" spans="4:6" x14ac:dyDescent="0.2">
      <c r="D9247" s="50"/>
      <c r="E9247" s="73"/>
      <c r="F9247" s="45"/>
    </row>
    <row r="9248" spans="4:6" x14ac:dyDescent="0.2">
      <c r="D9248" s="50"/>
      <c r="E9248" s="73"/>
      <c r="F9248" s="45"/>
    </row>
    <row r="9249" spans="4:6" x14ac:dyDescent="0.2">
      <c r="D9249" s="50"/>
      <c r="E9249" s="73"/>
      <c r="F9249" s="45"/>
    </row>
    <row r="9250" spans="4:6" x14ac:dyDescent="0.2">
      <c r="D9250" s="50"/>
      <c r="E9250" s="73"/>
      <c r="F9250" s="45"/>
    </row>
    <row r="9251" spans="4:6" x14ac:dyDescent="0.2">
      <c r="D9251" s="50"/>
      <c r="E9251" s="73"/>
      <c r="F9251" s="45"/>
    </row>
    <row r="9252" spans="4:6" x14ac:dyDescent="0.2">
      <c r="D9252" s="50"/>
      <c r="E9252" s="73"/>
      <c r="F9252" s="45"/>
    </row>
    <row r="9253" spans="4:6" x14ac:dyDescent="0.2">
      <c r="D9253" s="50"/>
      <c r="E9253" s="73"/>
      <c r="F9253" s="45"/>
    </row>
    <row r="9254" spans="4:6" x14ac:dyDescent="0.2">
      <c r="D9254" s="50"/>
      <c r="E9254" s="73"/>
      <c r="F9254" s="45"/>
    </row>
    <row r="9255" spans="4:6" x14ac:dyDescent="0.2">
      <c r="D9255" s="50"/>
      <c r="E9255" s="73"/>
      <c r="F9255" s="45"/>
    </row>
    <row r="9256" spans="4:6" x14ac:dyDescent="0.2">
      <c r="D9256" s="50"/>
      <c r="E9256" s="73"/>
      <c r="F9256" s="45"/>
    </row>
    <row r="9257" spans="4:6" x14ac:dyDescent="0.2">
      <c r="D9257" s="50"/>
      <c r="E9257" s="73"/>
      <c r="F9257" s="45"/>
    </row>
    <row r="9258" spans="4:6" x14ac:dyDescent="0.2">
      <c r="D9258" s="50"/>
      <c r="E9258" s="73"/>
      <c r="F9258" s="45"/>
    </row>
    <row r="9259" spans="4:6" x14ac:dyDescent="0.2">
      <c r="D9259" s="50"/>
      <c r="E9259" s="73"/>
      <c r="F9259" s="45"/>
    </row>
    <row r="9260" spans="4:6" x14ac:dyDescent="0.2">
      <c r="D9260" s="50"/>
      <c r="E9260" s="73"/>
      <c r="F9260" s="45"/>
    </row>
    <row r="9261" spans="4:6" x14ac:dyDescent="0.2">
      <c r="D9261" s="50"/>
      <c r="E9261" s="73"/>
      <c r="F9261" s="45"/>
    </row>
    <row r="9262" spans="4:6" x14ac:dyDescent="0.2">
      <c r="D9262" s="50"/>
      <c r="E9262" s="73"/>
      <c r="F9262" s="45"/>
    </row>
    <row r="9263" spans="4:6" x14ac:dyDescent="0.2">
      <c r="D9263" s="50"/>
      <c r="E9263" s="73"/>
      <c r="F9263" s="45"/>
    </row>
    <row r="9264" spans="4:6" x14ac:dyDescent="0.2">
      <c r="D9264" s="50"/>
      <c r="E9264" s="73"/>
      <c r="F9264" s="45"/>
    </row>
    <row r="9265" spans="4:6" x14ac:dyDescent="0.2">
      <c r="D9265" s="50"/>
      <c r="E9265" s="73"/>
      <c r="F9265" s="45"/>
    </row>
    <row r="9266" spans="4:6" x14ac:dyDescent="0.2">
      <c r="D9266" s="50"/>
      <c r="E9266" s="73"/>
      <c r="F9266" s="45"/>
    </row>
    <row r="9267" spans="4:6" x14ac:dyDescent="0.2">
      <c r="D9267" s="50"/>
      <c r="E9267" s="73"/>
      <c r="F9267" s="45"/>
    </row>
    <row r="9268" spans="4:6" x14ac:dyDescent="0.2">
      <c r="D9268" s="50"/>
      <c r="E9268" s="73"/>
      <c r="F9268" s="45"/>
    </row>
    <row r="9269" spans="4:6" x14ac:dyDescent="0.2">
      <c r="D9269" s="50"/>
      <c r="E9269" s="73"/>
      <c r="F9269" s="45"/>
    </row>
    <row r="9270" spans="4:6" x14ac:dyDescent="0.2">
      <c r="D9270" s="50"/>
      <c r="E9270" s="73"/>
      <c r="F9270" s="45"/>
    </row>
    <row r="9271" spans="4:6" x14ac:dyDescent="0.2">
      <c r="D9271" s="50"/>
      <c r="E9271" s="73"/>
      <c r="F9271" s="45"/>
    </row>
    <row r="9272" spans="4:6" x14ac:dyDescent="0.2">
      <c r="D9272" s="50"/>
      <c r="E9272" s="73"/>
      <c r="F9272" s="45"/>
    </row>
    <row r="9273" spans="4:6" x14ac:dyDescent="0.2">
      <c r="D9273" s="50"/>
      <c r="E9273" s="73"/>
      <c r="F9273" s="45"/>
    </row>
    <row r="9274" spans="4:6" x14ac:dyDescent="0.2">
      <c r="D9274" s="50"/>
      <c r="E9274" s="73"/>
      <c r="F9274" s="45"/>
    </row>
    <row r="9275" spans="4:6" x14ac:dyDescent="0.2">
      <c r="D9275" s="50"/>
      <c r="E9275" s="73"/>
      <c r="F9275" s="45"/>
    </row>
    <row r="9276" spans="4:6" x14ac:dyDescent="0.2">
      <c r="D9276" s="50"/>
      <c r="E9276" s="73"/>
      <c r="F9276" s="45"/>
    </row>
    <row r="9277" spans="4:6" x14ac:dyDescent="0.2">
      <c r="D9277" s="50"/>
      <c r="E9277" s="73"/>
      <c r="F9277" s="45"/>
    </row>
    <row r="9278" spans="4:6" x14ac:dyDescent="0.2">
      <c r="D9278" s="50"/>
      <c r="E9278" s="73"/>
      <c r="F9278" s="45"/>
    </row>
    <row r="9279" spans="4:6" x14ac:dyDescent="0.2">
      <c r="D9279" s="50"/>
      <c r="E9279" s="73"/>
      <c r="F9279" s="45"/>
    </row>
    <row r="9280" spans="4:6" x14ac:dyDescent="0.2">
      <c r="D9280" s="50"/>
      <c r="E9280" s="73"/>
      <c r="F9280" s="45"/>
    </row>
    <row r="9281" spans="4:6" x14ac:dyDescent="0.2">
      <c r="D9281" s="50"/>
      <c r="E9281" s="73"/>
      <c r="F9281" s="45"/>
    </row>
    <row r="9282" spans="4:6" x14ac:dyDescent="0.2">
      <c r="D9282" s="50"/>
      <c r="E9282" s="73"/>
      <c r="F9282" s="45"/>
    </row>
    <row r="9283" spans="4:6" x14ac:dyDescent="0.2">
      <c r="D9283" s="50"/>
      <c r="E9283" s="73"/>
      <c r="F9283" s="45"/>
    </row>
    <row r="9284" spans="4:6" x14ac:dyDescent="0.2">
      <c r="D9284" s="50"/>
      <c r="E9284" s="73"/>
      <c r="F9284" s="45"/>
    </row>
    <row r="9285" spans="4:6" x14ac:dyDescent="0.2">
      <c r="D9285" s="50"/>
      <c r="E9285" s="73"/>
      <c r="F9285" s="45"/>
    </row>
    <row r="9286" spans="4:6" x14ac:dyDescent="0.2">
      <c r="D9286" s="50"/>
      <c r="E9286" s="73"/>
      <c r="F9286" s="45"/>
    </row>
    <row r="9287" spans="4:6" x14ac:dyDescent="0.2">
      <c r="D9287" s="50"/>
      <c r="E9287" s="73"/>
      <c r="F9287" s="45"/>
    </row>
    <row r="9288" spans="4:6" x14ac:dyDescent="0.2">
      <c r="D9288" s="50"/>
      <c r="E9288" s="73"/>
      <c r="F9288" s="45"/>
    </row>
    <row r="9289" spans="4:6" x14ac:dyDescent="0.2">
      <c r="D9289" s="50"/>
      <c r="E9289" s="73"/>
      <c r="F9289" s="45"/>
    </row>
    <row r="9290" spans="4:6" x14ac:dyDescent="0.2">
      <c r="D9290" s="50"/>
      <c r="E9290" s="73"/>
      <c r="F9290" s="45"/>
    </row>
    <row r="9291" spans="4:6" x14ac:dyDescent="0.2">
      <c r="D9291" s="50"/>
      <c r="E9291" s="73"/>
      <c r="F9291" s="45"/>
    </row>
    <row r="9292" spans="4:6" x14ac:dyDescent="0.2">
      <c r="D9292" s="50"/>
      <c r="E9292" s="73"/>
      <c r="F9292" s="45"/>
    </row>
    <row r="9293" spans="4:6" x14ac:dyDescent="0.2">
      <c r="D9293" s="50"/>
      <c r="E9293" s="73"/>
      <c r="F9293" s="45"/>
    </row>
    <row r="9294" spans="4:6" x14ac:dyDescent="0.2">
      <c r="D9294" s="50"/>
      <c r="E9294" s="73"/>
      <c r="F9294" s="45"/>
    </row>
    <row r="9295" spans="4:6" x14ac:dyDescent="0.2">
      <c r="D9295" s="50"/>
      <c r="E9295" s="73"/>
      <c r="F9295" s="45"/>
    </row>
    <row r="9296" spans="4:6" x14ac:dyDescent="0.2">
      <c r="D9296" s="50"/>
      <c r="E9296" s="73"/>
      <c r="F9296" s="45"/>
    </row>
    <row r="9297" spans="4:6" x14ac:dyDescent="0.2">
      <c r="D9297" s="50"/>
      <c r="E9297" s="73"/>
      <c r="F9297" s="45"/>
    </row>
    <row r="9298" spans="4:6" x14ac:dyDescent="0.2">
      <c r="D9298" s="50"/>
      <c r="E9298" s="73"/>
      <c r="F9298" s="45"/>
    </row>
    <row r="9299" spans="4:6" x14ac:dyDescent="0.2">
      <c r="D9299" s="50"/>
      <c r="E9299" s="73"/>
      <c r="F9299" s="45"/>
    </row>
    <row r="9300" spans="4:6" x14ac:dyDescent="0.2">
      <c r="D9300" s="50"/>
      <c r="E9300" s="73"/>
      <c r="F9300" s="45"/>
    </row>
    <row r="9301" spans="4:6" x14ac:dyDescent="0.2">
      <c r="D9301" s="50"/>
      <c r="E9301" s="73"/>
      <c r="F9301" s="45"/>
    </row>
    <row r="9302" spans="4:6" x14ac:dyDescent="0.2">
      <c r="D9302" s="50"/>
      <c r="E9302" s="73"/>
      <c r="F9302" s="45"/>
    </row>
    <row r="9303" spans="4:6" x14ac:dyDescent="0.2">
      <c r="D9303" s="50"/>
      <c r="E9303" s="73"/>
      <c r="F9303" s="45"/>
    </row>
    <row r="9304" spans="4:6" x14ac:dyDescent="0.2">
      <c r="D9304" s="50"/>
      <c r="E9304" s="73"/>
      <c r="F9304" s="45"/>
    </row>
    <row r="9305" spans="4:6" x14ac:dyDescent="0.2">
      <c r="D9305" s="50"/>
      <c r="E9305" s="73"/>
      <c r="F9305" s="45"/>
    </row>
    <row r="9306" spans="4:6" x14ac:dyDescent="0.2">
      <c r="D9306" s="50"/>
      <c r="E9306" s="73"/>
      <c r="F9306" s="45"/>
    </row>
    <row r="9307" spans="4:6" x14ac:dyDescent="0.2">
      <c r="D9307" s="50"/>
      <c r="E9307" s="73"/>
      <c r="F9307" s="45"/>
    </row>
    <row r="9308" spans="4:6" x14ac:dyDescent="0.2">
      <c r="D9308" s="50"/>
      <c r="E9308" s="73"/>
      <c r="F9308" s="45"/>
    </row>
    <row r="9309" spans="4:6" x14ac:dyDescent="0.2">
      <c r="D9309" s="50"/>
      <c r="E9309" s="73"/>
      <c r="F9309" s="45"/>
    </row>
    <row r="9310" spans="4:6" x14ac:dyDescent="0.2">
      <c r="D9310" s="50"/>
      <c r="E9310" s="73"/>
      <c r="F9310" s="45"/>
    </row>
    <row r="9311" spans="4:6" x14ac:dyDescent="0.2">
      <c r="D9311" s="50"/>
      <c r="E9311" s="73"/>
      <c r="F9311" s="45"/>
    </row>
    <row r="9312" spans="4:6" x14ac:dyDescent="0.2">
      <c r="D9312" s="50"/>
      <c r="E9312" s="73"/>
      <c r="F9312" s="45"/>
    </row>
    <row r="9313" spans="4:6" x14ac:dyDescent="0.2">
      <c r="D9313" s="50"/>
      <c r="E9313" s="73"/>
      <c r="F9313" s="45"/>
    </row>
    <row r="9314" spans="4:6" x14ac:dyDescent="0.2">
      <c r="D9314" s="50"/>
      <c r="E9314" s="73"/>
      <c r="F9314" s="45"/>
    </row>
    <row r="9315" spans="4:6" x14ac:dyDescent="0.2">
      <c r="D9315" s="50"/>
      <c r="E9315" s="73"/>
      <c r="F9315" s="45"/>
    </row>
    <row r="9316" spans="4:6" x14ac:dyDescent="0.2">
      <c r="D9316" s="50"/>
      <c r="E9316" s="73"/>
      <c r="F9316" s="45"/>
    </row>
    <row r="9317" spans="4:6" x14ac:dyDescent="0.2">
      <c r="D9317" s="50"/>
      <c r="E9317" s="73"/>
      <c r="F9317" s="45"/>
    </row>
    <row r="9318" spans="4:6" x14ac:dyDescent="0.2">
      <c r="D9318" s="50"/>
      <c r="E9318" s="73"/>
      <c r="F9318" s="45"/>
    </row>
    <row r="9319" spans="4:6" x14ac:dyDescent="0.2">
      <c r="D9319" s="50"/>
      <c r="E9319" s="73"/>
      <c r="F9319" s="45"/>
    </row>
    <row r="9320" spans="4:6" x14ac:dyDescent="0.2">
      <c r="D9320" s="50"/>
      <c r="E9320" s="73"/>
      <c r="F9320" s="45"/>
    </row>
    <row r="9321" spans="4:6" x14ac:dyDescent="0.2">
      <c r="D9321" s="50"/>
      <c r="E9321" s="73"/>
      <c r="F9321" s="45"/>
    </row>
    <row r="9322" spans="4:6" x14ac:dyDescent="0.2">
      <c r="D9322" s="50"/>
      <c r="E9322" s="73"/>
      <c r="F9322" s="45"/>
    </row>
    <row r="9323" spans="4:6" x14ac:dyDescent="0.2">
      <c r="D9323" s="50"/>
      <c r="E9323" s="73"/>
      <c r="F9323" s="45"/>
    </row>
    <row r="9324" spans="4:6" x14ac:dyDescent="0.2">
      <c r="D9324" s="50"/>
      <c r="E9324" s="73"/>
      <c r="F9324" s="45"/>
    </row>
    <row r="9325" spans="4:6" x14ac:dyDescent="0.2">
      <c r="D9325" s="50"/>
      <c r="E9325" s="73"/>
      <c r="F9325" s="45"/>
    </row>
    <row r="9326" spans="4:6" x14ac:dyDescent="0.2">
      <c r="D9326" s="50"/>
      <c r="E9326" s="73"/>
      <c r="F9326" s="45"/>
    </row>
    <row r="9327" spans="4:6" x14ac:dyDescent="0.2">
      <c r="D9327" s="50"/>
      <c r="E9327" s="73"/>
      <c r="F9327" s="45"/>
    </row>
    <row r="9328" spans="4:6" x14ac:dyDescent="0.2">
      <c r="D9328" s="50"/>
      <c r="E9328" s="73"/>
      <c r="F9328" s="45"/>
    </row>
    <row r="9329" spans="4:6" x14ac:dyDescent="0.2">
      <c r="D9329" s="50"/>
      <c r="E9329" s="73"/>
      <c r="F9329" s="45"/>
    </row>
    <row r="9330" spans="4:6" x14ac:dyDescent="0.2">
      <c r="D9330" s="50"/>
      <c r="E9330" s="73"/>
      <c r="F9330" s="45"/>
    </row>
    <row r="9331" spans="4:6" x14ac:dyDescent="0.2">
      <c r="D9331" s="50"/>
      <c r="E9331" s="73"/>
      <c r="F9331" s="45"/>
    </row>
    <row r="9332" spans="4:6" x14ac:dyDescent="0.2">
      <c r="D9332" s="50"/>
      <c r="E9332" s="73"/>
      <c r="F9332" s="45"/>
    </row>
    <row r="9333" spans="4:6" x14ac:dyDescent="0.2">
      <c r="D9333" s="50"/>
      <c r="E9333" s="73"/>
      <c r="F9333" s="45"/>
    </row>
    <row r="9334" spans="4:6" x14ac:dyDescent="0.2">
      <c r="D9334" s="50"/>
      <c r="E9334" s="73"/>
      <c r="F9334" s="45"/>
    </row>
    <row r="9335" spans="4:6" x14ac:dyDescent="0.2">
      <c r="D9335" s="50"/>
      <c r="E9335" s="73"/>
      <c r="F9335" s="45"/>
    </row>
    <row r="9336" spans="4:6" x14ac:dyDescent="0.2">
      <c r="D9336" s="50"/>
      <c r="E9336" s="73"/>
      <c r="F9336" s="45"/>
    </row>
    <row r="9337" spans="4:6" x14ac:dyDescent="0.2">
      <c r="D9337" s="50"/>
      <c r="E9337" s="73"/>
      <c r="F9337" s="45"/>
    </row>
    <row r="9338" spans="4:6" x14ac:dyDescent="0.2">
      <c r="D9338" s="50"/>
      <c r="E9338" s="73"/>
      <c r="F9338" s="45"/>
    </row>
    <row r="9339" spans="4:6" x14ac:dyDescent="0.2">
      <c r="D9339" s="50"/>
      <c r="E9339" s="73"/>
      <c r="F9339" s="45"/>
    </row>
    <row r="9340" spans="4:6" x14ac:dyDescent="0.2">
      <c r="D9340" s="50"/>
      <c r="E9340" s="73"/>
      <c r="F9340" s="45"/>
    </row>
    <row r="9341" spans="4:6" x14ac:dyDescent="0.2">
      <c r="D9341" s="50"/>
      <c r="E9341" s="73"/>
      <c r="F9341" s="45"/>
    </row>
    <row r="9342" spans="4:6" x14ac:dyDescent="0.2">
      <c r="D9342" s="50"/>
      <c r="E9342" s="73"/>
      <c r="F9342" s="45"/>
    </row>
    <row r="9343" spans="4:6" x14ac:dyDescent="0.2">
      <c r="D9343" s="50"/>
      <c r="E9343" s="73"/>
      <c r="F9343" s="45"/>
    </row>
    <row r="9344" spans="4:6" x14ac:dyDescent="0.2">
      <c r="D9344" s="50"/>
      <c r="E9344" s="73"/>
      <c r="F9344" s="45"/>
    </row>
    <row r="9345" spans="4:6" x14ac:dyDescent="0.2">
      <c r="D9345" s="50"/>
      <c r="E9345" s="73"/>
      <c r="F9345" s="45"/>
    </row>
    <row r="9346" spans="4:6" x14ac:dyDescent="0.2">
      <c r="D9346" s="50"/>
      <c r="E9346" s="73"/>
      <c r="F9346" s="45"/>
    </row>
    <row r="9347" spans="4:6" x14ac:dyDescent="0.2">
      <c r="D9347" s="50"/>
      <c r="E9347" s="73"/>
      <c r="F9347" s="45"/>
    </row>
    <row r="9348" spans="4:6" x14ac:dyDescent="0.2">
      <c r="D9348" s="50"/>
      <c r="E9348" s="73"/>
      <c r="F9348" s="45"/>
    </row>
    <row r="9349" spans="4:6" x14ac:dyDescent="0.2">
      <c r="D9349" s="50"/>
      <c r="E9349" s="73"/>
      <c r="F9349" s="45"/>
    </row>
    <row r="9350" spans="4:6" x14ac:dyDescent="0.2">
      <c r="D9350" s="50"/>
      <c r="E9350" s="73"/>
      <c r="F9350" s="45"/>
    </row>
    <row r="9351" spans="4:6" x14ac:dyDescent="0.2">
      <c r="D9351" s="50"/>
      <c r="E9351" s="73"/>
      <c r="F9351" s="45"/>
    </row>
    <row r="9352" spans="4:6" x14ac:dyDescent="0.2">
      <c r="D9352" s="50"/>
      <c r="E9352" s="73"/>
      <c r="F9352" s="45"/>
    </row>
    <row r="9353" spans="4:6" x14ac:dyDescent="0.2">
      <c r="D9353" s="50"/>
      <c r="E9353" s="73"/>
      <c r="F9353" s="45"/>
    </row>
    <row r="9354" spans="4:6" x14ac:dyDescent="0.2">
      <c r="D9354" s="50"/>
      <c r="E9354" s="73"/>
      <c r="F9354" s="45"/>
    </row>
    <row r="9355" spans="4:6" x14ac:dyDescent="0.2">
      <c r="D9355" s="50"/>
      <c r="E9355" s="73"/>
      <c r="F9355" s="45"/>
    </row>
    <row r="9356" spans="4:6" x14ac:dyDescent="0.2">
      <c r="D9356" s="50"/>
      <c r="E9356" s="73"/>
      <c r="F9356" s="45"/>
    </row>
    <row r="9357" spans="4:6" x14ac:dyDescent="0.2">
      <c r="D9357" s="50"/>
      <c r="E9357" s="73"/>
      <c r="F9357" s="45"/>
    </row>
    <row r="9358" spans="4:6" x14ac:dyDescent="0.2">
      <c r="D9358" s="50"/>
      <c r="E9358" s="73"/>
      <c r="F9358" s="45"/>
    </row>
    <row r="9359" spans="4:6" x14ac:dyDescent="0.2">
      <c r="D9359" s="50"/>
      <c r="E9359" s="73"/>
      <c r="F9359" s="45"/>
    </row>
    <row r="9360" spans="4:6" x14ac:dyDescent="0.2">
      <c r="D9360" s="50"/>
      <c r="E9360" s="73"/>
      <c r="F9360" s="45"/>
    </row>
    <row r="9361" spans="4:6" x14ac:dyDescent="0.2">
      <c r="D9361" s="50"/>
      <c r="E9361" s="73"/>
      <c r="F9361" s="45"/>
    </row>
    <row r="9362" spans="4:6" x14ac:dyDescent="0.2">
      <c r="D9362" s="50"/>
      <c r="E9362" s="73"/>
      <c r="F9362" s="45"/>
    </row>
    <row r="9363" spans="4:6" x14ac:dyDescent="0.2">
      <c r="D9363" s="50"/>
      <c r="E9363" s="73"/>
      <c r="F9363" s="45"/>
    </row>
    <row r="9364" spans="4:6" x14ac:dyDescent="0.2">
      <c r="D9364" s="50"/>
      <c r="E9364" s="73"/>
      <c r="F9364" s="45"/>
    </row>
    <row r="9365" spans="4:6" x14ac:dyDescent="0.2">
      <c r="D9365" s="50"/>
      <c r="E9365" s="73"/>
      <c r="F9365" s="45"/>
    </row>
    <row r="9366" spans="4:6" x14ac:dyDescent="0.2">
      <c r="D9366" s="50"/>
      <c r="E9366" s="73"/>
      <c r="F9366" s="45"/>
    </row>
    <row r="9367" spans="4:6" x14ac:dyDescent="0.2">
      <c r="D9367" s="50"/>
      <c r="E9367" s="73"/>
      <c r="F9367" s="45"/>
    </row>
    <row r="9368" spans="4:6" x14ac:dyDescent="0.2">
      <c r="D9368" s="50"/>
      <c r="E9368" s="73"/>
      <c r="F9368" s="45"/>
    </row>
    <row r="9369" spans="4:6" x14ac:dyDescent="0.2">
      <c r="D9369" s="50"/>
      <c r="E9369" s="73"/>
      <c r="F9369" s="45"/>
    </row>
    <row r="9370" spans="4:6" x14ac:dyDescent="0.2">
      <c r="D9370" s="50"/>
      <c r="E9370" s="73"/>
      <c r="F9370" s="45"/>
    </row>
    <row r="9371" spans="4:6" x14ac:dyDescent="0.2">
      <c r="D9371" s="50"/>
      <c r="E9371" s="73"/>
      <c r="F9371" s="45"/>
    </row>
    <row r="9372" spans="4:6" x14ac:dyDescent="0.2">
      <c r="D9372" s="50"/>
      <c r="E9372" s="73"/>
      <c r="F9372" s="45"/>
    </row>
    <row r="9373" spans="4:6" x14ac:dyDescent="0.2">
      <c r="D9373" s="50"/>
      <c r="E9373" s="73"/>
      <c r="F9373" s="45"/>
    </row>
    <row r="9374" spans="4:6" x14ac:dyDescent="0.2">
      <c r="D9374" s="50"/>
      <c r="E9374" s="73"/>
      <c r="F9374" s="45"/>
    </row>
    <row r="9375" spans="4:6" x14ac:dyDescent="0.2">
      <c r="D9375" s="50"/>
      <c r="E9375" s="73"/>
      <c r="F9375" s="45"/>
    </row>
    <row r="9376" spans="4:6" x14ac:dyDescent="0.2">
      <c r="D9376" s="50"/>
      <c r="E9376" s="73"/>
      <c r="F9376" s="45"/>
    </row>
    <row r="9377" spans="4:6" x14ac:dyDescent="0.2">
      <c r="D9377" s="50"/>
      <c r="E9377" s="73"/>
      <c r="F9377" s="45"/>
    </row>
    <row r="9378" spans="4:6" x14ac:dyDescent="0.2">
      <c r="D9378" s="50"/>
      <c r="E9378" s="73"/>
      <c r="F9378" s="45"/>
    </row>
    <row r="9379" spans="4:6" x14ac:dyDescent="0.2">
      <c r="D9379" s="50"/>
      <c r="E9379" s="73"/>
      <c r="F9379" s="45"/>
    </row>
    <row r="9380" spans="4:6" x14ac:dyDescent="0.2">
      <c r="D9380" s="50"/>
      <c r="E9380" s="73"/>
      <c r="F9380" s="45"/>
    </row>
    <row r="9381" spans="4:6" x14ac:dyDescent="0.2">
      <c r="D9381" s="50"/>
      <c r="E9381" s="73"/>
      <c r="F9381" s="45"/>
    </row>
    <row r="9382" spans="4:6" x14ac:dyDescent="0.2">
      <c r="D9382" s="50"/>
      <c r="E9382" s="73"/>
      <c r="F9382" s="45"/>
    </row>
    <row r="9383" spans="4:6" x14ac:dyDescent="0.2">
      <c r="D9383" s="50"/>
      <c r="E9383" s="73"/>
      <c r="F9383" s="45"/>
    </row>
    <row r="9384" spans="4:6" x14ac:dyDescent="0.2">
      <c r="D9384" s="50"/>
      <c r="E9384" s="73"/>
      <c r="F9384" s="45"/>
    </row>
    <row r="9385" spans="4:6" x14ac:dyDescent="0.2">
      <c r="D9385" s="50"/>
      <c r="E9385" s="73"/>
      <c r="F9385" s="45"/>
    </row>
    <row r="9386" spans="4:6" x14ac:dyDescent="0.2">
      <c r="D9386" s="50"/>
      <c r="E9386" s="73"/>
      <c r="F9386" s="45"/>
    </row>
    <row r="9387" spans="4:6" x14ac:dyDescent="0.2">
      <c r="D9387" s="50"/>
      <c r="E9387" s="73"/>
      <c r="F9387" s="45"/>
    </row>
    <row r="9388" spans="4:6" x14ac:dyDescent="0.2">
      <c r="D9388" s="50"/>
      <c r="E9388" s="73"/>
      <c r="F9388" s="45"/>
    </row>
    <row r="9389" spans="4:6" x14ac:dyDescent="0.2">
      <c r="D9389" s="50"/>
      <c r="E9389" s="73"/>
      <c r="F9389" s="45"/>
    </row>
    <row r="9390" spans="4:6" x14ac:dyDescent="0.2">
      <c r="D9390" s="50"/>
      <c r="E9390" s="73"/>
      <c r="F9390" s="45"/>
    </row>
    <row r="9391" spans="4:6" x14ac:dyDescent="0.2">
      <c r="D9391" s="50"/>
      <c r="E9391" s="73"/>
      <c r="F9391" s="45"/>
    </row>
    <row r="9392" spans="4:6" x14ac:dyDescent="0.2">
      <c r="D9392" s="50"/>
      <c r="E9392" s="73"/>
      <c r="F9392" s="45"/>
    </row>
    <row r="9393" spans="4:6" x14ac:dyDescent="0.2">
      <c r="D9393" s="50"/>
      <c r="E9393" s="73"/>
      <c r="F9393" s="45"/>
    </row>
    <row r="9394" spans="4:6" x14ac:dyDescent="0.2">
      <c r="D9394" s="50"/>
      <c r="E9394" s="73"/>
      <c r="F9394" s="45"/>
    </row>
    <row r="9395" spans="4:6" x14ac:dyDescent="0.2">
      <c r="D9395" s="50"/>
      <c r="E9395" s="73"/>
      <c r="F9395" s="45"/>
    </row>
    <row r="9396" spans="4:6" x14ac:dyDescent="0.2">
      <c r="D9396" s="50"/>
      <c r="E9396" s="73"/>
      <c r="F9396" s="45"/>
    </row>
    <row r="9397" spans="4:6" x14ac:dyDescent="0.2">
      <c r="D9397" s="50"/>
      <c r="E9397" s="73"/>
      <c r="F9397" s="45"/>
    </row>
    <row r="9398" spans="4:6" x14ac:dyDescent="0.2">
      <c r="D9398" s="50"/>
      <c r="E9398" s="73"/>
      <c r="F9398" s="45"/>
    </row>
    <row r="9399" spans="4:6" x14ac:dyDescent="0.2">
      <c r="D9399" s="50"/>
      <c r="E9399" s="73"/>
      <c r="F9399" s="45"/>
    </row>
    <row r="9400" spans="4:6" x14ac:dyDescent="0.2">
      <c r="D9400" s="50"/>
      <c r="E9400" s="73"/>
      <c r="F9400" s="45"/>
    </row>
    <row r="9401" spans="4:6" x14ac:dyDescent="0.2">
      <c r="D9401" s="50"/>
      <c r="E9401" s="73"/>
      <c r="F9401" s="45"/>
    </row>
    <row r="9402" spans="4:6" x14ac:dyDescent="0.2">
      <c r="D9402" s="50"/>
      <c r="E9402" s="73"/>
      <c r="F9402" s="45"/>
    </row>
    <row r="9403" spans="4:6" x14ac:dyDescent="0.2">
      <c r="D9403" s="50"/>
      <c r="E9403" s="73"/>
      <c r="F9403" s="45"/>
    </row>
    <row r="9404" spans="4:6" x14ac:dyDescent="0.2">
      <c r="D9404" s="50"/>
      <c r="E9404" s="73"/>
      <c r="F9404" s="45"/>
    </row>
    <row r="9405" spans="4:6" x14ac:dyDescent="0.2">
      <c r="D9405" s="50"/>
      <c r="E9405" s="73"/>
      <c r="F9405" s="45"/>
    </row>
    <row r="9406" spans="4:6" x14ac:dyDescent="0.2">
      <c r="D9406" s="50"/>
      <c r="E9406" s="73"/>
      <c r="F9406" s="45"/>
    </row>
    <row r="9407" spans="4:6" x14ac:dyDescent="0.2">
      <c r="D9407" s="50"/>
      <c r="E9407" s="73"/>
      <c r="F9407" s="45"/>
    </row>
    <row r="9408" spans="4:6" x14ac:dyDescent="0.2">
      <c r="D9408" s="50"/>
      <c r="E9408" s="73"/>
      <c r="F9408" s="45"/>
    </row>
    <row r="9409" spans="4:6" x14ac:dyDescent="0.2">
      <c r="D9409" s="50"/>
      <c r="E9409" s="73"/>
      <c r="F9409" s="45"/>
    </row>
    <row r="9410" spans="4:6" x14ac:dyDescent="0.2">
      <c r="D9410" s="50"/>
      <c r="E9410" s="73"/>
      <c r="F9410" s="45"/>
    </row>
    <row r="9411" spans="4:6" x14ac:dyDescent="0.2">
      <c r="D9411" s="50"/>
      <c r="E9411" s="73"/>
      <c r="F9411" s="45"/>
    </row>
    <row r="9412" spans="4:6" x14ac:dyDescent="0.2">
      <c r="D9412" s="50"/>
      <c r="E9412" s="73"/>
      <c r="F9412" s="45"/>
    </row>
    <row r="9413" spans="4:6" x14ac:dyDescent="0.2">
      <c r="D9413" s="50"/>
      <c r="E9413" s="73"/>
      <c r="F9413" s="45"/>
    </row>
    <row r="9414" spans="4:6" x14ac:dyDescent="0.2">
      <c r="D9414" s="50"/>
      <c r="E9414" s="73"/>
      <c r="F9414" s="45"/>
    </row>
    <row r="9415" spans="4:6" x14ac:dyDescent="0.2">
      <c r="D9415" s="50"/>
      <c r="E9415" s="73"/>
      <c r="F9415" s="45"/>
    </row>
    <row r="9416" spans="4:6" x14ac:dyDescent="0.2">
      <c r="D9416" s="50"/>
      <c r="E9416" s="73"/>
      <c r="F9416" s="45"/>
    </row>
    <row r="9417" spans="4:6" x14ac:dyDescent="0.2">
      <c r="D9417" s="50"/>
      <c r="E9417" s="73"/>
      <c r="F9417" s="45"/>
    </row>
    <row r="9418" spans="4:6" x14ac:dyDescent="0.2">
      <c r="D9418" s="50"/>
      <c r="E9418" s="73"/>
      <c r="F9418" s="45"/>
    </row>
    <row r="9419" spans="4:6" x14ac:dyDescent="0.2">
      <c r="D9419" s="50"/>
      <c r="E9419" s="73"/>
      <c r="F9419" s="45"/>
    </row>
    <row r="9420" spans="4:6" x14ac:dyDescent="0.2">
      <c r="D9420" s="50"/>
      <c r="E9420" s="73"/>
      <c r="F9420" s="45"/>
    </row>
    <row r="9421" spans="4:6" x14ac:dyDescent="0.2">
      <c r="D9421" s="50"/>
      <c r="E9421" s="73"/>
      <c r="F9421" s="45"/>
    </row>
    <row r="9422" spans="4:6" x14ac:dyDescent="0.2">
      <c r="D9422" s="50"/>
      <c r="E9422" s="73"/>
      <c r="F9422" s="45"/>
    </row>
    <row r="9423" spans="4:6" x14ac:dyDescent="0.2">
      <c r="D9423" s="50"/>
      <c r="E9423" s="73"/>
      <c r="F9423" s="45"/>
    </row>
    <row r="9424" spans="4:6" x14ac:dyDescent="0.2">
      <c r="D9424" s="50"/>
      <c r="E9424" s="73"/>
      <c r="F9424" s="45"/>
    </row>
    <row r="9425" spans="4:6" x14ac:dyDescent="0.2">
      <c r="D9425" s="50"/>
      <c r="E9425" s="73"/>
      <c r="F9425" s="45"/>
    </row>
    <row r="9426" spans="4:6" x14ac:dyDescent="0.2">
      <c r="D9426" s="50"/>
      <c r="E9426" s="73"/>
      <c r="F9426" s="45"/>
    </row>
    <row r="9427" spans="4:6" x14ac:dyDescent="0.2">
      <c r="D9427" s="50"/>
      <c r="E9427" s="73"/>
      <c r="F9427" s="45"/>
    </row>
    <row r="9428" spans="4:6" x14ac:dyDescent="0.2">
      <c r="D9428" s="50"/>
      <c r="E9428" s="73"/>
      <c r="F9428" s="45"/>
    </row>
    <row r="9429" spans="4:6" x14ac:dyDescent="0.2">
      <c r="D9429" s="50"/>
      <c r="E9429" s="73"/>
      <c r="F9429" s="45"/>
    </row>
    <row r="9430" spans="4:6" x14ac:dyDescent="0.2">
      <c r="D9430" s="50"/>
      <c r="E9430" s="73"/>
      <c r="F9430" s="45"/>
    </row>
    <row r="9431" spans="4:6" x14ac:dyDescent="0.2">
      <c r="D9431" s="50"/>
      <c r="E9431" s="73"/>
      <c r="F9431" s="45"/>
    </row>
    <row r="9432" spans="4:6" x14ac:dyDescent="0.2">
      <c r="D9432" s="50"/>
      <c r="E9432" s="73"/>
      <c r="F9432" s="45"/>
    </row>
    <row r="9433" spans="4:6" x14ac:dyDescent="0.2">
      <c r="D9433" s="50"/>
      <c r="E9433" s="73"/>
      <c r="F9433" s="45"/>
    </row>
    <row r="9434" spans="4:6" x14ac:dyDescent="0.2">
      <c r="D9434" s="50"/>
      <c r="E9434" s="73"/>
      <c r="F9434" s="45"/>
    </row>
    <row r="9435" spans="4:6" x14ac:dyDescent="0.2">
      <c r="D9435" s="50"/>
      <c r="E9435" s="73"/>
      <c r="F9435" s="45"/>
    </row>
    <row r="9436" spans="4:6" x14ac:dyDescent="0.2">
      <c r="D9436" s="50"/>
      <c r="E9436" s="73"/>
      <c r="F9436" s="45"/>
    </row>
    <row r="9437" spans="4:6" x14ac:dyDescent="0.2">
      <c r="D9437" s="50"/>
      <c r="E9437" s="73"/>
      <c r="F9437" s="45"/>
    </row>
    <row r="9438" spans="4:6" x14ac:dyDescent="0.2">
      <c r="D9438" s="50"/>
      <c r="E9438" s="73"/>
      <c r="F9438" s="45"/>
    </row>
    <row r="9439" spans="4:6" x14ac:dyDescent="0.2">
      <c r="D9439" s="50"/>
      <c r="E9439" s="73"/>
      <c r="F9439" s="45"/>
    </row>
    <row r="9440" spans="4:6" x14ac:dyDescent="0.2">
      <c r="D9440" s="50"/>
      <c r="E9440" s="73"/>
      <c r="F9440" s="45"/>
    </row>
    <row r="9441" spans="4:6" x14ac:dyDescent="0.2">
      <c r="D9441" s="50"/>
      <c r="E9441" s="73"/>
      <c r="F9441" s="45"/>
    </row>
    <row r="9442" spans="4:6" x14ac:dyDescent="0.2">
      <c r="D9442" s="50"/>
      <c r="E9442" s="73"/>
      <c r="F9442" s="45"/>
    </row>
    <row r="9443" spans="4:6" x14ac:dyDescent="0.2">
      <c r="D9443" s="50"/>
      <c r="E9443" s="73"/>
      <c r="F9443" s="45"/>
    </row>
    <row r="9444" spans="4:6" x14ac:dyDescent="0.2">
      <c r="D9444" s="50"/>
      <c r="E9444" s="73"/>
      <c r="F9444" s="45"/>
    </row>
    <row r="9445" spans="4:6" x14ac:dyDescent="0.2">
      <c r="D9445" s="50"/>
      <c r="E9445" s="73"/>
      <c r="F9445" s="45"/>
    </row>
    <row r="9446" spans="4:6" x14ac:dyDescent="0.2">
      <c r="D9446" s="50"/>
      <c r="E9446" s="73"/>
      <c r="F9446" s="45"/>
    </row>
    <row r="9447" spans="4:6" x14ac:dyDescent="0.2">
      <c r="D9447" s="50"/>
      <c r="E9447" s="73"/>
      <c r="F9447" s="45"/>
    </row>
    <row r="9448" spans="4:6" x14ac:dyDescent="0.2">
      <c r="D9448" s="50"/>
      <c r="E9448" s="73"/>
      <c r="F9448" s="45"/>
    </row>
    <row r="9449" spans="4:6" x14ac:dyDescent="0.2">
      <c r="D9449" s="50"/>
      <c r="E9449" s="73"/>
      <c r="F9449" s="45"/>
    </row>
    <row r="9450" spans="4:6" x14ac:dyDescent="0.2">
      <c r="D9450" s="50"/>
      <c r="E9450" s="73"/>
      <c r="F9450" s="45"/>
    </row>
    <row r="9451" spans="4:6" x14ac:dyDescent="0.2">
      <c r="D9451" s="50"/>
      <c r="E9451" s="73"/>
      <c r="F9451" s="45"/>
    </row>
    <row r="9452" spans="4:6" x14ac:dyDescent="0.2">
      <c r="D9452" s="50"/>
      <c r="E9452" s="73"/>
      <c r="F9452" s="45"/>
    </row>
    <row r="9453" spans="4:6" x14ac:dyDescent="0.2">
      <c r="D9453" s="50"/>
      <c r="E9453" s="73"/>
      <c r="F9453" s="45"/>
    </row>
    <row r="9454" spans="4:6" x14ac:dyDescent="0.2">
      <c r="D9454" s="50"/>
      <c r="E9454" s="73"/>
      <c r="F9454" s="45"/>
    </row>
    <row r="9455" spans="4:6" x14ac:dyDescent="0.2">
      <c r="D9455" s="50"/>
      <c r="E9455" s="73"/>
      <c r="F9455" s="45"/>
    </row>
    <row r="9456" spans="4:6" x14ac:dyDescent="0.2">
      <c r="D9456" s="50"/>
      <c r="E9456" s="73"/>
      <c r="F9456" s="45"/>
    </row>
    <row r="9457" spans="4:6" x14ac:dyDescent="0.2">
      <c r="D9457" s="50"/>
      <c r="E9457" s="73"/>
      <c r="F9457" s="45"/>
    </row>
    <row r="9458" spans="4:6" x14ac:dyDescent="0.2">
      <c r="D9458" s="50"/>
      <c r="E9458" s="73"/>
      <c r="F9458" s="45"/>
    </row>
    <row r="9459" spans="4:6" x14ac:dyDescent="0.2">
      <c r="D9459" s="50"/>
      <c r="E9459" s="73"/>
      <c r="F9459" s="45"/>
    </row>
    <row r="9460" spans="4:6" x14ac:dyDescent="0.2">
      <c r="D9460" s="50"/>
      <c r="E9460" s="73"/>
      <c r="F9460" s="45"/>
    </row>
    <row r="9461" spans="4:6" x14ac:dyDescent="0.2">
      <c r="D9461" s="50"/>
      <c r="E9461" s="73"/>
      <c r="F9461" s="45"/>
    </row>
    <row r="9462" spans="4:6" x14ac:dyDescent="0.2">
      <c r="D9462" s="50"/>
      <c r="E9462" s="73"/>
      <c r="F9462" s="45"/>
    </row>
    <row r="9463" spans="4:6" x14ac:dyDescent="0.2">
      <c r="D9463" s="50"/>
      <c r="E9463" s="73"/>
      <c r="F9463" s="45"/>
    </row>
    <row r="9464" spans="4:6" x14ac:dyDescent="0.2">
      <c r="D9464" s="50"/>
      <c r="E9464" s="73"/>
      <c r="F9464" s="45"/>
    </row>
    <row r="9465" spans="4:6" x14ac:dyDescent="0.2">
      <c r="D9465" s="50"/>
      <c r="E9465" s="73"/>
      <c r="F9465" s="45"/>
    </row>
    <row r="9466" spans="4:6" x14ac:dyDescent="0.2">
      <c r="D9466" s="50"/>
      <c r="E9466" s="73"/>
      <c r="F9466" s="45"/>
    </row>
    <row r="9467" spans="4:6" x14ac:dyDescent="0.2">
      <c r="D9467" s="50"/>
      <c r="E9467" s="73"/>
      <c r="F9467" s="45"/>
    </row>
    <row r="9468" spans="4:6" x14ac:dyDescent="0.2">
      <c r="D9468" s="50"/>
      <c r="E9468" s="73"/>
      <c r="F9468" s="45"/>
    </row>
    <row r="9469" spans="4:6" x14ac:dyDescent="0.2">
      <c r="D9469" s="50"/>
      <c r="E9469" s="73"/>
      <c r="F9469" s="45"/>
    </row>
    <row r="9470" spans="4:6" x14ac:dyDescent="0.2">
      <c r="D9470" s="50"/>
      <c r="E9470" s="73"/>
      <c r="F9470" s="45"/>
    </row>
    <row r="9471" spans="4:6" x14ac:dyDescent="0.2">
      <c r="D9471" s="50"/>
      <c r="E9471" s="73"/>
      <c r="F9471" s="45"/>
    </row>
    <row r="9472" spans="4:6" x14ac:dyDescent="0.2">
      <c r="D9472" s="50"/>
      <c r="E9472" s="73"/>
      <c r="F9472" s="45"/>
    </row>
    <row r="9473" spans="4:6" x14ac:dyDescent="0.2">
      <c r="D9473" s="50"/>
      <c r="E9473" s="73"/>
      <c r="F9473" s="45"/>
    </row>
    <row r="9474" spans="4:6" x14ac:dyDescent="0.2">
      <c r="D9474" s="50"/>
      <c r="E9474" s="73"/>
      <c r="F9474" s="45"/>
    </row>
    <row r="9475" spans="4:6" x14ac:dyDescent="0.2">
      <c r="D9475" s="50"/>
      <c r="E9475" s="73"/>
      <c r="F9475" s="45"/>
    </row>
    <row r="9476" spans="4:6" x14ac:dyDescent="0.2">
      <c r="D9476" s="50"/>
      <c r="E9476" s="73"/>
      <c r="F9476" s="45"/>
    </row>
    <row r="9477" spans="4:6" x14ac:dyDescent="0.2">
      <c r="D9477" s="50"/>
      <c r="E9477" s="73"/>
      <c r="F9477" s="45"/>
    </row>
    <row r="9478" spans="4:6" x14ac:dyDescent="0.2">
      <c r="D9478" s="50"/>
      <c r="E9478" s="73"/>
      <c r="F9478" s="45"/>
    </row>
    <row r="9479" spans="4:6" x14ac:dyDescent="0.2">
      <c r="D9479" s="50"/>
      <c r="E9479" s="73"/>
      <c r="F9479" s="45"/>
    </row>
    <row r="9480" spans="4:6" x14ac:dyDescent="0.2">
      <c r="D9480" s="50"/>
      <c r="E9480" s="73"/>
      <c r="F9480" s="45"/>
    </row>
    <row r="9481" spans="4:6" x14ac:dyDescent="0.2">
      <c r="D9481" s="50"/>
      <c r="E9481" s="73"/>
      <c r="F9481" s="45"/>
    </row>
    <row r="9482" spans="4:6" x14ac:dyDescent="0.2">
      <c r="D9482" s="50"/>
      <c r="E9482" s="73"/>
      <c r="F9482" s="45"/>
    </row>
    <row r="9483" spans="4:6" x14ac:dyDescent="0.2">
      <c r="D9483" s="50"/>
      <c r="E9483" s="73"/>
      <c r="F9483" s="45"/>
    </row>
    <row r="9484" spans="4:6" x14ac:dyDescent="0.2">
      <c r="D9484" s="50"/>
      <c r="E9484" s="73"/>
      <c r="F9484" s="45"/>
    </row>
    <row r="9485" spans="4:6" x14ac:dyDescent="0.2">
      <c r="D9485" s="50"/>
      <c r="E9485" s="73"/>
      <c r="F9485" s="45"/>
    </row>
    <row r="9486" spans="4:6" x14ac:dyDescent="0.2">
      <c r="D9486" s="50"/>
      <c r="E9486" s="73"/>
      <c r="F9486" s="45"/>
    </row>
    <row r="9487" spans="4:6" x14ac:dyDescent="0.2">
      <c r="D9487" s="50"/>
      <c r="E9487" s="73"/>
      <c r="F9487" s="45"/>
    </row>
    <row r="9488" spans="4:6" x14ac:dyDescent="0.2">
      <c r="D9488" s="50"/>
      <c r="E9488" s="73"/>
      <c r="F9488" s="45"/>
    </row>
    <row r="9489" spans="4:6" x14ac:dyDescent="0.2">
      <c r="D9489" s="50"/>
      <c r="E9489" s="73"/>
      <c r="F9489" s="45"/>
    </row>
    <row r="9490" spans="4:6" x14ac:dyDescent="0.2">
      <c r="D9490" s="50"/>
      <c r="E9490" s="73"/>
      <c r="F9490" s="45"/>
    </row>
    <row r="9491" spans="4:6" x14ac:dyDescent="0.2">
      <c r="D9491" s="50"/>
      <c r="E9491" s="73"/>
      <c r="F9491" s="45"/>
    </row>
    <row r="9492" spans="4:6" x14ac:dyDescent="0.2">
      <c r="D9492" s="50"/>
      <c r="E9492" s="73"/>
      <c r="F9492" s="45"/>
    </row>
    <row r="9493" spans="4:6" x14ac:dyDescent="0.2">
      <c r="D9493" s="50"/>
      <c r="E9493" s="73"/>
      <c r="F9493" s="45"/>
    </row>
    <row r="9494" spans="4:6" x14ac:dyDescent="0.2">
      <c r="D9494" s="50"/>
      <c r="E9494" s="73"/>
      <c r="F9494" s="45"/>
    </row>
    <row r="9495" spans="4:6" x14ac:dyDescent="0.2">
      <c r="D9495" s="50"/>
      <c r="E9495" s="73"/>
      <c r="F9495" s="45"/>
    </row>
    <row r="9496" spans="4:6" x14ac:dyDescent="0.2">
      <c r="D9496" s="50"/>
      <c r="E9496" s="73"/>
      <c r="F9496" s="45"/>
    </row>
    <row r="9497" spans="4:6" x14ac:dyDescent="0.2">
      <c r="D9497" s="50"/>
      <c r="E9497" s="73"/>
      <c r="F9497" s="45"/>
    </row>
    <row r="9498" spans="4:6" x14ac:dyDescent="0.2">
      <c r="D9498" s="50"/>
      <c r="E9498" s="73"/>
      <c r="F9498" s="45"/>
    </row>
    <row r="9499" spans="4:6" x14ac:dyDescent="0.2">
      <c r="D9499" s="50"/>
      <c r="E9499" s="73"/>
      <c r="F9499" s="45"/>
    </row>
    <row r="9500" spans="4:6" x14ac:dyDescent="0.2">
      <c r="D9500" s="50"/>
      <c r="E9500" s="73"/>
      <c r="F9500" s="45"/>
    </row>
    <row r="9501" spans="4:6" x14ac:dyDescent="0.2">
      <c r="D9501" s="50"/>
      <c r="E9501" s="73"/>
      <c r="F9501" s="45"/>
    </row>
    <row r="9502" spans="4:6" x14ac:dyDescent="0.2">
      <c r="D9502" s="50"/>
      <c r="E9502" s="73"/>
      <c r="F9502" s="45"/>
    </row>
    <row r="9503" spans="4:6" x14ac:dyDescent="0.2">
      <c r="D9503" s="50"/>
      <c r="E9503" s="73"/>
      <c r="F9503" s="45"/>
    </row>
    <row r="9504" spans="4:6" x14ac:dyDescent="0.2">
      <c r="D9504" s="50"/>
      <c r="E9504" s="73"/>
      <c r="F9504" s="45"/>
    </row>
    <row r="9505" spans="4:6" x14ac:dyDescent="0.2">
      <c r="D9505" s="50"/>
      <c r="E9505" s="73"/>
      <c r="F9505" s="45"/>
    </row>
    <row r="9506" spans="4:6" x14ac:dyDescent="0.2">
      <c r="D9506" s="50"/>
      <c r="E9506" s="73"/>
      <c r="F9506" s="45"/>
    </row>
    <row r="9507" spans="4:6" x14ac:dyDescent="0.2">
      <c r="D9507" s="50"/>
      <c r="E9507" s="73"/>
      <c r="F9507" s="45"/>
    </row>
    <row r="9508" spans="4:6" x14ac:dyDescent="0.2">
      <c r="D9508" s="50"/>
      <c r="E9508" s="73"/>
      <c r="F9508" s="45"/>
    </row>
    <row r="9509" spans="4:6" x14ac:dyDescent="0.2">
      <c r="D9509" s="50"/>
      <c r="E9509" s="73"/>
      <c r="F9509" s="45"/>
    </row>
    <row r="9510" spans="4:6" x14ac:dyDescent="0.2">
      <c r="D9510" s="50"/>
      <c r="E9510" s="73"/>
      <c r="F9510" s="45"/>
    </row>
    <row r="9511" spans="4:6" x14ac:dyDescent="0.2">
      <c r="D9511" s="50"/>
      <c r="E9511" s="73"/>
      <c r="F9511" s="45"/>
    </row>
    <row r="9512" spans="4:6" x14ac:dyDescent="0.2">
      <c r="D9512" s="50"/>
      <c r="E9512" s="73"/>
      <c r="F9512" s="45"/>
    </row>
    <row r="9513" spans="4:6" x14ac:dyDescent="0.2">
      <c r="D9513" s="50"/>
      <c r="E9513" s="73"/>
      <c r="F9513" s="45"/>
    </row>
    <row r="9514" spans="4:6" x14ac:dyDescent="0.2">
      <c r="D9514" s="50"/>
      <c r="E9514" s="73"/>
      <c r="F9514" s="45"/>
    </row>
    <row r="9515" spans="4:6" x14ac:dyDescent="0.2">
      <c r="D9515" s="50"/>
      <c r="E9515" s="73"/>
      <c r="F9515" s="45"/>
    </row>
    <row r="9516" spans="4:6" x14ac:dyDescent="0.2">
      <c r="D9516" s="50"/>
      <c r="E9516" s="73"/>
      <c r="F9516" s="45"/>
    </row>
    <row r="9517" spans="4:6" x14ac:dyDescent="0.2">
      <c r="D9517" s="50"/>
      <c r="E9517" s="73"/>
      <c r="F9517" s="45"/>
    </row>
    <row r="9518" spans="4:6" x14ac:dyDescent="0.2">
      <c r="D9518" s="50"/>
      <c r="E9518" s="73"/>
      <c r="F9518" s="45"/>
    </row>
    <row r="9519" spans="4:6" x14ac:dyDescent="0.2">
      <c r="D9519" s="50"/>
      <c r="E9519" s="73"/>
      <c r="F9519" s="45"/>
    </row>
    <row r="9520" spans="4:6" x14ac:dyDescent="0.2">
      <c r="D9520" s="50"/>
      <c r="E9520" s="73"/>
      <c r="F9520" s="45"/>
    </row>
    <row r="9521" spans="4:6" x14ac:dyDescent="0.2">
      <c r="D9521" s="50"/>
      <c r="E9521" s="73"/>
      <c r="F9521" s="45"/>
    </row>
    <row r="9522" spans="4:6" x14ac:dyDescent="0.2">
      <c r="D9522" s="50"/>
      <c r="E9522" s="73"/>
      <c r="F9522" s="45"/>
    </row>
    <row r="9523" spans="4:6" x14ac:dyDescent="0.2">
      <c r="D9523" s="50"/>
      <c r="E9523" s="73"/>
      <c r="F9523" s="45"/>
    </row>
    <row r="9524" spans="4:6" x14ac:dyDescent="0.2">
      <c r="D9524" s="50"/>
      <c r="E9524" s="73"/>
      <c r="F9524" s="45"/>
    </row>
    <row r="9525" spans="4:6" x14ac:dyDescent="0.2">
      <c r="D9525" s="50"/>
      <c r="E9525" s="73"/>
      <c r="F9525" s="45"/>
    </row>
    <row r="9526" spans="4:6" x14ac:dyDescent="0.2">
      <c r="D9526" s="50"/>
      <c r="E9526" s="73"/>
      <c r="F9526" s="45"/>
    </row>
    <row r="9527" spans="4:6" x14ac:dyDescent="0.2">
      <c r="D9527" s="50"/>
      <c r="E9527" s="73"/>
      <c r="F9527" s="45"/>
    </row>
    <row r="9528" spans="4:6" x14ac:dyDescent="0.2">
      <c r="D9528" s="50"/>
      <c r="E9528" s="73"/>
      <c r="F9528" s="45"/>
    </row>
    <row r="9529" spans="4:6" x14ac:dyDescent="0.2">
      <c r="D9529" s="50"/>
      <c r="E9529" s="73"/>
      <c r="F9529" s="45"/>
    </row>
    <row r="9530" spans="4:6" x14ac:dyDescent="0.2">
      <c r="D9530" s="50"/>
      <c r="E9530" s="73"/>
      <c r="F9530" s="45"/>
    </row>
    <row r="9531" spans="4:6" x14ac:dyDescent="0.2">
      <c r="D9531" s="50"/>
      <c r="E9531" s="73"/>
      <c r="F9531" s="45"/>
    </row>
    <row r="9532" spans="4:6" x14ac:dyDescent="0.2">
      <c r="D9532" s="50"/>
      <c r="E9532" s="73"/>
      <c r="F9532" s="45"/>
    </row>
    <row r="9533" spans="4:6" x14ac:dyDescent="0.2">
      <c r="D9533" s="50"/>
      <c r="E9533" s="73"/>
      <c r="F9533" s="45"/>
    </row>
    <row r="9534" spans="4:6" x14ac:dyDescent="0.2">
      <c r="D9534" s="50"/>
      <c r="E9534" s="73"/>
      <c r="F9534" s="45"/>
    </row>
    <row r="9535" spans="4:6" x14ac:dyDescent="0.2">
      <c r="D9535" s="50"/>
      <c r="E9535" s="73"/>
      <c r="F9535" s="45"/>
    </row>
    <row r="9536" spans="4:6" x14ac:dyDescent="0.2">
      <c r="D9536" s="50"/>
      <c r="E9536" s="73"/>
      <c r="F9536" s="45"/>
    </row>
    <row r="9537" spans="4:6" x14ac:dyDescent="0.2">
      <c r="D9537" s="50"/>
      <c r="E9537" s="73"/>
      <c r="F9537" s="45"/>
    </row>
    <row r="9538" spans="4:6" x14ac:dyDescent="0.2">
      <c r="D9538" s="50"/>
      <c r="E9538" s="73"/>
      <c r="F9538" s="45"/>
    </row>
    <row r="9539" spans="4:6" x14ac:dyDescent="0.2">
      <c r="D9539" s="50"/>
      <c r="E9539" s="73"/>
      <c r="F9539" s="45"/>
    </row>
    <row r="9540" spans="4:6" x14ac:dyDescent="0.2">
      <c r="D9540" s="50"/>
      <c r="E9540" s="73"/>
      <c r="F9540" s="45"/>
    </row>
    <row r="9541" spans="4:6" x14ac:dyDescent="0.2">
      <c r="D9541" s="50"/>
      <c r="E9541" s="73"/>
      <c r="F9541" s="45"/>
    </row>
    <row r="9542" spans="4:6" x14ac:dyDescent="0.2">
      <c r="D9542" s="50"/>
      <c r="E9542" s="73"/>
      <c r="F9542" s="45"/>
    </row>
    <row r="9543" spans="4:6" x14ac:dyDescent="0.2">
      <c r="D9543" s="50"/>
      <c r="E9543" s="73"/>
      <c r="F9543" s="45"/>
    </row>
    <row r="9544" spans="4:6" x14ac:dyDescent="0.2">
      <c r="D9544" s="50"/>
      <c r="E9544" s="73"/>
      <c r="F9544" s="45"/>
    </row>
    <row r="9545" spans="4:6" x14ac:dyDescent="0.2">
      <c r="D9545" s="50"/>
      <c r="E9545" s="73"/>
      <c r="F9545" s="45"/>
    </row>
    <row r="9546" spans="4:6" x14ac:dyDescent="0.2">
      <c r="D9546" s="50"/>
      <c r="E9546" s="73"/>
      <c r="F9546" s="45"/>
    </row>
    <row r="9547" spans="4:6" x14ac:dyDescent="0.2">
      <c r="D9547" s="50"/>
      <c r="E9547" s="73"/>
      <c r="F9547" s="45"/>
    </row>
    <row r="9548" spans="4:6" x14ac:dyDescent="0.2">
      <c r="D9548" s="50"/>
      <c r="E9548" s="73"/>
      <c r="F9548" s="45"/>
    </row>
    <row r="9549" spans="4:6" x14ac:dyDescent="0.2">
      <c r="D9549" s="50"/>
      <c r="E9549" s="73"/>
      <c r="F9549" s="45"/>
    </row>
    <row r="9550" spans="4:6" x14ac:dyDescent="0.2">
      <c r="D9550" s="50"/>
      <c r="E9550" s="73"/>
      <c r="F9550" s="45"/>
    </row>
    <row r="9551" spans="4:6" x14ac:dyDescent="0.2">
      <c r="D9551" s="50"/>
      <c r="E9551" s="73"/>
      <c r="F9551" s="45"/>
    </row>
    <row r="9552" spans="4:6" x14ac:dyDescent="0.2">
      <c r="D9552" s="50"/>
      <c r="E9552" s="73"/>
      <c r="F9552" s="45"/>
    </row>
    <row r="9553" spans="4:6" x14ac:dyDescent="0.2">
      <c r="D9553" s="50"/>
      <c r="E9553" s="73"/>
      <c r="F9553" s="45"/>
    </row>
    <row r="9554" spans="4:6" x14ac:dyDescent="0.2">
      <c r="D9554" s="50"/>
      <c r="E9554" s="73"/>
      <c r="F9554" s="45"/>
    </row>
    <row r="9555" spans="4:6" x14ac:dyDescent="0.2">
      <c r="D9555" s="50"/>
      <c r="E9555" s="73"/>
      <c r="F9555" s="45"/>
    </row>
    <row r="9556" spans="4:6" x14ac:dyDescent="0.2">
      <c r="D9556" s="50"/>
      <c r="E9556" s="73"/>
      <c r="F9556" s="45"/>
    </row>
    <row r="9557" spans="4:6" x14ac:dyDescent="0.2">
      <c r="D9557" s="50"/>
      <c r="E9557" s="73"/>
      <c r="F9557" s="45"/>
    </row>
    <row r="9558" spans="4:6" x14ac:dyDescent="0.2">
      <c r="D9558" s="50"/>
      <c r="E9558" s="73"/>
      <c r="F9558" s="45"/>
    </row>
    <row r="9559" spans="4:6" x14ac:dyDescent="0.2">
      <c r="D9559" s="50"/>
      <c r="E9559" s="73"/>
      <c r="F9559" s="45"/>
    </row>
    <row r="9560" spans="4:6" x14ac:dyDescent="0.2">
      <c r="D9560" s="50"/>
      <c r="E9560" s="73"/>
      <c r="F9560" s="45"/>
    </row>
    <row r="9561" spans="4:6" x14ac:dyDescent="0.2">
      <c r="D9561" s="50"/>
      <c r="E9561" s="73"/>
      <c r="F9561" s="45"/>
    </row>
    <row r="9562" spans="4:6" x14ac:dyDescent="0.2">
      <c r="D9562" s="50"/>
      <c r="E9562" s="73"/>
      <c r="F9562" s="45"/>
    </row>
    <row r="9563" spans="4:6" x14ac:dyDescent="0.2">
      <c r="D9563" s="50"/>
      <c r="E9563" s="73"/>
      <c r="F9563" s="45"/>
    </row>
    <row r="9564" spans="4:6" x14ac:dyDescent="0.2">
      <c r="D9564" s="50"/>
      <c r="E9564" s="73"/>
      <c r="F9564" s="45"/>
    </row>
    <row r="9565" spans="4:6" x14ac:dyDescent="0.2">
      <c r="D9565" s="50"/>
      <c r="E9565" s="73"/>
      <c r="F9565" s="45"/>
    </row>
    <row r="9566" spans="4:6" x14ac:dyDescent="0.2">
      <c r="D9566" s="50"/>
      <c r="E9566" s="73"/>
      <c r="F9566" s="45"/>
    </row>
    <row r="9567" spans="4:6" x14ac:dyDescent="0.2">
      <c r="D9567" s="50"/>
      <c r="E9567" s="73"/>
      <c r="F9567" s="45"/>
    </row>
    <row r="9568" spans="4:6" x14ac:dyDescent="0.2">
      <c r="D9568" s="50"/>
      <c r="E9568" s="73"/>
      <c r="F9568" s="45"/>
    </row>
    <row r="9569" spans="4:6" x14ac:dyDescent="0.2">
      <c r="D9569" s="50"/>
      <c r="E9569" s="73"/>
      <c r="F9569" s="45"/>
    </row>
    <row r="9570" spans="4:6" x14ac:dyDescent="0.2">
      <c r="D9570" s="50"/>
      <c r="E9570" s="73"/>
      <c r="F9570" s="45"/>
    </row>
    <row r="9571" spans="4:6" x14ac:dyDescent="0.2">
      <c r="D9571" s="50"/>
      <c r="E9571" s="73"/>
      <c r="F9571" s="45"/>
    </row>
    <row r="9572" spans="4:6" x14ac:dyDescent="0.2">
      <c r="D9572" s="50"/>
      <c r="E9572" s="73"/>
      <c r="F9572" s="45"/>
    </row>
    <row r="9573" spans="4:6" x14ac:dyDescent="0.2">
      <c r="D9573" s="50"/>
      <c r="E9573" s="73"/>
      <c r="F9573" s="45"/>
    </row>
    <row r="9574" spans="4:6" x14ac:dyDescent="0.2">
      <c r="D9574" s="50"/>
      <c r="E9574" s="73"/>
      <c r="F9574" s="45"/>
    </row>
    <row r="9575" spans="4:6" x14ac:dyDescent="0.2">
      <c r="D9575" s="50"/>
      <c r="E9575" s="73"/>
      <c r="F9575" s="45"/>
    </row>
    <row r="9576" spans="4:6" x14ac:dyDescent="0.2">
      <c r="D9576" s="50"/>
      <c r="E9576" s="73"/>
      <c r="F9576" s="45"/>
    </row>
    <row r="9577" spans="4:6" x14ac:dyDescent="0.2">
      <c r="D9577" s="50"/>
      <c r="E9577" s="73"/>
      <c r="F9577" s="45"/>
    </row>
    <row r="9578" spans="4:6" x14ac:dyDescent="0.2">
      <c r="D9578" s="50"/>
      <c r="E9578" s="73"/>
      <c r="F9578" s="45"/>
    </row>
    <row r="9579" spans="4:6" x14ac:dyDescent="0.2">
      <c r="D9579" s="50"/>
      <c r="E9579" s="73"/>
      <c r="F9579" s="45"/>
    </row>
    <row r="9580" spans="4:6" x14ac:dyDescent="0.2">
      <c r="D9580" s="50"/>
      <c r="E9580" s="73"/>
      <c r="F9580" s="45"/>
    </row>
    <row r="9581" spans="4:6" x14ac:dyDescent="0.2">
      <c r="D9581" s="50"/>
      <c r="E9581" s="73"/>
      <c r="F9581" s="45"/>
    </row>
    <row r="9582" spans="4:6" x14ac:dyDescent="0.2">
      <c r="D9582" s="50"/>
      <c r="E9582" s="73"/>
      <c r="F9582" s="45"/>
    </row>
    <row r="9583" spans="4:6" x14ac:dyDescent="0.2">
      <c r="D9583" s="50"/>
      <c r="E9583" s="73"/>
      <c r="F9583" s="45"/>
    </row>
    <row r="9584" spans="4:6" x14ac:dyDescent="0.2">
      <c r="D9584" s="50"/>
      <c r="E9584" s="73"/>
      <c r="F9584" s="45"/>
    </row>
    <row r="9585" spans="4:6" x14ac:dyDescent="0.2">
      <c r="D9585" s="50"/>
      <c r="E9585" s="73"/>
      <c r="F9585" s="45"/>
    </row>
    <row r="9586" spans="4:6" x14ac:dyDescent="0.2">
      <c r="D9586" s="50"/>
      <c r="E9586" s="73"/>
      <c r="F9586" s="45"/>
    </row>
    <row r="9587" spans="4:6" x14ac:dyDescent="0.2">
      <c r="D9587" s="50"/>
      <c r="E9587" s="73"/>
      <c r="F9587" s="45"/>
    </row>
    <row r="9588" spans="4:6" x14ac:dyDescent="0.2">
      <c r="D9588" s="50"/>
      <c r="E9588" s="73"/>
      <c r="F9588" s="45"/>
    </row>
    <row r="9589" spans="4:6" x14ac:dyDescent="0.2">
      <c r="D9589" s="50"/>
      <c r="E9589" s="73"/>
      <c r="F9589" s="45"/>
    </row>
    <row r="9590" spans="4:6" x14ac:dyDescent="0.2">
      <c r="D9590" s="50"/>
      <c r="E9590" s="73"/>
      <c r="F9590" s="45"/>
    </row>
    <row r="9591" spans="4:6" x14ac:dyDescent="0.2">
      <c r="D9591" s="50"/>
      <c r="E9591" s="73"/>
      <c r="F9591" s="45"/>
    </row>
    <row r="9592" spans="4:6" x14ac:dyDescent="0.2">
      <c r="D9592" s="50"/>
      <c r="E9592" s="73"/>
      <c r="F9592" s="45"/>
    </row>
    <row r="9593" spans="4:6" x14ac:dyDescent="0.2">
      <c r="D9593" s="50"/>
      <c r="E9593" s="73"/>
      <c r="F9593" s="45"/>
    </row>
    <row r="9594" spans="4:6" x14ac:dyDescent="0.2">
      <c r="D9594" s="50"/>
      <c r="E9594" s="73"/>
      <c r="F9594" s="45"/>
    </row>
    <row r="9595" spans="4:6" x14ac:dyDescent="0.2">
      <c r="D9595" s="50"/>
      <c r="E9595" s="73"/>
      <c r="F9595" s="45"/>
    </row>
    <row r="9596" spans="4:6" x14ac:dyDescent="0.2">
      <c r="D9596" s="50"/>
      <c r="E9596" s="73"/>
      <c r="F9596" s="45"/>
    </row>
    <row r="9597" spans="4:6" x14ac:dyDescent="0.2">
      <c r="D9597" s="50"/>
      <c r="E9597" s="73"/>
      <c r="F9597" s="45"/>
    </row>
    <row r="9598" spans="4:6" x14ac:dyDescent="0.2">
      <c r="D9598" s="50"/>
      <c r="E9598" s="73"/>
      <c r="F9598" s="45"/>
    </row>
    <row r="9599" spans="4:6" x14ac:dyDescent="0.2">
      <c r="D9599" s="50"/>
      <c r="E9599" s="73"/>
      <c r="F9599" s="45"/>
    </row>
    <row r="9600" spans="4:6" x14ac:dyDescent="0.2">
      <c r="D9600" s="50"/>
      <c r="E9600" s="73"/>
      <c r="F9600" s="45"/>
    </row>
    <row r="9601" spans="4:6" x14ac:dyDescent="0.2">
      <c r="D9601" s="50"/>
      <c r="E9601" s="73"/>
      <c r="F9601" s="45"/>
    </row>
    <row r="9602" spans="4:6" x14ac:dyDescent="0.2">
      <c r="D9602" s="50"/>
      <c r="E9602" s="73"/>
      <c r="F9602" s="45"/>
    </row>
    <row r="9603" spans="4:6" x14ac:dyDescent="0.2">
      <c r="D9603" s="50"/>
      <c r="E9603" s="73"/>
      <c r="F9603" s="45"/>
    </row>
    <row r="9604" spans="4:6" x14ac:dyDescent="0.2">
      <c r="D9604" s="50"/>
      <c r="E9604" s="73"/>
      <c r="F9604" s="45"/>
    </row>
    <row r="9605" spans="4:6" x14ac:dyDescent="0.2">
      <c r="D9605" s="50"/>
      <c r="E9605" s="73"/>
      <c r="F9605" s="45"/>
    </row>
    <row r="9606" spans="4:6" x14ac:dyDescent="0.2">
      <c r="D9606" s="50"/>
      <c r="E9606" s="73"/>
      <c r="F9606" s="45"/>
    </row>
    <row r="9607" spans="4:6" x14ac:dyDescent="0.2">
      <c r="D9607" s="50"/>
      <c r="E9607" s="73"/>
      <c r="F9607" s="45"/>
    </row>
    <row r="9608" spans="4:6" x14ac:dyDescent="0.2">
      <c r="D9608" s="50"/>
      <c r="E9608" s="73"/>
      <c r="F9608" s="45"/>
    </row>
    <row r="9609" spans="4:6" x14ac:dyDescent="0.2">
      <c r="D9609" s="50"/>
      <c r="E9609" s="73"/>
      <c r="F9609" s="45"/>
    </row>
    <row r="9610" spans="4:6" x14ac:dyDescent="0.2">
      <c r="D9610" s="50"/>
      <c r="E9610" s="73"/>
      <c r="F9610" s="45"/>
    </row>
    <row r="9611" spans="4:6" x14ac:dyDescent="0.2">
      <c r="D9611" s="50"/>
      <c r="E9611" s="73"/>
      <c r="F9611" s="45"/>
    </row>
    <row r="9612" spans="4:6" x14ac:dyDescent="0.2">
      <c r="D9612" s="50"/>
      <c r="E9612" s="73"/>
      <c r="F9612" s="45"/>
    </row>
    <row r="9613" spans="4:6" x14ac:dyDescent="0.2">
      <c r="D9613" s="50"/>
      <c r="E9613" s="73"/>
      <c r="F9613" s="45"/>
    </row>
    <row r="9614" spans="4:6" x14ac:dyDescent="0.2">
      <c r="D9614" s="50"/>
      <c r="E9614" s="73"/>
      <c r="F9614" s="45"/>
    </row>
    <row r="9615" spans="4:6" x14ac:dyDescent="0.2">
      <c r="D9615" s="50"/>
      <c r="E9615" s="73"/>
      <c r="F9615" s="45"/>
    </row>
    <row r="9616" spans="4:6" x14ac:dyDescent="0.2">
      <c r="D9616" s="50"/>
      <c r="E9616" s="73"/>
      <c r="F9616" s="45"/>
    </row>
    <row r="9617" spans="4:6" x14ac:dyDescent="0.2">
      <c r="D9617" s="50"/>
      <c r="E9617" s="73"/>
      <c r="F9617" s="45"/>
    </row>
    <row r="9618" spans="4:6" x14ac:dyDescent="0.2">
      <c r="D9618" s="50"/>
      <c r="E9618" s="73"/>
      <c r="F9618" s="45"/>
    </row>
    <row r="9619" spans="4:6" x14ac:dyDescent="0.2">
      <c r="D9619" s="50"/>
      <c r="E9619" s="73"/>
      <c r="F9619" s="45"/>
    </row>
    <row r="9620" spans="4:6" x14ac:dyDescent="0.2">
      <c r="D9620" s="50"/>
      <c r="E9620" s="73"/>
      <c r="F9620" s="45"/>
    </row>
    <row r="9621" spans="4:6" x14ac:dyDescent="0.2">
      <c r="D9621" s="50"/>
      <c r="E9621" s="73"/>
      <c r="F9621" s="45"/>
    </row>
    <row r="9622" spans="4:6" x14ac:dyDescent="0.2">
      <c r="D9622" s="50"/>
      <c r="E9622" s="73"/>
      <c r="F9622" s="45"/>
    </row>
    <row r="9623" spans="4:6" x14ac:dyDescent="0.2">
      <c r="D9623" s="50"/>
      <c r="E9623" s="73"/>
      <c r="F9623" s="45"/>
    </row>
    <row r="9624" spans="4:6" x14ac:dyDescent="0.2">
      <c r="D9624" s="50"/>
      <c r="E9624" s="73"/>
      <c r="F9624" s="45"/>
    </row>
    <row r="9625" spans="4:6" x14ac:dyDescent="0.2">
      <c r="D9625" s="50"/>
      <c r="E9625" s="73"/>
      <c r="F9625" s="45"/>
    </row>
    <row r="9626" spans="4:6" x14ac:dyDescent="0.2">
      <c r="D9626" s="50"/>
      <c r="E9626" s="73"/>
      <c r="F9626" s="45"/>
    </row>
    <row r="9627" spans="4:6" x14ac:dyDescent="0.2">
      <c r="D9627" s="50"/>
      <c r="E9627" s="73"/>
      <c r="F9627" s="45"/>
    </row>
    <row r="9628" spans="4:6" x14ac:dyDescent="0.2">
      <c r="D9628" s="50"/>
      <c r="E9628" s="73"/>
      <c r="F9628" s="45"/>
    </row>
    <row r="9629" spans="4:6" x14ac:dyDescent="0.2">
      <c r="D9629" s="50"/>
      <c r="E9629" s="73"/>
      <c r="F9629" s="45"/>
    </row>
    <row r="9630" spans="4:6" x14ac:dyDescent="0.2">
      <c r="D9630" s="50"/>
      <c r="E9630" s="73"/>
      <c r="F9630" s="45"/>
    </row>
    <row r="9631" spans="4:6" x14ac:dyDescent="0.2">
      <c r="D9631" s="50"/>
      <c r="E9631" s="73"/>
      <c r="F9631" s="45"/>
    </row>
    <row r="9632" spans="4:6" x14ac:dyDescent="0.2">
      <c r="D9632" s="50"/>
      <c r="E9632" s="73"/>
      <c r="F9632" s="45"/>
    </row>
    <row r="9633" spans="4:6" x14ac:dyDescent="0.2">
      <c r="D9633" s="50"/>
      <c r="E9633" s="73"/>
      <c r="F9633" s="45"/>
    </row>
    <row r="9634" spans="4:6" x14ac:dyDescent="0.2">
      <c r="D9634" s="50"/>
      <c r="E9634" s="73"/>
      <c r="F9634" s="45"/>
    </row>
    <row r="9635" spans="4:6" x14ac:dyDescent="0.2">
      <c r="D9635" s="50"/>
      <c r="E9635" s="73"/>
      <c r="F9635" s="45"/>
    </row>
    <row r="9636" spans="4:6" x14ac:dyDescent="0.2">
      <c r="D9636" s="50"/>
      <c r="E9636" s="73"/>
      <c r="F9636" s="45"/>
    </row>
    <row r="9637" spans="4:6" x14ac:dyDescent="0.2">
      <c r="D9637" s="50"/>
      <c r="E9637" s="73"/>
      <c r="F9637" s="45"/>
    </row>
    <row r="9638" spans="4:6" x14ac:dyDescent="0.2">
      <c r="D9638" s="50"/>
      <c r="E9638" s="73"/>
      <c r="F9638" s="45"/>
    </row>
    <row r="9639" spans="4:6" x14ac:dyDescent="0.2">
      <c r="D9639" s="50"/>
      <c r="E9639" s="73"/>
      <c r="F9639" s="45"/>
    </row>
    <row r="9640" spans="4:6" x14ac:dyDescent="0.2">
      <c r="D9640" s="50"/>
      <c r="E9640" s="73"/>
      <c r="F9640" s="45"/>
    </row>
    <row r="9641" spans="4:6" x14ac:dyDescent="0.2">
      <c r="D9641" s="50"/>
      <c r="E9641" s="73"/>
      <c r="F9641" s="45"/>
    </row>
    <row r="9642" spans="4:6" x14ac:dyDescent="0.2">
      <c r="D9642" s="50"/>
      <c r="E9642" s="73"/>
      <c r="F9642" s="45"/>
    </row>
    <row r="9643" spans="4:6" x14ac:dyDescent="0.2">
      <c r="D9643" s="50"/>
      <c r="E9643" s="73"/>
      <c r="F9643" s="45"/>
    </row>
    <row r="9644" spans="4:6" x14ac:dyDescent="0.2">
      <c r="D9644" s="50"/>
      <c r="E9644" s="73"/>
      <c r="F9644" s="45"/>
    </row>
    <row r="9645" spans="4:6" x14ac:dyDescent="0.2">
      <c r="D9645" s="50"/>
      <c r="E9645" s="73"/>
      <c r="F9645" s="45"/>
    </row>
    <row r="9646" spans="4:6" x14ac:dyDescent="0.2">
      <c r="D9646" s="50"/>
      <c r="E9646" s="73"/>
      <c r="F9646" s="45"/>
    </row>
    <row r="9647" spans="4:6" x14ac:dyDescent="0.2">
      <c r="D9647" s="50"/>
      <c r="E9647" s="73"/>
      <c r="F9647" s="45"/>
    </row>
    <row r="9648" spans="4:6" x14ac:dyDescent="0.2">
      <c r="D9648" s="50"/>
      <c r="E9648" s="73"/>
      <c r="F9648" s="45"/>
    </row>
    <row r="9649" spans="4:6" x14ac:dyDescent="0.2">
      <c r="D9649" s="50"/>
      <c r="E9649" s="73"/>
      <c r="F9649" s="45"/>
    </row>
    <row r="9650" spans="4:6" x14ac:dyDescent="0.2">
      <c r="D9650" s="50"/>
      <c r="E9650" s="73"/>
      <c r="F9650" s="45"/>
    </row>
    <row r="9651" spans="4:6" x14ac:dyDescent="0.2">
      <c r="D9651" s="50"/>
      <c r="E9651" s="73"/>
      <c r="F9651" s="45"/>
    </row>
    <row r="9652" spans="4:6" x14ac:dyDescent="0.2">
      <c r="D9652" s="50"/>
      <c r="E9652" s="73"/>
      <c r="F9652" s="45"/>
    </row>
    <row r="9653" spans="4:6" x14ac:dyDescent="0.2">
      <c r="D9653" s="50"/>
      <c r="E9653" s="73"/>
      <c r="F9653" s="45"/>
    </row>
    <row r="9654" spans="4:6" x14ac:dyDescent="0.2">
      <c r="D9654" s="50"/>
      <c r="E9654" s="73"/>
      <c r="F9654" s="45"/>
    </row>
    <row r="9655" spans="4:6" x14ac:dyDescent="0.2">
      <c r="D9655" s="50"/>
      <c r="E9655" s="73"/>
      <c r="F9655" s="45"/>
    </row>
    <row r="9656" spans="4:6" x14ac:dyDescent="0.2">
      <c r="D9656" s="50"/>
      <c r="E9656" s="73"/>
      <c r="F9656" s="45"/>
    </row>
    <row r="9657" spans="4:6" x14ac:dyDescent="0.2">
      <c r="D9657" s="50"/>
      <c r="E9657" s="73"/>
      <c r="F9657" s="45"/>
    </row>
    <row r="9658" spans="4:6" x14ac:dyDescent="0.2">
      <c r="D9658" s="50"/>
      <c r="E9658" s="73"/>
      <c r="F9658" s="45"/>
    </row>
    <row r="9659" spans="4:6" x14ac:dyDescent="0.2">
      <c r="D9659" s="50"/>
      <c r="E9659" s="73"/>
      <c r="F9659" s="45"/>
    </row>
    <row r="9660" spans="4:6" x14ac:dyDescent="0.2">
      <c r="D9660" s="50"/>
      <c r="E9660" s="73"/>
      <c r="F9660" s="45"/>
    </row>
    <row r="9661" spans="4:6" x14ac:dyDescent="0.2">
      <c r="D9661" s="50"/>
      <c r="E9661" s="73"/>
      <c r="F9661" s="45"/>
    </row>
    <row r="9662" spans="4:6" x14ac:dyDescent="0.2">
      <c r="D9662" s="50"/>
      <c r="E9662" s="73"/>
      <c r="F9662" s="45"/>
    </row>
    <row r="9663" spans="4:6" x14ac:dyDescent="0.2">
      <c r="D9663" s="50"/>
      <c r="E9663" s="73"/>
      <c r="F9663" s="45"/>
    </row>
    <row r="9664" spans="4:6" x14ac:dyDescent="0.2">
      <c r="D9664" s="50"/>
      <c r="E9664" s="73"/>
      <c r="F9664" s="45"/>
    </row>
    <row r="9665" spans="4:6" x14ac:dyDescent="0.2">
      <c r="D9665" s="50"/>
      <c r="E9665" s="73"/>
      <c r="F9665" s="45"/>
    </row>
    <row r="9666" spans="4:6" x14ac:dyDescent="0.2">
      <c r="D9666" s="50"/>
      <c r="E9666" s="73"/>
      <c r="F9666" s="45"/>
    </row>
    <row r="9667" spans="4:6" x14ac:dyDescent="0.2">
      <c r="D9667" s="50"/>
      <c r="E9667" s="73"/>
      <c r="F9667" s="45"/>
    </row>
    <row r="9668" spans="4:6" x14ac:dyDescent="0.2">
      <c r="D9668" s="50"/>
      <c r="E9668" s="73"/>
      <c r="F9668" s="45"/>
    </row>
    <row r="9669" spans="4:6" x14ac:dyDescent="0.2">
      <c r="D9669" s="50"/>
      <c r="E9669" s="73"/>
      <c r="F9669" s="45"/>
    </row>
    <row r="9670" spans="4:6" x14ac:dyDescent="0.2">
      <c r="D9670" s="50"/>
      <c r="E9670" s="73"/>
      <c r="F9670" s="45"/>
    </row>
    <row r="9671" spans="4:6" x14ac:dyDescent="0.2">
      <c r="D9671" s="50"/>
      <c r="E9671" s="73"/>
      <c r="F9671" s="45"/>
    </row>
    <row r="9672" spans="4:6" x14ac:dyDescent="0.2">
      <c r="D9672" s="50"/>
      <c r="E9672" s="73"/>
      <c r="F9672" s="45"/>
    </row>
    <row r="9673" spans="4:6" x14ac:dyDescent="0.2">
      <c r="D9673" s="50"/>
      <c r="E9673" s="73"/>
      <c r="F9673" s="45"/>
    </row>
    <row r="9674" spans="4:6" x14ac:dyDescent="0.2">
      <c r="D9674" s="50"/>
      <c r="E9674" s="73"/>
      <c r="F9674" s="45"/>
    </row>
    <row r="9675" spans="4:6" x14ac:dyDescent="0.2">
      <c r="D9675" s="50"/>
      <c r="E9675" s="73"/>
      <c r="F9675" s="45"/>
    </row>
    <row r="9676" spans="4:6" x14ac:dyDescent="0.2">
      <c r="D9676" s="50"/>
      <c r="E9676" s="73"/>
      <c r="F9676" s="45"/>
    </row>
    <row r="9677" spans="4:6" x14ac:dyDescent="0.2">
      <c r="D9677" s="50"/>
      <c r="E9677" s="73"/>
      <c r="F9677" s="45"/>
    </row>
    <row r="9678" spans="4:6" x14ac:dyDescent="0.2">
      <c r="D9678" s="50"/>
      <c r="E9678" s="73"/>
      <c r="F9678" s="45"/>
    </row>
    <row r="9679" spans="4:6" x14ac:dyDescent="0.2">
      <c r="D9679" s="50"/>
      <c r="E9679" s="73"/>
      <c r="F9679" s="45"/>
    </row>
    <row r="9680" spans="4:6" x14ac:dyDescent="0.2">
      <c r="D9680" s="50"/>
      <c r="E9680" s="73"/>
      <c r="F9680" s="45"/>
    </row>
    <row r="9681" spans="4:6" x14ac:dyDescent="0.2">
      <c r="D9681" s="50"/>
      <c r="E9681" s="73"/>
      <c r="F9681" s="45"/>
    </row>
    <row r="9682" spans="4:6" x14ac:dyDescent="0.2">
      <c r="D9682" s="50"/>
      <c r="E9682" s="73"/>
      <c r="F9682" s="45"/>
    </row>
    <row r="9683" spans="4:6" x14ac:dyDescent="0.2">
      <c r="D9683" s="50"/>
      <c r="E9683" s="73"/>
      <c r="F9683" s="45"/>
    </row>
    <row r="9684" spans="4:6" x14ac:dyDescent="0.2">
      <c r="D9684" s="50"/>
      <c r="E9684" s="73"/>
      <c r="F9684" s="45"/>
    </row>
    <row r="9685" spans="4:6" x14ac:dyDescent="0.2">
      <c r="D9685" s="50"/>
      <c r="E9685" s="73"/>
      <c r="F9685" s="45"/>
    </row>
    <row r="9686" spans="4:6" x14ac:dyDescent="0.2">
      <c r="D9686" s="50"/>
      <c r="E9686" s="73"/>
      <c r="F9686" s="45"/>
    </row>
    <row r="9687" spans="4:6" x14ac:dyDescent="0.2">
      <c r="D9687" s="50"/>
      <c r="E9687" s="73"/>
      <c r="F9687" s="45"/>
    </row>
    <row r="9688" spans="4:6" x14ac:dyDescent="0.2">
      <c r="D9688" s="50"/>
      <c r="E9688" s="73"/>
      <c r="F9688" s="45"/>
    </row>
    <row r="9689" spans="4:6" x14ac:dyDescent="0.2">
      <c r="D9689" s="50"/>
      <c r="E9689" s="73"/>
      <c r="F9689" s="45"/>
    </row>
    <row r="9690" spans="4:6" x14ac:dyDescent="0.2">
      <c r="D9690" s="50"/>
      <c r="E9690" s="73"/>
      <c r="F9690" s="45"/>
    </row>
    <row r="9691" spans="4:6" x14ac:dyDescent="0.2">
      <c r="D9691" s="50"/>
      <c r="E9691" s="73"/>
      <c r="F9691" s="45"/>
    </row>
    <row r="9692" spans="4:6" x14ac:dyDescent="0.2">
      <c r="D9692" s="50"/>
      <c r="E9692" s="73"/>
      <c r="F9692" s="45"/>
    </row>
    <row r="9693" spans="4:6" x14ac:dyDescent="0.2">
      <c r="D9693" s="50"/>
      <c r="E9693" s="73"/>
      <c r="F9693" s="45"/>
    </row>
    <row r="9694" spans="4:6" x14ac:dyDescent="0.2">
      <c r="D9694" s="50"/>
      <c r="E9694" s="73"/>
      <c r="F9694" s="45"/>
    </row>
    <row r="9695" spans="4:6" x14ac:dyDescent="0.2">
      <c r="D9695" s="50"/>
      <c r="E9695" s="73"/>
      <c r="F9695" s="45"/>
    </row>
    <row r="9696" spans="4:6" x14ac:dyDescent="0.2">
      <c r="D9696" s="50"/>
      <c r="E9696" s="73"/>
      <c r="F9696" s="45"/>
    </row>
    <row r="9697" spans="4:6" x14ac:dyDescent="0.2">
      <c r="D9697" s="50"/>
      <c r="E9697" s="73"/>
      <c r="F9697" s="45"/>
    </row>
    <row r="9698" spans="4:6" x14ac:dyDescent="0.2">
      <c r="D9698" s="50"/>
      <c r="E9698" s="73"/>
      <c r="F9698" s="45"/>
    </row>
    <row r="9699" spans="4:6" x14ac:dyDescent="0.2">
      <c r="D9699" s="50"/>
      <c r="E9699" s="73"/>
      <c r="F9699" s="45"/>
    </row>
    <row r="9700" spans="4:6" x14ac:dyDescent="0.2">
      <c r="D9700" s="50"/>
      <c r="E9700" s="73"/>
      <c r="F9700" s="45"/>
    </row>
    <row r="9701" spans="4:6" x14ac:dyDescent="0.2">
      <c r="D9701" s="50"/>
      <c r="E9701" s="73"/>
      <c r="F9701" s="45"/>
    </row>
    <row r="9702" spans="4:6" x14ac:dyDescent="0.2">
      <c r="D9702" s="50"/>
      <c r="E9702" s="73"/>
      <c r="F9702" s="45"/>
    </row>
    <row r="9703" spans="4:6" x14ac:dyDescent="0.2">
      <c r="D9703" s="50"/>
      <c r="E9703" s="73"/>
      <c r="F9703" s="45"/>
    </row>
    <row r="9704" spans="4:6" x14ac:dyDescent="0.2">
      <c r="D9704" s="50"/>
      <c r="E9704" s="73"/>
      <c r="F9704" s="45"/>
    </row>
    <row r="9705" spans="4:6" x14ac:dyDescent="0.2">
      <c r="D9705" s="50"/>
      <c r="E9705" s="73"/>
      <c r="F9705" s="45"/>
    </row>
    <row r="9706" spans="4:6" x14ac:dyDescent="0.2">
      <c r="D9706" s="50"/>
      <c r="E9706" s="73"/>
      <c r="F9706" s="45"/>
    </row>
    <row r="9707" spans="4:6" x14ac:dyDescent="0.2">
      <c r="D9707" s="50"/>
      <c r="E9707" s="73"/>
      <c r="F9707" s="45"/>
    </row>
    <row r="9708" spans="4:6" x14ac:dyDescent="0.2">
      <c r="D9708" s="50"/>
      <c r="E9708" s="73"/>
      <c r="F9708" s="45"/>
    </row>
    <row r="9709" spans="4:6" x14ac:dyDescent="0.2">
      <c r="D9709" s="50"/>
      <c r="E9709" s="73"/>
      <c r="F9709" s="45"/>
    </row>
    <row r="9710" spans="4:6" x14ac:dyDescent="0.2">
      <c r="D9710" s="50"/>
      <c r="E9710" s="73"/>
      <c r="F9710" s="45"/>
    </row>
    <row r="9711" spans="4:6" x14ac:dyDescent="0.2">
      <c r="D9711" s="50"/>
      <c r="E9711" s="73"/>
      <c r="F9711" s="45"/>
    </row>
    <row r="9712" spans="4:6" x14ac:dyDescent="0.2">
      <c r="D9712" s="50"/>
      <c r="E9712" s="73"/>
      <c r="F9712" s="45"/>
    </row>
    <row r="9713" spans="4:6" x14ac:dyDescent="0.2">
      <c r="D9713" s="50"/>
      <c r="E9713" s="73"/>
      <c r="F9713" s="45"/>
    </row>
    <row r="9714" spans="4:6" x14ac:dyDescent="0.2">
      <c r="D9714" s="50"/>
      <c r="E9714" s="73"/>
      <c r="F9714" s="45"/>
    </row>
    <row r="9715" spans="4:6" x14ac:dyDescent="0.2">
      <c r="D9715" s="50"/>
      <c r="E9715" s="73"/>
      <c r="F9715" s="45"/>
    </row>
    <row r="9716" spans="4:6" x14ac:dyDescent="0.2">
      <c r="D9716" s="50"/>
      <c r="E9716" s="73"/>
      <c r="F9716" s="45"/>
    </row>
    <row r="9717" spans="4:6" x14ac:dyDescent="0.2">
      <c r="D9717" s="50"/>
      <c r="E9717" s="73"/>
      <c r="F9717" s="45"/>
    </row>
    <row r="9718" spans="4:6" x14ac:dyDescent="0.2">
      <c r="D9718" s="50"/>
      <c r="E9718" s="73"/>
      <c r="F9718" s="45"/>
    </row>
    <row r="9719" spans="4:6" x14ac:dyDescent="0.2">
      <c r="D9719" s="50"/>
      <c r="E9719" s="73"/>
      <c r="F9719" s="45"/>
    </row>
    <row r="9720" spans="4:6" x14ac:dyDescent="0.2">
      <c r="D9720" s="50"/>
      <c r="E9720" s="73"/>
      <c r="F9720" s="45"/>
    </row>
    <row r="9721" spans="4:6" x14ac:dyDescent="0.2">
      <c r="D9721" s="50"/>
      <c r="E9721" s="73"/>
      <c r="F9721" s="45"/>
    </row>
    <row r="9722" spans="4:6" x14ac:dyDescent="0.2">
      <c r="D9722" s="50"/>
      <c r="E9722" s="73"/>
      <c r="F9722" s="45"/>
    </row>
    <row r="9723" spans="4:6" x14ac:dyDescent="0.2">
      <c r="D9723" s="50"/>
      <c r="E9723" s="73"/>
      <c r="F9723" s="45"/>
    </row>
    <row r="9724" spans="4:6" x14ac:dyDescent="0.2">
      <c r="D9724" s="50"/>
      <c r="E9724" s="73"/>
      <c r="F9724" s="45"/>
    </row>
    <row r="9725" spans="4:6" x14ac:dyDescent="0.2">
      <c r="D9725" s="50"/>
      <c r="E9725" s="73"/>
      <c r="F9725" s="45"/>
    </row>
    <row r="9726" spans="4:6" x14ac:dyDescent="0.2">
      <c r="D9726" s="50"/>
      <c r="E9726" s="73"/>
      <c r="F9726" s="45"/>
    </row>
    <row r="9727" spans="4:6" x14ac:dyDescent="0.2">
      <c r="D9727" s="50"/>
      <c r="E9727" s="73"/>
      <c r="F9727" s="45"/>
    </row>
    <row r="9728" spans="4:6" x14ac:dyDescent="0.2">
      <c r="D9728" s="50"/>
      <c r="E9728" s="73"/>
      <c r="F9728" s="45"/>
    </row>
    <row r="9729" spans="4:6" x14ac:dyDescent="0.2">
      <c r="D9729" s="50"/>
      <c r="E9729" s="73"/>
      <c r="F9729" s="45"/>
    </row>
    <row r="9730" spans="4:6" x14ac:dyDescent="0.2">
      <c r="D9730" s="50"/>
      <c r="E9730" s="73"/>
      <c r="F9730" s="45"/>
    </row>
    <row r="9731" spans="4:6" x14ac:dyDescent="0.2">
      <c r="D9731" s="50"/>
      <c r="E9731" s="73"/>
      <c r="F9731" s="45"/>
    </row>
    <row r="9732" spans="4:6" x14ac:dyDescent="0.2">
      <c r="D9732" s="50"/>
      <c r="E9732" s="73"/>
      <c r="F9732" s="45"/>
    </row>
    <row r="9733" spans="4:6" x14ac:dyDescent="0.2">
      <c r="D9733" s="50"/>
      <c r="E9733" s="73"/>
      <c r="F9733" s="45"/>
    </row>
    <row r="9734" spans="4:6" x14ac:dyDescent="0.2">
      <c r="D9734" s="50"/>
      <c r="E9734" s="73"/>
      <c r="F9734" s="45"/>
    </row>
    <row r="9735" spans="4:6" x14ac:dyDescent="0.2">
      <c r="D9735" s="50"/>
      <c r="E9735" s="73"/>
      <c r="F9735" s="45"/>
    </row>
    <row r="9736" spans="4:6" x14ac:dyDescent="0.2">
      <c r="D9736" s="50"/>
      <c r="E9736" s="73"/>
      <c r="F9736" s="45"/>
    </row>
    <row r="9737" spans="4:6" x14ac:dyDescent="0.2">
      <c r="D9737" s="50"/>
      <c r="E9737" s="73"/>
      <c r="F9737" s="45"/>
    </row>
    <row r="9738" spans="4:6" x14ac:dyDescent="0.2">
      <c r="D9738" s="50"/>
      <c r="E9738" s="73"/>
      <c r="F9738" s="45"/>
    </row>
    <row r="9739" spans="4:6" x14ac:dyDescent="0.2">
      <c r="D9739" s="50"/>
      <c r="E9739" s="73"/>
      <c r="F9739" s="45"/>
    </row>
    <row r="9740" spans="4:6" x14ac:dyDescent="0.2">
      <c r="D9740" s="50"/>
      <c r="E9740" s="73"/>
      <c r="F9740" s="45"/>
    </row>
    <row r="9741" spans="4:6" x14ac:dyDescent="0.2">
      <c r="D9741" s="50"/>
      <c r="E9741" s="73"/>
      <c r="F9741" s="45"/>
    </row>
    <row r="9742" spans="4:6" x14ac:dyDescent="0.2">
      <c r="D9742" s="50"/>
      <c r="E9742" s="73"/>
      <c r="F9742" s="45"/>
    </row>
    <row r="9743" spans="4:6" x14ac:dyDescent="0.2">
      <c r="D9743" s="50"/>
      <c r="E9743" s="73"/>
      <c r="F9743" s="45"/>
    </row>
    <row r="9744" spans="4:6" x14ac:dyDescent="0.2">
      <c r="D9744" s="50"/>
      <c r="E9744" s="73"/>
      <c r="F9744" s="45"/>
    </row>
    <row r="9745" spans="4:6" x14ac:dyDescent="0.2">
      <c r="D9745" s="50"/>
      <c r="E9745" s="73"/>
      <c r="F9745" s="45"/>
    </row>
    <row r="9746" spans="4:6" x14ac:dyDescent="0.2">
      <c r="D9746" s="50"/>
      <c r="E9746" s="73"/>
      <c r="F9746" s="45"/>
    </row>
    <row r="9747" spans="4:6" x14ac:dyDescent="0.2">
      <c r="D9747" s="50"/>
      <c r="E9747" s="73"/>
      <c r="F9747" s="45"/>
    </row>
    <row r="9748" spans="4:6" x14ac:dyDescent="0.2">
      <c r="D9748" s="50"/>
      <c r="E9748" s="73"/>
      <c r="F9748" s="45"/>
    </row>
    <row r="9749" spans="4:6" x14ac:dyDescent="0.2">
      <c r="D9749" s="50"/>
      <c r="E9749" s="73"/>
      <c r="F9749" s="45"/>
    </row>
    <row r="9750" spans="4:6" x14ac:dyDescent="0.2">
      <c r="D9750" s="50"/>
      <c r="E9750" s="73"/>
      <c r="F9750" s="45"/>
    </row>
    <row r="9751" spans="4:6" x14ac:dyDescent="0.2">
      <c r="D9751" s="50"/>
      <c r="E9751" s="73"/>
      <c r="F9751" s="45"/>
    </row>
    <row r="9752" spans="4:6" x14ac:dyDescent="0.2">
      <c r="D9752" s="50"/>
      <c r="E9752" s="73"/>
      <c r="F9752" s="45"/>
    </row>
    <row r="9753" spans="4:6" x14ac:dyDescent="0.2">
      <c r="D9753" s="50"/>
      <c r="E9753" s="73"/>
      <c r="F9753" s="45"/>
    </row>
    <row r="9754" spans="4:6" x14ac:dyDescent="0.2">
      <c r="D9754" s="50"/>
      <c r="E9754" s="73"/>
      <c r="F9754" s="45"/>
    </row>
    <row r="9755" spans="4:6" x14ac:dyDescent="0.2">
      <c r="D9755" s="50"/>
      <c r="E9755" s="73"/>
      <c r="F9755" s="45"/>
    </row>
    <row r="9756" spans="4:6" x14ac:dyDescent="0.2">
      <c r="D9756" s="50"/>
      <c r="E9756" s="73"/>
      <c r="F9756" s="45"/>
    </row>
    <row r="9757" spans="4:6" x14ac:dyDescent="0.2">
      <c r="D9757" s="50"/>
      <c r="E9757" s="73"/>
      <c r="F9757" s="45"/>
    </row>
    <row r="9758" spans="4:6" x14ac:dyDescent="0.2">
      <c r="D9758" s="50"/>
      <c r="E9758" s="73"/>
      <c r="F9758" s="45"/>
    </row>
    <row r="9759" spans="4:6" x14ac:dyDescent="0.2">
      <c r="D9759" s="50"/>
      <c r="E9759" s="73"/>
      <c r="F9759" s="45"/>
    </row>
    <row r="9760" spans="4:6" x14ac:dyDescent="0.2">
      <c r="D9760" s="50"/>
      <c r="E9760" s="73"/>
      <c r="F9760" s="45"/>
    </row>
    <row r="9761" spans="4:6" x14ac:dyDescent="0.2">
      <c r="D9761" s="50"/>
      <c r="E9761" s="73"/>
      <c r="F9761" s="45"/>
    </row>
    <row r="9762" spans="4:6" x14ac:dyDescent="0.2">
      <c r="D9762" s="50"/>
      <c r="E9762" s="73"/>
      <c r="F9762" s="45"/>
    </row>
    <row r="9763" spans="4:6" x14ac:dyDescent="0.2">
      <c r="D9763" s="50"/>
      <c r="E9763" s="73"/>
      <c r="F9763" s="45"/>
    </row>
    <row r="9764" spans="4:6" x14ac:dyDescent="0.2">
      <c r="D9764" s="50"/>
      <c r="E9764" s="73"/>
      <c r="F9764" s="45"/>
    </row>
    <row r="9765" spans="4:6" x14ac:dyDescent="0.2">
      <c r="D9765" s="50"/>
      <c r="E9765" s="73"/>
      <c r="F9765" s="45"/>
    </row>
    <row r="9766" spans="4:6" x14ac:dyDescent="0.2">
      <c r="D9766" s="50"/>
      <c r="E9766" s="73"/>
      <c r="F9766" s="45"/>
    </row>
    <row r="9767" spans="4:6" x14ac:dyDescent="0.2">
      <c r="D9767" s="50"/>
      <c r="E9767" s="73"/>
      <c r="F9767" s="45"/>
    </row>
    <row r="9768" spans="4:6" x14ac:dyDescent="0.2">
      <c r="D9768" s="50"/>
      <c r="E9768" s="73"/>
      <c r="F9768" s="45"/>
    </row>
    <row r="9769" spans="4:6" x14ac:dyDescent="0.2">
      <c r="D9769" s="50"/>
      <c r="E9769" s="73"/>
      <c r="F9769" s="45"/>
    </row>
    <row r="9770" spans="4:6" x14ac:dyDescent="0.2">
      <c r="D9770" s="50"/>
      <c r="E9770" s="73"/>
      <c r="F9770" s="45"/>
    </row>
    <row r="9771" spans="4:6" x14ac:dyDescent="0.2">
      <c r="D9771" s="50"/>
      <c r="E9771" s="73"/>
      <c r="F9771" s="45"/>
    </row>
    <row r="9772" spans="4:6" x14ac:dyDescent="0.2">
      <c r="D9772" s="50"/>
      <c r="E9772" s="73"/>
      <c r="F9772" s="45"/>
    </row>
    <row r="9773" spans="4:6" x14ac:dyDescent="0.2">
      <c r="D9773" s="50"/>
      <c r="E9773" s="73"/>
      <c r="F9773" s="45"/>
    </row>
    <row r="9774" spans="4:6" x14ac:dyDescent="0.2">
      <c r="D9774" s="50"/>
      <c r="E9774" s="73"/>
      <c r="F9774" s="45"/>
    </row>
    <row r="9775" spans="4:6" x14ac:dyDescent="0.2">
      <c r="D9775" s="50"/>
      <c r="E9775" s="73"/>
      <c r="F9775" s="45"/>
    </row>
    <row r="9776" spans="4:6" x14ac:dyDescent="0.2">
      <c r="D9776" s="50"/>
      <c r="E9776" s="73"/>
      <c r="F9776" s="45"/>
    </row>
    <row r="9777" spans="4:6" x14ac:dyDescent="0.2">
      <c r="D9777" s="50"/>
      <c r="E9777" s="73"/>
      <c r="F9777" s="45"/>
    </row>
    <row r="9778" spans="4:6" x14ac:dyDescent="0.2">
      <c r="D9778" s="50"/>
      <c r="E9778" s="73"/>
      <c r="F9778" s="45"/>
    </row>
    <row r="9779" spans="4:6" x14ac:dyDescent="0.2">
      <c r="D9779" s="50"/>
      <c r="E9779" s="73"/>
      <c r="F9779" s="45"/>
    </row>
    <row r="9780" spans="4:6" x14ac:dyDescent="0.2">
      <c r="D9780" s="50"/>
      <c r="E9780" s="73"/>
      <c r="F9780" s="45"/>
    </row>
    <row r="9781" spans="4:6" x14ac:dyDescent="0.2">
      <c r="D9781" s="50"/>
      <c r="E9781" s="73"/>
      <c r="F9781" s="45"/>
    </row>
    <row r="9782" spans="4:6" x14ac:dyDescent="0.2">
      <c r="D9782" s="50"/>
      <c r="E9782" s="73"/>
      <c r="F9782" s="45"/>
    </row>
    <row r="9783" spans="4:6" x14ac:dyDescent="0.2">
      <c r="D9783" s="50"/>
      <c r="E9783" s="73"/>
      <c r="F9783" s="45"/>
    </row>
    <row r="9784" spans="4:6" x14ac:dyDescent="0.2">
      <c r="D9784" s="50"/>
      <c r="E9784" s="73"/>
      <c r="F9784" s="45"/>
    </row>
    <row r="9785" spans="4:6" x14ac:dyDescent="0.2">
      <c r="D9785" s="50"/>
      <c r="E9785" s="73"/>
      <c r="F9785" s="45"/>
    </row>
    <row r="9786" spans="4:6" x14ac:dyDescent="0.2">
      <c r="D9786" s="50"/>
      <c r="E9786" s="73"/>
      <c r="F9786" s="45"/>
    </row>
    <row r="9787" spans="4:6" x14ac:dyDescent="0.2">
      <c r="D9787" s="50"/>
      <c r="E9787" s="73"/>
      <c r="F9787" s="45"/>
    </row>
    <row r="9788" spans="4:6" x14ac:dyDescent="0.2">
      <c r="D9788" s="50"/>
      <c r="E9788" s="73"/>
      <c r="F9788" s="45"/>
    </row>
    <row r="9789" spans="4:6" x14ac:dyDescent="0.2">
      <c r="D9789" s="50"/>
      <c r="E9789" s="73"/>
      <c r="F9789" s="45"/>
    </row>
    <row r="9790" spans="4:6" x14ac:dyDescent="0.2">
      <c r="D9790" s="50"/>
      <c r="E9790" s="73"/>
      <c r="F9790" s="45"/>
    </row>
    <row r="9791" spans="4:6" x14ac:dyDescent="0.2">
      <c r="D9791" s="50"/>
      <c r="E9791" s="73"/>
      <c r="F9791" s="45"/>
    </row>
    <row r="9792" spans="4:6" x14ac:dyDescent="0.2">
      <c r="D9792" s="50"/>
      <c r="E9792" s="73"/>
      <c r="F9792" s="45"/>
    </row>
    <row r="9793" spans="4:6" x14ac:dyDescent="0.2">
      <c r="D9793" s="50"/>
      <c r="E9793" s="73"/>
      <c r="F9793" s="45"/>
    </row>
    <row r="9794" spans="4:6" x14ac:dyDescent="0.2">
      <c r="D9794" s="50"/>
      <c r="E9794" s="73"/>
      <c r="F9794" s="45"/>
    </row>
    <row r="9795" spans="4:6" x14ac:dyDescent="0.2">
      <c r="D9795" s="50"/>
      <c r="E9795" s="73"/>
      <c r="F9795" s="45"/>
    </row>
    <row r="9796" spans="4:6" x14ac:dyDescent="0.2">
      <c r="D9796" s="50"/>
      <c r="E9796" s="73"/>
      <c r="F9796" s="45"/>
    </row>
    <row r="9797" spans="4:6" x14ac:dyDescent="0.2">
      <c r="D9797" s="50"/>
      <c r="E9797" s="73"/>
      <c r="F9797" s="45"/>
    </row>
    <row r="9798" spans="4:6" x14ac:dyDescent="0.2">
      <c r="D9798" s="50"/>
      <c r="E9798" s="73"/>
      <c r="F9798" s="45"/>
    </row>
    <row r="9799" spans="4:6" x14ac:dyDescent="0.2">
      <c r="D9799" s="50"/>
      <c r="E9799" s="73"/>
      <c r="F9799" s="45"/>
    </row>
    <row r="9800" spans="4:6" x14ac:dyDescent="0.2">
      <c r="D9800" s="50"/>
      <c r="E9800" s="73"/>
      <c r="F9800" s="45"/>
    </row>
    <row r="9801" spans="4:6" x14ac:dyDescent="0.2">
      <c r="D9801" s="50"/>
      <c r="E9801" s="73"/>
      <c r="F9801" s="45"/>
    </row>
    <row r="9802" spans="4:6" x14ac:dyDescent="0.2">
      <c r="D9802" s="50"/>
      <c r="E9802" s="73"/>
      <c r="F9802" s="45"/>
    </row>
    <row r="9803" spans="4:6" x14ac:dyDescent="0.2">
      <c r="D9803" s="50"/>
      <c r="E9803" s="73"/>
      <c r="F9803" s="45"/>
    </row>
    <row r="9804" spans="4:6" x14ac:dyDescent="0.2">
      <c r="D9804" s="50"/>
      <c r="E9804" s="73"/>
      <c r="F9804" s="45"/>
    </row>
    <row r="9805" spans="4:6" x14ac:dyDescent="0.2">
      <c r="D9805" s="50"/>
      <c r="E9805" s="73"/>
      <c r="F9805" s="45"/>
    </row>
    <row r="9806" spans="4:6" x14ac:dyDescent="0.2">
      <c r="D9806" s="50"/>
      <c r="E9806" s="73"/>
      <c r="F9806" s="45"/>
    </row>
    <row r="9807" spans="4:6" x14ac:dyDescent="0.2">
      <c r="D9807" s="50"/>
      <c r="E9807" s="73"/>
      <c r="F9807" s="45"/>
    </row>
    <row r="9808" spans="4:6" x14ac:dyDescent="0.2">
      <c r="D9808" s="50"/>
      <c r="E9808" s="73"/>
      <c r="F9808" s="45"/>
    </row>
    <row r="9809" spans="4:6" x14ac:dyDescent="0.2">
      <c r="D9809" s="50"/>
      <c r="E9809" s="73"/>
      <c r="F9809" s="45"/>
    </row>
    <row r="9810" spans="4:6" x14ac:dyDescent="0.2">
      <c r="D9810" s="50"/>
      <c r="E9810" s="73"/>
      <c r="F9810" s="45"/>
    </row>
    <row r="9811" spans="4:6" x14ac:dyDescent="0.2">
      <c r="D9811" s="50"/>
      <c r="E9811" s="73"/>
      <c r="F9811" s="45"/>
    </row>
    <row r="9812" spans="4:6" x14ac:dyDescent="0.2">
      <c r="D9812" s="50"/>
      <c r="E9812" s="73"/>
      <c r="F9812" s="45"/>
    </row>
    <row r="9813" spans="4:6" x14ac:dyDescent="0.2">
      <c r="D9813" s="50"/>
      <c r="E9813" s="73"/>
      <c r="F9813" s="45"/>
    </row>
    <row r="9814" spans="4:6" x14ac:dyDescent="0.2">
      <c r="D9814" s="50"/>
      <c r="E9814" s="73"/>
      <c r="F9814" s="45"/>
    </row>
    <row r="9815" spans="4:6" x14ac:dyDescent="0.2">
      <c r="D9815" s="50"/>
      <c r="E9815" s="73"/>
      <c r="F9815" s="45"/>
    </row>
    <row r="9816" spans="4:6" x14ac:dyDescent="0.2">
      <c r="D9816" s="50"/>
      <c r="E9816" s="73"/>
      <c r="F9816" s="45"/>
    </row>
    <row r="9817" spans="4:6" x14ac:dyDescent="0.2">
      <c r="D9817" s="50"/>
      <c r="E9817" s="73"/>
      <c r="F9817" s="45"/>
    </row>
    <row r="9818" spans="4:6" x14ac:dyDescent="0.2">
      <c r="D9818" s="50"/>
      <c r="E9818" s="73"/>
      <c r="F9818" s="45"/>
    </row>
    <row r="9819" spans="4:6" x14ac:dyDescent="0.2">
      <c r="D9819" s="50"/>
      <c r="E9819" s="73"/>
      <c r="F9819" s="45"/>
    </row>
    <row r="9820" spans="4:6" x14ac:dyDescent="0.2">
      <c r="D9820" s="50"/>
      <c r="E9820" s="73"/>
      <c r="F9820" s="45"/>
    </row>
    <row r="9821" spans="4:6" x14ac:dyDescent="0.2">
      <c r="D9821" s="50"/>
      <c r="E9821" s="73"/>
      <c r="F9821" s="45"/>
    </row>
    <row r="9822" spans="4:6" x14ac:dyDescent="0.2">
      <c r="D9822" s="50"/>
      <c r="E9822" s="73"/>
      <c r="F9822" s="45"/>
    </row>
    <row r="9823" spans="4:6" x14ac:dyDescent="0.2">
      <c r="D9823" s="50"/>
      <c r="E9823" s="73"/>
      <c r="F9823" s="45"/>
    </row>
    <row r="9824" spans="4:6" x14ac:dyDescent="0.2">
      <c r="D9824" s="50"/>
      <c r="E9824" s="73"/>
      <c r="F9824" s="45"/>
    </row>
    <row r="9825" spans="4:6" x14ac:dyDescent="0.2">
      <c r="D9825" s="50"/>
      <c r="E9825" s="73"/>
      <c r="F9825" s="45"/>
    </row>
    <row r="9826" spans="4:6" x14ac:dyDescent="0.2">
      <c r="D9826" s="50"/>
      <c r="E9826" s="73"/>
      <c r="F9826" s="45"/>
    </row>
    <row r="9827" spans="4:6" x14ac:dyDescent="0.2">
      <c r="D9827" s="50"/>
      <c r="E9827" s="73"/>
      <c r="F9827" s="45"/>
    </row>
    <row r="9828" spans="4:6" x14ac:dyDescent="0.2">
      <c r="D9828" s="50"/>
      <c r="E9828" s="73"/>
      <c r="F9828" s="45"/>
    </row>
    <row r="9829" spans="4:6" x14ac:dyDescent="0.2">
      <c r="D9829" s="50"/>
      <c r="E9829" s="73"/>
      <c r="F9829" s="45"/>
    </row>
    <row r="9830" spans="4:6" x14ac:dyDescent="0.2">
      <c r="D9830" s="50"/>
      <c r="E9830" s="73"/>
      <c r="F9830" s="45"/>
    </row>
    <row r="9831" spans="4:6" x14ac:dyDescent="0.2">
      <c r="D9831" s="50"/>
      <c r="E9831" s="73"/>
      <c r="F9831" s="45"/>
    </row>
    <row r="9832" spans="4:6" x14ac:dyDescent="0.2">
      <c r="D9832" s="50"/>
      <c r="E9832" s="73"/>
      <c r="F9832" s="45"/>
    </row>
    <row r="9833" spans="4:6" x14ac:dyDescent="0.2">
      <c r="D9833" s="50"/>
      <c r="E9833" s="73"/>
      <c r="F9833" s="45"/>
    </row>
    <row r="9834" spans="4:6" x14ac:dyDescent="0.2">
      <c r="D9834" s="50"/>
      <c r="E9834" s="73"/>
      <c r="F9834" s="45"/>
    </row>
    <row r="9835" spans="4:6" x14ac:dyDescent="0.2">
      <c r="D9835" s="50"/>
      <c r="E9835" s="73"/>
      <c r="F9835" s="45"/>
    </row>
    <row r="9836" spans="4:6" x14ac:dyDescent="0.2">
      <c r="D9836" s="50"/>
      <c r="E9836" s="73"/>
      <c r="F9836" s="45"/>
    </row>
    <row r="9837" spans="4:6" x14ac:dyDescent="0.2">
      <c r="D9837" s="50"/>
      <c r="E9837" s="73"/>
      <c r="F9837" s="45"/>
    </row>
    <row r="9838" spans="4:6" x14ac:dyDescent="0.2">
      <c r="D9838" s="50"/>
      <c r="E9838" s="73"/>
      <c r="F9838" s="45"/>
    </row>
    <row r="9839" spans="4:6" x14ac:dyDescent="0.2">
      <c r="D9839" s="50"/>
      <c r="E9839" s="73"/>
      <c r="F9839" s="45"/>
    </row>
    <row r="9840" spans="4:6" x14ac:dyDescent="0.2">
      <c r="D9840" s="50"/>
      <c r="E9840" s="73"/>
      <c r="F9840" s="45"/>
    </row>
    <row r="9841" spans="4:6" x14ac:dyDescent="0.2">
      <c r="D9841" s="50"/>
      <c r="E9841" s="73"/>
      <c r="F9841" s="45"/>
    </row>
    <row r="9842" spans="4:6" x14ac:dyDescent="0.2">
      <c r="D9842" s="50"/>
      <c r="E9842" s="73"/>
      <c r="F9842" s="45"/>
    </row>
    <row r="9843" spans="4:6" x14ac:dyDescent="0.2">
      <c r="D9843" s="50"/>
      <c r="E9843" s="73"/>
      <c r="F9843" s="45"/>
    </row>
    <row r="9844" spans="4:6" x14ac:dyDescent="0.2">
      <c r="D9844" s="50"/>
      <c r="E9844" s="73"/>
      <c r="F9844" s="45"/>
    </row>
    <row r="9845" spans="4:6" x14ac:dyDescent="0.2">
      <c r="D9845" s="50"/>
      <c r="E9845" s="73"/>
      <c r="F9845" s="45"/>
    </row>
    <row r="9846" spans="4:6" x14ac:dyDescent="0.2">
      <c r="D9846" s="50"/>
      <c r="E9846" s="73"/>
      <c r="F9846" s="45"/>
    </row>
    <row r="9847" spans="4:6" x14ac:dyDescent="0.2">
      <c r="D9847" s="50"/>
      <c r="E9847" s="73"/>
      <c r="F9847" s="45"/>
    </row>
    <row r="9848" spans="4:6" x14ac:dyDescent="0.2">
      <c r="D9848" s="50"/>
      <c r="E9848" s="73"/>
      <c r="F9848" s="45"/>
    </row>
    <row r="9849" spans="4:6" x14ac:dyDescent="0.2">
      <c r="D9849" s="50"/>
      <c r="E9849" s="73"/>
      <c r="F9849" s="45"/>
    </row>
    <row r="9850" spans="4:6" x14ac:dyDescent="0.2">
      <c r="D9850" s="50"/>
      <c r="E9850" s="73"/>
      <c r="F9850" s="45"/>
    </row>
    <row r="9851" spans="4:6" x14ac:dyDescent="0.2">
      <c r="D9851" s="50"/>
      <c r="E9851" s="73"/>
      <c r="F9851" s="45"/>
    </row>
    <row r="9852" spans="4:6" x14ac:dyDescent="0.2">
      <c r="D9852" s="50"/>
      <c r="E9852" s="73"/>
      <c r="F9852" s="45"/>
    </row>
    <row r="9853" spans="4:6" x14ac:dyDescent="0.2">
      <c r="D9853" s="50"/>
      <c r="E9853" s="73"/>
      <c r="F9853" s="45"/>
    </row>
    <row r="9854" spans="4:6" x14ac:dyDescent="0.2">
      <c r="D9854" s="50"/>
      <c r="E9854" s="73"/>
      <c r="F9854" s="45"/>
    </row>
    <row r="9855" spans="4:6" x14ac:dyDescent="0.2">
      <c r="D9855" s="50"/>
      <c r="E9855" s="73"/>
      <c r="F9855" s="45"/>
    </row>
    <row r="9856" spans="4:6" x14ac:dyDescent="0.2">
      <c r="D9856" s="50"/>
      <c r="E9856" s="73"/>
      <c r="F9856" s="45"/>
    </row>
    <row r="9857" spans="4:6" x14ac:dyDescent="0.2">
      <c r="D9857" s="50"/>
      <c r="E9857" s="73"/>
      <c r="F9857" s="45"/>
    </row>
    <row r="9858" spans="4:6" x14ac:dyDescent="0.2">
      <c r="D9858" s="50"/>
      <c r="E9858" s="73"/>
      <c r="F9858" s="45"/>
    </row>
    <row r="9859" spans="4:6" x14ac:dyDescent="0.2">
      <c r="D9859" s="50"/>
      <c r="E9859" s="73"/>
      <c r="F9859" s="45"/>
    </row>
    <row r="9860" spans="4:6" x14ac:dyDescent="0.2">
      <c r="D9860" s="50"/>
      <c r="E9860" s="73"/>
      <c r="F9860" s="45"/>
    </row>
    <row r="9861" spans="4:6" x14ac:dyDescent="0.2">
      <c r="D9861" s="50"/>
      <c r="E9861" s="73"/>
      <c r="F9861" s="45"/>
    </row>
    <row r="9862" spans="4:6" x14ac:dyDescent="0.2">
      <c r="D9862" s="50"/>
      <c r="E9862" s="73"/>
      <c r="F9862" s="45"/>
    </row>
    <row r="9863" spans="4:6" x14ac:dyDescent="0.2">
      <c r="D9863" s="50"/>
      <c r="E9863" s="73"/>
      <c r="F9863" s="45"/>
    </row>
    <row r="9864" spans="4:6" x14ac:dyDescent="0.2">
      <c r="D9864" s="50"/>
      <c r="E9864" s="73"/>
      <c r="F9864" s="45"/>
    </row>
    <row r="9865" spans="4:6" x14ac:dyDescent="0.2">
      <c r="D9865" s="50"/>
      <c r="E9865" s="73"/>
      <c r="F9865" s="45"/>
    </row>
    <row r="9866" spans="4:6" x14ac:dyDescent="0.2">
      <c r="D9866" s="50"/>
      <c r="E9866" s="73"/>
      <c r="F9866" s="45"/>
    </row>
    <row r="9867" spans="4:6" x14ac:dyDescent="0.2">
      <c r="D9867" s="50"/>
      <c r="E9867" s="73"/>
      <c r="F9867" s="45"/>
    </row>
    <row r="9868" spans="4:6" x14ac:dyDescent="0.2">
      <c r="D9868" s="50"/>
      <c r="E9868" s="73"/>
      <c r="F9868" s="45"/>
    </row>
    <row r="9869" spans="4:6" x14ac:dyDescent="0.2">
      <c r="D9869" s="50"/>
      <c r="E9869" s="73"/>
      <c r="F9869" s="45"/>
    </row>
    <row r="9870" spans="4:6" x14ac:dyDescent="0.2">
      <c r="D9870" s="50"/>
      <c r="E9870" s="73"/>
      <c r="F9870" s="45"/>
    </row>
    <row r="9871" spans="4:6" x14ac:dyDescent="0.2">
      <c r="D9871" s="50"/>
      <c r="E9871" s="73"/>
      <c r="F9871" s="45"/>
    </row>
    <row r="9872" spans="4:6" x14ac:dyDescent="0.2">
      <c r="D9872" s="50"/>
      <c r="E9872" s="73"/>
      <c r="F9872" s="45"/>
    </row>
    <row r="9873" spans="4:6" x14ac:dyDescent="0.2">
      <c r="D9873" s="50"/>
      <c r="E9873" s="73"/>
      <c r="F9873" s="45"/>
    </row>
    <row r="9874" spans="4:6" x14ac:dyDescent="0.2">
      <c r="D9874" s="50"/>
      <c r="E9874" s="73"/>
      <c r="F9874" s="45"/>
    </row>
    <row r="9875" spans="4:6" x14ac:dyDescent="0.2">
      <c r="D9875" s="50"/>
      <c r="E9875" s="73"/>
      <c r="F9875" s="45"/>
    </row>
    <row r="9876" spans="4:6" x14ac:dyDescent="0.2">
      <c r="D9876" s="50"/>
      <c r="E9876" s="73"/>
      <c r="F9876" s="45"/>
    </row>
    <row r="9877" spans="4:6" x14ac:dyDescent="0.2">
      <c r="D9877" s="50"/>
      <c r="E9877" s="73"/>
      <c r="F9877" s="45"/>
    </row>
    <row r="9878" spans="4:6" x14ac:dyDescent="0.2">
      <c r="D9878" s="50"/>
      <c r="E9878" s="73"/>
      <c r="F9878" s="45"/>
    </row>
    <row r="9879" spans="4:6" x14ac:dyDescent="0.2">
      <c r="D9879" s="50"/>
      <c r="E9879" s="73"/>
      <c r="F9879" s="45"/>
    </row>
    <row r="9880" spans="4:6" x14ac:dyDescent="0.2">
      <c r="D9880" s="50"/>
      <c r="E9880" s="73"/>
      <c r="F9880" s="45"/>
    </row>
    <row r="9881" spans="4:6" x14ac:dyDescent="0.2">
      <c r="D9881" s="50"/>
      <c r="E9881" s="73"/>
      <c r="F9881" s="45"/>
    </row>
    <row r="9882" spans="4:6" x14ac:dyDescent="0.2">
      <c r="D9882" s="50"/>
      <c r="E9882" s="73"/>
      <c r="F9882" s="45"/>
    </row>
    <row r="9883" spans="4:6" x14ac:dyDescent="0.2">
      <c r="D9883" s="50"/>
      <c r="E9883" s="73"/>
      <c r="F9883" s="45"/>
    </row>
    <row r="9884" spans="4:6" x14ac:dyDescent="0.2">
      <c r="D9884" s="50"/>
      <c r="E9884" s="73"/>
      <c r="F9884" s="45"/>
    </row>
    <row r="9885" spans="4:6" x14ac:dyDescent="0.2">
      <c r="D9885" s="50"/>
      <c r="E9885" s="73"/>
      <c r="F9885" s="45"/>
    </row>
    <row r="9886" spans="4:6" x14ac:dyDescent="0.2">
      <c r="D9886" s="50"/>
      <c r="E9886" s="73"/>
      <c r="F9886" s="45"/>
    </row>
    <row r="9887" spans="4:6" x14ac:dyDescent="0.2">
      <c r="D9887" s="50"/>
      <c r="E9887" s="73"/>
      <c r="F9887" s="45"/>
    </row>
    <row r="9888" spans="4:6" x14ac:dyDescent="0.2">
      <c r="D9888" s="50"/>
      <c r="E9888" s="73"/>
      <c r="F9888" s="45"/>
    </row>
    <row r="9889" spans="4:6" x14ac:dyDescent="0.2">
      <c r="D9889" s="50"/>
      <c r="E9889" s="73"/>
      <c r="F9889" s="45"/>
    </row>
    <row r="9890" spans="4:6" x14ac:dyDescent="0.2">
      <c r="D9890" s="50"/>
      <c r="E9890" s="73"/>
      <c r="F9890" s="45"/>
    </row>
    <row r="9891" spans="4:6" x14ac:dyDescent="0.2">
      <c r="D9891" s="50"/>
      <c r="E9891" s="73"/>
      <c r="F9891" s="45"/>
    </row>
    <row r="9892" spans="4:6" x14ac:dyDescent="0.2">
      <c r="D9892" s="50"/>
      <c r="E9892" s="73"/>
      <c r="F9892" s="45"/>
    </row>
    <row r="9893" spans="4:6" x14ac:dyDescent="0.2">
      <c r="D9893" s="50"/>
      <c r="E9893" s="73"/>
      <c r="F9893" s="45"/>
    </row>
    <row r="9894" spans="4:6" x14ac:dyDescent="0.2">
      <c r="D9894" s="50"/>
      <c r="E9894" s="73"/>
      <c r="F9894" s="45"/>
    </row>
    <row r="9895" spans="4:6" x14ac:dyDescent="0.2">
      <c r="D9895" s="50"/>
      <c r="E9895" s="73"/>
      <c r="F9895" s="45"/>
    </row>
    <row r="9896" spans="4:6" x14ac:dyDescent="0.2">
      <c r="D9896" s="50"/>
      <c r="E9896" s="73"/>
      <c r="F9896" s="45"/>
    </row>
    <row r="9897" spans="4:6" x14ac:dyDescent="0.2">
      <c r="D9897" s="50"/>
      <c r="E9897" s="73"/>
      <c r="F9897" s="45"/>
    </row>
    <row r="9898" spans="4:6" x14ac:dyDescent="0.2">
      <c r="D9898" s="50"/>
      <c r="E9898" s="73"/>
      <c r="F9898" s="45"/>
    </row>
    <row r="9899" spans="4:6" x14ac:dyDescent="0.2">
      <c r="D9899" s="50"/>
      <c r="E9899" s="73"/>
      <c r="F9899" s="45"/>
    </row>
    <row r="9900" spans="4:6" x14ac:dyDescent="0.2">
      <c r="D9900" s="50"/>
      <c r="E9900" s="73"/>
      <c r="F9900" s="45"/>
    </row>
    <row r="9901" spans="4:6" x14ac:dyDescent="0.2">
      <c r="D9901" s="50"/>
      <c r="E9901" s="73"/>
      <c r="F9901" s="45"/>
    </row>
    <row r="9902" spans="4:6" x14ac:dyDescent="0.2">
      <c r="D9902" s="50"/>
      <c r="E9902" s="73"/>
      <c r="F9902" s="45"/>
    </row>
    <row r="9903" spans="4:6" x14ac:dyDescent="0.2">
      <c r="D9903" s="50"/>
      <c r="E9903" s="73"/>
      <c r="F9903" s="45"/>
    </row>
    <row r="9904" spans="4:6" x14ac:dyDescent="0.2">
      <c r="D9904" s="50"/>
      <c r="E9904" s="73"/>
      <c r="F9904" s="45"/>
    </row>
    <row r="9905" spans="4:6" x14ac:dyDescent="0.2">
      <c r="D9905" s="50"/>
      <c r="E9905" s="73"/>
      <c r="F9905" s="45"/>
    </row>
    <row r="9906" spans="4:6" x14ac:dyDescent="0.2">
      <c r="D9906" s="50"/>
      <c r="E9906" s="73"/>
      <c r="F9906" s="45"/>
    </row>
    <row r="9907" spans="4:6" x14ac:dyDescent="0.2">
      <c r="D9907" s="50"/>
      <c r="E9907" s="73"/>
      <c r="F9907" s="45"/>
    </row>
    <row r="9908" spans="4:6" x14ac:dyDescent="0.2">
      <c r="D9908" s="50"/>
      <c r="E9908" s="73"/>
      <c r="F9908" s="45"/>
    </row>
    <row r="9909" spans="4:6" x14ac:dyDescent="0.2">
      <c r="D9909" s="50"/>
      <c r="E9909" s="73"/>
      <c r="F9909" s="45"/>
    </row>
    <row r="9910" spans="4:6" x14ac:dyDescent="0.2">
      <c r="D9910" s="50"/>
      <c r="E9910" s="73"/>
      <c r="F9910" s="45"/>
    </row>
    <row r="9911" spans="4:6" x14ac:dyDescent="0.2">
      <c r="D9911" s="50"/>
      <c r="E9911" s="73"/>
      <c r="F9911" s="45"/>
    </row>
    <row r="9912" spans="4:6" x14ac:dyDescent="0.2">
      <c r="D9912" s="50"/>
      <c r="E9912" s="73"/>
      <c r="F9912" s="45"/>
    </row>
    <row r="9913" spans="4:6" x14ac:dyDescent="0.2">
      <c r="D9913" s="50"/>
      <c r="E9913" s="73"/>
      <c r="F9913" s="45"/>
    </row>
    <row r="9914" spans="4:6" x14ac:dyDescent="0.2">
      <c r="D9914" s="50"/>
      <c r="E9914" s="73"/>
      <c r="F9914" s="45"/>
    </row>
    <row r="9915" spans="4:6" x14ac:dyDescent="0.2">
      <c r="D9915" s="50"/>
      <c r="E9915" s="73"/>
      <c r="F9915" s="45"/>
    </row>
    <row r="9916" spans="4:6" x14ac:dyDescent="0.2">
      <c r="D9916" s="50"/>
      <c r="E9916" s="73"/>
      <c r="F9916" s="45"/>
    </row>
    <row r="9917" spans="4:6" x14ac:dyDescent="0.2">
      <c r="D9917" s="50"/>
      <c r="E9917" s="73"/>
      <c r="F9917" s="45"/>
    </row>
    <row r="9918" spans="4:6" x14ac:dyDescent="0.2">
      <c r="D9918" s="50"/>
      <c r="E9918" s="73"/>
      <c r="F9918" s="45"/>
    </row>
    <row r="9919" spans="4:6" x14ac:dyDescent="0.2">
      <c r="D9919" s="50"/>
      <c r="E9919" s="73"/>
      <c r="F9919" s="45"/>
    </row>
    <row r="9920" spans="4:6" x14ac:dyDescent="0.2">
      <c r="D9920" s="50"/>
      <c r="E9920" s="73"/>
      <c r="F9920" s="45"/>
    </row>
    <row r="9921" spans="4:6" x14ac:dyDescent="0.2">
      <c r="D9921" s="50"/>
      <c r="E9921" s="73"/>
      <c r="F9921" s="45"/>
    </row>
    <row r="9922" spans="4:6" x14ac:dyDescent="0.2">
      <c r="D9922" s="50"/>
      <c r="E9922" s="73"/>
      <c r="F9922" s="45"/>
    </row>
    <row r="9923" spans="4:6" x14ac:dyDescent="0.2">
      <c r="D9923" s="50"/>
      <c r="E9923" s="73"/>
      <c r="F9923" s="45"/>
    </row>
    <row r="9924" spans="4:6" x14ac:dyDescent="0.2">
      <c r="D9924" s="50"/>
      <c r="E9924" s="73"/>
      <c r="F9924" s="45"/>
    </row>
    <row r="9925" spans="4:6" x14ac:dyDescent="0.2">
      <c r="D9925" s="50"/>
      <c r="E9925" s="73"/>
      <c r="F9925" s="45"/>
    </row>
    <row r="9926" spans="4:6" x14ac:dyDescent="0.2">
      <c r="D9926" s="50"/>
      <c r="E9926" s="73"/>
      <c r="F9926" s="45"/>
    </row>
    <row r="9927" spans="4:6" x14ac:dyDescent="0.2">
      <c r="D9927" s="50"/>
      <c r="E9927" s="73"/>
      <c r="F9927" s="45"/>
    </row>
    <row r="9928" spans="4:6" x14ac:dyDescent="0.2">
      <c r="D9928" s="50"/>
      <c r="E9928" s="73"/>
      <c r="F9928" s="45"/>
    </row>
    <row r="9929" spans="4:6" x14ac:dyDescent="0.2">
      <c r="D9929" s="50"/>
      <c r="E9929" s="73"/>
      <c r="F9929" s="45"/>
    </row>
    <row r="9930" spans="4:6" x14ac:dyDescent="0.2">
      <c r="D9930" s="50"/>
      <c r="E9930" s="73"/>
      <c r="F9930" s="45"/>
    </row>
    <row r="9931" spans="4:6" x14ac:dyDescent="0.2">
      <c r="D9931" s="50"/>
      <c r="E9931" s="73"/>
      <c r="F9931" s="45"/>
    </row>
    <row r="9932" spans="4:6" x14ac:dyDescent="0.2">
      <c r="D9932" s="50"/>
      <c r="E9932" s="73"/>
      <c r="F9932" s="45"/>
    </row>
    <row r="9933" spans="4:6" x14ac:dyDescent="0.2">
      <c r="D9933" s="50"/>
      <c r="E9933" s="73"/>
      <c r="F9933" s="45"/>
    </row>
    <row r="9934" spans="4:6" x14ac:dyDescent="0.2">
      <c r="D9934" s="50"/>
      <c r="E9934" s="73"/>
      <c r="F9934" s="45"/>
    </row>
    <row r="9935" spans="4:6" x14ac:dyDescent="0.2">
      <c r="D9935" s="50"/>
      <c r="E9935" s="73"/>
      <c r="F9935" s="45"/>
    </row>
    <row r="9936" spans="4:6" x14ac:dyDescent="0.2">
      <c r="D9936" s="50"/>
      <c r="E9936" s="73"/>
      <c r="F9936" s="45"/>
    </row>
    <row r="9937" spans="4:6" x14ac:dyDescent="0.2">
      <c r="D9937" s="50"/>
      <c r="E9937" s="73"/>
      <c r="F9937" s="45"/>
    </row>
    <row r="9938" spans="4:6" x14ac:dyDescent="0.2">
      <c r="D9938" s="50"/>
      <c r="E9938" s="73"/>
      <c r="F9938" s="45"/>
    </row>
    <row r="9939" spans="4:6" x14ac:dyDescent="0.2">
      <c r="D9939" s="50"/>
      <c r="E9939" s="73"/>
      <c r="F9939" s="45"/>
    </row>
    <row r="9940" spans="4:6" x14ac:dyDescent="0.2">
      <c r="D9940" s="50"/>
      <c r="E9940" s="73"/>
      <c r="F9940" s="45"/>
    </row>
    <row r="9941" spans="4:6" x14ac:dyDescent="0.2">
      <c r="D9941" s="50"/>
      <c r="E9941" s="73"/>
      <c r="F9941" s="45"/>
    </row>
    <row r="9942" spans="4:6" x14ac:dyDescent="0.2">
      <c r="D9942" s="50"/>
      <c r="E9942" s="73"/>
      <c r="F9942" s="45"/>
    </row>
    <row r="9943" spans="4:6" x14ac:dyDescent="0.2">
      <c r="D9943" s="50"/>
      <c r="E9943" s="73"/>
      <c r="F9943" s="45"/>
    </row>
    <row r="9944" spans="4:6" x14ac:dyDescent="0.2">
      <c r="D9944" s="50"/>
      <c r="E9944" s="73"/>
      <c r="F9944" s="45"/>
    </row>
    <row r="9945" spans="4:6" x14ac:dyDescent="0.2">
      <c r="D9945" s="50"/>
      <c r="E9945" s="73"/>
      <c r="F9945" s="45"/>
    </row>
    <row r="9946" spans="4:6" x14ac:dyDescent="0.2">
      <c r="D9946" s="50"/>
      <c r="E9946" s="73"/>
      <c r="F9946" s="45"/>
    </row>
    <row r="9947" spans="4:6" x14ac:dyDescent="0.2">
      <c r="D9947" s="50"/>
      <c r="E9947" s="73"/>
      <c r="F9947" s="45"/>
    </row>
    <row r="9948" spans="4:6" x14ac:dyDescent="0.2">
      <c r="D9948" s="50"/>
      <c r="E9948" s="73"/>
      <c r="F9948" s="45"/>
    </row>
    <row r="9949" spans="4:6" x14ac:dyDescent="0.2">
      <c r="D9949" s="50"/>
      <c r="E9949" s="73"/>
      <c r="F9949" s="45"/>
    </row>
    <row r="9950" spans="4:6" x14ac:dyDescent="0.2">
      <c r="D9950" s="50"/>
      <c r="E9950" s="73"/>
      <c r="F9950" s="45"/>
    </row>
    <row r="9951" spans="4:6" x14ac:dyDescent="0.2">
      <c r="D9951" s="50"/>
      <c r="E9951" s="73"/>
      <c r="F9951" s="45"/>
    </row>
    <row r="9952" spans="4:6" x14ac:dyDescent="0.2">
      <c r="D9952" s="50"/>
      <c r="E9952" s="73"/>
      <c r="F9952" s="45"/>
    </row>
    <row r="9953" spans="4:6" x14ac:dyDescent="0.2">
      <c r="D9953" s="50"/>
      <c r="E9953" s="73"/>
      <c r="F9953" s="45"/>
    </row>
    <row r="9954" spans="4:6" x14ac:dyDescent="0.2">
      <c r="D9954" s="50"/>
      <c r="E9954" s="73"/>
      <c r="F9954" s="45"/>
    </row>
    <row r="9955" spans="4:6" x14ac:dyDescent="0.2">
      <c r="D9955" s="50"/>
      <c r="E9955" s="73"/>
      <c r="F9955" s="45"/>
    </row>
    <row r="9956" spans="4:6" x14ac:dyDescent="0.2">
      <c r="D9956" s="50"/>
      <c r="E9956" s="73"/>
      <c r="F9956" s="45"/>
    </row>
    <row r="9957" spans="4:6" x14ac:dyDescent="0.2">
      <c r="D9957" s="50"/>
      <c r="E9957" s="73"/>
      <c r="F9957" s="45"/>
    </row>
    <row r="9958" spans="4:6" x14ac:dyDescent="0.2">
      <c r="D9958" s="50"/>
      <c r="E9958" s="73"/>
      <c r="F9958" s="45"/>
    </row>
    <row r="9959" spans="4:6" x14ac:dyDescent="0.2">
      <c r="D9959" s="50"/>
      <c r="E9959" s="73"/>
      <c r="F9959" s="45"/>
    </row>
    <row r="9960" spans="4:6" x14ac:dyDescent="0.2">
      <c r="D9960" s="50"/>
      <c r="E9960" s="73"/>
      <c r="F9960" s="45"/>
    </row>
    <row r="9961" spans="4:6" x14ac:dyDescent="0.2">
      <c r="D9961" s="50"/>
      <c r="E9961" s="73"/>
      <c r="F9961" s="45"/>
    </row>
    <row r="9962" spans="4:6" x14ac:dyDescent="0.2">
      <c r="D9962" s="50"/>
      <c r="E9962" s="73"/>
      <c r="F9962" s="45"/>
    </row>
    <row r="9963" spans="4:6" x14ac:dyDescent="0.2">
      <c r="D9963" s="50"/>
      <c r="E9963" s="73"/>
      <c r="F9963" s="45"/>
    </row>
    <row r="9964" spans="4:6" x14ac:dyDescent="0.2">
      <c r="D9964" s="50"/>
      <c r="E9964" s="73"/>
      <c r="F9964" s="45"/>
    </row>
    <row r="9965" spans="4:6" x14ac:dyDescent="0.2">
      <c r="D9965" s="50"/>
      <c r="E9965" s="73"/>
      <c r="F9965" s="45"/>
    </row>
    <row r="9966" spans="4:6" x14ac:dyDescent="0.2">
      <c r="D9966" s="50"/>
      <c r="E9966" s="73"/>
      <c r="F9966" s="45"/>
    </row>
    <row r="9967" spans="4:6" x14ac:dyDescent="0.2">
      <c r="D9967" s="50"/>
      <c r="E9967" s="73"/>
      <c r="F9967" s="45"/>
    </row>
    <row r="9968" spans="4:6" x14ac:dyDescent="0.2">
      <c r="D9968" s="50"/>
      <c r="E9968" s="73"/>
      <c r="F9968" s="45"/>
    </row>
    <row r="9969" spans="4:6" x14ac:dyDescent="0.2">
      <c r="D9969" s="50"/>
      <c r="E9969" s="73"/>
      <c r="F9969" s="45"/>
    </row>
    <row r="9970" spans="4:6" x14ac:dyDescent="0.2">
      <c r="D9970" s="50"/>
      <c r="E9970" s="73"/>
      <c r="F9970" s="45"/>
    </row>
    <row r="9971" spans="4:6" x14ac:dyDescent="0.2">
      <c r="D9971" s="50"/>
      <c r="E9971" s="73"/>
      <c r="F9971" s="45"/>
    </row>
    <row r="9972" spans="4:6" x14ac:dyDescent="0.2">
      <c r="D9972" s="50"/>
      <c r="E9972" s="73"/>
      <c r="F9972" s="45"/>
    </row>
    <row r="9973" spans="4:6" x14ac:dyDescent="0.2">
      <c r="D9973" s="50"/>
      <c r="E9973" s="73"/>
      <c r="F9973" s="45"/>
    </row>
    <row r="9974" spans="4:6" x14ac:dyDescent="0.2">
      <c r="D9974" s="50"/>
      <c r="E9974" s="73"/>
      <c r="F9974" s="45"/>
    </row>
    <row r="9975" spans="4:6" x14ac:dyDescent="0.2">
      <c r="D9975" s="50"/>
      <c r="E9975" s="73"/>
      <c r="F9975" s="45"/>
    </row>
    <row r="9976" spans="4:6" x14ac:dyDescent="0.2">
      <c r="D9976" s="50"/>
      <c r="E9976" s="73"/>
      <c r="F9976" s="45"/>
    </row>
    <row r="9977" spans="4:6" x14ac:dyDescent="0.2">
      <c r="D9977" s="50"/>
      <c r="E9977" s="73"/>
      <c r="F9977" s="45"/>
    </row>
    <row r="9978" spans="4:6" x14ac:dyDescent="0.2">
      <c r="D9978" s="50"/>
      <c r="E9978" s="73"/>
      <c r="F9978" s="45"/>
    </row>
    <row r="9979" spans="4:6" x14ac:dyDescent="0.2">
      <c r="D9979" s="50"/>
      <c r="E9979" s="73"/>
      <c r="F9979" s="45"/>
    </row>
    <row r="9980" spans="4:6" x14ac:dyDescent="0.2">
      <c r="D9980" s="50"/>
      <c r="E9980" s="73"/>
      <c r="F9980" s="45"/>
    </row>
    <row r="9981" spans="4:6" x14ac:dyDescent="0.2">
      <c r="D9981" s="50"/>
      <c r="E9981" s="73"/>
      <c r="F9981" s="45"/>
    </row>
    <row r="9982" spans="4:6" x14ac:dyDescent="0.2">
      <c r="D9982" s="50"/>
      <c r="E9982" s="73"/>
      <c r="F9982" s="45"/>
    </row>
    <row r="9983" spans="4:6" x14ac:dyDescent="0.2">
      <c r="D9983" s="50"/>
      <c r="E9983" s="73"/>
      <c r="F9983" s="45"/>
    </row>
    <row r="9984" spans="4:6" x14ac:dyDescent="0.2">
      <c r="D9984" s="50"/>
      <c r="E9984" s="73"/>
      <c r="F9984" s="45"/>
    </row>
    <row r="9985" spans="4:6" x14ac:dyDescent="0.2">
      <c r="D9985" s="50"/>
      <c r="E9985" s="73"/>
      <c r="F9985" s="45"/>
    </row>
    <row r="9986" spans="4:6" x14ac:dyDescent="0.2">
      <c r="D9986" s="50"/>
      <c r="E9986" s="73"/>
      <c r="F9986" s="45"/>
    </row>
    <row r="9987" spans="4:6" x14ac:dyDescent="0.2">
      <c r="D9987" s="50"/>
      <c r="E9987" s="73"/>
      <c r="F9987" s="45"/>
    </row>
    <row r="9988" spans="4:6" x14ac:dyDescent="0.2">
      <c r="D9988" s="50"/>
      <c r="E9988" s="73"/>
      <c r="F9988" s="45"/>
    </row>
    <row r="9989" spans="4:6" x14ac:dyDescent="0.2">
      <c r="D9989" s="50"/>
      <c r="E9989" s="73"/>
      <c r="F9989" s="45"/>
    </row>
    <row r="9990" spans="4:6" x14ac:dyDescent="0.2">
      <c r="D9990" s="50"/>
      <c r="E9990" s="73"/>
      <c r="F9990" s="45"/>
    </row>
    <row r="9991" spans="4:6" x14ac:dyDescent="0.2">
      <c r="D9991" s="50"/>
      <c r="E9991" s="73"/>
      <c r="F9991" s="45"/>
    </row>
    <row r="9992" spans="4:6" x14ac:dyDescent="0.2">
      <c r="D9992" s="50"/>
      <c r="E9992" s="73"/>
      <c r="F9992" s="45"/>
    </row>
    <row r="9993" spans="4:6" x14ac:dyDescent="0.2">
      <c r="D9993" s="50"/>
      <c r="E9993" s="73"/>
      <c r="F9993" s="45"/>
    </row>
    <row r="9994" spans="4:6" x14ac:dyDescent="0.2">
      <c r="D9994" s="50"/>
      <c r="E9994" s="73"/>
      <c r="F9994" s="45"/>
    </row>
    <row r="9995" spans="4:6" x14ac:dyDescent="0.2">
      <c r="D9995" s="50"/>
      <c r="E9995" s="73"/>
      <c r="F9995" s="45"/>
    </row>
    <row r="9996" spans="4:6" x14ac:dyDescent="0.2">
      <c r="D9996" s="50"/>
      <c r="E9996" s="73"/>
      <c r="F9996" s="45"/>
    </row>
    <row r="9997" spans="4:6" x14ac:dyDescent="0.2">
      <c r="D9997" s="50"/>
      <c r="E9997" s="73"/>
      <c r="F9997" s="45"/>
    </row>
    <row r="9998" spans="4:6" x14ac:dyDescent="0.2">
      <c r="D9998" s="50"/>
      <c r="E9998" s="73"/>
      <c r="F9998" s="45"/>
    </row>
    <row r="9999" spans="4:6" x14ac:dyDescent="0.2">
      <c r="D9999" s="50"/>
      <c r="E9999" s="73"/>
      <c r="F9999" s="45"/>
    </row>
    <row r="10000" spans="4:6" x14ac:dyDescent="0.2">
      <c r="D10000" s="50"/>
      <c r="E10000" s="73"/>
      <c r="F10000" s="45"/>
    </row>
    <row r="10001" spans="4:6" x14ac:dyDescent="0.2">
      <c r="D10001" s="50"/>
      <c r="E10001" s="73"/>
      <c r="F10001" s="45"/>
    </row>
    <row r="10002" spans="4:6" x14ac:dyDescent="0.2">
      <c r="D10002" s="50"/>
      <c r="E10002" s="73"/>
      <c r="F10002" s="45"/>
    </row>
    <row r="10003" spans="4:6" x14ac:dyDescent="0.2">
      <c r="D10003" s="50"/>
      <c r="E10003" s="73"/>
      <c r="F10003" s="45"/>
    </row>
    <row r="10004" spans="4:6" x14ac:dyDescent="0.2">
      <c r="D10004" s="50"/>
      <c r="E10004" s="73"/>
      <c r="F10004" s="45"/>
    </row>
    <row r="10005" spans="4:6" x14ac:dyDescent="0.2">
      <c r="D10005" s="50"/>
      <c r="E10005" s="73"/>
      <c r="F10005" s="45"/>
    </row>
    <row r="10006" spans="4:6" x14ac:dyDescent="0.2">
      <c r="D10006" s="50"/>
      <c r="E10006" s="73"/>
      <c r="F10006" s="45"/>
    </row>
    <row r="10007" spans="4:6" x14ac:dyDescent="0.2">
      <c r="D10007" s="50"/>
      <c r="E10007" s="73"/>
      <c r="F10007" s="45"/>
    </row>
    <row r="10008" spans="4:6" x14ac:dyDescent="0.2">
      <c r="D10008" s="50"/>
      <c r="E10008" s="73"/>
      <c r="F10008" s="45"/>
    </row>
    <row r="10009" spans="4:6" x14ac:dyDescent="0.2">
      <c r="D10009" s="50"/>
      <c r="E10009" s="73"/>
      <c r="F10009" s="45"/>
    </row>
    <row r="10010" spans="4:6" x14ac:dyDescent="0.2">
      <c r="D10010" s="50"/>
      <c r="E10010" s="73"/>
      <c r="F10010" s="45"/>
    </row>
    <row r="10011" spans="4:6" x14ac:dyDescent="0.2">
      <c r="D10011" s="50"/>
      <c r="E10011" s="73"/>
      <c r="F10011" s="45"/>
    </row>
    <row r="10012" spans="4:6" x14ac:dyDescent="0.2">
      <c r="D10012" s="50"/>
      <c r="E10012" s="73"/>
      <c r="F10012" s="45"/>
    </row>
    <row r="10013" spans="4:6" x14ac:dyDescent="0.2">
      <c r="D10013" s="50"/>
      <c r="E10013" s="73"/>
      <c r="F10013" s="45"/>
    </row>
    <row r="10014" spans="4:6" x14ac:dyDescent="0.2">
      <c r="D10014" s="50"/>
      <c r="E10014" s="73"/>
      <c r="F10014" s="45"/>
    </row>
    <row r="10015" spans="4:6" x14ac:dyDescent="0.2">
      <c r="D10015" s="50"/>
      <c r="E10015" s="73"/>
      <c r="F10015" s="45"/>
    </row>
    <row r="10016" spans="4:6" x14ac:dyDescent="0.2">
      <c r="D10016" s="50"/>
      <c r="E10016" s="73"/>
      <c r="F10016" s="45"/>
    </row>
    <row r="10017" spans="4:6" x14ac:dyDescent="0.2">
      <c r="D10017" s="50"/>
      <c r="E10017" s="73"/>
      <c r="F10017" s="45"/>
    </row>
    <row r="10018" spans="4:6" x14ac:dyDescent="0.2">
      <c r="D10018" s="50"/>
      <c r="E10018" s="73"/>
      <c r="F10018" s="45"/>
    </row>
    <row r="10019" spans="4:6" x14ac:dyDescent="0.2">
      <c r="D10019" s="50"/>
      <c r="E10019" s="73"/>
      <c r="F10019" s="45"/>
    </row>
    <row r="10020" spans="4:6" x14ac:dyDescent="0.2">
      <c r="D10020" s="50"/>
      <c r="E10020" s="73"/>
      <c r="F10020" s="45"/>
    </row>
    <row r="10021" spans="4:6" x14ac:dyDescent="0.2">
      <c r="D10021" s="50"/>
      <c r="E10021" s="73"/>
      <c r="F10021" s="45"/>
    </row>
    <row r="10022" spans="4:6" x14ac:dyDescent="0.2">
      <c r="D10022" s="50"/>
      <c r="E10022" s="73"/>
      <c r="F10022" s="45"/>
    </row>
    <row r="10023" spans="4:6" x14ac:dyDescent="0.2">
      <c r="D10023" s="50"/>
      <c r="E10023" s="73"/>
      <c r="F10023" s="45"/>
    </row>
    <row r="10024" spans="4:6" x14ac:dyDescent="0.2">
      <c r="D10024" s="50"/>
      <c r="E10024" s="73"/>
      <c r="F10024" s="45"/>
    </row>
    <row r="10025" spans="4:6" x14ac:dyDescent="0.2">
      <c r="D10025" s="50"/>
      <c r="E10025" s="73"/>
      <c r="F10025" s="45"/>
    </row>
    <row r="10026" spans="4:6" x14ac:dyDescent="0.2">
      <c r="D10026" s="50"/>
      <c r="E10026" s="73"/>
      <c r="F10026" s="45"/>
    </row>
    <row r="10027" spans="4:6" x14ac:dyDescent="0.2">
      <c r="D10027" s="50"/>
      <c r="E10027" s="73"/>
      <c r="F10027" s="45"/>
    </row>
    <row r="10028" spans="4:6" x14ac:dyDescent="0.2">
      <c r="D10028" s="50"/>
      <c r="E10028" s="73"/>
      <c r="F10028" s="45"/>
    </row>
    <row r="10029" spans="4:6" x14ac:dyDescent="0.2">
      <c r="D10029" s="50"/>
      <c r="E10029" s="73"/>
      <c r="F10029" s="45"/>
    </row>
    <row r="10030" spans="4:6" x14ac:dyDescent="0.2">
      <c r="D10030" s="50"/>
      <c r="E10030" s="73"/>
      <c r="F10030" s="45"/>
    </row>
    <row r="10031" spans="4:6" x14ac:dyDescent="0.2">
      <c r="D10031" s="50"/>
      <c r="E10031" s="73"/>
      <c r="F10031" s="45"/>
    </row>
    <row r="10032" spans="4:6" x14ac:dyDescent="0.2">
      <c r="D10032" s="50"/>
      <c r="E10032" s="73"/>
      <c r="F10032" s="45"/>
    </row>
    <row r="10033" spans="4:6" x14ac:dyDescent="0.2">
      <c r="D10033" s="50"/>
      <c r="E10033" s="73"/>
      <c r="F10033" s="45"/>
    </row>
    <row r="10034" spans="4:6" x14ac:dyDescent="0.2">
      <c r="D10034" s="50"/>
      <c r="E10034" s="73"/>
      <c r="F10034" s="45"/>
    </row>
    <row r="10035" spans="4:6" x14ac:dyDescent="0.2">
      <c r="D10035" s="50"/>
      <c r="E10035" s="73"/>
      <c r="F10035" s="45"/>
    </row>
    <row r="10036" spans="4:6" x14ac:dyDescent="0.2">
      <c r="D10036" s="50"/>
      <c r="E10036" s="73"/>
      <c r="F10036" s="45"/>
    </row>
    <row r="10037" spans="4:6" x14ac:dyDescent="0.2">
      <c r="D10037" s="50"/>
      <c r="E10037" s="73"/>
      <c r="F10037" s="45"/>
    </row>
    <row r="10038" spans="4:6" x14ac:dyDescent="0.2">
      <c r="D10038" s="50"/>
      <c r="E10038" s="73"/>
      <c r="F10038" s="45"/>
    </row>
    <row r="10039" spans="4:6" x14ac:dyDescent="0.2">
      <c r="D10039" s="50"/>
      <c r="E10039" s="73"/>
      <c r="F10039" s="45"/>
    </row>
    <row r="10040" spans="4:6" x14ac:dyDescent="0.2">
      <c r="D10040" s="50"/>
      <c r="E10040" s="73"/>
      <c r="F10040" s="45"/>
    </row>
    <row r="10041" spans="4:6" x14ac:dyDescent="0.2">
      <c r="D10041" s="50"/>
      <c r="E10041" s="73"/>
      <c r="F10041" s="45"/>
    </row>
    <row r="10042" spans="4:6" x14ac:dyDescent="0.2">
      <c r="D10042" s="50"/>
      <c r="E10042" s="73"/>
      <c r="F10042" s="45"/>
    </row>
    <row r="10043" spans="4:6" x14ac:dyDescent="0.2">
      <c r="D10043" s="50"/>
      <c r="E10043" s="73"/>
      <c r="F10043" s="45"/>
    </row>
    <row r="10044" spans="4:6" x14ac:dyDescent="0.2">
      <c r="D10044" s="50"/>
      <c r="E10044" s="73"/>
      <c r="F10044" s="45"/>
    </row>
    <row r="10045" spans="4:6" x14ac:dyDescent="0.2">
      <c r="D10045" s="50"/>
      <c r="E10045" s="73"/>
      <c r="F10045" s="45"/>
    </row>
    <row r="10046" spans="4:6" x14ac:dyDescent="0.2">
      <c r="D10046" s="50"/>
      <c r="E10046" s="73"/>
      <c r="F10046" s="45"/>
    </row>
    <row r="10047" spans="4:6" x14ac:dyDescent="0.2">
      <c r="D10047" s="50"/>
      <c r="E10047" s="73"/>
      <c r="F10047" s="45"/>
    </row>
    <row r="10048" spans="4:6" x14ac:dyDescent="0.2">
      <c r="D10048" s="50"/>
      <c r="E10048" s="73"/>
      <c r="F10048" s="45"/>
    </row>
    <row r="10049" spans="4:6" x14ac:dyDescent="0.2">
      <c r="D10049" s="50"/>
      <c r="E10049" s="73"/>
      <c r="F10049" s="45"/>
    </row>
    <row r="10050" spans="4:6" x14ac:dyDescent="0.2">
      <c r="D10050" s="50"/>
      <c r="E10050" s="73"/>
      <c r="F10050" s="45"/>
    </row>
    <row r="10051" spans="4:6" x14ac:dyDescent="0.2">
      <c r="D10051" s="50"/>
      <c r="E10051" s="73"/>
      <c r="F10051" s="45"/>
    </row>
    <row r="10052" spans="4:6" x14ac:dyDescent="0.2">
      <c r="D10052" s="50"/>
      <c r="E10052" s="73"/>
      <c r="F10052" s="45"/>
    </row>
    <row r="10053" spans="4:6" x14ac:dyDescent="0.2">
      <c r="D10053" s="50"/>
      <c r="E10053" s="73"/>
      <c r="F10053" s="45"/>
    </row>
    <row r="10054" spans="4:6" x14ac:dyDescent="0.2">
      <c r="D10054" s="50"/>
      <c r="E10054" s="73"/>
      <c r="F10054" s="45"/>
    </row>
    <row r="10055" spans="4:6" x14ac:dyDescent="0.2">
      <c r="D10055" s="50"/>
      <c r="E10055" s="73"/>
      <c r="F10055" s="45"/>
    </row>
    <row r="10056" spans="4:6" x14ac:dyDescent="0.2">
      <c r="D10056" s="50"/>
      <c r="E10056" s="73"/>
      <c r="F10056" s="45"/>
    </row>
    <row r="10057" spans="4:6" x14ac:dyDescent="0.2">
      <c r="D10057" s="50"/>
      <c r="E10057" s="73"/>
      <c r="F10057" s="45"/>
    </row>
    <row r="10058" spans="4:6" x14ac:dyDescent="0.2">
      <c r="D10058" s="50"/>
      <c r="E10058" s="73"/>
      <c r="F10058" s="45"/>
    </row>
    <row r="10059" spans="4:6" x14ac:dyDescent="0.2">
      <c r="D10059" s="50"/>
      <c r="E10059" s="73"/>
      <c r="F10059" s="45"/>
    </row>
    <row r="10060" spans="4:6" x14ac:dyDescent="0.2">
      <c r="D10060" s="50"/>
      <c r="E10060" s="73"/>
      <c r="F10060" s="45"/>
    </row>
    <row r="10061" spans="4:6" x14ac:dyDescent="0.2">
      <c r="D10061" s="50"/>
      <c r="E10061" s="73"/>
      <c r="F10061" s="45"/>
    </row>
    <row r="10062" spans="4:6" x14ac:dyDescent="0.2">
      <c r="D10062" s="50"/>
      <c r="E10062" s="73"/>
      <c r="F10062" s="45"/>
    </row>
    <row r="10063" spans="4:6" x14ac:dyDescent="0.2">
      <c r="D10063" s="50"/>
      <c r="E10063" s="73"/>
      <c r="F10063" s="45"/>
    </row>
    <row r="10064" spans="4:6" x14ac:dyDescent="0.2">
      <c r="D10064" s="50"/>
      <c r="E10064" s="73"/>
      <c r="F10064" s="45"/>
    </row>
    <row r="10065" spans="4:6" x14ac:dyDescent="0.2">
      <c r="D10065" s="50"/>
      <c r="E10065" s="73"/>
      <c r="F10065" s="45"/>
    </row>
    <row r="10066" spans="4:6" x14ac:dyDescent="0.2">
      <c r="D10066" s="50"/>
      <c r="E10066" s="73"/>
      <c r="F10066" s="45"/>
    </row>
    <row r="10067" spans="4:6" x14ac:dyDescent="0.2">
      <c r="D10067" s="50"/>
      <c r="E10067" s="73"/>
      <c r="F10067" s="45"/>
    </row>
    <row r="10068" spans="4:6" x14ac:dyDescent="0.2">
      <c r="D10068" s="50"/>
      <c r="E10068" s="73"/>
      <c r="F10068" s="45"/>
    </row>
    <row r="10069" spans="4:6" x14ac:dyDescent="0.2">
      <c r="D10069" s="50"/>
      <c r="E10069" s="73"/>
      <c r="F10069" s="45"/>
    </row>
    <row r="10070" spans="4:6" x14ac:dyDescent="0.2">
      <c r="D10070" s="50"/>
      <c r="E10070" s="73"/>
      <c r="F10070" s="45"/>
    </row>
    <row r="10071" spans="4:6" x14ac:dyDescent="0.2">
      <c r="D10071" s="50"/>
      <c r="E10071" s="73"/>
      <c r="F10071" s="45"/>
    </row>
    <row r="10072" spans="4:6" x14ac:dyDescent="0.2">
      <c r="D10072" s="50"/>
      <c r="E10072" s="73"/>
      <c r="F10072" s="45"/>
    </row>
    <row r="10073" spans="4:6" x14ac:dyDescent="0.2">
      <c r="D10073" s="50"/>
      <c r="E10073" s="73"/>
      <c r="F10073" s="45"/>
    </row>
    <row r="10074" spans="4:6" x14ac:dyDescent="0.2">
      <c r="D10074" s="50"/>
      <c r="E10074" s="73"/>
      <c r="F10074" s="45"/>
    </row>
    <row r="10075" spans="4:6" x14ac:dyDescent="0.2">
      <c r="D10075" s="50"/>
      <c r="E10075" s="73"/>
      <c r="F10075" s="45"/>
    </row>
    <row r="10076" spans="4:6" x14ac:dyDescent="0.2">
      <c r="D10076" s="50"/>
      <c r="E10076" s="73"/>
      <c r="F10076" s="45"/>
    </row>
    <row r="10077" spans="4:6" x14ac:dyDescent="0.2">
      <c r="D10077" s="50"/>
      <c r="E10077" s="73"/>
      <c r="F10077" s="45"/>
    </row>
    <row r="10078" spans="4:6" x14ac:dyDescent="0.2">
      <c r="D10078" s="50"/>
      <c r="E10078" s="73"/>
      <c r="F10078" s="45"/>
    </row>
    <row r="10079" spans="4:6" x14ac:dyDescent="0.2">
      <c r="D10079" s="50"/>
      <c r="E10079" s="73"/>
      <c r="F10079" s="45"/>
    </row>
    <row r="10080" spans="4:6" x14ac:dyDescent="0.2">
      <c r="D10080" s="50"/>
      <c r="E10080" s="73"/>
      <c r="F10080" s="45"/>
    </row>
    <row r="10081" spans="4:6" x14ac:dyDescent="0.2">
      <c r="D10081" s="50"/>
      <c r="E10081" s="73"/>
      <c r="F10081" s="45"/>
    </row>
    <row r="10082" spans="4:6" x14ac:dyDescent="0.2">
      <c r="D10082" s="50"/>
      <c r="E10082" s="73"/>
      <c r="F10082" s="45"/>
    </row>
    <row r="10083" spans="4:6" x14ac:dyDescent="0.2">
      <c r="D10083" s="50"/>
      <c r="E10083" s="73"/>
      <c r="F10083" s="45"/>
    </row>
    <row r="10084" spans="4:6" x14ac:dyDescent="0.2">
      <c r="D10084" s="50"/>
      <c r="E10084" s="73"/>
      <c r="F10084" s="45"/>
    </row>
    <row r="10085" spans="4:6" x14ac:dyDescent="0.2">
      <c r="D10085" s="50"/>
      <c r="E10085" s="73"/>
      <c r="F10085" s="45"/>
    </row>
    <row r="10086" spans="4:6" x14ac:dyDescent="0.2">
      <c r="D10086" s="50"/>
      <c r="E10086" s="73"/>
      <c r="F10086" s="45"/>
    </row>
    <row r="10087" spans="4:6" x14ac:dyDescent="0.2">
      <c r="D10087" s="50"/>
      <c r="E10087" s="73"/>
      <c r="F10087" s="45"/>
    </row>
    <row r="10088" spans="4:6" x14ac:dyDescent="0.2">
      <c r="D10088" s="50"/>
      <c r="E10088" s="73"/>
      <c r="F10088" s="45"/>
    </row>
    <row r="10089" spans="4:6" x14ac:dyDescent="0.2">
      <c r="D10089" s="50"/>
      <c r="E10089" s="73"/>
      <c r="F10089" s="45"/>
    </row>
    <row r="10090" spans="4:6" x14ac:dyDescent="0.2">
      <c r="D10090" s="50"/>
      <c r="E10090" s="73"/>
      <c r="F10090" s="45"/>
    </row>
    <row r="10091" spans="4:6" x14ac:dyDescent="0.2">
      <c r="D10091" s="50"/>
      <c r="E10091" s="73"/>
      <c r="F10091" s="45"/>
    </row>
    <row r="10092" spans="4:6" x14ac:dyDescent="0.2">
      <c r="D10092" s="50"/>
      <c r="E10092" s="73"/>
      <c r="F10092" s="45"/>
    </row>
    <row r="10093" spans="4:6" x14ac:dyDescent="0.2">
      <c r="D10093" s="50"/>
      <c r="E10093" s="73"/>
      <c r="F10093" s="45"/>
    </row>
    <row r="10094" spans="4:6" x14ac:dyDescent="0.2">
      <c r="D10094" s="50"/>
      <c r="E10094" s="73"/>
      <c r="F10094" s="45"/>
    </row>
    <row r="10095" spans="4:6" x14ac:dyDescent="0.2">
      <c r="D10095" s="50"/>
      <c r="E10095" s="73"/>
      <c r="F10095" s="45"/>
    </row>
    <row r="10096" spans="4:6" x14ac:dyDescent="0.2">
      <c r="D10096" s="50"/>
      <c r="E10096" s="73"/>
      <c r="F10096" s="45"/>
    </row>
    <row r="10097" spans="4:6" x14ac:dyDescent="0.2">
      <c r="D10097" s="50"/>
      <c r="E10097" s="73"/>
      <c r="F10097" s="45"/>
    </row>
    <row r="10098" spans="4:6" x14ac:dyDescent="0.2">
      <c r="D10098" s="50"/>
      <c r="E10098" s="73"/>
      <c r="F10098" s="45"/>
    </row>
    <row r="10099" spans="4:6" x14ac:dyDescent="0.2">
      <c r="D10099" s="50"/>
      <c r="E10099" s="73"/>
      <c r="F10099" s="45"/>
    </row>
    <row r="10100" spans="4:6" x14ac:dyDescent="0.2">
      <c r="D10100" s="50"/>
      <c r="E10100" s="73"/>
      <c r="F10100" s="45"/>
    </row>
    <row r="10101" spans="4:6" x14ac:dyDescent="0.2">
      <c r="D10101" s="50"/>
      <c r="E10101" s="73"/>
      <c r="F10101" s="45"/>
    </row>
    <row r="10102" spans="4:6" x14ac:dyDescent="0.2">
      <c r="D10102" s="50"/>
      <c r="E10102" s="73"/>
      <c r="F10102" s="45"/>
    </row>
    <row r="10103" spans="4:6" x14ac:dyDescent="0.2">
      <c r="D10103" s="50"/>
      <c r="E10103" s="73"/>
      <c r="F10103" s="45"/>
    </row>
    <row r="10104" spans="4:6" x14ac:dyDescent="0.2">
      <c r="D10104" s="50"/>
      <c r="E10104" s="73"/>
      <c r="F10104" s="45"/>
    </row>
    <row r="10105" spans="4:6" x14ac:dyDescent="0.2">
      <c r="D10105" s="50"/>
      <c r="E10105" s="73"/>
      <c r="F10105" s="45"/>
    </row>
    <row r="10106" spans="4:6" x14ac:dyDescent="0.2">
      <c r="D10106" s="50"/>
      <c r="E10106" s="73"/>
      <c r="F10106" s="45"/>
    </row>
    <row r="10107" spans="4:6" x14ac:dyDescent="0.2">
      <c r="D10107" s="50"/>
      <c r="E10107" s="73"/>
      <c r="F10107" s="45"/>
    </row>
    <row r="10108" spans="4:6" x14ac:dyDescent="0.2">
      <c r="D10108" s="50"/>
      <c r="E10108" s="73"/>
      <c r="F10108" s="45"/>
    </row>
    <row r="10109" spans="4:6" x14ac:dyDescent="0.2">
      <c r="D10109" s="50"/>
      <c r="E10109" s="73"/>
      <c r="F10109" s="45"/>
    </row>
    <row r="10110" spans="4:6" x14ac:dyDescent="0.2">
      <c r="D10110" s="50"/>
      <c r="E10110" s="73"/>
      <c r="F10110" s="45"/>
    </row>
    <row r="10111" spans="4:6" x14ac:dyDescent="0.2">
      <c r="D10111" s="50"/>
      <c r="E10111" s="73"/>
      <c r="F10111" s="45"/>
    </row>
    <row r="10112" spans="4:6" x14ac:dyDescent="0.2">
      <c r="D10112" s="50"/>
      <c r="E10112" s="73"/>
      <c r="F10112" s="45"/>
    </row>
    <row r="10113" spans="4:6" x14ac:dyDescent="0.2">
      <c r="D10113" s="50"/>
      <c r="E10113" s="73"/>
      <c r="F10113" s="45"/>
    </row>
    <row r="10114" spans="4:6" x14ac:dyDescent="0.2">
      <c r="D10114" s="50"/>
      <c r="E10114" s="73"/>
      <c r="F10114" s="45"/>
    </row>
    <row r="10115" spans="4:6" x14ac:dyDescent="0.2">
      <c r="D10115" s="50"/>
      <c r="E10115" s="73"/>
      <c r="F10115" s="45"/>
    </row>
    <row r="10116" spans="4:6" x14ac:dyDescent="0.2">
      <c r="D10116" s="50"/>
      <c r="E10116" s="73"/>
      <c r="F10116" s="45"/>
    </row>
    <row r="10117" spans="4:6" x14ac:dyDescent="0.2">
      <c r="D10117" s="50"/>
      <c r="E10117" s="73"/>
      <c r="F10117" s="45"/>
    </row>
    <row r="10118" spans="4:6" x14ac:dyDescent="0.2">
      <c r="D10118" s="50"/>
      <c r="E10118" s="73"/>
      <c r="F10118" s="45"/>
    </row>
    <row r="10119" spans="4:6" x14ac:dyDescent="0.2">
      <c r="D10119" s="50"/>
      <c r="E10119" s="73"/>
      <c r="F10119" s="45"/>
    </row>
    <row r="10120" spans="4:6" x14ac:dyDescent="0.2">
      <c r="D10120" s="50"/>
      <c r="E10120" s="73"/>
      <c r="F10120" s="45"/>
    </row>
    <row r="10121" spans="4:6" x14ac:dyDescent="0.2">
      <c r="D10121" s="50"/>
      <c r="E10121" s="73"/>
      <c r="F10121" s="45"/>
    </row>
    <row r="10122" spans="4:6" x14ac:dyDescent="0.2">
      <c r="D10122" s="50"/>
      <c r="E10122" s="73"/>
      <c r="F10122" s="45"/>
    </row>
    <row r="10123" spans="4:6" x14ac:dyDescent="0.2">
      <c r="D10123" s="50"/>
      <c r="E10123" s="73"/>
      <c r="F10123" s="45"/>
    </row>
    <row r="10124" spans="4:6" x14ac:dyDescent="0.2">
      <c r="D10124" s="50"/>
      <c r="E10124" s="73"/>
      <c r="F10124" s="45"/>
    </row>
    <row r="10125" spans="4:6" x14ac:dyDescent="0.2">
      <c r="D10125" s="50"/>
      <c r="E10125" s="73"/>
      <c r="F10125" s="45"/>
    </row>
    <row r="10126" spans="4:6" x14ac:dyDescent="0.2">
      <c r="D10126" s="50"/>
      <c r="E10126" s="73"/>
      <c r="F10126" s="45"/>
    </row>
    <row r="10127" spans="4:6" x14ac:dyDescent="0.2">
      <c r="D10127" s="50"/>
      <c r="E10127" s="73"/>
      <c r="F10127" s="45"/>
    </row>
    <row r="10128" spans="4:6" x14ac:dyDescent="0.2">
      <c r="D10128" s="50"/>
      <c r="E10128" s="73"/>
      <c r="F10128" s="45"/>
    </row>
    <row r="10129" spans="4:6" x14ac:dyDescent="0.2">
      <c r="D10129" s="50"/>
      <c r="E10129" s="73"/>
      <c r="F10129" s="45"/>
    </row>
    <row r="10130" spans="4:6" x14ac:dyDescent="0.2">
      <c r="D10130" s="50"/>
      <c r="E10130" s="73"/>
      <c r="F10130" s="45"/>
    </row>
    <row r="10131" spans="4:6" x14ac:dyDescent="0.2">
      <c r="D10131" s="50"/>
      <c r="E10131" s="73"/>
      <c r="F10131" s="45"/>
    </row>
    <row r="10132" spans="4:6" x14ac:dyDescent="0.2">
      <c r="D10132" s="50"/>
      <c r="E10132" s="73"/>
      <c r="F10132" s="45"/>
    </row>
    <row r="10133" spans="4:6" x14ac:dyDescent="0.2">
      <c r="D10133" s="50"/>
      <c r="E10133" s="73"/>
      <c r="F10133" s="45"/>
    </row>
    <row r="10134" spans="4:6" x14ac:dyDescent="0.2">
      <c r="D10134" s="50"/>
      <c r="E10134" s="73"/>
      <c r="F10134" s="45"/>
    </row>
    <row r="10135" spans="4:6" x14ac:dyDescent="0.2">
      <c r="D10135" s="50"/>
      <c r="E10135" s="73"/>
      <c r="F10135" s="45"/>
    </row>
    <row r="10136" spans="4:6" x14ac:dyDescent="0.2">
      <c r="D10136" s="50"/>
      <c r="E10136" s="73"/>
      <c r="F10136" s="45"/>
    </row>
    <row r="10137" spans="4:6" x14ac:dyDescent="0.2">
      <c r="D10137" s="50"/>
      <c r="E10137" s="73"/>
      <c r="F10137" s="45"/>
    </row>
    <row r="10138" spans="4:6" x14ac:dyDescent="0.2">
      <c r="D10138" s="50"/>
      <c r="E10138" s="73"/>
      <c r="F10138" s="45"/>
    </row>
    <row r="10139" spans="4:6" x14ac:dyDescent="0.2">
      <c r="D10139" s="50"/>
      <c r="E10139" s="73"/>
      <c r="F10139" s="45"/>
    </row>
    <row r="10140" spans="4:6" x14ac:dyDescent="0.2">
      <c r="D10140" s="50"/>
      <c r="E10140" s="73"/>
      <c r="F10140" s="45"/>
    </row>
    <row r="10141" spans="4:6" x14ac:dyDescent="0.2">
      <c r="D10141" s="50"/>
      <c r="E10141" s="73"/>
      <c r="F10141" s="45"/>
    </row>
    <row r="10142" spans="4:6" x14ac:dyDescent="0.2">
      <c r="D10142" s="50"/>
      <c r="E10142" s="73"/>
      <c r="F10142" s="45"/>
    </row>
    <row r="10143" spans="4:6" x14ac:dyDescent="0.2">
      <c r="D10143" s="50"/>
      <c r="E10143" s="73"/>
      <c r="F10143" s="45"/>
    </row>
    <row r="10144" spans="4:6" x14ac:dyDescent="0.2">
      <c r="D10144" s="50"/>
      <c r="E10144" s="73"/>
      <c r="F10144" s="45"/>
    </row>
    <row r="10145" spans="4:6" x14ac:dyDescent="0.2">
      <c r="D10145" s="50"/>
      <c r="E10145" s="73"/>
      <c r="F10145" s="45"/>
    </row>
    <row r="10146" spans="4:6" x14ac:dyDescent="0.2">
      <c r="D10146" s="50"/>
      <c r="E10146" s="73"/>
      <c r="F10146" s="45"/>
    </row>
    <row r="10147" spans="4:6" x14ac:dyDescent="0.2">
      <c r="D10147" s="50"/>
      <c r="E10147" s="73"/>
      <c r="F10147" s="45"/>
    </row>
    <row r="10148" spans="4:6" x14ac:dyDescent="0.2">
      <c r="D10148" s="50"/>
      <c r="E10148" s="73"/>
      <c r="F10148" s="45"/>
    </row>
    <row r="10149" spans="4:6" x14ac:dyDescent="0.2">
      <c r="D10149" s="50"/>
      <c r="E10149" s="73"/>
      <c r="F10149" s="45"/>
    </row>
    <row r="10150" spans="4:6" x14ac:dyDescent="0.2">
      <c r="D10150" s="50"/>
      <c r="E10150" s="73"/>
      <c r="F10150" s="45"/>
    </row>
    <row r="10151" spans="4:6" x14ac:dyDescent="0.2">
      <c r="D10151" s="50"/>
      <c r="E10151" s="73"/>
      <c r="F10151" s="45"/>
    </row>
    <row r="10152" spans="4:6" x14ac:dyDescent="0.2">
      <c r="D10152" s="50"/>
      <c r="E10152" s="73"/>
      <c r="F10152" s="45"/>
    </row>
    <row r="10153" spans="4:6" x14ac:dyDescent="0.2">
      <c r="D10153" s="50"/>
      <c r="E10153" s="73"/>
      <c r="F10153" s="45"/>
    </row>
    <row r="10154" spans="4:6" x14ac:dyDescent="0.2">
      <c r="D10154" s="50"/>
      <c r="E10154" s="73"/>
      <c r="F10154" s="45"/>
    </row>
    <row r="10155" spans="4:6" x14ac:dyDescent="0.2">
      <c r="D10155" s="50"/>
      <c r="E10155" s="73"/>
      <c r="F10155" s="45"/>
    </row>
    <row r="10156" spans="4:6" x14ac:dyDescent="0.2">
      <c r="D10156" s="50"/>
      <c r="E10156" s="73"/>
      <c r="F10156" s="45"/>
    </row>
    <row r="10157" spans="4:6" x14ac:dyDescent="0.2">
      <c r="D10157" s="50"/>
      <c r="E10157" s="73"/>
      <c r="F10157" s="45"/>
    </row>
    <row r="10158" spans="4:6" x14ac:dyDescent="0.2">
      <c r="D10158" s="50"/>
      <c r="E10158" s="73"/>
      <c r="F10158" s="45"/>
    </row>
    <row r="10159" spans="4:6" x14ac:dyDescent="0.2">
      <c r="D10159" s="50"/>
      <c r="E10159" s="73"/>
      <c r="F10159" s="45"/>
    </row>
    <row r="10160" spans="4:6" x14ac:dyDescent="0.2">
      <c r="D10160" s="50"/>
      <c r="E10160" s="73"/>
      <c r="F10160" s="45"/>
    </row>
    <row r="10161" spans="4:6" x14ac:dyDescent="0.2">
      <c r="D10161" s="50"/>
      <c r="E10161" s="73"/>
      <c r="F10161" s="45"/>
    </row>
    <row r="10162" spans="4:6" x14ac:dyDescent="0.2">
      <c r="D10162" s="50"/>
      <c r="E10162" s="73"/>
      <c r="F10162" s="45"/>
    </row>
    <row r="10163" spans="4:6" x14ac:dyDescent="0.2">
      <c r="D10163" s="50"/>
      <c r="E10163" s="73"/>
      <c r="F10163" s="45"/>
    </row>
    <row r="10164" spans="4:6" x14ac:dyDescent="0.2">
      <c r="D10164" s="50"/>
      <c r="E10164" s="73"/>
      <c r="F10164" s="45"/>
    </row>
    <row r="10165" spans="4:6" x14ac:dyDescent="0.2">
      <c r="D10165" s="50"/>
      <c r="E10165" s="73"/>
      <c r="F10165" s="45"/>
    </row>
    <row r="10166" spans="4:6" x14ac:dyDescent="0.2">
      <c r="D10166" s="50"/>
      <c r="E10166" s="73"/>
      <c r="F10166" s="45"/>
    </row>
    <row r="10167" spans="4:6" x14ac:dyDescent="0.2">
      <c r="D10167" s="50"/>
      <c r="E10167" s="73"/>
      <c r="F10167" s="45"/>
    </row>
    <row r="10168" spans="4:6" x14ac:dyDescent="0.2">
      <c r="D10168" s="50"/>
      <c r="E10168" s="73"/>
      <c r="F10168" s="45"/>
    </row>
    <row r="10169" spans="4:6" x14ac:dyDescent="0.2">
      <c r="D10169" s="50"/>
      <c r="E10169" s="73"/>
      <c r="F10169" s="45"/>
    </row>
    <row r="10170" spans="4:6" x14ac:dyDescent="0.2">
      <c r="D10170" s="50"/>
      <c r="E10170" s="73"/>
      <c r="F10170" s="45"/>
    </row>
    <row r="10171" spans="4:6" x14ac:dyDescent="0.2">
      <c r="D10171" s="50"/>
      <c r="E10171" s="73"/>
      <c r="F10171" s="45"/>
    </row>
    <row r="10172" spans="4:6" x14ac:dyDescent="0.2">
      <c r="D10172" s="50"/>
      <c r="E10172" s="73"/>
      <c r="F10172" s="45"/>
    </row>
    <row r="10173" spans="4:6" x14ac:dyDescent="0.2">
      <c r="D10173" s="50"/>
      <c r="E10173" s="73"/>
      <c r="F10173" s="45"/>
    </row>
    <row r="10174" spans="4:6" x14ac:dyDescent="0.2">
      <c r="D10174" s="50"/>
      <c r="E10174" s="73"/>
      <c r="F10174" s="45"/>
    </row>
    <row r="10175" spans="4:6" x14ac:dyDescent="0.2">
      <c r="D10175" s="50"/>
      <c r="E10175" s="73"/>
      <c r="F10175" s="45"/>
    </row>
    <row r="10176" spans="4:6" x14ac:dyDescent="0.2">
      <c r="D10176" s="50"/>
      <c r="E10176" s="73"/>
      <c r="F10176" s="45"/>
    </row>
    <row r="10177" spans="4:6" x14ac:dyDescent="0.2">
      <c r="D10177" s="50"/>
      <c r="E10177" s="73"/>
      <c r="F10177" s="45"/>
    </row>
    <row r="10178" spans="4:6" x14ac:dyDescent="0.2">
      <c r="D10178" s="50"/>
      <c r="E10178" s="73"/>
      <c r="F10178" s="45"/>
    </row>
    <row r="10179" spans="4:6" x14ac:dyDescent="0.2">
      <c r="D10179" s="50"/>
      <c r="E10179" s="73"/>
      <c r="F10179" s="45"/>
    </row>
    <row r="10180" spans="4:6" x14ac:dyDescent="0.2">
      <c r="D10180" s="50"/>
      <c r="E10180" s="73"/>
      <c r="F10180" s="45"/>
    </row>
    <row r="10181" spans="4:6" x14ac:dyDescent="0.2">
      <c r="D10181" s="50"/>
      <c r="E10181" s="73"/>
      <c r="F10181" s="45"/>
    </row>
    <row r="10182" spans="4:6" x14ac:dyDescent="0.2">
      <c r="D10182" s="50"/>
      <c r="E10182" s="73"/>
      <c r="F10182" s="45"/>
    </row>
    <row r="10183" spans="4:6" x14ac:dyDescent="0.2">
      <c r="D10183" s="50"/>
      <c r="E10183" s="73"/>
      <c r="F10183" s="45"/>
    </row>
    <row r="10184" spans="4:6" x14ac:dyDescent="0.2">
      <c r="D10184" s="50"/>
      <c r="E10184" s="73"/>
      <c r="F10184" s="45"/>
    </row>
    <row r="10185" spans="4:6" x14ac:dyDescent="0.2">
      <c r="D10185" s="50"/>
      <c r="E10185" s="73"/>
      <c r="F10185" s="45"/>
    </row>
    <row r="10186" spans="4:6" x14ac:dyDescent="0.2">
      <c r="D10186" s="50"/>
      <c r="E10186" s="73"/>
      <c r="F10186" s="45"/>
    </row>
    <row r="10187" spans="4:6" x14ac:dyDescent="0.2">
      <c r="D10187" s="50"/>
      <c r="E10187" s="73"/>
      <c r="F10187" s="45"/>
    </row>
    <row r="10188" spans="4:6" x14ac:dyDescent="0.2">
      <c r="D10188" s="50"/>
      <c r="E10188" s="73"/>
      <c r="F10188" s="45"/>
    </row>
    <row r="10189" spans="4:6" x14ac:dyDescent="0.2">
      <c r="D10189" s="50"/>
      <c r="E10189" s="73"/>
      <c r="F10189" s="45"/>
    </row>
    <row r="10190" spans="4:6" x14ac:dyDescent="0.2">
      <c r="D10190" s="50"/>
      <c r="E10190" s="73"/>
      <c r="F10190" s="45"/>
    </row>
    <row r="10191" spans="4:6" x14ac:dyDescent="0.2">
      <c r="D10191" s="50"/>
      <c r="E10191" s="73"/>
      <c r="F10191" s="45"/>
    </row>
    <row r="10192" spans="4:6" x14ac:dyDescent="0.2">
      <c r="D10192" s="50"/>
      <c r="E10192" s="73"/>
      <c r="F10192" s="45"/>
    </row>
    <row r="10193" spans="4:6" x14ac:dyDescent="0.2">
      <c r="D10193" s="50"/>
      <c r="E10193" s="73"/>
      <c r="F10193" s="45"/>
    </row>
    <row r="10194" spans="4:6" x14ac:dyDescent="0.2">
      <c r="D10194" s="50"/>
      <c r="E10194" s="73"/>
      <c r="F10194" s="45"/>
    </row>
    <row r="10195" spans="4:6" x14ac:dyDescent="0.2">
      <c r="D10195" s="50"/>
      <c r="E10195" s="73"/>
      <c r="F10195" s="45"/>
    </row>
    <row r="10196" spans="4:6" x14ac:dyDescent="0.2">
      <c r="D10196" s="50"/>
      <c r="E10196" s="73"/>
      <c r="F10196" s="45"/>
    </row>
    <row r="10197" spans="4:6" x14ac:dyDescent="0.2">
      <c r="D10197" s="50"/>
      <c r="E10197" s="73"/>
      <c r="F10197" s="45"/>
    </row>
    <row r="10198" spans="4:6" x14ac:dyDescent="0.2">
      <c r="D10198" s="50"/>
      <c r="E10198" s="73"/>
      <c r="F10198" s="45"/>
    </row>
    <row r="10199" spans="4:6" x14ac:dyDescent="0.2">
      <c r="D10199" s="50"/>
      <c r="E10199" s="73"/>
      <c r="F10199" s="45"/>
    </row>
    <row r="10200" spans="4:6" x14ac:dyDescent="0.2">
      <c r="D10200" s="50"/>
      <c r="E10200" s="73"/>
      <c r="F10200" s="45"/>
    </row>
    <row r="10201" spans="4:6" x14ac:dyDescent="0.2">
      <c r="D10201" s="50"/>
      <c r="E10201" s="73"/>
      <c r="F10201" s="45"/>
    </row>
    <row r="10202" spans="4:6" x14ac:dyDescent="0.2">
      <c r="D10202" s="50"/>
      <c r="E10202" s="73"/>
      <c r="F10202" s="45"/>
    </row>
    <row r="10203" spans="4:6" x14ac:dyDescent="0.2">
      <c r="D10203" s="50"/>
      <c r="E10203" s="73"/>
      <c r="F10203" s="45"/>
    </row>
    <row r="10204" spans="4:6" x14ac:dyDescent="0.2">
      <c r="D10204" s="50"/>
      <c r="E10204" s="73"/>
      <c r="F10204" s="45"/>
    </row>
    <row r="10205" spans="4:6" x14ac:dyDescent="0.2">
      <c r="D10205" s="50"/>
      <c r="E10205" s="73"/>
      <c r="F10205" s="45"/>
    </row>
    <row r="10206" spans="4:6" x14ac:dyDescent="0.2">
      <c r="D10206" s="50"/>
      <c r="E10206" s="73"/>
      <c r="F10206" s="45"/>
    </row>
    <row r="10207" spans="4:6" x14ac:dyDescent="0.2">
      <c r="D10207" s="50"/>
      <c r="E10207" s="73"/>
      <c r="F10207" s="45"/>
    </row>
    <row r="10208" spans="4:6" x14ac:dyDescent="0.2">
      <c r="D10208" s="50"/>
      <c r="E10208" s="73"/>
      <c r="F10208" s="45"/>
    </row>
    <row r="10209" spans="4:6" x14ac:dyDescent="0.2">
      <c r="D10209" s="50"/>
      <c r="E10209" s="73"/>
      <c r="F10209" s="45"/>
    </row>
    <row r="10210" spans="4:6" x14ac:dyDescent="0.2">
      <c r="D10210" s="50"/>
      <c r="E10210" s="73"/>
      <c r="F10210" s="45"/>
    </row>
    <row r="10211" spans="4:6" x14ac:dyDescent="0.2">
      <c r="D10211" s="50"/>
      <c r="E10211" s="73"/>
      <c r="F10211" s="45"/>
    </row>
    <row r="10212" spans="4:6" x14ac:dyDescent="0.2">
      <c r="D10212" s="50"/>
      <c r="E10212" s="73"/>
      <c r="F10212" s="45"/>
    </row>
    <row r="10213" spans="4:6" x14ac:dyDescent="0.2">
      <c r="D10213" s="50"/>
      <c r="E10213" s="73"/>
      <c r="F10213" s="45"/>
    </row>
    <row r="10214" spans="4:6" x14ac:dyDescent="0.2">
      <c r="D10214" s="50"/>
      <c r="E10214" s="73"/>
      <c r="F10214" s="45"/>
    </row>
    <row r="10215" spans="4:6" x14ac:dyDescent="0.2">
      <c r="D10215" s="50"/>
      <c r="E10215" s="73"/>
      <c r="F10215" s="45"/>
    </row>
    <row r="10216" spans="4:6" x14ac:dyDescent="0.2">
      <c r="D10216" s="50"/>
      <c r="E10216" s="73"/>
      <c r="F10216" s="45"/>
    </row>
    <row r="10217" spans="4:6" x14ac:dyDescent="0.2">
      <c r="D10217" s="50"/>
      <c r="E10217" s="73"/>
      <c r="F10217" s="45"/>
    </row>
    <row r="10218" spans="4:6" x14ac:dyDescent="0.2">
      <c r="D10218" s="50"/>
      <c r="E10218" s="73"/>
      <c r="F10218" s="45"/>
    </row>
    <row r="10219" spans="4:6" x14ac:dyDescent="0.2">
      <c r="D10219" s="50"/>
      <c r="E10219" s="73"/>
      <c r="F10219" s="45"/>
    </row>
    <row r="10220" spans="4:6" x14ac:dyDescent="0.2">
      <c r="D10220" s="50"/>
      <c r="E10220" s="73"/>
      <c r="F10220" s="45"/>
    </row>
    <row r="10221" spans="4:6" x14ac:dyDescent="0.2">
      <c r="D10221" s="50"/>
      <c r="E10221" s="73"/>
      <c r="F10221" s="45"/>
    </row>
    <row r="10222" spans="4:6" x14ac:dyDescent="0.2">
      <c r="D10222" s="50"/>
      <c r="E10222" s="73"/>
      <c r="F10222" s="45"/>
    </row>
    <row r="10223" spans="4:6" x14ac:dyDescent="0.2">
      <c r="D10223" s="50"/>
      <c r="E10223" s="73"/>
      <c r="F10223" s="45"/>
    </row>
    <row r="10224" spans="4:6" x14ac:dyDescent="0.2">
      <c r="D10224" s="50"/>
      <c r="E10224" s="73"/>
      <c r="F10224" s="45"/>
    </row>
    <row r="10225" spans="4:6" x14ac:dyDescent="0.2">
      <c r="D10225" s="50"/>
      <c r="E10225" s="73"/>
      <c r="F10225" s="45"/>
    </row>
    <row r="10226" spans="4:6" x14ac:dyDescent="0.2">
      <c r="D10226" s="50"/>
      <c r="E10226" s="73"/>
      <c r="F10226" s="45"/>
    </row>
    <row r="10227" spans="4:6" x14ac:dyDescent="0.2">
      <c r="D10227" s="50"/>
      <c r="E10227" s="73"/>
      <c r="F10227" s="45"/>
    </row>
    <row r="10228" spans="4:6" x14ac:dyDescent="0.2">
      <c r="D10228" s="50"/>
      <c r="E10228" s="73"/>
      <c r="F10228" s="45"/>
    </row>
    <row r="10229" spans="4:6" x14ac:dyDescent="0.2">
      <c r="D10229" s="50"/>
      <c r="E10229" s="73"/>
      <c r="F10229" s="45"/>
    </row>
    <row r="10230" spans="4:6" x14ac:dyDescent="0.2">
      <c r="D10230" s="50"/>
      <c r="E10230" s="73"/>
      <c r="F10230" s="45"/>
    </row>
    <row r="10231" spans="4:6" x14ac:dyDescent="0.2">
      <c r="D10231" s="50"/>
      <c r="E10231" s="73"/>
      <c r="F10231" s="45"/>
    </row>
    <row r="10232" spans="4:6" x14ac:dyDescent="0.2">
      <c r="D10232" s="50"/>
      <c r="E10232" s="73"/>
      <c r="F10232" s="45"/>
    </row>
    <row r="10233" spans="4:6" x14ac:dyDescent="0.2">
      <c r="D10233" s="50"/>
      <c r="E10233" s="73"/>
      <c r="F10233" s="45"/>
    </row>
    <row r="10234" spans="4:6" x14ac:dyDescent="0.2">
      <c r="D10234" s="50"/>
      <c r="E10234" s="73"/>
      <c r="F10234" s="45"/>
    </row>
    <row r="10235" spans="4:6" x14ac:dyDescent="0.2">
      <c r="D10235" s="50"/>
      <c r="E10235" s="73"/>
      <c r="F10235" s="45"/>
    </row>
    <row r="10236" spans="4:6" x14ac:dyDescent="0.2">
      <c r="D10236" s="50"/>
      <c r="E10236" s="73"/>
      <c r="F10236" s="45"/>
    </row>
    <row r="10237" spans="4:6" x14ac:dyDescent="0.2">
      <c r="D10237" s="50"/>
      <c r="E10237" s="73"/>
      <c r="F10237" s="45"/>
    </row>
    <row r="10238" spans="4:6" x14ac:dyDescent="0.2">
      <c r="D10238" s="50"/>
      <c r="E10238" s="73"/>
      <c r="F10238" s="45"/>
    </row>
    <row r="10239" spans="4:6" x14ac:dyDescent="0.2">
      <c r="D10239" s="50"/>
      <c r="E10239" s="73"/>
      <c r="F10239" s="45"/>
    </row>
    <row r="10240" spans="4:6" x14ac:dyDescent="0.2">
      <c r="D10240" s="50"/>
      <c r="E10240" s="73"/>
      <c r="F10240" s="45"/>
    </row>
    <row r="10241" spans="4:6" x14ac:dyDescent="0.2">
      <c r="D10241" s="50"/>
      <c r="E10241" s="73"/>
      <c r="F10241" s="45"/>
    </row>
    <row r="10242" spans="4:6" x14ac:dyDescent="0.2">
      <c r="D10242" s="50"/>
      <c r="E10242" s="73"/>
      <c r="F10242" s="45"/>
    </row>
    <row r="10243" spans="4:6" x14ac:dyDescent="0.2">
      <c r="D10243" s="50"/>
      <c r="E10243" s="73"/>
      <c r="F10243" s="45"/>
    </row>
    <row r="10244" spans="4:6" x14ac:dyDescent="0.2">
      <c r="D10244" s="50"/>
      <c r="E10244" s="73"/>
      <c r="F10244" s="45"/>
    </row>
    <row r="10245" spans="4:6" x14ac:dyDescent="0.2">
      <c r="D10245" s="50"/>
      <c r="E10245" s="73"/>
      <c r="F10245" s="45"/>
    </row>
    <row r="10246" spans="4:6" x14ac:dyDescent="0.2">
      <c r="D10246" s="50"/>
      <c r="E10246" s="73"/>
      <c r="F10246" s="45"/>
    </row>
    <row r="10247" spans="4:6" x14ac:dyDescent="0.2">
      <c r="D10247" s="50"/>
      <c r="E10247" s="73"/>
      <c r="F10247" s="45"/>
    </row>
    <row r="10248" spans="4:6" x14ac:dyDescent="0.2">
      <c r="D10248" s="50"/>
      <c r="E10248" s="73"/>
      <c r="F10248" s="45"/>
    </row>
    <row r="10249" spans="4:6" x14ac:dyDescent="0.2">
      <c r="D10249" s="50"/>
      <c r="E10249" s="73"/>
      <c r="F10249" s="45"/>
    </row>
    <row r="10250" spans="4:6" x14ac:dyDescent="0.2">
      <c r="D10250" s="50"/>
      <c r="E10250" s="73"/>
      <c r="F10250" s="45"/>
    </row>
    <row r="10251" spans="4:6" x14ac:dyDescent="0.2">
      <c r="D10251" s="50"/>
      <c r="E10251" s="73"/>
      <c r="F10251" s="45"/>
    </row>
    <row r="10252" spans="4:6" x14ac:dyDescent="0.2">
      <c r="D10252" s="50"/>
      <c r="E10252" s="73"/>
      <c r="F10252" s="45"/>
    </row>
    <row r="10253" spans="4:6" x14ac:dyDescent="0.2">
      <c r="D10253" s="50"/>
      <c r="E10253" s="73"/>
      <c r="F10253" s="45"/>
    </row>
    <row r="10254" spans="4:6" x14ac:dyDescent="0.2">
      <c r="D10254" s="50"/>
      <c r="E10254" s="73"/>
      <c r="F10254" s="45"/>
    </row>
    <row r="10255" spans="4:6" x14ac:dyDescent="0.2">
      <c r="D10255" s="50"/>
      <c r="E10255" s="73"/>
      <c r="F10255" s="45"/>
    </row>
    <row r="10256" spans="4:6" x14ac:dyDescent="0.2">
      <c r="D10256" s="50"/>
      <c r="E10256" s="73"/>
      <c r="F10256" s="45"/>
    </row>
    <row r="10257" spans="4:6" x14ac:dyDescent="0.2">
      <c r="D10257" s="50"/>
      <c r="E10257" s="73"/>
      <c r="F10257" s="45"/>
    </row>
    <row r="10258" spans="4:6" x14ac:dyDescent="0.2">
      <c r="D10258" s="50"/>
      <c r="E10258" s="73"/>
      <c r="F10258" s="45"/>
    </row>
    <row r="10259" spans="4:6" x14ac:dyDescent="0.2">
      <c r="D10259" s="50"/>
      <c r="E10259" s="73"/>
      <c r="F10259" s="45"/>
    </row>
    <row r="10260" spans="4:6" x14ac:dyDescent="0.2">
      <c r="D10260" s="50"/>
      <c r="E10260" s="73"/>
      <c r="F10260" s="45"/>
    </row>
    <row r="10261" spans="4:6" x14ac:dyDescent="0.2">
      <c r="D10261" s="50"/>
      <c r="E10261" s="73"/>
      <c r="F10261" s="45"/>
    </row>
    <row r="10262" spans="4:6" x14ac:dyDescent="0.2">
      <c r="D10262" s="50"/>
      <c r="E10262" s="73"/>
      <c r="F10262" s="45"/>
    </row>
    <row r="10263" spans="4:6" x14ac:dyDescent="0.2">
      <c r="D10263" s="50"/>
      <c r="E10263" s="73"/>
      <c r="F10263" s="45"/>
    </row>
    <row r="10264" spans="4:6" x14ac:dyDescent="0.2">
      <c r="D10264" s="50"/>
      <c r="E10264" s="73"/>
      <c r="F10264" s="45"/>
    </row>
    <row r="10265" spans="4:6" x14ac:dyDescent="0.2">
      <c r="D10265" s="50"/>
      <c r="E10265" s="73"/>
      <c r="F10265" s="45"/>
    </row>
    <row r="10266" spans="4:6" x14ac:dyDescent="0.2">
      <c r="D10266" s="50"/>
      <c r="E10266" s="73"/>
      <c r="F10266" s="45"/>
    </row>
    <row r="10267" spans="4:6" x14ac:dyDescent="0.2">
      <c r="D10267" s="50"/>
      <c r="E10267" s="73"/>
      <c r="F10267" s="45"/>
    </row>
    <row r="10268" spans="4:6" x14ac:dyDescent="0.2">
      <c r="D10268" s="50"/>
      <c r="E10268" s="73"/>
      <c r="F10268" s="45"/>
    </row>
    <row r="10269" spans="4:6" x14ac:dyDescent="0.2">
      <c r="D10269" s="50"/>
      <c r="E10269" s="73"/>
      <c r="F10269" s="45"/>
    </row>
    <row r="10270" spans="4:6" x14ac:dyDescent="0.2">
      <c r="D10270" s="50"/>
      <c r="E10270" s="73"/>
      <c r="F10270" s="45"/>
    </row>
    <row r="10271" spans="4:6" x14ac:dyDescent="0.2">
      <c r="D10271" s="50"/>
      <c r="E10271" s="73"/>
      <c r="F10271" s="45"/>
    </row>
    <row r="10272" spans="4:6" x14ac:dyDescent="0.2">
      <c r="D10272" s="50"/>
      <c r="E10272" s="73"/>
      <c r="F10272" s="45"/>
    </row>
    <row r="10273" spans="4:6" x14ac:dyDescent="0.2">
      <c r="D10273" s="50"/>
      <c r="E10273" s="73"/>
      <c r="F10273" s="45"/>
    </row>
    <row r="10274" spans="4:6" x14ac:dyDescent="0.2">
      <c r="D10274" s="50"/>
      <c r="E10274" s="73"/>
      <c r="F10274" s="45"/>
    </row>
    <row r="10275" spans="4:6" x14ac:dyDescent="0.2">
      <c r="D10275" s="50"/>
      <c r="E10275" s="73"/>
      <c r="F10275" s="45"/>
    </row>
    <row r="10276" spans="4:6" x14ac:dyDescent="0.2">
      <c r="D10276" s="50"/>
      <c r="E10276" s="73"/>
      <c r="F10276" s="45"/>
    </row>
    <row r="10277" spans="4:6" x14ac:dyDescent="0.2">
      <c r="D10277" s="50"/>
      <c r="E10277" s="73"/>
      <c r="F10277" s="45"/>
    </row>
    <row r="10278" spans="4:6" x14ac:dyDescent="0.2">
      <c r="D10278" s="50"/>
      <c r="E10278" s="73"/>
      <c r="F10278" s="45"/>
    </row>
    <row r="10279" spans="4:6" x14ac:dyDescent="0.2">
      <c r="D10279" s="50"/>
      <c r="E10279" s="73"/>
      <c r="F10279" s="45"/>
    </row>
    <row r="10280" spans="4:6" x14ac:dyDescent="0.2">
      <c r="D10280" s="50"/>
      <c r="E10280" s="73"/>
      <c r="F10280" s="45"/>
    </row>
    <row r="10281" spans="4:6" x14ac:dyDescent="0.2">
      <c r="D10281" s="50"/>
      <c r="E10281" s="73"/>
      <c r="F10281" s="45"/>
    </row>
    <row r="10282" spans="4:6" x14ac:dyDescent="0.2">
      <c r="D10282" s="50"/>
      <c r="E10282" s="73"/>
      <c r="F10282" s="45"/>
    </row>
    <row r="10283" spans="4:6" x14ac:dyDescent="0.2">
      <c r="D10283" s="50"/>
      <c r="E10283" s="73"/>
      <c r="F10283" s="45"/>
    </row>
    <row r="10284" spans="4:6" x14ac:dyDescent="0.2">
      <c r="D10284" s="50"/>
      <c r="E10284" s="73"/>
      <c r="F10284" s="45"/>
    </row>
    <row r="10285" spans="4:6" x14ac:dyDescent="0.2">
      <c r="D10285" s="50"/>
      <c r="E10285" s="73"/>
      <c r="F10285" s="45"/>
    </row>
    <row r="10286" spans="4:6" x14ac:dyDescent="0.2">
      <c r="D10286" s="50"/>
      <c r="E10286" s="73"/>
      <c r="F10286" s="45"/>
    </row>
    <row r="10287" spans="4:6" x14ac:dyDescent="0.2">
      <c r="D10287" s="50"/>
      <c r="E10287" s="73"/>
      <c r="F10287" s="45"/>
    </row>
    <row r="10288" spans="4:6" x14ac:dyDescent="0.2">
      <c r="D10288" s="50"/>
      <c r="E10288" s="73"/>
      <c r="F10288" s="45"/>
    </row>
    <row r="10289" spans="4:6" x14ac:dyDescent="0.2">
      <c r="D10289" s="50"/>
      <c r="E10289" s="73"/>
      <c r="F10289" s="45"/>
    </row>
    <row r="10290" spans="4:6" x14ac:dyDescent="0.2">
      <c r="D10290" s="50"/>
      <c r="E10290" s="73"/>
      <c r="F10290" s="45"/>
    </row>
    <row r="10291" spans="4:6" x14ac:dyDescent="0.2">
      <c r="D10291" s="50"/>
      <c r="E10291" s="73"/>
      <c r="F10291" s="45"/>
    </row>
    <row r="10292" spans="4:6" x14ac:dyDescent="0.2">
      <c r="D10292" s="50"/>
      <c r="E10292" s="73"/>
      <c r="F10292" s="45"/>
    </row>
    <row r="10293" spans="4:6" x14ac:dyDescent="0.2">
      <c r="D10293" s="50"/>
      <c r="E10293" s="73"/>
      <c r="F10293" s="45"/>
    </row>
    <row r="10294" spans="4:6" x14ac:dyDescent="0.2">
      <c r="D10294" s="50"/>
      <c r="E10294" s="73"/>
      <c r="F10294" s="45"/>
    </row>
    <row r="10295" spans="4:6" x14ac:dyDescent="0.2">
      <c r="D10295" s="50"/>
      <c r="E10295" s="73"/>
      <c r="F10295" s="45"/>
    </row>
    <row r="10296" spans="4:6" x14ac:dyDescent="0.2">
      <c r="D10296" s="50"/>
      <c r="E10296" s="73"/>
      <c r="F10296" s="45"/>
    </row>
    <row r="10297" spans="4:6" x14ac:dyDescent="0.2">
      <c r="D10297" s="50"/>
      <c r="E10297" s="73"/>
      <c r="F10297" s="45"/>
    </row>
    <row r="10298" spans="4:6" x14ac:dyDescent="0.2">
      <c r="D10298" s="50"/>
      <c r="E10298" s="73"/>
      <c r="F10298" s="45"/>
    </row>
    <row r="10299" spans="4:6" x14ac:dyDescent="0.2">
      <c r="D10299" s="50"/>
      <c r="E10299" s="73"/>
      <c r="F10299" s="45"/>
    </row>
    <row r="10300" spans="4:6" x14ac:dyDescent="0.2">
      <c r="D10300" s="50"/>
      <c r="E10300" s="73"/>
      <c r="F10300" s="45"/>
    </row>
    <row r="10301" spans="4:6" x14ac:dyDescent="0.2">
      <c r="D10301" s="50"/>
      <c r="E10301" s="73"/>
      <c r="F10301" s="45"/>
    </row>
    <row r="10302" spans="4:6" x14ac:dyDescent="0.2">
      <c r="D10302" s="50"/>
      <c r="E10302" s="73"/>
      <c r="F10302" s="45"/>
    </row>
    <row r="10303" spans="4:6" x14ac:dyDescent="0.2">
      <c r="D10303" s="50"/>
      <c r="E10303" s="73"/>
      <c r="F10303" s="45"/>
    </row>
    <row r="10304" spans="4:6" x14ac:dyDescent="0.2">
      <c r="D10304" s="50"/>
      <c r="E10304" s="73"/>
      <c r="F10304" s="45"/>
    </row>
    <row r="10305" spans="4:6" x14ac:dyDescent="0.2">
      <c r="D10305" s="50"/>
      <c r="E10305" s="73"/>
      <c r="F10305" s="45"/>
    </row>
    <row r="10306" spans="4:6" x14ac:dyDescent="0.2">
      <c r="D10306" s="50"/>
      <c r="E10306" s="73"/>
      <c r="F10306" s="45"/>
    </row>
    <row r="10307" spans="4:6" x14ac:dyDescent="0.2">
      <c r="D10307" s="50"/>
      <c r="E10307" s="73"/>
      <c r="F10307" s="45"/>
    </row>
    <row r="10308" spans="4:6" x14ac:dyDescent="0.2">
      <c r="D10308" s="50"/>
      <c r="E10308" s="73"/>
      <c r="F10308" s="45"/>
    </row>
    <row r="10309" spans="4:6" x14ac:dyDescent="0.2">
      <c r="D10309" s="50"/>
      <c r="E10309" s="73"/>
      <c r="F10309" s="45"/>
    </row>
    <row r="10310" spans="4:6" x14ac:dyDescent="0.2">
      <c r="D10310" s="50"/>
      <c r="E10310" s="73"/>
      <c r="F10310" s="45"/>
    </row>
    <row r="10311" spans="4:6" x14ac:dyDescent="0.2">
      <c r="D10311" s="50"/>
      <c r="E10311" s="73"/>
      <c r="F10311" s="45"/>
    </row>
    <row r="10312" spans="4:6" x14ac:dyDescent="0.2">
      <c r="D10312" s="50"/>
      <c r="E10312" s="73"/>
      <c r="F10312" s="45"/>
    </row>
    <row r="10313" spans="4:6" x14ac:dyDescent="0.2">
      <c r="D10313" s="50"/>
      <c r="E10313" s="73"/>
      <c r="F10313" s="45"/>
    </row>
    <row r="10314" spans="4:6" x14ac:dyDescent="0.2">
      <c r="D10314" s="50"/>
      <c r="E10314" s="73"/>
      <c r="F10314" s="45"/>
    </row>
    <row r="10315" spans="4:6" x14ac:dyDescent="0.2">
      <c r="D10315" s="50"/>
      <c r="E10315" s="73"/>
      <c r="F10315" s="45"/>
    </row>
    <row r="10316" spans="4:6" x14ac:dyDescent="0.2">
      <c r="D10316" s="50"/>
      <c r="E10316" s="73"/>
      <c r="F10316" s="45"/>
    </row>
    <row r="10317" spans="4:6" x14ac:dyDescent="0.2">
      <c r="D10317" s="50"/>
      <c r="E10317" s="73"/>
      <c r="F10317" s="45"/>
    </row>
    <row r="10318" spans="4:6" x14ac:dyDescent="0.2">
      <c r="D10318" s="50"/>
      <c r="E10318" s="73"/>
      <c r="F10318" s="45"/>
    </row>
    <row r="10319" spans="4:6" x14ac:dyDescent="0.2">
      <c r="D10319" s="50"/>
      <c r="E10319" s="73"/>
      <c r="F10319" s="45"/>
    </row>
    <row r="10320" spans="4:6" x14ac:dyDescent="0.2">
      <c r="D10320" s="50"/>
      <c r="E10320" s="73"/>
      <c r="F10320" s="45"/>
    </row>
    <row r="10321" spans="4:6" x14ac:dyDescent="0.2">
      <c r="D10321" s="50"/>
      <c r="E10321" s="73"/>
      <c r="F10321" s="45"/>
    </row>
    <row r="10322" spans="4:6" x14ac:dyDescent="0.2">
      <c r="D10322" s="50"/>
      <c r="E10322" s="73"/>
      <c r="F10322" s="45"/>
    </row>
    <row r="10323" spans="4:6" x14ac:dyDescent="0.2">
      <c r="D10323" s="50"/>
      <c r="E10323" s="73"/>
      <c r="F10323" s="45"/>
    </row>
    <row r="10324" spans="4:6" x14ac:dyDescent="0.2">
      <c r="D10324" s="50"/>
      <c r="E10324" s="73"/>
      <c r="F10324" s="45"/>
    </row>
    <row r="10325" spans="4:6" x14ac:dyDescent="0.2">
      <c r="D10325" s="50"/>
      <c r="E10325" s="73"/>
      <c r="F10325" s="45"/>
    </row>
    <row r="10326" spans="4:6" x14ac:dyDescent="0.2">
      <c r="D10326" s="50"/>
      <c r="E10326" s="73"/>
      <c r="F10326" s="45"/>
    </row>
    <row r="10327" spans="4:6" x14ac:dyDescent="0.2">
      <c r="D10327" s="50"/>
      <c r="E10327" s="73"/>
      <c r="F10327" s="45"/>
    </row>
    <row r="10328" spans="4:6" x14ac:dyDescent="0.2">
      <c r="D10328" s="50"/>
      <c r="E10328" s="73"/>
      <c r="F10328" s="45"/>
    </row>
    <row r="10329" spans="4:6" x14ac:dyDescent="0.2">
      <c r="D10329" s="50"/>
      <c r="E10329" s="73"/>
      <c r="F10329" s="45"/>
    </row>
    <row r="10330" spans="4:6" x14ac:dyDescent="0.2">
      <c r="D10330" s="50"/>
      <c r="E10330" s="73"/>
      <c r="F10330" s="45"/>
    </row>
    <row r="10331" spans="4:6" x14ac:dyDescent="0.2">
      <c r="D10331" s="50"/>
      <c r="E10331" s="73"/>
      <c r="F10331" s="45"/>
    </row>
    <row r="10332" spans="4:6" x14ac:dyDescent="0.2">
      <c r="D10332" s="50"/>
      <c r="E10332" s="73"/>
      <c r="F10332" s="45"/>
    </row>
    <row r="10333" spans="4:6" x14ac:dyDescent="0.2">
      <c r="D10333" s="50"/>
      <c r="E10333" s="73"/>
      <c r="F10333" s="45"/>
    </row>
    <row r="10334" spans="4:6" x14ac:dyDescent="0.2">
      <c r="D10334" s="50"/>
      <c r="E10334" s="73"/>
      <c r="F10334" s="45"/>
    </row>
    <row r="10335" spans="4:6" x14ac:dyDescent="0.2">
      <c r="D10335" s="50"/>
      <c r="E10335" s="73"/>
      <c r="F10335" s="45"/>
    </row>
    <row r="10336" spans="4:6" x14ac:dyDescent="0.2">
      <c r="D10336" s="50"/>
      <c r="E10336" s="73"/>
      <c r="F10336" s="45"/>
    </row>
    <row r="10337" spans="4:6" x14ac:dyDescent="0.2">
      <c r="D10337" s="50"/>
      <c r="E10337" s="73"/>
      <c r="F10337" s="45"/>
    </row>
    <row r="10338" spans="4:6" x14ac:dyDescent="0.2">
      <c r="D10338" s="50"/>
      <c r="E10338" s="73"/>
      <c r="F10338" s="45"/>
    </row>
    <row r="10339" spans="4:6" x14ac:dyDescent="0.2">
      <c r="D10339" s="50"/>
      <c r="E10339" s="73"/>
      <c r="F10339" s="45"/>
    </row>
    <row r="10340" spans="4:6" x14ac:dyDescent="0.2">
      <c r="D10340" s="50"/>
      <c r="E10340" s="73"/>
      <c r="F10340" s="45"/>
    </row>
    <row r="10341" spans="4:6" x14ac:dyDescent="0.2">
      <c r="D10341" s="50"/>
      <c r="E10341" s="73"/>
      <c r="F10341" s="45"/>
    </row>
    <row r="10342" spans="4:6" x14ac:dyDescent="0.2">
      <c r="D10342" s="50"/>
      <c r="E10342" s="73"/>
      <c r="F10342" s="45"/>
    </row>
    <row r="10343" spans="4:6" x14ac:dyDescent="0.2">
      <c r="D10343" s="50"/>
      <c r="E10343" s="73"/>
      <c r="F10343" s="45"/>
    </row>
    <row r="10344" spans="4:6" x14ac:dyDescent="0.2">
      <c r="D10344" s="50"/>
      <c r="E10344" s="73"/>
      <c r="F10344" s="45"/>
    </row>
    <row r="10345" spans="4:6" x14ac:dyDescent="0.2">
      <c r="D10345" s="50"/>
      <c r="E10345" s="73"/>
      <c r="F10345" s="45"/>
    </row>
    <row r="10346" spans="4:6" x14ac:dyDescent="0.2">
      <c r="D10346" s="50"/>
      <c r="E10346" s="73"/>
      <c r="F10346" s="45"/>
    </row>
    <row r="10347" spans="4:6" x14ac:dyDescent="0.2">
      <c r="D10347" s="50"/>
      <c r="E10347" s="73"/>
      <c r="F10347" s="45"/>
    </row>
    <row r="10348" spans="4:6" x14ac:dyDescent="0.2">
      <c r="D10348" s="50"/>
      <c r="E10348" s="73"/>
      <c r="F10348" s="45"/>
    </row>
    <row r="10349" spans="4:6" x14ac:dyDescent="0.2">
      <c r="D10349" s="50"/>
      <c r="E10349" s="73"/>
      <c r="F10349" s="45"/>
    </row>
    <row r="10350" spans="4:6" x14ac:dyDescent="0.2">
      <c r="D10350" s="50"/>
      <c r="E10350" s="73"/>
      <c r="F10350" s="45"/>
    </row>
    <row r="10351" spans="4:6" x14ac:dyDescent="0.2">
      <c r="D10351" s="50"/>
      <c r="E10351" s="73"/>
      <c r="F10351" s="45"/>
    </row>
    <row r="10352" spans="4:6" x14ac:dyDescent="0.2">
      <c r="D10352" s="50"/>
      <c r="E10352" s="73"/>
      <c r="F10352" s="45"/>
    </row>
    <row r="10353" spans="4:6" x14ac:dyDescent="0.2">
      <c r="D10353" s="50"/>
      <c r="E10353" s="73"/>
      <c r="F10353" s="45"/>
    </row>
    <row r="10354" spans="4:6" x14ac:dyDescent="0.2">
      <c r="D10354" s="50"/>
      <c r="E10354" s="73"/>
      <c r="F10354" s="45"/>
    </row>
    <row r="10355" spans="4:6" x14ac:dyDescent="0.2">
      <c r="D10355" s="50"/>
      <c r="E10355" s="73"/>
      <c r="F10355" s="45"/>
    </row>
    <row r="10356" spans="4:6" x14ac:dyDescent="0.2">
      <c r="D10356" s="50"/>
      <c r="E10356" s="73"/>
      <c r="F10356" s="45"/>
    </row>
    <row r="10357" spans="4:6" x14ac:dyDescent="0.2">
      <c r="D10357" s="50"/>
      <c r="E10357" s="73"/>
      <c r="F10357" s="45"/>
    </row>
    <row r="10358" spans="4:6" x14ac:dyDescent="0.2">
      <c r="D10358" s="50"/>
      <c r="E10358" s="73"/>
      <c r="F10358" s="45"/>
    </row>
    <row r="10359" spans="4:6" x14ac:dyDescent="0.2">
      <c r="D10359" s="50"/>
      <c r="E10359" s="73"/>
      <c r="F10359" s="45"/>
    </row>
    <row r="10360" spans="4:6" x14ac:dyDescent="0.2">
      <c r="D10360" s="50"/>
      <c r="E10360" s="73"/>
      <c r="F10360" s="45"/>
    </row>
    <row r="10361" spans="4:6" x14ac:dyDescent="0.2">
      <c r="D10361" s="50"/>
      <c r="E10361" s="73"/>
      <c r="F10361" s="45"/>
    </row>
    <row r="10362" spans="4:6" x14ac:dyDescent="0.2">
      <c r="D10362" s="50"/>
      <c r="E10362" s="73"/>
      <c r="F10362" s="45"/>
    </row>
    <row r="10363" spans="4:6" x14ac:dyDescent="0.2">
      <c r="D10363" s="50"/>
      <c r="E10363" s="73"/>
      <c r="F10363" s="45"/>
    </row>
    <row r="10364" spans="4:6" x14ac:dyDescent="0.2">
      <c r="D10364" s="50"/>
      <c r="E10364" s="73"/>
      <c r="F10364" s="45"/>
    </row>
    <row r="10365" spans="4:6" x14ac:dyDescent="0.2">
      <c r="D10365" s="50"/>
      <c r="E10365" s="73"/>
      <c r="F10365" s="45"/>
    </row>
    <row r="10366" spans="4:6" x14ac:dyDescent="0.2">
      <c r="D10366" s="50"/>
      <c r="E10366" s="73"/>
      <c r="F10366" s="45"/>
    </row>
    <row r="10367" spans="4:6" x14ac:dyDescent="0.2">
      <c r="D10367" s="50"/>
      <c r="E10367" s="73"/>
      <c r="F10367" s="45"/>
    </row>
    <row r="10368" spans="4:6" x14ac:dyDescent="0.2">
      <c r="D10368" s="50"/>
      <c r="E10368" s="73"/>
      <c r="F10368" s="45"/>
    </row>
    <row r="10369" spans="4:6" x14ac:dyDescent="0.2">
      <c r="D10369" s="50"/>
      <c r="E10369" s="73"/>
      <c r="F10369" s="45"/>
    </row>
    <row r="10370" spans="4:6" x14ac:dyDescent="0.2">
      <c r="D10370" s="50"/>
      <c r="E10370" s="73"/>
      <c r="F10370" s="45"/>
    </row>
    <row r="10371" spans="4:6" x14ac:dyDescent="0.2">
      <c r="D10371" s="50"/>
      <c r="E10371" s="73"/>
      <c r="F10371" s="45"/>
    </row>
    <row r="10372" spans="4:6" x14ac:dyDescent="0.2">
      <c r="D10372" s="50"/>
      <c r="E10372" s="73"/>
      <c r="F10372" s="45"/>
    </row>
    <row r="10373" spans="4:6" x14ac:dyDescent="0.2">
      <c r="D10373" s="50"/>
      <c r="E10373" s="73"/>
      <c r="F10373" s="45"/>
    </row>
    <row r="10374" spans="4:6" x14ac:dyDescent="0.2">
      <c r="D10374" s="50"/>
      <c r="E10374" s="73"/>
      <c r="F10374" s="45"/>
    </row>
    <row r="10375" spans="4:6" x14ac:dyDescent="0.2">
      <c r="D10375" s="50"/>
      <c r="E10375" s="73"/>
      <c r="F10375" s="45"/>
    </row>
    <row r="10376" spans="4:6" x14ac:dyDescent="0.2">
      <c r="D10376" s="50"/>
      <c r="E10376" s="73"/>
      <c r="F10376" s="45"/>
    </row>
    <row r="10377" spans="4:6" x14ac:dyDescent="0.2">
      <c r="D10377" s="50"/>
      <c r="E10377" s="73"/>
      <c r="F10377" s="45"/>
    </row>
    <row r="10378" spans="4:6" x14ac:dyDescent="0.2">
      <c r="D10378" s="50"/>
      <c r="E10378" s="73"/>
      <c r="F10378" s="45"/>
    </row>
    <row r="10379" spans="4:6" x14ac:dyDescent="0.2">
      <c r="D10379" s="50"/>
      <c r="E10379" s="73"/>
      <c r="F10379" s="45"/>
    </row>
    <row r="10380" spans="4:6" x14ac:dyDescent="0.2">
      <c r="D10380" s="50"/>
      <c r="E10380" s="73"/>
      <c r="F10380" s="45"/>
    </row>
    <row r="10381" spans="4:6" x14ac:dyDescent="0.2">
      <c r="D10381" s="50"/>
      <c r="E10381" s="73"/>
      <c r="F10381" s="45"/>
    </row>
    <row r="10382" spans="4:6" x14ac:dyDescent="0.2">
      <c r="D10382" s="50"/>
      <c r="E10382" s="73"/>
      <c r="F10382" s="45"/>
    </row>
    <row r="10383" spans="4:6" x14ac:dyDescent="0.2">
      <c r="D10383" s="50"/>
      <c r="E10383" s="73"/>
      <c r="F10383" s="45"/>
    </row>
    <row r="10384" spans="4:6" x14ac:dyDescent="0.2">
      <c r="D10384" s="50"/>
      <c r="E10384" s="73"/>
      <c r="F10384" s="45"/>
    </row>
    <row r="10385" spans="4:6" x14ac:dyDescent="0.2">
      <c r="D10385" s="50"/>
      <c r="E10385" s="73"/>
      <c r="F10385" s="45"/>
    </row>
    <row r="10386" spans="4:6" x14ac:dyDescent="0.2">
      <c r="D10386" s="50"/>
      <c r="E10386" s="73"/>
      <c r="F10386" s="45"/>
    </row>
    <row r="10387" spans="4:6" x14ac:dyDescent="0.2">
      <c r="D10387" s="50"/>
      <c r="E10387" s="73"/>
      <c r="F10387" s="45"/>
    </row>
    <row r="10388" spans="4:6" x14ac:dyDescent="0.2">
      <c r="D10388" s="50"/>
      <c r="E10388" s="73"/>
      <c r="F10388" s="45"/>
    </row>
    <row r="10389" spans="4:6" x14ac:dyDescent="0.2">
      <c r="D10389" s="50"/>
      <c r="E10389" s="73"/>
      <c r="F10389" s="45"/>
    </row>
    <row r="10390" spans="4:6" x14ac:dyDescent="0.2">
      <c r="D10390" s="50"/>
      <c r="E10390" s="73"/>
      <c r="F10390" s="45"/>
    </row>
    <row r="10391" spans="4:6" x14ac:dyDescent="0.2">
      <c r="D10391" s="50"/>
      <c r="E10391" s="73"/>
      <c r="F10391" s="45"/>
    </row>
    <row r="10392" spans="4:6" x14ac:dyDescent="0.2">
      <c r="D10392" s="50"/>
      <c r="E10392" s="73"/>
      <c r="F10392" s="45"/>
    </row>
    <row r="10393" spans="4:6" x14ac:dyDescent="0.2">
      <c r="D10393" s="50"/>
      <c r="E10393" s="73"/>
      <c r="F10393" s="45"/>
    </row>
    <row r="10394" spans="4:6" x14ac:dyDescent="0.2">
      <c r="D10394" s="50"/>
      <c r="E10394" s="73"/>
      <c r="F10394" s="45"/>
    </row>
    <row r="10395" spans="4:6" x14ac:dyDescent="0.2">
      <c r="D10395" s="50"/>
      <c r="E10395" s="73"/>
      <c r="F10395" s="45"/>
    </row>
    <row r="10396" spans="4:6" x14ac:dyDescent="0.2">
      <c r="D10396" s="50"/>
      <c r="E10396" s="73"/>
      <c r="F10396" s="45"/>
    </row>
    <row r="10397" spans="4:6" x14ac:dyDescent="0.2">
      <c r="D10397" s="50"/>
      <c r="E10397" s="73"/>
      <c r="F10397" s="45"/>
    </row>
    <row r="10398" spans="4:6" x14ac:dyDescent="0.2">
      <c r="D10398" s="50"/>
      <c r="E10398" s="73"/>
      <c r="F10398" s="45"/>
    </row>
    <row r="10399" spans="4:6" x14ac:dyDescent="0.2">
      <c r="D10399" s="50"/>
      <c r="E10399" s="73"/>
      <c r="F10399" s="45"/>
    </row>
    <row r="10400" spans="4:6" x14ac:dyDescent="0.2">
      <c r="D10400" s="50"/>
      <c r="E10400" s="73"/>
      <c r="F10400" s="45"/>
    </row>
    <row r="10401" spans="4:6" x14ac:dyDescent="0.2">
      <c r="D10401" s="50"/>
      <c r="E10401" s="73"/>
      <c r="F10401" s="45"/>
    </row>
    <row r="10402" spans="4:6" x14ac:dyDescent="0.2">
      <c r="D10402" s="50"/>
      <c r="E10402" s="73"/>
      <c r="F10402" s="45"/>
    </row>
    <row r="10403" spans="4:6" x14ac:dyDescent="0.2">
      <c r="D10403" s="50"/>
      <c r="E10403" s="73"/>
      <c r="F10403" s="45"/>
    </row>
    <row r="10404" spans="4:6" x14ac:dyDescent="0.2">
      <c r="D10404" s="50"/>
      <c r="E10404" s="73"/>
      <c r="F10404" s="45"/>
    </row>
    <row r="10405" spans="4:6" x14ac:dyDescent="0.2">
      <c r="D10405" s="50"/>
      <c r="E10405" s="73"/>
      <c r="F10405" s="45"/>
    </row>
    <row r="10406" spans="4:6" x14ac:dyDescent="0.2">
      <c r="D10406" s="50"/>
      <c r="E10406" s="73"/>
      <c r="F10406" s="45"/>
    </row>
    <row r="10407" spans="4:6" x14ac:dyDescent="0.2">
      <c r="D10407" s="50"/>
      <c r="E10407" s="73"/>
      <c r="F10407" s="45"/>
    </row>
    <row r="10408" spans="4:6" x14ac:dyDescent="0.2">
      <c r="D10408" s="50"/>
      <c r="E10408" s="73"/>
      <c r="F10408" s="45"/>
    </row>
    <row r="10409" spans="4:6" x14ac:dyDescent="0.2">
      <c r="D10409" s="50"/>
      <c r="E10409" s="73"/>
      <c r="F10409" s="45"/>
    </row>
    <row r="10410" spans="4:6" x14ac:dyDescent="0.2">
      <c r="D10410" s="50"/>
      <c r="E10410" s="73"/>
      <c r="F10410" s="45"/>
    </row>
    <row r="10411" spans="4:6" x14ac:dyDescent="0.2">
      <c r="D10411" s="50"/>
      <c r="E10411" s="73"/>
      <c r="F10411" s="45"/>
    </row>
    <row r="10412" spans="4:6" x14ac:dyDescent="0.2">
      <c r="D10412" s="50"/>
      <c r="E10412" s="73"/>
      <c r="F10412" s="45"/>
    </row>
    <row r="10413" spans="4:6" x14ac:dyDescent="0.2">
      <c r="D10413" s="50"/>
      <c r="E10413" s="73"/>
      <c r="F10413" s="45"/>
    </row>
    <row r="10414" spans="4:6" x14ac:dyDescent="0.2">
      <c r="D10414" s="50"/>
      <c r="E10414" s="73"/>
      <c r="F10414" s="45"/>
    </row>
    <row r="10415" spans="4:6" x14ac:dyDescent="0.2">
      <c r="D10415" s="50"/>
      <c r="E10415" s="73"/>
      <c r="F10415" s="45"/>
    </row>
    <row r="10416" spans="4:6" x14ac:dyDescent="0.2">
      <c r="D10416" s="50"/>
      <c r="E10416" s="73"/>
      <c r="F10416" s="45"/>
    </row>
    <row r="10417" spans="4:6" x14ac:dyDescent="0.2">
      <c r="D10417" s="50"/>
      <c r="E10417" s="73"/>
      <c r="F10417" s="45"/>
    </row>
    <row r="10418" spans="4:6" x14ac:dyDescent="0.2">
      <c r="D10418" s="50"/>
      <c r="E10418" s="73"/>
      <c r="F10418" s="45"/>
    </row>
    <row r="10419" spans="4:6" x14ac:dyDescent="0.2">
      <c r="D10419" s="50"/>
      <c r="E10419" s="73"/>
      <c r="F10419" s="45"/>
    </row>
    <row r="10420" spans="4:6" x14ac:dyDescent="0.2">
      <c r="D10420" s="50"/>
      <c r="E10420" s="73"/>
      <c r="F10420" s="45"/>
    </row>
    <row r="10421" spans="4:6" x14ac:dyDescent="0.2">
      <c r="D10421" s="50"/>
      <c r="E10421" s="73"/>
      <c r="F10421" s="45"/>
    </row>
    <row r="10422" spans="4:6" x14ac:dyDescent="0.2">
      <c r="D10422" s="50"/>
      <c r="E10422" s="73"/>
      <c r="F10422" s="45"/>
    </row>
    <row r="10423" spans="4:6" x14ac:dyDescent="0.2">
      <c r="D10423" s="50"/>
      <c r="E10423" s="73"/>
      <c r="F10423" s="45"/>
    </row>
    <row r="10424" spans="4:6" x14ac:dyDescent="0.2">
      <c r="D10424" s="50"/>
      <c r="E10424" s="73"/>
      <c r="F10424" s="45"/>
    </row>
    <row r="10425" spans="4:6" x14ac:dyDescent="0.2">
      <c r="D10425" s="50"/>
      <c r="E10425" s="73"/>
      <c r="F10425" s="45"/>
    </row>
    <row r="10426" spans="4:6" x14ac:dyDescent="0.2">
      <c r="D10426" s="50"/>
      <c r="E10426" s="73"/>
      <c r="F10426" s="45"/>
    </row>
    <row r="10427" spans="4:6" x14ac:dyDescent="0.2">
      <c r="D10427" s="50"/>
      <c r="E10427" s="73"/>
      <c r="F10427" s="45"/>
    </row>
    <row r="10428" spans="4:6" x14ac:dyDescent="0.2">
      <c r="D10428" s="50"/>
      <c r="E10428" s="73"/>
      <c r="F10428" s="45"/>
    </row>
    <row r="10429" spans="4:6" x14ac:dyDescent="0.2">
      <c r="D10429" s="50"/>
      <c r="E10429" s="73"/>
      <c r="F10429" s="45"/>
    </row>
    <row r="10430" spans="4:6" x14ac:dyDescent="0.2">
      <c r="D10430" s="50"/>
      <c r="E10430" s="73"/>
      <c r="F10430" s="45"/>
    </row>
    <row r="10431" spans="4:6" x14ac:dyDescent="0.2">
      <c r="D10431" s="50"/>
      <c r="E10431" s="73"/>
      <c r="F10431" s="45"/>
    </row>
    <row r="10432" spans="4:6" x14ac:dyDescent="0.2">
      <c r="D10432" s="50"/>
      <c r="E10432" s="73"/>
      <c r="F10432" s="45"/>
    </row>
    <row r="10433" spans="4:6" x14ac:dyDescent="0.2">
      <c r="D10433" s="50"/>
      <c r="E10433" s="73"/>
      <c r="F10433" s="45"/>
    </row>
    <row r="10434" spans="4:6" x14ac:dyDescent="0.2">
      <c r="D10434" s="50"/>
      <c r="E10434" s="73"/>
      <c r="F10434" s="45"/>
    </row>
    <row r="10435" spans="4:6" x14ac:dyDescent="0.2">
      <c r="D10435" s="50"/>
      <c r="E10435" s="73"/>
      <c r="F10435" s="45"/>
    </row>
    <row r="10436" spans="4:6" x14ac:dyDescent="0.2">
      <c r="D10436" s="50"/>
      <c r="E10436" s="73"/>
      <c r="F10436" s="45"/>
    </row>
    <row r="10437" spans="4:6" x14ac:dyDescent="0.2">
      <c r="D10437" s="50"/>
      <c r="E10437" s="73"/>
      <c r="F10437" s="45"/>
    </row>
    <row r="10438" spans="4:6" x14ac:dyDescent="0.2">
      <c r="D10438" s="50"/>
      <c r="E10438" s="73"/>
      <c r="F10438" s="45"/>
    </row>
    <row r="10439" spans="4:6" x14ac:dyDescent="0.2">
      <c r="D10439" s="50"/>
      <c r="E10439" s="73"/>
      <c r="F10439" s="45"/>
    </row>
    <row r="10440" spans="4:6" x14ac:dyDescent="0.2">
      <c r="D10440" s="50"/>
      <c r="E10440" s="73"/>
      <c r="F10440" s="45"/>
    </row>
    <row r="10441" spans="4:6" x14ac:dyDescent="0.2">
      <c r="D10441" s="50"/>
      <c r="E10441" s="73"/>
      <c r="F10441" s="45"/>
    </row>
    <row r="10442" spans="4:6" x14ac:dyDescent="0.2">
      <c r="D10442" s="50"/>
      <c r="E10442" s="73"/>
      <c r="F10442" s="45"/>
    </row>
    <row r="10443" spans="4:6" x14ac:dyDescent="0.2">
      <c r="D10443" s="50"/>
      <c r="E10443" s="73"/>
      <c r="F10443" s="45"/>
    </row>
    <row r="10444" spans="4:6" x14ac:dyDescent="0.2">
      <c r="D10444" s="50"/>
      <c r="E10444" s="73"/>
      <c r="F10444" s="45"/>
    </row>
    <row r="10445" spans="4:6" x14ac:dyDescent="0.2">
      <c r="D10445" s="50"/>
      <c r="E10445" s="73"/>
      <c r="F10445" s="45"/>
    </row>
    <row r="10446" spans="4:6" x14ac:dyDescent="0.2">
      <c r="D10446" s="50"/>
      <c r="E10446" s="73"/>
      <c r="F10446" s="45"/>
    </row>
    <row r="10447" spans="4:6" x14ac:dyDescent="0.2">
      <c r="D10447" s="50"/>
      <c r="E10447" s="73"/>
      <c r="F10447" s="45"/>
    </row>
    <row r="10448" spans="4:6" x14ac:dyDescent="0.2">
      <c r="D10448" s="50"/>
      <c r="E10448" s="73"/>
      <c r="F10448" s="45"/>
    </row>
    <row r="10449" spans="4:6" x14ac:dyDescent="0.2">
      <c r="D10449" s="50"/>
      <c r="E10449" s="73"/>
      <c r="F10449" s="45"/>
    </row>
    <row r="10450" spans="4:6" x14ac:dyDescent="0.2">
      <c r="D10450" s="50"/>
      <c r="E10450" s="73"/>
      <c r="F10450" s="45"/>
    </row>
    <row r="10451" spans="4:6" x14ac:dyDescent="0.2">
      <c r="D10451" s="50"/>
      <c r="E10451" s="73"/>
      <c r="F10451" s="45"/>
    </row>
    <row r="10452" spans="4:6" x14ac:dyDescent="0.2">
      <c r="D10452" s="50"/>
      <c r="E10452" s="73"/>
      <c r="F10452" s="45"/>
    </row>
    <row r="10453" spans="4:6" x14ac:dyDescent="0.2">
      <c r="D10453" s="50"/>
      <c r="E10453" s="73"/>
      <c r="F10453" s="45"/>
    </row>
    <row r="10454" spans="4:6" x14ac:dyDescent="0.2">
      <c r="D10454" s="50"/>
      <c r="E10454" s="73"/>
      <c r="F10454" s="45"/>
    </row>
    <row r="10455" spans="4:6" x14ac:dyDescent="0.2">
      <c r="D10455" s="50"/>
      <c r="E10455" s="73"/>
      <c r="F10455" s="45"/>
    </row>
    <row r="10456" spans="4:6" x14ac:dyDescent="0.2">
      <c r="D10456" s="50"/>
      <c r="E10456" s="73"/>
      <c r="F10456" s="45"/>
    </row>
    <row r="10457" spans="4:6" x14ac:dyDescent="0.2">
      <c r="D10457" s="50"/>
      <c r="E10457" s="73"/>
      <c r="F10457" s="45"/>
    </row>
    <row r="10458" spans="4:6" x14ac:dyDescent="0.2">
      <c r="D10458" s="50"/>
      <c r="E10458" s="73"/>
      <c r="F10458" s="45"/>
    </row>
    <row r="10459" spans="4:6" x14ac:dyDescent="0.2">
      <c r="D10459" s="50"/>
      <c r="E10459" s="73"/>
      <c r="F10459" s="45"/>
    </row>
    <row r="10460" spans="4:6" x14ac:dyDescent="0.2">
      <c r="D10460" s="50"/>
      <c r="E10460" s="73"/>
      <c r="F10460" s="45"/>
    </row>
    <row r="10461" spans="4:6" x14ac:dyDescent="0.2">
      <c r="D10461" s="50"/>
      <c r="E10461" s="73"/>
      <c r="F10461" s="45"/>
    </row>
    <row r="10462" spans="4:6" x14ac:dyDescent="0.2">
      <c r="D10462" s="50"/>
      <c r="E10462" s="73"/>
      <c r="F10462" s="45"/>
    </row>
    <row r="10463" spans="4:6" x14ac:dyDescent="0.2">
      <c r="D10463" s="50"/>
      <c r="E10463" s="73"/>
      <c r="F10463" s="45"/>
    </row>
    <row r="10464" spans="4:6" x14ac:dyDescent="0.2">
      <c r="D10464" s="50"/>
      <c r="E10464" s="73"/>
      <c r="F10464" s="45"/>
    </row>
    <row r="10465" spans="4:6" x14ac:dyDescent="0.2">
      <c r="D10465" s="50"/>
      <c r="E10465" s="73"/>
      <c r="F10465" s="45"/>
    </row>
    <row r="10466" spans="4:6" x14ac:dyDescent="0.2">
      <c r="D10466" s="50"/>
      <c r="E10466" s="73"/>
      <c r="F10466" s="45"/>
    </row>
    <row r="10467" spans="4:6" x14ac:dyDescent="0.2">
      <c r="D10467" s="50"/>
      <c r="E10467" s="73"/>
      <c r="F10467" s="45"/>
    </row>
    <row r="10468" spans="4:6" x14ac:dyDescent="0.2">
      <c r="D10468" s="50"/>
      <c r="E10468" s="73"/>
      <c r="F10468" s="45"/>
    </row>
    <row r="10469" spans="4:6" x14ac:dyDescent="0.2">
      <c r="D10469" s="50"/>
      <c r="E10469" s="73"/>
      <c r="F10469" s="45"/>
    </row>
    <row r="10470" spans="4:6" x14ac:dyDescent="0.2">
      <c r="D10470" s="50"/>
      <c r="E10470" s="73"/>
      <c r="F10470" s="45"/>
    </row>
    <row r="10471" spans="4:6" x14ac:dyDescent="0.2">
      <c r="D10471" s="50"/>
      <c r="E10471" s="73"/>
      <c r="F10471" s="45"/>
    </row>
    <row r="10472" spans="4:6" x14ac:dyDescent="0.2">
      <c r="D10472" s="50"/>
      <c r="E10472" s="73"/>
      <c r="F10472" s="45"/>
    </row>
    <row r="10473" spans="4:6" x14ac:dyDescent="0.2">
      <c r="D10473" s="50"/>
      <c r="E10473" s="73"/>
      <c r="F10473" s="45"/>
    </row>
    <row r="10474" spans="4:6" x14ac:dyDescent="0.2">
      <c r="D10474" s="50"/>
      <c r="E10474" s="73"/>
      <c r="F10474" s="45"/>
    </row>
    <row r="10475" spans="4:6" x14ac:dyDescent="0.2">
      <c r="D10475" s="50"/>
      <c r="E10475" s="73"/>
      <c r="F10475" s="45"/>
    </row>
    <row r="10476" spans="4:6" x14ac:dyDescent="0.2">
      <c r="D10476" s="50"/>
      <c r="E10476" s="73"/>
      <c r="F10476" s="45"/>
    </row>
    <row r="10477" spans="4:6" x14ac:dyDescent="0.2">
      <c r="D10477" s="50"/>
      <c r="E10477" s="73"/>
      <c r="F10477" s="45"/>
    </row>
    <row r="10478" spans="4:6" x14ac:dyDescent="0.2">
      <c r="D10478" s="50"/>
      <c r="E10478" s="73"/>
      <c r="F10478" s="45"/>
    </row>
    <row r="10479" spans="4:6" x14ac:dyDescent="0.2">
      <c r="D10479" s="50"/>
      <c r="E10479" s="73"/>
      <c r="F10479" s="45"/>
    </row>
    <row r="10480" spans="4:6" x14ac:dyDescent="0.2">
      <c r="D10480" s="50"/>
      <c r="E10480" s="73"/>
      <c r="F10480" s="45"/>
    </row>
    <row r="10481" spans="4:6" x14ac:dyDescent="0.2">
      <c r="D10481" s="50"/>
      <c r="E10481" s="73"/>
      <c r="F10481" s="45"/>
    </row>
    <row r="10482" spans="4:6" x14ac:dyDescent="0.2">
      <c r="D10482" s="50"/>
      <c r="E10482" s="73"/>
      <c r="F10482" s="45"/>
    </row>
    <row r="10483" spans="4:6" x14ac:dyDescent="0.2">
      <c r="D10483" s="50"/>
      <c r="E10483" s="73"/>
      <c r="F10483" s="45"/>
    </row>
    <row r="10484" spans="4:6" x14ac:dyDescent="0.2">
      <c r="D10484" s="50"/>
      <c r="E10484" s="73"/>
      <c r="F10484" s="45"/>
    </row>
    <row r="10485" spans="4:6" x14ac:dyDescent="0.2">
      <c r="D10485" s="50"/>
      <c r="E10485" s="73"/>
      <c r="F10485" s="45"/>
    </row>
    <row r="10486" spans="4:6" x14ac:dyDescent="0.2">
      <c r="D10486" s="50"/>
      <c r="E10486" s="73"/>
      <c r="F10486" s="45"/>
    </row>
    <row r="10487" spans="4:6" x14ac:dyDescent="0.2">
      <c r="D10487" s="50"/>
      <c r="E10487" s="73"/>
      <c r="F10487" s="45"/>
    </row>
    <row r="10488" spans="4:6" x14ac:dyDescent="0.2">
      <c r="D10488" s="50"/>
      <c r="E10488" s="73"/>
      <c r="F10488" s="45"/>
    </row>
    <row r="10489" spans="4:6" x14ac:dyDescent="0.2">
      <c r="D10489" s="50"/>
      <c r="E10489" s="73"/>
      <c r="F10489" s="45"/>
    </row>
    <row r="10490" spans="4:6" x14ac:dyDescent="0.2">
      <c r="D10490" s="50"/>
      <c r="E10490" s="73"/>
      <c r="F10490" s="45"/>
    </row>
    <row r="10491" spans="4:6" x14ac:dyDescent="0.2">
      <c r="D10491" s="50"/>
      <c r="E10491" s="73"/>
      <c r="F10491" s="45"/>
    </row>
    <row r="10492" spans="4:6" x14ac:dyDescent="0.2">
      <c r="D10492" s="50"/>
      <c r="E10492" s="73"/>
      <c r="F10492" s="45"/>
    </row>
    <row r="10493" spans="4:6" x14ac:dyDescent="0.2">
      <c r="D10493" s="50"/>
      <c r="E10493" s="73"/>
      <c r="F10493" s="45"/>
    </row>
    <row r="10494" spans="4:6" x14ac:dyDescent="0.2">
      <c r="D10494" s="50"/>
      <c r="E10494" s="73"/>
      <c r="F10494" s="45"/>
    </row>
    <row r="10495" spans="4:6" x14ac:dyDescent="0.2">
      <c r="D10495" s="50"/>
      <c r="E10495" s="73"/>
      <c r="F10495" s="45"/>
    </row>
    <row r="10496" spans="4:6" x14ac:dyDescent="0.2">
      <c r="D10496" s="50"/>
      <c r="E10496" s="73"/>
      <c r="F10496" s="45"/>
    </row>
    <row r="10497" spans="4:6" x14ac:dyDescent="0.2">
      <c r="D10497" s="50"/>
      <c r="E10497" s="73"/>
      <c r="F10497" s="45"/>
    </row>
    <row r="10498" spans="4:6" x14ac:dyDescent="0.2">
      <c r="D10498" s="50"/>
      <c r="E10498" s="73"/>
      <c r="F10498" s="45"/>
    </row>
    <row r="10499" spans="4:6" x14ac:dyDescent="0.2">
      <c r="D10499" s="50"/>
      <c r="E10499" s="73"/>
      <c r="F10499" s="45"/>
    </row>
    <row r="10500" spans="4:6" x14ac:dyDescent="0.2">
      <c r="D10500" s="50"/>
      <c r="E10500" s="73"/>
      <c r="F10500" s="45"/>
    </row>
    <row r="10501" spans="4:6" x14ac:dyDescent="0.2">
      <c r="D10501" s="50"/>
      <c r="E10501" s="73"/>
      <c r="F10501" s="45"/>
    </row>
    <row r="10502" spans="4:6" x14ac:dyDescent="0.2">
      <c r="D10502" s="50"/>
      <c r="E10502" s="73"/>
      <c r="F10502" s="45"/>
    </row>
    <row r="10503" spans="4:6" x14ac:dyDescent="0.2">
      <c r="D10503" s="50"/>
      <c r="E10503" s="73"/>
      <c r="F10503" s="45"/>
    </row>
    <row r="10504" spans="4:6" x14ac:dyDescent="0.2">
      <c r="D10504" s="50"/>
      <c r="E10504" s="73"/>
      <c r="F10504" s="45"/>
    </row>
    <row r="10505" spans="4:6" x14ac:dyDescent="0.2">
      <c r="D10505" s="50"/>
      <c r="E10505" s="73"/>
      <c r="F10505" s="45"/>
    </row>
    <row r="10506" spans="4:6" x14ac:dyDescent="0.2">
      <c r="D10506" s="50"/>
      <c r="E10506" s="73"/>
      <c r="F10506" s="45"/>
    </row>
    <row r="10507" spans="4:6" x14ac:dyDescent="0.2">
      <c r="D10507" s="50"/>
      <c r="E10507" s="73"/>
      <c r="F10507" s="45"/>
    </row>
    <row r="10508" spans="4:6" x14ac:dyDescent="0.2">
      <c r="D10508" s="50"/>
      <c r="E10508" s="73"/>
      <c r="F10508" s="45"/>
    </row>
    <row r="10509" spans="4:6" x14ac:dyDescent="0.2">
      <c r="D10509" s="50"/>
      <c r="E10509" s="73"/>
      <c r="F10509" s="45"/>
    </row>
    <row r="10510" spans="4:6" x14ac:dyDescent="0.2">
      <c r="D10510" s="50"/>
      <c r="E10510" s="73"/>
      <c r="F10510" s="45"/>
    </row>
    <row r="10511" spans="4:6" x14ac:dyDescent="0.2">
      <c r="D10511" s="50"/>
      <c r="E10511" s="73"/>
      <c r="F10511" s="45"/>
    </row>
    <row r="10512" spans="4:6" x14ac:dyDescent="0.2">
      <c r="D10512" s="50"/>
      <c r="E10512" s="73"/>
      <c r="F10512" s="45"/>
    </row>
    <row r="10513" spans="4:6" x14ac:dyDescent="0.2">
      <c r="D10513" s="50"/>
      <c r="E10513" s="73"/>
      <c r="F10513" s="45"/>
    </row>
    <row r="10514" spans="4:6" x14ac:dyDescent="0.2">
      <c r="D10514" s="50"/>
      <c r="E10514" s="73"/>
      <c r="F10514" s="45"/>
    </row>
    <row r="10515" spans="4:6" x14ac:dyDescent="0.2">
      <c r="D10515" s="50"/>
      <c r="E10515" s="73"/>
      <c r="F10515" s="45"/>
    </row>
    <row r="10516" spans="4:6" x14ac:dyDescent="0.2">
      <c r="D10516" s="50"/>
      <c r="E10516" s="73"/>
      <c r="F10516" s="45"/>
    </row>
    <row r="10517" spans="4:6" x14ac:dyDescent="0.2">
      <c r="D10517" s="50"/>
      <c r="E10517" s="73"/>
      <c r="F10517" s="45"/>
    </row>
    <row r="10518" spans="4:6" x14ac:dyDescent="0.2">
      <c r="D10518" s="50"/>
      <c r="E10518" s="73"/>
      <c r="F10518" s="45"/>
    </row>
    <row r="10519" spans="4:6" x14ac:dyDescent="0.2">
      <c r="D10519" s="50"/>
      <c r="E10519" s="73"/>
      <c r="F10519" s="45"/>
    </row>
    <row r="10520" spans="4:6" x14ac:dyDescent="0.2">
      <c r="D10520" s="50"/>
      <c r="E10520" s="73"/>
      <c r="F10520" s="45"/>
    </row>
    <row r="10521" spans="4:6" x14ac:dyDescent="0.2">
      <c r="D10521" s="50"/>
      <c r="E10521" s="73"/>
      <c r="F10521" s="45"/>
    </row>
    <row r="10522" spans="4:6" x14ac:dyDescent="0.2">
      <c r="D10522" s="50"/>
      <c r="E10522" s="73"/>
      <c r="F10522" s="45"/>
    </row>
    <row r="10523" spans="4:6" x14ac:dyDescent="0.2">
      <c r="D10523" s="50"/>
      <c r="E10523" s="73"/>
      <c r="F10523" s="45"/>
    </row>
    <row r="10524" spans="4:6" x14ac:dyDescent="0.2">
      <c r="D10524" s="50"/>
      <c r="E10524" s="73"/>
      <c r="F10524" s="45"/>
    </row>
    <row r="10525" spans="4:6" x14ac:dyDescent="0.2">
      <c r="D10525" s="50"/>
      <c r="E10525" s="73"/>
      <c r="F10525" s="45"/>
    </row>
    <row r="10526" spans="4:6" x14ac:dyDescent="0.2">
      <c r="D10526" s="50"/>
      <c r="E10526" s="73"/>
      <c r="F10526" s="45"/>
    </row>
    <row r="10527" spans="4:6" x14ac:dyDescent="0.2">
      <c r="D10527" s="50"/>
      <c r="E10527" s="73"/>
      <c r="F10527" s="45"/>
    </row>
    <row r="10528" spans="4:6" x14ac:dyDescent="0.2">
      <c r="D10528" s="50"/>
      <c r="E10528" s="73"/>
      <c r="F10528" s="45"/>
    </row>
    <row r="10529" spans="4:6" x14ac:dyDescent="0.2">
      <c r="D10529" s="50"/>
      <c r="E10529" s="73"/>
      <c r="F10529" s="45"/>
    </row>
    <row r="10530" spans="4:6" x14ac:dyDescent="0.2">
      <c r="D10530" s="50"/>
      <c r="E10530" s="73"/>
      <c r="F10530" s="45"/>
    </row>
    <row r="10531" spans="4:6" x14ac:dyDescent="0.2">
      <c r="D10531" s="50"/>
      <c r="E10531" s="73"/>
      <c r="F10531" s="45"/>
    </row>
    <row r="10532" spans="4:6" x14ac:dyDescent="0.2">
      <c r="D10532" s="50"/>
      <c r="E10532" s="73"/>
      <c r="F10532" s="45"/>
    </row>
    <row r="10533" spans="4:6" x14ac:dyDescent="0.2">
      <c r="D10533" s="50"/>
      <c r="E10533" s="73"/>
      <c r="F10533" s="45"/>
    </row>
    <row r="10534" spans="4:6" x14ac:dyDescent="0.2">
      <c r="D10534" s="50"/>
      <c r="E10534" s="73"/>
      <c r="F10534" s="45"/>
    </row>
    <row r="10535" spans="4:6" x14ac:dyDescent="0.2">
      <c r="D10535" s="50"/>
      <c r="E10535" s="73"/>
      <c r="F10535" s="45"/>
    </row>
    <row r="10536" spans="4:6" x14ac:dyDescent="0.2">
      <c r="D10536" s="50"/>
      <c r="E10536" s="73"/>
      <c r="F10536" s="45"/>
    </row>
    <row r="10537" spans="4:6" x14ac:dyDescent="0.2">
      <c r="D10537" s="50"/>
      <c r="E10537" s="73"/>
      <c r="F10537" s="45"/>
    </row>
    <row r="10538" spans="4:6" x14ac:dyDescent="0.2">
      <c r="D10538" s="50"/>
      <c r="E10538" s="73"/>
      <c r="F10538" s="45"/>
    </row>
    <row r="10539" spans="4:6" x14ac:dyDescent="0.2">
      <c r="D10539" s="50"/>
      <c r="E10539" s="73"/>
      <c r="F10539" s="45"/>
    </row>
    <row r="10540" spans="4:6" x14ac:dyDescent="0.2">
      <c r="D10540" s="50"/>
      <c r="E10540" s="73"/>
      <c r="F10540" s="45"/>
    </row>
    <row r="10541" spans="4:6" x14ac:dyDescent="0.2">
      <c r="D10541" s="50"/>
      <c r="E10541" s="73"/>
      <c r="F10541" s="45"/>
    </row>
    <row r="10542" spans="4:6" x14ac:dyDescent="0.2">
      <c r="D10542" s="50"/>
      <c r="E10542" s="73"/>
      <c r="F10542" s="45"/>
    </row>
    <row r="10543" spans="4:6" x14ac:dyDescent="0.2">
      <c r="D10543" s="50"/>
      <c r="E10543" s="73"/>
      <c r="F10543" s="45"/>
    </row>
    <row r="10544" spans="4:6" x14ac:dyDescent="0.2">
      <c r="D10544" s="50"/>
      <c r="E10544" s="73"/>
      <c r="F10544" s="45"/>
    </row>
    <row r="10545" spans="4:6" x14ac:dyDescent="0.2">
      <c r="D10545" s="50"/>
      <c r="E10545" s="73"/>
      <c r="F10545" s="45"/>
    </row>
    <row r="10546" spans="4:6" x14ac:dyDescent="0.2">
      <c r="D10546" s="50"/>
      <c r="E10546" s="73"/>
      <c r="F10546" s="45"/>
    </row>
    <row r="10547" spans="4:6" x14ac:dyDescent="0.2">
      <c r="D10547" s="50"/>
      <c r="E10547" s="73"/>
      <c r="F10547" s="45"/>
    </row>
    <row r="10548" spans="4:6" x14ac:dyDescent="0.2">
      <c r="D10548" s="50"/>
      <c r="E10548" s="73"/>
      <c r="F10548" s="45"/>
    </row>
    <row r="10549" spans="4:6" x14ac:dyDescent="0.2">
      <c r="D10549" s="50"/>
      <c r="E10549" s="73"/>
      <c r="F10549" s="45"/>
    </row>
    <row r="10550" spans="4:6" x14ac:dyDescent="0.2">
      <c r="D10550" s="50"/>
      <c r="E10550" s="73"/>
      <c r="F10550" s="45"/>
    </row>
    <row r="10551" spans="4:6" x14ac:dyDescent="0.2">
      <c r="D10551" s="50"/>
      <c r="E10551" s="73"/>
      <c r="F10551" s="45"/>
    </row>
    <row r="10552" spans="4:6" x14ac:dyDescent="0.2">
      <c r="D10552" s="50"/>
      <c r="E10552" s="73"/>
      <c r="F10552" s="45"/>
    </row>
    <row r="10553" spans="4:6" x14ac:dyDescent="0.2">
      <c r="D10553" s="50"/>
      <c r="E10553" s="73"/>
      <c r="F10553" s="45"/>
    </row>
    <row r="10554" spans="4:6" x14ac:dyDescent="0.2">
      <c r="D10554" s="50"/>
      <c r="E10554" s="73"/>
      <c r="F10554" s="45"/>
    </row>
    <row r="10555" spans="4:6" x14ac:dyDescent="0.2">
      <c r="D10555" s="50"/>
      <c r="E10555" s="73"/>
      <c r="F10555" s="45"/>
    </row>
    <row r="10556" spans="4:6" x14ac:dyDescent="0.2">
      <c r="D10556" s="50"/>
      <c r="E10556" s="73"/>
      <c r="F10556" s="45"/>
    </row>
    <row r="10557" spans="4:6" x14ac:dyDescent="0.2">
      <c r="D10557" s="50"/>
      <c r="E10557" s="73"/>
      <c r="F10557" s="45"/>
    </row>
    <row r="10558" spans="4:6" x14ac:dyDescent="0.2">
      <c r="D10558" s="50"/>
      <c r="E10558" s="73"/>
      <c r="F10558" s="45"/>
    </row>
    <row r="10559" spans="4:6" x14ac:dyDescent="0.2">
      <c r="D10559" s="50"/>
      <c r="E10559" s="73"/>
      <c r="F10559" s="45"/>
    </row>
    <row r="10560" spans="4:6" x14ac:dyDescent="0.2">
      <c r="D10560" s="50"/>
      <c r="E10560" s="73"/>
      <c r="F10560" s="45"/>
    </row>
    <row r="10561" spans="4:6" x14ac:dyDescent="0.2">
      <c r="D10561" s="50"/>
      <c r="E10561" s="73"/>
      <c r="F10561" s="45"/>
    </row>
    <row r="10562" spans="4:6" x14ac:dyDescent="0.2">
      <c r="D10562" s="50"/>
      <c r="E10562" s="73"/>
      <c r="F10562" s="45"/>
    </row>
    <row r="10563" spans="4:6" x14ac:dyDescent="0.2">
      <c r="D10563" s="50"/>
      <c r="E10563" s="73"/>
      <c r="F10563" s="45"/>
    </row>
    <row r="10564" spans="4:6" x14ac:dyDescent="0.2">
      <c r="D10564" s="50"/>
      <c r="E10564" s="73"/>
      <c r="F10564" s="45"/>
    </row>
    <row r="10565" spans="4:6" x14ac:dyDescent="0.2">
      <c r="D10565" s="50"/>
      <c r="E10565" s="73"/>
      <c r="F10565" s="45"/>
    </row>
    <row r="10566" spans="4:6" x14ac:dyDescent="0.2">
      <c r="D10566" s="50"/>
      <c r="E10566" s="73"/>
      <c r="F10566" s="45"/>
    </row>
    <row r="10567" spans="4:6" x14ac:dyDescent="0.2">
      <c r="D10567" s="50"/>
      <c r="E10567" s="73"/>
      <c r="F10567" s="45"/>
    </row>
    <row r="10568" spans="4:6" x14ac:dyDescent="0.2">
      <c r="D10568" s="50"/>
      <c r="E10568" s="73"/>
      <c r="F10568" s="45"/>
    </row>
    <row r="10569" spans="4:6" x14ac:dyDescent="0.2">
      <c r="D10569" s="50"/>
      <c r="E10569" s="73"/>
      <c r="F10569" s="45"/>
    </row>
    <row r="10570" spans="4:6" x14ac:dyDescent="0.2">
      <c r="D10570" s="50"/>
      <c r="E10570" s="73"/>
      <c r="F10570" s="45"/>
    </row>
    <row r="10571" spans="4:6" x14ac:dyDescent="0.2">
      <c r="D10571" s="50"/>
      <c r="E10571" s="73"/>
      <c r="F10571" s="45"/>
    </row>
    <row r="10572" spans="4:6" x14ac:dyDescent="0.2">
      <c r="D10572" s="50"/>
      <c r="E10572" s="73"/>
      <c r="F10572" s="45"/>
    </row>
    <row r="10573" spans="4:6" x14ac:dyDescent="0.2">
      <c r="D10573" s="50"/>
      <c r="E10573" s="73"/>
      <c r="F10573" s="45"/>
    </row>
    <row r="10574" spans="4:6" x14ac:dyDescent="0.2">
      <c r="D10574" s="50"/>
      <c r="E10574" s="73"/>
      <c r="F10574" s="45"/>
    </row>
    <row r="10575" spans="4:6" x14ac:dyDescent="0.2">
      <c r="D10575" s="50"/>
      <c r="E10575" s="73"/>
      <c r="F10575" s="45"/>
    </row>
    <row r="10576" spans="4:6" x14ac:dyDescent="0.2">
      <c r="D10576" s="50"/>
      <c r="E10576" s="73"/>
      <c r="F10576" s="45"/>
    </row>
    <row r="10577" spans="4:6" x14ac:dyDescent="0.2">
      <c r="D10577" s="50"/>
      <c r="E10577" s="73"/>
      <c r="F10577" s="45"/>
    </row>
    <row r="10578" spans="4:6" x14ac:dyDescent="0.2">
      <c r="D10578" s="50"/>
      <c r="E10578" s="73"/>
      <c r="F10578" s="45"/>
    </row>
    <row r="10579" spans="4:6" x14ac:dyDescent="0.2">
      <c r="D10579" s="50"/>
      <c r="E10579" s="73"/>
      <c r="F10579" s="45"/>
    </row>
    <row r="10580" spans="4:6" x14ac:dyDescent="0.2">
      <c r="D10580" s="50"/>
      <c r="E10580" s="73"/>
      <c r="F10580" s="45"/>
    </row>
    <row r="10581" spans="4:6" x14ac:dyDescent="0.2">
      <c r="D10581" s="50"/>
      <c r="E10581" s="73"/>
      <c r="F10581" s="45"/>
    </row>
    <row r="10582" spans="4:6" x14ac:dyDescent="0.2">
      <c r="D10582" s="50"/>
      <c r="E10582" s="73"/>
      <c r="F10582" s="45"/>
    </row>
    <row r="10583" spans="4:6" x14ac:dyDescent="0.2">
      <c r="D10583" s="50"/>
      <c r="E10583" s="73"/>
      <c r="F10583" s="45"/>
    </row>
    <row r="10584" spans="4:6" x14ac:dyDescent="0.2">
      <c r="D10584" s="50"/>
      <c r="E10584" s="73"/>
      <c r="F10584" s="45"/>
    </row>
    <row r="10585" spans="4:6" x14ac:dyDescent="0.2">
      <c r="D10585" s="50"/>
      <c r="E10585" s="73"/>
      <c r="F10585" s="45"/>
    </row>
    <row r="10586" spans="4:6" x14ac:dyDescent="0.2">
      <c r="D10586" s="50"/>
      <c r="E10586" s="73"/>
      <c r="F10586" s="45"/>
    </row>
    <row r="10587" spans="4:6" x14ac:dyDescent="0.2">
      <c r="D10587" s="50"/>
      <c r="E10587" s="73"/>
      <c r="F10587" s="45"/>
    </row>
    <row r="10588" spans="4:6" x14ac:dyDescent="0.2">
      <c r="D10588" s="50"/>
      <c r="E10588" s="73"/>
      <c r="F10588" s="45"/>
    </row>
    <row r="10589" spans="4:6" x14ac:dyDescent="0.2">
      <c r="D10589" s="50"/>
      <c r="E10589" s="73"/>
      <c r="F10589" s="45"/>
    </row>
    <row r="10590" spans="4:6" x14ac:dyDescent="0.2">
      <c r="D10590" s="50"/>
      <c r="E10590" s="73"/>
      <c r="F10590" s="45"/>
    </row>
    <row r="10591" spans="4:6" x14ac:dyDescent="0.2">
      <c r="D10591" s="50"/>
      <c r="E10591" s="73"/>
      <c r="F10591" s="45"/>
    </row>
    <row r="10592" spans="4:6" x14ac:dyDescent="0.2">
      <c r="D10592" s="50"/>
      <c r="E10592" s="73"/>
      <c r="F10592" s="45"/>
    </row>
    <row r="10593" spans="4:6" x14ac:dyDescent="0.2">
      <c r="D10593" s="50"/>
      <c r="E10593" s="73"/>
      <c r="F10593" s="45"/>
    </row>
    <row r="10594" spans="4:6" x14ac:dyDescent="0.2">
      <c r="D10594" s="50"/>
      <c r="E10594" s="73"/>
      <c r="F10594" s="45"/>
    </row>
    <row r="10595" spans="4:6" x14ac:dyDescent="0.2">
      <c r="D10595" s="50"/>
      <c r="E10595" s="73"/>
      <c r="F10595" s="45"/>
    </row>
    <row r="10596" spans="4:6" x14ac:dyDescent="0.2">
      <c r="D10596" s="50"/>
      <c r="E10596" s="73"/>
      <c r="F10596" s="45"/>
    </row>
    <row r="10597" spans="4:6" x14ac:dyDescent="0.2">
      <c r="D10597" s="50"/>
      <c r="E10597" s="73"/>
      <c r="F10597" s="45"/>
    </row>
    <row r="10598" spans="4:6" x14ac:dyDescent="0.2">
      <c r="D10598" s="50"/>
      <c r="E10598" s="73"/>
      <c r="F10598" s="45"/>
    </row>
    <row r="10599" spans="4:6" x14ac:dyDescent="0.2">
      <c r="D10599" s="50"/>
      <c r="E10599" s="73"/>
      <c r="F10599" s="45"/>
    </row>
    <row r="10600" spans="4:6" x14ac:dyDescent="0.2">
      <c r="D10600" s="50"/>
      <c r="E10600" s="73"/>
      <c r="F10600" s="45"/>
    </row>
    <row r="10601" spans="4:6" x14ac:dyDescent="0.2">
      <c r="D10601" s="50"/>
      <c r="E10601" s="73"/>
      <c r="F10601" s="45"/>
    </row>
    <row r="10602" spans="4:6" x14ac:dyDescent="0.2">
      <c r="D10602" s="50"/>
      <c r="E10602" s="73"/>
      <c r="F10602" s="45"/>
    </row>
    <row r="10603" spans="4:6" x14ac:dyDescent="0.2">
      <c r="D10603" s="50"/>
      <c r="E10603" s="73"/>
      <c r="F10603" s="45"/>
    </row>
    <row r="10604" spans="4:6" x14ac:dyDescent="0.2">
      <c r="D10604" s="50"/>
      <c r="E10604" s="73"/>
      <c r="F10604" s="45"/>
    </row>
    <row r="10605" spans="4:6" x14ac:dyDescent="0.2">
      <c r="D10605" s="50"/>
      <c r="E10605" s="73"/>
      <c r="F10605" s="45"/>
    </row>
    <row r="10606" spans="4:6" x14ac:dyDescent="0.2">
      <c r="D10606" s="50"/>
      <c r="E10606" s="73"/>
      <c r="F10606" s="45"/>
    </row>
    <row r="10607" spans="4:6" x14ac:dyDescent="0.2">
      <c r="D10607" s="50"/>
      <c r="E10607" s="73"/>
      <c r="F10607" s="45"/>
    </row>
    <row r="10608" spans="4:6" x14ac:dyDescent="0.2">
      <c r="D10608" s="50"/>
      <c r="E10608" s="73"/>
      <c r="F10608" s="45"/>
    </row>
    <row r="10609" spans="4:6" x14ac:dyDescent="0.2">
      <c r="D10609" s="50"/>
      <c r="E10609" s="73"/>
      <c r="F10609" s="45"/>
    </row>
    <row r="10610" spans="4:6" x14ac:dyDescent="0.2">
      <c r="D10610" s="50"/>
      <c r="E10610" s="73"/>
      <c r="F10610" s="45"/>
    </row>
    <row r="10611" spans="4:6" x14ac:dyDescent="0.2">
      <c r="D10611" s="50"/>
      <c r="E10611" s="73"/>
      <c r="F10611" s="45"/>
    </row>
    <row r="10612" spans="4:6" x14ac:dyDescent="0.2">
      <c r="D10612" s="50"/>
      <c r="E10612" s="73"/>
      <c r="F10612" s="45"/>
    </row>
    <row r="10613" spans="4:6" x14ac:dyDescent="0.2">
      <c r="D10613" s="50"/>
      <c r="E10613" s="73"/>
      <c r="F10613" s="45"/>
    </row>
    <row r="10614" spans="4:6" x14ac:dyDescent="0.2">
      <c r="D10614" s="50"/>
      <c r="E10614" s="73"/>
      <c r="F10614" s="45"/>
    </row>
    <row r="10615" spans="4:6" x14ac:dyDescent="0.2">
      <c r="D10615" s="50"/>
      <c r="E10615" s="73"/>
      <c r="F10615" s="45"/>
    </row>
    <row r="10616" spans="4:6" x14ac:dyDescent="0.2">
      <c r="D10616" s="50"/>
      <c r="E10616" s="73"/>
      <c r="F10616" s="45"/>
    </row>
    <row r="10617" spans="4:6" x14ac:dyDescent="0.2">
      <c r="D10617" s="50"/>
      <c r="E10617" s="73"/>
      <c r="F10617" s="45"/>
    </row>
    <row r="10618" spans="4:6" x14ac:dyDescent="0.2">
      <c r="D10618" s="50"/>
      <c r="E10618" s="73"/>
      <c r="F10618" s="45"/>
    </row>
    <row r="10619" spans="4:6" x14ac:dyDescent="0.2">
      <c r="D10619" s="50"/>
      <c r="E10619" s="73"/>
      <c r="F10619" s="45"/>
    </row>
    <row r="10620" spans="4:6" x14ac:dyDescent="0.2">
      <c r="D10620" s="50"/>
      <c r="E10620" s="73"/>
      <c r="F10620" s="45"/>
    </row>
    <row r="10621" spans="4:6" x14ac:dyDescent="0.2">
      <c r="D10621" s="50"/>
      <c r="E10621" s="73"/>
      <c r="F10621" s="45"/>
    </row>
    <row r="10622" spans="4:6" x14ac:dyDescent="0.2">
      <c r="D10622" s="50"/>
      <c r="E10622" s="73"/>
      <c r="F10622" s="45"/>
    </row>
    <row r="10623" spans="4:6" x14ac:dyDescent="0.2">
      <c r="D10623" s="50"/>
      <c r="E10623" s="73"/>
      <c r="F10623" s="45"/>
    </row>
    <row r="10624" spans="4:6" x14ac:dyDescent="0.2">
      <c r="D10624" s="50"/>
      <c r="E10624" s="73"/>
      <c r="F10624" s="45"/>
    </row>
    <row r="10625" spans="4:6" x14ac:dyDescent="0.2">
      <c r="D10625" s="50"/>
      <c r="E10625" s="73"/>
      <c r="F10625" s="45"/>
    </row>
    <row r="10626" spans="4:6" x14ac:dyDescent="0.2">
      <c r="D10626" s="50"/>
      <c r="E10626" s="73"/>
      <c r="F10626" s="45"/>
    </row>
    <row r="10627" spans="4:6" x14ac:dyDescent="0.2">
      <c r="D10627" s="50"/>
      <c r="E10627" s="73"/>
      <c r="F10627" s="45"/>
    </row>
    <row r="10628" spans="4:6" x14ac:dyDescent="0.2">
      <c r="D10628" s="50"/>
      <c r="E10628" s="73"/>
      <c r="F10628" s="45"/>
    </row>
    <row r="10629" spans="4:6" x14ac:dyDescent="0.2">
      <c r="D10629" s="50"/>
      <c r="E10629" s="73"/>
      <c r="F10629" s="45"/>
    </row>
    <row r="10630" spans="4:6" x14ac:dyDescent="0.2">
      <c r="D10630" s="50"/>
      <c r="E10630" s="73"/>
      <c r="F10630" s="45"/>
    </row>
    <row r="10631" spans="4:6" x14ac:dyDescent="0.2">
      <c r="D10631" s="50"/>
      <c r="E10631" s="73"/>
      <c r="F10631" s="45"/>
    </row>
    <row r="10632" spans="4:6" x14ac:dyDescent="0.2">
      <c r="D10632" s="50"/>
      <c r="E10632" s="73"/>
      <c r="F10632" s="45"/>
    </row>
    <row r="10633" spans="4:6" x14ac:dyDescent="0.2">
      <c r="D10633" s="50"/>
      <c r="E10633" s="73"/>
      <c r="F10633" s="45"/>
    </row>
    <row r="10634" spans="4:6" x14ac:dyDescent="0.2">
      <c r="D10634" s="50"/>
      <c r="E10634" s="73"/>
      <c r="F10634" s="45"/>
    </row>
    <row r="10635" spans="4:6" x14ac:dyDescent="0.2">
      <c r="D10635" s="50"/>
      <c r="E10635" s="73"/>
      <c r="F10635" s="45"/>
    </row>
    <row r="10636" spans="4:6" x14ac:dyDescent="0.2">
      <c r="D10636" s="50"/>
      <c r="E10636" s="73"/>
      <c r="F10636" s="45"/>
    </row>
    <row r="10637" spans="4:6" x14ac:dyDescent="0.2">
      <c r="D10637" s="50"/>
      <c r="E10637" s="73"/>
      <c r="F10637" s="45"/>
    </row>
    <row r="10638" spans="4:6" x14ac:dyDescent="0.2">
      <c r="D10638" s="50"/>
      <c r="E10638" s="73"/>
      <c r="F10638" s="45"/>
    </row>
    <row r="10639" spans="4:6" x14ac:dyDescent="0.2">
      <c r="D10639" s="50"/>
      <c r="E10639" s="73"/>
      <c r="F10639" s="45"/>
    </row>
    <row r="10640" spans="4:6" x14ac:dyDescent="0.2">
      <c r="D10640" s="50"/>
      <c r="E10640" s="73"/>
      <c r="F10640" s="45"/>
    </row>
    <row r="10641" spans="4:6" x14ac:dyDescent="0.2">
      <c r="D10641" s="50"/>
      <c r="E10641" s="73"/>
      <c r="F10641" s="45"/>
    </row>
    <row r="10642" spans="4:6" x14ac:dyDescent="0.2">
      <c r="D10642" s="50"/>
      <c r="E10642" s="73"/>
      <c r="F10642" s="45"/>
    </row>
    <row r="10643" spans="4:6" x14ac:dyDescent="0.2">
      <c r="D10643" s="50"/>
      <c r="E10643" s="73"/>
      <c r="F10643" s="45"/>
    </row>
    <row r="10644" spans="4:6" x14ac:dyDescent="0.2">
      <c r="D10644" s="50"/>
      <c r="E10644" s="73"/>
      <c r="F10644" s="45"/>
    </row>
    <row r="10645" spans="4:6" x14ac:dyDescent="0.2">
      <c r="D10645" s="50"/>
      <c r="E10645" s="73"/>
      <c r="F10645" s="45"/>
    </row>
    <row r="10646" spans="4:6" x14ac:dyDescent="0.2">
      <c r="D10646" s="50"/>
      <c r="E10646" s="73"/>
      <c r="F10646" s="45"/>
    </row>
    <row r="10647" spans="4:6" x14ac:dyDescent="0.2">
      <c r="D10647" s="50"/>
      <c r="E10647" s="73"/>
      <c r="F10647" s="45"/>
    </row>
    <row r="10648" spans="4:6" x14ac:dyDescent="0.2">
      <c r="D10648" s="50"/>
      <c r="E10648" s="73"/>
      <c r="F10648" s="45"/>
    </row>
    <row r="10649" spans="4:6" x14ac:dyDescent="0.2">
      <c r="D10649" s="50"/>
      <c r="E10649" s="73"/>
      <c r="F10649" s="45"/>
    </row>
    <row r="10650" spans="4:6" x14ac:dyDescent="0.2">
      <c r="D10650" s="50"/>
      <c r="E10650" s="73"/>
      <c r="F10650" s="45"/>
    </row>
    <row r="10651" spans="4:6" x14ac:dyDescent="0.2">
      <c r="D10651" s="50"/>
      <c r="E10651" s="73"/>
      <c r="F10651" s="45"/>
    </row>
    <row r="10652" spans="4:6" x14ac:dyDescent="0.2">
      <c r="D10652" s="50"/>
      <c r="E10652" s="73"/>
      <c r="F10652" s="45"/>
    </row>
    <row r="10653" spans="4:6" x14ac:dyDescent="0.2">
      <c r="D10653" s="50"/>
      <c r="E10653" s="73"/>
      <c r="F10653" s="45"/>
    </row>
    <row r="10654" spans="4:6" x14ac:dyDescent="0.2">
      <c r="D10654" s="50"/>
      <c r="E10654" s="73"/>
      <c r="F10654" s="45"/>
    </row>
    <row r="10655" spans="4:6" x14ac:dyDescent="0.2">
      <c r="D10655" s="50"/>
      <c r="E10655" s="73"/>
      <c r="F10655" s="45"/>
    </row>
    <row r="10656" spans="4:6" x14ac:dyDescent="0.2">
      <c r="D10656" s="50"/>
      <c r="E10656" s="73"/>
      <c r="F10656" s="45"/>
    </row>
    <row r="10657" spans="4:6" x14ac:dyDescent="0.2">
      <c r="D10657" s="50"/>
      <c r="E10657" s="73"/>
      <c r="F10657" s="45"/>
    </row>
    <row r="10658" spans="4:6" x14ac:dyDescent="0.2">
      <c r="D10658" s="50"/>
      <c r="E10658" s="73"/>
      <c r="F10658" s="45"/>
    </row>
    <row r="10659" spans="4:6" x14ac:dyDescent="0.2">
      <c r="D10659" s="50"/>
      <c r="E10659" s="73"/>
      <c r="F10659" s="45"/>
    </row>
    <row r="10660" spans="4:6" x14ac:dyDescent="0.2">
      <c r="D10660" s="50"/>
      <c r="E10660" s="73"/>
      <c r="F10660" s="45"/>
    </row>
    <row r="10661" spans="4:6" x14ac:dyDescent="0.2">
      <c r="D10661" s="50"/>
      <c r="E10661" s="73"/>
      <c r="F10661" s="45"/>
    </row>
    <row r="10662" spans="4:6" x14ac:dyDescent="0.2">
      <c r="D10662" s="50"/>
      <c r="E10662" s="73"/>
      <c r="F10662" s="45"/>
    </row>
    <row r="10663" spans="4:6" x14ac:dyDescent="0.2">
      <c r="D10663" s="50"/>
      <c r="E10663" s="73"/>
      <c r="F10663" s="45"/>
    </row>
    <row r="10664" spans="4:6" x14ac:dyDescent="0.2">
      <c r="D10664" s="50"/>
      <c r="E10664" s="73"/>
      <c r="F10664" s="45"/>
    </row>
    <row r="10665" spans="4:6" x14ac:dyDescent="0.2">
      <c r="D10665" s="50"/>
      <c r="E10665" s="73"/>
      <c r="F10665" s="45"/>
    </row>
    <row r="10666" spans="4:6" x14ac:dyDescent="0.2">
      <c r="D10666" s="50"/>
      <c r="E10666" s="73"/>
      <c r="F10666" s="45"/>
    </row>
    <row r="10667" spans="4:6" x14ac:dyDescent="0.2">
      <c r="D10667" s="50"/>
      <c r="E10667" s="73"/>
      <c r="F10667" s="45"/>
    </row>
    <row r="10668" spans="4:6" x14ac:dyDescent="0.2">
      <c r="D10668" s="50"/>
      <c r="E10668" s="73"/>
      <c r="F10668" s="45"/>
    </row>
    <row r="10669" spans="4:6" x14ac:dyDescent="0.2">
      <c r="D10669" s="50"/>
      <c r="E10669" s="73"/>
      <c r="F10669" s="45"/>
    </row>
    <row r="10670" spans="4:6" x14ac:dyDescent="0.2">
      <c r="D10670" s="50"/>
      <c r="E10670" s="73"/>
      <c r="F10670" s="45"/>
    </row>
    <row r="10671" spans="4:6" x14ac:dyDescent="0.2">
      <c r="D10671" s="50"/>
      <c r="E10671" s="73"/>
      <c r="F10671" s="45"/>
    </row>
    <row r="10672" spans="4:6" x14ac:dyDescent="0.2">
      <c r="D10672" s="50"/>
      <c r="E10672" s="73"/>
      <c r="F10672" s="45"/>
    </row>
    <row r="10673" spans="4:6" x14ac:dyDescent="0.2">
      <c r="D10673" s="50"/>
      <c r="E10673" s="73"/>
      <c r="F10673" s="45"/>
    </row>
    <row r="10674" spans="4:6" x14ac:dyDescent="0.2">
      <c r="D10674" s="50"/>
      <c r="E10674" s="73"/>
      <c r="F10674" s="45"/>
    </row>
    <row r="10675" spans="4:6" x14ac:dyDescent="0.2">
      <c r="D10675" s="50"/>
      <c r="E10675" s="73"/>
      <c r="F10675" s="45"/>
    </row>
    <row r="10676" spans="4:6" x14ac:dyDescent="0.2">
      <c r="D10676" s="50"/>
      <c r="E10676" s="73"/>
      <c r="F10676" s="45"/>
    </row>
    <row r="10677" spans="4:6" x14ac:dyDescent="0.2">
      <c r="D10677" s="50"/>
      <c r="E10677" s="73"/>
      <c r="F10677" s="45"/>
    </row>
    <row r="10678" spans="4:6" x14ac:dyDescent="0.2">
      <c r="D10678" s="50"/>
      <c r="E10678" s="73"/>
      <c r="F10678" s="45"/>
    </row>
    <row r="10679" spans="4:6" x14ac:dyDescent="0.2">
      <c r="D10679" s="50"/>
      <c r="E10679" s="73"/>
      <c r="F10679" s="45"/>
    </row>
    <row r="10680" spans="4:6" x14ac:dyDescent="0.2">
      <c r="D10680" s="50"/>
      <c r="E10680" s="73"/>
      <c r="F10680" s="45"/>
    </row>
    <row r="10681" spans="4:6" x14ac:dyDescent="0.2">
      <c r="D10681" s="50"/>
      <c r="E10681" s="73"/>
      <c r="F10681" s="45"/>
    </row>
    <row r="10682" spans="4:6" x14ac:dyDescent="0.2">
      <c r="D10682" s="50"/>
      <c r="E10682" s="73"/>
      <c r="F10682" s="45"/>
    </row>
    <row r="10683" spans="4:6" x14ac:dyDescent="0.2">
      <c r="D10683" s="50"/>
      <c r="E10683" s="73"/>
      <c r="F10683" s="45"/>
    </row>
    <row r="10684" spans="4:6" x14ac:dyDescent="0.2">
      <c r="D10684" s="50"/>
      <c r="E10684" s="73"/>
      <c r="F10684" s="45"/>
    </row>
    <row r="10685" spans="4:6" x14ac:dyDescent="0.2">
      <c r="D10685" s="50"/>
      <c r="E10685" s="73"/>
      <c r="F10685" s="45"/>
    </row>
    <row r="10686" spans="4:6" x14ac:dyDescent="0.2">
      <c r="D10686" s="50"/>
      <c r="E10686" s="73"/>
      <c r="F10686" s="45"/>
    </row>
    <row r="10687" spans="4:6" x14ac:dyDescent="0.2">
      <c r="D10687" s="50"/>
      <c r="E10687" s="73"/>
      <c r="F10687" s="45"/>
    </row>
    <row r="10688" spans="4:6" x14ac:dyDescent="0.2">
      <c r="D10688" s="50"/>
      <c r="E10688" s="73"/>
      <c r="F10688" s="45"/>
    </row>
    <row r="10689" spans="4:6" x14ac:dyDescent="0.2">
      <c r="D10689" s="50"/>
      <c r="E10689" s="73"/>
      <c r="F10689" s="45"/>
    </row>
    <row r="10690" spans="4:6" x14ac:dyDescent="0.2">
      <c r="D10690" s="50"/>
      <c r="E10690" s="73"/>
      <c r="F10690" s="45"/>
    </row>
    <row r="10691" spans="4:6" x14ac:dyDescent="0.2">
      <c r="D10691" s="50"/>
      <c r="E10691" s="73"/>
      <c r="F10691" s="45"/>
    </row>
    <row r="10692" spans="4:6" x14ac:dyDescent="0.2">
      <c r="D10692" s="50"/>
      <c r="E10692" s="73"/>
      <c r="F10692" s="45"/>
    </row>
    <row r="10693" spans="4:6" x14ac:dyDescent="0.2">
      <c r="D10693" s="50"/>
      <c r="E10693" s="73"/>
      <c r="F10693" s="45"/>
    </row>
    <row r="10694" spans="4:6" x14ac:dyDescent="0.2">
      <c r="D10694" s="50"/>
      <c r="E10694" s="73"/>
      <c r="F10694" s="45"/>
    </row>
    <row r="10695" spans="4:6" x14ac:dyDescent="0.2">
      <c r="D10695" s="50"/>
      <c r="E10695" s="73"/>
      <c r="F10695" s="45"/>
    </row>
    <row r="10696" spans="4:6" x14ac:dyDescent="0.2">
      <c r="D10696" s="50"/>
      <c r="E10696" s="73"/>
      <c r="F10696" s="45"/>
    </row>
    <row r="10697" spans="4:6" x14ac:dyDescent="0.2">
      <c r="D10697" s="50"/>
      <c r="E10697" s="73"/>
      <c r="F10697" s="45"/>
    </row>
    <row r="10698" spans="4:6" x14ac:dyDescent="0.2">
      <c r="D10698" s="50"/>
      <c r="E10698" s="73"/>
      <c r="F10698" s="45"/>
    </row>
    <row r="10699" spans="4:6" x14ac:dyDescent="0.2">
      <c r="D10699" s="50"/>
      <c r="E10699" s="73"/>
      <c r="F10699" s="45"/>
    </row>
    <row r="10700" spans="4:6" x14ac:dyDescent="0.2">
      <c r="D10700" s="50"/>
      <c r="E10700" s="73"/>
      <c r="F10700" s="45"/>
    </row>
    <row r="10701" spans="4:6" x14ac:dyDescent="0.2">
      <c r="D10701" s="50"/>
      <c r="E10701" s="73"/>
      <c r="F10701" s="45"/>
    </row>
    <row r="10702" spans="4:6" x14ac:dyDescent="0.2">
      <c r="D10702" s="50"/>
      <c r="E10702" s="73"/>
      <c r="F10702" s="45"/>
    </row>
    <row r="10703" spans="4:6" x14ac:dyDescent="0.2">
      <c r="D10703" s="50"/>
      <c r="E10703" s="73"/>
      <c r="F10703" s="45"/>
    </row>
    <row r="10704" spans="4:6" x14ac:dyDescent="0.2">
      <c r="D10704" s="50"/>
      <c r="E10704" s="73"/>
      <c r="F10704" s="45"/>
    </row>
    <row r="10705" spans="4:6" x14ac:dyDescent="0.2">
      <c r="D10705" s="50"/>
      <c r="E10705" s="73"/>
      <c r="F10705" s="45"/>
    </row>
    <row r="10706" spans="4:6" x14ac:dyDescent="0.2">
      <c r="D10706" s="50"/>
      <c r="E10706" s="73"/>
      <c r="F10706" s="45"/>
    </row>
    <row r="10707" spans="4:6" x14ac:dyDescent="0.2">
      <c r="D10707" s="50"/>
      <c r="E10707" s="73"/>
      <c r="F10707" s="45"/>
    </row>
    <row r="10708" spans="4:6" x14ac:dyDescent="0.2">
      <c r="D10708" s="50"/>
      <c r="E10708" s="73"/>
      <c r="F10708" s="45"/>
    </row>
    <row r="10709" spans="4:6" x14ac:dyDescent="0.2">
      <c r="D10709" s="50"/>
      <c r="E10709" s="73"/>
      <c r="F10709" s="45"/>
    </row>
    <row r="10710" spans="4:6" x14ac:dyDescent="0.2">
      <c r="D10710" s="50"/>
      <c r="E10710" s="73"/>
      <c r="F10710" s="45"/>
    </row>
    <row r="10711" spans="4:6" x14ac:dyDescent="0.2">
      <c r="D10711" s="50"/>
      <c r="E10711" s="73"/>
      <c r="F10711" s="45"/>
    </row>
    <row r="10712" spans="4:6" x14ac:dyDescent="0.2">
      <c r="D10712" s="50"/>
      <c r="E10712" s="73"/>
      <c r="F10712" s="45"/>
    </row>
    <row r="10713" spans="4:6" x14ac:dyDescent="0.2">
      <c r="D10713" s="50"/>
      <c r="E10713" s="73"/>
      <c r="F10713" s="45"/>
    </row>
    <row r="10714" spans="4:6" x14ac:dyDescent="0.2">
      <c r="D10714" s="50"/>
      <c r="E10714" s="73"/>
      <c r="F10714" s="45"/>
    </row>
    <row r="10715" spans="4:6" x14ac:dyDescent="0.2">
      <c r="D10715" s="50"/>
      <c r="E10715" s="73"/>
      <c r="F10715" s="45"/>
    </row>
    <row r="10716" spans="4:6" x14ac:dyDescent="0.2">
      <c r="D10716" s="50"/>
      <c r="E10716" s="73"/>
      <c r="F10716" s="45"/>
    </row>
    <row r="10717" spans="4:6" x14ac:dyDescent="0.2">
      <c r="D10717" s="50"/>
      <c r="E10717" s="73"/>
      <c r="F10717" s="45"/>
    </row>
    <row r="10718" spans="4:6" x14ac:dyDescent="0.2">
      <c r="D10718" s="50"/>
      <c r="E10718" s="73"/>
      <c r="F10718" s="45"/>
    </row>
    <row r="10719" spans="4:6" x14ac:dyDescent="0.2">
      <c r="D10719" s="50"/>
      <c r="E10719" s="73"/>
      <c r="F10719" s="45"/>
    </row>
    <row r="10720" spans="4:6" x14ac:dyDescent="0.2">
      <c r="D10720" s="50"/>
      <c r="E10720" s="73"/>
      <c r="F10720" s="45"/>
    </row>
    <row r="10721" spans="4:6" x14ac:dyDescent="0.2">
      <c r="D10721" s="50"/>
      <c r="E10721" s="73"/>
      <c r="F10721" s="45"/>
    </row>
    <row r="10722" spans="4:6" x14ac:dyDescent="0.2">
      <c r="D10722" s="50"/>
      <c r="E10722" s="73"/>
      <c r="F10722" s="45"/>
    </row>
    <row r="10723" spans="4:6" x14ac:dyDescent="0.2">
      <c r="D10723" s="50"/>
      <c r="E10723" s="73"/>
      <c r="F10723" s="45"/>
    </row>
    <row r="10724" spans="4:6" x14ac:dyDescent="0.2">
      <c r="D10724" s="50"/>
      <c r="E10724" s="73"/>
      <c r="F10724" s="45"/>
    </row>
    <row r="10725" spans="4:6" x14ac:dyDescent="0.2">
      <c r="D10725" s="50"/>
      <c r="E10725" s="73"/>
      <c r="F10725" s="45"/>
    </row>
    <row r="10726" spans="4:6" x14ac:dyDescent="0.2">
      <c r="D10726" s="50"/>
      <c r="E10726" s="73"/>
      <c r="F10726" s="45"/>
    </row>
    <row r="10727" spans="4:6" x14ac:dyDescent="0.2">
      <c r="D10727" s="50"/>
      <c r="E10727" s="73"/>
      <c r="F10727" s="45"/>
    </row>
    <row r="10728" spans="4:6" x14ac:dyDescent="0.2">
      <c r="D10728" s="50"/>
      <c r="E10728" s="73"/>
      <c r="F10728" s="45"/>
    </row>
    <row r="10729" spans="4:6" x14ac:dyDescent="0.2">
      <c r="D10729" s="50"/>
      <c r="E10729" s="73"/>
      <c r="F10729" s="45"/>
    </row>
    <row r="10730" spans="4:6" x14ac:dyDescent="0.2">
      <c r="D10730" s="50"/>
      <c r="E10730" s="73"/>
      <c r="F10730" s="45"/>
    </row>
    <row r="10731" spans="4:6" x14ac:dyDescent="0.2">
      <c r="D10731" s="50"/>
      <c r="E10731" s="73"/>
      <c r="F10731" s="45"/>
    </row>
    <row r="10732" spans="4:6" x14ac:dyDescent="0.2">
      <c r="D10732" s="50"/>
      <c r="E10732" s="73"/>
      <c r="F10732" s="45"/>
    </row>
    <row r="10733" spans="4:6" x14ac:dyDescent="0.2">
      <c r="D10733" s="50"/>
      <c r="E10733" s="73"/>
      <c r="F10733" s="45"/>
    </row>
    <row r="10734" spans="4:6" x14ac:dyDescent="0.2">
      <c r="D10734" s="50"/>
      <c r="E10734" s="73"/>
      <c r="F10734" s="45"/>
    </row>
    <row r="10735" spans="4:6" x14ac:dyDescent="0.2">
      <c r="D10735" s="50"/>
      <c r="E10735" s="73"/>
      <c r="F10735" s="45"/>
    </row>
    <row r="10736" spans="4:6" x14ac:dyDescent="0.2">
      <c r="D10736" s="50"/>
      <c r="E10736" s="73"/>
      <c r="F10736" s="45"/>
    </row>
    <row r="10737" spans="4:6" x14ac:dyDescent="0.2">
      <c r="D10737" s="50"/>
      <c r="E10737" s="73"/>
      <c r="F10737" s="45"/>
    </row>
    <row r="10738" spans="4:6" x14ac:dyDescent="0.2">
      <c r="D10738" s="50"/>
      <c r="E10738" s="73"/>
      <c r="F10738" s="45"/>
    </row>
    <row r="10739" spans="4:6" x14ac:dyDescent="0.2">
      <c r="D10739" s="50"/>
      <c r="E10739" s="73"/>
      <c r="F10739" s="45"/>
    </row>
    <row r="10740" spans="4:6" x14ac:dyDescent="0.2">
      <c r="D10740" s="50"/>
      <c r="E10740" s="73"/>
      <c r="F10740" s="45"/>
    </row>
    <row r="10741" spans="4:6" x14ac:dyDescent="0.2">
      <c r="D10741" s="50"/>
      <c r="E10741" s="73"/>
      <c r="F10741" s="45"/>
    </row>
    <row r="10742" spans="4:6" x14ac:dyDescent="0.2">
      <c r="D10742" s="50"/>
      <c r="E10742" s="73"/>
      <c r="F10742" s="45"/>
    </row>
    <row r="10743" spans="4:6" x14ac:dyDescent="0.2">
      <c r="D10743" s="50"/>
      <c r="E10743" s="73"/>
      <c r="F10743" s="45"/>
    </row>
    <row r="10744" spans="4:6" x14ac:dyDescent="0.2">
      <c r="D10744" s="50"/>
      <c r="E10744" s="73"/>
      <c r="F10744" s="45"/>
    </row>
    <row r="10745" spans="4:6" x14ac:dyDescent="0.2">
      <c r="D10745" s="50"/>
      <c r="E10745" s="73"/>
      <c r="F10745" s="45"/>
    </row>
    <row r="10746" spans="4:6" x14ac:dyDescent="0.2">
      <c r="D10746" s="50"/>
      <c r="E10746" s="73"/>
      <c r="F10746" s="45"/>
    </row>
    <row r="10747" spans="4:6" x14ac:dyDescent="0.2">
      <c r="D10747" s="50"/>
      <c r="E10747" s="73"/>
      <c r="F10747" s="45"/>
    </row>
    <row r="10748" spans="4:6" x14ac:dyDescent="0.2">
      <c r="D10748" s="50"/>
      <c r="E10748" s="73"/>
      <c r="F10748" s="45"/>
    </row>
    <row r="10749" spans="4:6" x14ac:dyDescent="0.2">
      <c r="D10749" s="50"/>
      <c r="E10749" s="73"/>
      <c r="F10749" s="45"/>
    </row>
    <row r="10750" spans="4:6" x14ac:dyDescent="0.2">
      <c r="D10750" s="50"/>
      <c r="E10750" s="73"/>
      <c r="F10750" s="45"/>
    </row>
    <row r="10751" spans="4:6" x14ac:dyDescent="0.2">
      <c r="D10751" s="50"/>
      <c r="E10751" s="73"/>
      <c r="F10751" s="45"/>
    </row>
    <row r="10752" spans="4:6" x14ac:dyDescent="0.2">
      <c r="D10752" s="50"/>
      <c r="E10752" s="73"/>
      <c r="F10752" s="45"/>
    </row>
    <row r="10753" spans="4:6" x14ac:dyDescent="0.2">
      <c r="D10753" s="50"/>
      <c r="E10753" s="73"/>
      <c r="F10753" s="45"/>
    </row>
    <row r="10754" spans="4:6" x14ac:dyDescent="0.2">
      <c r="D10754" s="50"/>
      <c r="E10754" s="73"/>
      <c r="F10754" s="45"/>
    </row>
    <row r="10755" spans="4:6" x14ac:dyDescent="0.2">
      <c r="D10755" s="50"/>
      <c r="E10755" s="73"/>
      <c r="F10755" s="45"/>
    </row>
    <row r="10756" spans="4:6" x14ac:dyDescent="0.2">
      <c r="D10756" s="50"/>
      <c r="E10756" s="73"/>
      <c r="F10756" s="45"/>
    </row>
    <row r="10757" spans="4:6" x14ac:dyDescent="0.2">
      <c r="D10757" s="50"/>
      <c r="E10757" s="73"/>
      <c r="F10757" s="45"/>
    </row>
    <row r="10758" spans="4:6" x14ac:dyDescent="0.2">
      <c r="D10758" s="50"/>
      <c r="E10758" s="73"/>
      <c r="F10758" s="45"/>
    </row>
    <row r="10759" spans="4:6" x14ac:dyDescent="0.2">
      <c r="D10759" s="50"/>
      <c r="E10759" s="73"/>
      <c r="F10759" s="45"/>
    </row>
    <row r="10760" spans="4:6" x14ac:dyDescent="0.2">
      <c r="D10760" s="50"/>
      <c r="E10760" s="73"/>
      <c r="F10760" s="45"/>
    </row>
    <row r="10761" spans="4:6" x14ac:dyDescent="0.2">
      <c r="D10761" s="50"/>
      <c r="E10761" s="73"/>
      <c r="F10761" s="45"/>
    </row>
    <row r="10762" spans="4:6" x14ac:dyDescent="0.2">
      <c r="D10762" s="50"/>
      <c r="E10762" s="73"/>
      <c r="F10762" s="45"/>
    </row>
    <row r="10763" spans="4:6" x14ac:dyDescent="0.2">
      <c r="D10763" s="50"/>
      <c r="E10763" s="73"/>
      <c r="F10763" s="45"/>
    </row>
    <row r="10764" spans="4:6" x14ac:dyDescent="0.2">
      <c r="D10764" s="50"/>
      <c r="E10764" s="73"/>
      <c r="F10764" s="45"/>
    </row>
    <row r="10765" spans="4:6" x14ac:dyDescent="0.2">
      <c r="D10765" s="50"/>
      <c r="E10765" s="73"/>
      <c r="F10765" s="45"/>
    </row>
    <row r="10766" spans="4:6" x14ac:dyDescent="0.2">
      <c r="D10766" s="50"/>
      <c r="E10766" s="73"/>
      <c r="F10766" s="45"/>
    </row>
    <row r="10767" spans="4:6" x14ac:dyDescent="0.2">
      <c r="D10767" s="50"/>
      <c r="E10767" s="73"/>
      <c r="F10767" s="45"/>
    </row>
    <row r="10768" spans="4:6" x14ac:dyDescent="0.2">
      <c r="D10768" s="50"/>
      <c r="E10768" s="73"/>
      <c r="F10768" s="45"/>
    </row>
    <row r="10769" spans="4:6" x14ac:dyDescent="0.2">
      <c r="D10769" s="50"/>
      <c r="E10769" s="73"/>
      <c r="F10769" s="45"/>
    </row>
    <row r="10770" spans="4:6" x14ac:dyDescent="0.2">
      <c r="D10770" s="50"/>
      <c r="E10770" s="73"/>
      <c r="F10770" s="45"/>
    </row>
    <row r="10771" spans="4:6" x14ac:dyDescent="0.2">
      <c r="D10771" s="50"/>
      <c r="E10771" s="73"/>
      <c r="F10771" s="45"/>
    </row>
    <row r="10772" spans="4:6" x14ac:dyDescent="0.2">
      <c r="D10772" s="50"/>
      <c r="E10772" s="73"/>
      <c r="F10772" s="45"/>
    </row>
    <row r="10773" spans="4:6" x14ac:dyDescent="0.2">
      <c r="D10773" s="50"/>
      <c r="E10773" s="73"/>
      <c r="F10773" s="45"/>
    </row>
    <row r="10774" spans="4:6" x14ac:dyDescent="0.2">
      <c r="D10774" s="50"/>
      <c r="E10774" s="73"/>
      <c r="F10774" s="45"/>
    </row>
    <row r="10775" spans="4:6" x14ac:dyDescent="0.2">
      <c r="D10775" s="50"/>
      <c r="E10775" s="73"/>
      <c r="F10775" s="45"/>
    </row>
    <row r="10776" spans="4:6" x14ac:dyDescent="0.2">
      <c r="D10776" s="50"/>
      <c r="E10776" s="73"/>
      <c r="F10776" s="45"/>
    </row>
    <row r="10777" spans="4:6" x14ac:dyDescent="0.2">
      <c r="D10777" s="50"/>
      <c r="E10777" s="73"/>
      <c r="F10777" s="45"/>
    </row>
    <row r="10778" spans="4:6" x14ac:dyDescent="0.2">
      <c r="D10778" s="50"/>
      <c r="E10778" s="73"/>
      <c r="F10778" s="45"/>
    </row>
    <row r="10779" spans="4:6" x14ac:dyDescent="0.2">
      <c r="D10779" s="50"/>
      <c r="E10779" s="73"/>
      <c r="F10779" s="45"/>
    </row>
    <row r="10780" spans="4:6" x14ac:dyDescent="0.2">
      <c r="D10780" s="50"/>
      <c r="E10780" s="73"/>
      <c r="F10780" s="45"/>
    </row>
    <row r="10781" spans="4:6" x14ac:dyDescent="0.2">
      <c r="D10781" s="50"/>
      <c r="E10781" s="73"/>
      <c r="F10781" s="45"/>
    </row>
    <row r="10782" spans="4:6" x14ac:dyDescent="0.2">
      <c r="D10782" s="50"/>
      <c r="E10782" s="73"/>
      <c r="F10782" s="45"/>
    </row>
    <row r="10783" spans="4:6" x14ac:dyDescent="0.2">
      <c r="D10783" s="50"/>
      <c r="E10783" s="73"/>
      <c r="F10783" s="45"/>
    </row>
    <row r="10784" spans="4:6" x14ac:dyDescent="0.2">
      <c r="D10784" s="50"/>
      <c r="E10784" s="73"/>
      <c r="F10784" s="45"/>
    </row>
    <row r="10785" spans="4:6" x14ac:dyDescent="0.2">
      <c r="D10785" s="50"/>
      <c r="E10785" s="73"/>
      <c r="F10785" s="45"/>
    </row>
    <row r="10786" spans="4:6" x14ac:dyDescent="0.2">
      <c r="D10786" s="50"/>
      <c r="E10786" s="73"/>
      <c r="F10786" s="45"/>
    </row>
    <row r="10787" spans="4:6" x14ac:dyDescent="0.2">
      <c r="D10787" s="50"/>
      <c r="E10787" s="73"/>
      <c r="F10787" s="45"/>
    </row>
    <row r="10788" spans="4:6" x14ac:dyDescent="0.2">
      <c r="D10788" s="50"/>
      <c r="E10788" s="73"/>
      <c r="F10788" s="45"/>
    </row>
    <row r="10789" spans="4:6" x14ac:dyDescent="0.2">
      <c r="D10789" s="50"/>
      <c r="E10789" s="73"/>
      <c r="F10789" s="45"/>
    </row>
    <row r="10790" spans="4:6" x14ac:dyDescent="0.2">
      <c r="D10790" s="50"/>
      <c r="E10790" s="73"/>
      <c r="F10790" s="45"/>
    </row>
    <row r="10791" spans="4:6" x14ac:dyDescent="0.2">
      <c r="D10791" s="50"/>
      <c r="E10791" s="73"/>
      <c r="F10791" s="45"/>
    </row>
    <row r="10792" spans="4:6" x14ac:dyDescent="0.2">
      <c r="D10792" s="50"/>
      <c r="E10792" s="73"/>
      <c r="F10792" s="45"/>
    </row>
    <row r="10793" spans="4:6" x14ac:dyDescent="0.2">
      <c r="D10793" s="50"/>
      <c r="E10793" s="73"/>
      <c r="F10793" s="45"/>
    </row>
    <row r="10794" spans="4:6" x14ac:dyDescent="0.2">
      <c r="D10794" s="50"/>
      <c r="E10794" s="73"/>
      <c r="F10794" s="45"/>
    </row>
    <row r="10795" spans="4:6" x14ac:dyDescent="0.2">
      <c r="D10795" s="50"/>
      <c r="E10795" s="73"/>
      <c r="F10795" s="45"/>
    </row>
    <row r="10796" spans="4:6" x14ac:dyDescent="0.2">
      <c r="D10796" s="50"/>
      <c r="E10796" s="73"/>
      <c r="F10796" s="45"/>
    </row>
    <row r="10797" spans="4:6" x14ac:dyDescent="0.2">
      <c r="D10797" s="50"/>
      <c r="E10797" s="73"/>
      <c r="F10797" s="45"/>
    </row>
    <row r="10798" spans="4:6" x14ac:dyDescent="0.2">
      <c r="D10798" s="50"/>
      <c r="E10798" s="73"/>
      <c r="F10798" s="45"/>
    </row>
    <row r="10799" spans="4:6" x14ac:dyDescent="0.2">
      <c r="D10799" s="50"/>
      <c r="E10799" s="73"/>
      <c r="F10799" s="45"/>
    </row>
    <row r="10800" spans="4:6" x14ac:dyDescent="0.2">
      <c r="D10800" s="50"/>
      <c r="E10800" s="73"/>
      <c r="F10800" s="45"/>
    </row>
    <row r="10801" spans="4:6" x14ac:dyDescent="0.2">
      <c r="D10801" s="50"/>
      <c r="E10801" s="73"/>
      <c r="F10801" s="45"/>
    </row>
    <row r="10802" spans="4:6" x14ac:dyDescent="0.2">
      <c r="D10802" s="50"/>
      <c r="E10802" s="73"/>
      <c r="F10802" s="45"/>
    </row>
    <row r="10803" spans="4:6" x14ac:dyDescent="0.2">
      <c r="D10803" s="50"/>
      <c r="E10803" s="73"/>
      <c r="F10803" s="45"/>
    </row>
    <row r="10804" spans="4:6" x14ac:dyDescent="0.2">
      <c r="D10804" s="50"/>
      <c r="E10804" s="73"/>
      <c r="F10804" s="45"/>
    </row>
    <row r="10805" spans="4:6" x14ac:dyDescent="0.2">
      <c r="D10805" s="50"/>
      <c r="E10805" s="73"/>
      <c r="F10805" s="45"/>
    </row>
    <row r="10806" spans="4:6" x14ac:dyDescent="0.2">
      <c r="D10806" s="50"/>
      <c r="E10806" s="73"/>
      <c r="F10806" s="45"/>
    </row>
    <row r="10807" spans="4:6" x14ac:dyDescent="0.2">
      <c r="D10807" s="50"/>
      <c r="E10807" s="73"/>
      <c r="F10807" s="45"/>
    </row>
    <row r="10808" spans="4:6" x14ac:dyDescent="0.2">
      <c r="D10808" s="50"/>
      <c r="E10808" s="73"/>
      <c r="F10808" s="45"/>
    </row>
    <row r="10809" spans="4:6" x14ac:dyDescent="0.2">
      <c r="D10809" s="50"/>
      <c r="E10809" s="73"/>
      <c r="F10809" s="45"/>
    </row>
    <row r="10810" spans="4:6" x14ac:dyDescent="0.2">
      <c r="D10810" s="50"/>
      <c r="E10810" s="73"/>
      <c r="F10810" s="45"/>
    </row>
    <row r="10811" spans="4:6" x14ac:dyDescent="0.2">
      <c r="D10811" s="50"/>
      <c r="E10811" s="73"/>
      <c r="F10811" s="45"/>
    </row>
    <row r="10812" spans="4:6" x14ac:dyDescent="0.2">
      <c r="D10812" s="50"/>
      <c r="E10812" s="73"/>
      <c r="F10812" s="45"/>
    </row>
    <row r="10813" spans="4:6" x14ac:dyDescent="0.2">
      <c r="D10813" s="50"/>
      <c r="E10813" s="73"/>
      <c r="F10813" s="45"/>
    </row>
    <row r="10814" spans="4:6" x14ac:dyDescent="0.2">
      <c r="D10814" s="50"/>
      <c r="E10814" s="73"/>
      <c r="F10814" s="45"/>
    </row>
    <row r="10815" spans="4:6" x14ac:dyDescent="0.2">
      <c r="D10815" s="50"/>
      <c r="E10815" s="73"/>
      <c r="F10815" s="45"/>
    </row>
    <row r="10816" spans="4:6" x14ac:dyDescent="0.2">
      <c r="D10816" s="50"/>
      <c r="E10816" s="73"/>
      <c r="F10816" s="45"/>
    </row>
    <row r="10817" spans="4:6" x14ac:dyDescent="0.2">
      <c r="D10817" s="50"/>
      <c r="E10817" s="73"/>
      <c r="F10817" s="45"/>
    </row>
    <row r="10818" spans="4:6" x14ac:dyDescent="0.2">
      <c r="D10818" s="50"/>
      <c r="E10818" s="73"/>
      <c r="F10818" s="45"/>
    </row>
    <row r="10819" spans="4:6" x14ac:dyDescent="0.2">
      <c r="D10819" s="50"/>
      <c r="E10819" s="73"/>
      <c r="F10819" s="45"/>
    </row>
    <row r="10820" spans="4:6" x14ac:dyDescent="0.2">
      <c r="D10820" s="50"/>
      <c r="E10820" s="73"/>
      <c r="F10820" s="45"/>
    </row>
    <row r="10821" spans="4:6" x14ac:dyDescent="0.2">
      <c r="D10821" s="50"/>
      <c r="E10821" s="73"/>
      <c r="F10821" s="45"/>
    </row>
    <row r="10822" spans="4:6" x14ac:dyDescent="0.2">
      <c r="D10822" s="50"/>
      <c r="E10822" s="73"/>
      <c r="F10822" s="45"/>
    </row>
    <row r="10823" spans="4:6" x14ac:dyDescent="0.2">
      <c r="D10823" s="50"/>
      <c r="E10823" s="73"/>
      <c r="F10823" s="45"/>
    </row>
    <row r="10824" spans="4:6" x14ac:dyDescent="0.2">
      <c r="D10824" s="50"/>
      <c r="E10824" s="73"/>
      <c r="F10824" s="45"/>
    </row>
    <row r="10825" spans="4:6" x14ac:dyDescent="0.2">
      <c r="D10825" s="50"/>
      <c r="E10825" s="73"/>
      <c r="F10825" s="45"/>
    </row>
    <row r="10826" spans="4:6" x14ac:dyDescent="0.2">
      <c r="D10826" s="50"/>
      <c r="E10826" s="73"/>
      <c r="F10826" s="45"/>
    </row>
    <row r="10827" spans="4:6" x14ac:dyDescent="0.2">
      <c r="D10827" s="50"/>
      <c r="E10827" s="73"/>
      <c r="F10827" s="45"/>
    </row>
    <row r="10828" spans="4:6" x14ac:dyDescent="0.2">
      <c r="D10828" s="50"/>
      <c r="E10828" s="73"/>
      <c r="F10828" s="45"/>
    </row>
    <row r="10829" spans="4:6" x14ac:dyDescent="0.2">
      <c r="D10829" s="50"/>
      <c r="E10829" s="73"/>
      <c r="F10829" s="45"/>
    </row>
    <row r="10830" spans="4:6" x14ac:dyDescent="0.2">
      <c r="D10830" s="50"/>
      <c r="E10830" s="73"/>
      <c r="F10830" s="45"/>
    </row>
    <row r="10831" spans="4:6" x14ac:dyDescent="0.2">
      <c r="D10831" s="50"/>
      <c r="E10831" s="73"/>
      <c r="F10831" s="45"/>
    </row>
    <row r="10832" spans="4:6" x14ac:dyDescent="0.2">
      <c r="D10832" s="50"/>
      <c r="E10832" s="73"/>
      <c r="F10832" s="45"/>
    </row>
    <row r="10833" spans="4:6" x14ac:dyDescent="0.2">
      <c r="D10833" s="50"/>
      <c r="E10833" s="73"/>
      <c r="F10833" s="45"/>
    </row>
    <row r="10834" spans="4:6" x14ac:dyDescent="0.2">
      <c r="D10834" s="50"/>
      <c r="E10834" s="73"/>
      <c r="F10834" s="45"/>
    </row>
    <row r="10835" spans="4:6" x14ac:dyDescent="0.2">
      <c r="D10835" s="50"/>
      <c r="E10835" s="73"/>
      <c r="F10835" s="45"/>
    </row>
    <row r="10836" spans="4:6" x14ac:dyDescent="0.2">
      <c r="D10836" s="50"/>
      <c r="E10836" s="73"/>
      <c r="F10836" s="45"/>
    </row>
    <row r="10837" spans="4:6" x14ac:dyDescent="0.2">
      <c r="D10837" s="50"/>
      <c r="E10837" s="73"/>
      <c r="F10837" s="45"/>
    </row>
    <row r="10838" spans="4:6" x14ac:dyDescent="0.2">
      <c r="D10838" s="50"/>
      <c r="E10838" s="73"/>
      <c r="F10838" s="45"/>
    </row>
    <row r="10839" spans="4:6" x14ac:dyDescent="0.2">
      <c r="D10839" s="50"/>
      <c r="E10839" s="73"/>
      <c r="F10839" s="45"/>
    </row>
    <row r="10840" spans="4:6" x14ac:dyDescent="0.2">
      <c r="D10840" s="50"/>
      <c r="E10840" s="73"/>
      <c r="F10840" s="45"/>
    </row>
    <row r="10841" spans="4:6" x14ac:dyDescent="0.2">
      <c r="D10841" s="50"/>
      <c r="E10841" s="73"/>
      <c r="F10841" s="45"/>
    </row>
    <row r="10842" spans="4:6" x14ac:dyDescent="0.2">
      <c r="D10842" s="50"/>
      <c r="E10842" s="73"/>
      <c r="F10842" s="45"/>
    </row>
    <row r="10843" spans="4:6" x14ac:dyDescent="0.2">
      <c r="D10843" s="50"/>
      <c r="E10843" s="73"/>
      <c r="F10843" s="45"/>
    </row>
    <row r="10844" spans="4:6" x14ac:dyDescent="0.2">
      <c r="D10844" s="50"/>
      <c r="E10844" s="73"/>
      <c r="F10844" s="45"/>
    </row>
    <row r="10845" spans="4:6" x14ac:dyDescent="0.2">
      <c r="D10845" s="50"/>
      <c r="E10845" s="73"/>
      <c r="F10845" s="45"/>
    </row>
    <row r="10846" spans="4:6" x14ac:dyDescent="0.2">
      <c r="D10846" s="50"/>
      <c r="E10846" s="73"/>
      <c r="F10846" s="45"/>
    </row>
    <row r="10847" spans="4:6" x14ac:dyDescent="0.2">
      <c r="D10847" s="50"/>
      <c r="E10847" s="73"/>
      <c r="F10847" s="45"/>
    </row>
    <row r="10848" spans="4:6" x14ac:dyDescent="0.2">
      <c r="D10848" s="50"/>
      <c r="E10848" s="73"/>
      <c r="F10848" s="45"/>
    </row>
    <row r="10849" spans="4:6" x14ac:dyDescent="0.2">
      <c r="D10849" s="50"/>
      <c r="E10849" s="73"/>
      <c r="F10849" s="45"/>
    </row>
    <row r="10850" spans="4:6" x14ac:dyDescent="0.2">
      <c r="D10850" s="50"/>
      <c r="E10850" s="73"/>
      <c r="F10850" s="45"/>
    </row>
    <row r="10851" spans="4:6" x14ac:dyDescent="0.2">
      <c r="D10851" s="50"/>
      <c r="E10851" s="73"/>
      <c r="F10851" s="45"/>
    </row>
    <row r="10852" spans="4:6" x14ac:dyDescent="0.2">
      <c r="D10852" s="50"/>
      <c r="E10852" s="73"/>
      <c r="F10852" s="45"/>
    </row>
    <row r="10853" spans="4:6" x14ac:dyDescent="0.2">
      <c r="D10853" s="50"/>
      <c r="E10853" s="73"/>
      <c r="F10853" s="45"/>
    </row>
    <row r="10854" spans="4:6" x14ac:dyDescent="0.2">
      <c r="D10854" s="50"/>
      <c r="E10854" s="73"/>
      <c r="F10854" s="45"/>
    </row>
    <row r="10855" spans="4:6" x14ac:dyDescent="0.2">
      <c r="D10855" s="50"/>
      <c r="E10855" s="73"/>
      <c r="F10855" s="45"/>
    </row>
    <row r="10856" spans="4:6" x14ac:dyDescent="0.2">
      <c r="D10856" s="50"/>
      <c r="E10856" s="73"/>
      <c r="F10856" s="45"/>
    </row>
    <row r="10857" spans="4:6" x14ac:dyDescent="0.2">
      <c r="D10857" s="50"/>
      <c r="E10857" s="73"/>
      <c r="F10857" s="45"/>
    </row>
    <row r="10858" spans="4:6" x14ac:dyDescent="0.2">
      <c r="D10858" s="50"/>
      <c r="E10858" s="73"/>
      <c r="F10858" s="45"/>
    </row>
    <row r="10859" spans="4:6" x14ac:dyDescent="0.2">
      <c r="D10859" s="50"/>
      <c r="E10859" s="73"/>
      <c r="F10859" s="45"/>
    </row>
    <row r="10860" spans="4:6" x14ac:dyDescent="0.2">
      <c r="D10860" s="50"/>
      <c r="E10860" s="73"/>
      <c r="F10860" s="45"/>
    </row>
    <row r="10861" spans="4:6" x14ac:dyDescent="0.2">
      <c r="D10861" s="50"/>
      <c r="E10861" s="73"/>
      <c r="F10861" s="45"/>
    </row>
    <row r="10862" spans="4:6" x14ac:dyDescent="0.2">
      <c r="D10862" s="50"/>
      <c r="E10862" s="73"/>
      <c r="F10862" s="45"/>
    </row>
    <row r="10863" spans="4:6" x14ac:dyDescent="0.2">
      <c r="D10863" s="50"/>
      <c r="E10863" s="73"/>
      <c r="F10863" s="45"/>
    </row>
    <row r="10864" spans="4:6" x14ac:dyDescent="0.2">
      <c r="D10864" s="50"/>
      <c r="E10864" s="73"/>
      <c r="F10864" s="45"/>
    </row>
    <row r="10865" spans="4:6" x14ac:dyDescent="0.2">
      <c r="D10865" s="50"/>
      <c r="E10865" s="73"/>
      <c r="F10865" s="45"/>
    </row>
    <row r="10866" spans="4:6" x14ac:dyDescent="0.2">
      <c r="D10866" s="50"/>
      <c r="E10866" s="73"/>
      <c r="F10866" s="45"/>
    </row>
    <row r="10867" spans="4:6" x14ac:dyDescent="0.2">
      <c r="D10867" s="50"/>
      <c r="E10867" s="73"/>
      <c r="F10867" s="45"/>
    </row>
    <row r="10868" spans="4:6" x14ac:dyDescent="0.2">
      <c r="D10868" s="50"/>
      <c r="E10868" s="73"/>
      <c r="F10868" s="45"/>
    </row>
    <row r="10869" spans="4:6" x14ac:dyDescent="0.2">
      <c r="D10869" s="50"/>
      <c r="E10869" s="73"/>
      <c r="F10869" s="45"/>
    </row>
    <row r="10870" spans="4:6" x14ac:dyDescent="0.2">
      <c r="D10870" s="50"/>
      <c r="E10870" s="73"/>
      <c r="F10870" s="45"/>
    </row>
    <row r="10871" spans="4:6" x14ac:dyDescent="0.2">
      <c r="D10871" s="50"/>
      <c r="E10871" s="73"/>
      <c r="F10871" s="45"/>
    </row>
    <row r="10872" spans="4:6" x14ac:dyDescent="0.2">
      <c r="D10872" s="50"/>
      <c r="E10872" s="73"/>
      <c r="F10872" s="45"/>
    </row>
    <row r="10873" spans="4:6" x14ac:dyDescent="0.2">
      <c r="D10873" s="50"/>
      <c r="E10873" s="73"/>
      <c r="F10873" s="45"/>
    </row>
    <row r="10874" spans="4:6" x14ac:dyDescent="0.2">
      <c r="D10874" s="50"/>
      <c r="E10874" s="73"/>
      <c r="F10874" s="45"/>
    </row>
    <row r="10875" spans="4:6" x14ac:dyDescent="0.2">
      <c r="D10875" s="50"/>
      <c r="E10875" s="73"/>
      <c r="F10875" s="45"/>
    </row>
    <row r="10876" spans="4:6" x14ac:dyDescent="0.2">
      <c r="D10876" s="50"/>
      <c r="E10876" s="73"/>
      <c r="F10876" s="45"/>
    </row>
    <row r="10877" spans="4:6" x14ac:dyDescent="0.2">
      <c r="D10877" s="50"/>
      <c r="E10877" s="73"/>
      <c r="F10877" s="45"/>
    </row>
    <row r="10878" spans="4:6" x14ac:dyDescent="0.2">
      <c r="D10878" s="50"/>
      <c r="E10878" s="73"/>
      <c r="F10878" s="45"/>
    </row>
    <row r="10879" spans="4:6" x14ac:dyDescent="0.2">
      <c r="D10879" s="50"/>
      <c r="E10879" s="73"/>
      <c r="F10879" s="45"/>
    </row>
    <row r="10880" spans="4:6" x14ac:dyDescent="0.2">
      <c r="D10880" s="50"/>
      <c r="E10880" s="73"/>
      <c r="F10880" s="45"/>
    </row>
    <row r="10881" spans="4:6" x14ac:dyDescent="0.2">
      <c r="D10881" s="50"/>
      <c r="E10881" s="73"/>
      <c r="F10881" s="45"/>
    </row>
    <row r="10882" spans="4:6" x14ac:dyDescent="0.2">
      <c r="D10882" s="50"/>
      <c r="E10882" s="73"/>
      <c r="F10882" s="45"/>
    </row>
    <row r="10883" spans="4:6" x14ac:dyDescent="0.2">
      <c r="D10883" s="50"/>
      <c r="E10883" s="73"/>
      <c r="F10883" s="45"/>
    </row>
    <row r="10884" spans="4:6" x14ac:dyDescent="0.2">
      <c r="D10884" s="50"/>
      <c r="E10884" s="73"/>
      <c r="F10884" s="45"/>
    </row>
    <row r="10885" spans="4:6" x14ac:dyDescent="0.2">
      <c r="D10885" s="50"/>
      <c r="E10885" s="73"/>
      <c r="F10885" s="45"/>
    </row>
    <row r="10886" spans="4:6" x14ac:dyDescent="0.2">
      <c r="D10886" s="50"/>
      <c r="E10886" s="73"/>
      <c r="F10886" s="45"/>
    </row>
    <row r="10887" spans="4:6" x14ac:dyDescent="0.2">
      <c r="D10887" s="50"/>
      <c r="E10887" s="73"/>
      <c r="F10887" s="45"/>
    </row>
    <row r="10888" spans="4:6" x14ac:dyDescent="0.2">
      <c r="D10888" s="50"/>
      <c r="E10888" s="73"/>
      <c r="F10888" s="45"/>
    </row>
    <row r="10889" spans="4:6" x14ac:dyDescent="0.2">
      <c r="D10889" s="50"/>
      <c r="E10889" s="73"/>
      <c r="F10889" s="45"/>
    </row>
    <row r="10890" spans="4:6" x14ac:dyDescent="0.2">
      <c r="D10890" s="50"/>
      <c r="E10890" s="73"/>
      <c r="F10890" s="45"/>
    </row>
    <row r="10891" spans="4:6" x14ac:dyDescent="0.2">
      <c r="D10891" s="50"/>
      <c r="E10891" s="73"/>
      <c r="F10891" s="45"/>
    </row>
    <row r="10892" spans="4:6" x14ac:dyDescent="0.2">
      <c r="D10892" s="50"/>
      <c r="E10892" s="73"/>
      <c r="F10892" s="45"/>
    </row>
    <row r="10893" spans="4:6" x14ac:dyDescent="0.2">
      <c r="D10893" s="50"/>
      <c r="E10893" s="73"/>
      <c r="F10893" s="45"/>
    </row>
    <row r="10894" spans="4:6" x14ac:dyDescent="0.2">
      <c r="D10894" s="50"/>
      <c r="E10894" s="73"/>
      <c r="F10894" s="45"/>
    </row>
    <row r="10895" spans="4:6" x14ac:dyDescent="0.2">
      <c r="D10895" s="50"/>
      <c r="E10895" s="73"/>
      <c r="F10895" s="45"/>
    </row>
    <row r="10896" spans="4:6" x14ac:dyDescent="0.2">
      <c r="D10896" s="50"/>
      <c r="E10896" s="73"/>
      <c r="F10896" s="45"/>
    </row>
    <row r="10897" spans="4:6" x14ac:dyDescent="0.2">
      <c r="D10897" s="50"/>
      <c r="E10897" s="73"/>
      <c r="F10897" s="45"/>
    </row>
    <row r="10898" spans="4:6" x14ac:dyDescent="0.2">
      <c r="D10898" s="50"/>
      <c r="E10898" s="73"/>
      <c r="F10898" s="45"/>
    </row>
    <row r="10899" spans="4:6" x14ac:dyDescent="0.2">
      <c r="D10899" s="50"/>
      <c r="E10899" s="73"/>
      <c r="F10899" s="45"/>
    </row>
    <row r="10900" spans="4:6" x14ac:dyDescent="0.2">
      <c r="D10900" s="50"/>
      <c r="E10900" s="73"/>
      <c r="F10900" s="45"/>
    </row>
    <row r="10901" spans="4:6" x14ac:dyDescent="0.2">
      <c r="D10901" s="50"/>
      <c r="E10901" s="73"/>
      <c r="F10901" s="45"/>
    </row>
    <row r="10902" spans="4:6" x14ac:dyDescent="0.2">
      <c r="D10902" s="50"/>
      <c r="E10902" s="73"/>
      <c r="F10902" s="45"/>
    </row>
    <row r="10903" spans="4:6" x14ac:dyDescent="0.2">
      <c r="D10903" s="50"/>
      <c r="E10903" s="73"/>
      <c r="F10903" s="45"/>
    </row>
    <row r="10904" spans="4:6" x14ac:dyDescent="0.2">
      <c r="D10904" s="50"/>
      <c r="E10904" s="73"/>
      <c r="F10904" s="45"/>
    </row>
    <row r="10905" spans="4:6" x14ac:dyDescent="0.2">
      <c r="D10905" s="50"/>
      <c r="E10905" s="73"/>
      <c r="F10905" s="45"/>
    </row>
    <row r="10906" spans="4:6" x14ac:dyDescent="0.2">
      <c r="D10906" s="50"/>
      <c r="E10906" s="73"/>
      <c r="F10906" s="45"/>
    </row>
    <row r="10907" spans="4:6" x14ac:dyDescent="0.2">
      <c r="D10907" s="50"/>
      <c r="E10907" s="73"/>
      <c r="F10907" s="45"/>
    </row>
    <row r="10908" spans="4:6" x14ac:dyDescent="0.2">
      <c r="D10908" s="50"/>
      <c r="E10908" s="73"/>
      <c r="F10908" s="45"/>
    </row>
    <row r="10909" spans="4:6" x14ac:dyDescent="0.2">
      <c r="D10909" s="50"/>
      <c r="E10909" s="73"/>
      <c r="F10909" s="45"/>
    </row>
    <row r="10910" spans="4:6" x14ac:dyDescent="0.2">
      <c r="D10910" s="50"/>
      <c r="E10910" s="73"/>
      <c r="F10910" s="45"/>
    </row>
    <row r="10911" spans="4:6" x14ac:dyDescent="0.2">
      <c r="D10911" s="50"/>
      <c r="E10911" s="73"/>
      <c r="F10911" s="45"/>
    </row>
    <row r="10912" spans="4:6" x14ac:dyDescent="0.2">
      <c r="D10912" s="50"/>
      <c r="E10912" s="73"/>
      <c r="F10912" s="45"/>
    </row>
    <row r="10913" spans="4:6" x14ac:dyDescent="0.2">
      <c r="D10913" s="50"/>
      <c r="E10913" s="73"/>
      <c r="F10913" s="45"/>
    </row>
    <row r="10914" spans="4:6" x14ac:dyDescent="0.2">
      <c r="D10914" s="50"/>
      <c r="E10914" s="73"/>
      <c r="F10914" s="45"/>
    </row>
    <row r="10915" spans="4:6" x14ac:dyDescent="0.2">
      <c r="D10915" s="50"/>
      <c r="E10915" s="73"/>
      <c r="F10915" s="45"/>
    </row>
    <row r="10916" spans="4:6" x14ac:dyDescent="0.2">
      <c r="D10916" s="50"/>
      <c r="E10916" s="73"/>
      <c r="F10916" s="45"/>
    </row>
    <row r="10917" spans="4:6" x14ac:dyDescent="0.2">
      <c r="D10917" s="50"/>
      <c r="E10917" s="73"/>
      <c r="F10917" s="45"/>
    </row>
    <row r="10918" spans="4:6" x14ac:dyDescent="0.2">
      <c r="D10918" s="50"/>
      <c r="E10918" s="73"/>
      <c r="F10918" s="45"/>
    </row>
    <row r="10919" spans="4:6" x14ac:dyDescent="0.2">
      <c r="D10919" s="50"/>
      <c r="E10919" s="73"/>
      <c r="F10919" s="45"/>
    </row>
    <row r="10920" spans="4:6" x14ac:dyDescent="0.2">
      <c r="D10920" s="50"/>
      <c r="E10920" s="73"/>
      <c r="F10920" s="45"/>
    </row>
    <row r="10921" spans="4:6" x14ac:dyDescent="0.2">
      <c r="D10921" s="50"/>
      <c r="E10921" s="73"/>
      <c r="F10921" s="45"/>
    </row>
    <row r="10922" spans="4:6" x14ac:dyDescent="0.2">
      <c r="D10922" s="50"/>
      <c r="E10922" s="73"/>
      <c r="F10922" s="45"/>
    </row>
    <row r="10923" spans="4:6" x14ac:dyDescent="0.2">
      <c r="D10923" s="50"/>
      <c r="E10923" s="73"/>
      <c r="F10923" s="45"/>
    </row>
    <row r="10924" spans="4:6" x14ac:dyDescent="0.2">
      <c r="D10924" s="50"/>
      <c r="E10924" s="73"/>
      <c r="F10924" s="45"/>
    </row>
    <row r="10925" spans="4:6" x14ac:dyDescent="0.2">
      <c r="D10925" s="50"/>
      <c r="E10925" s="73"/>
      <c r="F10925" s="45"/>
    </row>
    <row r="10926" spans="4:6" x14ac:dyDescent="0.2">
      <c r="D10926" s="50"/>
      <c r="E10926" s="73"/>
      <c r="F10926" s="45"/>
    </row>
    <row r="10927" spans="4:6" x14ac:dyDescent="0.2">
      <c r="D10927" s="50"/>
      <c r="E10927" s="73"/>
      <c r="F10927" s="45"/>
    </row>
    <row r="10928" spans="4:6" x14ac:dyDescent="0.2">
      <c r="D10928" s="50"/>
      <c r="E10928" s="73"/>
      <c r="F10928" s="45"/>
    </row>
    <row r="10929" spans="4:6" x14ac:dyDescent="0.2">
      <c r="D10929" s="50"/>
      <c r="E10929" s="73"/>
      <c r="F10929" s="45"/>
    </row>
    <row r="10930" spans="4:6" x14ac:dyDescent="0.2">
      <c r="D10930" s="50"/>
      <c r="E10930" s="73"/>
      <c r="F10930" s="45"/>
    </row>
    <row r="10931" spans="4:6" x14ac:dyDescent="0.2">
      <c r="D10931" s="50"/>
      <c r="E10931" s="73"/>
      <c r="F10931" s="45"/>
    </row>
    <row r="10932" spans="4:6" x14ac:dyDescent="0.2">
      <c r="D10932" s="50"/>
      <c r="E10932" s="73"/>
      <c r="F10932" s="45"/>
    </row>
    <row r="10933" spans="4:6" x14ac:dyDescent="0.2">
      <c r="D10933" s="50"/>
      <c r="E10933" s="73"/>
      <c r="F10933" s="45"/>
    </row>
    <row r="10934" spans="4:6" x14ac:dyDescent="0.2">
      <c r="D10934" s="50"/>
      <c r="E10934" s="73"/>
      <c r="F10934" s="45"/>
    </row>
    <row r="10935" spans="4:6" x14ac:dyDescent="0.2">
      <c r="D10935" s="50"/>
      <c r="E10935" s="73"/>
      <c r="F10935" s="45"/>
    </row>
    <row r="10936" spans="4:6" x14ac:dyDescent="0.2">
      <c r="D10936" s="50"/>
      <c r="E10936" s="73"/>
      <c r="F10936" s="45"/>
    </row>
    <row r="10937" spans="4:6" x14ac:dyDescent="0.2">
      <c r="D10937" s="50"/>
      <c r="E10937" s="73"/>
      <c r="F10937" s="45"/>
    </row>
    <row r="10938" spans="4:6" x14ac:dyDescent="0.2">
      <c r="D10938" s="50"/>
      <c r="E10938" s="73"/>
      <c r="F10938" s="45"/>
    </row>
    <row r="10939" spans="4:6" x14ac:dyDescent="0.2">
      <c r="D10939" s="50"/>
      <c r="E10939" s="73"/>
      <c r="F10939" s="45"/>
    </row>
    <row r="10940" spans="4:6" x14ac:dyDescent="0.2">
      <c r="D10940" s="50"/>
      <c r="E10940" s="73"/>
      <c r="F10940" s="45"/>
    </row>
    <row r="10941" spans="4:6" x14ac:dyDescent="0.2">
      <c r="D10941" s="50"/>
      <c r="E10941" s="73"/>
      <c r="F10941" s="45"/>
    </row>
    <row r="10942" spans="4:6" x14ac:dyDescent="0.2">
      <c r="D10942" s="50"/>
      <c r="E10942" s="73"/>
      <c r="F10942" s="45"/>
    </row>
    <row r="10943" spans="4:6" x14ac:dyDescent="0.2">
      <c r="D10943" s="50"/>
      <c r="E10943" s="73"/>
      <c r="F10943" s="45"/>
    </row>
    <row r="10944" spans="4:6" x14ac:dyDescent="0.2">
      <c r="D10944" s="50"/>
      <c r="E10944" s="73"/>
      <c r="F10944" s="45"/>
    </row>
    <row r="10945" spans="4:6" x14ac:dyDescent="0.2">
      <c r="D10945" s="50"/>
      <c r="E10945" s="73"/>
      <c r="F10945" s="45"/>
    </row>
    <row r="10946" spans="4:6" x14ac:dyDescent="0.2">
      <c r="D10946" s="50"/>
      <c r="E10946" s="73"/>
      <c r="F10946" s="45"/>
    </row>
    <row r="10947" spans="4:6" x14ac:dyDescent="0.2">
      <c r="D10947" s="50"/>
      <c r="E10947" s="73"/>
      <c r="F10947" s="45"/>
    </row>
    <row r="10948" spans="4:6" x14ac:dyDescent="0.2">
      <c r="D10948" s="50"/>
      <c r="E10948" s="73"/>
      <c r="F10948" s="45"/>
    </row>
    <row r="10949" spans="4:6" x14ac:dyDescent="0.2">
      <c r="D10949" s="50"/>
      <c r="E10949" s="73"/>
      <c r="F10949" s="45"/>
    </row>
    <row r="10950" spans="4:6" x14ac:dyDescent="0.2">
      <c r="D10950" s="50"/>
      <c r="E10950" s="73"/>
      <c r="F10950" s="45"/>
    </row>
    <row r="10951" spans="4:6" x14ac:dyDescent="0.2">
      <c r="D10951" s="50"/>
      <c r="E10951" s="73"/>
      <c r="F10951" s="45"/>
    </row>
    <row r="10952" spans="4:6" x14ac:dyDescent="0.2">
      <c r="D10952" s="50"/>
      <c r="E10952" s="73"/>
      <c r="F10952" s="45"/>
    </row>
    <row r="10953" spans="4:6" x14ac:dyDescent="0.2">
      <c r="D10953" s="50"/>
      <c r="E10953" s="73"/>
      <c r="F10953" s="45"/>
    </row>
    <row r="10954" spans="4:6" x14ac:dyDescent="0.2">
      <c r="D10954" s="50"/>
      <c r="E10954" s="73"/>
      <c r="F10954" s="45"/>
    </row>
    <row r="10955" spans="4:6" x14ac:dyDescent="0.2">
      <c r="D10955" s="50"/>
      <c r="E10955" s="73"/>
      <c r="F10955" s="45"/>
    </row>
    <row r="10956" spans="4:6" x14ac:dyDescent="0.2">
      <c r="D10956" s="50"/>
      <c r="E10956" s="73"/>
      <c r="F10956" s="45"/>
    </row>
    <row r="10957" spans="4:6" x14ac:dyDescent="0.2">
      <c r="D10957" s="50"/>
      <c r="E10957" s="73"/>
      <c r="F10957" s="45"/>
    </row>
    <row r="10958" spans="4:6" x14ac:dyDescent="0.2">
      <c r="D10958" s="50"/>
      <c r="E10958" s="73"/>
      <c r="F10958" s="45"/>
    </row>
    <row r="10959" spans="4:6" x14ac:dyDescent="0.2">
      <c r="D10959" s="50"/>
      <c r="E10959" s="73"/>
      <c r="F10959" s="45"/>
    </row>
    <row r="10960" spans="4:6" x14ac:dyDescent="0.2">
      <c r="D10960" s="50"/>
      <c r="E10960" s="73"/>
      <c r="F10960" s="45"/>
    </row>
    <row r="10961" spans="4:6" x14ac:dyDescent="0.2">
      <c r="D10961" s="50"/>
      <c r="E10961" s="73"/>
      <c r="F10961" s="45"/>
    </row>
    <row r="10962" spans="4:6" x14ac:dyDescent="0.2">
      <c r="D10962" s="50"/>
      <c r="E10962" s="73"/>
      <c r="F10962" s="45"/>
    </row>
    <row r="10963" spans="4:6" x14ac:dyDescent="0.2">
      <c r="D10963" s="50"/>
      <c r="E10963" s="73"/>
      <c r="F10963" s="45"/>
    </row>
    <row r="10964" spans="4:6" x14ac:dyDescent="0.2">
      <c r="D10964" s="50"/>
      <c r="E10964" s="73"/>
      <c r="F10964" s="45"/>
    </row>
    <row r="10965" spans="4:6" x14ac:dyDescent="0.2">
      <c r="D10965" s="50"/>
      <c r="E10965" s="73"/>
      <c r="F10965" s="45"/>
    </row>
    <row r="10966" spans="4:6" x14ac:dyDescent="0.2">
      <c r="D10966" s="50"/>
      <c r="E10966" s="73"/>
      <c r="F10966" s="45"/>
    </row>
    <row r="10967" spans="4:6" x14ac:dyDescent="0.2">
      <c r="D10967" s="50"/>
      <c r="E10967" s="73"/>
      <c r="F10967" s="45"/>
    </row>
    <row r="10968" spans="4:6" x14ac:dyDescent="0.2">
      <c r="D10968" s="50"/>
      <c r="E10968" s="73"/>
      <c r="F10968" s="45"/>
    </row>
    <row r="10969" spans="4:6" x14ac:dyDescent="0.2">
      <c r="D10969" s="50"/>
      <c r="E10969" s="73"/>
      <c r="F10969" s="45"/>
    </row>
    <row r="10970" spans="4:6" x14ac:dyDescent="0.2">
      <c r="D10970" s="50"/>
      <c r="E10970" s="73"/>
      <c r="F10970" s="45"/>
    </row>
    <row r="10971" spans="4:6" x14ac:dyDescent="0.2">
      <c r="D10971" s="50"/>
      <c r="E10971" s="73"/>
      <c r="F10971" s="45"/>
    </row>
    <row r="10972" spans="4:6" x14ac:dyDescent="0.2">
      <c r="D10972" s="50"/>
      <c r="E10972" s="73"/>
      <c r="F10972" s="45"/>
    </row>
    <row r="10973" spans="4:6" x14ac:dyDescent="0.2">
      <c r="D10973" s="50"/>
      <c r="E10973" s="73"/>
      <c r="F10973" s="45"/>
    </row>
    <row r="10974" spans="4:6" x14ac:dyDescent="0.2">
      <c r="D10974" s="50"/>
      <c r="E10974" s="73"/>
      <c r="F10974" s="45"/>
    </row>
    <row r="10975" spans="4:6" x14ac:dyDescent="0.2">
      <c r="D10975" s="50"/>
      <c r="E10975" s="73"/>
      <c r="F10975" s="45"/>
    </row>
    <row r="10976" spans="4:6" x14ac:dyDescent="0.2">
      <c r="D10976" s="50"/>
      <c r="E10976" s="73"/>
      <c r="F10976" s="45"/>
    </row>
    <row r="10977" spans="4:6" x14ac:dyDescent="0.2">
      <c r="D10977" s="50"/>
      <c r="E10977" s="73"/>
      <c r="F10977" s="45"/>
    </row>
    <row r="10978" spans="4:6" x14ac:dyDescent="0.2">
      <c r="D10978" s="50"/>
      <c r="E10978" s="73"/>
      <c r="F10978" s="45"/>
    </row>
    <row r="10979" spans="4:6" x14ac:dyDescent="0.2">
      <c r="D10979" s="50"/>
      <c r="E10979" s="73"/>
      <c r="F10979" s="45"/>
    </row>
    <row r="10980" spans="4:6" x14ac:dyDescent="0.2">
      <c r="D10980" s="50"/>
      <c r="E10980" s="73"/>
      <c r="F10980" s="45"/>
    </row>
    <row r="10981" spans="4:6" x14ac:dyDescent="0.2">
      <c r="D10981" s="50"/>
      <c r="E10981" s="73"/>
      <c r="F10981" s="45"/>
    </row>
    <row r="10982" spans="4:6" x14ac:dyDescent="0.2">
      <c r="D10982" s="50"/>
      <c r="E10982" s="73"/>
      <c r="F10982" s="45"/>
    </row>
    <row r="10983" spans="4:6" x14ac:dyDescent="0.2">
      <c r="D10983" s="50"/>
      <c r="E10983" s="73"/>
      <c r="F10983" s="45"/>
    </row>
    <row r="10984" spans="4:6" x14ac:dyDescent="0.2">
      <c r="D10984" s="50"/>
      <c r="E10984" s="73"/>
      <c r="F10984" s="45"/>
    </row>
    <row r="10985" spans="4:6" x14ac:dyDescent="0.2">
      <c r="D10985" s="50"/>
      <c r="E10985" s="73"/>
      <c r="F10985" s="45"/>
    </row>
    <row r="10986" spans="4:6" x14ac:dyDescent="0.2">
      <c r="D10986" s="50"/>
      <c r="E10986" s="73"/>
      <c r="F10986" s="45"/>
    </row>
    <row r="10987" spans="4:6" x14ac:dyDescent="0.2">
      <c r="D10987" s="50"/>
      <c r="E10987" s="73"/>
      <c r="F10987" s="45"/>
    </row>
    <row r="10988" spans="4:6" x14ac:dyDescent="0.2">
      <c r="D10988" s="50"/>
      <c r="E10988" s="73"/>
      <c r="F10988" s="45"/>
    </row>
    <row r="10989" spans="4:6" x14ac:dyDescent="0.2">
      <c r="D10989" s="50"/>
      <c r="E10989" s="73"/>
      <c r="F10989" s="45"/>
    </row>
    <row r="10990" spans="4:6" x14ac:dyDescent="0.2">
      <c r="D10990" s="50"/>
      <c r="E10990" s="73"/>
      <c r="F10990" s="45"/>
    </row>
    <row r="10991" spans="4:6" x14ac:dyDescent="0.2">
      <c r="D10991" s="50"/>
      <c r="E10991" s="73"/>
      <c r="F10991" s="45"/>
    </row>
    <row r="10992" spans="4:6" x14ac:dyDescent="0.2">
      <c r="D10992" s="50"/>
      <c r="E10992" s="73"/>
      <c r="F10992" s="45"/>
    </row>
    <row r="10993" spans="4:6" x14ac:dyDescent="0.2">
      <c r="D10993" s="50"/>
      <c r="E10993" s="73"/>
      <c r="F10993" s="45"/>
    </row>
    <row r="10994" spans="4:6" x14ac:dyDescent="0.2">
      <c r="D10994" s="50"/>
      <c r="E10994" s="73"/>
      <c r="F10994" s="45"/>
    </row>
    <row r="10995" spans="4:6" x14ac:dyDescent="0.2">
      <c r="D10995" s="50"/>
      <c r="E10995" s="73"/>
      <c r="F10995" s="45"/>
    </row>
    <row r="10996" spans="4:6" x14ac:dyDescent="0.2">
      <c r="D10996" s="50"/>
      <c r="E10996" s="73"/>
      <c r="F10996" s="45"/>
    </row>
    <row r="10997" spans="4:6" x14ac:dyDescent="0.2">
      <c r="D10997" s="50"/>
      <c r="E10997" s="73"/>
      <c r="F10997" s="45"/>
    </row>
    <row r="10998" spans="4:6" x14ac:dyDescent="0.2">
      <c r="D10998" s="50"/>
      <c r="E10998" s="73"/>
      <c r="F10998" s="45"/>
    </row>
    <row r="10999" spans="4:6" x14ac:dyDescent="0.2">
      <c r="D10999" s="50"/>
      <c r="E10999" s="73"/>
      <c r="F10999" s="45"/>
    </row>
    <row r="11000" spans="4:6" x14ac:dyDescent="0.2">
      <c r="D11000" s="50"/>
      <c r="E11000" s="73"/>
      <c r="F11000" s="45"/>
    </row>
    <row r="11001" spans="4:6" x14ac:dyDescent="0.2">
      <c r="D11001" s="50"/>
      <c r="E11001" s="73"/>
      <c r="F11001" s="45"/>
    </row>
    <row r="11002" spans="4:6" x14ac:dyDescent="0.2">
      <c r="D11002" s="50"/>
      <c r="E11002" s="73"/>
      <c r="F11002" s="45"/>
    </row>
    <row r="11003" spans="4:6" x14ac:dyDescent="0.2">
      <c r="D11003" s="50"/>
      <c r="E11003" s="73"/>
      <c r="F11003" s="45"/>
    </row>
    <row r="11004" spans="4:6" x14ac:dyDescent="0.2">
      <c r="D11004" s="50"/>
      <c r="E11004" s="73"/>
      <c r="F11004" s="45"/>
    </row>
    <row r="11005" spans="4:6" x14ac:dyDescent="0.2">
      <c r="D11005" s="50"/>
      <c r="E11005" s="73"/>
      <c r="F11005" s="45"/>
    </row>
    <row r="11006" spans="4:6" x14ac:dyDescent="0.2">
      <c r="D11006" s="50"/>
      <c r="E11006" s="73"/>
      <c r="F11006" s="45"/>
    </row>
    <row r="11007" spans="4:6" x14ac:dyDescent="0.2">
      <c r="D11007" s="50"/>
      <c r="E11007" s="73"/>
      <c r="F11007" s="45"/>
    </row>
    <row r="11008" spans="4:6" x14ac:dyDescent="0.2">
      <c r="D11008" s="50"/>
      <c r="E11008" s="73"/>
      <c r="F11008" s="45"/>
    </row>
    <row r="11009" spans="4:6" x14ac:dyDescent="0.2">
      <c r="D11009" s="50"/>
      <c r="E11009" s="73"/>
      <c r="F11009" s="45"/>
    </row>
    <row r="11010" spans="4:6" x14ac:dyDescent="0.2">
      <c r="D11010" s="50"/>
      <c r="E11010" s="73"/>
      <c r="F11010" s="45"/>
    </row>
    <row r="11011" spans="4:6" x14ac:dyDescent="0.2">
      <c r="D11011" s="50"/>
      <c r="E11011" s="73"/>
      <c r="F11011" s="45"/>
    </row>
    <row r="11012" spans="4:6" x14ac:dyDescent="0.2">
      <c r="D11012" s="50"/>
      <c r="E11012" s="73"/>
      <c r="F11012" s="45"/>
    </row>
    <row r="11013" spans="4:6" x14ac:dyDescent="0.2">
      <c r="D11013" s="50"/>
      <c r="E11013" s="73"/>
      <c r="F11013" s="45"/>
    </row>
    <row r="11014" spans="4:6" x14ac:dyDescent="0.2">
      <c r="D11014" s="50"/>
      <c r="E11014" s="73"/>
      <c r="F11014" s="45"/>
    </row>
    <row r="11015" spans="4:6" x14ac:dyDescent="0.2">
      <c r="D11015" s="50"/>
      <c r="E11015" s="73"/>
      <c r="F11015" s="45"/>
    </row>
    <row r="11016" spans="4:6" x14ac:dyDescent="0.2">
      <c r="D11016" s="50"/>
      <c r="E11016" s="73"/>
      <c r="F11016" s="45"/>
    </row>
    <row r="11017" spans="4:6" x14ac:dyDescent="0.2">
      <c r="D11017" s="50"/>
      <c r="E11017" s="73"/>
      <c r="F11017" s="45"/>
    </row>
    <row r="11018" spans="4:6" x14ac:dyDescent="0.2">
      <c r="D11018" s="50"/>
      <c r="E11018" s="73"/>
      <c r="F11018" s="45"/>
    </row>
    <row r="11019" spans="4:6" x14ac:dyDescent="0.2">
      <c r="D11019" s="50"/>
      <c r="E11019" s="73"/>
      <c r="F11019" s="45"/>
    </row>
    <row r="11020" spans="4:6" x14ac:dyDescent="0.2">
      <c r="D11020" s="50"/>
      <c r="E11020" s="73"/>
      <c r="F11020" s="45"/>
    </row>
    <row r="11021" spans="4:6" x14ac:dyDescent="0.2">
      <c r="D11021" s="50"/>
      <c r="E11021" s="73"/>
      <c r="F11021" s="45"/>
    </row>
    <row r="11022" spans="4:6" x14ac:dyDescent="0.2">
      <c r="D11022" s="50"/>
      <c r="E11022" s="73"/>
      <c r="F11022" s="45"/>
    </row>
    <row r="11023" spans="4:6" x14ac:dyDescent="0.2">
      <c r="D11023" s="50"/>
      <c r="E11023" s="73"/>
      <c r="F11023" s="45"/>
    </row>
    <row r="11024" spans="4:6" x14ac:dyDescent="0.2">
      <c r="D11024" s="50"/>
      <c r="E11024" s="73"/>
      <c r="F11024" s="45"/>
    </row>
    <row r="11025" spans="4:6" x14ac:dyDescent="0.2">
      <c r="D11025" s="50"/>
      <c r="E11025" s="73"/>
      <c r="F11025" s="45"/>
    </row>
    <row r="11026" spans="4:6" x14ac:dyDescent="0.2">
      <c r="D11026" s="50"/>
      <c r="E11026" s="73"/>
      <c r="F11026" s="45"/>
    </row>
    <row r="11027" spans="4:6" x14ac:dyDescent="0.2">
      <c r="D11027" s="50"/>
      <c r="E11027" s="73"/>
      <c r="F11027" s="45"/>
    </row>
    <row r="11028" spans="4:6" x14ac:dyDescent="0.2">
      <c r="D11028" s="50"/>
      <c r="E11028" s="73"/>
      <c r="F11028" s="45"/>
    </row>
    <row r="11029" spans="4:6" x14ac:dyDescent="0.2">
      <c r="D11029" s="50"/>
      <c r="E11029" s="73"/>
      <c r="F11029" s="45"/>
    </row>
    <row r="11030" spans="4:6" x14ac:dyDescent="0.2">
      <c r="D11030" s="50"/>
      <c r="E11030" s="73"/>
      <c r="F11030" s="45"/>
    </row>
    <row r="11031" spans="4:6" x14ac:dyDescent="0.2">
      <c r="D11031" s="50"/>
      <c r="E11031" s="73"/>
      <c r="F11031" s="45"/>
    </row>
    <row r="11032" spans="4:6" x14ac:dyDescent="0.2">
      <c r="D11032" s="50"/>
      <c r="E11032" s="73"/>
      <c r="F11032" s="45"/>
    </row>
    <row r="11033" spans="4:6" x14ac:dyDescent="0.2">
      <c r="D11033" s="50"/>
      <c r="E11033" s="73"/>
      <c r="F11033" s="45"/>
    </row>
    <row r="11034" spans="4:6" x14ac:dyDescent="0.2">
      <c r="D11034" s="50"/>
      <c r="E11034" s="73"/>
      <c r="F11034" s="45"/>
    </row>
    <row r="11035" spans="4:6" x14ac:dyDescent="0.2">
      <c r="D11035" s="50"/>
      <c r="E11035" s="73"/>
      <c r="F11035" s="45"/>
    </row>
    <row r="11036" spans="4:6" x14ac:dyDescent="0.2">
      <c r="D11036" s="50"/>
      <c r="E11036" s="73"/>
      <c r="F11036" s="45"/>
    </row>
    <row r="11037" spans="4:6" x14ac:dyDescent="0.2">
      <c r="D11037" s="50"/>
      <c r="E11037" s="73"/>
      <c r="F11037" s="45"/>
    </row>
    <row r="11038" spans="4:6" x14ac:dyDescent="0.2">
      <c r="D11038" s="50"/>
      <c r="E11038" s="73"/>
      <c r="F11038" s="45"/>
    </row>
    <row r="11039" spans="4:6" x14ac:dyDescent="0.2">
      <c r="D11039" s="50"/>
      <c r="E11039" s="73"/>
      <c r="F11039" s="45"/>
    </row>
    <row r="11040" spans="4:6" x14ac:dyDescent="0.2">
      <c r="D11040" s="50"/>
      <c r="E11040" s="73"/>
      <c r="F11040" s="45"/>
    </row>
    <row r="11041" spans="4:6" x14ac:dyDescent="0.2">
      <c r="D11041" s="50"/>
      <c r="E11041" s="73"/>
      <c r="F11041" s="45"/>
    </row>
    <row r="11042" spans="4:6" x14ac:dyDescent="0.2">
      <c r="D11042" s="50"/>
      <c r="E11042" s="73"/>
      <c r="F11042" s="45"/>
    </row>
    <row r="11043" spans="4:6" x14ac:dyDescent="0.2">
      <c r="D11043" s="50"/>
      <c r="E11043" s="73"/>
      <c r="F11043" s="45"/>
    </row>
    <row r="11044" spans="4:6" x14ac:dyDescent="0.2">
      <c r="D11044" s="50"/>
      <c r="E11044" s="73"/>
      <c r="F11044" s="45"/>
    </row>
    <row r="11045" spans="4:6" x14ac:dyDescent="0.2">
      <c r="D11045" s="50"/>
      <c r="E11045" s="73"/>
      <c r="F11045" s="45"/>
    </row>
    <row r="11046" spans="4:6" x14ac:dyDescent="0.2">
      <c r="D11046" s="50"/>
      <c r="E11046" s="73"/>
      <c r="F11046" s="45"/>
    </row>
    <row r="11047" spans="4:6" x14ac:dyDescent="0.2">
      <c r="D11047" s="50"/>
      <c r="E11047" s="73"/>
      <c r="F11047" s="45"/>
    </row>
    <row r="11048" spans="4:6" x14ac:dyDescent="0.2">
      <c r="D11048" s="50"/>
      <c r="E11048" s="73"/>
      <c r="F11048" s="45"/>
    </row>
    <row r="11049" spans="4:6" x14ac:dyDescent="0.2">
      <c r="D11049" s="50"/>
      <c r="E11049" s="73"/>
      <c r="F11049" s="45"/>
    </row>
    <row r="11050" spans="4:6" x14ac:dyDescent="0.2">
      <c r="D11050" s="50"/>
      <c r="E11050" s="73"/>
      <c r="F11050" s="45"/>
    </row>
    <row r="11051" spans="4:6" x14ac:dyDescent="0.2">
      <c r="D11051" s="50"/>
      <c r="E11051" s="73"/>
      <c r="F11051" s="45"/>
    </row>
    <row r="11052" spans="4:6" x14ac:dyDescent="0.2">
      <c r="D11052" s="50"/>
      <c r="E11052" s="73"/>
      <c r="F11052" s="45"/>
    </row>
    <row r="11053" spans="4:6" x14ac:dyDescent="0.2">
      <c r="D11053" s="50"/>
      <c r="E11053" s="73"/>
      <c r="F11053" s="45"/>
    </row>
    <row r="11054" spans="4:6" x14ac:dyDescent="0.2">
      <c r="D11054" s="50"/>
      <c r="E11054" s="73"/>
      <c r="F11054" s="45"/>
    </row>
    <row r="11055" spans="4:6" x14ac:dyDescent="0.2">
      <c r="D11055" s="50"/>
      <c r="E11055" s="73"/>
      <c r="F11055" s="45"/>
    </row>
    <row r="11056" spans="4:6" x14ac:dyDescent="0.2">
      <c r="D11056" s="50"/>
      <c r="E11056" s="73"/>
      <c r="F11056" s="45"/>
    </row>
    <row r="11057" spans="4:6" x14ac:dyDescent="0.2">
      <c r="D11057" s="50"/>
      <c r="E11057" s="73"/>
      <c r="F11057" s="45"/>
    </row>
    <row r="11058" spans="4:6" x14ac:dyDescent="0.2">
      <c r="D11058" s="50"/>
      <c r="E11058" s="73"/>
      <c r="F11058" s="45"/>
    </row>
    <row r="11059" spans="4:6" x14ac:dyDescent="0.2">
      <c r="D11059" s="50"/>
      <c r="E11059" s="73"/>
      <c r="F11059" s="45"/>
    </row>
    <row r="11060" spans="4:6" x14ac:dyDescent="0.2">
      <c r="D11060" s="50"/>
      <c r="E11060" s="73"/>
      <c r="F11060" s="45"/>
    </row>
    <row r="11061" spans="4:6" x14ac:dyDescent="0.2">
      <c r="D11061" s="50"/>
      <c r="E11061" s="73"/>
      <c r="F11061" s="45"/>
    </row>
    <row r="11062" spans="4:6" x14ac:dyDescent="0.2">
      <c r="D11062" s="50"/>
      <c r="E11062" s="73"/>
      <c r="F11062" s="45"/>
    </row>
    <row r="11063" spans="4:6" x14ac:dyDescent="0.2">
      <c r="D11063" s="50"/>
      <c r="E11063" s="73"/>
      <c r="F11063" s="45"/>
    </row>
    <row r="11064" spans="4:6" x14ac:dyDescent="0.2">
      <c r="D11064" s="50"/>
      <c r="E11064" s="73"/>
      <c r="F11064" s="45"/>
    </row>
    <row r="11065" spans="4:6" x14ac:dyDescent="0.2">
      <c r="D11065" s="50"/>
      <c r="E11065" s="73"/>
      <c r="F11065" s="45"/>
    </row>
    <row r="11066" spans="4:6" x14ac:dyDescent="0.2">
      <c r="D11066" s="50"/>
      <c r="E11066" s="73"/>
      <c r="F11066" s="45"/>
    </row>
    <row r="11067" spans="4:6" x14ac:dyDescent="0.2">
      <c r="D11067" s="50"/>
      <c r="E11067" s="73"/>
      <c r="F11067" s="45"/>
    </row>
    <row r="11068" spans="4:6" x14ac:dyDescent="0.2">
      <c r="D11068" s="50"/>
      <c r="E11068" s="73"/>
      <c r="F11068" s="45"/>
    </row>
    <row r="11069" spans="4:6" x14ac:dyDescent="0.2">
      <c r="D11069" s="50"/>
      <c r="E11069" s="73"/>
      <c r="F11069" s="45"/>
    </row>
    <row r="11070" spans="4:6" x14ac:dyDescent="0.2">
      <c r="D11070" s="50"/>
      <c r="E11070" s="73"/>
      <c r="F11070" s="45"/>
    </row>
    <row r="11071" spans="4:6" x14ac:dyDescent="0.2">
      <c r="D11071" s="50"/>
      <c r="E11071" s="73"/>
      <c r="F11071" s="45"/>
    </row>
    <row r="11072" spans="4:6" x14ac:dyDescent="0.2">
      <c r="D11072" s="50"/>
      <c r="E11072" s="73"/>
      <c r="F11072" s="45"/>
    </row>
    <row r="11073" spans="4:6" x14ac:dyDescent="0.2">
      <c r="D11073" s="50"/>
      <c r="E11073" s="73"/>
      <c r="F11073" s="45"/>
    </row>
    <row r="11074" spans="4:6" x14ac:dyDescent="0.2">
      <c r="D11074" s="50"/>
      <c r="E11074" s="73"/>
      <c r="F11074" s="45"/>
    </row>
    <row r="11075" spans="4:6" x14ac:dyDescent="0.2">
      <c r="D11075" s="50"/>
      <c r="E11075" s="73"/>
      <c r="F11075" s="45"/>
    </row>
    <row r="11076" spans="4:6" x14ac:dyDescent="0.2">
      <c r="D11076" s="50"/>
      <c r="E11076" s="73"/>
      <c r="F11076" s="45"/>
    </row>
    <row r="11077" spans="4:6" x14ac:dyDescent="0.2">
      <c r="D11077" s="50"/>
      <c r="E11077" s="73"/>
      <c r="F11077" s="45"/>
    </row>
    <row r="11078" spans="4:6" x14ac:dyDescent="0.2">
      <c r="D11078" s="50"/>
      <c r="E11078" s="73"/>
      <c r="F11078" s="45"/>
    </row>
    <row r="11079" spans="4:6" x14ac:dyDescent="0.2">
      <c r="D11079" s="50"/>
      <c r="E11079" s="73"/>
      <c r="F11079" s="45"/>
    </row>
    <row r="11080" spans="4:6" x14ac:dyDescent="0.2">
      <c r="D11080" s="50"/>
      <c r="E11080" s="73"/>
      <c r="F11080" s="45"/>
    </row>
    <row r="11081" spans="4:6" x14ac:dyDescent="0.2">
      <c r="D11081" s="50"/>
      <c r="E11081" s="73"/>
      <c r="F11081" s="45"/>
    </row>
    <row r="11082" spans="4:6" x14ac:dyDescent="0.2">
      <c r="D11082" s="50"/>
      <c r="E11082" s="73"/>
      <c r="F11082" s="45"/>
    </row>
    <row r="11083" spans="4:6" x14ac:dyDescent="0.2">
      <c r="D11083" s="50"/>
      <c r="E11083" s="73"/>
      <c r="F11083" s="45"/>
    </row>
    <row r="11084" spans="4:6" x14ac:dyDescent="0.2">
      <c r="D11084" s="50"/>
      <c r="E11084" s="73"/>
      <c r="F11084" s="45"/>
    </row>
    <row r="11085" spans="4:6" x14ac:dyDescent="0.2">
      <c r="D11085" s="50"/>
      <c r="E11085" s="73"/>
      <c r="F11085" s="45"/>
    </row>
    <row r="11086" spans="4:6" x14ac:dyDescent="0.2">
      <c r="D11086" s="50"/>
      <c r="E11086" s="73"/>
      <c r="F11086" s="45"/>
    </row>
    <row r="11087" spans="4:6" x14ac:dyDescent="0.2">
      <c r="D11087" s="50"/>
      <c r="E11087" s="73"/>
      <c r="F11087" s="45"/>
    </row>
    <row r="11088" spans="4:6" x14ac:dyDescent="0.2">
      <c r="D11088" s="50"/>
      <c r="E11088" s="73"/>
      <c r="F11088" s="45"/>
    </row>
    <row r="11089" spans="4:6" x14ac:dyDescent="0.2">
      <c r="D11089" s="50"/>
      <c r="E11089" s="73"/>
      <c r="F11089" s="45"/>
    </row>
    <row r="11090" spans="4:6" x14ac:dyDescent="0.2">
      <c r="D11090" s="50"/>
      <c r="E11090" s="73"/>
      <c r="F11090" s="45"/>
    </row>
    <row r="11091" spans="4:6" x14ac:dyDescent="0.2">
      <c r="D11091" s="50"/>
      <c r="E11091" s="73"/>
      <c r="F11091" s="45"/>
    </row>
    <row r="11092" spans="4:6" x14ac:dyDescent="0.2">
      <c r="D11092" s="50"/>
      <c r="E11092" s="73"/>
      <c r="F11092" s="45"/>
    </row>
    <row r="11093" spans="4:6" x14ac:dyDescent="0.2">
      <c r="D11093" s="50"/>
      <c r="E11093" s="73"/>
      <c r="F11093" s="45"/>
    </row>
    <row r="11094" spans="4:6" x14ac:dyDescent="0.2">
      <c r="D11094" s="50"/>
      <c r="E11094" s="73"/>
      <c r="F11094" s="45"/>
    </row>
    <row r="11095" spans="4:6" x14ac:dyDescent="0.2">
      <c r="D11095" s="50"/>
      <c r="E11095" s="73"/>
      <c r="F11095" s="45"/>
    </row>
    <row r="11096" spans="4:6" x14ac:dyDescent="0.2">
      <c r="D11096" s="50"/>
      <c r="E11096" s="73"/>
      <c r="F11096" s="45"/>
    </row>
    <row r="11097" spans="4:6" x14ac:dyDescent="0.2">
      <c r="D11097" s="50"/>
      <c r="E11097" s="73"/>
      <c r="F11097" s="45"/>
    </row>
    <row r="11098" spans="4:6" x14ac:dyDescent="0.2">
      <c r="D11098" s="50"/>
      <c r="E11098" s="73"/>
      <c r="F11098" s="45"/>
    </row>
    <row r="11099" spans="4:6" x14ac:dyDescent="0.2">
      <c r="D11099" s="50"/>
      <c r="E11099" s="73"/>
      <c r="F11099" s="45"/>
    </row>
    <row r="11100" spans="4:6" x14ac:dyDescent="0.2">
      <c r="D11100" s="50"/>
      <c r="E11100" s="73"/>
      <c r="F11100" s="45"/>
    </row>
    <row r="11101" spans="4:6" x14ac:dyDescent="0.2">
      <c r="D11101" s="50"/>
      <c r="E11101" s="73"/>
      <c r="F11101" s="45"/>
    </row>
    <row r="11102" spans="4:6" x14ac:dyDescent="0.2">
      <c r="D11102" s="50"/>
      <c r="E11102" s="73"/>
      <c r="F11102" s="45"/>
    </row>
    <row r="11103" spans="4:6" x14ac:dyDescent="0.2">
      <c r="D11103" s="50"/>
      <c r="E11103" s="73"/>
      <c r="F11103" s="45"/>
    </row>
    <row r="11104" spans="4:6" x14ac:dyDescent="0.2">
      <c r="D11104" s="50"/>
      <c r="E11104" s="73"/>
      <c r="F11104" s="45"/>
    </row>
    <row r="11105" spans="4:6" x14ac:dyDescent="0.2">
      <c r="D11105" s="50"/>
      <c r="E11105" s="73"/>
      <c r="F11105" s="45"/>
    </row>
    <row r="11106" spans="4:6" x14ac:dyDescent="0.2">
      <c r="D11106" s="50"/>
      <c r="E11106" s="73"/>
      <c r="F11106" s="45"/>
    </row>
    <row r="11107" spans="4:6" x14ac:dyDescent="0.2">
      <c r="D11107" s="50"/>
      <c r="E11107" s="73"/>
      <c r="F11107" s="45"/>
    </row>
    <row r="11108" spans="4:6" x14ac:dyDescent="0.2">
      <c r="D11108" s="50"/>
      <c r="E11108" s="73"/>
      <c r="F11108" s="45"/>
    </row>
    <row r="11109" spans="4:6" x14ac:dyDescent="0.2">
      <c r="D11109" s="50"/>
      <c r="E11109" s="73"/>
      <c r="F11109" s="45"/>
    </row>
    <row r="11110" spans="4:6" x14ac:dyDescent="0.2">
      <c r="D11110" s="50"/>
      <c r="E11110" s="73"/>
      <c r="F11110" s="45"/>
    </row>
    <row r="11111" spans="4:6" x14ac:dyDescent="0.2">
      <c r="D11111" s="50"/>
      <c r="E11111" s="73"/>
      <c r="F11111" s="45"/>
    </row>
    <row r="11112" spans="4:6" x14ac:dyDescent="0.2">
      <c r="D11112" s="50"/>
      <c r="E11112" s="73"/>
      <c r="F11112" s="45"/>
    </row>
    <row r="11113" spans="4:6" x14ac:dyDescent="0.2">
      <c r="D11113" s="50"/>
      <c r="E11113" s="73"/>
      <c r="F11113" s="45"/>
    </row>
    <row r="11114" spans="4:6" x14ac:dyDescent="0.2">
      <c r="D11114" s="50"/>
      <c r="E11114" s="73"/>
      <c r="F11114" s="45"/>
    </row>
    <row r="11115" spans="4:6" x14ac:dyDescent="0.2">
      <c r="D11115" s="50"/>
      <c r="E11115" s="73"/>
      <c r="F11115" s="45"/>
    </row>
    <row r="11116" spans="4:6" x14ac:dyDescent="0.2">
      <c r="D11116" s="50"/>
      <c r="E11116" s="73"/>
      <c r="F11116" s="45"/>
    </row>
    <row r="11117" spans="4:6" x14ac:dyDescent="0.2">
      <c r="D11117" s="50"/>
      <c r="E11117" s="73"/>
      <c r="F11117" s="45"/>
    </row>
    <row r="11118" spans="4:6" x14ac:dyDescent="0.2">
      <c r="D11118" s="50"/>
      <c r="E11118" s="73"/>
      <c r="F11118" s="45"/>
    </row>
    <row r="11119" spans="4:6" x14ac:dyDescent="0.2">
      <c r="D11119" s="50"/>
      <c r="E11119" s="73"/>
      <c r="F11119" s="45"/>
    </row>
    <row r="11120" spans="4:6" x14ac:dyDescent="0.2">
      <c r="D11120" s="50"/>
      <c r="E11120" s="73"/>
      <c r="F11120" s="45"/>
    </row>
    <row r="11121" spans="4:6" x14ac:dyDescent="0.2">
      <c r="D11121" s="50"/>
      <c r="E11121" s="73"/>
      <c r="F11121" s="45"/>
    </row>
    <row r="11122" spans="4:6" x14ac:dyDescent="0.2">
      <c r="D11122" s="50"/>
      <c r="E11122" s="73"/>
      <c r="F11122" s="45"/>
    </row>
    <row r="11123" spans="4:6" x14ac:dyDescent="0.2">
      <c r="D11123" s="50"/>
      <c r="E11123" s="73"/>
      <c r="F11123" s="45"/>
    </row>
    <row r="11124" spans="4:6" x14ac:dyDescent="0.2">
      <c r="D11124" s="50"/>
      <c r="E11124" s="73"/>
      <c r="F11124" s="45"/>
    </row>
    <row r="11125" spans="4:6" x14ac:dyDescent="0.2">
      <c r="D11125" s="50"/>
      <c r="E11125" s="73"/>
      <c r="F11125" s="45"/>
    </row>
    <row r="11126" spans="4:6" x14ac:dyDescent="0.2">
      <c r="D11126" s="50"/>
      <c r="E11126" s="73"/>
      <c r="F11126" s="45"/>
    </row>
    <row r="11127" spans="4:6" x14ac:dyDescent="0.2">
      <c r="D11127" s="50"/>
      <c r="E11127" s="73"/>
      <c r="F11127" s="45"/>
    </row>
    <row r="11128" spans="4:6" x14ac:dyDescent="0.2">
      <c r="D11128" s="50"/>
      <c r="E11128" s="73"/>
      <c r="F11128" s="45"/>
    </row>
    <row r="11129" spans="4:6" x14ac:dyDescent="0.2">
      <c r="D11129" s="50"/>
      <c r="E11129" s="73"/>
      <c r="F11129" s="45"/>
    </row>
    <row r="11130" spans="4:6" x14ac:dyDescent="0.2">
      <c r="D11130" s="50"/>
      <c r="E11130" s="73"/>
      <c r="F11130" s="45"/>
    </row>
    <row r="11131" spans="4:6" x14ac:dyDescent="0.2">
      <c r="D11131" s="50"/>
      <c r="E11131" s="73"/>
      <c r="F11131" s="45"/>
    </row>
    <row r="11132" spans="4:6" x14ac:dyDescent="0.2">
      <c r="D11132" s="50"/>
      <c r="E11132" s="73"/>
      <c r="F11132" s="45"/>
    </row>
    <row r="11133" spans="4:6" x14ac:dyDescent="0.2">
      <c r="D11133" s="50"/>
      <c r="E11133" s="73"/>
      <c r="F11133" s="45"/>
    </row>
    <row r="11134" spans="4:6" x14ac:dyDescent="0.2">
      <c r="D11134" s="50"/>
      <c r="E11134" s="73"/>
      <c r="F11134" s="45"/>
    </row>
    <row r="11135" spans="4:6" x14ac:dyDescent="0.2">
      <c r="D11135" s="50"/>
      <c r="E11135" s="73"/>
      <c r="F11135" s="45"/>
    </row>
    <row r="11136" spans="4:6" x14ac:dyDescent="0.2">
      <c r="D11136" s="50"/>
      <c r="E11136" s="73"/>
      <c r="F11136" s="45"/>
    </row>
    <row r="11137" spans="4:6" x14ac:dyDescent="0.2">
      <c r="D11137" s="50"/>
      <c r="E11137" s="73"/>
      <c r="F11137" s="45"/>
    </row>
    <row r="11138" spans="4:6" x14ac:dyDescent="0.2">
      <c r="D11138" s="50"/>
      <c r="E11138" s="73"/>
      <c r="F11138" s="45"/>
    </row>
    <row r="11139" spans="4:6" x14ac:dyDescent="0.2">
      <c r="D11139" s="50"/>
      <c r="E11139" s="73"/>
      <c r="F11139" s="45"/>
    </row>
    <row r="11140" spans="4:6" x14ac:dyDescent="0.2">
      <c r="D11140" s="50"/>
      <c r="E11140" s="73"/>
      <c r="F11140" s="45"/>
    </row>
    <row r="11141" spans="4:6" x14ac:dyDescent="0.2">
      <c r="D11141" s="50"/>
      <c r="E11141" s="73"/>
      <c r="F11141" s="45"/>
    </row>
    <row r="11142" spans="4:6" x14ac:dyDescent="0.2">
      <c r="D11142" s="50"/>
      <c r="E11142" s="73"/>
      <c r="F11142" s="45"/>
    </row>
    <row r="11143" spans="4:6" x14ac:dyDescent="0.2">
      <c r="D11143" s="50"/>
      <c r="E11143" s="73"/>
      <c r="F11143" s="45"/>
    </row>
    <row r="11144" spans="4:6" x14ac:dyDescent="0.2">
      <c r="D11144" s="50"/>
      <c r="E11144" s="73"/>
      <c r="F11144" s="45"/>
    </row>
    <row r="11145" spans="4:6" x14ac:dyDescent="0.2">
      <c r="D11145" s="50"/>
      <c r="E11145" s="73"/>
      <c r="F11145" s="45"/>
    </row>
    <row r="11146" spans="4:6" x14ac:dyDescent="0.2">
      <c r="D11146" s="50"/>
      <c r="E11146" s="73"/>
      <c r="F11146" s="45"/>
    </row>
    <row r="11147" spans="4:6" x14ac:dyDescent="0.2">
      <c r="D11147" s="50"/>
      <c r="E11147" s="73"/>
      <c r="F11147" s="45"/>
    </row>
    <row r="11148" spans="4:6" x14ac:dyDescent="0.2">
      <c r="D11148" s="50"/>
      <c r="E11148" s="73"/>
      <c r="F11148" s="45"/>
    </row>
    <row r="11149" spans="4:6" x14ac:dyDescent="0.2">
      <c r="D11149" s="50"/>
      <c r="E11149" s="73"/>
      <c r="F11149" s="45"/>
    </row>
    <row r="11150" spans="4:6" x14ac:dyDescent="0.2">
      <c r="D11150" s="50"/>
      <c r="E11150" s="73"/>
      <c r="F11150" s="45"/>
    </row>
    <row r="11151" spans="4:6" x14ac:dyDescent="0.2">
      <c r="D11151" s="50"/>
      <c r="E11151" s="73"/>
      <c r="F11151" s="45"/>
    </row>
    <row r="11152" spans="4:6" x14ac:dyDescent="0.2">
      <c r="D11152" s="50"/>
      <c r="E11152" s="73"/>
      <c r="F11152" s="45"/>
    </row>
    <row r="11153" spans="4:6" x14ac:dyDescent="0.2">
      <c r="D11153" s="50"/>
      <c r="E11153" s="73"/>
      <c r="F11153" s="45"/>
    </row>
    <row r="11154" spans="4:6" x14ac:dyDescent="0.2">
      <c r="D11154" s="50"/>
      <c r="E11154" s="73"/>
      <c r="F11154" s="45"/>
    </row>
    <row r="11155" spans="4:6" x14ac:dyDescent="0.2">
      <c r="D11155" s="50"/>
      <c r="E11155" s="73"/>
      <c r="F11155" s="45"/>
    </row>
    <row r="11156" spans="4:6" x14ac:dyDescent="0.2">
      <c r="D11156" s="50"/>
      <c r="E11156" s="73"/>
      <c r="F11156" s="45"/>
    </row>
    <row r="11157" spans="4:6" x14ac:dyDescent="0.2">
      <c r="D11157" s="50"/>
      <c r="E11157" s="73"/>
      <c r="F11157" s="45"/>
    </row>
    <row r="11158" spans="4:6" x14ac:dyDescent="0.2">
      <c r="D11158" s="50"/>
      <c r="E11158" s="73"/>
      <c r="F11158" s="45"/>
    </row>
    <row r="11159" spans="4:6" x14ac:dyDescent="0.2">
      <c r="D11159" s="50"/>
      <c r="E11159" s="73"/>
      <c r="F11159" s="45"/>
    </row>
    <row r="11160" spans="4:6" x14ac:dyDescent="0.2">
      <c r="D11160" s="50"/>
      <c r="E11160" s="73"/>
      <c r="F11160" s="45"/>
    </row>
    <row r="11161" spans="4:6" x14ac:dyDescent="0.2">
      <c r="D11161" s="50"/>
      <c r="E11161" s="73"/>
      <c r="F11161" s="45"/>
    </row>
    <row r="11162" spans="4:6" x14ac:dyDescent="0.2">
      <c r="D11162" s="50"/>
      <c r="E11162" s="73"/>
      <c r="F11162" s="45"/>
    </row>
    <row r="11163" spans="4:6" x14ac:dyDescent="0.2">
      <c r="D11163" s="50"/>
      <c r="E11163" s="73"/>
      <c r="F11163" s="45"/>
    </row>
    <row r="11164" spans="4:6" x14ac:dyDescent="0.2">
      <c r="D11164" s="50"/>
      <c r="E11164" s="73"/>
      <c r="F11164" s="45"/>
    </row>
    <row r="11165" spans="4:6" x14ac:dyDescent="0.2">
      <c r="D11165" s="50"/>
      <c r="E11165" s="73"/>
      <c r="F11165" s="45"/>
    </row>
    <row r="11166" spans="4:6" x14ac:dyDescent="0.2">
      <c r="D11166" s="50"/>
      <c r="E11166" s="73"/>
      <c r="F11166" s="45"/>
    </row>
    <row r="11167" spans="4:6" x14ac:dyDescent="0.2">
      <c r="D11167" s="50"/>
      <c r="E11167" s="73"/>
      <c r="F11167" s="45"/>
    </row>
    <row r="11168" spans="4:6" x14ac:dyDescent="0.2">
      <c r="D11168" s="50"/>
      <c r="E11168" s="73"/>
      <c r="F11168" s="45"/>
    </row>
    <row r="11169" spans="4:6" x14ac:dyDescent="0.2">
      <c r="D11169" s="50"/>
      <c r="E11169" s="73"/>
      <c r="F11169" s="45"/>
    </row>
    <row r="11170" spans="4:6" x14ac:dyDescent="0.2">
      <c r="D11170" s="50"/>
      <c r="E11170" s="73"/>
      <c r="F11170" s="45"/>
    </row>
    <row r="11171" spans="4:6" x14ac:dyDescent="0.2">
      <c r="D11171" s="50"/>
      <c r="E11171" s="73"/>
      <c r="F11171" s="45"/>
    </row>
    <row r="11172" spans="4:6" x14ac:dyDescent="0.2">
      <c r="D11172" s="50"/>
      <c r="E11172" s="73"/>
      <c r="F11172" s="45"/>
    </row>
    <row r="11173" spans="4:6" x14ac:dyDescent="0.2">
      <c r="D11173" s="50"/>
      <c r="E11173" s="73"/>
      <c r="F11173" s="45"/>
    </row>
    <row r="11174" spans="4:6" x14ac:dyDescent="0.2">
      <c r="D11174" s="50"/>
      <c r="E11174" s="73"/>
      <c r="F11174" s="45"/>
    </row>
    <row r="11175" spans="4:6" x14ac:dyDescent="0.2">
      <c r="D11175" s="50"/>
      <c r="E11175" s="73"/>
      <c r="F11175" s="45"/>
    </row>
    <row r="11176" spans="4:6" x14ac:dyDescent="0.2">
      <c r="D11176" s="50"/>
      <c r="E11176" s="73"/>
      <c r="F11176" s="45"/>
    </row>
    <row r="11177" spans="4:6" x14ac:dyDescent="0.2">
      <c r="D11177" s="50"/>
      <c r="E11177" s="73"/>
      <c r="F11177" s="45"/>
    </row>
    <row r="11178" spans="4:6" x14ac:dyDescent="0.2">
      <c r="D11178" s="50"/>
      <c r="E11178" s="73"/>
      <c r="F11178" s="45"/>
    </row>
    <row r="11179" spans="4:6" x14ac:dyDescent="0.2">
      <c r="D11179" s="50"/>
      <c r="E11179" s="73"/>
      <c r="F11179" s="45"/>
    </row>
    <row r="11180" spans="4:6" x14ac:dyDescent="0.2">
      <c r="D11180" s="50"/>
      <c r="E11180" s="73"/>
      <c r="F11180" s="45"/>
    </row>
    <row r="11181" spans="4:6" x14ac:dyDescent="0.2">
      <c r="D11181" s="50"/>
      <c r="E11181" s="73"/>
      <c r="F11181" s="45"/>
    </row>
    <row r="11182" spans="4:6" x14ac:dyDescent="0.2">
      <c r="D11182" s="50"/>
      <c r="E11182" s="73"/>
      <c r="F11182" s="45"/>
    </row>
    <row r="11183" spans="4:6" x14ac:dyDescent="0.2">
      <c r="D11183" s="50"/>
      <c r="E11183" s="73"/>
      <c r="F11183" s="45"/>
    </row>
    <row r="11184" spans="4:6" x14ac:dyDescent="0.2">
      <c r="D11184" s="50"/>
      <c r="E11184" s="73"/>
      <c r="F11184" s="45"/>
    </row>
    <row r="11185" spans="4:6" x14ac:dyDescent="0.2">
      <c r="D11185" s="50"/>
      <c r="E11185" s="73"/>
      <c r="F11185" s="45"/>
    </row>
    <row r="11186" spans="4:6" x14ac:dyDescent="0.2">
      <c r="D11186" s="50"/>
      <c r="E11186" s="73"/>
      <c r="F11186" s="45"/>
    </row>
    <row r="11187" spans="4:6" x14ac:dyDescent="0.2">
      <c r="D11187" s="50"/>
      <c r="E11187" s="73"/>
      <c r="F11187" s="45"/>
    </row>
    <row r="11188" spans="4:6" x14ac:dyDescent="0.2">
      <c r="D11188" s="50"/>
      <c r="E11188" s="73"/>
      <c r="F11188" s="45"/>
    </row>
    <row r="11189" spans="4:6" x14ac:dyDescent="0.2">
      <c r="D11189" s="50"/>
      <c r="E11189" s="73"/>
      <c r="F11189" s="45"/>
    </row>
    <row r="11190" spans="4:6" x14ac:dyDescent="0.2">
      <c r="D11190" s="50"/>
      <c r="E11190" s="73"/>
      <c r="F11190" s="45"/>
    </row>
    <row r="11191" spans="4:6" x14ac:dyDescent="0.2">
      <c r="D11191" s="50"/>
      <c r="E11191" s="73"/>
      <c r="F11191" s="45"/>
    </row>
    <row r="11192" spans="4:6" x14ac:dyDescent="0.2">
      <c r="D11192" s="50"/>
      <c r="E11192" s="73"/>
      <c r="F11192" s="45"/>
    </row>
    <row r="11193" spans="4:6" x14ac:dyDescent="0.2">
      <c r="D11193" s="50"/>
      <c r="E11193" s="73"/>
      <c r="F11193" s="45"/>
    </row>
    <row r="11194" spans="4:6" x14ac:dyDescent="0.2">
      <c r="D11194" s="50"/>
      <c r="E11194" s="73"/>
      <c r="F11194" s="45"/>
    </row>
    <row r="11195" spans="4:6" x14ac:dyDescent="0.2">
      <c r="D11195" s="50"/>
      <c r="E11195" s="73"/>
      <c r="F11195" s="45"/>
    </row>
    <row r="11196" spans="4:6" x14ac:dyDescent="0.2">
      <c r="D11196" s="50"/>
      <c r="E11196" s="73"/>
      <c r="F11196" s="45"/>
    </row>
    <row r="11197" spans="4:6" x14ac:dyDescent="0.2">
      <c r="D11197" s="50"/>
      <c r="E11197" s="73"/>
      <c r="F11197" s="45"/>
    </row>
    <row r="11198" spans="4:6" x14ac:dyDescent="0.2">
      <c r="D11198" s="50"/>
      <c r="E11198" s="73"/>
      <c r="F11198" s="45"/>
    </row>
    <row r="11199" spans="4:6" x14ac:dyDescent="0.2">
      <c r="D11199" s="50"/>
      <c r="E11199" s="73"/>
      <c r="F11199" s="45"/>
    </row>
    <row r="11200" spans="4:6" x14ac:dyDescent="0.2">
      <c r="D11200" s="50"/>
      <c r="E11200" s="73"/>
      <c r="F11200" s="45"/>
    </row>
    <row r="11201" spans="4:6" x14ac:dyDescent="0.2">
      <c r="D11201" s="50"/>
      <c r="E11201" s="73"/>
      <c r="F11201" s="45"/>
    </row>
    <row r="11202" spans="4:6" x14ac:dyDescent="0.2">
      <c r="D11202" s="50"/>
      <c r="E11202" s="73"/>
      <c r="F11202" s="45"/>
    </row>
    <row r="11203" spans="4:6" x14ac:dyDescent="0.2">
      <c r="D11203" s="50"/>
      <c r="E11203" s="73"/>
      <c r="F11203" s="45"/>
    </row>
    <row r="11204" spans="4:6" x14ac:dyDescent="0.2">
      <c r="D11204" s="50"/>
      <c r="E11204" s="73"/>
      <c r="F11204" s="45"/>
    </row>
    <row r="11205" spans="4:6" x14ac:dyDescent="0.2">
      <c r="D11205" s="50"/>
      <c r="E11205" s="73"/>
      <c r="F11205" s="45"/>
    </row>
    <row r="11206" spans="4:6" x14ac:dyDescent="0.2">
      <c r="D11206" s="50"/>
      <c r="E11206" s="73"/>
      <c r="F11206" s="45"/>
    </row>
    <row r="11207" spans="4:6" x14ac:dyDescent="0.2">
      <c r="D11207" s="50"/>
      <c r="E11207" s="73"/>
      <c r="F11207" s="45"/>
    </row>
    <row r="11208" spans="4:6" x14ac:dyDescent="0.2">
      <c r="D11208" s="50"/>
      <c r="E11208" s="73"/>
      <c r="F11208" s="45"/>
    </row>
    <row r="11209" spans="4:6" x14ac:dyDescent="0.2">
      <c r="D11209" s="50"/>
      <c r="E11209" s="73"/>
      <c r="F11209" s="45"/>
    </row>
    <row r="11210" spans="4:6" x14ac:dyDescent="0.2">
      <c r="D11210" s="50"/>
      <c r="E11210" s="73"/>
      <c r="F11210" s="45"/>
    </row>
    <row r="11211" spans="4:6" x14ac:dyDescent="0.2">
      <c r="D11211" s="50"/>
      <c r="E11211" s="73"/>
      <c r="F11211" s="45"/>
    </row>
    <row r="11212" spans="4:6" x14ac:dyDescent="0.2">
      <c r="D11212" s="50"/>
      <c r="E11212" s="73"/>
      <c r="F11212" s="45"/>
    </row>
    <row r="11213" spans="4:6" x14ac:dyDescent="0.2">
      <c r="D11213" s="50"/>
      <c r="E11213" s="73"/>
      <c r="F11213" s="45"/>
    </row>
    <row r="11214" spans="4:6" x14ac:dyDescent="0.2">
      <c r="D11214" s="50"/>
      <c r="E11214" s="73"/>
      <c r="F11214" s="45"/>
    </row>
    <row r="11215" spans="4:6" x14ac:dyDescent="0.2">
      <c r="D11215" s="50"/>
      <c r="E11215" s="73"/>
      <c r="F11215" s="45"/>
    </row>
    <row r="11216" spans="4:6" x14ac:dyDescent="0.2">
      <c r="D11216" s="50"/>
      <c r="E11216" s="73"/>
      <c r="F11216" s="45"/>
    </row>
    <row r="11217" spans="4:6" x14ac:dyDescent="0.2">
      <c r="D11217" s="50"/>
      <c r="E11217" s="73"/>
      <c r="F11217" s="45"/>
    </row>
    <row r="11218" spans="4:6" x14ac:dyDescent="0.2">
      <c r="D11218" s="50"/>
      <c r="E11218" s="73"/>
      <c r="F11218" s="45"/>
    </row>
    <row r="11219" spans="4:6" x14ac:dyDescent="0.2">
      <c r="D11219" s="50"/>
      <c r="E11219" s="73"/>
      <c r="F11219" s="45"/>
    </row>
    <row r="11220" spans="4:6" x14ac:dyDescent="0.2">
      <c r="D11220" s="50"/>
      <c r="E11220" s="73"/>
      <c r="F11220" s="45"/>
    </row>
    <row r="11221" spans="4:6" x14ac:dyDescent="0.2">
      <c r="D11221" s="50"/>
      <c r="E11221" s="73"/>
      <c r="F11221" s="45"/>
    </row>
    <row r="11222" spans="4:6" x14ac:dyDescent="0.2">
      <c r="D11222" s="50"/>
      <c r="E11222" s="73"/>
      <c r="F11222" s="45"/>
    </row>
    <row r="11223" spans="4:6" x14ac:dyDescent="0.2">
      <c r="D11223" s="50"/>
      <c r="E11223" s="73"/>
      <c r="F11223" s="45"/>
    </row>
    <row r="11224" spans="4:6" x14ac:dyDescent="0.2">
      <c r="D11224" s="50"/>
      <c r="E11224" s="73"/>
      <c r="F11224" s="45"/>
    </row>
    <row r="11225" spans="4:6" x14ac:dyDescent="0.2">
      <c r="D11225" s="50"/>
      <c r="E11225" s="73"/>
      <c r="F11225" s="45"/>
    </row>
    <row r="11226" spans="4:6" x14ac:dyDescent="0.2">
      <c r="D11226" s="50"/>
      <c r="E11226" s="73"/>
      <c r="F11226" s="45"/>
    </row>
    <row r="11227" spans="4:6" x14ac:dyDescent="0.2">
      <c r="D11227" s="50"/>
      <c r="E11227" s="73"/>
      <c r="F11227" s="45"/>
    </row>
    <row r="11228" spans="4:6" x14ac:dyDescent="0.2">
      <c r="D11228" s="50"/>
      <c r="E11228" s="73"/>
      <c r="F11228" s="45"/>
    </row>
    <row r="11229" spans="4:6" x14ac:dyDescent="0.2">
      <c r="D11229" s="50"/>
      <c r="E11229" s="73"/>
      <c r="F11229" s="45"/>
    </row>
    <row r="11230" spans="4:6" x14ac:dyDescent="0.2">
      <c r="D11230" s="50"/>
      <c r="E11230" s="73"/>
      <c r="F11230" s="45"/>
    </row>
    <row r="11231" spans="4:6" x14ac:dyDescent="0.2">
      <c r="D11231" s="50"/>
      <c r="E11231" s="73"/>
      <c r="F11231" s="45"/>
    </row>
    <row r="11232" spans="4:6" x14ac:dyDescent="0.2">
      <c r="D11232" s="50"/>
      <c r="E11232" s="73"/>
      <c r="F11232" s="45"/>
    </row>
    <row r="11233" spans="4:6" x14ac:dyDescent="0.2">
      <c r="D11233" s="50"/>
      <c r="E11233" s="73"/>
      <c r="F11233" s="45"/>
    </row>
    <row r="11234" spans="4:6" x14ac:dyDescent="0.2">
      <c r="D11234" s="50"/>
      <c r="E11234" s="73"/>
      <c r="F11234" s="45"/>
    </row>
    <row r="11235" spans="4:6" x14ac:dyDescent="0.2">
      <c r="D11235" s="50"/>
      <c r="E11235" s="73"/>
      <c r="F11235" s="45"/>
    </row>
    <row r="11236" spans="4:6" x14ac:dyDescent="0.2">
      <c r="D11236" s="50"/>
      <c r="E11236" s="73"/>
      <c r="F11236" s="45"/>
    </row>
    <row r="11237" spans="4:6" x14ac:dyDescent="0.2">
      <c r="D11237" s="50"/>
      <c r="E11237" s="73"/>
      <c r="F11237" s="45"/>
    </row>
    <row r="11238" spans="4:6" x14ac:dyDescent="0.2">
      <c r="D11238" s="50"/>
      <c r="E11238" s="73"/>
      <c r="F11238" s="45"/>
    </row>
    <row r="11239" spans="4:6" x14ac:dyDescent="0.2">
      <c r="D11239" s="50"/>
      <c r="E11239" s="73"/>
      <c r="F11239" s="45"/>
    </row>
    <row r="11240" spans="4:6" x14ac:dyDescent="0.2">
      <c r="D11240" s="50"/>
      <c r="E11240" s="73"/>
      <c r="F11240" s="45"/>
    </row>
    <row r="11241" spans="4:6" x14ac:dyDescent="0.2">
      <c r="D11241" s="50"/>
      <c r="E11241" s="73"/>
      <c r="F11241" s="45"/>
    </row>
    <row r="11242" spans="4:6" x14ac:dyDescent="0.2">
      <c r="D11242" s="50"/>
      <c r="E11242" s="73"/>
      <c r="F11242" s="45"/>
    </row>
    <row r="11243" spans="4:6" x14ac:dyDescent="0.2">
      <c r="D11243" s="50"/>
      <c r="E11243" s="73"/>
      <c r="F11243" s="45"/>
    </row>
    <row r="11244" spans="4:6" x14ac:dyDescent="0.2">
      <c r="D11244" s="50"/>
      <c r="E11244" s="73"/>
      <c r="F11244" s="45"/>
    </row>
    <row r="11245" spans="4:6" x14ac:dyDescent="0.2">
      <c r="D11245" s="50"/>
      <c r="E11245" s="73"/>
      <c r="F11245" s="45"/>
    </row>
    <row r="11246" spans="4:6" x14ac:dyDescent="0.2">
      <c r="D11246" s="50"/>
      <c r="E11246" s="73"/>
      <c r="F11246" s="45"/>
    </row>
    <row r="11247" spans="4:6" x14ac:dyDescent="0.2">
      <c r="D11247" s="50"/>
      <c r="E11247" s="73"/>
      <c r="F11247" s="45"/>
    </row>
    <row r="11248" spans="4:6" x14ac:dyDescent="0.2">
      <c r="D11248" s="50"/>
      <c r="E11248" s="73"/>
      <c r="F11248" s="45"/>
    </row>
    <row r="11249" spans="4:6" x14ac:dyDescent="0.2">
      <c r="D11249" s="50"/>
      <c r="E11249" s="73"/>
      <c r="F11249" s="45"/>
    </row>
    <row r="11250" spans="4:6" x14ac:dyDescent="0.2">
      <c r="D11250" s="50"/>
      <c r="E11250" s="73"/>
      <c r="F11250" s="45"/>
    </row>
    <row r="11251" spans="4:6" x14ac:dyDescent="0.2">
      <c r="D11251" s="50"/>
      <c r="E11251" s="73"/>
      <c r="F11251" s="45"/>
    </row>
    <row r="11252" spans="4:6" x14ac:dyDescent="0.2">
      <c r="D11252" s="50"/>
      <c r="E11252" s="73"/>
      <c r="F11252" s="45"/>
    </row>
    <row r="11253" spans="4:6" x14ac:dyDescent="0.2">
      <c r="D11253" s="50"/>
      <c r="E11253" s="73"/>
      <c r="F11253" s="45"/>
    </row>
    <row r="11254" spans="4:6" x14ac:dyDescent="0.2">
      <c r="D11254" s="50"/>
      <c r="E11254" s="73"/>
      <c r="F11254" s="45"/>
    </row>
    <row r="11255" spans="4:6" x14ac:dyDescent="0.2">
      <c r="D11255" s="50"/>
      <c r="E11255" s="73"/>
      <c r="F11255" s="45"/>
    </row>
    <row r="11256" spans="4:6" x14ac:dyDescent="0.2">
      <c r="D11256" s="50"/>
      <c r="E11256" s="73"/>
      <c r="F11256" s="45"/>
    </row>
    <row r="11257" spans="4:6" x14ac:dyDescent="0.2">
      <c r="D11257" s="50"/>
      <c r="E11257" s="73"/>
      <c r="F11257" s="45"/>
    </row>
    <row r="11258" spans="4:6" x14ac:dyDescent="0.2">
      <c r="D11258" s="50"/>
      <c r="E11258" s="73"/>
      <c r="F11258" s="45"/>
    </row>
    <row r="11259" spans="4:6" x14ac:dyDescent="0.2">
      <c r="D11259" s="50"/>
      <c r="E11259" s="73"/>
      <c r="F11259" s="45"/>
    </row>
    <row r="11260" spans="4:6" x14ac:dyDescent="0.2">
      <c r="D11260" s="50"/>
      <c r="E11260" s="73"/>
      <c r="F11260" s="45"/>
    </row>
    <row r="11261" spans="4:6" x14ac:dyDescent="0.2">
      <c r="D11261" s="50"/>
      <c r="E11261" s="73"/>
      <c r="F11261" s="45"/>
    </row>
    <row r="11262" spans="4:6" x14ac:dyDescent="0.2">
      <c r="D11262" s="50"/>
      <c r="E11262" s="73"/>
      <c r="F11262" s="45"/>
    </row>
    <row r="11263" spans="4:6" x14ac:dyDescent="0.2">
      <c r="D11263" s="50"/>
      <c r="E11263" s="73"/>
      <c r="F11263" s="45"/>
    </row>
    <row r="11264" spans="4:6" x14ac:dyDescent="0.2">
      <c r="D11264" s="50"/>
      <c r="E11264" s="73"/>
      <c r="F11264" s="45"/>
    </row>
    <row r="11265" spans="4:6" x14ac:dyDescent="0.2">
      <c r="D11265" s="50"/>
      <c r="E11265" s="73"/>
      <c r="F11265" s="45"/>
    </row>
    <row r="11266" spans="4:6" x14ac:dyDescent="0.2">
      <c r="D11266" s="50"/>
      <c r="E11266" s="73"/>
      <c r="F11266" s="45"/>
    </row>
    <row r="11267" spans="4:6" x14ac:dyDescent="0.2">
      <c r="D11267" s="50"/>
      <c r="E11267" s="73"/>
      <c r="F11267" s="45"/>
    </row>
    <row r="11268" spans="4:6" x14ac:dyDescent="0.2">
      <c r="D11268" s="50"/>
      <c r="E11268" s="73"/>
      <c r="F11268" s="45"/>
    </row>
    <row r="11269" spans="4:6" x14ac:dyDescent="0.2">
      <c r="D11269" s="50"/>
      <c r="E11269" s="73"/>
      <c r="F11269" s="45"/>
    </row>
    <row r="11270" spans="4:6" x14ac:dyDescent="0.2">
      <c r="D11270" s="50"/>
      <c r="E11270" s="73"/>
      <c r="F11270" s="45"/>
    </row>
    <row r="11271" spans="4:6" x14ac:dyDescent="0.2">
      <c r="D11271" s="50"/>
      <c r="E11271" s="73"/>
      <c r="F11271" s="45"/>
    </row>
    <row r="11272" spans="4:6" x14ac:dyDescent="0.2">
      <c r="D11272" s="50"/>
      <c r="E11272" s="73"/>
      <c r="F11272" s="45"/>
    </row>
    <row r="11273" spans="4:6" x14ac:dyDescent="0.2">
      <c r="D11273" s="50"/>
      <c r="E11273" s="73"/>
      <c r="F11273" s="45"/>
    </row>
    <row r="11274" spans="4:6" x14ac:dyDescent="0.2">
      <c r="D11274" s="50"/>
      <c r="E11274" s="73"/>
      <c r="F11274" s="45"/>
    </row>
    <row r="11275" spans="4:6" x14ac:dyDescent="0.2">
      <c r="D11275" s="50"/>
      <c r="E11275" s="73"/>
      <c r="F11275" s="45"/>
    </row>
    <row r="11276" spans="4:6" x14ac:dyDescent="0.2">
      <c r="D11276" s="50"/>
      <c r="E11276" s="73"/>
      <c r="F11276" s="45"/>
    </row>
    <row r="11277" spans="4:6" x14ac:dyDescent="0.2">
      <c r="D11277" s="50"/>
      <c r="E11277" s="73"/>
      <c r="F11277" s="45"/>
    </row>
    <row r="11278" spans="4:6" x14ac:dyDescent="0.2">
      <c r="D11278" s="50"/>
      <c r="E11278" s="73"/>
      <c r="F11278" s="45"/>
    </row>
    <row r="11279" spans="4:6" x14ac:dyDescent="0.2">
      <c r="D11279" s="50"/>
      <c r="E11279" s="73"/>
      <c r="F11279" s="45"/>
    </row>
    <row r="11280" spans="4:6" x14ac:dyDescent="0.2">
      <c r="D11280" s="50"/>
      <c r="E11280" s="73"/>
      <c r="F11280" s="45"/>
    </row>
    <row r="11281" spans="4:6" x14ac:dyDescent="0.2">
      <c r="D11281" s="50"/>
      <c r="E11281" s="73"/>
      <c r="F11281" s="45"/>
    </row>
    <row r="11282" spans="4:6" x14ac:dyDescent="0.2">
      <c r="D11282" s="50"/>
      <c r="E11282" s="73"/>
      <c r="F11282" s="45"/>
    </row>
    <row r="11283" spans="4:6" x14ac:dyDescent="0.2">
      <c r="D11283" s="50"/>
      <c r="E11283" s="73"/>
      <c r="F11283" s="45"/>
    </row>
    <row r="11284" spans="4:6" x14ac:dyDescent="0.2">
      <c r="D11284" s="50"/>
      <c r="E11284" s="73"/>
      <c r="F11284" s="45"/>
    </row>
    <row r="11285" spans="4:6" x14ac:dyDescent="0.2">
      <c r="D11285" s="50"/>
      <c r="E11285" s="73"/>
      <c r="F11285" s="45"/>
    </row>
    <row r="11286" spans="4:6" x14ac:dyDescent="0.2">
      <c r="D11286" s="50"/>
      <c r="E11286" s="73"/>
      <c r="F11286" s="45"/>
    </row>
    <row r="11287" spans="4:6" x14ac:dyDescent="0.2">
      <c r="D11287" s="50"/>
      <c r="E11287" s="73"/>
      <c r="F11287" s="45"/>
    </row>
    <row r="11288" spans="4:6" x14ac:dyDescent="0.2">
      <c r="D11288" s="50"/>
      <c r="E11288" s="73"/>
      <c r="F11288" s="45"/>
    </row>
    <row r="11289" spans="4:6" x14ac:dyDescent="0.2">
      <c r="D11289" s="50"/>
      <c r="E11289" s="73"/>
      <c r="F11289" s="45"/>
    </row>
    <row r="11290" spans="4:6" x14ac:dyDescent="0.2">
      <c r="D11290" s="50"/>
      <c r="E11290" s="73"/>
      <c r="F11290" s="45"/>
    </row>
    <row r="11291" spans="4:6" x14ac:dyDescent="0.2">
      <c r="D11291" s="50"/>
      <c r="E11291" s="73"/>
      <c r="F11291" s="45"/>
    </row>
    <row r="11292" spans="4:6" x14ac:dyDescent="0.2">
      <c r="D11292" s="50"/>
      <c r="E11292" s="73"/>
      <c r="F11292" s="45"/>
    </row>
    <row r="11293" spans="4:6" x14ac:dyDescent="0.2">
      <c r="D11293" s="50"/>
      <c r="E11293" s="73"/>
      <c r="F11293" s="45"/>
    </row>
    <row r="11294" spans="4:6" x14ac:dyDescent="0.2">
      <c r="D11294" s="50"/>
      <c r="E11294" s="73"/>
      <c r="F11294" s="45"/>
    </row>
    <row r="11295" spans="4:6" x14ac:dyDescent="0.2">
      <c r="D11295" s="50"/>
      <c r="E11295" s="73"/>
      <c r="F11295" s="45"/>
    </row>
    <row r="11296" spans="4:6" x14ac:dyDescent="0.2">
      <c r="D11296" s="50"/>
      <c r="E11296" s="73"/>
      <c r="F11296" s="45"/>
    </row>
    <row r="11297" spans="4:6" x14ac:dyDescent="0.2">
      <c r="D11297" s="50"/>
      <c r="E11297" s="73"/>
      <c r="F11297" s="45"/>
    </row>
    <row r="11298" spans="4:6" x14ac:dyDescent="0.2">
      <c r="D11298" s="50"/>
      <c r="E11298" s="73"/>
      <c r="F11298" s="45"/>
    </row>
    <row r="11299" spans="4:6" x14ac:dyDescent="0.2">
      <c r="D11299" s="50"/>
      <c r="E11299" s="73"/>
      <c r="F11299" s="45"/>
    </row>
    <row r="11300" spans="4:6" x14ac:dyDescent="0.2">
      <c r="D11300" s="50"/>
      <c r="E11300" s="73"/>
      <c r="F11300" s="45"/>
    </row>
    <row r="11301" spans="4:6" x14ac:dyDescent="0.2">
      <c r="D11301" s="50"/>
      <c r="E11301" s="73"/>
      <c r="F11301" s="45"/>
    </row>
    <row r="11302" spans="4:6" x14ac:dyDescent="0.2">
      <c r="D11302" s="50"/>
      <c r="E11302" s="73"/>
      <c r="F11302" s="45"/>
    </row>
    <row r="11303" spans="4:6" x14ac:dyDescent="0.2">
      <c r="D11303" s="50"/>
      <c r="E11303" s="73"/>
      <c r="F11303" s="45"/>
    </row>
    <row r="11304" spans="4:6" x14ac:dyDescent="0.2">
      <c r="D11304" s="50"/>
      <c r="E11304" s="73"/>
      <c r="F11304" s="45"/>
    </row>
    <row r="11305" spans="4:6" x14ac:dyDescent="0.2">
      <c r="D11305" s="50"/>
      <c r="E11305" s="73"/>
      <c r="F11305" s="45"/>
    </row>
    <row r="11306" spans="4:6" x14ac:dyDescent="0.2">
      <c r="D11306" s="50"/>
      <c r="E11306" s="73"/>
      <c r="F11306" s="45"/>
    </row>
    <row r="11307" spans="4:6" x14ac:dyDescent="0.2">
      <c r="D11307" s="50"/>
      <c r="E11307" s="73"/>
      <c r="F11307" s="45"/>
    </row>
    <row r="11308" spans="4:6" x14ac:dyDescent="0.2">
      <c r="D11308" s="50"/>
      <c r="E11308" s="73"/>
      <c r="F11308" s="45"/>
    </row>
    <row r="11309" spans="4:6" x14ac:dyDescent="0.2">
      <c r="D11309" s="50"/>
      <c r="E11309" s="73"/>
      <c r="F11309" s="45"/>
    </row>
    <row r="11310" spans="4:6" x14ac:dyDescent="0.2">
      <c r="D11310" s="50"/>
      <c r="E11310" s="73"/>
      <c r="F11310" s="45"/>
    </row>
    <row r="11311" spans="4:6" x14ac:dyDescent="0.2">
      <c r="D11311" s="50"/>
      <c r="E11311" s="73"/>
      <c r="F11311" s="45"/>
    </row>
    <row r="11312" spans="4:6" x14ac:dyDescent="0.2">
      <c r="D11312" s="50"/>
      <c r="E11312" s="73"/>
      <c r="F11312" s="45"/>
    </row>
    <row r="11313" spans="4:6" x14ac:dyDescent="0.2">
      <c r="D11313" s="50"/>
      <c r="E11313" s="73"/>
      <c r="F11313" s="45"/>
    </row>
    <row r="11314" spans="4:6" x14ac:dyDescent="0.2">
      <c r="D11314" s="50"/>
      <c r="E11314" s="73"/>
      <c r="F11314" s="45"/>
    </row>
    <row r="11315" spans="4:6" x14ac:dyDescent="0.2">
      <c r="D11315" s="50"/>
      <c r="E11315" s="73"/>
      <c r="F11315" s="45"/>
    </row>
    <row r="11316" spans="4:6" x14ac:dyDescent="0.2">
      <c r="D11316" s="50"/>
      <c r="E11316" s="73"/>
      <c r="F11316" s="45"/>
    </row>
    <row r="11317" spans="4:6" x14ac:dyDescent="0.2">
      <c r="D11317" s="50"/>
      <c r="E11317" s="73"/>
      <c r="F11317" s="45"/>
    </row>
    <row r="11318" spans="4:6" x14ac:dyDescent="0.2">
      <c r="D11318" s="50"/>
      <c r="E11318" s="73"/>
      <c r="F11318" s="45"/>
    </row>
    <row r="11319" spans="4:6" x14ac:dyDescent="0.2">
      <c r="D11319" s="50"/>
      <c r="E11319" s="73"/>
      <c r="F11319" s="45"/>
    </row>
    <row r="11320" spans="4:6" x14ac:dyDescent="0.2">
      <c r="D11320" s="50"/>
      <c r="E11320" s="73"/>
      <c r="F11320" s="45"/>
    </row>
    <row r="11321" spans="4:6" x14ac:dyDescent="0.2">
      <c r="D11321" s="50"/>
      <c r="E11321" s="73"/>
      <c r="F11321" s="45"/>
    </row>
    <row r="11322" spans="4:6" x14ac:dyDescent="0.2">
      <c r="D11322" s="50"/>
      <c r="E11322" s="73"/>
      <c r="F11322" s="45"/>
    </row>
    <row r="11323" spans="4:6" x14ac:dyDescent="0.2">
      <c r="D11323" s="50"/>
      <c r="E11323" s="73"/>
      <c r="F11323" s="45"/>
    </row>
    <row r="11324" spans="4:6" x14ac:dyDescent="0.2">
      <c r="D11324" s="50"/>
      <c r="E11324" s="73"/>
      <c r="F11324" s="45"/>
    </row>
    <row r="11325" spans="4:6" x14ac:dyDescent="0.2">
      <c r="D11325" s="50"/>
      <c r="E11325" s="73"/>
      <c r="F11325" s="45"/>
    </row>
    <row r="11326" spans="4:6" x14ac:dyDescent="0.2">
      <c r="D11326" s="50"/>
      <c r="E11326" s="73"/>
      <c r="F11326" s="45"/>
    </row>
    <row r="11327" spans="4:6" x14ac:dyDescent="0.2">
      <c r="D11327" s="50"/>
      <c r="E11327" s="73"/>
      <c r="F11327" s="45"/>
    </row>
    <row r="11328" spans="4:6" x14ac:dyDescent="0.2">
      <c r="D11328" s="50"/>
      <c r="E11328" s="73"/>
      <c r="F11328" s="45"/>
    </row>
    <row r="11329" spans="4:6" x14ac:dyDescent="0.2">
      <c r="D11329" s="50"/>
      <c r="E11329" s="73"/>
      <c r="F11329" s="45"/>
    </row>
    <row r="11330" spans="4:6" x14ac:dyDescent="0.2">
      <c r="D11330" s="50"/>
      <c r="E11330" s="73"/>
      <c r="F11330" s="45"/>
    </row>
    <row r="11331" spans="4:6" x14ac:dyDescent="0.2">
      <c r="D11331" s="50"/>
      <c r="E11331" s="73"/>
      <c r="F11331" s="45"/>
    </row>
    <row r="11332" spans="4:6" x14ac:dyDescent="0.2">
      <c r="D11332" s="50"/>
      <c r="E11332" s="73"/>
      <c r="F11332" s="45"/>
    </row>
    <row r="11333" spans="4:6" x14ac:dyDescent="0.2">
      <c r="D11333" s="50"/>
      <c r="E11333" s="73"/>
      <c r="F11333" s="45"/>
    </row>
    <row r="11334" spans="4:6" x14ac:dyDescent="0.2">
      <c r="D11334" s="50"/>
      <c r="E11334" s="73"/>
      <c r="F11334" s="45"/>
    </row>
    <row r="11335" spans="4:6" x14ac:dyDescent="0.2">
      <c r="D11335" s="50"/>
      <c r="E11335" s="73"/>
      <c r="F11335" s="45"/>
    </row>
    <row r="11336" spans="4:6" x14ac:dyDescent="0.2">
      <c r="D11336" s="50"/>
      <c r="E11336" s="73"/>
      <c r="F11336" s="45"/>
    </row>
    <row r="11337" spans="4:6" x14ac:dyDescent="0.2">
      <c r="D11337" s="50"/>
      <c r="E11337" s="73"/>
      <c r="F11337" s="45"/>
    </row>
    <row r="11338" spans="4:6" x14ac:dyDescent="0.2">
      <c r="D11338" s="50"/>
      <c r="E11338" s="73"/>
      <c r="F11338" s="45"/>
    </row>
    <row r="11339" spans="4:6" x14ac:dyDescent="0.2">
      <c r="D11339" s="50"/>
      <c r="E11339" s="73"/>
      <c r="F11339" s="45"/>
    </row>
    <row r="11340" spans="4:6" x14ac:dyDescent="0.2">
      <c r="D11340" s="50"/>
      <c r="E11340" s="73"/>
      <c r="F11340" s="45"/>
    </row>
    <row r="11341" spans="4:6" x14ac:dyDescent="0.2">
      <c r="D11341" s="50"/>
      <c r="E11341" s="73"/>
      <c r="F11341" s="45"/>
    </row>
    <row r="11342" spans="4:6" x14ac:dyDescent="0.2">
      <c r="D11342" s="50"/>
      <c r="E11342" s="73"/>
      <c r="F11342" s="45"/>
    </row>
    <row r="11343" spans="4:6" x14ac:dyDescent="0.2">
      <c r="D11343" s="50"/>
      <c r="E11343" s="73"/>
      <c r="F11343" s="45"/>
    </row>
    <row r="11344" spans="4:6" x14ac:dyDescent="0.2">
      <c r="D11344" s="50"/>
      <c r="E11344" s="73"/>
      <c r="F11344" s="45"/>
    </row>
    <row r="11345" spans="4:6" x14ac:dyDescent="0.2">
      <c r="D11345" s="50"/>
      <c r="E11345" s="73"/>
      <c r="F11345" s="45"/>
    </row>
    <row r="11346" spans="4:6" x14ac:dyDescent="0.2">
      <c r="D11346" s="50"/>
      <c r="E11346" s="73"/>
      <c r="F11346" s="45"/>
    </row>
    <row r="11347" spans="4:6" x14ac:dyDescent="0.2">
      <c r="D11347" s="50"/>
      <c r="E11347" s="73"/>
      <c r="F11347" s="45"/>
    </row>
    <row r="11348" spans="4:6" x14ac:dyDescent="0.2">
      <c r="D11348" s="50"/>
      <c r="E11348" s="73"/>
      <c r="F11348" s="45"/>
    </row>
    <row r="11349" spans="4:6" x14ac:dyDescent="0.2">
      <c r="D11349" s="50"/>
      <c r="E11349" s="73"/>
      <c r="F11349" s="45"/>
    </row>
    <row r="11350" spans="4:6" x14ac:dyDescent="0.2">
      <c r="D11350" s="50"/>
      <c r="E11350" s="73"/>
      <c r="F11350" s="45"/>
    </row>
    <row r="11351" spans="4:6" x14ac:dyDescent="0.2">
      <c r="D11351" s="50"/>
      <c r="E11351" s="73"/>
      <c r="F11351" s="45"/>
    </row>
    <row r="11352" spans="4:6" x14ac:dyDescent="0.2">
      <c r="D11352" s="50"/>
      <c r="E11352" s="73"/>
      <c r="F11352" s="45"/>
    </row>
    <row r="11353" spans="4:6" x14ac:dyDescent="0.2">
      <c r="D11353" s="50"/>
      <c r="E11353" s="73"/>
      <c r="F11353" s="45"/>
    </row>
    <row r="11354" spans="4:6" x14ac:dyDescent="0.2">
      <c r="D11354" s="50"/>
      <c r="E11354" s="73"/>
      <c r="F11354" s="45"/>
    </row>
    <row r="11355" spans="4:6" x14ac:dyDescent="0.2">
      <c r="D11355" s="50"/>
      <c r="E11355" s="73"/>
      <c r="F11355" s="45"/>
    </row>
    <row r="11356" spans="4:6" x14ac:dyDescent="0.2">
      <c r="D11356" s="50"/>
      <c r="E11356" s="73"/>
      <c r="F11356" s="45"/>
    </row>
    <row r="11357" spans="4:6" x14ac:dyDescent="0.2">
      <c r="D11357" s="50"/>
      <c r="E11357" s="73"/>
      <c r="F11357" s="45"/>
    </row>
    <row r="11358" spans="4:6" x14ac:dyDescent="0.2">
      <c r="D11358" s="50"/>
      <c r="E11358" s="73"/>
      <c r="F11358" s="45"/>
    </row>
    <row r="11359" spans="4:6" x14ac:dyDescent="0.2">
      <c r="D11359" s="50"/>
      <c r="E11359" s="73"/>
      <c r="F11359" s="45"/>
    </row>
    <row r="11360" spans="4:6" x14ac:dyDescent="0.2">
      <c r="D11360" s="50"/>
      <c r="E11360" s="73"/>
      <c r="F11360" s="45"/>
    </row>
    <row r="11361" spans="4:6" x14ac:dyDescent="0.2">
      <c r="D11361" s="50"/>
      <c r="E11361" s="73"/>
      <c r="F11361" s="45"/>
    </row>
    <row r="11362" spans="4:6" x14ac:dyDescent="0.2">
      <c r="D11362" s="50"/>
      <c r="E11362" s="73"/>
      <c r="F11362" s="45"/>
    </row>
    <row r="11363" spans="4:6" x14ac:dyDescent="0.2">
      <c r="D11363" s="50"/>
      <c r="E11363" s="73"/>
      <c r="F11363" s="45"/>
    </row>
    <row r="11364" spans="4:6" x14ac:dyDescent="0.2">
      <c r="D11364" s="50"/>
      <c r="E11364" s="73"/>
      <c r="F11364" s="45"/>
    </row>
    <row r="11365" spans="4:6" x14ac:dyDescent="0.2">
      <c r="D11365" s="50"/>
      <c r="E11365" s="73"/>
      <c r="F11365" s="45"/>
    </row>
    <row r="11366" spans="4:6" x14ac:dyDescent="0.2">
      <c r="D11366" s="50"/>
      <c r="E11366" s="73"/>
      <c r="F11366" s="45"/>
    </row>
    <row r="11367" spans="4:6" x14ac:dyDescent="0.2">
      <c r="D11367" s="50"/>
      <c r="E11367" s="73"/>
      <c r="F11367" s="45"/>
    </row>
    <row r="11368" spans="4:6" x14ac:dyDescent="0.2">
      <c r="D11368" s="50"/>
      <c r="E11368" s="73"/>
      <c r="F11368" s="45"/>
    </row>
    <row r="11369" spans="4:6" x14ac:dyDescent="0.2">
      <c r="D11369" s="50"/>
      <c r="E11369" s="73"/>
      <c r="F11369" s="45"/>
    </row>
    <row r="11370" spans="4:6" x14ac:dyDescent="0.2">
      <c r="D11370" s="50"/>
      <c r="E11370" s="73"/>
      <c r="F11370" s="45"/>
    </row>
    <row r="11371" spans="4:6" x14ac:dyDescent="0.2">
      <c r="D11371" s="50"/>
      <c r="E11371" s="73"/>
      <c r="F11371" s="45"/>
    </row>
    <row r="11372" spans="4:6" x14ac:dyDescent="0.2">
      <c r="D11372" s="50"/>
      <c r="E11372" s="73"/>
      <c r="F11372" s="45"/>
    </row>
    <row r="11373" spans="4:6" x14ac:dyDescent="0.2">
      <c r="D11373" s="50"/>
      <c r="E11373" s="73"/>
      <c r="F11373" s="45"/>
    </row>
    <row r="11374" spans="4:6" x14ac:dyDescent="0.2">
      <c r="D11374" s="50"/>
      <c r="E11374" s="73"/>
      <c r="F11374" s="45"/>
    </row>
    <row r="11375" spans="4:6" x14ac:dyDescent="0.2">
      <c r="D11375" s="50"/>
      <c r="E11375" s="73"/>
      <c r="F11375" s="45"/>
    </row>
    <row r="11376" spans="4:6" x14ac:dyDescent="0.2">
      <c r="D11376" s="50"/>
      <c r="E11376" s="73"/>
      <c r="F11376" s="45"/>
    </row>
    <row r="11377" spans="4:6" x14ac:dyDescent="0.2">
      <c r="D11377" s="50"/>
      <c r="E11377" s="73"/>
      <c r="F11377" s="45"/>
    </row>
    <row r="11378" spans="4:6" x14ac:dyDescent="0.2">
      <c r="D11378" s="50"/>
      <c r="E11378" s="73"/>
      <c r="F11378" s="45"/>
    </row>
    <row r="11379" spans="4:6" x14ac:dyDescent="0.2">
      <c r="D11379" s="50"/>
      <c r="E11379" s="73"/>
      <c r="F11379" s="45"/>
    </row>
    <row r="11380" spans="4:6" x14ac:dyDescent="0.2">
      <c r="D11380" s="50"/>
      <c r="E11380" s="73"/>
      <c r="F11380" s="45"/>
    </row>
    <row r="11381" spans="4:6" x14ac:dyDescent="0.2">
      <c r="D11381" s="50"/>
      <c r="E11381" s="73"/>
      <c r="F11381" s="45"/>
    </row>
    <row r="11382" spans="4:6" x14ac:dyDescent="0.2">
      <c r="D11382" s="50"/>
      <c r="E11382" s="73"/>
      <c r="F11382" s="45"/>
    </row>
    <row r="11383" spans="4:6" x14ac:dyDescent="0.2">
      <c r="D11383" s="50"/>
      <c r="E11383" s="73"/>
      <c r="F11383" s="45"/>
    </row>
    <row r="11384" spans="4:6" x14ac:dyDescent="0.2">
      <c r="D11384" s="50"/>
      <c r="E11384" s="73"/>
      <c r="F11384" s="45"/>
    </row>
    <row r="11385" spans="4:6" x14ac:dyDescent="0.2">
      <c r="D11385" s="50"/>
      <c r="E11385" s="73"/>
      <c r="F11385" s="45"/>
    </row>
    <row r="11386" spans="4:6" x14ac:dyDescent="0.2">
      <c r="D11386" s="50"/>
      <c r="E11386" s="73"/>
      <c r="F11386" s="45"/>
    </row>
    <row r="11387" spans="4:6" x14ac:dyDescent="0.2">
      <c r="D11387" s="50"/>
      <c r="E11387" s="73"/>
      <c r="F11387" s="45"/>
    </row>
    <row r="11388" spans="4:6" x14ac:dyDescent="0.2">
      <c r="D11388" s="50"/>
      <c r="E11388" s="73"/>
      <c r="F11388" s="45"/>
    </row>
    <row r="11389" spans="4:6" x14ac:dyDescent="0.2">
      <c r="D11389" s="50"/>
      <c r="E11389" s="73"/>
      <c r="F11389" s="45"/>
    </row>
    <row r="11390" spans="4:6" x14ac:dyDescent="0.2">
      <c r="D11390" s="50"/>
      <c r="E11390" s="73"/>
      <c r="F11390" s="45"/>
    </row>
    <row r="11391" spans="4:6" x14ac:dyDescent="0.2">
      <c r="D11391" s="50"/>
      <c r="E11391" s="73"/>
      <c r="F11391" s="45"/>
    </row>
    <row r="11392" spans="4:6" x14ac:dyDescent="0.2">
      <c r="D11392" s="50"/>
      <c r="E11392" s="73"/>
      <c r="F11392" s="45"/>
    </row>
    <row r="11393" spans="4:6" x14ac:dyDescent="0.2">
      <c r="D11393" s="50"/>
      <c r="E11393" s="73"/>
      <c r="F11393" s="45"/>
    </row>
    <row r="11394" spans="4:6" x14ac:dyDescent="0.2">
      <c r="D11394" s="50"/>
      <c r="E11394" s="73"/>
      <c r="F11394" s="45"/>
    </row>
    <row r="11395" spans="4:6" x14ac:dyDescent="0.2">
      <c r="D11395" s="50"/>
      <c r="E11395" s="73"/>
      <c r="F11395" s="45"/>
    </row>
    <row r="11396" spans="4:6" x14ac:dyDescent="0.2">
      <c r="D11396" s="50"/>
      <c r="E11396" s="73"/>
      <c r="F11396" s="45"/>
    </row>
    <row r="11397" spans="4:6" x14ac:dyDescent="0.2">
      <c r="D11397" s="50"/>
      <c r="E11397" s="73"/>
      <c r="F11397" s="45"/>
    </row>
    <row r="11398" spans="4:6" x14ac:dyDescent="0.2">
      <c r="D11398" s="50"/>
      <c r="E11398" s="73"/>
      <c r="F11398" s="45"/>
    </row>
    <row r="11399" spans="4:6" x14ac:dyDescent="0.2">
      <c r="D11399" s="50"/>
      <c r="E11399" s="73"/>
      <c r="F11399" s="45"/>
    </row>
    <row r="11400" spans="4:6" x14ac:dyDescent="0.2">
      <c r="D11400" s="50"/>
      <c r="E11400" s="73"/>
      <c r="F11400" s="45"/>
    </row>
    <row r="11401" spans="4:6" x14ac:dyDescent="0.2">
      <c r="D11401" s="50"/>
      <c r="E11401" s="73"/>
      <c r="F11401" s="45"/>
    </row>
    <row r="11402" spans="4:6" x14ac:dyDescent="0.2">
      <c r="D11402" s="50"/>
      <c r="E11402" s="73"/>
      <c r="F11402" s="45"/>
    </row>
    <row r="11403" spans="4:6" x14ac:dyDescent="0.2">
      <c r="D11403" s="50"/>
      <c r="E11403" s="73"/>
      <c r="F11403" s="45"/>
    </row>
    <row r="11404" spans="4:6" x14ac:dyDescent="0.2">
      <c r="D11404" s="50"/>
      <c r="E11404" s="73"/>
      <c r="F11404" s="45"/>
    </row>
    <row r="11405" spans="4:6" x14ac:dyDescent="0.2">
      <c r="D11405" s="50"/>
      <c r="E11405" s="73"/>
      <c r="F11405" s="45"/>
    </row>
    <row r="11406" spans="4:6" x14ac:dyDescent="0.2">
      <c r="D11406" s="50"/>
      <c r="E11406" s="73"/>
      <c r="F11406" s="45"/>
    </row>
    <row r="11407" spans="4:6" x14ac:dyDescent="0.2">
      <c r="D11407" s="50"/>
      <c r="E11407" s="73"/>
      <c r="F11407" s="45"/>
    </row>
    <row r="11408" spans="4:6" x14ac:dyDescent="0.2">
      <c r="D11408" s="50"/>
      <c r="E11408" s="73"/>
      <c r="F11408" s="45"/>
    </row>
    <row r="11409" spans="4:6" x14ac:dyDescent="0.2">
      <c r="D11409" s="50"/>
      <c r="E11409" s="73"/>
      <c r="F11409" s="45"/>
    </row>
    <row r="11410" spans="4:6" x14ac:dyDescent="0.2">
      <c r="D11410" s="50"/>
      <c r="E11410" s="73"/>
      <c r="F11410" s="45"/>
    </row>
    <row r="11411" spans="4:6" x14ac:dyDescent="0.2">
      <c r="D11411" s="50"/>
      <c r="E11411" s="73"/>
      <c r="F11411" s="45"/>
    </row>
    <row r="11412" spans="4:6" x14ac:dyDescent="0.2">
      <c r="D11412" s="50"/>
      <c r="E11412" s="73"/>
      <c r="F11412" s="45"/>
    </row>
    <row r="11413" spans="4:6" x14ac:dyDescent="0.2">
      <c r="D11413" s="50"/>
      <c r="E11413" s="73"/>
      <c r="F11413" s="45"/>
    </row>
    <row r="11414" spans="4:6" x14ac:dyDescent="0.2">
      <c r="D11414" s="50"/>
      <c r="E11414" s="73"/>
      <c r="F11414" s="45"/>
    </row>
    <row r="11415" spans="4:6" x14ac:dyDescent="0.2">
      <c r="D11415" s="50"/>
      <c r="E11415" s="73"/>
      <c r="F11415" s="45"/>
    </row>
    <row r="11416" spans="4:6" x14ac:dyDescent="0.2">
      <c r="D11416" s="50"/>
      <c r="E11416" s="73"/>
      <c r="F11416" s="45"/>
    </row>
    <row r="11417" spans="4:6" x14ac:dyDescent="0.2">
      <c r="D11417" s="50"/>
      <c r="E11417" s="73"/>
      <c r="F11417" s="45"/>
    </row>
    <row r="11418" spans="4:6" x14ac:dyDescent="0.2">
      <c r="D11418" s="50"/>
      <c r="E11418" s="73"/>
      <c r="F11418" s="45"/>
    </row>
    <row r="11419" spans="4:6" x14ac:dyDescent="0.2">
      <c r="D11419" s="50"/>
      <c r="E11419" s="73"/>
      <c r="F11419" s="45"/>
    </row>
    <row r="11420" spans="4:6" x14ac:dyDescent="0.2">
      <c r="D11420" s="50"/>
      <c r="E11420" s="73"/>
      <c r="F11420" s="45"/>
    </row>
    <row r="11421" spans="4:6" x14ac:dyDescent="0.2">
      <c r="D11421" s="50"/>
      <c r="E11421" s="73"/>
      <c r="F11421" s="45"/>
    </row>
    <row r="11422" spans="4:6" x14ac:dyDescent="0.2">
      <c r="D11422" s="50"/>
      <c r="E11422" s="73"/>
      <c r="F11422" s="45"/>
    </row>
    <row r="11423" spans="4:6" x14ac:dyDescent="0.2">
      <c r="D11423" s="50"/>
      <c r="E11423" s="73"/>
      <c r="F11423" s="45"/>
    </row>
    <row r="11424" spans="4:6" x14ac:dyDescent="0.2">
      <c r="D11424" s="50"/>
      <c r="E11424" s="73"/>
      <c r="F11424" s="45"/>
    </row>
    <row r="11425" spans="4:6" x14ac:dyDescent="0.2">
      <c r="D11425" s="50"/>
      <c r="E11425" s="73"/>
      <c r="F11425" s="45"/>
    </row>
    <row r="11426" spans="4:6" x14ac:dyDescent="0.2">
      <c r="D11426" s="50"/>
      <c r="E11426" s="73"/>
      <c r="F11426" s="45"/>
    </row>
    <row r="11427" spans="4:6" x14ac:dyDescent="0.2">
      <c r="D11427" s="50"/>
      <c r="E11427" s="73"/>
      <c r="F11427" s="45"/>
    </row>
    <row r="11428" spans="4:6" x14ac:dyDescent="0.2">
      <c r="D11428" s="50"/>
      <c r="E11428" s="73"/>
      <c r="F11428" s="45"/>
    </row>
    <row r="11429" spans="4:6" x14ac:dyDescent="0.2">
      <c r="D11429" s="50"/>
      <c r="E11429" s="73"/>
      <c r="F11429" s="45"/>
    </row>
    <row r="11430" spans="4:6" x14ac:dyDescent="0.2">
      <c r="D11430" s="50"/>
      <c r="E11430" s="73"/>
      <c r="F11430" s="45"/>
    </row>
    <row r="11431" spans="4:6" x14ac:dyDescent="0.2">
      <c r="D11431" s="50"/>
      <c r="E11431" s="73"/>
      <c r="F11431" s="45"/>
    </row>
    <row r="11432" spans="4:6" x14ac:dyDescent="0.2">
      <c r="D11432" s="50"/>
      <c r="E11432" s="73"/>
      <c r="F11432" s="45"/>
    </row>
    <row r="11433" spans="4:6" x14ac:dyDescent="0.2">
      <c r="D11433" s="50"/>
      <c r="E11433" s="73"/>
      <c r="F11433" s="45"/>
    </row>
    <row r="11434" spans="4:6" x14ac:dyDescent="0.2">
      <c r="D11434" s="50"/>
      <c r="E11434" s="73"/>
      <c r="F11434" s="45"/>
    </row>
    <row r="11435" spans="4:6" x14ac:dyDescent="0.2">
      <c r="D11435" s="50"/>
      <c r="E11435" s="73"/>
      <c r="F11435" s="45"/>
    </row>
    <row r="11436" spans="4:6" x14ac:dyDescent="0.2">
      <c r="D11436" s="50"/>
      <c r="E11436" s="73"/>
      <c r="F11436" s="45"/>
    </row>
    <row r="11437" spans="4:6" x14ac:dyDescent="0.2">
      <c r="D11437" s="50"/>
      <c r="E11437" s="73"/>
      <c r="F11437" s="45"/>
    </row>
    <row r="11438" spans="4:6" x14ac:dyDescent="0.2">
      <c r="D11438" s="50"/>
      <c r="E11438" s="73"/>
      <c r="F11438" s="45"/>
    </row>
    <row r="11439" spans="4:6" x14ac:dyDescent="0.2">
      <c r="D11439" s="50"/>
      <c r="E11439" s="73"/>
      <c r="F11439" s="45"/>
    </row>
    <row r="11440" spans="4:6" x14ac:dyDescent="0.2">
      <c r="D11440" s="50"/>
      <c r="E11440" s="73"/>
      <c r="F11440" s="45"/>
    </row>
    <row r="11441" spans="4:6" x14ac:dyDescent="0.2">
      <c r="D11441" s="50"/>
      <c r="E11441" s="73"/>
      <c r="F11441" s="45"/>
    </row>
    <row r="11442" spans="4:6" x14ac:dyDescent="0.2">
      <c r="D11442" s="50"/>
      <c r="E11442" s="73"/>
      <c r="F11442" s="45"/>
    </row>
    <row r="11443" spans="4:6" x14ac:dyDescent="0.2">
      <c r="D11443" s="50"/>
      <c r="E11443" s="73"/>
      <c r="F11443" s="45"/>
    </row>
    <row r="11444" spans="4:6" x14ac:dyDescent="0.2">
      <c r="D11444" s="50"/>
      <c r="E11444" s="73"/>
      <c r="F11444" s="45"/>
    </row>
    <row r="11445" spans="4:6" x14ac:dyDescent="0.2">
      <c r="D11445" s="50"/>
      <c r="E11445" s="73"/>
      <c r="F11445" s="45"/>
    </row>
    <row r="11446" spans="4:6" x14ac:dyDescent="0.2">
      <c r="D11446" s="50"/>
      <c r="E11446" s="73"/>
      <c r="F11446" s="45"/>
    </row>
    <row r="11447" spans="4:6" x14ac:dyDescent="0.2">
      <c r="D11447" s="50"/>
      <c r="E11447" s="73"/>
      <c r="F11447" s="45"/>
    </row>
    <row r="11448" spans="4:6" x14ac:dyDescent="0.2">
      <c r="D11448" s="50"/>
      <c r="E11448" s="73"/>
      <c r="F11448" s="45"/>
    </row>
    <row r="11449" spans="4:6" x14ac:dyDescent="0.2">
      <c r="D11449" s="50"/>
      <c r="E11449" s="73"/>
      <c r="F11449" s="45"/>
    </row>
    <row r="11450" spans="4:6" x14ac:dyDescent="0.2">
      <c r="D11450" s="50"/>
      <c r="E11450" s="73"/>
      <c r="F11450" s="45"/>
    </row>
    <row r="11451" spans="4:6" x14ac:dyDescent="0.2">
      <c r="D11451" s="50"/>
      <c r="E11451" s="73"/>
      <c r="F11451" s="45"/>
    </row>
    <row r="11452" spans="4:6" x14ac:dyDescent="0.2">
      <c r="D11452" s="50"/>
      <c r="E11452" s="73"/>
      <c r="F11452" s="45"/>
    </row>
    <row r="11453" spans="4:6" x14ac:dyDescent="0.2">
      <c r="D11453" s="50"/>
      <c r="E11453" s="73"/>
      <c r="F11453" s="45"/>
    </row>
    <row r="11454" spans="4:6" x14ac:dyDescent="0.2">
      <c r="D11454" s="50"/>
      <c r="E11454" s="73"/>
      <c r="F11454" s="45"/>
    </row>
    <row r="11455" spans="4:6" x14ac:dyDescent="0.2">
      <c r="D11455" s="50"/>
      <c r="E11455" s="73"/>
      <c r="F11455" s="45"/>
    </row>
    <row r="11456" spans="4:6" x14ac:dyDescent="0.2">
      <c r="D11456" s="50"/>
      <c r="E11456" s="73"/>
      <c r="F11456" s="45"/>
    </row>
    <row r="11457" spans="4:6" x14ac:dyDescent="0.2">
      <c r="D11457" s="50"/>
      <c r="E11457" s="73"/>
      <c r="F11457" s="45"/>
    </row>
    <row r="11458" spans="4:6" x14ac:dyDescent="0.2">
      <c r="D11458" s="50"/>
      <c r="E11458" s="73"/>
      <c r="F11458" s="45"/>
    </row>
    <row r="11459" spans="4:6" x14ac:dyDescent="0.2">
      <c r="D11459" s="50"/>
      <c r="E11459" s="73"/>
      <c r="F11459" s="45"/>
    </row>
    <row r="11460" spans="4:6" x14ac:dyDescent="0.2">
      <c r="D11460" s="50"/>
      <c r="E11460" s="73"/>
      <c r="F11460" s="45"/>
    </row>
    <row r="11461" spans="4:6" x14ac:dyDescent="0.2">
      <c r="D11461" s="50"/>
      <c r="E11461" s="73"/>
      <c r="F11461" s="45"/>
    </row>
    <row r="11462" spans="4:6" x14ac:dyDescent="0.2">
      <c r="D11462" s="50"/>
      <c r="E11462" s="73"/>
      <c r="F11462" s="45"/>
    </row>
    <row r="11463" spans="4:6" x14ac:dyDescent="0.2">
      <c r="D11463" s="50"/>
      <c r="E11463" s="73"/>
      <c r="F11463" s="45"/>
    </row>
    <row r="11464" spans="4:6" x14ac:dyDescent="0.2">
      <c r="D11464" s="50"/>
      <c r="E11464" s="73"/>
      <c r="F11464" s="45"/>
    </row>
    <row r="11465" spans="4:6" x14ac:dyDescent="0.2">
      <c r="D11465" s="50"/>
      <c r="E11465" s="73"/>
      <c r="F11465" s="45"/>
    </row>
    <row r="11466" spans="4:6" x14ac:dyDescent="0.2">
      <c r="D11466" s="50"/>
      <c r="E11466" s="73"/>
      <c r="F11466" s="45"/>
    </row>
    <row r="11467" spans="4:6" x14ac:dyDescent="0.2">
      <c r="D11467" s="50"/>
      <c r="E11467" s="73"/>
      <c r="F11467" s="45"/>
    </row>
    <row r="11468" spans="4:6" x14ac:dyDescent="0.2">
      <c r="D11468" s="50"/>
      <c r="E11468" s="73"/>
      <c r="F11468" s="45"/>
    </row>
    <row r="11469" spans="4:6" x14ac:dyDescent="0.2">
      <c r="D11469" s="50"/>
      <c r="E11469" s="73"/>
      <c r="F11469" s="45"/>
    </row>
    <row r="11470" spans="4:6" x14ac:dyDescent="0.2">
      <c r="D11470" s="50"/>
      <c r="E11470" s="73"/>
      <c r="F11470" s="45"/>
    </row>
    <row r="11471" spans="4:6" x14ac:dyDescent="0.2">
      <c r="D11471" s="50"/>
      <c r="E11471" s="73"/>
      <c r="F11471" s="45"/>
    </row>
    <row r="11472" spans="4:6" x14ac:dyDescent="0.2">
      <c r="D11472" s="50"/>
      <c r="E11472" s="73"/>
      <c r="F11472" s="45"/>
    </row>
    <row r="11473" spans="4:6" x14ac:dyDescent="0.2">
      <c r="D11473" s="50"/>
      <c r="E11473" s="73"/>
      <c r="F11473" s="45"/>
    </row>
    <row r="11474" spans="4:6" x14ac:dyDescent="0.2">
      <c r="D11474" s="50"/>
      <c r="E11474" s="73"/>
      <c r="F11474" s="45"/>
    </row>
    <row r="11475" spans="4:6" x14ac:dyDescent="0.2">
      <c r="D11475" s="50"/>
      <c r="E11475" s="73"/>
      <c r="F11475" s="45"/>
    </row>
    <row r="11476" spans="4:6" x14ac:dyDescent="0.2">
      <c r="D11476" s="50"/>
      <c r="E11476" s="73"/>
      <c r="F11476" s="45"/>
    </row>
    <row r="11477" spans="4:6" x14ac:dyDescent="0.2">
      <c r="D11477" s="50"/>
      <c r="E11477" s="73"/>
      <c r="F11477" s="45"/>
    </row>
    <row r="11478" spans="4:6" x14ac:dyDescent="0.2">
      <c r="D11478" s="50"/>
      <c r="E11478" s="73"/>
      <c r="F11478" s="45"/>
    </row>
    <row r="11479" spans="4:6" x14ac:dyDescent="0.2">
      <c r="D11479" s="50"/>
      <c r="E11479" s="73"/>
      <c r="F11479" s="45"/>
    </row>
    <row r="11480" spans="4:6" x14ac:dyDescent="0.2">
      <c r="D11480" s="50"/>
      <c r="E11480" s="73"/>
      <c r="F11480" s="45"/>
    </row>
    <row r="11481" spans="4:6" x14ac:dyDescent="0.2">
      <c r="D11481" s="50"/>
      <c r="E11481" s="73"/>
      <c r="F11481" s="45"/>
    </row>
    <row r="11482" spans="4:6" x14ac:dyDescent="0.2">
      <c r="D11482" s="50"/>
      <c r="E11482" s="73"/>
      <c r="F11482" s="45"/>
    </row>
    <row r="11483" spans="4:6" x14ac:dyDescent="0.2">
      <c r="D11483" s="50"/>
      <c r="E11483" s="73"/>
      <c r="F11483" s="45"/>
    </row>
    <row r="11484" spans="4:6" x14ac:dyDescent="0.2">
      <c r="D11484" s="50"/>
      <c r="E11484" s="73"/>
      <c r="F11484" s="45"/>
    </row>
    <row r="11485" spans="4:6" x14ac:dyDescent="0.2">
      <c r="D11485" s="50"/>
      <c r="E11485" s="73"/>
      <c r="F11485" s="45"/>
    </row>
    <row r="11486" spans="4:6" x14ac:dyDescent="0.2">
      <c r="D11486" s="50"/>
      <c r="E11486" s="73"/>
      <c r="F11486" s="45"/>
    </row>
    <row r="11487" spans="4:6" x14ac:dyDescent="0.2">
      <c r="D11487" s="50"/>
      <c r="E11487" s="73"/>
      <c r="F11487" s="45"/>
    </row>
    <row r="11488" spans="4:6" x14ac:dyDescent="0.2">
      <c r="D11488" s="50"/>
      <c r="E11488" s="73"/>
      <c r="F11488" s="45"/>
    </row>
    <row r="11489" spans="4:6" x14ac:dyDescent="0.2">
      <c r="D11489" s="50"/>
      <c r="E11489" s="73"/>
      <c r="F11489" s="45"/>
    </row>
    <row r="11490" spans="4:6" x14ac:dyDescent="0.2">
      <c r="D11490" s="50"/>
      <c r="E11490" s="73"/>
      <c r="F11490" s="45"/>
    </row>
    <row r="11491" spans="4:6" x14ac:dyDescent="0.2">
      <c r="D11491" s="50"/>
      <c r="E11491" s="73"/>
      <c r="F11491" s="45"/>
    </row>
    <row r="11492" spans="4:6" x14ac:dyDescent="0.2">
      <c r="D11492" s="50"/>
      <c r="E11492" s="73"/>
      <c r="F11492" s="45"/>
    </row>
    <row r="11493" spans="4:6" x14ac:dyDescent="0.2">
      <c r="D11493" s="50"/>
      <c r="E11493" s="73"/>
      <c r="F11493" s="45"/>
    </row>
    <row r="11494" spans="4:6" x14ac:dyDescent="0.2">
      <c r="D11494" s="50"/>
      <c r="E11494" s="73"/>
      <c r="F11494" s="45"/>
    </row>
    <row r="11495" spans="4:6" x14ac:dyDescent="0.2">
      <c r="D11495" s="50"/>
      <c r="E11495" s="73"/>
      <c r="F11495" s="45"/>
    </row>
    <row r="11496" spans="4:6" x14ac:dyDescent="0.2">
      <c r="D11496" s="50"/>
      <c r="E11496" s="73"/>
      <c r="F11496" s="45"/>
    </row>
    <row r="11497" spans="4:6" x14ac:dyDescent="0.2">
      <c r="D11497" s="50"/>
      <c r="E11497" s="73"/>
      <c r="F11497" s="45"/>
    </row>
    <row r="11498" spans="4:6" x14ac:dyDescent="0.2">
      <c r="D11498" s="50"/>
      <c r="E11498" s="73"/>
      <c r="F11498" s="45"/>
    </row>
    <row r="11499" spans="4:6" x14ac:dyDescent="0.2">
      <c r="D11499" s="50"/>
      <c r="E11499" s="73"/>
      <c r="F11499" s="45"/>
    </row>
    <row r="11500" spans="4:6" x14ac:dyDescent="0.2">
      <c r="D11500" s="50"/>
      <c r="E11500" s="73"/>
      <c r="F11500" s="45"/>
    </row>
    <row r="11501" spans="4:6" x14ac:dyDescent="0.2">
      <c r="D11501" s="50"/>
      <c r="E11501" s="73"/>
      <c r="F11501" s="45"/>
    </row>
    <row r="11502" spans="4:6" x14ac:dyDescent="0.2">
      <c r="D11502" s="50"/>
      <c r="E11502" s="73"/>
      <c r="F11502" s="45"/>
    </row>
    <row r="11503" spans="4:6" x14ac:dyDescent="0.2">
      <c r="D11503" s="50"/>
      <c r="E11503" s="73"/>
      <c r="F11503" s="45"/>
    </row>
    <row r="11504" spans="4:6" x14ac:dyDescent="0.2">
      <c r="D11504" s="50"/>
      <c r="E11504" s="73"/>
      <c r="F11504" s="45"/>
    </row>
    <row r="11505" spans="4:6" x14ac:dyDescent="0.2">
      <c r="D11505" s="50"/>
      <c r="E11505" s="73"/>
      <c r="F11505" s="45"/>
    </row>
    <row r="11506" spans="4:6" x14ac:dyDescent="0.2">
      <c r="D11506" s="50"/>
      <c r="E11506" s="73"/>
      <c r="F11506" s="45"/>
    </row>
    <row r="11507" spans="4:6" x14ac:dyDescent="0.2">
      <c r="D11507" s="50"/>
      <c r="E11507" s="73"/>
      <c r="F11507" s="45"/>
    </row>
    <row r="11508" spans="4:6" x14ac:dyDescent="0.2">
      <c r="D11508" s="50"/>
      <c r="E11508" s="73"/>
      <c r="F11508" s="45"/>
    </row>
    <row r="11509" spans="4:6" x14ac:dyDescent="0.2">
      <c r="D11509" s="50"/>
      <c r="E11509" s="73"/>
      <c r="F11509" s="45"/>
    </row>
    <row r="11510" spans="4:6" x14ac:dyDescent="0.2">
      <c r="D11510" s="50"/>
      <c r="E11510" s="73"/>
      <c r="F11510" s="45"/>
    </row>
    <row r="11511" spans="4:6" x14ac:dyDescent="0.2">
      <c r="D11511" s="50"/>
      <c r="E11511" s="73"/>
      <c r="F11511" s="45"/>
    </row>
    <row r="11512" spans="4:6" x14ac:dyDescent="0.2">
      <c r="D11512" s="50"/>
      <c r="E11512" s="73"/>
      <c r="F11512" s="45"/>
    </row>
    <row r="11513" spans="4:6" x14ac:dyDescent="0.2">
      <c r="D11513" s="50"/>
      <c r="E11513" s="73"/>
      <c r="F11513" s="45"/>
    </row>
    <row r="11514" spans="4:6" x14ac:dyDescent="0.2">
      <c r="D11514" s="50"/>
      <c r="E11514" s="73"/>
      <c r="F11514" s="45"/>
    </row>
    <row r="11515" spans="4:6" x14ac:dyDescent="0.2">
      <c r="D11515" s="50"/>
      <c r="E11515" s="73"/>
      <c r="F11515" s="45"/>
    </row>
    <row r="11516" spans="4:6" x14ac:dyDescent="0.2">
      <c r="D11516" s="50"/>
      <c r="E11516" s="73"/>
      <c r="F11516" s="45"/>
    </row>
    <row r="11517" spans="4:6" x14ac:dyDescent="0.2">
      <c r="D11517" s="50"/>
      <c r="E11517" s="73"/>
      <c r="F11517" s="45"/>
    </row>
    <row r="11518" spans="4:6" x14ac:dyDescent="0.2">
      <c r="D11518" s="50"/>
      <c r="E11518" s="73"/>
      <c r="F11518" s="45"/>
    </row>
    <row r="11519" spans="4:6" x14ac:dyDescent="0.2">
      <c r="D11519" s="50"/>
      <c r="E11519" s="73"/>
      <c r="F11519" s="45"/>
    </row>
    <row r="11520" spans="4:6" x14ac:dyDescent="0.2">
      <c r="D11520" s="50"/>
      <c r="E11520" s="73"/>
      <c r="F11520" s="45"/>
    </row>
    <row r="11521" spans="4:6" x14ac:dyDescent="0.2">
      <c r="D11521" s="50"/>
      <c r="E11521" s="73"/>
      <c r="F11521" s="45"/>
    </row>
    <row r="11522" spans="4:6" x14ac:dyDescent="0.2">
      <c r="D11522" s="50"/>
      <c r="E11522" s="73"/>
      <c r="F11522" s="45"/>
    </row>
    <row r="11523" spans="4:6" x14ac:dyDescent="0.2">
      <c r="D11523" s="50"/>
      <c r="E11523" s="73"/>
      <c r="F11523" s="45"/>
    </row>
    <row r="11524" spans="4:6" x14ac:dyDescent="0.2">
      <c r="D11524" s="50"/>
      <c r="E11524" s="73"/>
      <c r="F11524" s="45"/>
    </row>
    <row r="11525" spans="4:6" x14ac:dyDescent="0.2">
      <c r="D11525" s="50"/>
      <c r="E11525" s="73"/>
      <c r="F11525" s="45"/>
    </row>
    <row r="11526" spans="4:6" x14ac:dyDescent="0.2">
      <c r="D11526" s="50"/>
      <c r="E11526" s="73"/>
      <c r="F11526" s="45"/>
    </row>
    <row r="11527" spans="4:6" x14ac:dyDescent="0.2">
      <c r="D11527" s="50"/>
      <c r="E11527" s="73"/>
      <c r="F11527" s="45"/>
    </row>
    <row r="11528" spans="4:6" x14ac:dyDescent="0.2">
      <c r="D11528" s="50"/>
      <c r="E11528" s="73"/>
      <c r="F11528" s="45"/>
    </row>
    <row r="11529" spans="4:6" x14ac:dyDescent="0.2">
      <c r="D11529" s="50"/>
      <c r="E11529" s="73"/>
      <c r="F11529" s="45"/>
    </row>
    <row r="11530" spans="4:6" x14ac:dyDescent="0.2">
      <c r="D11530" s="50"/>
      <c r="E11530" s="73"/>
      <c r="F11530" s="45"/>
    </row>
    <row r="11531" spans="4:6" x14ac:dyDescent="0.2">
      <c r="D11531" s="50"/>
      <c r="E11531" s="73"/>
      <c r="F11531" s="45"/>
    </row>
    <row r="11532" spans="4:6" x14ac:dyDescent="0.2">
      <c r="D11532" s="50"/>
      <c r="E11532" s="73"/>
      <c r="F11532" s="45"/>
    </row>
    <row r="11533" spans="4:6" x14ac:dyDescent="0.2">
      <c r="D11533" s="50"/>
      <c r="E11533" s="73"/>
      <c r="F11533" s="45"/>
    </row>
    <row r="11534" spans="4:6" x14ac:dyDescent="0.2">
      <c r="D11534" s="50"/>
      <c r="E11534" s="73"/>
      <c r="F11534" s="45"/>
    </row>
    <row r="11535" spans="4:6" x14ac:dyDescent="0.2">
      <c r="D11535" s="50"/>
      <c r="E11535" s="73"/>
      <c r="F11535" s="45"/>
    </row>
    <row r="11536" spans="4:6" x14ac:dyDescent="0.2">
      <c r="D11536" s="50"/>
      <c r="E11536" s="73"/>
      <c r="F11536" s="45"/>
    </row>
    <row r="11537" spans="4:6" x14ac:dyDescent="0.2">
      <c r="D11537" s="50"/>
      <c r="E11537" s="73"/>
      <c r="F11537" s="45"/>
    </row>
    <row r="11538" spans="4:6" x14ac:dyDescent="0.2">
      <c r="D11538" s="50"/>
      <c r="E11538" s="73"/>
      <c r="F11538" s="45"/>
    </row>
    <row r="11539" spans="4:6" x14ac:dyDescent="0.2">
      <c r="D11539" s="50"/>
      <c r="E11539" s="73"/>
      <c r="F11539" s="45"/>
    </row>
    <row r="11540" spans="4:6" x14ac:dyDescent="0.2">
      <c r="D11540" s="50"/>
      <c r="E11540" s="73"/>
      <c r="F11540" s="45"/>
    </row>
    <row r="11541" spans="4:6" x14ac:dyDescent="0.2">
      <c r="D11541" s="50"/>
      <c r="E11541" s="73"/>
      <c r="F11541" s="45"/>
    </row>
    <row r="11542" spans="4:6" x14ac:dyDescent="0.2">
      <c r="D11542" s="50"/>
      <c r="E11542" s="73"/>
      <c r="F11542" s="45"/>
    </row>
    <row r="11543" spans="4:6" x14ac:dyDescent="0.2">
      <c r="D11543" s="50"/>
      <c r="E11543" s="73"/>
      <c r="F11543" s="45"/>
    </row>
    <row r="11544" spans="4:6" x14ac:dyDescent="0.2">
      <c r="D11544" s="50"/>
      <c r="E11544" s="73"/>
      <c r="F11544" s="45"/>
    </row>
    <row r="11545" spans="4:6" x14ac:dyDescent="0.2">
      <c r="D11545" s="50"/>
      <c r="E11545" s="73"/>
      <c r="F11545" s="45"/>
    </row>
    <row r="11546" spans="4:6" x14ac:dyDescent="0.2">
      <c r="D11546" s="50"/>
      <c r="E11546" s="73"/>
      <c r="F11546" s="45"/>
    </row>
    <row r="11547" spans="4:6" x14ac:dyDescent="0.2">
      <c r="D11547" s="50"/>
      <c r="E11547" s="73"/>
      <c r="F11547" s="45"/>
    </row>
    <row r="11548" spans="4:6" x14ac:dyDescent="0.2">
      <c r="D11548" s="50"/>
      <c r="E11548" s="73"/>
      <c r="F11548" s="45"/>
    </row>
    <row r="11549" spans="4:6" x14ac:dyDescent="0.2">
      <c r="D11549" s="50"/>
      <c r="E11549" s="73"/>
      <c r="F11549" s="45"/>
    </row>
    <row r="11550" spans="4:6" x14ac:dyDescent="0.2">
      <c r="D11550" s="50"/>
      <c r="E11550" s="73"/>
      <c r="F11550" s="45"/>
    </row>
    <row r="11551" spans="4:6" x14ac:dyDescent="0.2">
      <c r="D11551" s="50"/>
      <c r="E11551" s="73"/>
      <c r="F11551" s="45"/>
    </row>
    <row r="11552" spans="4:6" x14ac:dyDescent="0.2">
      <c r="D11552" s="50"/>
      <c r="E11552" s="73"/>
      <c r="F11552" s="45"/>
    </row>
    <row r="11553" spans="4:6" x14ac:dyDescent="0.2">
      <c r="D11553" s="50"/>
      <c r="E11553" s="73"/>
      <c r="F11553" s="45"/>
    </row>
    <row r="11554" spans="4:6" x14ac:dyDescent="0.2">
      <c r="D11554" s="50"/>
      <c r="E11554" s="73"/>
      <c r="F11554" s="45"/>
    </row>
    <row r="11555" spans="4:6" x14ac:dyDescent="0.2">
      <c r="D11555" s="50"/>
      <c r="E11555" s="73"/>
      <c r="F11555" s="45"/>
    </row>
    <row r="11556" spans="4:6" x14ac:dyDescent="0.2">
      <c r="D11556" s="50"/>
      <c r="E11556" s="73"/>
      <c r="F11556" s="45"/>
    </row>
    <row r="11557" spans="4:6" x14ac:dyDescent="0.2">
      <c r="D11557" s="50"/>
      <c r="E11557" s="73"/>
      <c r="F11557" s="45"/>
    </row>
    <row r="11558" spans="4:6" x14ac:dyDescent="0.2">
      <c r="D11558" s="50"/>
      <c r="E11558" s="73"/>
      <c r="F11558" s="45"/>
    </row>
    <row r="11559" spans="4:6" x14ac:dyDescent="0.2">
      <c r="D11559" s="50"/>
      <c r="E11559" s="73"/>
      <c r="F11559" s="45"/>
    </row>
    <row r="11560" spans="4:6" x14ac:dyDescent="0.2">
      <c r="D11560" s="50"/>
      <c r="E11560" s="73"/>
      <c r="F11560" s="45"/>
    </row>
    <row r="11561" spans="4:6" x14ac:dyDescent="0.2">
      <c r="D11561" s="50"/>
      <c r="E11561" s="73"/>
      <c r="F11561" s="45"/>
    </row>
    <row r="11562" spans="4:6" x14ac:dyDescent="0.2">
      <c r="D11562" s="50"/>
      <c r="E11562" s="73"/>
      <c r="F11562" s="45"/>
    </row>
    <row r="11563" spans="4:6" x14ac:dyDescent="0.2">
      <c r="D11563" s="50"/>
      <c r="E11563" s="73"/>
      <c r="F11563" s="45"/>
    </row>
    <row r="11564" spans="4:6" x14ac:dyDescent="0.2">
      <c r="D11564" s="50"/>
      <c r="E11564" s="73"/>
      <c r="F11564" s="45"/>
    </row>
    <row r="11565" spans="4:6" x14ac:dyDescent="0.2">
      <c r="D11565" s="50"/>
      <c r="E11565" s="73"/>
      <c r="F11565" s="45"/>
    </row>
    <row r="11566" spans="4:6" x14ac:dyDescent="0.2">
      <c r="D11566" s="50"/>
      <c r="E11566" s="73"/>
      <c r="F11566" s="45"/>
    </row>
    <row r="11567" spans="4:6" x14ac:dyDescent="0.2">
      <c r="D11567" s="50"/>
      <c r="E11567" s="73"/>
      <c r="F11567" s="45"/>
    </row>
    <row r="11568" spans="4:6" x14ac:dyDescent="0.2">
      <c r="D11568" s="50"/>
      <c r="E11568" s="73"/>
      <c r="F11568" s="45"/>
    </row>
    <row r="11569" spans="4:6" x14ac:dyDescent="0.2">
      <c r="D11569" s="50"/>
      <c r="E11569" s="73"/>
      <c r="F11569" s="45"/>
    </row>
    <row r="11570" spans="4:6" x14ac:dyDescent="0.2">
      <c r="D11570" s="50"/>
      <c r="E11570" s="73"/>
      <c r="F11570" s="45"/>
    </row>
    <row r="11571" spans="4:6" x14ac:dyDescent="0.2">
      <c r="D11571" s="50"/>
      <c r="E11571" s="73"/>
      <c r="F11571" s="45"/>
    </row>
    <row r="11572" spans="4:6" x14ac:dyDescent="0.2">
      <c r="D11572" s="50"/>
      <c r="E11572" s="73"/>
      <c r="F11572" s="45"/>
    </row>
    <row r="11573" spans="4:6" x14ac:dyDescent="0.2">
      <c r="D11573" s="50"/>
      <c r="E11573" s="73"/>
      <c r="F11573" s="45"/>
    </row>
    <row r="11574" spans="4:6" x14ac:dyDescent="0.2">
      <c r="D11574" s="50"/>
      <c r="E11574" s="73"/>
      <c r="F11574" s="45"/>
    </row>
    <row r="11575" spans="4:6" x14ac:dyDescent="0.2">
      <c r="D11575" s="50"/>
      <c r="E11575" s="73"/>
      <c r="F11575" s="45"/>
    </row>
    <row r="11576" spans="4:6" x14ac:dyDescent="0.2">
      <c r="D11576" s="50"/>
      <c r="E11576" s="73"/>
      <c r="F11576" s="45"/>
    </row>
    <row r="11577" spans="4:6" x14ac:dyDescent="0.2">
      <c r="D11577" s="50"/>
      <c r="E11577" s="73"/>
      <c r="F11577" s="45"/>
    </row>
    <row r="11578" spans="4:6" x14ac:dyDescent="0.2">
      <c r="D11578" s="50"/>
      <c r="E11578" s="73"/>
      <c r="F11578" s="45"/>
    </row>
    <row r="11579" spans="4:6" x14ac:dyDescent="0.2">
      <c r="D11579" s="50"/>
      <c r="E11579" s="73"/>
      <c r="F11579" s="45"/>
    </row>
    <row r="11580" spans="4:6" x14ac:dyDescent="0.2">
      <c r="D11580" s="50"/>
      <c r="E11580" s="73"/>
      <c r="F11580" s="45"/>
    </row>
    <row r="11581" spans="4:6" x14ac:dyDescent="0.2">
      <c r="D11581" s="50"/>
      <c r="E11581" s="73"/>
      <c r="F11581" s="45"/>
    </row>
    <row r="11582" spans="4:6" x14ac:dyDescent="0.2">
      <c r="D11582" s="50"/>
      <c r="E11582" s="73"/>
      <c r="F11582" s="45"/>
    </row>
    <row r="11583" spans="4:6" x14ac:dyDescent="0.2">
      <c r="D11583" s="50"/>
      <c r="E11583" s="73"/>
      <c r="F11583" s="45"/>
    </row>
    <row r="11584" spans="4:6" x14ac:dyDescent="0.2">
      <c r="D11584" s="50"/>
      <c r="E11584" s="73"/>
      <c r="F11584" s="45"/>
    </row>
    <row r="11585" spans="4:6" x14ac:dyDescent="0.2">
      <c r="D11585" s="50"/>
      <c r="E11585" s="73"/>
      <c r="F11585" s="45"/>
    </row>
    <row r="11586" spans="4:6" x14ac:dyDescent="0.2">
      <c r="D11586" s="50"/>
      <c r="E11586" s="73"/>
      <c r="F11586" s="45"/>
    </row>
    <row r="11587" spans="4:6" x14ac:dyDescent="0.2">
      <c r="D11587" s="50"/>
      <c r="E11587" s="73"/>
      <c r="F11587" s="45"/>
    </row>
    <row r="11588" spans="4:6" x14ac:dyDescent="0.2">
      <c r="D11588" s="50"/>
      <c r="E11588" s="73"/>
      <c r="F11588" s="45"/>
    </row>
    <row r="11589" spans="4:6" x14ac:dyDescent="0.2">
      <c r="D11589" s="50"/>
      <c r="E11589" s="73"/>
      <c r="F11589" s="45"/>
    </row>
    <row r="11590" spans="4:6" x14ac:dyDescent="0.2">
      <c r="D11590" s="50"/>
      <c r="E11590" s="73"/>
      <c r="F11590" s="45"/>
    </row>
    <row r="11591" spans="4:6" x14ac:dyDescent="0.2">
      <c r="D11591" s="50"/>
      <c r="E11591" s="73"/>
      <c r="F11591" s="45"/>
    </row>
    <row r="11592" spans="4:6" x14ac:dyDescent="0.2">
      <c r="D11592" s="50"/>
      <c r="E11592" s="73"/>
      <c r="F11592" s="45"/>
    </row>
    <row r="11593" spans="4:6" x14ac:dyDescent="0.2">
      <c r="D11593" s="50"/>
      <c r="E11593" s="73"/>
      <c r="F11593" s="45"/>
    </row>
    <row r="11594" spans="4:6" x14ac:dyDescent="0.2">
      <c r="D11594" s="50"/>
      <c r="E11594" s="73"/>
      <c r="F11594" s="45"/>
    </row>
    <row r="11595" spans="4:6" x14ac:dyDescent="0.2">
      <c r="D11595" s="50"/>
      <c r="E11595" s="73"/>
      <c r="F11595" s="45"/>
    </row>
    <row r="11596" spans="4:6" x14ac:dyDescent="0.2">
      <c r="D11596" s="50"/>
      <c r="E11596" s="73"/>
      <c r="F11596" s="45"/>
    </row>
    <row r="11597" spans="4:6" x14ac:dyDescent="0.2">
      <c r="D11597" s="50"/>
      <c r="E11597" s="73"/>
      <c r="F11597" s="45"/>
    </row>
    <row r="11598" spans="4:6" x14ac:dyDescent="0.2">
      <c r="D11598" s="50"/>
      <c r="E11598" s="73"/>
      <c r="F11598" s="45"/>
    </row>
    <row r="11599" spans="4:6" x14ac:dyDescent="0.2">
      <c r="D11599" s="50"/>
      <c r="E11599" s="73"/>
      <c r="F11599" s="45"/>
    </row>
    <row r="11600" spans="4:6" x14ac:dyDescent="0.2">
      <c r="D11600" s="50"/>
      <c r="E11600" s="73"/>
      <c r="F11600" s="45"/>
    </row>
    <row r="11601" spans="4:6" x14ac:dyDescent="0.2">
      <c r="D11601" s="50"/>
      <c r="E11601" s="73"/>
      <c r="F11601" s="45"/>
    </row>
    <row r="11602" spans="4:6" x14ac:dyDescent="0.2">
      <c r="D11602" s="50"/>
      <c r="E11602" s="73"/>
      <c r="F11602" s="45"/>
    </row>
    <row r="11603" spans="4:6" x14ac:dyDescent="0.2">
      <c r="D11603" s="50"/>
      <c r="E11603" s="73"/>
      <c r="F11603" s="45"/>
    </row>
    <row r="11604" spans="4:6" x14ac:dyDescent="0.2">
      <c r="D11604" s="50"/>
      <c r="E11604" s="73"/>
      <c r="F11604" s="45"/>
    </row>
    <row r="11605" spans="4:6" x14ac:dyDescent="0.2">
      <c r="D11605" s="50"/>
      <c r="E11605" s="73"/>
      <c r="F11605" s="45"/>
    </row>
    <row r="11606" spans="4:6" x14ac:dyDescent="0.2">
      <c r="D11606" s="50"/>
      <c r="E11606" s="73"/>
      <c r="F11606" s="45"/>
    </row>
    <row r="11607" spans="4:6" x14ac:dyDescent="0.2">
      <c r="D11607" s="50"/>
      <c r="E11607" s="73"/>
      <c r="F11607" s="45"/>
    </row>
    <row r="11608" spans="4:6" x14ac:dyDescent="0.2">
      <c r="D11608" s="50"/>
      <c r="E11608" s="73"/>
      <c r="F11608" s="45"/>
    </row>
    <row r="11609" spans="4:6" x14ac:dyDescent="0.2">
      <c r="D11609" s="50"/>
      <c r="E11609" s="73"/>
      <c r="F11609" s="45"/>
    </row>
    <row r="11610" spans="4:6" x14ac:dyDescent="0.2">
      <c r="D11610" s="50"/>
      <c r="E11610" s="73"/>
      <c r="F11610" s="45"/>
    </row>
    <row r="11611" spans="4:6" x14ac:dyDescent="0.2">
      <c r="D11611" s="50"/>
      <c r="E11611" s="73"/>
      <c r="F11611" s="45"/>
    </row>
    <row r="11612" spans="4:6" x14ac:dyDescent="0.2">
      <c r="D11612" s="50"/>
      <c r="E11612" s="73"/>
      <c r="F11612" s="45"/>
    </row>
    <row r="11613" spans="4:6" x14ac:dyDescent="0.2">
      <c r="D11613" s="50"/>
      <c r="E11613" s="73"/>
      <c r="F11613" s="45"/>
    </row>
    <row r="11614" spans="4:6" x14ac:dyDescent="0.2">
      <c r="D11614" s="50"/>
      <c r="E11614" s="73"/>
      <c r="F11614" s="45"/>
    </row>
    <row r="11615" spans="4:6" x14ac:dyDescent="0.2">
      <c r="D11615" s="50"/>
      <c r="E11615" s="73"/>
      <c r="F11615" s="45"/>
    </row>
    <row r="11616" spans="4:6" x14ac:dyDescent="0.2">
      <c r="D11616" s="50"/>
      <c r="E11616" s="73"/>
      <c r="F11616" s="45"/>
    </row>
    <row r="11617" spans="4:6" x14ac:dyDescent="0.2">
      <c r="D11617" s="50"/>
      <c r="E11617" s="73"/>
      <c r="F11617" s="45"/>
    </row>
    <row r="11618" spans="4:6" x14ac:dyDescent="0.2">
      <c r="D11618" s="50"/>
      <c r="E11618" s="73"/>
      <c r="F11618" s="45"/>
    </row>
    <row r="11619" spans="4:6" x14ac:dyDescent="0.2">
      <c r="D11619" s="50"/>
      <c r="E11619" s="73"/>
      <c r="F11619" s="45"/>
    </row>
    <row r="11620" spans="4:6" x14ac:dyDescent="0.2">
      <c r="D11620" s="50"/>
      <c r="E11620" s="73"/>
      <c r="F11620" s="45"/>
    </row>
    <row r="11621" spans="4:6" x14ac:dyDescent="0.2">
      <c r="D11621" s="50"/>
      <c r="E11621" s="73"/>
      <c r="F11621" s="45"/>
    </row>
    <row r="11622" spans="4:6" x14ac:dyDescent="0.2">
      <c r="D11622" s="50"/>
      <c r="E11622" s="73"/>
      <c r="F11622" s="45"/>
    </row>
    <row r="11623" spans="4:6" x14ac:dyDescent="0.2">
      <c r="D11623" s="50"/>
      <c r="E11623" s="73"/>
      <c r="F11623" s="45"/>
    </row>
    <row r="11624" spans="4:6" x14ac:dyDescent="0.2">
      <c r="D11624" s="50"/>
      <c r="E11624" s="73"/>
      <c r="F11624" s="45"/>
    </row>
    <row r="11625" spans="4:6" x14ac:dyDescent="0.2">
      <c r="D11625" s="50"/>
      <c r="E11625" s="73"/>
      <c r="F11625" s="45"/>
    </row>
    <row r="11626" spans="4:6" x14ac:dyDescent="0.2">
      <c r="D11626" s="50"/>
      <c r="E11626" s="73"/>
      <c r="F11626" s="45"/>
    </row>
    <row r="11627" spans="4:6" x14ac:dyDescent="0.2">
      <c r="D11627" s="50"/>
      <c r="E11627" s="73"/>
      <c r="F11627" s="45"/>
    </row>
    <row r="11628" spans="4:6" x14ac:dyDescent="0.2">
      <c r="D11628" s="50"/>
      <c r="E11628" s="73"/>
      <c r="F11628" s="45"/>
    </row>
    <row r="11629" spans="4:6" x14ac:dyDescent="0.2">
      <c r="D11629" s="50"/>
      <c r="E11629" s="73"/>
      <c r="F11629" s="45"/>
    </row>
    <row r="11630" spans="4:6" x14ac:dyDescent="0.2">
      <c r="D11630" s="50"/>
      <c r="E11630" s="73"/>
      <c r="F11630" s="45"/>
    </row>
    <row r="11631" spans="4:6" x14ac:dyDescent="0.2">
      <c r="D11631" s="50"/>
      <c r="E11631" s="73"/>
      <c r="F11631" s="45"/>
    </row>
    <row r="11632" spans="4:6" x14ac:dyDescent="0.2">
      <c r="D11632" s="50"/>
      <c r="E11632" s="73"/>
      <c r="F11632" s="45"/>
    </row>
    <row r="11633" spans="4:6" x14ac:dyDescent="0.2">
      <c r="D11633" s="50"/>
      <c r="E11633" s="73"/>
      <c r="F11633" s="45"/>
    </row>
    <row r="11634" spans="4:6" x14ac:dyDescent="0.2">
      <c r="D11634" s="50"/>
      <c r="E11634" s="73"/>
      <c r="F11634" s="45"/>
    </row>
    <row r="11635" spans="4:6" x14ac:dyDescent="0.2">
      <c r="D11635" s="50"/>
      <c r="E11635" s="73"/>
      <c r="F11635" s="45"/>
    </row>
    <row r="11636" spans="4:6" x14ac:dyDescent="0.2">
      <c r="D11636" s="50"/>
      <c r="E11636" s="73"/>
      <c r="F11636" s="45"/>
    </row>
    <row r="11637" spans="4:6" x14ac:dyDescent="0.2">
      <c r="D11637" s="50"/>
      <c r="E11637" s="73"/>
      <c r="F11637" s="45"/>
    </row>
    <row r="11638" spans="4:6" x14ac:dyDescent="0.2">
      <c r="D11638" s="50"/>
      <c r="E11638" s="73"/>
      <c r="F11638" s="45"/>
    </row>
    <row r="11639" spans="4:6" x14ac:dyDescent="0.2">
      <c r="D11639" s="50"/>
      <c r="E11639" s="73"/>
      <c r="F11639" s="45"/>
    </row>
    <row r="11640" spans="4:6" x14ac:dyDescent="0.2">
      <c r="D11640" s="50"/>
      <c r="E11640" s="73"/>
      <c r="F11640" s="45"/>
    </row>
    <row r="11641" spans="4:6" x14ac:dyDescent="0.2">
      <c r="D11641" s="50"/>
      <c r="E11641" s="73"/>
      <c r="F11641" s="45"/>
    </row>
    <row r="11642" spans="4:6" x14ac:dyDescent="0.2">
      <c r="D11642" s="50"/>
      <c r="E11642" s="73"/>
      <c r="F11642" s="45"/>
    </row>
    <row r="11643" spans="4:6" x14ac:dyDescent="0.2">
      <c r="D11643" s="50"/>
      <c r="E11643" s="73"/>
      <c r="F11643" s="45"/>
    </row>
    <row r="11644" spans="4:6" x14ac:dyDescent="0.2">
      <c r="D11644" s="50"/>
      <c r="E11644" s="73"/>
      <c r="F11644" s="45"/>
    </row>
    <row r="11645" spans="4:6" x14ac:dyDescent="0.2">
      <c r="D11645" s="50"/>
      <c r="E11645" s="73"/>
      <c r="F11645" s="45"/>
    </row>
    <row r="11646" spans="4:6" x14ac:dyDescent="0.2">
      <c r="D11646" s="50"/>
      <c r="E11646" s="73"/>
      <c r="F11646" s="45"/>
    </row>
    <row r="11647" spans="4:6" x14ac:dyDescent="0.2">
      <c r="D11647" s="50"/>
      <c r="E11647" s="73"/>
      <c r="F11647" s="45"/>
    </row>
    <row r="11648" spans="4:6" x14ac:dyDescent="0.2">
      <c r="D11648" s="50"/>
      <c r="E11648" s="73"/>
      <c r="F11648" s="45"/>
    </row>
    <row r="11649" spans="4:6" x14ac:dyDescent="0.2">
      <c r="D11649" s="50"/>
      <c r="E11649" s="73"/>
      <c r="F11649" s="45"/>
    </row>
    <row r="11650" spans="4:6" x14ac:dyDescent="0.2">
      <c r="D11650" s="50"/>
      <c r="E11650" s="73"/>
      <c r="F11650" s="45"/>
    </row>
    <row r="11651" spans="4:6" x14ac:dyDescent="0.2">
      <c r="D11651" s="50"/>
      <c r="E11651" s="73"/>
      <c r="F11651" s="45"/>
    </row>
    <row r="11652" spans="4:6" x14ac:dyDescent="0.2">
      <c r="D11652" s="50"/>
      <c r="E11652" s="73"/>
      <c r="F11652" s="45"/>
    </row>
    <row r="11653" spans="4:6" x14ac:dyDescent="0.2">
      <c r="D11653" s="50"/>
      <c r="E11653" s="73"/>
      <c r="F11653" s="45"/>
    </row>
    <row r="11654" spans="4:6" x14ac:dyDescent="0.2">
      <c r="D11654" s="50"/>
      <c r="E11654" s="73"/>
      <c r="F11654" s="45"/>
    </row>
    <row r="11655" spans="4:6" x14ac:dyDescent="0.2">
      <c r="D11655" s="50"/>
      <c r="E11655" s="73"/>
      <c r="F11655" s="45"/>
    </row>
    <row r="11656" spans="4:6" x14ac:dyDescent="0.2">
      <c r="D11656" s="50"/>
      <c r="E11656" s="73"/>
      <c r="F11656" s="45"/>
    </row>
    <row r="11657" spans="4:6" x14ac:dyDescent="0.2">
      <c r="D11657" s="50"/>
      <c r="E11657" s="73"/>
      <c r="F11657" s="45"/>
    </row>
    <row r="11658" spans="4:6" x14ac:dyDescent="0.2">
      <c r="D11658" s="50"/>
      <c r="E11658" s="73"/>
      <c r="F11658" s="45"/>
    </row>
    <row r="11659" spans="4:6" x14ac:dyDescent="0.2">
      <c r="D11659" s="50"/>
      <c r="E11659" s="73"/>
      <c r="F11659" s="45"/>
    </row>
    <row r="11660" spans="4:6" x14ac:dyDescent="0.2">
      <c r="D11660" s="50"/>
      <c r="E11660" s="73"/>
      <c r="F11660" s="45"/>
    </row>
    <row r="11661" spans="4:6" x14ac:dyDescent="0.2">
      <c r="D11661" s="50"/>
      <c r="E11661" s="73"/>
      <c r="F11661" s="45"/>
    </row>
    <row r="11662" spans="4:6" x14ac:dyDescent="0.2">
      <c r="D11662" s="50"/>
      <c r="E11662" s="73"/>
      <c r="F11662" s="45"/>
    </row>
    <row r="11663" spans="4:6" x14ac:dyDescent="0.2">
      <c r="D11663" s="50"/>
      <c r="E11663" s="73"/>
      <c r="F11663" s="45"/>
    </row>
    <row r="11664" spans="4:6" x14ac:dyDescent="0.2">
      <c r="D11664" s="50"/>
      <c r="E11664" s="73"/>
      <c r="F11664" s="45"/>
    </row>
    <row r="11665" spans="4:6" x14ac:dyDescent="0.2">
      <c r="D11665" s="50"/>
      <c r="E11665" s="73"/>
      <c r="F11665" s="45"/>
    </row>
    <row r="11666" spans="4:6" x14ac:dyDescent="0.2">
      <c r="D11666" s="50"/>
      <c r="E11666" s="73"/>
      <c r="F11666" s="45"/>
    </row>
    <row r="11667" spans="4:6" x14ac:dyDescent="0.2">
      <c r="D11667" s="50"/>
      <c r="E11667" s="73"/>
      <c r="F11667" s="45"/>
    </row>
    <row r="11668" spans="4:6" x14ac:dyDescent="0.2">
      <c r="D11668" s="50"/>
      <c r="E11668" s="73"/>
      <c r="F11668" s="45"/>
    </row>
    <row r="11669" spans="4:6" x14ac:dyDescent="0.2">
      <c r="D11669" s="50"/>
      <c r="E11669" s="73"/>
      <c r="F11669" s="45"/>
    </row>
    <row r="11670" spans="4:6" x14ac:dyDescent="0.2">
      <c r="D11670" s="50"/>
      <c r="E11670" s="73"/>
      <c r="F11670" s="45"/>
    </row>
    <row r="11671" spans="4:6" x14ac:dyDescent="0.2">
      <c r="D11671" s="50"/>
      <c r="E11671" s="73"/>
      <c r="F11671" s="45"/>
    </row>
    <row r="11672" spans="4:6" x14ac:dyDescent="0.2">
      <c r="D11672" s="50"/>
      <c r="E11672" s="73"/>
      <c r="F11672" s="45"/>
    </row>
    <row r="11673" spans="4:6" x14ac:dyDescent="0.2">
      <c r="D11673" s="50"/>
      <c r="E11673" s="73"/>
      <c r="F11673" s="45"/>
    </row>
    <row r="11674" spans="4:6" x14ac:dyDescent="0.2">
      <c r="D11674" s="50"/>
      <c r="E11674" s="73"/>
      <c r="F11674" s="45"/>
    </row>
    <row r="11675" spans="4:6" x14ac:dyDescent="0.2">
      <c r="D11675" s="50"/>
      <c r="E11675" s="73"/>
      <c r="F11675" s="45"/>
    </row>
    <row r="11676" spans="4:6" x14ac:dyDescent="0.2">
      <c r="D11676" s="50"/>
      <c r="E11676" s="73"/>
      <c r="F11676" s="45"/>
    </row>
    <row r="11677" spans="4:6" x14ac:dyDescent="0.2">
      <c r="D11677" s="50"/>
      <c r="E11677" s="73"/>
      <c r="F11677" s="45"/>
    </row>
    <row r="11678" spans="4:6" x14ac:dyDescent="0.2">
      <c r="D11678" s="50"/>
      <c r="E11678" s="73"/>
      <c r="F11678" s="45"/>
    </row>
    <row r="11679" spans="4:6" x14ac:dyDescent="0.2">
      <c r="D11679" s="50"/>
      <c r="E11679" s="73"/>
      <c r="F11679" s="45"/>
    </row>
    <row r="11680" spans="4:6" x14ac:dyDescent="0.2">
      <c r="D11680" s="50"/>
      <c r="E11680" s="73"/>
      <c r="F11680" s="45"/>
    </row>
    <row r="11681" spans="4:6" x14ac:dyDescent="0.2">
      <c r="D11681" s="50"/>
      <c r="E11681" s="73"/>
      <c r="F11681" s="45"/>
    </row>
    <row r="11682" spans="4:6" x14ac:dyDescent="0.2">
      <c r="D11682" s="50"/>
      <c r="E11682" s="73"/>
      <c r="F11682" s="45"/>
    </row>
    <row r="11683" spans="4:6" x14ac:dyDescent="0.2">
      <c r="D11683" s="50"/>
      <c r="E11683" s="73"/>
      <c r="F11683" s="45"/>
    </row>
    <row r="11684" spans="4:6" x14ac:dyDescent="0.2">
      <c r="D11684" s="50"/>
      <c r="E11684" s="73"/>
      <c r="F11684" s="45"/>
    </row>
    <row r="11685" spans="4:6" x14ac:dyDescent="0.2">
      <c r="D11685" s="50"/>
      <c r="E11685" s="73"/>
      <c r="F11685" s="45"/>
    </row>
    <row r="11686" spans="4:6" x14ac:dyDescent="0.2">
      <c r="D11686" s="50"/>
      <c r="E11686" s="73"/>
      <c r="F11686" s="45"/>
    </row>
    <row r="11687" spans="4:6" x14ac:dyDescent="0.2">
      <c r="D11687" s="50"/>
      <c r="E11687" s="73"/>
      <c r="F11687" s="45"/>
    </row>
    <row r="11688" spans="4:6" x14ac:dyDescent="0.2">
      <c r="D11688" s="50"/>
      <c r="E11688" s="73"/>
      <c r="F11688" s="45"/>
    </row>
    <row r="11689" spans="4:6" x14ac:dyDescent="0.2">
      <c r="D11689" s="50"/>
      <c r="E11689" s="73"/>
      <c r="F11689" s="45"/>
    </row>
    <row r="11690" spans="4:6" x14ac:dyDescent="0.2">
      <c r="D11690" s="50"/>
      <c r="E11690" s="73"/>
      <c r="F11690" s="45"/>
    </row>
    <row r="11691" spans="4:6" x14ac:dyDescent="0.2">
      <c r="D11691" s="50"/>
      <c r="E11691" s="73"/>
      <c r="F11691" s="45"/>
    </row>
    <row r="11692" spans="4:6" x14ac:dyDescent="0.2">
      <c r="D11692" s="50"/>
      <c r="E11692" s="73"/>
      <c r="F11692" s="45"/>
    </row>
    <row r="11693" spans="4:6" x14ac:dyDescent="0.2">
      <c r="D11693" s="50"/>
      <c r="E11693" s="73"/>
      <c r="F11693" s="45"/>
    </row>
    <row r="11694" spans="4:6" x14ac:dyDescent="0.2">
      <c r="D11694" s="50"/>
      <c r="E11694" s="73"/>
      <c r="F11694" s="45"/>
    </row>
    <row r="11695" spans="4:6" x14ac:dyDescent="0.2">
      <c r="D11695" s="50"/>
      <c r="E11695" s="73"/>
      <c r="F11695" s="45"/>
    </row>
    <row r="11696" spans="4:6" x14ac:dyDescent="0.2">
      <c r="D11696" s="50"/>
      <c r="E11696" s="73"/>
      <c r="F11696" s="45"/>
    </row>
    <row r="11697" spans="4:6" x14ac:dyDescent="0.2">
      <c r="D11697" s="50"/>
      <c r="E11697" s="73"/>
      <c r="F11697" s="45"/>
    </row>
    <row r="11698" spans="4:6" x14ac:dyDescent="0.2">
      <c r="D11698" s="50"/>
      <c r="E11698" s="73"/>
      <c r="F11698" s="45"/>
    </row>
    <row r="11699" spans="4:6" x14ac:dyDescent="0.2">
      <c r="D11699" s="50"/>
      <c r="E11699" s="73"/>
      <c r="F11699" s="45"/>
    </row>
    <row r="11700" spans="4:6" x14ac:dyDescent="0.2">
      <c r="D11700" s="50"/>
      <c r="E11700" s="73"/>
      <c r="F11700" s="45"/>
    </row>
    <row r="11701" spans="4:6" x14ac:dyDescent="0.2">
      <c r="D11701" s="50"/>
      <c r="E11701" s="73"/>
      <c r="F11701" s="45"/>
    </row>
    <row r="11702" spans="4:6" x14ac:dyDescent="0.2">
      <c r="D11702" s="50"/>
      <c r="E11702" s="73"/>
      <c r="F11702" s="45"/>
    </row>
    <row r="11703" spans="4:6" x14ac:dyDescent="0.2">
      <c r="D11703" s="50"/>
      <c r="E11703" s="73"/>
      <c r="F11703" s="45"/>
    </row>
    <row r="11704" spans="4:6" x14ac:dyDescent="0.2">
      <c r="D11704" s="50"/>
      <c r="E11704" s="73"/>
      <c r="F11704" s="45"/>
    </row>
    <row r="11705" spans="4:6" x14ac:dyDescent="0.2">
      <c r="D11705" s="50"/>
      <c r="E11705" s="73"/>
      <c r="F11705" s="45"/>
    </row>
    <row r="11706" spans="4:6" x14ac:dyDescent="0.2">
      <c r="D11706" s="50"/>
      <c r="E11706" s="73"/>
      <c r="F11706" s="45"/>
    </row>
    <row r="11707" spans="4:6" x14ac:dyDescent="0.2">
      <c r="D11707" s="50"/>
      <c r="E11707" s="73"/>
      <c r="F11707" s="45"/>
    </row>
    <row r="11708" spans="4:6" x14ac:dyDescent="0.2">
      <c r="D11708" s="50"/>
      <c r="E11708" s="73"/>
      <c r="F11708" s="45"/>
    </row>
    <row r="11709" spans="4:6" x14ac:dyDescent="0.2">
      <c r="D11709" s="50"/>
      <c r="E11709" s="73"/>
      <c r="F11709" s="45"/>
    </row>
    <row r="11710" spans="4:6" x14ac:dyDescent="0.2">
      <c r="D11710" s="50"/>
      <c r="E11710" s="73"/>
      <c r="F11710" s="45"/>
    </row>
    <row r="11711" spans="4:6" x14ac:dyDescent="0.2">
      <c r="D11711" s="50"/>
      <c r="E11711" s="73"/>
      <c r="F11711" s="45"/>
    </row>
    <row r="11712" spans="4:6" x14ac:dyDescent="0.2">
      <c r="D11712" s="50"/>
      <c r="E11712" s="73"/>
      <c r="F11712" s="45"/>
    </row>
    <row r="11713" spans="4:6" x14ac:dyDescent="0.2">
      <c r="D11713" s="50"/>
      <c r="E11713" s="73"/>
      <c r="F11713" s="45"/>
    </row>
    <row r="11714" spans="4:6" x14ac:dyDescent="0.2">
      <c r="D11714" s="50"/>
      <c r="E11714" s="73"/>
      <c r="F11714" s="45"/>
    </row>
    <row r="11715" spans="4:6" x14ac:dyDescent="0.2">
      <c r="D11715" s="50"/>
      <c r="E11715" s="73"/>
      <c r="F11715" s="45"/>
    </row>
    <row r="11716" spans="4:6" x14ac:dyDescent="0.2">
      <c r="D11716" s="50"/>
      <c r="E11716" s="73"/>
      <c r="F11716" s="45"/>
    </row>
    <row r="11717" spans="4:6" x14ac:dyDescent="0.2">
      <c r="D11717" s="50"/>
      <c r="E11717" s="73"/>
      <c r="F11717" s="45"/>
    </row>
    <row r="11718" spans="4:6" x14ac:dyDescent="0.2">
      <c r="D11718" s="50"/>
      <c r="E11718" s="73"/>
      <c r="F11718" s="45"/>
    </row>
    <row r="11719" spans="4:6" x14ac:dyDescent="0.2">
      <c r="D11719" s="50"/>
      <c r="E11719" s="73"/>
      <c r="F11719" s="45"/>
    </row>
    <row r="11720" spans="4:6" x14ac:dyDescent="0.2">
      <c r="D11720" s="50"/>
      <c r="E11720" s="73"/>
      <c r="F11720" s="45"/>
    </row>
    <row r="11721" spans="4:6" x14ac:dyDescent="0.2">
      <c r="D11721" s="50"/>
      <c r="E11721" s="73"/>
      <c r="F11721" s="45"/>
    </row>
    <row r="11722" spans="4:6" x14ac:dyDescent="0.2">
      <c r="D11722" s="50"/>
      <c r="E11722" s="73"/>
      <c r="F11722" s="45"/>
    </row>
    <row r="11723" spans="4:6" x14ac:dyDescent="0.2">
      <c r="D11723" s="50"/>
      <c r="E11723" s="73"/>
      <c r="F11723" s="45"/>
    </row>
    <row r="11724" spans="4:6" x14ac:dyDescent="0.2">
      <c r="D11724" s="50"/>
      <c r="E11724" s="73"/>
      <c r="F11724" s="45"/>
    </row>
    <row r="11725" spans="4:6" x14ac:dyDescent="0.2">
      <c r="D11725" s="50"/>
      <c r="E11725" s="73"/>
      <c r="F11725" s="45"/>
    </row>
    <row r="11726" spans="4:6" x14ac:dyDescent="0.2">
      <c r="D11726" s="50"/>
      <c r="E11726" s="73"/>
      <c r="F11726" s="45"/>
    </row>
    <row r="11727" spans="4:6" x14ac:dyDescent="0.2">
      <c r="D11727" s="50"/>
      <c r="E11727" s="73"/>
      <c r="F11727" s="45"/>
    </row>
    <row r="11728" spans="4:6" x14ac:dyDescent="0.2">
      <c r="D11728" s="50"/>
      <c r="E11728" s="73"/>
      <c r="F11728" s="45"/>
    </row>
    <row r="11729" spans="4:6" x14ac:dyDescent="0.2">
      <c r="D11729" s="50"/>
      <c r="E11729" s="73"/>
      <c r="F11729" s="45"/>
    </row>
    <row r="11730" spans="4:6" x14ac:dyDescent="0.2">
      <c r="D11730" s="50"/>
      <c r="E11730" s="73"/>
      <c r="F11730" s="45"/>
    </row>
    <row r="11731" spans="4:6" x14ac:dyDescent="0.2">
      <c r="D11731" s="50"/>
      <c r="E11731" s="73"/>
      <c r="F11731" s="45"/>
    </row>
    <row r="11732" spans="4:6" x14ac:dyDescent="0.2">
      <c r="D11732" s="50"/>
      <c r="E11732" s="73"/>
      <c r="F11732" s="45"/>
    </row>
    <row r="11733" spans="4:6" x14ac:dyDescent="0.2">
      <c r="D11733" s="50"/>
      <c r="E11733" s="73"/>
      <c r="F11733" s="45"/>
    </row>
    <row r="11734" spans="4:6" x14ac:dyDescent="0.2">
      <c r="D11734" s="50"/>
      <c r="E11734" s="73"/>
      <c r="F11734" s="45"/>
    </row>
    <row r="11735" spans="4:6" x14ac:dyDescent="0.2">
      <c r="D11735" s="50"/>
      <c r="E11735" s="73"/>
      <c r="F11735" s="45"/>
    </row>
    <row r="11736" spans="4:6" x14ac:dyDescent="0.2">
      <c r="D11736" s="50"/>
      <c r="E11736" s="73"/>
      <c r="F11736" s="45"/>
    </row>
    <row r="11737" spans="4:6" x14ac:dyDescent="0.2">
      <c r="D11737" s="50"/>
      <c r="E11737" s="73"/>
      <c r="F11737" s="45"/>
    </row>
    <row r="11738" spans="4:6" x14ac:dyDescent="0.2">
      <c r="D11738" s="50"/>
      <c r="E11738" s="73"/>
      <c r="F11738" s="45"/>
    </row>
    <row r="11739" spans="4:6" x14ac:dyDescent="0.2">
      <c r="D11739" s="50"/>
      <c r="E11739" s="73"/>
      <c r="F11739" s="45"/>
    </row>
    <row r="11740" spans="4:6" x14ac:dyDescent="0.2">
      <c r="D11740" s="50"/>
      <c r="E11740" s="73"/>
      <c r="F11740" s="45"/>
    </row>
    <row r="11741" spans="4:6" x14ac:dyDescent="0.2">
      <c r="D11741" s="50"/>
      <c r="E11741" s="73"/>
      <c r="F11741" s="45"/>
    </row>
    <row r="11742" spans="4:6" x14ac:dyDescent="0.2">
      <c r="D11742" s="50"/>
      <c r="E11742" s="73"/>
      <c r="F11742" s="45"/>
    </row>
    <row r="11743" spans="4:6" x14ac:dyDescent="0.2">
      <c r="D11743" s="50"/>
      <c r="E11743" s="73"/>
      <c r="F11743" s="45"/>
    </row>
    <row r="11744" spans="4:6" x14ac:dyDescent="0.2">
      <c r="D11744" s="50"/>
      <c r="E11744" s="73"/>
      <c r="F11744" s="45"/>
    </row>
    <row r="11745" spans="4:6" x14ac:dyDescent="0.2">
      <c r="D11745" s="50"/>
      <c r="E11745" s="73"/>
      <c r="F11745" s="45"/>
    </row>
    <row r="11746" spans="4:6" x14ac:dyDescent="0.2">
      <c r="D11746" s="50"/>
      <c r="E11746" s="73"/>
      <c r="F11746" s="45"/>
    </row>
    <row r="11747" spans="4:6" x14ac:dyDescent="0.2">
      <c r="D11747" s="50"/>
      <c r="E11747" s="73"/>
      <c r="F11747" s="45"/>
    </row>
    <row r="11748" spans="4:6" x14ac:dyDescent="0.2">
      <c r="D11748" s="50"/>
      <c r="E11748" s="73"/>
      <c r="F11748" s="45"/>
    </row>
    <row r="11749" spans="4:6" x14ac:dyDescent="0.2">
      <c r="D11749" s="50"/>
      <c r="E11749" s="73"/>
      <c r="F11749" s="45"/>
    </row>
    <row r="11750" spans="4:6" x14ac:dyDescent="0.2">
      <c r="D11750" s="50"/>
      <c r="E11750" s="73"/>
      <c r="F11750" s="45"/>
    </row>
    <row r="11751" spans="4:6" x14ac:dyDescent="0.2">
      <c r="D11751" s="50"/>
      <c r="E11751" s="73"/>
      <c r="F11751" s="45"/>
    </row>
    <row r="11752" spans="4:6" x14ac:dyDescent="0.2">
      <c r="D11752" s="50"/>
      <c r="E11752" s="73"/>
      <c r="F11752" s="45"/>
    </row>
    <row r="11753" spans="4:6" x14ac:dyDescent="0.2">
      <c r="D11753" s="50"/>
      <c r="E11753" s="73"/>
      <c r="F11753" s="45"/>
    </row>
    <row r="11754" spans="4:6" x14ac:dyDescent="0.2">
      <c r="D11754" s="50"/>
      <c r="E11754" s="73"/>
      <c r="F11754" s="45"/>
    </row>
    <row r="11755" spans="4:6" x14ac:dyDescent="0.2">
      <c r="D11755" s="50"/>
      <c r="E11755" s="73"/>
      <c r="F11755" s="45"/>
    </row>
    <row r="11756" spans="4:6" x14ac:dyDescent="0.2">
      <c r="D11756" s="50"/>
      <c r="E11756" s="73"/>
      <c r="F11756" s="45"/>
    </row>
    <row r="11757" spans="4:6" x14ac:dyDescent="0.2">
      <c r="D11757" s="50"/>
      <c r="E11757" s="73"/>
      <c r="F11757" s="45"/>
    </row>
    <row r="11758" spans="4:6" x14ac:dyDescent="0.2">
      <c r="D11758" s="50"/>
      <c r="E11758" s="73"/>
      <c r="F11758" s="45"/>
    </row>
    <row r="11759" spans="4:6" x14ac:dyDescent="0.2">
      <c r="D11759" s="50"/>
      <c r="E11759" s="73"/>
      <c r="F11759" s="45"/>
    </row>
    <row r="11760" spans="4:6" x14ac:dyDescent="0.2">
      <c r="D11760" s="50"/>
      <c r="E11760" s="73"/>
      <c r="F11760" s="45"/>
    </row>
    <row r="11761" spans="4:6" x14ac:dyDescent="0.2">
      <c r="D11761" s="50"/>
      <c r="E11761" s="73"/>
      <c r="F11761" s="45"/>
    </row>
    <row r="11762" spans="4:6" x14ac:dyDescent="0.2">
      <c r="D11762" s="50"/>
      <c r="E11762" s="73"/>
      <c r="F11762" s="45"/>
    </row>
    <row r="11763" spans="4:6" x14ac:dyDescent="0.2">
      <c r="D11763" s="50"/>
      <c r="E11763" s="73"/>
      <c r="F11763" s="45"/>
    </row>
    <row r="11764" spans="4:6" x14ac:dyDescent="0.2">
      <c r="D11764" s="50"/>
      <c r="E11764" s="73"/>
      <c r="F11764" s="45"/>
    </row>
    <row r="11765" spans="4:6" x14ac:dyDescent="0.2">
      <c r="D11765" s="50"/>
      <c r="E11765" s="73"/>
      <c r="F11765" s="45"/>
    </row>
    <row r="11766" spans="4:6" x14ac:dyDescent="0.2">
      <c r="D11766" s="50"/>
      <c r="E11766" s="73"/>
      <c r="F11766" s="45"/>
    </row>
    <row r="11767" spans="4:6" x14ac:dyDescent="0.2">
      <c r="D11767" s="50"/>
      <c r="E11767" s="73"/>
      <c r="F11767" s="45"/>
    </row>
    <row r="11768" spans="4:6" x14ac:dyDescent="0.2">
      <c r="D11768" s="50"/>
      <c r="E11768" s="73"/>
      <c r="F11768" s="45"/>
    </row>
    <row r="11769" spans="4:6" x14ac:dyDescent="0.2">
      <c r="D11769" s="50"/>
      <c r="E11769" s="73"/>
      <c r="F11769" s="45"/>
    </row>
    <row r="11770" spans="4:6" x14ac:dyDescent="0.2">
      <c r="D11770" s="50"/>
      <c r="E11770" s="73"/>
      <c r="F11770" s="45"/>
    </row>
    <row r="11771" spans="4:6" x14ac:dyDescent="0.2">
      <c r="D11771" s="50"/>
      <c r="E11771" s="73"/>
      <c r="F11771" s="45"/>
    </row>
    <row r="11772" spans="4:6" x14ac:dyDescent="0.2">
      <c r="D11772" s="50"/>
      <c r="E11772" s="73"/>
      <c r="F11772" s="45"/>
    </row>
    <row r="11773" spans="4:6" x14ac:dyDescent="0.2">
      <c r="D11773" s="50"/>
      <c r="E11773" s="73"/>
      <c r="F11773" s="45"/>
    </row>
    <row r="11774" spans="4:6" x14ac:dyDescent="0.2">
      <c r="D11774" s="50"/>
      <c r="E11774" s="73"/>
      <c r="F11774" s="45"/>
    </row>
    <row r="11775" spans="4:6" x14ac:dyDescent="0.2">
      <c r="D11775" s="50"/>
      <c r="E11775" s="73"/>
      <c r="F11775" s="45"/>
    </row>
    <row r="11776" spans="4:6" x14ac:dyDescent="0.2">
      <c r="D11776" s="50"/>
      <c r="E11776" s="73"/>
      <c r="F11776" s="45"/>
    </row>
    <row r="11777" spans="4:6" x14ac:dyDescent="0.2">
      <c r="D11777" s="50"/>
      <c r="E11777" s="73"/>
      <c r="F11777" s="45"/>
    </row>
    <row r="11778" spans="4:6" x14ac:dyDescent="0.2">
      <c r="D11778" s="50"/>
      <c r="E11778" s="73"/>
      <c r="F11778" s="45"/>
    </row>
    <row r="11779" spans="4:6" x14ac:dyDescent="0.2">
      <c r="D11779" s="50"/>
      <c r="E11779" s="73"/>
      <c r="F11779" s="45"/>
    </row>
    <row r="11780" spans="4:6" x14ac:dyDescent="0.2">
      <c r="D11780" s="50"/>
      <c r="E11780" s="73"/>
      <c r="F11780" s="45"/>
    </row>
    <row r="11781" spans="4:6" x14ac:dyDescent="0.2">
      <c r="D11781" s="50"/>
      <c r="E11781" s="73"/>
      <c r="F11781" s="45"/>
    </row>
    <row r="11782" spans="4:6" x14ac:dyDescent="0.2">
      <c r="D11782" s="50"/>
      <c r="E11782" s="73"/>
      <c r="F11782" s="45"/>
    </row>
    <row r="11783" spans="4:6" x14ac:dyDescent="0.2">
      <c r="D11783" s="50"/>
      <c r="E11783" s="73"/>
      <c r="F11783" s="45"/>
    </row>
    <row r="11784" spans="4:6" x14ac:dyDescent="0.2">
      <c r="D11784" s="50"/>
      <c r="E11784" s="73"/>
      <c r="F11784" s="45"/>
    </row>
    <row r="11785" spans="4:6" x14ac:dyDescent="0.2">
      <c r="D11785" s="50"/>
      <c r="E11785" s="73"/>
      <c r="F11785" s="45"/>
    </row>
    <row r="11786" spans="4:6" x14ac:dyDescent="0.2">
      <c r="D11786" s="50"/>
      <c r="E11786" s="73"/>
      <c r="F11786" s="45"/>
    </row>
    <row r="11787" spans="4:6" x14ac:dyDescent="0.2">
      <c r="D11787" s="50"/>
      <c r="E11787" s="73"/>
      <c r="F11787" s="45"/>
    </row>
    <row r="11788" spans="4:6" x14ac:dyDescent="0.2">
      <c r="D11788" s="50"/>
      <c r="E11788" s="73"/>
      <c r="F11788" s="45"/>
    </row>
    <row r="11789" spans="4:6" x14ac:dyDescent="0.2">
      <c r="D11789" s="50"/>
      <c r="E11789" s="73"/>
      <c r="F11789" s="45"/>
    </row>
    <row r="11790" spans="4:6" x14ac:dyDescent="0.2">
      <c r="D11790" s="50"/>
      <c r="E11790" s="73"/>
      <c r="F11790" s="45"/>
    </row>
    <row r="11791" spans="4:6" x14ac:dyDescent="0.2">
      <c r="D11791" s="50"/>
      <c r="E11791" s="73"/>
      <c r="F11791" s="45"/>
    </row>
    <row r="11792" spans="4:6" x14ac:dyDescent="0.2">
      <c r="D11792" s="50"/>
      <c r="E11792" s="73"/>
      <c r="F11792" s="45"/>
    </row>
    <row r="11793" spans="4:6" x14ac:dyDescent="0.2">
      <c r="D11793" s="50"/>
      <c r="E11793" s="73"/>
      <c r="F11793" s="45"/>
    </row>
    <row r="11794" spans="4:6" x14ac:dyDescent="0.2">
      <c r="D11794" s="50"/>
      <c r="E11794" s="73"/>
      <c r="F11794" s="45"/>
    </row>
    <row r="11795" spans="4:6" x14ac:dyDescent="0.2">
      <c r="D11795" s="50"/>
      <c r="E11795" s="73"/>
      <c r="F11795" s="45"/>
    </row>
    <row r="11796" spans="4:6" x14ac:dyDescent="0.2">
      <c r="D11796" s="50"/>
      <c r="E11796" s="73"/>
      <c r="F11796" s="45"/>
    </row>
    <row r="11797" spans="4:6" x14ac:dyDescent="0.2">
      <c r="D11797" s="50"/>
      <c r="E11797" s="73"/>
      <c r="F11797" s="45"/>
    </row>
    <row r="11798" spans="4:6" x14ac:dyDescent="0.2">
      <c r="D11798" s="50"/>
      <c r="E11798" s="73"/>
      <c r="F11798" s="45"/>
    </row>
    <row r="11799" spans="4:6" x14ac:dyDescent="0.2">
      <c r="D11799" s="50"/>
      <c r="E11799" s="73"/>
      <c r="F11799" s="45"/>
    </row>
    <row r="11800" spans="4:6" x14ac:dyDescent="0.2">
      <c r="D11800" s="50"/>
      <c r="E11800" s="73"/>
      <c r="F11800" s="45"/>
    </row>
    <row r="11801" spans="4:6" x14ac:dyDescent="0.2">
      <c r="D11801" s="50"/>
      <c r="E11801" s="73"/>
      <c r="F11801" s="45"/>
    </row>
    <row r="11802" spans="4:6" x14ac:dyDescent="0.2">
      <c r="D11802" s="50"/>
      <c r="E11802" s="73"/>
      <c r="F11802" s="45"/>
    </row>
    <row r="11803" spans="4:6" x14ac:dyDescent="0.2">
      <c r="D11803" s="50"/>
      <c r="E11803" s="73"/>
      <c r="F11803" s="45"/>
    </row>
    <row r="11804" spans="4:6" x14ac:dyDescent="0.2">
      <c r="D11804" s="50"/>
      <c r="E11804" s="73"/>
      <c r="F11804" s="45"/>
    </row>
    <row r="11805" spans="4:6" x14ac:dyDescent="0.2">
      <c r="D11805" s="50"/>
      <c r="E11805" s="73"/>
      <c r="F11805" s="45"/>
    </row>
    <row r="11806" spans="4:6" x14ac:dyDescent="0.2">
      <c r="D11806" s="50"/>
      <c r="E11806" s="73"/>
      <c r="F11806" s="45"/>
    </row>
    <row r="11807" spans="4:6" x14ac:dyDescent="0.2">
      <c r="D11807" s="50"/>
      <c r="E11807" s="73"/>
      <c r="F11807" s="45"/>
    </row>
    <row r="11808" spans="4:6" x14ac:dyDescent="0.2">
      <c r="D11808" s="50"/>
      <c r="E11808" s="73"/>
      <c r="F11808" s="45"/>
    </row>
    <row r="11809" spans="4:6" x14ac:dyDescent="0.2">
      <c r="D11809" s="50"/>
      <c r="E11809" s="73"/>
      <c r="F11809" s="45"/>
    </row>
    <row r="11810" spans="4:6" x14ac:dyDescent="0.2">
      <c r="D11810" s="50"/>
      <c r="E11810" s="73"/>
      <c r="F11810" s="45"/>
    </row>
    <row r="11811" spans="4:6" x14ac:dyDescent="0.2">
      <c r="D11811" s="50"/>
      <c r="E11811" s="73"/>
      <c r="F11811" s="45"/>
    </row>
    <row r="11812" spans="4:6" x14ac:dyDescent="0.2">
      <c r="D11812" s="50"/>
      <c r="E11812" s="73"/>
      <c r="F11812" s="45"/>
    </row>
    <row r="11813" spans="4:6" x14ac:dyDescent="0.2">
      <c r="D11813" s="50"/>
      <c r="E11813" s="73"/>
      <c r="F11813" s="45"/>
    </row>
    <row r="11814" spans="4:6" x14ac:dyDescent="0.2">
      <c r="D11814" s="50"/>
      <c r="E11814" s="73"/>
      <c r="F11814" s="45"/>
    </row>
    <row r="11815" spans="4:6" x14ac:dyDescent="0.2">
      <c r="D11815" s="50"/>
      <c r="E11815" s="73"/>
      <c r="F11815" s="45"/>
    </row>
    <row r="11816" spans="4:6" x14ac:dyDescent="0.2">
      <c r="D11816" s="50"/>
      <c r="E11816" s="73"/>
      <c r="F11816" s="45"/>
    </row>
    <row r="11817" spans="4:6" x14ac:dyDescent="0.2">
      <c r="D11817" s="50"/>
      <c r="E11817" s="73"/>
      <c r="F11817" s="45"/>
    </row>
    <row r="11818" spans="4:6" x14ac:dyDescent="0.2">
      <c r="D11818" s="50"/>
      <c r="E11818" s="73"/>
      <c r="F11818" s="45"/>
    </row>
    <row r="11819" spans="4:6" x14ac:dyDescent="0.2">
      <c r="D11819" s="50"/>
      <c r="E11819" s="73"/>
      <c r="F11819" s="45"/>
    </row>
    <row r="11820" spans="4:6" x14ac:dyDescent="0.2">
      <c r="D11820" s="50"/>
      <c r="E11820" s="73"/>
      <c r="F11820" s="45"/>
    </row>
    <row r="11821" spans="4:6" x14ac:dyDescent="0.2">
      <c r="D11821" s="50"/>
      <c r="E11821" s="73"/>
      <c r="F11821" s="45"/>
    </row>
    <row r="11822" spans="4:6" x14ac:dyDescent="0.2">
      <c r="D11822" s="50"/>
      <c r="E11822" s="73"/>
      <c r="F11822" s="45"/>
    </row>
    <row r="11823" spans="4:6" x14ac:dyDescent="0.2">
      <c r="D11823" s="50"/>
      <c r="E11823" s="73"/>
      <c r="F11823" s="45"/>
    </row>
    <row r="11824" spans="4:6" x14ac:dyDescent="0.2">
      <c r="D11824" s="50"/>
      <c r="E11824" s="73"/>
      <c r="F11824" s="45"/>
    </row>
    <row r="11825" spans="4:6" x14ac:dyDescent="0.2">
      <c r="D11825" s="50"/>
      <c r="E11825" s="73"/>
      <c r="F11825" s="45"/>
    </row>
    <row r="11826" spans="4:6" x14ac:dyDescent="0.2">
      <c r="D11826" s="50"/>
      <c r="E11826" s="73"/>
      <c r="F11826" s="45"/>
    </row>
    <row r="11827" spans="4:6" x14ac:dyDescent="0.2">
      <c r="D11827" s="50"/>
      <c r="E11827" s="73"/>
      <c r="F11827" s="45"/>
    </row>
    <row r="11828" spans="4:6" x14ac:dyDescent="0.2">
      <c r="D11828" s="50"/>
      <c r="E11828" s="73"/>
      <c r="F11828" s="45"/>
    </row>
    <row r="11829" spans="4:6" x14ac:dyDescent="0.2">
      <c r="D11829" s="50"/>
      <c r="E11829" s="73"/>
      <c r="F11829" s="45"/>
    </row>
    <row r="11830" spans="4:6" x14ac:dyDescent="0.2">
      <c r="D11830" s="50"/>
      <c r="E11830" s="73"/>
      <c r="F11830" s="45"/>
    </row>
    <row r="11831" spans="4:6" x14ac:dyDescent="0.2">
      <c r="D11831" s="50"/>
      <c r="E11831" s="73"/>
      <c r="F11831" s="45"/>
    </row>
    <row r="11832" spans="4:6" x14ac:dyDescent="0.2">
      <c r="D11832" s="50"/>
      <c r="E11832" s="73"/>
      <c r="F11832" s="45"/>
    </row>
    <row r="11833" spans="4:6" x14ac:dyDescent="0.2">
      <c r="D11833" s="50"/>
      <c r="E11833" s="73"/>
      <c r="F11833" s="45"/>
    </row>
    <row r="11834" spans="4:6" x14ac:dyDescent="0.2">
      <c r="D11834" s="50"/>
      <c r="E11834" s="73"/>
      <c r="F11834" s="45"/>
    </row>
    <row r="11835" spans="4:6" x14ac:dyDescent="0.2">
      <c r="D11835" s="50"/>
      <c r="E11835" s="73"/>
      <c r="F11835" s="45"/>
    </row>
    <row r="11836" spans="4:6" x14ac:dyDescent="0.2">
      <c r="D11836" s="50"/>
      <c r="E11836" s="73"/>
      <c r="F11836" s="45"/>
    </row>
    <row r="11837" spans="4:6" x14ac:dyDescent="0.2">
      <c r="D11837" s="50"/>
      <c r="E11837" s="73"/>
      <c r="F11837" s="45"/>
    </row>
    <row r="11838" spans="4:6" x14ac:dyDescent="0.2">
      <c r="D11838" s="50"/>
      <c r="E11838" s="73"/>
      <c r="F11838" s="45"/>
    </row>
    <row r="11839" spans="4:6" x14ac:dyDescent="0.2">
      <c r="D11839" s="50"/>
      <c r="E11839" s="73"/>
      <c r="F11839" s="45"/>
    </row>
    <row r="11840" spans="4:6" x14ac:dyDescent="0.2">
      <c r="D11840" s="50"/>
      <c r="E11840" s="73"/>
      <c r="F11840" s="45"/>
    </row>
    <row r="11841" spans="4:6" x14ac:dyDescent="0.2">
      <c r="D11841" s="50"/>
      <c r="E11841" s="73"/>
      <c r="F11841" s="45"/>
    </row>
    <row r="11842" spans="4:6" x14ac:dyDescent="0.2">
      <c r="D11842" s="50"/>
      <c r="E11842" s="73"/>
      <c r="F11842" s="45"/>
    </row>
    <row r="11843" spans="4:6" x14ac:dyDescent="0.2">
      <c r="D11843" s="50"/>
      <c r="E11843" s="73"/>
      <c r="F11843" s="45"/>
    </row>
    <row r="11844" spans="4:6" x14ac:dyDescent="0.2">
      <c r="D11844" s="50"/>
      <c r="E11844" s="73"/>
      <c r="F11844" s="45"/>
    </row>
    <row r="11845" spans="4:6" x14ac:dyDescent="0.2">
      <c r="D11845" s="50"/>
      <c r="E11845" s="73"/>
      <c r="F11845" s="45"/>
    </row>
    <row r="11846" spans="4:6" x14ac:dyDescent="0.2">
      <c r="D11846" s="50"/>
      <c r="E11846" s="73"/>
      <c r="F11846" s="45"/>
    </row>
    <row r="11847" spans="4:6" x14ac:dyDescent="0.2">
      <c r="D11847" s="50"/>
      <c r="E11847" s="73"/>
      <c r="F11847" s="45"/>
    </row>
    <row r="11848" spans="4:6" x14ac:dyDescent="0.2">
      <c r="D11848" s="50"/>
      <c r="E11848" s="73"/>
      <c r="F11848" s="45"/>
    </row>
    <row r="11849" spans="4:6" x14ac:dyDescent="0.2">
      <c r="D11849" s="50"/>
      <c r="E11849" s="73"/>
      <c r="F11849" s="45"/>
    </row>
    <row r="11850" spans="4:6" x14ac:dyDescent="0.2">
      <c r="D11850" s="50"/>
      <c r="E11850" s="73"/>
      <c r="F11850" s="45"/>
    </row>
    <row r="11851" spans="4:6" x14ac:dyDescent="0.2">
      <c r="D11851" s="50"/>
      <c r="E11851" s="73"/>
      <c r="F11851" s="45"/>
    </row>
    <row r="11852" spans="4:6" x14ac:dyDescent="0.2">
      <c r="D11852" s="50"/>
      <c r="E11852" s="73"/>
      <c r="F11852" s="45"/>
    </row>
    <row r="11853" spans="4:6" x14ac:dyDescent="0.2">
      <c r="D11853" s="50"/>
      <c r="E11853" s="73"/>
      <c r="F11853" s="45"/>
    </row>
    <row r="11854" spans="4:6" x14ac:dyDescent="0.2">
      <c r="D11854" s="50"/>
      <c r="E11854" s="73"/>
      <c r="F11854" s="45"/>
    </row>
    <row r="11855" spans="4:6" x14ac:dyDescent="0.2">
      <c r="D11855" s="50"/>
      <c r="E11855" s="73"/>
      <c r="F11855" s="45"/>
    </row>
    <row r="11856" spans="4:6" x14ac:dyDescent="0.2">
      <c r="D11856" s="50"/>
      <c r="E11856" s="73"/>
      <c r="F11856" s="45"/>
    </row>
    <row r="11857" spans="4:6" x14ac:dyDescent="0.2">
      <c r="D11857" s="50"/>
      <c r="E11857" s="73"/>
      <c r="F11857" s="45"/>
    </row>
    <row r="11858" spans="4:6" x14ac:dyDescent="0.2">
      <c r="D11858" s="50"/>
      <c r="E11858" s="73"/>
      <c r="F11858" s="45"/>
    </row>
    <row r="11859" spans="4:6" x14ac:dyDescent="0.2">
      <c r="D11859" s="50"/>
      <c r="E11859" s="73"/>
      <c r="F11859" s="45"/>
    </row>
    <row r="11860" spans="4:6" x14ac:dyDescent="0.2">
      <c r="D11860" s="50"/>
      <c r="E11860" s="73"/>
      <c r="F11860" s="45"/>
    </row>
    <row r="11861" spans="4:6" x14ac:dyDescent="0.2">
      <c r="D11861" s="50"/>
      <c r="E11861" s="73"/>
      <c r="F11861" s="45"/>
    </row>
    <row r="11862" spans="4:6" x14ac:dyDescent="0.2">
      <c r="D11862" s="50"/>
      <c r="E11862" s="73"/>
      <c r="F11862" s="45"/>
    </row>
    <row r="11863" spans="4:6" x14ac:dyDescent="0.2">
      <c r="D11863" s="50"/>
      <c r="E11863" s="73"/>
      <c r="F11863" s="45"/>
    </row>
    <row r="11864" spans="4:6" x14ac:dyDescent="0.2">
      <c r="D11864" s="50"/>
      <c r="E11864" s="73"/>
      <c r="F11864" s="45"/>
    </row>
    <row r="11865" spans="4:6" x14ac:dyDescent="0.2">
      <c r="D11865" s="50"/>
      <c r="E11865" s="73"/>
      <c r="F11865" s="45"/>
    </row>
    <row r="11866" spans="4:6" x14ac:dyDescent="0.2">
      <c r="D11866" s="50"/>
      <c r="E11866" s="73"/>
      <c r="F11866" s="45"/>
    </row>
    <row r="11867" spans="4:6" x14ac:dyDescent="0.2">
      <c r="D11867" s="50"/>
      <c r="E11867" s="73"/>
      <c r="F11867" s="45"/>
    </row>
    <row r="11868" spans="4:6" x14ac:dyDescent="0.2">
      <c r="D11868" s="50"/>
      <c r="E11868" s="73"/>
      <c r="F11868" s="45"/>
    </row>
    <row r="11869" spans="4:6" x14ac:dyDescent="0.2">
      <c r="D11869" s="50"/>
      <c r="E11869" s="73"/>
      <c r="F11869" s="45"/>
    </row>
    <row r="11870" spans="4:6" x14ac:dyDescent="0.2">
      <c r="D11870" s="50"/>
      <c r="E11870" s="73"/>
      <c r="F11870" s="45"/>
    </row>
    <row r="11871" spans="4:6" x14ac:dyDescent="0.2">
      <c r="D11871" s="50"/>
      <c r="E11871" s="73"/>
      <c r="F11871" s="45"/>
    </row>
    <row r="11872" spans="4:6" x14ac:dyDescent="0.2">
      <c r="D11872" s="50"/>
      <c r="E11872" s="73"/>
      <c r="F11872" s="45"/>
    </row>
    <row r="11873" spans="4:6" x14ac:dyDescent="0.2">
      <c r="D11873" s="50"/>
      <c r="E11873" s="73"/>
      <c r="F11873" s="45"/>
    </row>
    <row r="11874" spans="4:6" x14ac:dyDescent="0.2">
      <c r="D11874" s="50"/>
      <c r="E11874" s="73"/>
      <c r="F11874" s="45"/>
    </row>
    <row r="11875" spans="4:6" x14ac:dyDescent="0.2">
      <c r="D11875" s="50"/>
      <c r="E11875" s="73"/>
      <c r="F11875" s="45"/>
    </row>
    <row r="11876" spans="4:6" x14ac:dyDescent="0.2">
      <c r="D11876" s="50"/>
      <c r="E11876" s="73"/>
      <c r="F11876" s="45"/>
    </row>
    <row r="11877" spans="4:6" x14ac:dyDescent="0.2">
      <c r="D11877" s="50"/>
      <c r="E11877" s="73"/>
      <c r="F11877" s="45"/>
    </row>
    <row r="11878" spans="4:6" x14ac:dyDescent="0.2">
      <c r="D11878" s="50"/>
      <c r="E11878" s="73"/>
      <c r="F11878" s="45"/>
    </row>
    <row r="11879" spans="4:6" x14ac:dyDescent="0.2">
      <c r="D11879" s="50"/>
      <c r="E11879" s="73"/>
      <c r="F11879" s="45"/>
    </row>
    <row r="11880" spans="4:6" x14ac:dyDescent="0.2">
      <c r="D11880" s="50"/>
      <c r="E11880" s="73"/>
      <c r="F11880" s="45"/>
    </row>
    <row r="11881" spans="4:6" x14ac:dyDescent="0.2">
      <c r="D11881" s="50"/>
      <c r="E11881" s="73"/>
      <c r="F11881" s="45"/>
    </row>
    <row r="11882" spans="4:6" x14ac:dyDescent="0.2">
      <c r="D11882" s="50"/>
      <c r="E11882" s="73"/>
      <c r="F11882" s="45"/>
    </row>
    <row r="11883" spans="4:6" x14ac:dyDescent="0.2">
      <c r="D11883" s="50"/>
      <c r="E11883" s="73"/>
      <c r="F11883" s="45"/>
    </row>
    <row r="11884" spans="4:6" x14ac:dyDescent="0.2">
      <c r="D11884" s="50"/>
      <c r="E11884" s="73"/>
      <c r="F11884" s="45"/>
    </row>
    <row r="11885" spans="4:6" x14ac:dyDescent="0.2">
      <c r="D11885" s="50"/>
      <c r="E11885" s="73"/>
      <c r="F11885" s="45"/>
    </row>
    <row r="11886" spans="4:6" x14ac:dyDescent="0.2">
      <c r="D11886" s="50"/>
      <c r="E11886" s="73"/>
      <c r="F11886" s="45"/>
    </row>
    <row r="11887" spans="4:6" x14ac:dyDescent="0.2">
      <c r="D11887" s="50"/>
      <c r="E11887" s="73"/>
      <c r="F11887" s="45"/>
    </row>
    <row r="11888" spans="4:6" x14ac:dyDescent="0.2">
      <c r="D11888" s="50"/>
      <c r="E11888" s="73"/>
      <c r="F11888" s="45"/>
    </row>
    <row r="11889" spans="4:6" x14ac:dyDescent="0.2">
      <c r="D11889" s="50"/>
      <c r="E11889" s="73"/>
      <c r="F11889" s="45"/>
    </row>
    <row r="11890" spans="4:6" x14ac:dyDescent="0.2">
      <c r="D11890" s="50"/>
      <c r="E11890" s="73"/>
      <c r="F11890" s="45"/>
    </row>
    <row r="11891" spans="4:6" x14ac:dyDescent="0.2">
      <c r="D11891" s="50"/>
      <c r="E11891" s="73"/>
      <c r="F11891" s="45"/>
    </row>
    <row r="11892" spans="4:6" x14ac:dyDescent="0.2">
      <c r="D11892" s="50"/>
      <c r="E11892" s="73"/>
      <c r="F11892" s="45"/>
    </row>
    <row r="11893" spans="4:6" x14ac:dyDescent="0.2">
      <c r="D11893" s="50"/>
      <c r="E11893" s="73"/>
      <c r="F11893" s="45"/>
    </row>
    <row r="11894" spans="4:6" x14ac:dyDescent="0.2">
      <c r="D11894" s="50"/>
      <c r="E11894" s="73"/>
      <c r="F11894" s="45"/>
    </row>
    <row r="11895" spans="4:6" x14ac:dyDescent="0.2">
      <c r="D11895" s="50"/>
      <c r="E11895" s="73"/>
      <c r="F11895" s="45"/>
    </row>
    <row r="11896" spans="4:6" x14ac:dyDescent="0.2">
      <c r="D11896" s="50"/>
      <c r="E11896" s="73"/>
      <c r="F11896" s="45"/>
    </row>
    <row r="11897" spans="4:6" x14ac:dyDescent="0.2">
      <c r="D11897" s="50"/>
      <c r="E11897" s="73"/>
      <c r="F11897" s="45"/>
    </row>
    <row r="11898" spans="4:6" x14ac:dyDescent="0.2">
      <c r="D11898" s="50"/>
      <c r="E11898" s="73"/>
      <c r="F11898" s="45"/>
    </row>
    <row r="11899" spans="4:6" x14ac:dyDescent="0.2">
      <c r="D11899" s="50"/>
      <c r="E11899" s="73"/>
      <c r="F11899" s="45"/>
    </row>
    <row r="11900" spans="4:6" x14ac:dyDescent="0.2">
      <c r="D11900" s="50"/>
      <c r="E11900" s="73"/>
      <c r="F11900" s="45"/>
    </row>
    <row r="11901" spans="4:6" x14ac:dyDescent="0.2">
      <c r="D11901" s="50"/>
      <c r="E11901" s="73"/>
      <c r="F11901" s="45"/>
    </row>
    <row r="11902" spans="4:6" x14ac:dyDescent="0.2">
      <c r="D11902" s="50"/>
      <c r="E11902" s="73"/>
      <c r="F11902" s="45"/>
    </row>
    <row r="11903" spans="4:6" x14ac:dyDescent="0.2">
      <c r="D11903" s="50"/>
      <c r="E11903" s="73"/>
      <c r="F11903" s="45"/>
    </row>
    <row r="11904" spans="4:6" x14ac:dyDescent="0.2">
      <c r="D11904" s="50"/>
      <c r="E11904" s="73"/>
      <c r="F11904" s="45"/>
    </row>
    <row r="11905" spans="4:6" x14ac:dyDescent="0.2">
      <c r="D11905" s="50"/>
      <c r="E11905" s="73"/>
      <c r="F11905" s="45"/>
    </row>
    <row r="11906" spans="4:6" x14ac:dyDescent="0.2">
      <c r="D11906" s="50"/>
      <c r="E11906" s="73"/>
      <c r="F11906" s="45"/>
    </row>
    <row r="11907" spans="4:6" x14ac:dyDescent="0.2">
      <c r="D11907" s="50"/>
      <c r="E11907" s="73"/>
      <c r="F11907" s="45"/>
    </row>
    <row r="11908" spans="4:6" x14ac:dyDescent="0.2">
      <c r="D11908" s="50"/>
      <c r="E11908" s="73"/>
      <c r="F11908" s="45"/>
    </row>
    <row r="11909" spans="4:6" x14ac:dyDescent="0.2">
      <c r="D11909" s="50"/>
      <c r="E11909" s="73"/>
      <c r="F11909" s="45"/>
    </row>
    <row r="11910" spans="4:6" x14ac:dyDescent="0.2">
      <c r="D11910" s="50"/>
      <c r="E11910" s="73"/>
      <c r="F11910" s="45"/>
    </row>
    <row r="11911" spans="4:6" x14ac:dyDescent="0.2">
      <c r="D11911" s="50"/>
      <c r="E11911" s="73"/>
      <c r="F11911" s="45"/>
    </row>
    <row r="11912" spans="4:6" x14ac:dyDescent="0.2">
      <c r="D11912" s="50"/>
      <c r="E11912" s="73"/>
      <c r="F11912" s="45"/>
    </row>
    <row r="11913" spans="4:6" x14ac:dyDescent="0.2">
      <c r="D11913" s="50"/>
      <c r="E11913" s="73"/>
      <c r="F11913" s="45"/>
    </row>
    <row r="11914" spans="4:6" x14ac:dyDescent="0.2">
      <c r="D11914" s="50"/>
      <c r="E11914" s="73"/>
      <c r="F11914" s="45"/>
    </row>
    <row r="11915" spans="4:6" x14ac:dyDescent="0.2">
      <c r="D11915" s="50"/>
      <c r="E11915" s="73"/>
      <c r="F11915" s="45"/>
    </row>
    <row r="11916" spans="4:6" x14ac:dyDescent="0.2">
      <c r="D11916" s="50"/>
      <c r="E11916" s="73"/>
      <c r="F11916" s="45"/>
    </row>
    <row r="11917" spans="4:6" x14ac:dyDescent="0.2">
      <c r="D11917" s="50"/>
      <c r="E11917" s="73"/>
      <c r="F11917" s="45"/>
    </row>
    <row r="11918" spans="4:6" x14ac:dyDescent="0.2">
      <c r="D11918" s="50"/>
      <c r="E11918" s="73"/>
      <c r="F11918" s="45"/>
    </row>
    <row r="11919" spans="4:6" x14ac:dyDescent="0.2">
      <c r="D11919" s="50"/>
      <c r="E11919" s="73"/>
      <c r="F11919" s="45"/>
    </row>
    <row r="11920" spans="4:6" x14ac:dyDescent="0.2">
      <c r="D11920" s="50"/>
      <c r="E11920" s="73"/>
      <c r="F11920" s="45"/>
    </row>
    <row r="11921" spans="4:6" x14ac:dyDescent="0.2">
      <c r="D11921" s="50"/>
      <c r="E11921" s="73"/>
      <c r="F11921" s="45"/>
    </row>
    <row r="11922" spans="4:6" x14ac:dyDescent="0.2">
      <c r="D11922" s="50"/>
      <c r="E11922" s="73"/>
      <c r="F11922" s="45"/>
    </row>
    <row r="11923" spans="4:6" x14ac:dyDescent="0.2">
      <c r="D11923" s="50"/>
      <c r="E11923" s="73"/>
      <c r="F11923" s="45"/>
    </row>
    <row r="11924" spans="4:6" x14ac:dyDescent="0.2">
      <c r="D11924" s="50"/>
      <c r="E11924" s="73"/>
      <c r="F11924" s="45"/>
    </row>
    <row r="11925" spans="4:6" x14ac:dyDescent="0.2">
      <c r="D11925" s="50"/>
      <c r="E11925" s="73"/>
      <c r="F11925" s="45"/>
    </row>
    <row r="11926" spans="4:6" x14ac:dyDescent="0.2">
      <c r="D11926" s="50"/>
      <c r="E11926" s="73"/>
      <c r="F11926" s="45"/>
    </row>
    <row r="11927" spans="4:6" x14ac:dyDescent="0.2">
      <c r="D11927" s="50"/>
      <c r="E11927" s="73"/>
      <c r="F11927" s="45"/>
    </row>
    <row r="11928" spans="4:6" x14ac:dyDescent="0.2">
      <c r="D11928" s="50"/>
      <c r="E11928" s="73"/>
      <c r="F11928" s="45"/>
    </row>
    <row r="11929" spans="4:6" x14ac:dyDescent="0.2">
      <c r="D11929" s="50"/>
      <c r="E11929" s="73"/>
      <c r="F11929" s="45"/>
    </row>
    <row r="11930" spans="4:6" x14ac:dyDescent="0.2">
      <c r="D11930" s="50"/>
      <c r="E11930" s="73"/>
      <c r="F11930" s="45"/>
    </row>
    <row r="11931" spans="4:6" x14ac:dyDescent="0.2">
      <c r="D11931" s="50"/>
      <c r="E11931" s="73"/>
      <c r="F11931" s="45"/>
    </row>
    <row r="11932" spans="4:6" x14ac:dyDescent="0.2">
      <c r="D11932" s="50"/>
      <c r="E11932" s="73"/>
      <c r="F11932" s="45"/>
    </row>
    <row r="11933" spans="4:6" x14ac:dyDescent="0.2">
      <c r="D11933" s="50"/>
      <c r="E11933" s="73"/>
      <c r="F11933" s="45"/>
    </row>
    <row r="11934" spans="4:6" x14ac:dyDescent="0.2">
      <c r="D11934" s="50"/>
      <c r="E11934" s="73"/>
      <c r="F11934" s="45"/>
    </row>
    <row r="11935" spans="4:6" x14ac:dyDescent="0.2">
      <c r="D11935" s="50"/>
      <c r="E11935" s="73"/>
      <c r="F11935" s="45"/>
    </row>
    <row r="11936" spans="4:6" x14ac:dyDescent="0.2">
      <c r="D11936" s="50"/>
      <c r="E11936" s="73"/>
      <c r="F11936" s="45"/>
    </row>
    <row r="11937" spans="4:6" x14ac:dyDescent="0.2">
      <c r="D11937" s="50"/>
      <c r="E11937" s="73"/>
      <c r="F11937" s="45"/>
    </row>
    <row r="11938" spans="4:6" x14ac:dyDescent="0.2">
      <c r="D11938" s="50"/>
      <c r="E11938" s="73"/>
      <c r="F11938" s="45"/>
    </row>
    <row r="11939" spans="4:6" x14ac:dyDescent="0.2">
      <c r="D11939" s="50"/>
      <c r="E11939" s="73"/>
      <c r="F11939" s="45"/>
    </row>
    <row r="11940" spans="4:6" x14ac:dyDescent="0.2">
      <c r="D11940" s="50"/>
      <c r="E11940" s="73"/>
      <c r="F11940" s="45"/>
    </row>
    <row r="11941" spans="4:6" x14ac:dyDescent="0.2">
      <c r="D11941" s="50"/>
      <c r="E11941" s="73"/>
      <c r="F11941" s="45"/>
    </row>
    <row r="11942" spans="4:6" x14ac:dyDescent="0.2">
      <c r="D11942" s="50"/>
      <c r="E11942" s="73"/>
      <c r="F11942" s="45"/>
    </row>
    <row r="11943" spans="4:6" x14ac:dyDescent="0.2">
      <c r="D11943" s="50"/>
      <c r="E11943" s="73"/>
      <c r="F11943" s="45"/>
    </row>
    <row r="11944" spans="4:6" x14ac:dyDescent="0.2">
      <c r="D11944" s="50"/>
      <c r="E11944" s="73"/>
      <c r="F11944" s="45"/>
    </row>
    <row r="11945" spans="4:6" x14ac:dyDescent="0.2">
      <c r="D11945" s="50"/>
      <c r="E11945" s="73"/>
      <c r="F11945" s="45"/>
    </row>
    <row r="11946" spans="4:6" x14ac:dyDescent="0.2">
      <c r="D11946" s="50"/>
      <c r="E11946" s="73"/>
      <c r="F11946" s="45"/>
    </row>
    <row r="11947" spans="4:6" x14ac:dyDescent="0.2">
      <c r="D11947" s="50"/>
      <c r="E11947" s="73"/>
      <c r="F11947" s="45"/>
    </row>
    <row r="11948" spans="4:6" x14ac:dyDescent="0.2">
      <c r="D11948" s="50"/>
      <c r="E11948" s="73"/>
      <c r="F11948" s="45"/>
    </row>
    <row r="11949" spans="4:6" x14ac:dyDescent="0.2">
      <c r="D11949" s="50"/>
      <c r="E11949" s="73"/>
      <c r="F11949" s="45"/>
    </row>
    <row r="11950" spans="4:6" x14ac:dyDescent="0.2">
      <c r="D11950" s="50"/>
      <c r="E11950" s="73"/>
      <c r="F11950" s="45"/>
    </row>
    <row r="11951" spans="4:6" x14ac:dyDescent="0.2">
      <c r="D11951" s="50"/>
      <c r="E11951" s="73"/>
      <c r="F11951" s="45"/>
    </row>
    <row r="11952" spans="4:6" x14ac:dyDescent="0.2">
      <c r="D11952" s="50"/>
      <c r="E11952" s="73"/>
      <c r="F11952" s="45"/>
    </row>
    <row r="11953" spans="4:6" x14ac:dyDescent="0.2">
      <c r="D11953" s="50"/>
      <c r="E11953" s="73"/>
      <c r="F11953" s="45"/>
    </row>
    <row r="11954" spans="4:6" x14ac:dyDescent="0.2">
      <c r="D11954" s="50"/>
      <c r="E11954" s="73"/>
      <c r="F11954" s="45"/>
    </row>
    <row r="11955" spans="4:6" x14ac:dyDescent="0.2">
      <c r="D11955" s="50"/>
      <c r="E11955" s="73"/>
      <c r="F11955" s="45"/>
    </row>
    <row r="11956" spans="4:6" x14ac:dyDescent="0.2">
      <c r="D11956" s="50"/>
      <c r="E11956" s="73"/>
      <c r="F11956" s="45"/>
    </row>
    <row r="11957" spans="4:6" x14ac:dyDescent="0.2">
      <c r="D11957" s="50"/>
      <c r="E11957" s="73"/>
      <c r="F11957" s="45"/>
    </row>
    <row r="11958" spans="4:6" x14ac:dyDescent="0.2">
      <c r="D11958" s="50"/>
      <c r="E11958" s="73"/>
      <c r="F11958" s="45"/>
    </row>
    <row r="11959" spans="4:6" x14ac:dyDescent="0.2">
      <c r="D11959" s="50"/>
      <c r="E11959" s="73"/>
      <c r="F11959" s="45"/>
    </row>
    <row r="11960" spans="4:6" x14ac:dyDescent="0.2">
      <c r="D11960" s="50"/>
      <c r="E11960" s="73"/>
      <c r="F11960" s="45"/>
    </row>
    <row r="11961" spans="4:6" x14ac:dyDescent="0.2">
      <c r="D11961" s="50"/>
      <c r="E11961" s="73"/>
      <c r="F11961" s="45"/>
    </row>
    <row r="11962" spans="4:6" x14ac:dyDescent="0.2">
      <c r="D11962" s="50"/>
      <c r="E11962" s="73"/>
      <c r="F11962" s="45"/>
    </row>
    <row r="11963" spans="4:6" x14ac:dyDescent="0.2">
      <c r="D11963" s="50"/>
      <c r="E11963" s="73"/>
      <c r="F11963" s="45"/>
    </row>
    <row r="11964" spans="4:6" x14ac:dyDescent="0.2">
      <c r="D11964" s="50"/>
      <c r="E11964" s="73"/>
      <c r="F11964" s="45"/>
    </row>
    <row r="11965" spans="4:6" x14ac:dyDescent="0.2">
      <c r="D11965" s="50"/>
      <c r="E11965" s="73"/>
      <c r="F11965" s="45"/>
    </row>
    <row r="11966" spans="4:6" x14ac:dyDescent="0.2">
      <c r="D11966" s="50"/>
      <c r="E11966" s="73"/>
      <c r="F11966" s="45"/>
    </row>
    <row r="11967" spans="4:6" x14ac:dyDescent="0.2">
      <c r="D11967" s="50"/>
      <c r="E11967" s="73"/>
      <c r="F11967" s="45"/>
    </row>
    <row r="11968" spans="4:6" x14ac:dyDescent="0.2">
      <c r="D11968" s="50"/>
      <c r="E11968" s="73"/>
      <c r="F11968" s="45"/>
    </row>
    <row r="11969" spans="4:6" x14ac:dyDescent="0.2">
      <c r="D11969" s="50"/>
      <c r="E11969" s="73"/>
      <c r="F11969" s="45"/>
    </row>
    <row r="11970" spans="4:6" x14ac:dyDescent="0.2">
      <c r="D11970" s="50"/>
      <c r="E11970" s="73"/>
      <c r="F11970" s="45"/>
    </row>
    <row r="11971" spans="4:6" x14ac:dyDescent="0.2">
      <c r="D11971" s="50"/>
      <c r="E11971" s="73"/>
      <c r="F11971" s="45"/>
    </row>
    <row r="11972" spans="4:6" x14ac:dyDescent="0.2">
      <c r="D11972" s="50"/>
      <c r="E11972" s="73"/>
      <c r="F11972" s="45"/>
    </row>
    <row r="11973" spans="4:6" x14ac:dyDescent="0.2">
      <c r="D11973" s="50"/>
      <c r="E11973" s="73"/>
      <c r="F11973" s="45"/>
    </row>
    <row r="11974" spans="4:6" x14ac:dyDescent="0.2">
      <c r="D11974" s="50"/>
      <c r="E11974" s="73"/>
      <c r="F11974" s="45"/>
    </row>
    <row r="11975" spans="4:6" x14ac:dyDescent="0.2">
      <c r="D11975" s="50"/>
      <c r="E11975" s="73"/>
      <c r="F11975" s="45"/>
    </row>
    <row r="11976" spans="4:6" x14ac:dyDescent="0.2">
      <c r="D11976" s="50"/>
      <c r="E11976" s="73"/>
      <c r="F11976" s="45"/>
    </row>
    <row r="11977" spans="4:6" x14ac:dyDescent="0.2">
      <c r="D11977" s="50"/>
      <c r="E11977" s="73"/>
      <c r="F11977" s="45"/>
    </row>
    <row r="11978" spans="4:6" x14ac:dyDescent="0.2">
      <c r="D11978" s="50"/>
      <c r="E11978" s="73"/>
      <c r="F11978" s="45"/>
    </row>
    <row r="11979" spans="4:6" x14ac:dyDescent="0.2">
      <c r="D11979" s="50"/>
      <c r="E11979" s="73"/>
      <c r="F11979" s="45"/>
    </row>
    <row r="11980" spans="4:6" x14ac:dyDescent="0.2">
      <c r="D11980" s="50"/>
      <c r="E11980" s="73"/>
      <c r="F11980" s="45"/>
    </row>
    <row r="11981" spans="4:6" x14ac:dyDescent="0.2">
      <c r="D11981" s="50"/>
      <c r="E11981" s="73"/>
      <c r="F11981" s="45"/>
    </row>
    <row r="11982" spans="4:6" x14ac:dyDescent="0.2">
      <c r="D11982" s="50"/>
      <c r="E11982" s="73"/>
      <c r="F11982" s="45"/>
    </row>
    <row r="11983" spans="4:6" x14ac:dyDescent="0.2">
      <c r="D11983" s="50"/>
      <c r="E11983" s="73"/>
      <c r="F11983" s="45"/>
    </row>
    <row r="11984" spans="4:6" x14ac:dyDescent="0.2">
      <c r="D11984" s="50"/>
      <c r="E11984" s="73"/>
      <c r="F11984" s="45"/>
    </row>
    <row r="11985" spans="4:6" x14ac:dyDescent="0.2">
      <c r="D11985" s="50"/>
      <c r="E11985" s="73"/>
      <c r="F11985" s="45"/>
    </row>
    <row r="11986" spans="4:6" x14ac:dyDescent="0.2">
      <c r="D11986" s="50"/>
      <c r="E11986" s="73"/>
      <c r="F11986" s="45"/>
    </row>
    <row r="11987" spans="4:6" x14ac:dyDescent="0.2">
      <c r="D11987" s="50"/>
      <c r="E11987" s="73"/>
      <c r="F11987" s="45"/>
    </row>
    <row r="11988" spans="4:6" x14ac:dyDescent="0.2">
      <c r="D11988" s="50"/>
      <c r="E11988" s="73"/>
      <c r="F11988" s="45"/>
    </row>
    <row r="11989" spans="4:6" x14ac:dyDescent="0.2">
      <c r="D11989" s="50"/>
      <c r="E11989" s="73"/>
      <c r="F11989" s="45"/>
    </row>
    <row r="11990" spans="4:6" x14ac:dyDescent="0.2">
      <c r="D11990" s="50"/>
      <c r="E11990" s="73"/>
      <c r="F11990" s="45"/>
    </row>
    <row r="11991" spans="4:6" x14ac:dyDescent="0.2">
      <c r="D11991" s="50"/>
      <c r="E11991" s="73"/>
      <c r="F11991" s="45"/>
    </row>
    <row r="11992" spans="4:6" x14ac:dyDescent="0.2">
      <c r="D11992" s="50"/>
      <c r="E11992" s="73"/>
      <c r="F11992" s="45"/>
    </row>
    <row r="11993" spans="4:6" x14ac:dyDescent="0.2">
      <c r="D11993" s="50"/>
      <c r="E11993" s="73"/>
      <c r="F11993" s="45"/>
    </row>
    <row r="11994" spans="4:6" x14ac:dyDescent="0.2">
      <c r="D11994" s="50"/>
      <c r="E11994" s="73"/>
      <c r="F11994" s="45"/>
    </row>
    <row r="11995" spans="4:6" x14ac:dyDescent="0.2">
      <c r="D11995" s="50"/>
      <c r="E11995" s="73"/>
      <c r="F11995" s="45"/>
    </row>
    <row r="11996" spans="4:6" x14ac:dyDescent="0.2">
      <c r="D11996" s="50"/>
      <c r="E11996" s="73"/>
      <c r="F11996" s="45"/>
    </row>
    <row r="11997" spans="4:6" x14ac:dyDescent="0.2">
      <c r="D11997" s="50"/>
      <c r="E11997" s="73"/>
      <c r="F11997" s="45"/>
    </row>
    <row r="11998" spans="4:6" x14ac:dyDescent="0.2">
      <c r="D11998" s="50"/>
      <c r="E11998" s="73"/>
      <c r="F11998" s="45"/>
    </row>
    <row r="11999" spans="4:6" x14ac:dyDescent="0.2">
      <c r="D11999" s="50"/>
      <c r="E11999" s="73"/>
      <c r="F11999" s="45"/>
    </row>
    <row r="12000" spans="4:6" x14ac:dyDescent="0.2">
      <c r="D12000" s="50"/>
      <c r="E12000" s="73"/>
      <c r="F12000" s="45"/>
    </row>
    <row r="12001" spans="4:6" x14ac:dyDescent="0.2">
      <c r="D12001" s="50"/>
      <c r="E12001" s="73"/>
      <c r="F12001" s="45"/>
    </row>
    <row r="12002" spans="4:6" x14ac:dyDescent="0.2">
      <c r="D12002" s="50"/>
      <c r="E12002" s="73"/>
      <c r="F12002" s="45"/>
    </row>
    <row r="12003" spans="4:6" x14ac:dyDescent="0.2">
      <c r="D12003" s="50"/>
      <c r="E12003" s="73"/>
      <c r="F12003" s="45"/>
    </row>
    <row r="12004" spans="4:6" x14ac:dyDescent="0.2">
      <c r="D12004" s="50"/>
      <c r="E12004" s="73"/>
      <c r="F12004" s="45"/>
    </row>
    <row r="12005" spans="4:6" x14ac:dyDescent="0.2">
      <c r="D12005" s="50"/>
      <c r="E12005" s="73"/>
      <c r="F12005" s="45"/>
    </row>
    <row r="12006" spans="4:6" x14ac:dyDescent="0.2">
      <c r="D12006" s="50"/>
      <c r="E12006" s="73"/>
      <c r="F12006" s="45"/>
    </row>
    <row r="12007" spans="4:6" x14ac:dyDescent="0.2">
      <c r="D12007" s="50"/>
      <c r="E12007" s="73"/>
      <c r="F12007" s="45"/>
    </row>
    <row r="12008" spans="4:6" x14ac:dyDescent="0.2">
      <c r="D12008" s="50"/>
      <c r="E12008" s="73"/>
      <c r="F12008" s="45"/>
    </row>
    <row r="12009" spans="4:6" x14ac:dyDescent="0.2">
      <c r="D12009" s="50"/>
      <c r="E12009" s="73"/>
      <c r="F12009" s="45"/>
    </row>
    <row r="12010" spans="4:6" x14ac:dyDescent="0.2">
      <c r="D12010" s="50"/>
      <c r="E12010" s="73"/>
      <c r="F12010" s="45"/>
    </row>
    <row r="12011" spans="4:6" x14ac:dyDescent="0.2">
      <c r="D12011" s="50"/>
      <c r="E12011" s="73"/>
      <c r="F12011" s="45"/>
    </row>
    <row r="12012" spans="4:6" x14ac:dyDescent="0.2">
      <c r="D12012" s="50"/>
      <c r="E12012" s="73"/>
      <c r="F12012" s="45"/>
    </row>
    <row r="12013" spans="4:6" x14ac:dyDescent="0.2">
      <c r="D12013" s="50"/>
      <c r="E12013" s="73"/>
      <c r="F12013" s="45"/>
    </row>
    <row r="12014" spans="4:6" x14ac:dyDescent="0.2">
      <c r="D12014" s="50"/>
      <c r="E12014" s="73"/>
      <c r="F12014" s="45"/>
    </row>
    <row r="12015" spans="4:6" x14ac:dyDescent="0.2">
      <c r="D12015" s="50"/>
      <c r="E12015" s="73"/>
      <c r="F12015" s="45"/>
    </row>
    <row r="12016" spans="4:6" x14ac:dyDescent="0.2">
      <c r="D12016" s="50"/>
      <c r="E12016" s="73"/>
      <c r="F12016" s="45"/>
    </row>
    <row r="12017" spans="4:6" x14ac:dyDescent="0.2">
      <c r="D12017" s="50"/>
      <c r="E12017" s="73"/>
      <c r="F12017" s="45"/>
    </row>
    <row r="12018" spans="4:6" x14ac:dyDescent="0.2">
      <c r="D12018" s="50"/>
      <c r="E12018" s="73"/>
      <c r="F12018" s="45"/>
    </row>
    <row r="12019" spans="4:6" x14ac:dyDescent="0.2">
      <c r="D12019" s="50"/>
      <c r="E12019" s="73"/>
      <c r="F12019" s="45"/>
    </row>
    <row r="12020" spans="4:6" x14ac:dyDescent="0.2">
      <c r="D12020" s="50"/>
      <c r="E12020" s="73"/>
      <c r="F12020" s="45"/>
    </row>
    <row r="12021" spans="4:6" x14ac:dyDescent="0.2">
      <c r="D12021" s="50"/>
      <c r="E12021" s="73"/>
      <c r="F12021" s="45"/>
    </row>
    <row r="12022" spans="4:6" x14ac:dyDescent="0.2">
      <c r="D12022" s="50"/>
      <c r="E12022" s="73"/>
      <c r="F12022" s="45"/>
    </row>
    <row r="12023" spans="4:6" x14ac:dyDescent="0.2">
      <c r="D12023" s="50"/>
      <c r="E12023" s="73"/>
      <c r="F12023" s="45"/>
    </row>
    <row r="12024" spans="4:6" x14ac:dyDescent="0.2">
      <c r="D12024" s="50"/>
      <c r="E12024" s="73"/>
      <c r="F12024" s="45"/>
    </row>
    <row r="12025" spans="4:6" x14ac:dyDescent="0.2">
      <c r="D12025" s="50"/>
      <c r="E12025" s="73"/>
      <c r="F12025" s="45"/>
    </row>
    <row r="12026" spans="4:6" x14ac:dyDescent="0.2">
      <c r="D12026" s="50"/>
      <c r="E12026" s="73"/>
      <c r="F12026" s="45"/>
    </row>
    <row r="12027" spans="4:6" x14ac:dyDescent="0.2">
      <c r="D12027" s="50"/>
      <c r="E12027" s="73"/>
      <c r="F12027" s="45"/>
    </row>
    <row r="12028" spans="4:6" x14ac:dyDescent="0.2">
      <c r="D12028" s="50"/>
      <c r="E12028" s="73"/>
      <c r="F12028" s="45"/>
    </row>
    <row r="12029" spans="4:6" x14ac:dyDescent="0.2">
      <c r="D12029" s="50"/>
      <c r="E12029" s="73"/>
      <c r="F12029" s="45"/>
    </row>
    <row r="12030" spans="4:6" x14ac:dyDescent="0.2">
      <c r="D12030" s="50"/>
      <c r="E12030" s="73"/>
      <c r="F12030" s="45"/>
    </row>
    <row r="12031" spans="4:6" x14ac:dyDescent="0.2">
      <c r="D12031" s="50"/>
      <c r="E12031" s="73"/>
      <c r="F12031" s="45"/>
    </row>
  </sheetData>
  <autoFilter ref="C8:C12031" xr:uid="{1D7C26F1-D221-6842-9E02-A2FFBAD8350A}"/>
  <mergeCells count="12025">
    <mergeCell ref="D44:F44"/>
    <mergeCell ref="D45:F45"/>
    <mergeCell ref="D40:F40"/>
    <mergeCell ref="D41:F41"/>
    <mergeCell ref="D34:F34"/>
    <mergeCell ref="D35:F35"/>
    <mergeCell ref="D28:F28"/>
    <mergeCell ref="D29:F29"/>
    <mergeCell ref="D85:F85"/>
    <mergeCell ref="D86:F86"/>
    <mergeCell ref="D87:F87"/>
    <mergeCell ref="D88:F88"/>
    <mergeCell ref="D89:F89"/>
    <mergeCell ref="D90:F90"/>
    <mergeCell ref="D15:F15"/>
    <mergeCell ref="D16:F16"/>
    <mergeCell ref="D17:F17"/>
    <mergeCell ref="D18:F18"/>
    <mergeCell ref="D19:F19"/>
    <mergeCell ref="D20:F20"/>
    <mergeCell ref="D9:F9"/>
    <mergeCell ref="D10:F10"/>
    <mergeCell ref="D11:F11"/>
    <mergeCell ref="D12:F12"/>
    <mergeCell ref="D13:F13"/>
    <mergeCell ref="D14:F14"/>
    <mergeCell ref="D81:F81"/>
    <mergeCell ref="D82:F82"/>
    <mergeCell ref="D83:F83"/>
    <mergeCell ref="D84:F84"/>
    <mergeCell ref="D75:F75"/>
    <mergeCell ref="D76:F76"/>
    <mergeCell ref="D77:F77"/>
    <mergeCell ref="D78:F78"/>
    <mergeCell ref="D69:F69"/>
    <mergeCell ref="D70:F70"/>
    <mergeCell ref="D71:F71"/>
    <mergeCell ref="D72:F72"/>
    <mergeCell ref="D63:F63"/>
    <mergeCell ref="D64:F64"/>
    <mergeCell ref="D65:F65"/>
    <mergeCell ref="D66:F66"/>
    <mergeCell ref="D52:F52"/>
    <mergeCell ref="D53:F53"/>
    <mergeCell ref="D54:F54"/>
    <mergeCell ref="D55:F55"/>
    <mergeCell ref="D46:F46"/>
    <mergeCell ref="D47:F47"/>
    <mergeCell ref="D48:F48"/>
    <mergeCell ref="D49:F49"/>
    <mergeCell ref="D36:F36"/>
    <mergeCell ref="D37:F37"/>
    <mergeCell ref="D38:F38"/>
    <mergeCell ref="D39:F39"/>
    <mergeCell ref="D30:F30"/>
    <mergeCell ref="D31:F31"/>
    <mergeCell ref="D32:F32"/>
    <mergeCell ref="D33:F33"/>
    <mergeCell ref="D24:F24"/>
    <mergeCell ref="D25:F25"/>
    <mergeCell ref="D26:F26"/>
    <mergeCell ref="D27:F27"/>
    <mergeCell ref="D21:F21"/>
    <mergeCell ref="D22:F22"/>
    <mergeCell ref="D23:F23"/>
    <mergeCell ref="D79:F79"/>
    <mergeCell ref="D80:F80"/>
    <mergeCell ref="D73:F73"/>
    <mergeCell ref="D74:F74"/>
    <mergeCell ref="D67:F67"/>
    <mergeCell ref="D68:F68"/>
    <mergeCell ref="D60:F60"/>
    <mergeCell ref="D121:F121"/>
    <mergeCell ref="D122:F122"/>
    <mergeCell ref="D123:F123"/>
    <mergeCell ref="D124:F124"/>
    <mergeCell ref="D125:F125"/>
    <mergeCell ref="D126:F126"/>
    <mergeCell ref="D115:F115"/>
    <mergeCell ref="D116:F116"/>
    <mergeCell ref="D117:F117"/>
    <mergeCell ref="D118:F118"/>
    <mergeCell ref="D119:F119"/>
    <mergeCell ref="D120:F120"/>
    <mergeCell ref="D109:F109"/>
    <mergeCell ref="D110:F110"/>
    <mergeCell ref="D111:F111"/>
    <mergeCell ref="D112:F112"/>
    <mergeCell ref="D113:F113"/>
    <mergeCell ref="D114:F114"/>
    <mergeCell ref="D103:F103"/>
    <mergeCell ref="D104:F104"/>
    <mergeCell ref="D105:F105"/>
    <mergeCell ref="D106:F106"/>
    <mergeCell ref="D107:F107"/>
    <mergeCell ref="D108:F108"/>
    <mergeCell ref="D97:F97"/>
    <mergeCell ref="D98:F98"/>
    <mergeCell ref="D99:F99"/>
    <mergeCell ref="D100:F100"/>
    <mergeCell ref="D101:F101"/>
    <mergeCell ref="D102:F102"/>
    <mergeCell ref="D91:F91"/>
    <mergeCell ref="D92:F92"/>
    <mergeCell ref="D93:F93"/>
    <mergeCell ref="D94:F94"/>
    <mergeCell ref="D95:F95"/>
    <mergeCell ref="D96:F96"/>
    <mergeCell ref="D61:F61"/>
    <mergeCell ref="D62:F62"/>
    <mergeCell ref="D56:F56"/>
    <mergeCell ref="D57:F57"/>
    <mergeCell ref="D58:F58"/>
    <mergeCell ref="D59:F59"/>
    <mergeCell ref="D50:F50"/>
    <mergeCell ref="D51:F51"/>
    <mergeCell ref="D42:F42"/>
    <mergeCell ref="D43:F43"/>
    <mergeCell ref="D157:F157"/>
    <mergeCell ref="D158:F158"/>
    <mergeCell ref="D159:F159"/>
    <mergeCell ref="D160:F160"/>
    <mergeCell ref="D161:F161"/>
    <mergeCell ref="D162:F162"/>
    <mergeCell ref="D151:F151"/>
    <mergeCell ref="D152:F152"/>
    <mergeCell ref="D153:F153"/>
    <mergeCell ref="D154:F154"/>
    <mergeCell ref="D155:F155"/>
    <mergeCell ref="D156:F156"/>
    <mergeCell ref="D145:F145"/>
    <mergeCell ref="D146:F146"/>
    <mergeCell ref="D147:F147"/>
    <mergeCell ref="D148:F148"/>
    <mergeCell ref="D149:F149"/>
    <mergeCell ref="D150:F150"/>
    <mergeCell ref="D139:F139"/>
    <mergeCell ref="D140:F140"/>
    <mergeCell ref="D141:F141"/>
    <mergeCell ref="D142:F142"/>
    <mergeCell ref="D143:F143"/>
    <mergeCell ref="D144:F144"/>
    <mergeCell ref="D133:F133"/>
    <mergeCell ref="D134:F134"/>
    <mergeCell ref="D135:F135"/>
    <mergeCell ref="D136:F136"/>
    <mergeCell ref="D137:F137"/>
    <mergeCell ref="D138:F138"/>
    <mergeCell ref="D127:F127"/>
    <mergeCell ref="D128:F128"/>
    <mergeCell ref="D129:F129"/>
    <mergeCell ref="D130:F130"/>
    <mergeCell ref="D131:F131"/>
    <mergeCell ref="D132:F132"/>
    <mergeCell ref="D193:F193"/>
    <mergeCell ref="D194:F194"/>
    <mergeCell ref="D195:F195"/>
    <mergeCell ref="D196:F196"/>
    <mergeCell ref="D197:F197"/>
    <mergeCell ref="D198:F198"/>
    <mergeCell ref="D187:F187"/>
    <mergeCell ref="D188:F188"/>
    <mergeCell ref="D189:F189"/>
    <mergeCell ref="D190:F190"/>
    <mergeCell ref="D191:F191"/>
    <mergeCell ref="D192:F192"/>
    <mergeCell ref="D181:F181"/>
    <mergeCell ref="D182:F182"/>
    <mergeCell ref="D183:F183"/>
    <mergeCell ref="D184:F184"/>
    <mergeCell ref="D185:F185"/>
    <mergeCell ref="D186:F186"/>
    <mergeCell ref="D175:F175"/>
    <mergeCell ref="D176:F176"/>
    <mergeCell ref="D177:F177"/>
    <mergeCell ref="D178:F178"/>
    <mergeCell ref="D179:F179"/>
    <mergeCell ref="D180:F180"/>
    <mergeCell ref="D169:F169"/>
    <mergeCell ref="D170:F170"/>
    <mergeCell ref="D171:F171"/>
    <mergeCell ref="D172:F172"/>
    <mergeCell ref="D173:F173"/>
    <mergeCell ref="D174:F174"/>
    <mergeCell ref="D163:F163"/>
    <mergeCell ref="D164:F164"/>
    <mergeCell ref="D165:F165"/>
    <mergeCell ref="D166:F166"/>
    <mergeCell ref="D167:F167"/>
    <mergeCell ref="D168:F168"/>
    <mergeCell ref="D229:F229"/>
    <mergeCell ref="D230:F230"/>
    <mergeCell ref="D231:F231"/>
    <mergeCell ref="D232:F232"/>
    <mergeCell ref="D233:F233"/>
    <mergeCell ref="D234:F234"/>
    <mergeCell ref="D223:F223"/>
    <mergeCell ref="D224:F224"/>
    <mergeCell ref="D225:F225"/>
    <mergeCell ref="D226:F226"/>
    <mergeCell ref="D227:F227"/>
    <mergeCell ref="D228:F228"/>
    <mergeCell ref="D217:F217"/>
    <mergeCell ref="D218:F218"/>
    <mergeCell ref="D219:F219"/>
    <mergeCell ref="D220:F220"/>
    <mergeCell ref="D221:F221"/>
    <mergeCell ref="D222:F222"/>
    <mergeCell ref="D211:F211"/>
    <mergeCell ref="D212:F212"/>
    <mergeCell ref="D213:F213"/>
    <mergeCell ref="D214:F214"/>
    <mergeCell ref="D215:F215"/>
    <mergeCell ref="D216:F216"/>
    <mergeCell ref="D205:F205"/>
    <mergeCell ref="D206:F206"/>
    <mergeCell ref="D207:F207"/>
    <mergeCell ref="D208:F208"/>
    <mergeCell ref="D209:F209"/>
    <mergeCell ref="D210:F210"/>
    <mergeCell ref="D199:F199"/>
    <mergeCell ref="D200:F200"/>
    <mergeCell ref="D201:F201"/>
    <mergeCell ref="D202:F202"/>
    <mergeCell ref="D203:F203"/>
    <mergeCell ref="D204:F204"/>
    <mergeCell ref="D265:F265"/>
    <mergeCell ref="D266:F266"/>
    <mergeCell ref="D267:F267"/>
    <mergeCell ref="D268:F268"/>
    <mergeCell ref="D269:F269"/>
    <mergeCell ref="D270:F270"/>
    <mergeCell ref="D259:F259"/>
    <mergeCell ref="D260:F260"/>
    <mergeCell ref="D261:F261"/>
    <mergeCell ref="D262:F262"/>
    <mergeCell ref="D263:F263"/>
    <mergeCell ref="D264:F264"/>
    <mergeCell ref="D253:F253"/>
    <mergeCell ref="D254:F254"/>
    <mergeCell ref="D255:F255"/>
    <mergeCell ref="D256:F256"/>
    <mergeCell ref="D257:F257"/>
    <mergeCell ref="D258:F258"/>
    <mergeCell ref="D247:F247"/>
    <mergeCell ref="D248:F248"/>
    <mergeCell ref="D249:F249"/>
    <mergeCell ref="D250:F250"/>
    <mergeCell ref="D251:F251"/>
    <mergeCell ref="D252:F252"/>
    <mergeCell ref="D241:F241"/>
    <mergeCell ref="D242:F242"/>
    <mergeCell ref="D243:F243"/>
    <mergeCell ref="D244:F244"/>
    <mergeCell ref="D245:F245"/>
    <mergeCell ref="D246:F246"/>
    <mergeCell ref="D235:F235"/>
    <mergeCell ref="D236:F236"/>
    <mergeCell ref="D237:F237"/>
    <mergeCell ref="D238:F238"/>
    <mergeCell ref="D239:F239"/>
    <mergeCell ref="D240:F240"/>
    <mergeCell ref="D301:F301"/>
    <mergeCell ref="D302:F302"/>
    <mergeCell ref="D303:F303"/>
    <mergeCell ref="D304:F304"/>
    <mergeCell ref="D305:F305"/>
    <mergeCell ref="D306:F306"/>
    <mergeCell ref="D295:F295"/>
    <mergeCell ref="D296:F296"/>
    <mergeCell ref="D297:F297"/>
    <mergeCell ref="D298:F298"/>
    <mergeCell ref="D299:F299"/>
    <mergeCell ref="D300:F300"/>
    <mergeCell ref="D289:F289"/>
    <mergeCell ref="D290:F290"/>
    <mergeCell ref="D291:F291"/>
    <mergeCell ref="D292:F292"/>
    <mergeCell ref="D293:F293"/>
    <mergeCell ref="D294:F294"/>
    <mergeCell ref="D283:F283"/>
    <mergeCell ref="D284:F284"/>
    <mergeCell ref="D285:F285"/>
    <mergeCell ref="D286:F286"/>
    <mergeCell ref="D287:F287"/>
    <mergeCell ref="D288:F288"/>
    <mergeCell ref="D277:F277"/>
    <mergeCell ref="D278:F278"/>
    <mergeCell ref="D279:F279"/>
    <mergeCell ref="D280:F280"/>
    <mergeCell ref="D281:F281"/>
    <mergeCell ref="D282:F282"/>
    <mergeCell ref="D271:F271"/>
    <mergeCell ref="D272:F272"/>
    <mergeCell ref="D273:F273"/>
    <mergeCell ref="D274:F274"/>
    <mergeCell ref="D275:F275"/>
    <mergeCell ref="D276:F276"/>
    <mergeCell ref="D337:F337"/>
    <mergeCell ref="D338:F338"/>
    <mergeCell ref="D339:F339"/>
    <mergeCell ref="D340:F340"/>
    <mergeCell ref="D341:F341"/>
    <mergeCell ref="D342:F342"/>
    <mergeCell ref="D331:F331"/>
    <mergeCell ref="D332:F332"/>
    <mergeCell ref="D333:F333"/>
    <mergeCell ref="D334:F334"/>
    <mergeCell ref="D335:F335"/>
    <mergeCell ref="D336:F336"/>
    <mergeCell ref="D325:F325"/>
    <mergeCell ref="D326:F326"/>
    <mergeCell ref="D327:F327"/>
    <mergeCell ref="D328:F328"/>
    <mergeCell ref="D329:F329"/>
    <mergeCell ref="D330:F330"/>
    <mergeCell ref="D319:F319"/>
    <mergeCell ref="D320:F320"/>
    <mergeCell ref="D321:F321"/>
    <mergeCell ref="D322:F322"/>
    <mergeCell ref="D323:F323"/>
    <mergeCell ref="D324:F324"/>
    <mergeCell ref="D313:F313"/>
    <mergeCell ref="D314:F314"/>
    <mergeCell ref="D315:F315"/>
    <mergeCell ref="D316:F316"/>
    <mergeCell ref="D317:F317"/>
    <mergeCell ref="D318:F318"/>
    <mergeCell ref="D307:F307"/>
    <mergeCell ref="D308:F308"/>
    <mergeCell ref="D309:F309"/>
    <mergeCell ref="D310:F310"/>
    <mergeCell ref="D311:F311"/>
    <mergeCell ref="D312:F312"/>
    <mergeCell ref="D373:F373"/>
    <mergeCell ref="D374:F374"/>
    <mergeCell ref="D375:F375"/>
    <mergeCell ref="D376:F376"/>
    <mergeCell ref="D377:F377"/>
    <mergeCell ref="D378:F378"/>
    <mergeCell ref="D367:F367"/>
    <mergeCell ref="D368:F368"/>
    <mergeCell ref="D369:F369"/>
    <mergeCell ref="D370:F370"/>
    <mergeCell ref="D371:F371"/>
    <mergeCell ref="D372:F372"/>
    <mergeCell ref="D361:F361"/>
    <mergeCell ref="D362:F362"/>
    <mergeCell ref="D363:F363"/>
    <mergeCell ref="D364:F364"/>
    <mergeCell ref="D365:F365"/>
    <mergeCell ref="D366:F366"/>
    <mergeCell ref="D355:F355"/>
    <mergeCell ref="D356:F356"/>
    <mergeCell ref="D357:F357"/>
    <mergeCell ref="D358:F358"/>
    <mergeCell ref="D359:F359"/>
    <mergeCell ref="D360:F360"/>
    <mergeCell ref="D349:F349"/>
    <mergeCell ref="D350:F350"/>
    <mergeCell ref="D351:F351"/>
    <mergeCell ref="D352:F352"/>
    <mergeCell ref="D353:F353"/>
    <mergeCell ref="D354:F354"/>
    <mergeCell ref="D343:F343"/>
    <mergeCell ref="D344:F344"/>
    <mergeCell ref="D345:F345"/>
    <mergeCell ref="D346:F346"/>
    <mergeCell ref="D347:F347"/>
    <mergeCell ref="D348:F348"/>
    <mergeCell ref="D409:F409"/>
    <mergeCell ref="D410:F410"/>
    <mergeCell ref="D411:F411"/>
    <mergeCell ref="D412:F412"/>
    <mergeCell ref="D413:F413"/>
    <mergeCell ref="D414:F414"/>
    <mergeCell ref="D403:F403"/>
    <mergeCell ref="D404:F404"/>
    <mergeCell ref="D405:F405"/>
    <mergeCell ref="D406:F406"/>
    <mergeCell ref="D407:F407"/>
    <mergeCell ref="D408:F408"/>
    <mergeCell ref="D397:F397"/>
    <mergeCell ref="D398:F398"/>
    <mergeCell ref="D399:F399"/>
    <mergeCell ref="D400:F400"/>
    <mergeCell ref="D401:F401"/>
    <mergeCell ref="D402:F402"/>
    <mergeCell ref="D391:F391"/>
    <mergeCell ref="D392:F392"/>
    <mergeCell ref="D393:F393"/>
    <mergeCell ref="D394:F394"/>
    <mergeCell ref="D395:F395"/>
    <mergeCell ref="D396:F396"/>
    <mergeCell ref="D385:F385"/>
    <mergeCell ref="D386:F386"/>
    <mergeCell ref="D387:F387"/>
    <mergeCell ref="D388:F388"/>
    <mergeCell ref="D389:F389"/>
    <mergeCell ref="D390:F390"/>
    <mergeCell ref="D379:F379"/>
    <mergeCell ref="D380:F380"/>
    <mergeCell ref="D381:F381"/>
    <mergeCell ref="D382:F382"/>
    <mergeCell ref="D383:F383"/>
    <mergeCell ref="D384:F384"/>
    <mergeCell ref="D445:F445"/>
    <mergeCell ref="D446:F446"/>
    <mergeCell ref="D447:F447"/>
    <mergeCell ref="D448:F448"/>
    <mergeCell ref="D449:F449"/>
    <mergeCell ref="D450:F450"/>
    <mergeCell ref="D439:F439"/>
    <mergeCell ref="D440:F440"/>
    <mergeCell ref="D441:F441"/>
    <mergeCell ref="D442:F442"/>
    <mergeCell ref="D443:F443"/>
    <mergeCell ref="D444:F444"/>
    <mergeCell ref="D433:F433"/>
    <mergeCell ref="D434:F434"/>
    <mergeCell ref="D435:F435"/>
    <mergeCell ref="D436:F436"/>
    <mergeCell ref="D437:F437"/>
    <mergeCell ref="D438:F438"/>
    <mergeCell ref="D427:F427"/>
    <mergeCell ref="D428:F428"/>
    <mergeCell ref="D429:F429"/>
    <mergeCell ref="D430:F430"/>
    <mergeCell ref="D431:F431"/>
    <mergeCell ref="D432:F432"/>
    <mergeCell ref="D421:F421"/>
    <mergeCell ref="D422:F422"/>
    <mergeCell ref="D423:F423"/>
    <mergeCell ref="D424:F424"/>
    <mergeCell ref="D425:F425"/>
    <mergeCell ref="D426:F426"/>
    <mergeCell ref="D415:F415"/>
    <mergeCell ref="D416:F416"/>
    <mergeCell ref="D417:F417"/>
    <mergeCell ref="D418:F418"/>
    <mergeCell ref="D419:F419"/>
    <mergeCell ref="D420:F420"/>
    <mergeCell ref="D481:F481"/>
    <mergeCell ref="D482:F482"/>
    <mergeCell ref="D483:F483"/>
    <mergeCell ref="D484:F484"/>
    <mergeCell ref="D485:F485"/>
    <mergeCell ref="D486:F486"/>
    <mergeCell ref="D475:F475"/>
    <mergeCell ref="D476:F476"/>
    <mergeCell ref="D477:F477"/>
    <mergeCell ref="D478:F478"/>
    <mergeCell ref="D479:F479"/>
    <mergeCell ref="D480:F480"/>
    <mergeCell ref="D469:F469"/>
    <mergeCell ref="D470:F470"/>
    <mergeCell ref="D471:F471"/>
    <mergeCell ref="D472:F472"/>
    <mergeCell ref="D473:F473"/>
    <mergeCell ref="D474:F474"/>
    <mergeCell ref="D463:F463"/>
    <mergeCell ref="D464:F464"/>
    <mergeCell ref="D465:F465"/>
    <mergeCell ref="D466:F466"/>
    <mergeCell ref="D467:F467"/>
    <mergeCell ref="D468:F468"/>
    <mergeCell ref="D457:F457"/>
    <mergeCell ref="D458:F458"/>
    <mergeCell ref="D459:F459"/>
    <mergeCell ref="D460:F460"/>
    <mergeCell ref="D461:F461"/>
    <mergeCell ref="D462:F462"/>
    <mergeCell ref="D451:F451"/>
    <mergeCell ref="D452:F452"/>
    <mergeCell ref="D453:F453"/>
    <mergeCell ref="D454:F454"/>
    <mergeCell ref="D455:F455"/>
    <mergeCell ref="D456:F456"/>
    <mergeCell ref="D517:F517"/>
    <mergeCell ref="D518:F518"/>
    <mergeCell ref="D519:F519"/>
    <mergeCell ref="D520:F520"/>
    <mergeCell ref="D521:F521"/>
    <mergeCell ref="D522:F522"/>
    <mergeCell ref="D511:F511"/>
    <mergeCell ref="D512:F512"/>
    <mergeCell ref="D513:F513"/>
    <mergeCell ref="D514:F514"/>
    <mergeCell ref="D515:F515"/>
    <mergeCell ref="D516:F516"/>
    <mergeCell ref="D505:F505"/>
    <mergeCell ref="D506:F506"/>
    <mergeCell ref="D507:F507"/>
    <mergeCell ref="D508:F508"/>
    <mergeCell ref="D509:F509"/>
    <mergeCell ref="D510:F510"/>
    <mergeCell ref="D499:F499"/>
    <mergeCell ref="D500:F500"/>
    <mergeCell ref="D501:F501"/>
    <mergeCell ref="D502:F502"/>
    <mergeCell ref="D503:F503"/>
    <mergeCell ref="D504:F504"/>
    <mergeCell ref="D493:F493"/>
    <mergeCell ref="D494:F494"/>
    <mergeCell ref="D495:F495"/>
    <mergeCell ref="D496:F496"/>
    <mergeCell ref="D497:F497"/>
    <mergeCell ref="D498:F498"/>
    <mergeCell ref="D487:F487"/>
    <mergeCell ref="D488:F488"/>
    <mergeCell ref="D489:F489"/>
    <mergeCell ref="D490:F490"/>
    <mergeCell ref="D491:F491"/>
    <mergeCell ref="D492:F492"/>
    <mergeCell ref="D553:F553"/>
    <mergeCell ref="D554:F554"/>
    <mergeCell ref="D555:F555"/>
    <mergeCell ref="D556:F556"/>
    <mergeCell ref="D557:F557"/>
    <mergeCell ref="D558:F558"/>
    <mergeCell ref="D547:F547"/>
    <mergeCell ref="D548:F548"/>
    <mergeCell ref="D549:F549"/>
    <mergeCell ref="D550:F550"/>
    <mergeCell ref="D551:F551"/>
    <mergeCell ref="D552:F552"/>
    <mergeCell ref="D541:F541"/>
    <mergeCell ref="D542:F542"/>
    <mergeCell ref="D543:F543"/>
    <mergeCell ref="D544:F544"/>
    <mergeCell ref="D545:F545"/>
    <mergeCell ref="D546:F546"/>
    <mergeCell ref="D535:F535"/>
    <mergeCell ref="D536:F536"/>
    <mergeCell ref="D537:F537"/>
    <mergeCell ref="D538:F538"/>
    <mergeCell ref="D539:F539"/>
    <mergeCell ref="D540:F540"/>
    <mergeCell ref="D529:F529"/>
    <mergeCell ref="D530:F530"/>
    <mergeCell ref="D531:F531"/>
    <mergeCell ref="D532:F532"/>
    <mergeCell ref="D533:F533"/>
    <mergeCell ref="D534:F534"/>
    <mergeCell ref="D523:F523"/>
    <mergeCell ref="D524:F524"/>
    <mergeCell ref="D525:F525"/>
    <mergeCell ref="D526:F526"/>
    <mergeCell ref="D527:F527"/>
    <mergeCell ref="D528:F528"/>
    <mergeCell ref="D589:F589"/>
    <mergeCell ref="D590:F590"/>
    <mergeCell ref="D591:F591"/>
    <mergeCell ref="D592:F592"/>
    <mergeCell ref="D593:F593"/>
    <mergeCell ref="D594:F594"/>
    <mergeCell ref="D583:F583"/>
    <mergeCell ref="D584:F584"/>
    <mergeCell ref="D585:F585"/>
    <mergeCell ref="D586:F586"/>
    <mergeCell ref="D587:F587"/>
    <mergeCell ref="D588:F588"/>
    <mergeCell ref="D577:F577"/>
    <mergeCell ref="D578:F578"/>
    <mergeCell ref="D579:F579"/>
    <mergeCell ref="D580:F580"/>
    <mergeCell ref="D581:F581"/>
    <mergeCell ref="D582:F582"/>
    <mergeCell ref="D571:F571"/>
    <mergeCell ref="D572:F572"/>
    <mergeCell ref="D573:F573"/>
    <mergeCell ref="D574:F574"/>
    <mergeCell ref="D575:F575"/>
    <mergeCell ref="D576:F576"/>
    <mergeCell ref="D565:F565"/>
    <mergeCell ref="D566:F566"/>
    <mergeCell ref="D567:F567"/>
    <mergeCell ref="D568:F568"/>
    <mergeCell ref="D569:F569"/>
    <mergeCell ref="D570:F570"/>
    <mergeCell ref="D559:F559"/>
    <mergeCell ref="D560:F560"/>
    <mergeCell ref="D561:F561"/>
    <mergeCell ref="D562:F562"/>
    <mergeCell ref="D563:F563"/>
    <mergeCell ref="D564:F564"/>
    <mergeCell ref="D625:F625"/>
    <mergeCell ref="D626:F626"/>
    <mergeCell ref="D627:F627"/>
    <mergeCell ref="D628:F628"/>
    <mergeCell ref="D629:F629"/>
    <mergeCell ref="D630:F630"/>
    <mergeCell ref="D619:F619"/>
    <mergeCell ref="D620:F620"/>
    <mergeCell ref="D621:F621"/>
    <mergeCell ref="D622:F622"/>
    <mergeCell ref="D623:F623"/>
    <mergeCell ref="D624:F624"/>
    <mergeCell ref="D613:F613"/>
    <mergeCell ref="D614:F614"/>
    <mergeCell ref="D615:F615"/>
    <mergeCell ref="D616:F616"/>
    <mergeCell ref="D617:F617"/>
    <mergeCell ref="D618:F618"/>
    <mergeCell ref="D607:F607"/>
    <mergeCell ref="D608:F608"/>
    <mergeCell ref="D609:F609"/>
    <mergeCell ref="D610:F610"/>
    <mergeCell ref="D611:F611"/>
    <mergeCell ref="D612:F612"/>
    <mergeCell ref="D601:F601"/>
    <mergeCell ref="D602:F602"/>
    <mergeCell ref="D603:F603"/>
    <mergeCell ref="D604:F604"/>
    <mergeCell ref="D605:F605"/>
    <mergeCell ref="D606:F606"/>
    <mergeCell ref="D595:F595"/>
    <mergeCell ref="D596:F596"/>
    <mergeCell ref="D597:F597"/>
    <mergeCell ref="D598:F598"/>
    <mergeCell ref="D599:F599"/>
    <mergeCell ref="D600:F600"/>
    <mergeCell ref="D661:F661"/>
    <mergeCell ref="D662:F662"/>
    <mergeCell ref="D663:F663"/>
    <mergeCell ref="D664:F664"/>
    <mergeCell ref="D665:F665"/>
    <mergeCell ref="D666:F666"/>
    <mergeCell ref="D655:F655"/>
    <mergeCell ref="D656:F656"/>
    <mergeCell ref="D657:F657"/>
    <mergeCell ref="D658:F658"/>
    <mergeCell ref="D659:F659"/>
    <mergeCell ref="D660:F660"/>
    <mergeCell ref="D649:F649"/>
    <mergeCell ref="D650:F650"/>
    <mergeCell ref="D651:F651"/>
    <mergeCell ref="D652:F652"/>
    <mergeCell ref="D653:F653"/>
    <mergeCell ref="D654:F654"/>
    <mergeCell ref="D643:F643"/>
    <mergeCell ref="D644:F644"/>
    <mergeCell ref="D645:F645"/>
    <mergeCell ref="D646:F646"/>
    <mergeCell ref="D647:F647"/>
    <mergeCell ref="D648:F648"/>
    <mergeCell ref="D637:F637"/>
    <mergeCell ref="D638:F638"/>
    <mergeCell ref="D639:F639"/>
    <mergeCell ref="D640:F640"/>
    <mergeCell ref="D641:F641"/>
    <mergeCell ref="D642:F642"/>
    <mergeCell ref="D631:F631"/>
    <mergeCell ref="D632:F632"/>
    <mergeCell ref="D633:F633"/>
    <mergeCell ref="D634:F634"/>
    <mergeCell ref="D635:F635"/>
    <mergeCell ref="D636:F636"/>
    <mergeCell ref="D697:F697"/>
    <mergeCell ref="D698:F698"/>
    <mergeCell ref="D699:F699"/>
    <mergeCell ref="D700:F700"/>
    <mergeCell ref="D701:F701"/>
    <mergeCell ref="D702:F702"/>
    <mergeCell ref="D691:F691"/>
    <mergeCell ref="D692:F692"/>
    <mergeCell ref="D693:F693"/>
    <mergeCell ref="D694:F694"/>
    <mergeCell ref="D695:F695"/>
    <mergeCell ref="D696:F696"/>
    <mergeCell ref="D685:F685"/>
    <mergeCell ref="D686:F686"/>
    <mergeCell ref="D687:F687"/>
    <mergeCell ref="D688:F688"/>
    <mergeCell ref="D689:F689"/>
    <mergeCell ref="D690:F690"/>
    <mergeCell ref="D679:F679"/>
    <mergeCell ref="D680:F680"/>
    <mergeCell ref="D681:F681"/>
    <mergeCell ref="D682:F682"/>
    <mergeCell ref="D683:F683"/>
    <mergeCell ref="D684:F684"/>
    <mergeCell ref="D673:F673"/>
    <mergeCell ref="D674:F674"/>
    <mergeCell ref="D675:F675"/>
    <mergeCell ref="D676:F676"/>
    <mergeCell ref="D677:F677"/>
    <mergeCell ref="D678:F678"/>
    <mergeCell ref="D667:F667"/>
    <mergeCell ref="D668:F668"/>
    <mergeCell ref="D669:F669"/>
    <mergeCell ref="D670:F670"/>
    <mergeCell ref="D671:F671"/>
    <mergeCell ref="D672:F672"/>
    <mergeCell ref="D733:F733"/>
    <mergeCell ref="D734:F734"/>
    <mergeCell ref="D735:F735"/>
    <mergeCell ref="D736:F736"/>
    <mergeCell ref="D737:F737"/>
    <mergeCell ref="D738:F738"/>
    <mergeCell ref="D727:F727"/>
    <mergeCell ref="D728:F728"/>
    <mergeCell ref="D729:F729"/>
    <mergeCell ref="D730:F730"/>
    <mergeCell ref="D731:F731"/>
    <mergeCell ref="D732:F732"/>
    <mergeCell ref="D721:F721"/>
    <mergeCell ref="D722:F722"/>
    <mergeCell ref="D723:F723"/>
    <mergeCell ref="D724:F724"/>
    <mergeCell ref="D725:F725"/>
    <mergeCell ref="D726:F726"/>
    <mergeCell ref="D715:F715"/>
    <mergeCell ref="D716:F716"/>
    <mergeCell ref="D717:F717"/>
    <mergeCell ref="D718:F718"/>
    <mergeCell ref="D719:F719"/>
    <mergeCell ref="D720:F720"/>
    <mergeCell ref="D709:F709"/>
    <mergeCell ref="D710:F710"/>
    <mergeCell ref="D711:F711"/>
    <mergeCell ref="D712:F712"/>
    <mergeCell ref="D713:F713"/>
    <mergeCell ref="D714:F714"/>
    <mergeCell ref="D703:F703"/>
    <mergeCell ref="D704:F704"/>
    <mergeCell ref="D705:F705"/>
    <mergeCell ref="D706:F706"/>
    <mergeCell ref="D707:F707"/>
    <mergeCell ref="D708:F708"/>
    <mergeCell ref="D769:F769"/>
    <mergeCell ref="D770:F770"/>
    <mergeCell ref="D771:F771"/>
    <mergeCell ref="D772:F772"/>
    <mergeCell ref="D773:F773"/>
    <mergeCell ref="D774:F774"/>
    <mergeCell ref="D763:F763"/>
    <mergeCell ref="D764:F764"/>
    <mergeCell ref="D765:F765"/>
    <mergeCell ref="D766:F766"/>
    <mergeCell ref="D767:F767"/>
    <mergeCell ref="D768:F768"/>
    <mergeCell ref="D757:F757"/>
    <mergeCell ref="D758:F758"/>
    <mergeCell ref="D759:F759"/>
    <mergeCell ref="D760:F760"/>
    <mergeCell ref="D761:F761"/>
    <mergeCell ref="D762:F762"/>
    <mergeCell ref="D751:F751"/>
    <mergeCell ref="D752:F752"/>
    <mergeCell ref="D753:F753"/>
    <mergeCell ref="D754:F754"/>
    <mergeCell ref="D755:F755"/>
    <mergeCell ref="D756:F756"/>
    <mergeCell ref="D745:F745"/>
    <mergeCell ref="D746:F746"/>
    <mergeCell ref="D747:F747"/>
    <mergeCell ref="D748:F748"/>
    <mergeCell ref="D749:F749"/>
    <mergeCell ref="D750:F750"/>
    <mergeCell ref="D739:F739"/>
    <mergeCell ref="D740:F740"/>
    <mergeCell ref="D741:F741"/>
    <mergeCell ref="D742:F742"/>
    <mergeCell ref="D743:F743"/>
    <mergeCell ref="D744:F744"/>
    <mergeCell ref="D805:F805"/>
    <mergeCell ref="D806:F806"/>
    <mergeCell ref="D807:F807"/>
    <mergeCell ref="D808:F808"/>
    <mergeCell ref="D809:F809"/>
    <mergeCell ref="D810:F810"/>
    <mergeCell ref="D799:F799"/>
    <mergeCell ref="D800:F800"/>
    <mergeCell ref="D801:F801"/>
    <mergeCell ref="D802:F802"/>
    <mergeCell ref="D803:F803"/>
    <mergeCell ref="D804:F804"/>
    <mergeCell ref="D793:F793"/>
    <mergeCell ref="D794:F794"/>
    <mergeCell ref="D795:F795"/>
    <mergeCell ref="D796:F796"/>
    <mergeCell ref="D797:F797"/>
    <mergeCell ref="D798:F798"/>
    <mergeCell ref="D787:F787"/>
    <mergeCell ref="D788:F788"/>
    <mergeCell ref="D789:F789"/>
    <mergeCell ref="D790:F790"/>
    <mergeCell ref="D791:F791"/>
    <mergeCell ref="D792:F792"/>
    <mergeCell ref="D781:F781"/>
    <mergeCell ref="D782:F782"/>
    <mergeCell ref="D783:F783"/>
    <mergeCell ref="D784:F784"/>
    <mergeCell ref="D785:F785"/>
    <mergeCell ref="D786:F786"/>
    <mergeCell ref="D775:F775"/>
    <mergeCell ref="D776:F776"/>
    <mergeCell ref="D777:F777"/>
    <mergeCell ref="D778:F778"/>
    <mergeCell ref="D779:F779"/>
    <mergeCell ref="D780:F780"/>
    <mergeCell ref="D841:F841"/>
    <mergeCell ref="D842:F842"/>
    <mergeCell ref="D843:F843"/>
    <mergeCell ref="D844:F844"/>
    <mergeCell ref="D845:F845"/>
    <mergeCell ref="D846:F846"/>
    <mergeCell ref="D835:F835"/>
    <mergeCell ref="D836:F836"/>
    <mergeCell ref="D837:F837"/>
    <mergeCell ref="D838:F838"/>
    <mergeCell ref="D839:F839"/>
    <mergeCell ref="D840:F840"/>
    <mergeCell ref="D829:F829"/>
    <mergeCell ref="D830:F830"/>
    <mergeCell ref="D831:F831"/>
    <mergeCell ref="D832:F832"/>
    <mergeCell ref="D833:F833"/>
    <mergeCell ref="D834:F834"/>
    <mergeCell ref="D823:F823"/>
    <mergeCell ref="D824:F824"/>
    <mergeCell ref="D825:F825"/>
    <mergeCell ref="D826:F826"/>
    <mergeCell ref="D827:F827"/>
    <mergeCell ref="D828:F828"/>
    <mergeCell ref="D817:F817"/>
    <mergeCell ref="D818:F818"/>
    <mergeCell ref="D819:F819"/>
    <mergeCell ref="D820:F820"/>
    <mergeCell ref="D821:F821"/>
    <mergeCell ref="D822:F822"/>
    <mergeCell ref="D811:F811"/>
    <mergeCell ref="D812:F812"/>
    <mergeCell ref="D813:F813"/>
    <mergeCell ref="D814:F814"/>
    <mergeCell ref="D815:F815"/>
    <mergeCell ref="D816:F816"/>
    <mergeCell ref="D877:F877"/>
    <mergeCell ref="D878:F878"/>
    <mergeCell ref="D879:F879"/>
    <mergeCell ref="D880:F880"/>
    <mergeCell ref="D881:F881"/>
    <mergeCell ref="D882:F882"/>
    <mergeCell ref="D871:F871"/>
    <mergeCell ref="D872:F872"/>
    <mergeCell ref="D873:F873"/>
    <mergeCell ref="D874:F874"/>
    <mergeCell ref="D875:F875"/>
    <mergeCell ref="D876:F876"/>
    <mergeCell ref="D865:F865"/>
    <mergeCell ref="D866:F866"/>
    <mergeCell ref="D867:F867"/>
    <mergeCell ref="D868:F868"/>
    <mergeCell ref="D869:F869"/>
    <mergeCell ref="D870:F870"/>
    <mergeCell ref="D859:F859"/>
    <mergeCell ref="D860:F860"/>
    <mergeCell ref="D861:F861"/>
    <mergeCell ref="D862:F862"/>
    <mergeCell ref="D863:F863"/>
    <mergeCell ref="D864:F864"/>
    <mergeCell ref="D853:F853"/>
    <mergeCell ref="D854:F854"/>
    <mergeCell ref="D855:F855"/>
    <mergeCell ref="D856:F856"/>
    <mergeCell ref="D857:F857"/>
    <mergeCell ref="D858:F858"/>
    <mergeCell ref="D847:F847"/>
    <mergeCell ref="D848:F848"/>
    <mergeCell ref="D849:F849"/>
    <mergeCell ref="D850:F850"/>
    <mergeCell ref="D851:F851"/>
    <mergeCell ref="D852:F852"/>
    <mergeCell ref="D913:F913"/>
    <mergeCell ref="D914:F914"/>
    <mergeCell ref="D915:F915"/>
    <mergeCell ref="D916:F916"/>
    <mergeCell ref="D917:F917"/>
    <mergeCell ref="D918:F918"/>
    <mergeCell ref="D907:F907"/>
    <mergeCell ref="D908:F908"/>
    <mergeCell ref="D909:F909"/>
    <mergeCell ref="D910:F910"/>
    <mergeCell ref="D911:F911"/>
    <mergeCell ref="D912:F912"/>
    <mergeCell ref="D901:F901"/>
    <mergeCell ref="D902:F902"/>
    <mergeCell ref="D903:F903"/>
    <mergeCell ref="D904:F904"/>
    <mergeCell ref="D905:F905"/>
    <mergeCell ref="D906:F906"/>
    <mergeCell ref="D895:F895"/>
    <mergeCell ref="D896:F896"/>
    <mergeCell ref="D897:F897"/>
    <mergeCell ref="D898:F898"/>
    <mergeCell ref="D899:F899"/>
    <mergeCell ref="D900:F900"/>
    <mergeCell ref="D889:F889"/>
    <mergeCell ref="D890:F890"/>
    <mergeCell ref="D891:F891"/>
    <mergeCell ref="D892:F892"/>
    <mergeCell ref="D893:F893"/>
    <mergeCell ref="D894:F894"/>
    <mergeCell ref="D883:F883"/>
    <mergeCell ref="D884:F884"/>
    <mergeCell ref="D885:F885"/>
    <mergeCell ref="D886:F886"/>
    <mergeCell ref="D887:F887"/>
    <mergeCell ref="D888:F888"/>
    <mergeCell ref="D949:F949"/>
    <mergeCell ref="D950:F950"/>
    <mergeCell ref="D951:F951"/>
    <mergeCell ref="D952:F952"/>
    <mergeCell ref="D953:F953"/>
    <mergeCell ref="D954:F954"/>
    <mergeCell ref="D943:F943"/>
    <mergeCell ref="D944:F944"/>
    <mergeCell ref="D945:F945"/>
    <mergeCell ref="D946:F946"/>
    <mergeCell ref="D947:F947"/>
    <mergeCell ref="D948:F948"/>
    <mergeCell ref="D937:F937"/>
    <mergeCell ref="D938:F938"/>
    <mergeCell ref="D939:F939"/>
    <mergeCell ref="D940:F940"/>
    <mergeCell ref="D941:F941"/>
    <mergeCell ref="D942:F942"/>
    <mergeCell ref="D931:F931"/>
    <mergeCell ref="D932:F932"/>
    <mergeCell ref="D933:F933"/>
    <mergeCell ref="D934:F934"/>
    <mergeCell ref="D935:F935"/>
    <mergeCell ref="D936:F936"/>
    <mergeCell ref="D925:F925"/>
    <mergeCell ref="D926:F926"/>
    <mergeCell ref="D927:F927"/>
    <mergeCell ref="D928:F928"/>
    <mergeCell ref="D929:F929"/>
    <mergeCell ref="D930:F930"/>
    <mergeCell ref="D919:F919"/>
    <mergeCell ref="D920:F920"/>
    <mergeCell ref="D921:F921"/>
    <mergeCell ref="D922:F922"/>
    <mergeCell ref="D923:F923"/>
    <mergeCell ref="D924:F924"/>
    <mergeCell ref="D985:F985"/>
    <mergeCell ref="D986:F986"/>
    <mergeCell ref="D987:F987"/>
    <mergeCell ref="D988:F988"/>
    <mergeCell ref="D989:F989"/>
    <mergeCell ref="D990:F990"/>
    <mergeCell ref="D979:F979"/>
    <mergeCell ref="D980:F980"/>
    <mergeCell ref="D981:F981"/>
    <mergeCell ref="D982:F982"/>
    <mergeCell ref="D983:F983"/>
    <mergeCell ref="D984:F984"/>
    <mergeCell ref="D973:F973"/>
    <mergeCell ref="D974:F974"/>
    <mergeCell ref="D975:F975"/>
    <mergeCell ref="D976:F976"/>
    <mergeCell ref="D977:F977"/>
    <mergeCell ref="D978:F978"/>
    <mergeCell ref="D967:F967"/>
    <mergeCell ref="D968:F968"/>
    <mergeCell ref="D969:F969"/>
    <mergeCell ref="D970:F970"/>
    <mergeCell ref="D971:F971"/>
    <mergeCell ref="D972:F972"/>
    <mergeCell ref="D961:F961"/>
    <mergeCell ref="D962:F962"/>
    <mergeCell ref="D963:F963"/>
    <mergeCell ref="D964:F964"/>
    <mergeCell ref="D965:F965"/>
    <mergeCell ref="D966:F966"/>
    <mergeCell ref="D955:F955"/>
    <mergeCell ref="D956:F956"/>
    <mergeCell ref="D957:F957"/>
    <mergeCell ref="D958:F958"/>
    <mergeCell ref="D959:F959"/>
    <mergeCell ref="D960:F960"/>
    <mergeCell ref="D1021:F1021"/>
    <mergeCell ref="D1022:F1022"/>
    <mergeCell ref="D1023:F1023"/>
    <mergeCell ref="D1024:F1024"/>
    <mergeCell ref="D1025:F1025"/>
    <mergeCell ref="D1026:F1026"/>
    <mergeCell ref="D1015:F1015"/>
    <mergeCell ref="D1016:F1016"/>
    <mergeCell ref="D1017:F1017"/>
    <mergeCell ref="D1018:F1018"/>
    <mergeCell ref="D1019:F1019"/>
    <mergeCell ref="D1020:F1020"/>
    <mergeCell ref="D1009:F1009"/>
    <mergeCell ref="D1010:F1010"/>
    <mergeCell ref="D1011:F1011"/>
    <mergeCell ref="D1012:F1012"/>
    <mergeCell ref="D1013:F1013"/>
    <mergeCell ref="D1014:F1014"/>
    <mergeCell ref="D1003:F1003"/>
    <mergeCell ref="D1004:F1004"/>
    <mergeCell ref="D1005:F1005"/>
    <mergeCell ref="D1006:F1006"/>
    <mergeCell ref="D1007:F1007"/>
    <mergeCell ref="D1008:F1008"/>
    <mergeCell ref="D997:F997"/>
    <mergeCell ref="D998:F998"/>
    <mergeCell ref="D999:F999"/>
    <mergeCell ref="D1000:F1000"/>
    <mergeCell ref="D1001:F1001"/>
    <mergeCell ref="D1002:F1002"/>
    <mergeCell ref="D991:F991"/>
    <mergeCell ref="D992:F992"/>
    <mergeCell ref="D993:F993"/>
    <mergeCell ref="D994:F994"/>
    <mergeCell ref="D995:F995"/>
    <mergeCell ref="D996:F996"/>
    <mergeCell ref="D1057:F1057"/>
    <mergeCell ref="D1058:F1058"/>
    <mergeCell ref="D1059:F1059"/>
    <mergeCell ref="D1060:F1060"/>
    <mergeCell ref="D1061:F1061"/>
    <mergeCell ref="D1062:F1062"/>
    <mergeCell ref="D1051:F1051"/>
    <mergeCell ref="D1052:F1052"/>
    <mergeCell ref="D1053:F1053"/>
    <mergeCell ref="D1054:F1054"/>
    <mergeCell ref="D1055:F1055"/>
    <mergeCell ref="D1056:F1056"/>
    <mergeCell ref="D1045:F1045"/>
    <mergeCell ref="D1046:F1046"/>
    <mergeCell ref="D1047:F1047"/>
    <mergeCell ref="D1048:F1048"/>
    <mergeCell ref="D1049:F1049"/>
    <mergeCell ref="D1050:F1050"/>
    <mergeCell ref="D1039:F1039"/>
    <mergeCell ref="D1040:F1040"/>
    <mergeCell ref="D1041:F1041"/>
    <mergeCell ref="D1042:F1042"/>
    <mergeCell ref="D1043:F1043"/>
    <mergeCell ref="D1044:F1044"/>
    <mergeCell ref="D1033:F1033"/>
    <mergeCell ref="D1034:F1034"/>
    <mergeCell ref="D1035:F1035"/>
    <mergeCell ref="D1036:F1036"/>
    <mergeCell ref="D1037:F1037"/>
    <mergeCell ref="D1038:F1038"/>
    <mergeCell ref="D1027:F1027"/>
    <mergeCell ref="D1028:F1028"/>
    <mergeCell ref="D1029:F1029"/>
    <mergeCell ref="D1030:F1030"/>
    <mergeCell ref="D1031:F1031"/>
    <mergeCell ref="D1032:F1032"/>
    <mergeCell ref="D1093:F1093"/>
    <mergeCell ref="D1094:F1094"/>
    <mergeCell ref="D1095:F1095"/>
    <mergeCell ref="D1096:F1096"/>
    <mergeCell ref="D1097:F1097"/>
    <mergeCell ref="D1098:F1098"/>
    <mergeCell ref="D1087:F1087"/>
    <mergeCell ref="D1088:F1088"/>
    <mergeCell ref="D1089:F1089"/>
    <mergeCell ref="D1090:F1090"/>
    <mergeCell ref="D1091:F1091"/>
    <mergeCell ref="D1092:F1092"/>
    <mergeCell ref="D1081:F1081"/>
    <mergeCell ref="D1082:F1082"/>
    <mergeCell ref="D1083:F1083"/>
    <mergeCell ref="D1084:F1084"/>
    <mergeCell ref="D1085:F1085"/>
    <mergeCell ref="D1086:F1086"/>
    <mergeCell ref="D1075:F1075"/>
    <mergeCell ref="D1076:F1076"/>
    <mergeCell ref="D1077:F1077"/>
    <mergeCell ref="D1078:F1078"/>
    <mergeCell ref="D1079:F1079"/>
    <mergeCell ref="D1080:F1080"/>
    <mergeCell ref="D1069:F1069"/>
    <mergeCell ref="D1070:F1070"/>
    <mergeCell ref="D1071:F1071"/>
    <mergeCell ref="D1072:F1072"/>
    <mergeCell ref="D1073:F1073"/>
    <mergeCell ref="D1074:F1074"/>
    <mergeCell ref="D1063:F1063"/>
    <mergeCell ref="D1064:F1064"/>
    <mergeCell ref="D1065:F1065"/>
    <mergeCell ref="D1066:F1066"/>
    <mergeCell ref="D1067:F1067"/>
    <mergeCell ref="D1068:F1068"/>
    <mergeCell ref="D1129:F1129"/>
    <mergeCell ref="D1130:F1130"/>
    <mergeCell ref="D1131:F1131"/>
    <mergeCell ref="D1132:F1132"/>
    <mergeCell ref="D1133:F1133"/>
    <mergeCell ref="D1134:F1134"/>
    <mergeCell ref="D1123:F1123"/>
    <mergeCell ref="D1124:F1124"/>
    <mergeCell ref="D1125:F1125"/>
    <mergeCell ref="D1126:F1126"/>
    <mergeCell ref="D1127:F1127"/>
    <mergeCell ref="D1128:F1128"/>
    <mergeCell ref="D1117:F1117"/>
    <mergeCell ref="D1118:F1118"/>
    <mergeCell ref="D1119:F1119"/>
    <mergeCell ref="D1120:F1120"/>
    <mergeCell ref="D1121:F1121"/>
    <mergeCell ref="D1122:F1122"/>
    <mergeCell ref="D1111:F1111"/>
    <mergeCell ref="D1112:F1112"/>
    <mergeCell ref="D1113:F1113"/>
    <mergeCell ref="D1114:F1114"/>
    <mergeCell ref="D1115:F1115"/>
    <mergeCell ref="D1116:F1116"/>
    <mergeCell ref="D1105:F1105"/>
    <mergeCell ref="D1106:F1106"/>
    <mergeCell ref="D1107:F1107"/>
    <mergeCell ref="D1108:F1108"/>
    <mergeCell ref="D1109:F1109"/>
    <mergeCell ref="D1110:F1110"/>
    <mergeCell ref="D1099:F1099"/>
    <mergeCell ref="D1100:F1100"/>
    <mergeCell ref="D1101:F1101"/>
    <mergeCell ref="D1102:F1102"/>
    <mergeCell ref="D1103:F1103"/>
    <mergeCell ref="D1104:F1104"/>
    <mergeCell ref="D1165:F1165"/>
    <mergeCell ref="D1166:F1166"/>
    <mergeCell ref="D1167:F1167"/>
    <mergeCell ref="D1168:F1168"/>
    <mergeCell ref="D1169:F1169"/>
    <mergeCell ref="D1170:F1170"/>
    <mergeCell ref="D1159:F1159"/>
    <mergeCell ref="D1160:F1160"/>
    <mergeCell ref="D1161:F1161"/>
    <mergeCell ref="D1162:F1162"/>
    <mergeCell ref="D1163:F1163"/>
    <mergeCell ref="D1164:F1164"/>
    <mergeCell ref="D1153:F1153"/>
    <mergeCell ref="D1154:F1154"/>
    <mergeCell ref="D1155:F1155"/>
    <mergeCell ref="D1156:F1156"/>
    <mergeCell ref="D1157:F1157"/>
    <mergeCell ref="D1158:F1158"/>
    <mergeCell ref="D1147:F1147"/>
    <mergeCell ref="D1148:F1148"/>
    <mergeCell ref="D1149:F1149"/>
    <mergeCell ref="D1150:F1150"/>
    <mergeCell ref="D1151:F1151"/>
    <mergeCell ref="D1152:F1152"/>
    <mergeCell ref="D1141:F1141"/>
    <mergeCell ref="D1142:F1142"/>
    <mergeCell ref="D1143:F1143"/>
    <mergeCell ref="D1144:F1144"/>
    <mergeCell ref="D1145:F1145"/>
    <mergeCell ref="D1146:F1146"/>
    <mergeCell ref="D1135:F1135"/>
    <mergeCell ref="D1136:F1136"/>
    <mergeCell ref="D1137:F1137"/>
    <mergeCell ref="D1138:F1138"/>
    <mergeCell ref="D1139:F1139"/>
    <mergeCell ref="D1140:F1140"/>
    <mergeCell ref="D1201:F1201"/>
    <mergeCell ref="D1202:F1202"/>
    <mergeCell ref="D1203:F1203"/>
    <mergeCell ref="D1204:F1204"/>
    <mergeCell ref="D1205:F1205"/>
    <mergeCell ref="D1206:F1206"/>
    <mergeCell ref="D1195:F1195"/>
    <mergeCell ref="D1196:F1196"/>
    <mergeCell ref="D1197:F1197"/>
    <mergeCell ref="D1198:F1198"/>
    <mergeCell ref="D1199:F1199"/>
    <mergeCell ref="D1200:F1200"/>
    <mergeCell ref="D1189:F1189"/>
    <mergeCell ref="D1190:F1190"/>
    <mergeCell ref="D1191:F1191"/>
    <mergeCell ref="D1192:F1192"/>
    <mergeCell ref="D1193:F1193"/>
    <mergeCell ref="D1194:F1194"/>
    <mergeCell ref="D1183:F1183"/>
    <mergeCell ref="D1184:F1184"/>
    <mergeCell ref="D1185:F1185"/>
    <mergeCell ref="D1186:F1186"/>
    <mergeCell ref="D1187:F1187"/>
    <mergeCell ref="D1188:F1188"/>
    <mergeCell ref="D1177:F1177"/>
    <mergeCell ref="D1178:F1178"/>
    <mergeCell ref="D1179:F1179"/>
    <mergeCell ref="D1180:F1180"/>
    <mergeCell ref="D1181:F1181"/>
    <mergeCell ref="D1182:F1182"/>
    <mergeCell ref="D1171:F1171"/>
    <mergeCell ref="D1172:F1172"/>
    <mergeCell ref="D1173:F1173"/>
    <mergeCell ref="D1174:F1174"/>
    <mergeCell ref="D1175:F1175"/>
    <mergeCell ref="D1176:F1176"/>
    <mergeCell ref="D1237:F1237"/>
    <mergeCell ref="D1238:F1238"/>
    <mergeCell ref="D1239:F1239"/>
    <mergeCell ref="D1240:F1240"/>
    <mergeCell ref="D1241:F1241"/>
    <mergeCell ref="D1242:F1242"/>
    <mergeCell ref="D1231:F1231"/>
    <mergeCell ref="D1232:F1232"/>
    <mergeCell ref="D1233:F1233"/>
    <mergeCell ref="D1234:F1234"/>
    <mergeCell ref="D1235:F1235"/>
    <mergeCell ref="D1236:F1236"/>
    <mergeCell ref="D1225:F1225"/>
    <mergeCell ref="D1226:F1226"/>
    <mergeCell ref="D1227:F1227"/>
    <mergeCell ref="D1228:F1228"/>
    <mergeCell ref="D1229:F1229"/>
    <mergeCell ref="D1230:F1230"/>
    <mergeCell ref="D1219:F1219"/>
    <mergeCell ref="D1220:F1220"/>
    <mergeCell ref="D1221:F1221"/>
    <mergeCell ref="D1222:F1222"/>
    <mergeCell ref="D1223:F1223"/>
    <mergeCell ref="D1224:F1224"/>
    <mergeCell ref="D1213:F1213"/>
    <mergeCell ref="D1214:F1214"/>
    <mergeCell ref="D1215:F1215"/>
    <mergeCell ref="D1216:F1216"/>
    <mergeCell ref="D1217:F1217"/>
    <mergeCell ref="D1218:F1218"/>
    <mergeCell ref="D1207:F1207"/>
    <mergeCell ref="D1208:F1208"/>
    <mergeCell ref="D1209:F1209"/>
    <mergeCell ref="D1210:F1210"/>
    <mergeCell ref="D1211:F1211"/>
    <mergeCell ref="D1212:F1212"/>
    <mergeCell ref="D1273:F1273"/>
    <mergeCell ref="D1274:F1274"/>
    <mergeCell ref="D1275:F1275"/>
    <mergeCell ref="D1276:F1276"/>
    <mergeCell ref="D1277:F1277"/>
    <mergeCell ref="D1278:F1278"/>
    <mergeCell ref="D1267:F1267"/>
    <mergeCell ref="D1268:F1268"/>
    <mergeCell ref="D1269:F1269"/>
    <mergeCell ref="D1270:F1270"/>
    <mergeCell ref="D1271:F1271"/>
    <mergeCell ref="D1272:F1272"/>
    <mergeCell ref="D1261:F1261"/>
    <mergeCell ref="D1262:F1262"/>
    <mergeCell ref="D1263:F1263"/>
    <mergeCell ref="D1264:F1264"/>
    <mergeCell ref="D1265:F1265"/>
    <mergeCell ref="D1266:F1266"/>
    <mergeCell ref="D1255:F1255"/>
    <mergeCell ref="D1256:F1256"/>
    <mergeCell ref="D1257:F1257"/>
    <mergeCell ref="D1258:F1258"/>
    <mergeCell ref="D1259:F1259"/>
    <mergeCell ref="D1260:F1260"/>
    <mergeCell ref="D1249:F1249"/>
    <mergeCell ref="D1250:F1250"/>
    <mergeCell ref="D1251:F1251"/>
    <mergeCell ref="D1252:F1252"/>
    <mergeCell ref="D1253:F1253"/>
    <mergeCell ref="D1254:F1254"/>
    <mergeCell ref="D1243:F1243"/>
    <mergeCell ref="D1244:F1244"/>
    <mergeCell ref="D1245:F1245"/>
    <mergeCell ref="D1246:F1246"/>
    <mergeCell ref="D1247:F1247"/>
    <mergeCell ref="D1248:F1248"/>
    <mergeCell ref="D1309:F1309"/>
    <mergeCell ref="D1310:F1310"/>
    <mergeCell ref="D1311:F1311"/>
    <mergeCell ref="D1312:F1312"/>
    <mergeCell ref="D1313:F1313"/>
    <mergeCell ref="D1314:F1314"/>
    <mergeCell ref="D1303:F1303"/>
    <mergeCell ref="D1304:F1304"/>
    <mergeCell ref="D1305:F1305"/>
    <mergeCell ref="D1306:F1306"/>
    <mergeCell ref="D1307:F1307"/>
    <mergeCell ref="D1308:F1308"/>
    <mergeCell ref="D1297:F1297"/>
    <mergeCell ref="D1298:F1298"/>
    <mergeCell ref="D1299:F1299"/>
    <mergeCell ref="D1300:F1300"/>
    <mergeCell ref="D1301:F1301"/>
    <mergeCell ref="D1302:F1302"/>
    <mergeCell ref="D1291:F1291"/>
    <mergeCell ref="D1292:F1292"/>
    <mergeCell ref="D1293:F1293"/>
    <mergeCell ref="D1294:F1294"/>
    <mergeCell ref="D1295:F1295"/>
    <mergeCell ref="D1296:F1296"/>
    <mergeCell ref="D1285:F1285"/>
    <mergeCell ref="D1286:F1286"/>
    <mergeCell ref="D1287:F1287"/>
    <mergeCell ref="D1288:F1288"/>
    <mergeCell ref="D1289:F1289"/>
    <mergeCell ref="D1290:F1290"/>
    <mergeCell ref="D1279:F1279"/>
    <mergeCell ref="D1280:F1280"/>
    <mergeCell ref="D1281:F1281"/>
    <mergeCell ref="D1282:F1282"/>
    <mergeCell ref="D1283:F1283"/>
    <mergeCell ref="D1284:F1284"/>
    <mergeCell ref="D1345:F1345"/>
    <mergeCell ref="D1346:F1346"/>
    <mergeCell ref="D1347:F1347"/>
    <mergeCell ref="D1348:F1348"/>
    <mergeCell ref="D1349:F1349"/>
    <mergeCell ref="D1350:F1350"/>
    <mergeCell ref="D1339:F1339"/>
    <mergeCell ref="D1340:F1340"/>
    <mergeCell ref="D1341:F1341"/>
    <mergeCell ref="D1342:F1342"/>
    <mergeCell ref="D1343:F1343"/>
    <mergeCell ref="D1344:F1344"/>
    <mergeCell ref="D1333:F1333"/>
    <mergeCell ref="D1334:F1334"/>
    <mergeCell ref="D1335:F1335"/>
    <mergeCell ref="D1336:F1336"/>
    <mergeCell ref="D1337:F1337"/>
    <mergeCell ref="D1338:F1338"/>
    <mergeCell ref="D1327:F1327"/>
    <mergeCell ref="D1328:F1328"/>
    <mergeCell ref="D1329:F1329"/>
    <mergeCell ref="D1330:F1330"/>
    <mergeCell ref="D1331:F1331"/>
    <mergeCell ref="D1332:F1332"/>
    <mergeCell ref="D1321:F1321"/>
    <mergeCell ref="D1322:F1322"/>
    <mergeCell ref="D1323:F1323"/>
    <mergeCell ref="D1324:F1324"/>
    <mergeCell ref="D1325:F1325"/>
    <mergeCell ref="D1326:F1326"/>
    <mergeCell ref="D1315:F1315"/>
    <mergeCell ref="D1316:F1316"/>
    <mergeCell ref="D1317:F1317"/>
    <mergeCell ref="D1318:F1318"/>
    <mergeCell ref="D1319:F1319"/>
    <mergeCell ref="D1320:F1320"/>
    <mergeCell ref="D1381:F1381"/>
    <mergeCell ref="D1382:F1382"/>
    <mergeCell ref="D1383:F1383"/>
    <mergeCell ref="D1384:F1384"/>
    <mergeCell ref="D1385:F1385"/>
    <mergeCell ref="D1386:F1386"/>
    <mergeCell ref="D1375:F1375"/>
    <mergeCell ref="D1376:F1376"/>
    <mergeCell ref="D1377:F1377"/>
    <mergeCell ref="D1378:F1378"/>
    <mergeCell ref="D1379:F1379"/>
    <mergeCell ref="D1380:F1380"/>
    <mergeCell ref="D1369:F1369"/>
    <mergeCell ref="D1370:F1370"/>
    <mergeCell ref="D1371:F1371"/>
    <mergeCell ref="D1372:F1372"/>
    <mergeCell ref="D1373:F1373"/>
    <mergeCell ref="D1374:F1374"/>
    <mergeCell ref="D1363:F1363"/>
    <mergeCell ref="D1364:F1364"/>
    <mergeCell ref="D1365:F1365"/>
    <mergeCell ref="D1366:F1366"/>
    <mergeCell ref="D1367:F1367"/>
    <mergeCell ref="D1368:F1368"/>
    <mergeCell ref="D1357:F1357"/>
    <mergeCell ref="D1358:F1358"/>
    <mergeCell ref="D1359:F1359"/>
    <mergeCell ref="D1360:F1360"/>
    <mergeCell ref="D1361:F1361"/>
    <mergeCell ref="D1362:F1362"/>
    <mergeCell ref="D1351:F1351"/>
    <mergeCell ref="D1352:F1352"/>
    <mergeCell ref="D1353:F1353"/>
    <mergeCell ref="D1354:F1354"/>
    <mergeCell ref="D1355:F1355"/>
    <mergeCell ref="D1356:F1356"/>
    <mergeCell ref="D1417:F1417"/>
    <mergeCell ref="D1418:F1418"/>
    <mergeCell ref="D1419:F1419"/>
    <mergeCell ref="D1420:F1420"/>
    <mergeCell ref="D1421:F1421"/>
    <mergeCell ref="D1422:F1422"/>
    <mergeCell ref="D1411:F1411"/>
    <mergeCell ref="D1412:F1412"/>
    <mergeCell ref="D1413:F1413"/>
    <mergeCell ref="D1414:F1414"/>
    <mergeCell ref="D1415:F1415"/>
    <mergeCell ref="D1416:F1416"/>
    <mergeCell ref="D1405:F1405"/>
    <mergeCell ref="D1406:F1406"/>
    <mergeCell ref="D1407:F1407"/>
    <mergeCell ref="D1408:F1408"/>
    <mergeCell ref="D1409:F1409"/>
    <mergeCell ref="D1410:F1410"/>
    <mergeCell ref="D1399:F1399"/>
    <mergeCell ref="D1400:F1400"/>
    <mergeCell ref="D1401:F1401"/>
    <mergeCell ref="D1402:F1402"/>
    <mergeCell ref="D1403:F1403"/>
    <mergeCell ref="D1404:F1404"/>
    <mergeCell ref="D1393:F1393"/>
    <mergeCell ref="D1394:F1394"/>
    <mergeCell ref="D1395:F1395"/>
    <mergeCell ref="D1396:F1396"/>
    <mergeCell ref="D1397:F1397"/>
    <mergeCell ref="D1398:F1398"/>
    <mergeCell ref="D1387:F1387"/>
    <mergeCell ref="D1388:F1388"/>
    <mergeCell ref="D1389:F1389"/>
    <mergeCell ref="D1390:F1390"/>
    <mergeCell ref="D1391:F1391"/>
    <mergeCell ref="D1392:F1392"/>
    <mergeCell ref="D1453:F1453"/>
    <mergeCell ref="D1454:F1454"/>
    <mergeCell ref="D1455:F1455"/>
    <mergeCell ref="D1456:F1456"/>
    <mergeCell ref="D1457:F1457"/>
    <mergeCell ref="D1458:F1458"/>
    <mergeCell ref="D1447:F1447"/>
    <mergeCell ref="D1448:F1448"/>
    <mergeCell ref="D1449:F1449"/>
    <mergeCell ref="D1450:F1450"/>
    <mergeCell ref="D1451:F1451"/>
    <mergeCell ref="D1452:F1452"/>
    <mergeCell ref="D1441:F1441"/>
    <mergeCell ref="D1442:F1442"/>
    <mergeCell ref="D1443:F1443"/>
    <mergeCell ref="D1444:F1444"/>
    <mergeCell ref="D1445:F1445"/>
    <mergeCell ref="D1446:F1446"/>
    <mergeCell ref="D1435:F1435"/>
    <mergeCell ref="D1436:F1436"/>
    <mergeCell ref="D1437:F1437"/>
    <mergeCell ref="D1438:F1438"/>
    <mergeCell ref="D1439:F1439"/>
    <mergeCell ref="D1440:F1440"/>
    <mergeCell ref="D1429:F1429"/>
    <mergeCell ref="D1430:F1430"/>
    <mergeCell ref="D1431:F1431"/>
    <mergeCell ref="D1432:F1432"/>
    <mergeCell ref="D1433:F1433"/>
    <mergeCell ref="D1434:F1434"/>
    <mergeCell ref="D1423:F1423"/>
    <mergeCell ref="D1424:F1424"/>
    <mergeCell ref="D1425:F1425"/>
    <mergeCell ref="D1426:F1426"/>
    <mergeCell ref="D1427:F1427"/>
    <mergeCell ref="D1428:F1428"/>
    <mergeCell ref="D1489:F1489"/>
    <mergeCell ref="D1490:F1490"/>
    <mergeCell ref="D1491:F1491"/>
    <mergeCell ref="D1492:F1492"/>
    <mergeCell ref="D1493:F1493"/>
    <mergeCell ref="D1494:F1494"/>
    <mergeCell ref="D1483:F1483"/>
    <mergeCell ref="D1484:F1484"/>
    <mergeCell ref="D1485:F1485"/>
    <mergeCell ref="D1486:F1486"/>
    <mergeCell ref="D1487:F1487"/>
    <mergeCell ref="D1488:F1488"/>
    <mergeCell ref="D1477:F1477"/>
    <mergeCell ref="D1478:F1478"/>
    <mergeCell ref="D1479:F1479"/>
    <mergeCell ref="D1480:F1480"/>
    <mergeCell ref="D1481:F1481"/>
    <mergeCell ref="D1482:F1482"/>
    <mergeCell ref="D1471:F1471"/>
    <mergeCell ref="D1472:F1472"/>
    <mergeCell ref="D1473:F1473"/>
    <mergeCell ref="D1474:F1474"/>
    <mergeCell ref="D1475:F1475"/>
    <mergeCell ref="D1476:F1476"/>
    <mergeCell ref="D1465:F1465"/>
    <mergeCell ref="D1466:F1466"/>
    <mergeCell ref="D1467:F1467"/>
    <mergeCell ref="D1468:F1468"/>
    <mergeCell ref="D1469:F1469"/>
    <mergeCell ref="D1470:F1470"/>
    <mergeCell ref="D1459:F1459"/>
    <mergeCell ref="D1460:F1460"/>
    <mergeCell ref="D1461:F1461"/>
    <mergeCell ref="D1462:F1462"/>
    <mergeCell ref="D1463:F1463"/>
    <mergeCell ref="D1464:F1464"/>
    <mergeCell ref="D1525:F1525"/>
    <mergeCell ref="D1526:F1526"/>
    <mergeCell ref="D1527:F1527"/>
    <mergeCell ref="D1528:F1528"/>
    <mergeCell ref="D1529:F1529"/>
    <mergeCell ref="D1530:F1530"/>
    <mergeCell ref="D1519:F1519"/>
    <mergeCell ref="D1520:F1520"/>
    <mergeCell ref="D1521:F1521"/>
    <mergeCell ref="D1522:F1522"/>
    <mergeCell ref="D1523:F1523"/>
    <mergeCell ref="D1524:F1524"/>
    <mergeCell ref="D1513:F1513"/>
    <mergeCell ref="D1514:F1514"/>
    <mergeCell ref="D1515:F1515"/>
    <mergeCell ref="D1516:F1516"/>
    <mergeCell ref="D1517:F1517"/>
    <mergeCell ref="D1518:F1518"/>
    <mergeCell ref="D1507:F1507"/>
    <mergeCell ref="D1508:F1508"/>
    <mergeCell ref="D1509:F1509"/>
    <mergeCell ref="D1510:F1510"/>
    <mergeCell ref="D1511:F1511"/>
    <mergeCell ref="D1512:F1512"/>
    <mergeCell ref="D1501:F1501"/>
    <mergeCell ref="D1502:F1502"/>
    <mergeCell ref="D1503:F1503"/>
    <mergeCell ref="D1504:F1504"/>
    <mergeCell ref="D1505:F1505"/>
    <mergeCell ref="D1506:F1506"/>
    <mergeCell ref="D1495:F1495"/>
    <mergeCell ref="D1496:F1496"/>
    <mergeCell ref="D1497:F1497"/>
    <mergeCell ref="D1498:F1498"/>
    <mergeCell ref="D1499:F1499"/>
    <mergeCell ref="D1500:F1500"/>
    <mergeCell ref="D1561:F1561"/>
    <mergeCell ref="D1562:F1562"/>
    <mergeCell ref="D1563:F1563"/>
    <mergeCell ref="D1564:F1564"/>
    <mergeCell ref="D1565:F1565"/>
    <mergeCell ref="D1566:F1566"/>
    <mergeCell ref="D1555:F1555"/>
    <mergeCell ref="D1556:F1556"/>
    <mergeCell ref="D1557:F1557"/>
    <mergeCell ref="D1558:F1558"/>
    <mergeCell ref="D1559:F1559"/>
    <mergeCell ref="D1560:F1560"/>
    <mergeCell ref="D1549:F1549"/>
    <mergeCell ref="D1550:F1550"/>
    <mergeCell ref="D1551:F1551"/>
    <mergeCell ref="D1552:F1552"/>
    <mergeCell ref="D1553:F1553"/>
    <mergeCell ref="D1554:F1554"/>
    <mergeCell ref="D1543:F1543"/>
    <mergeCell ref="D1544:F1544"/>
    <mergeCell ref="D1545:F1545"/>
    <mergeCell ref="D1546:F1546"/>
    <mergeCell ref="D1547:F1547"/>
    <mergeCell ref="D1548:F1548"/>
    <mergeCell ref="D1537:F1537"/>
    <mergeCell ref="D1538:F1538"/>
    <mergeCell ref="D1539:F1539"/>
    <mergeCell ref="D1540:F1540"/>
    <mergeCell ref="D1541:F1541"/>
    <mergeCell ref="D1542:F1542"/>
    <mergeCell ref="D1531:F1531"/>
    <mergeCell ref="D1532:F1532"/>
    <mergeCell ref="D1533:F1533"/>
    <mergeCell ref="D1534:F1534"/>
    <mergeCell ref="D1535:F1535"/>
    <mergeCell ref="D1536:F1536"/>
    <mergeCell ref="D1597:F1597"/>
    <mergeCell ref="D1598:F1598"/>
    <mergeCell ref="D1599:F1599"/>
    <mergeCell ref="D1600:F1600"/>
    <mergeCell ref="D1601:F1601"/>
    <mergeCell ref="D1602:F1602"/>
    <mergeCell ref="D1591:F1591"/>
    <mergeCell ref="D1592:F1592"/>
    <mergeCell ref="D1593:F1593"/>
    <mergeCell ref="D1594:F1594"/>
    <mergeCell ref="D1595:F1595"/>
    <mergeCell ref="D1596:F1596"/>
    <mergeCell ref="D1585:F1585"/>
    <mergeCell ref="D1586:F1586"/>
    <mergeCell ref="D1587:F1587"/>
    <mergeCell ref="D1588:F1588"/>
    <mergeCell ref="D1589:F1589"/>
    <mergeCell ref="D1590:F1590"/>
    <mergeCell ref="D1579:F1579"/>
    <mergeCell ref="D1580:F1580"/>
    <mergeCell ref="D1581:F1581"/>
    <mergeCell ref="D1582:F1582"/>
    <mergeCell ref="D1583:F1583"/>
    <mergeCell ref="D1584:F1584"/>
    <mergeCell ref="D1573:F1573"/>
    <mergeCell ref="D1574:F1574"/>
    <mergeCell ref="D1575:F1575"/>
    <mergeCell ref="D1576:F1576"/>
    <mergeCell ref="D1577:F1577"/>
    <mergeCell ref="D1578:F1578"/>
    <mergeCell ref="D1567:F1567"/>
    <mergeCell ref="D1568:F1568"/>
    <mergeCell ref="D1569:F1569"/>
    <mergeCell ref="D1570:F1570"/>
    <mergeCell ref="D1571:F1571"/>
    <mergeCell ref="D1572:F1572"/>
    <mergeCell ref="D1633:F1633"/>
    <mergeCell ref="D1634:F1634"/>
    <mergeCell ref="D1635:F1635"/>
    <mergeCell ref="D1636:F1636"/>
    <mergeCell ref="D1637:F1637"/>
    <mergeCell ref="D1638:F1638"/>
    <mergeCell ref="D1627:F1627"/>
    <mergeCell ref="D1628:F1628"/>
    <mergeCell ref="D1629:F1629"/>
    <mergeCell ref="D1630:F1630"/>
    <mergeCell ref="D1631:F1631"/>
    <mergeCell ref="D1632:F1632"/>
    <mergeCell ref="D1621:F1621"/>
    <mergeCell ref="D1622:F1622"/>
    <mergeCell ref="D1623:F1623"/>
    <mergeCell ref="D1624:F1624"/>
    <mergeCell ref="D1625:F1625"/>
    <mergeCell ref="D1626:F1626"/>
    <mergeCell ref="D1615:F1615"/>
    <mergeCell ref="D1616:F1616"/>
    <mergeCell ref="D1617:F1617"/>
    <mergeCell ref="D1618:F1618"/>
    <mergeCell ref="D1619:F1619"/>
    <mergeCell ref="D1620:F1620"/>
    <mergeCell ref="D1609:F1609"/>
    <mergeCell ref="D1610:F1610"/>
    <mergeCell ref="D1611:F1611"/>
    <mergeCell ref="D1612:F1612"/>
    <mergeCell ref="D1613:F1613"/>
    <mergeCell ref="D1614:F1614"/>
    <mergeCell ref="D1603:F1603"/>
    <mergeCell ref="D1604:F1604"/>
    <mergeCell ref="D1605:F1605"/>
    <mergeCell ref="D1606:F1606"/>
    <mergeCell ref="D1607:F1607"/>
    <mergeCell ref="D1608:F1608"/>
    <mergeCell ref="D1669:F1669"/>
    <mergeCell ref="D1670:F1670"/>
    <mergeCell ref="D1671:F1671"/>
    <mergeCell ref="D1672:F1672"/>
    <mergeCell ref="D1673:F1673"/>
    <mergeCell ref="D1674:F1674"/>
    <mergeCell ref="D1663:F1663"/>
    <mergeCell ref="D1664:F1664"/>
    <mergeCell ref="D1665:F1665"/>
    <mergeCell ref="D1666:F1666"/>
    <mergeCell ref="D1667:F1667"/>
    <mergeCell ref="D1668:F1668"/>
    <mergeCell ref="D1657:F1657"/>
    <mergeCell ref="D1658:F1658"/>
    <mergeCell ref="D1659:F1659"/>
    <mergeCell ref="D1660:F1660"/>
    <mergeCell ref="D1661:F1661"/>
    <mergeCell ref="D1662:F1662"/>
    <mergeCell ref="D1651:F1651"/>
    <mergeCell ref="D1652:F1652"/>
    <mergeCell ref="D1653:F1653"/>
    <mergeCell ref="D1654:F1654"/>
    <mergeCell ref="D1655:F1655"/>
    <mergeCell ref="D1656:F1656"/>
    <mergeCell ref="D1645:F1645"/>
    <mergeCell ref="D1646:F1646"/>
    <mergeCell ref="D1647:F1647"/>
    <mergeCell ref="D1648:F1648"/>
    <mergeCell ref="D1649:F1649"/>
    <mergeCell ref="D1650:F1650"/>
    <mergeCell ref="D1639:F1639"/>
    <mergeCell ref="D1640:F1640"/>
    <mergeCell ref="D1641:F1641"/>
    <mergeCell ref="D1642:F1642"/>
    <mergeCell ref="D1643:F1643"/>
    <mergeCell ref="D1644:F1644"/>
    <mergeCell ref="D1705:F1705"/>
    <mergeCell ref="D1706:F1706"/>
    <mergeCell ref="D1707:F1707"/>
    <mergeCell ref="D1708:F1708"/>
    <mergeCell ref="D1709:F1709"/>
    <mergeCell ref="D1710:F1710"/>
    <mergeCell ref="D1699:F1699"/>
    <mergeCell ref="D1700:F1700"/>
    <mergeCell ref="D1701:F1701"/>
    <mergeCell ref="D1702:F1702"/>
    <mergeCell ref="D1703:F1703"/>
    <mergeCell ref="D1704:F1704"/>
    <mergeCell ref="D1693:F1693"/>
    <mergeCell ref="D1694:F1694"/>
    <mergeCell ref="D1695:F1695"/>
    <mergeCell ref="D1696:F1696"/>
    <mergeCell ref="D1697:F1697"/>
    <mergeCell ref="D1698:F1698"/>
    <mergeCell ref="D1687:F1687"/>
    <mergeCell ref="D1688:F1688"/>
    <mergeCell ref="D1689:F1689"/>
    <mergeCell ref="D1690:F1690"/>
    <mergeCell ref="D1691:F1691"/>
    <mergeCell ref="D1692:F1692"/>
    <mergeCell ref="D1681:F1681"/>
    <mergeCell ref="D1682:F1682"/>
    <mergeCell ref="D1683:F1683"/>
    <mergeCell ref="D1684:F1684"/>
    <mergeCell ref="D1685:F1685"/>
    <mergeCell ref="D1686:F1686"/>
    <mergeCell ref="D1675:F1675"/>
    <mergeCell ref="D1676:F1676"/>
    <mergeCell ref="D1677:F1677"/>
    <mergeCell ref="D1678:F1678"/>
    <mergeCell ref="D1679:F1679"/>
    <mergeCell ref="D1680:F1680"/>
    <mergeCell ref="D1741:F1741"/>
    <mergeCell ref="D1742:F1742"/>
    <mergeCell ref="D1743:F1743"/>
    <mergeCell ref="D1744:F1744"/>
    <mergeCell ref="D1745:F1745"/>
    <mergeCell ref="D1746:F1746"/>
    <mergeCell ref="D1735:F1735"/>
    <mergeCell ref="D1736:F1736"/>
    <mergeCell ref="D1737:F1737"/>
    <mergeCell ref="D1738:F1738"/>
    <mergeCell ref="D1739:F1739"/>
    <mergeCell ref="D1740:F1740"/>
    <mergeCell ref="D1729:F1729"/>
    <mergeCell ref="D1730:F1730"/>
    <mergeCell ref="D1731:F1731"/>
    <mergeCell ref="D1732:F1732"/>
    <mergeCell ref="D1733:F1733"/>
    <mergeCell ref="D1734:F1734"/>
    <mergeCell ref="D1723:F1723"/>
    <mergeCell ref="D1724:F1724"/>
    <mergeCell ref="D1725:F1725"/>
    <mergeCell ref="D1726:F1726"/>
    <mergeCell ref="D1727:F1727"/>
    <mergeCell ref="D1728:F1728"/>
    <mergeCell ref="D1717:F1717"/>
    <mergeCell ref="D1718:F1718"/>
    <mergeCell ref="D1719:F1719"/>
    <mergeCell ref="D1720:F1720"/>
    <mergeCell ref="D1721:F1721"/>
    <mergeCell ref="D1722:F1722"/>
    <mergeCell ref="D1711:F1711"/>
    <mergeCell ref="D1712:F1712"/>
    <mergeCell ref="D1713:F1713"/>
    <mergeCell ref="D1714:F1714"/>
    <mergeCell ref="D1715:F1715"/>
    <mergeCell ref="D1716:F1716"/>
    <mergeCell ref="D1777:F1777"/>
    <mergeCell ref="D1778:F1778"/>
    <mergeCell ref="D1779:F1779"/>
    <mergeCell ref="D1780:F1780"/>
    <mergeCell ref="D1781:F1781"/>
    <mergeCell ref="D1782:F1782"/>
    <mergeCell ref="D1771:F1771"/>
    <mergeCell ref="D1772:F1772"/>
    <mergeCell ref="D1773:F1773"/>
    <mergeCell ref="D1774:F1774"/>
    <mergeCell ref="D1775:F1775"/>
    <mergeCell ref="D1776:F1776"/>
    <mergeCell ref="D1765:F1765"/>
    <mergeCell ref="D1766:F1766"/>
    <mergeCell ref="D1767:F1767"/>
    <mergeCell ref="D1768:F1768"/>
    <mergeCell ref="D1769:F1769"/>
    <mergeCell ref="D1770:F1770"/>
    <mergeCell ref="D1759:F1759"/>
    <mergeCell ref="D1760:F1760"/>
    <mergeCell ref="D1761:F1761"/>
    <mergeCell ref="D1762:F1762"/>
    <mergeCell ref="D1763:F1763"/>
    <mergeCell ref="D1764:F1764"/>
    <mergeCell ref="D1753:F1753"/>
    <mergeCell ref="D1754:F1754"/>
    <mergeCell ref="D1755:F1755"/>
    <mergeCell ref="D1756:F1756"/>
    <mergeCell ref="D1757:F1757"/>
    <mergeCell ref="D1758:F1758"/>
    <mergeCell ref="D1747:F1747"/>
    <mergeCell ref="D1748:F1748"/>
    <mergeCell ref="D1749:F1749"/>
    <mergeCell ref="D1750:F1750"/>
    <mergeCell ref="D1751:F1751"/>
    <mergeCell ref="D1752:F1752"/>
    <mergeCell ref="D1813:F1813"/>
    <mergeCell ref="D1814:F1814"/>
    <mergeCell ref="D1815:F1815"/>
    <mergeCell ref="D1816:F1816"/>
    <mergeCell ref="D1817:F1817"/>
    <mergeCell ref="D1818:F1818"/>
    <mergeCell ref="D1807:F1807"/>
    <mergeCell ref="D1808:F1808"/>
    <mergeCell ref="D1809:F1809"/>
    <mergeCell ref="D1810:F1810"/>
    <mergeCell ref="D1811:F1811"/>
    <mergeCell ref="D1812:F1812"/>
    <mergeCell ref="D1801:F1801"/>
    <mergeCell ref="D1802:F1802"/>
    <mergeCell ref="D1803:F1803"/>
    <mergeCell ref="D1804:F1804"/>
    <mergeCell ref="D1805:F1805"/>
    <mergeCell ref="D1806:F1806"/>
    <mergeCell ref="D1795:F1795"/>
    <mergeCell ref="D1796:F1796"/>
    <mergeCell ref="D1797:F1797"/>
    <mergeCell ref="D1798:F1798"/>
    <mergeCell ref="D1799:F1799"/>
    <mergeCell ref="D1800:F1800"/>
    <mergeCell ref="D1789:F1789"/>
    <mergeCell ref="D1790:F1790"/>
    <mergeCell ref="D1791:F1791"/>
    <mergeCell ref="D1792:F1792"/>
    <mergeCell ref="D1793:F1793"/>
    <mergeCell ref="D1794:F1794"/>
    <mergeCell ref="D1783:F1783"/>
    <mergeCell ref="D1784:F1784"/>
    <mergeCell ref="D1785:F1785"/>
    <mergeCell ref="D1786:F1786"/>
    <mergeCell ref="D1787:F1787"/>
    <mergeCell ref="D1788:F1788"/>
    <mergeCell ref="D1849:F1849"/>
    <mergeCell ref="D1850:F1850"/>
    <mergeCell ref="D1851:F1851"/>
    <mergeCell ref="D1852:F1852"/>
    <mergeCell ref="D1853:F1853"/>
    <mergeCell ref="D1854:F1854"/>
    <mergeCell ref="D1843:F1843"/>
    <mergeCell ref="D1844:F1844"/>
    <mergeCell ref="D1845:F1845"/>
    <mergeCell ref="D1846:F1846"/>
    <mergeCell ref="D1847:F1847"/>
    <mergeCell ref="D1848:F1848"/>
    <mergeCell ref="D1837:F1837"/>
    <mergeCell ref="D1838:F1838"/>
    <mergeCell ref="D1839:F1839"/>
    <mergeCell ref="D1840:F1840"/>
    <mergeCell ref="D1841:F1841"/>
    <mergeCell ref="D1842:F1842"/>
    <mergeCell ref="D1831:F1831"/>
    <mergeCell ref="D1832:F1832"/>
    <mergeCell ref="D1833:F1833"/>
    <mergeCell ref="D1834:F1834"/>
    <mergeCell ref="D1835:F1835"/>
    <mergeCell ref="D1836:F1836"/>
    <mergeCell ref="D1825:F1825"/>
    <mergeCell ref="D1826:F1826"/>
    <mergeCell ref="D1827:F1827"/>
    <mergeCell ref="D1828:F1828"/>
    <mergeCell ref="D1829:F1829"/>
    <mergeCell ref="D1830:F1830"/>
    <mergeCell ref="D1819:F1819"/>
    <mergeCell ref="D1820:F1820"/>
    <mergeCell ref="D1821:F1821"/>
    <mergeCell ref="D1822:F1822"/>
    <mergeCell ref="D1823:F1823"/>
    <mergeCell ref="D1824:F1824"/>
    <mergeCell ref="D1885:F1885"/>
    <mergeCell ref="D1886:F1886"/>
    <mergeCell ref="D1887:F1887"/>
    <mergeCell ref="D1888:F1888"/>
    <mergeCell ref="D1889:F1889"/>
    <mergeCell ref="D1890:F1890"/>
    <mergeCell ref="D1879:F1879"/>
    <mergeCell ref="D1880:F1880"/>
    <mergeCell ref="D1881:F1881"/>
    <mergeCell ref="D1882:F1882"/>
    <mergeCell ref="D1883:F1883"/>
    <mergeCell ref="D1884:F1884"/>
    <mergeCell ref="D1873:F1873"/>
    <mergeCell ref="D1874:F1874"/>
    <mergeCell ref="D1875:F1875"/>
    <mergeCell ref="D1876:F1876"/>
    <mergeCell ref="D1877:F1877"/>
    <mergeCell ref="D1878:F1878"/>
    <mergeCell ref="D1867:F1867"/>
    <mergeCell ref="D1868:F1868"/>
    <mergeCell ref="D1869:F1869"/>
    <mergeCell ref="D1870:F1870"/>
    <mergeCell ref="D1871:F1871"/>
    <mergeCell ref="D1872:F1872"/>
    <mergeCell ref="D1861:F1861"/>
    <mergeCell ref="D1862:F1862"/>
    <mergeCell ref="D1863:F1863"/>
    <mergeCell ref="D1864:F1864"/>
    <mergeCell ref="D1865:F1865"/>
    <mergeCell ref="D1866:F1866"/>
    <mergeCell ref="D1855:F1855"/>
    <mergeCell ref="D1856:F1856"/>
    <mergeCell ref="D1857:F1857"/>
    <mergeCell ref="D1858:F1858"/>
    <mergeCell ref="D1859:F1859"/>
    <mergeCell ref="D1860:F1860"/>
    <mergeCell ref="D1921:F1921"/>
    <mergeCell ref="D1922:F1922"/>
    <mergeCell ref="D1923:F1923"/>
    <mergeCell ref="D1924:F1924"/>
    <mergeCell ref="D1925:F1925"/>
    <mergeCell ref="D1926:F1926"/>
    <mergeCell ref="D1915:F1915"/>
    <mergeCell ref="D1916:F1916"/>
    <mergeCell ref="D1917:F1917"/>
    <mergeCell ref="D1918:F1918"/>
    <mergeCell ref="D1919:F1919"/>
    <mergeCell ref="D1920:F1920"/>
    <mergeCell ref="D1909:F1909"/>
    <mergeCell ref="D1910:F1910"/>
    <mergeCell ref="D1911:F1911"/>
    <mergeCell ref="D1912:F1912"/>
    <mergeCell ref="D1913:F1913"/>
    <mergeCell ref="D1914:F1914"/>
    <mergeCell ref="D1903:F1903"/>
    <mergeCell ref="D1904:F1904"/>
    <mergeCell ref="D1905:F1905"/>
    <mergeCell ref="D1906:F1906"/>
    <mergeCell ref="D1907:F1907"/>
    <mergeCell ref="D1908:F1908"/>
    <mergeCell ref="D1897:F1897"/>
    <mergeCell ref="D1898:F1898"/>
    <mergeCell ref="D1899:F1899"/>
    <mergeCell ref="D1900:F1900"/>
    <mergeCell ref="D1901:F1901"/>
    <mergeCell ref="D1902:F1902"/>
    <mergeCell ref="D1891:F1891"/>
    <mergeCell ref="D1892:F1892"/>
    <mergeCell ref="D1893:F1893"/>
    <mergeCell ref="D1894:F1894"/>
    <mergeCell ref="D1895:F1895"/>
    <mergeCell ref="D1896:F1896"/>
    <mergeCell ref="D1957:F1957"/>
    <mergeCell ref="D1958:F1958"/>
    <mergeCell ref="D1959:F1959"/>
    <mergeCell ref="D1960:F1960"/>
    <mergeCell ref="D1961:F1961"/>
    <mergeCell ref="D1962:F1962"/>
    <mergeCell ref="D1951:F1951"/>
    <mergeCell ref="D1952:F1952"/>
    <mergeCell ref="D1953:F1953"/>
    <mergeCell ref="D1954:F1954"/>
    <mergeCell ref="D1955:F1955"/>
    <mergeCell ref="D1956:F1956"/>
    <mergeCell ref="D1945:F1945"/>
    <mergeCell ref="D1946:F1946"/>
    <mergeCell ref="D1947:F1947"/>
    <mergeCell ref="D1948:F1948"/>
    <mergeCell ref="D1949:F1949"/>
    <mergeCell ref="D1950:F1950"/>
    <mergeCell ref="D1939:F1939"/>
    <mergeCell ref="D1940:F1940"/>
    <mergeCell ref="D1941:F1941"/>
    <mergeCell ref="D1942:F1942"/>
    <mergeCell ref="D1943:F1943"/>
    <mergeCell ref="D1944:F1944"/>
    <mergeCell ref="D1933:F1933"/>
    <mergeCell ref="D1934:F1934"/>
    <mergeCell ref="D1935:F1935"/>
    <mergeCell ref="D1936:F1936"/>
    <mergeCell ref="D1937:F1937"/>
    <mergeCell ref="D1938:F1938"/>
    <mergeCell ref="D1927:F1927"/>
    <mergeCell ref="D1928:F1928"/>
    <mergeCell ref="D1929:F1929"/>
    <mergeCell ref="D1930:F1930"/>
    <mergeCell ref="D1931:F1931"/>
    <mergeCell ref="D1932:F1932"/>
    <mergeCell ref="D1993:F1993"/>
    <mergeCell ref="D1994:F1994"/>
    <mergeCell ref="D1995:F1995"/>
    <mergeCell ref="D1996:F1996"/>
    <mergeCell ref="D1997:F1997"/>
    <mergeCell ref="D1998:F1998"/>
    <mergeCell ref="D1987:F1987"/>
    <mergeCell ref="D1988:F1988"/>
    <mergeCell ref="D1989:F1989"/>
    <mergeCell ref="D1990:F1990"/>
    <mergeCell ref="D1991:F1991"/>
    <mergeCell ref="D1992:F1992"/>
    <mergeCell ref="D1981:F1981"/>
    <mergeCell ref="D1982:F1982"/>
    <mergeCell ref="D1983:F1983"/>
    <mergeCell ref="D1984:F1984"/>
    <mergeCell ref="D1985:F1985"/>
    <mergeCell ref="D1986:F1986"/>
    <mergeCell ref="D1975:F1975"/>
    <mergeCell ref="D1976:F1976"/>
    <mergeCell ref="D1977:F1977"/>
    <mergeCell ref="D1978:F1978"/>
    <mergeCell ref="D1979:F1979"/>
    <mergeCell ref="D1980:F1980"/>
    <mergeCell ref="D1969:F1969"/>
    <mergeCell ref="D1970:F1970"/>
    <mergeCell ref="D1971:F1971"/>
    <mergeCell ref="D1972:F1972"/>
    <mergeCell ref="D1973:F1973"/>
    <mergeCell ref="D1974:F1974"/>
    <mergeCell ref="D1963:F1963"/>
    <mergeCell ref="D1964:F1964"/>
    <mergeCell ref="D1965:F1965"/>
    <mergeCell ref="D1966:F1966"/>
    <mergeCell ref="D1967:F1967"/>
    <mergeCell ref="D1968:F1968"/>
    <mergeCell ref="D2029:F2029"/>
    <mergeCell ref="D2030:F2030"/>
    <mergeCell ref="D2031:F2031"/>
    <mergeCell ref="D2032:F2032"/>
    <mergeCell ref="D2033:F2033"/>
    <mergeCell ref="D2034:F2034"/>
    <mergeCell ref="D2023:F2023"/>
    <mergeCell ref="D2024:F2024"/>
    <mergeCell ref="D2025:F2025"/>
    <mergeCell ref="D2026:F2026"/>
    <mergeCell ref="D2027:F2027"/>
    <mergeCell ref="D2028:F2028"/>
    <mergeCell ref="D2017:F2017"/>
    <mergeCell ref="D2018:F2018"/>
    <mergeCell ref="D2019:F2019"/>
    <mergeCell ref="D2020:F2020"/>
    <mergeCell ref="D2021:F2021"/>
    <mergeCell ref="D2022:F2022"/>
    <mergeCell ref="D2011:F2011"/>
    <mergeCell ref="D2012:F2012"/>
    <mergeCell ref="D2013:F2013"/>
    <mergeCell ref="D2014:F2014"/>
    <mergeCell ref="D2015:F2015"/>
    <mergeCell ref="D2016:F2016"/>
    <mergeCell ref="D2005:F2005"/>
    <mergeCell ref="D2006:F2006"/>
    <mergeCell ref="D2007:F2007"/>
    <mergeCell ref="D2008:F2008"/>
    <mergeCell ref="D2009:F2009"/>
    <mergeCell ref="D2010:F2010"/>
    <mergeCell ref="D1999:F1999"/>
    <mergeCell ref="D2000:F2000"/>
    <mergeCell ref="D2001:F2001"/>
    <mergeCell ref="D2002:F2002"/>
    <mergeCell ref="D2003:F2003"/>
    <mergeCell ref="D2004:F2004"/>
    <mergeCell ref="D2065:F2065"/>
    <mergeCell ref="D2066:F2066"/>
    <mergeCell ref="D2067:F2067"/>
    <mergeCell ref="D2068:F2068"/>
    <mergeCell ref="D2069:F2069"/>
    <mergeCell ref="D2070:F2070"/>
    <mergeCell ref="D2059:F2059"/>
    <mergeCell ref="D2060:F2060"/>
    <mergeCell ref="D2061:F2061"/>
    <mergeCell ref="D2062:F2062"/>
    <mergeCell ref="D2063:F2063"/>
    <mergeCell ref="D2064:F2064"/>
    <mergeCell ref="D2053:F2053"/>
    <mergeCell ref="D2054:F2054"/>
    <mergeCell ref="D2055:F2055"/>
    <mergeCell ref="D2056:F2056"/>
    <mergeCell ref="D2057:F2057"/>
    <mergeCell ref="D2058:F2058"/>
    <mergeCell ref="D2047:F2047"/>
    <mergeCell ref="D2048:F2048"/>
    <mergeCell ref="D2049:F2049"/>
    <mergeCell ref="D2050:F2050"/>
    <mergeCell ref="D2051:F2051"/>
    <mergeCell ref="D2052:F2052"/>
    <mergeCell ref="D2041:F2041"/>
    <mergeCell ref="D2042:F2042"/>
    <mergeCell ref="D2043:F2043"/>
    <mergeCell ref="D2044:F2044"/>
    <mergeCell ref="D2045:F2045"/>
    <mergeCell ref="D2046:F2046"/>
    <mergeCell ref="D2035:F2035"/>
    <mergeCell ref="D2036:F2036"/>
    <mergeCell ref="D2037:F2037"/>
    <mergeCell ref="D2038:F2038"/>
    <mergeCell ref="D2039:F2039"/>
    <mergeCell ref="D2040:F2040"/>
    <mergeCell ref="D2101:F2101"/>
    <mergeCell ref="D2102:F2102"/>
    <mergeCell ref="D2103:F2103"/>
    <mergeCell ref="D2104:F2104"/>
    <mergeCell ref="D2105:F2105"/>
    <mergeCell ref="D2106:F2106"/>
    <mergeCell ref="D2095:F2095"/>
    <mergeCell ref="D2096:F2096"/>
    <mergeCell ref="D2097:F2097"/>
    <mergeCell ref="D2098:F2098"/>
    <mergeCell ref="D2099:F2099"/>
    <mergeCell ref="D2100:F2100"/>
    <mergeCell ref="D2089:F2089"/>
    <mergeCell ref="D2090:F2090"/>
    <mergeCell ref="D2091:F2091"/>
    <mergeCell ref="D2092:F2092"/>
    <mergeCell ref="D2093:F2093"/>
    <mergeCell ref="D2094:F2094"/>
    <mergeCell ref="D2083:F2083"/>
    <mergeCell ref="D2084:F2084"/>
    <mergeCell ref="D2085:F2085"/>
    <mergeCell ref="D2086:F2086"/>
    <mergeCell ref="D2087:F2087"/>
    <mergeCell ref="D2088:F2088"/>
    <mergeCell ref="D2077:F2077"/>
    <mergeCell ref="D2078:F2078"/>
    <mergeCell ref="D2079:F2079"/>
    <mergeCell ref="D2080:F2080"/>
    <mergeCell ref="D2081:F2081"/>
    <mergeCell ref="D2082:F2082"/>
    <mergeCell ref="D2071:F2071"/>
    <mergeCell ref="D2072:F2072"/>
    <mergeCell ref="D2073:F2073"/>
    <mergeCell ref="D2074:F2074"/>
    <mergeCell ref="D2075:F2075"/>
    <mergeCell ref="D2076:F2076"/>
    <mergeCell ref="D2137:F2137"/>
    <mergeCell ref="D2138:F2138"/>
    <mergeCell ref="D2139:F2139"/>
    <mergeCell ref="D2140:F2140"/>
    <mergeCell ref="D2141:F2141"/>
    <mergeCell ref="D2142:F2142"/>
    <mergeCell ref="D2131:F2131"/>
    <mergeCell ref="D2132:F2132"/>
    <mergeCell ref="D2133:F2133"/>
    <mergeCell ref="D2134:F2134"/>
    <mergeCell ref="D2135:F2135"/>
    <mergeCell ref="D2136:F2136"/>
    <mergeCell ref="D2125:F2125"/>
    <mergeCell ref="D2126:F2126"/>
    <mergeCell ref="D2127:F2127"/>
    <mergeCell ref="D2128:F2128"/>
    <mergeCell ref="D2129:F2129"/>
    <mergeCell ref="D2130:F2130"/>
    <mergeCell ref="D2119:F2119"/>
    <mergeCell ref="D2120:F2120"/>
    <mergeCell ref="D2121:F2121"/>
    <mergeCell ref="D2122:F2122"/>
    <mergeCell ref="D2123:F2123"/>
    <mergeCell ref="D2124:F2124"/>
    <mergeCell ref="D2113:F2113"/>
    <mergeCell ref="D2114:F2114"/>
    <mergeCell ref="D2115:F2115"/>
    <mergeCell ref="D2116:F2116"/>
    <mergeCell ref="D2117:F2117"/>
    <mergeCell ref="D2118:F2118"/>
    <mergeCell ref="D2107:F2107"/>
    <mergeCell ref="D2108:F2108"/>
    <mergeCell ref="D2109:F2109"/>
    <mergeCell ref="D2110:F2110"/>
    <mergeCell ref="D2111:F2111"/>
    <mergeCell ref="D2112:F2112"/>
    <mergeCell ref="D2173:F2173"/>
    <mergeCell ref="D2174:F2174"/>
    <mergeCell ref="D2175:F2175"/>
    <mergeCell ref="D2176:F2176"/>
    <mergeCell ref="D2177:F2177"/>
    <mergeCell ref="D2178:F2178"/>
    <mergeCell ref="D2167:F2167"/>
    <mergeCell ref="D2168:F2168"/>
    <mergeCell ref="D2169:F2169"/>
    <mergeCell ref="D2170:F2170"/>
    <mergeCell ref="D2171:F2171"/>
    <mergeCell ref="D2172:F2172"/>
    <mergeCell ref="D2161:F2161"/>
    <mergeCell ref="D2162:F2162"/>
    <mergeCell ref="D2163:F2163"/>
    <mergeCell ref="D2164:F2164"/>
    <mergeCell ref="D2165:F2165"/>
    <mergeCell ref="D2166:F2166"/>
    <mergeCell ref="D2155:F2155"/>
    <mergeCell ref="D2156:F2156"/>
    <mergeCell ref="D2157:F2157"/>
    <mergeCell ref="D2158:F2158"/>
    <mergeCell ref="D2159:F2159"/>
    <mergeCell ref="D2160:F2160"/>
    <mergeCell ref="D2149:F2149"/>
    <mergeCell ref="D2150:F2150"/>
    <mergeCell ref="D2151:F2151"/>
    <mergeCell ref="D2152:F2152"/>
    <mergeCell ref="D2153:F2153"/>
    <mergeCell ref="D2154:F2154"/>
    <mergeCell ref="D2143:F2143"/>
    <mergeCell ref="D2144:F2144"/>
    <mergeCell ref="D2145:F2145"/>
    <mergeCell ref="D2146:F2146"/>
    <mergeCell ref="D2147:F2147"/>
    <mergeCell ref="D2148:F2148"/>
    <mergeCell ref="D2209:F2209"/>
    <mergeCell ref="D2210:F2210"/>
    <mergeCell ref="D2211:F2211"/>
    <mergeCell ref="D2212:F2212"/>
    <mergeCell ref="D2213:F2213"/>
    <mergeCell ref="D2214:F2214"/>
    <mergeCell ref="D2203:F2203"/>
    <mergeCell ref="D2204:F2204"/>
    <mergeCell ref="D2205:F2205"/>
    <mergeCell ref="D2206:F2206"/>
    <mergeCell ref="D2207:F2207"/>
    <mergeCell ref="D2208:F2208"/>
    <mergeCell ref="D2197:F2197"/>
    <mergeCell ref="D2198:F2198"/>
    <mergeCell ref="D2199:F2199"/>
    <mergeCell ref="D2200:F2200"/>
    <mergeCell ref="D2201:F2201"/>
    <mergeCell ref="D2202:F2202"/>
    <mergeCell ref="D2191:F2191"/>
    <mergeCell ref="D2192:F2192"/>
    <mergeCell ref="D2193:F2193"/>
    <mergeCell ref="D2194:F2194"/>
    <mergeCell ref="D2195:F2195"/>
    <mergeCell ref="D2196:F2196"/>
    <mergeCell ref="D2185:F2185"/>
    <mergeCell ref="D2186:F2186"/>
    <mergeCell ref="D2187:F2187"/>
    <mergeCell ref="D2188:F2188"/>
    <mergeCell ref="D2189:F2189"/>
    <mergeCell ref="D2190:F2190"/>
    <mergeCell ref="D2179:F2179"/>
    <mergeCell ref="D2180:F2180"/>
    <mergeCell ref="D2181:F2181"/>
    <mergeCell ref="D2182:F2182"/>
    <mergeCell ref="D2183:F2183"/>
    <mergeCell ref="D2184:F2184"/>
    <mergeCell ref="D2245:F2245"/>
    <mergeCell ref="D2246:F2246"/>
    <mergeCell ref="D2247:F2247"/>
    <mergeCell ref="D2248:F2248"/>
    <mergeCell ref="D2249:F2249"/>
    <mergeCell ref="D2250:F2250"/>
    <mergeCell ref="D2239:F2239"/>
    <mergeCell ref="D2240:F2240"/>
    <mergeCell ref="D2241:F2241"/>
    <mergeCell ref="D2242:F2242"/>
    <mergeCell ref="D2243:F2243"/>
    <mergeCell ref="D2244:F2244"/>
    <mergeCell ref="D2233:F2233"/>
    <mergeCell ref="D2234:F2234"/>
    <mergeCell ref="D2235:F2235"/>
    <mergeCell ref="D2236:F2236"/>
    <mergeCell ref="D2237:F2237"/>
    <mergeCell ref="D2238:F2238"/>
    <mergeCell ref="D2227:F2227"/>
    <mergeCell ref="D2228:F2228"/>
    <mergeCell ref="D2229:F2229"/>
    <mergeCell ref="D2230:F2230"/>
    <mergeCell ref="D2231:F2231"/>
    <mergeCell ref="D2232:F2232"/>
    <mergeCell ref="D2221:F2221"/>
    <mergeCell ref="D2222:F2222"/>
    <mergeCell ref="D2223:F2223"/>
    <mergeCell ref="D2224:F2224"/>
    <mergeCell ref="D2225:F2225"/>
    <mergeCell ref="D2226:F2226"/>
    <mergeCell ref="D2215:F2215"/>
    <mergeCell ref="D2216:F2216"/>
    <mergeCell ref="D2217:F2217"/>
    <mergeCell ref="D2218:F2218"/>
    <mergeCell ref="D2219:F2219"/>
    <mergeCell ref="D2220:F2220"/>
    <mergeCell ref="D2281:F2281"/>
    <mergeCell ref="D2282:F2282"/>
    <mergeCell ref="D2283:F2283"/>
    <mergeCell ref="D2284:F2284"/>
    <mergeCell ref="D2285:F2285"/>
    <mergeCell ref="D2286:F2286"/>
    <mergeCell ref="D2275:F2275"/>
    <mergeCell ref="D2276:F2276"/>
    <mergeCell ref="D2277:F2277"/>
    <mergeCell ref="D2278:F2278"/>
    <mergeCell ref="D2279:F2279"/>
    <mergeCell ref="D2280:F2280"/>
    <mergeCell ref="D2269:F2269"/>
    <mergeCell ref="D2270:F2270"/>
    <mergeCell ref="D2271:F2271"/>
    <mergeCell ref="D2272:F2272"/>
    <mergeCell ref="D2273:F2273"/>
    <mergeCell ref="D2274:F2274"/>
    <mergeCell ref="D2263:F2263"/>
    <mergeCell ref="D2264:F2264"/>
    <mergeCell ref="D2265:F2265"/>
    <mergeCell ref="D2266:F2266"/>
    <mergeCell ref="D2267:F2267"/>
    <mergeCell ref="D2268:F2268"/>
    <mergeCell ref="D2257:F2257"/>
    <mergeCell ref="D2258:F2258"/>
    <mergeCell ref="D2259:F2259"/>
    <mergeCell ref="D2260:F2260"/>
    <mergeCell ref="D2261:F2261"/>
    <mergeCell ref="D2262:F2262"/>
    <mergeCell ref="D2251:F2251"/>
    <mergeCell ref="D2252:F2252"/>
    <mergeCell ref="D2253:F2253"/>
    <mergeCell ref="D2254:F2254"/>
    <mergeCell ref="D2255:F2255"/>
    <mergeCell ref="D2256:F2256"/>
    <mergeCell ref="D2317:F2317"/>
    <mergeCell ref="D2318:F2318"/>
    <mergeCell ref="D2319:F2319"/>
    <mergeCell ref="D2320:F2320"/>
    <mergeCell ref="D2321:F2321"/>
    <mergeCell ref="D2322:F2322"/>
    <mergeCell ref="D2311:F2311"/>
    <mergeCell ref="D2312:F2312"/>
    <mergeCell ref="D2313:F2313"/>
    <mergeCell ref="D2314:F2314"/>
    <mergeCell ref="D2315:F2315"/>
    <mergeCell ref="D2316:F2316"/>
    <mergeCell ref="D2305:F2305"/>
    <mergeCell ref="D2306:F2306"/>
    <mergeCell ref="D2307:F2307"/>
    <mergeCell ref="D2308:F2308"/>
    <mergeCell ref="D2309:F2309"/>
    <mergeCell ref="D2310:F2310"/>
    <mergeCell ref="D2299:F2299"/>
    <mergeCell ref="D2300:F2300"/>
    <mergeCell ref="D2301:F2301"/>
    <mergeCell ref="D2302:F2302"/>
    <mergeCell ref="D2303:F2303"/>
    <mergeCell ref="D2304:F2304"/>
    <mergeCell ref="D2293:F2293"/>
    <mergeCell ref="D2294:F2294"/>
    <mergeCell ref="D2295:F2295"/>
    <mergeCell ref="D2296:F2296"/>
    <mergeCell ref="D2297:F2297"/>
    <mergeCell ref="D2298:F2298"/>
    <mergeCell ref="D2287:F2287"/>
    <mergeCell ref="D2288:F2288"/>
    <mergeCell ref="D2289:F2289"/>
    <mergeCell ref="D2290:F2290"/>
    <mergeCell ref="D2291:F2291"/>
    <mergeCell ref="D2292:F2292"/>
    <mergeCell ref="D2353:F2353"/>
    <mergeCell ref="D2354:F2354"/>
    <mergeCell ref="D2355:F2355"/>
    <mergeCell ref="D2356:F2356"/>
    <mergeCell ref="D2357:F2357"/>
    <mergeCell ref="D2358:F2358"/>
    <mergeCell ref="D2347:F2347"/>
    <mergeCell ref="D2348:F2348"/>
    <mergeCell ref="D2349:F2349"/>
    <mergeCell ref="D2350:F2350"/>
    <mergeCell ref="D2351:F2351"/>
    <mergeCell ref="D2352:F2352"/>
    <mergeCell ref="D2341:F2341"/>
    <mergeCell ref="D2342:F2342"/>
    <mergeCell ref="D2343:F2343"/>
    <mergeCell ref="D2344:F2344"/>
    <mergeCell ref="D2345:F2345"/>
    <mergeCell ref="D2346:F2346"/>
    <mergeCell ref="D2335:F2335"/>
    <mergeCell ref="D2336:F2336"/>
    <mergeCell ref="D2337:F2337"/>
    <mergeCell ref="D2338:F2338"/>
    <mergeCell ref="D2339:F2339"/>
    <mergeCell ref="D2340:F2340"/>
    <mergeCell ref="D2329:F2329"/>
    <mergeCell ref="D2330:F2330"/>
    <mergeCell ref="D2331:F2331"/>
    <mergeCell ref="D2332:F2332"/>
    <mergeCell ref="D2333:F2333"/>
    <mergeCell ref="D2334:F2334"/>
    <mergeCell ref="D2323:F2323"/>
    <mergeCell ref="D2324:F2324"/>
    <mergeCell ref="D2325:F2325"/>
    <mergeCell ref="D2326:F2326"/>
    <mergeCell ref="D2327:F2327"/>
    <mergeCell ref="D2328:F2328"/>
    <mergeCell ref="D2389:F2389"/>
    <mergeCell ref="D2390:F2390"/>
    <mergeCell ref="D2391:F2391"/>
    <mergeCell ref="D2392:F2392"/>
    <mergeCell ref="D2393:F2393"/>
    <mergeCell ref="D2394:F2394"/>
    <mergeCell ref="D2383:F2383"/>
    <mergeCell ref="D2384:F2384"/>
    <mergeCell ref="D2385:F2385"/>
    <mergeCell ref="D2386:F2386"/>
    <mergeCell ref="D2387:F2387"/>
    <mergeCell ref="D2388:F2388"/>
    <mergeCell ref="D2377:F2377"/>
    <mergeCell ref="D2378:F2378"/>
    <mergeCell ref="D2379:F2379"/>
    <mergeCell ref="D2380:F2380"/>
    <mergeCell ref="D2381:F2381"/>
    <mergeCell ref="D2382:F2382"/>
    <mergeCell ref="D2371:F2371"/>
    <mergeCell ref="D2372:F2372"/>
    <mergeCell ref="D2373:F2373"/>
    <mergeCell ref="D2374:F2374"/>
    <mergeCell ref="D2375:F2375"/>
    <mergeCell ref="D2376:F2376"/>
    <mergeCell ref="D2365:F2365"/>
    <mergeCell ref="D2366:F2366"/>
    <mergeCell ref="D2367:F2367"/>
    <mergeCell ref="D2368:F2368"/>
    <mergeCell ref="D2369:F2369"/>
    <mergeCell ref="D2370:F2370"/>
    <mergeCell ref="D2359:F2359"/>
    <mergeCell ref="D2360:F2360"/>
    <mergeCell ref="D2361:F2361"/>
    <mergeCell ref="D2362:F2362"/>
    <mergeCell ref="D2363:F2363"/>
    <mergeCell ref="D2364:F2364"/>
    <mergeCell ref="D2425:F2425"/>
    <mergeCell ref="D2426:F2426"/>
    <mergeCell ref="D2427:F2427"/>
    <mergeCell ref="D2428:F2428"/>
    <mergeCell ref="D2429:F2429"/>
    <mergeCell ref="D2430:F2430"/>
    <mergeCell ref="D2419:F2419"/>
    <mergeCell ref="D2420:F2420"/>
    <mergeCell ref="D2421:F2421"/>
    <mergeCell ref="D2422:F2422"/>
    <mergeCell ref="D2423:F2423"/>
    <mergeCell ref="D2424:F2424"/>
    <mergeCell ref="D2413:F2413"/>
    <mergeCell ref="D2414:F2414"/>
    <mergeCell ref="D2415:F2415"/>
    <mergeCell ref="D2416:F2416"/>
    <mergeCell ref="D2417:F2417"/>
    <mergeCell ref="D2418:F2418"/>
    <mergeCell ref="D2407:F2407"/>
    <mergeCell ref="D2408:F2408"/>
    <mergeCell ref="D2409:F2409"/>
    <mergeCell ref="D2410:F2410"/>
    <mergeCell ref="D2411:F2411"/>
    <mergeCell ref="D2412:F2412"/>
    <mergeCell ref="D2401:F2401"/>
    <mergeCell ref="D2402:F2402"/>
    <mergeCell ref="D2403:F2403"/>
    <mergeCell ref="D2404:F2404"/>
    <mergeCell ref="D2405:F2405"/>
    <mergeCell ref="D2406:F2406"/>
    <mergeCell ref="D2395:F2395"/>
    <mergeCell ref="D2396:F2396"/>
    <mergeCell ref="D2397:F2397"/>
    <mergeCell ref="D2398:F2398"/>
    <mergeCell ref="D2399:F2399"/>
    <mergeCell ref="D2400:F2400"/>
    <mergeCell ref="D2461:F2461"/>
    <mergeCell ref="D2462:F2462"/>
    <mergeCell ref="D2463:F2463"/>
    <mergeCell ref="D2464:F2464"/>
    <mergeCell ref="D2465:F2465"/>
    <mergeCell ref="D2466:F2466"/>
    <mergeCell ref="D2455:F2455"/>
    <mergeCell ref="D2456:F2456"/>
    <mergeCell ref="D2457:F2457"/>
    <mergeCell ref="D2458:F2458"/>
    <mergeCell ref="D2459:F2459"/>
    <mergeCell ref="D2460:F2460"/>
    <mergeCell ref="D2449:F2449"/>
    <mergeCell ref="D2450:F2450"/>
    <mergeCell ref="D2451:F2451"/>
    <mergeCell ref="D2452:F2452"/>
    <mergeCell ref="D2453:F2453"/>
    <mergeCell ref="D2454:F2454"/>
    <mergeCell ref="D2443:F2443"/>
    <mergeCell ref="D2444:F2444"/>
    <mergeCell ref="D2445:F2445"/>
    <mergeCell ref="D2446:F2446"/>
    <mergeCell ref="D2447:F2447"/>
    <mergeCell ref="D2448:F2448"/>
    <mergeCell ref="D2437:F2437"/>
    <mergeCell ref="D2438:F2438"/>
    <mergeCell ref="D2439:F2439"/>
    <mergeCell ref="D2440:F2440"/>
    <mergeCell ref="D2441:F2441"/>
    <mergeCell ref="D2442:F2442"/>
    <mergeCell ref="D2431:F2431"/>
    <mergeCell ref="D2432:F2432"/>
    <mergeCell ref="D2433:F2433"/>
    <mergeCell ref="D2434:F2434"/>
    <mergeCell ref="D2435:F2435"/>
    <mergeCell ref="D2436:F2436"/>
    <mergeCell ref="D2497:F2497"/>
    <mergeCell ref="D2498:F2498"/>
    <mergeCell ref="D2499:F2499"/>
    <mergeCell ref="D2500:F2500"/>
    <mergeCell ref="D2501:F2501"/>
    <mergeCell ref="D2502:F2502"/>
    <mergeCell ref="D2491:F2491"/>
    <mergeCell ref="D2492:F2492"/>
    <mergeCell ref="D2493:F2493"/>
    <mergeCell ref="D2494:F2494"/>
    <mergeCell ref="D2495:F2495"/>
    <mergeCell ref="D2496:F2496"/>
    <mergeCell ref="D2485:F2485"/>
    <mergeCell ref="D2486:F2486"/>
    <mergeCell ref="D2487:F2487"/>
    <mergeCell ref="D2488:F2488"/>
    <mergeCell ref="D2489:F2489"/>
    <mergeCell ref="D2490:F2490"/>
    <mergeCell ref="D2479:F2479"/>
    <mergeCell ref="D2480:F2480"/>
    <mergeCell ref="D2481:F2481"/>
    <mergeCell ref="D2482:F2482"/>
    <mergeCell ref="D2483:F2483"/>
    <mergeCell ref="D2484:F2484"/>
    <mergeCell ref="D2473:F2473"/>
    <mergeCell ref="D2474:F2474"/>
    <mergeCell ref="D2475:F2475"/>
    <mergeCell ref="D2476:F2476"/>
    <mergeCell ref="D2477:F2477"/>
    <mergeCell ref="D2478:F2478"/>
    <mergeCell ref="D2467:F2467"/>
    <mergeCell ref="D2468:F2468"/>
    <mergeCell ref="D2469:F2469"/>
    <mergeCell ref="D2470:F2470"/>
    <mergeCell ref="D2471:F2471"/>
    <mergeCell ref="D2472:F2472"/>
    <mergeCell ref="D2533:F2533"/>
    <mergeCell ref="D2534:F2534"/>
    <mergeCell ref="D2535:F2535"/>
    <mergeCell ref="D2536:F2536"/>
    <mergeCell ref="D2537:F2537"/>
    <mergeCell ref="D2538:F2538"/>
    <mergeCell ref="D2527:F2527"/>
    <mergeCell ref="D2528:F2528"/>
    <mergeCell ref="D2529:F2529"/>
    <mergeCell ref="D2530:F2530"/>
    <mergeCell ref="D2531:F2531"/>
    <mergeCell ref="D2532:F2532"/>
    <mergeCell ref="D2521:F2521"/>
    <mergeCell ref="D2522:F2522"/>
    <mergeCell ref="D2523:F2523"/>
    <mergeCell ref="D2524:F2524"/>
    <mergeCell ref="D2525:F2525"/>
    <mergeCell ref="D2526:F2526"/>
    <mergeCell ref="D2515:F2515"/>
    <mergeCell ref="D2516:F2516"/>
    <mergeCell ref="D2517:F2517"/>
    <mergeCell ref="D2518:F2518"/>
    <mergeCell ref="D2519:F2519"/>
    <mergeCell ref="D2520:F2520"/>
    <mergeCell ref="D2509:F2509"/>
    <mergeCell ref="D2510:F2510"/>
    <mergeCell ref="D2511:F2511"/>
    <mergeCell ref="D2512:F2512"/>
    <mergeCell ref="D2513:F2513"/>
    <mergeCell ref="D2514:F2514"/>
    <mergeCell ref="D2503:F2503"/>
    <mergeCell ref="D2504:F2504"/>
    <mergeCell ref="D2505:F2505"/>
    <mergeCell ref="D2506:F2506"/>
    <mergeCell ref="D2507:F2507"/>
    <mergeCell ref="D2508:F2508"/>
    <mergeCell ref="D2569:F2569"/>
    <mergeCell ref="D2570:F2570"/>
    <mergeCell ref="D2571:F2571"/>
    <mergeCell ref="D2572:F2572"/>
    <mergeCell ref="D2573:F2573"/>
    <mergeCell ref="D2574:F2574"/>
    <mergeCell ref="D2563:F2563"/>
    <mergeCell ref="D2564:F2564"/>
    <mergeCell ref="D2565:F2565"/>
    <mergeCell ref="D2566:F2566"/>
    <mergeCell ref="D2567:F2567"/>
    <mergeCell ref="D2568:F2568"/>
    <mergeCell ref="D2557:F2557"/>
    <mergeCell ref="D2558:F2558"/>
    <mergeCell ref="D2559:F2559"/>
    <mergeCell ref="D2560:F2560"/>
    <mergeCell ref="D2561:F2561"/>
    <mergeCell ref="D2562:F2562"/>
    <mergeCell ref="D2551:F2551"/>
    <mergeCell ref="D2552:F2552"/>
    <mergeCell ref="D2553:F2553"/>
    <mergeCell ref="D2554:F2554"/>
    <mergeCell ref="D2555:F2555"/>
    <mergeCell ref="D2556:F2556"/>
    <mergeCell ref="D2545:F2545"/>
    <mergeCell ref="D2546:F2546"/>
    <mergeCell ref="D2547:F2547"/>
    <mergeCell ref="D2548:F2548"/>
    <mergeCell ref="D2549:F2549"/>
    <mergeCell ref="D2550:F2550"/>
    <mergeCell ref="D2539:F2539"/>
    <mergeCell ref="D2540:F2540"/>
    <mergeCell ref="D2541:F2541"/>
    <mergeCell ref="D2542:F2542"/>
    <mergeCell ref="D2543:F2543"/>
    <mergeCell ref="D2544:F2544"/>
    <mergeCell ref="D2605:F2605"/>
    <mergeCell ref="D2606:F2606"/>
    <mergeCell ref="D2607:F2607"/>
    <mergeCell ref="D2608:F2608"/>
    <mergeCell ref="D2609:F2609"/>
    <mergeCell ref="D2610:F2610"/>
    <mergeCell ref="D2599:F2599"/>
    <mergeCell ref="D2600:F2600"/>
    <mergeCell ref="D2601:F2601"/>
    <mergeCell ref="D2602:F2602"/>
    <mergeCell ref="D2603:F2603"/>
    <mergeCell ref="D2604:F2604"/>
    <mergeCell ref="D2593:F2593"/>
    <mergeCell ref="D2594:F2594"/>
    <mergeCell ref="D2595:F2595"/>
    <mergeCell ref="D2596:F2596"/>
    <mergeCell ref="D2597:F2597"/>
    <mergeCell ref="D2598:F2598"/>
    <mergeCell ref="D2587:F2587"/>
    <mergeCell ref="D2588:F2588"/>
    <mergeCell ref="D2589:F2589"/>
    <mergeCell ref="D2590:F2590"/>
    <mergeCell ref="D2591:F2591"/>
    <mergeCell ref="D2592:F2592"/>
    <mergeCell ref="D2581:F2581"/>
    <mergeCell ref="D2582:F2582"/>
    <mergeCell ref="D2583:F2583"/>
    <mergeCell ref="D2584:F2584"/>
    <mergeCell ref="D2585:F2585"/>
    <mergeCell ref="D2586:F2586"/>
    <mergeCell ref="D2575:F2575"/>
    <mergeCell ref="D2576:F2576"/>
    <mergeCell ref="D2577:F2577"/>
    <mergeCell ref="D2578:F2578"/>
    <mergeCell ref="D2579:F2579"/>
    <mergeCell ref="D2580:F2580"/>
    <mergeCell ref="D2641:F2641"/>
    <mergeCell ref="D2642:F2642"/>
    <mergeCell ref="D2643:F2643"/>
    <mergeCell ref="D2644:F2644"/>
    <mergeCell ref="D2645:F2645"/>
    <mergeCell ref="D2646:F2646"/>
    <mergeCell ref="D2635:F2635"/>
    <mergeCell ref="D2636:F2636"/>
    <mergeCell ref="D2637:F2637"/>
    <mergeCell ref="D2638:F2638"/>
    <mergeCell ref="D2639:F2639"/>
    <mergeCell ref="D2640:F2640"/>
    <mergeCell ref="D2629:F2629"/>
    <mergeCell ref="D2630:F2630"/>
    <mergeCell ref="D2631:F2631"/>
    <mergeCell ref="D2632:F2632"/>
    <mergeCell ref="D2633:F2633"/>
    <mergeCell ref="D2634:F2634"/>
    <mergeCell ref="D2623:F2623"/>
    <mergeCell ref="D2624:F2624"/>
    <mergeCell ref="D2625:F2625"/>
    <mergeCell ref="D2626:F2626"/>
    <mergeCell ref="D2627:F2627"/>
    <mergeCell ref="D2628:F2628"/>
    <mergeCell ref="D2617:F2617"/>
    <mergeCell ref="D2618:F2618"/>
    <mergeCell ref="D2619:F2619"/>
    <mergeCell ref="D2620:F2620"/>
    <mergeCell ref="D2621:F2621"/>
    <mergeCell ref="D2622:F2622"/>
    <mergeCell ref="D2611:F2611"/>
    <mergeCell ref="D2612:F2612"/>
    <mergeCell ref="D2613:F2613"/>
    <mergeCell ref="D2614:F2614"/>
    <mergeCell ref="D2615:F2615"/>
    <mergeCell ref="D2616:F2616"/>
    <mergeCell ref="D2677:F2677"/>
    <mergeCell ref="D2678:F2678"/>
    <mergeCell ref="D2679:F2679"/>
    <mergeCell ref="D2680:F2680"/>
    <mergeCell ref="D2681:F2681"/>
    <mergeCell ref="D2682:F2682"/>
    <mergeCell ref="D2671:F2671"/>
    <mergeCell ref="D2672:F2672"/>
    <mergeCell ref="D2673:F2673"/>
    <mergeCell ref="D2674:F2674"/>
    <mergeCell ref="D2675:F2675"/>
    <mergeCell ref="D2676:F2676"/>
    <mergeCell ref="D2665:F2665"/>
    <mergeCell ref="D2666:F2666"/>
    <mergeCell ref="D2667:F2667"/>
    <mergeCell ref="D2668:F2668"/>
    <mergeCell ref="D2669:F2669"/>
    <mergeCell ref="D2670:F2670"/>
    <mergeCell ref="D2659:F2659"/>
    <mergeCell ref="D2660:F2660"/>
    <mergeCell ref="D2661:F2661"/>
    <mergeCell ref="D2662:F2662"/>
    <mergeCell ref="D2663:F2663"/>
    <mergeCell ref="D2664:F2664"/>
    <mergeCell ref="D2653:F2653"/>
    <mergeCell ref="D2654:F2654"/>
    <mergeCell ref="D2655:F2655"/>
    <mergeCell ref="D2656:F2656"/>
    <mergeCell ref="D2657:F2657"/>
    <mergeCell ref="D2658:F2658"/>
    <mergeCell ref="D2647:F2647"/>
    <mergeCell ref="D2648:F2648"/>
    <mergeCell ref="D2649:F2649"/>
    <mergeCell ref="D2650:F2650"/>
    <mergeCell ref="D2651:F2651"/>
    <mergeCell ref="D2652:F2652"/>
    <mergeCell ref="D2713:F2713"/>
    <mergeCell ref="D2714:F2714"/>
    <mergeCell ref="D2715:F2715"/>
    <mergeCell ref="D2716:F2716"/>
    <mergeCell ref="D2717:F2717"/>
    <mergeCell ref="D2718:F2718"/>
    <mergeCell ref="D2707:F2707"/>
    <mergeCell ref="D2708:F2708"/>
    <mergeCell ref="D2709:F2709"/>
    <mergeCell ref="D2710:F2710"/>
    <mergeCell ref="D2711:F2711"/>
    <mergeCell ref="D2712:F2712"/>
    <mergeCell ref="D2701:F2701"/>
    <mergeCell ref="D2702:F2702"/>
    <mergeCell ref="D2703:F2703"/>
    <mergeCell ref="D2704:F2704"/>
    <mergeCell ref="D2705:F2705"/>
    <mergeCell ref="D2706:F2706"/>
    <mergeCell ref="D2695:F2695"/>
    <mergeCell ref="D2696:F2696"/>
    <mergeCell ref="D2697:F2697"/>
    <mergeCell ref="D2698:F2698"/>
    <mergeCell ref="D2699:F2699"/>
    <mergeCell ref="D2700:F2700"/>
    <mergeCell ref="D2689:F2689"/>
    <mergeCell ref="D2690:F2690"/>
    <mergeCell ref="D2691:F2691"/>
    <mergeCell ref="D2692:F2692"/>
    <mergeCell ref="D2693:F2693"/>
    <mergeCell ref="D2694:F2694"/>
    <mergeCell ref="D2683:F2683"/>
    <mergeCell ref="D2684:F2684"/>
    <mergeCell ref="D2685:F2685"/>
    <mergeCell ref="D2686:F2686"/>
    <mergeCell ref="D2687:F2687"/>
    <mergeCell ref="D2688:F2688"/>
    <mergeCell ref="D2749:F2749"/>
    <mergeCell ref="D2750:F2750"/>
    <mergeCell ref="D2751:F2751"/>
    <mergeCell ref="D2752:F2752"/>
    <mergeCell ref="D2753:F2753"/>
    <mergeCell ref="D2754:F2754"/>
    <mergeCell ref="D2743:F2743"/>
    <mergeCell ref="D2744:F2744"/>
    <mergeCell ref="D2745:F2745"/>
    <mergeCell ref="D2746:F2746"/>
    <mergeCell ref="D2747:F2747"/>
    <mergeCell ref="D2748:F2748"/>
    <mergeCell ref="D2737:F2737"/>
    <mergeCell ref="D2738:F2738"/>
    <mergeCell ref="D2739:F2739"/>
    <mergeCell ref="D2740:F2740"/>
    <mergeCell ref="D2741:F2741"/>
    <mergeCell ref="D2742:F2742"/>
    <mergeCell ref="D2731:F2731"/>
    <mergeCell ref="D2732:F2732"/>
    <mergeCell ref="D2733:F2733"/>
    <mergeCell ref="D2734:F2734"/>
    <mergeCell ref="D2735:F2735"/>
    <mergeCell ref="D2736:F2736"/>
    <mergeCell ref="D2725:F2725"/>
    <mergeCell ref="D2726:F2726"/>
    <mergeCell ref="D2727:F2727"/>
    <mergeCell ref="D2728:F2728"/>
    <mergeCell ref="D2729:F2729"/>
    <mergeCell ref="D2730:F2730"/>
    <mergeCell ref="D2719:F2719"/>
    <mergeCell ref="D2720:F2720"/>
    <mergeCell ref="D2721:F2721"/>
    <mergeCell ref="D2722:F2722"/>
    <mergeCell ref="D2723:F2723"/>
    <mergeCell ref="D2724:F2724"/>
    <mergeCell ref="D2785:F2785"/>
    <mergeCell ref="D2786:F2786"/>
    <mergeCell ref="D2787:F2787"/>
    <mergeCell ref="D2788:F2788"/>
    <mergeCell ref="D2789:F2789"/>
    <mergeCell ref="D2790:F2790"/>
    <mergeCell ref="D2779:F2779"/>
    <mergeCell ref="D2780:F2780"/>
    <mergeCell ref="D2781:F2781"/>
    <mergeCell ref="D2782:F2782"/>
    <mergeCell ref="D2783:F2783"/>
    <mergeCell ref="D2784:F2784"/>
    <mergeCell ref="D2773:F2773"/>
    <mergeCell ref="D2774:F2774"/>
    <mergeCell ref="D2775:F2775"/>
    <mergeCell ref="D2776:F2776"/>
    <mergeCell ref="D2777:F2777"/>
    <mergeCell ref="D2778:F2778"/>
    <mergeCell ref="D2767:F2767"/>
    <mergeCell ref="D2768:F2768"/>
    <mergeCell ref="D2769:F2769"/>
    <mergeCell ref="D2770:F2770"/>
    <mergeCell ref="D2771:F2771"/>
    <mergeCell ref="D2772:F2772"/>
    <mergeCell ref="D2761:F2761"/>
    <mergeCell ref="D2762:F2762"/>
    <mergeCell ref="D2763:F2763"/>
    <mergeCell ref="D2764:F2764"/>
    <mergeCell ref="D2765:F2765"/>
    <mergeCell ref="D2766:F2766"/>
    <mergeCell ref="D2755:F2755"/>
    <mergeCell ref="D2756:F2756"/>
    <mergeCell ref="D2757:F2757"/>
    <mergeCell ref="D2758:F2758"/>
    <mergeCell ref="D2759:F2759"/>
    <mergeCell ref="D2760:F2760"/>
    <mergeCell ref="D2821:F2821"/>
    <mergeCell ref="D2822:F2822"/>
    <mergeCell ref="D2823:F2823"/>
    <mergeCell ref="D2824:F2824"/>
    <mergeCell ref="D2825:F2825"/>
    <mergeCell ref="D2826:F2826"/>
    <mergeCell ref="D2815:F2815"/>
    <mergeCell ref="D2816:F2816"/>
    <mergeCell ref="D2817:F2817"/>
    <mergeCell ref="D2818:F2818"/>
    <mergeCell ref="D2819:F2819"/>
    <mergeCell ref="D2820:F2820"/>
    <mergeCell ref="D2809:F2809"/>
    <mergeCell ref="D2810:F2810"/>
    <mergeCell ref="D2811:F2811"/>
    <mergeCell ref="D2812:F2812"/>
    <mergeCell ref="D2813:F2813"/>
    <mergeCell ref="D2814:F2814"/>
    <mergeCell ref="D2803:F2803"/>
    <mergeCell ref="D2804:F2804"/>
    <mergeCell ref="D2805:F2805"/>
    <mergeCell ref="D2806:F2806"/>
    <mergeCell ref="D2807:F2807"/>
    <mergeCell ref="D2808:F2808"/>
    <mergeCell ref="D2797:F2797"/>
    <mergeCell ref="D2798:F2798"/>
    <mergeCell ref="D2799:F2799"/>
    <mergeCell ref="D2800:F2800"/>
    <mergeCell ref="D2801:F2801"/>
    <mergeCell ref="D2802:F2802"/>
    <mergeCell ref="D2791:F2791"/>
    <mergeCell ref="D2792:F2792"/>
    <mergeCell ref="D2793:F2793"/>
    <mergeCell ref="D2794:F2794"/>
    <mergeCell ref="D2795:F2795"/>
    <mergeCell ref="D2796:F2796"/>
    <mergeCell ref="D2857:F2857"/>
    <mergeCell ref="D2858:F2858"/>
    <mergeCell ref="D2859:F2859"/>
    <mergeCell ref="D2860:F2860"/>
    <mergeCell ref="D2861:F2861"/>
    <mergeCell ref="D2862:F2862"/>
    <mergeCell ref="D2851:F2851"/>
    <mergeCell ref="D2852:F2852"/>
    <mergeCell ref="D2853:F2853"/>
    <mergeCell ref="D2854:F2854"/>
    <mergeCell ref="D2855:F2855"/>
    <mergeCell ref="D2856:F2856"/>
    <mergeCell ref="D2845:F2845"/>
    <mergeCell ref="D2846:F2846"/>
    <mergeCell ref="D2847:F2847"/>
    <mergeCell ref="D2848:F2848"/>
    <mergeCell ref="D2849:F2849"/>
    <mergeCell ref="D2850:F2850"/>
    <mergeCell ref="D2839:F2839"/>
    <mergeCell ref="D2840:F2840"/>
    <mergeCell ref="D2841:F2841"/>
    <mergeCell ref="D2842:F2842"/>
    <mergeCell ref="D2843:F2843"/>
    <mergeCell ref="D2844:F2844"/>
    <mergeCell ref="D2833:F2833"/>
    <mergeCell ref="D2834:F2834"/>
    <mergeCell ref="D2835:F2835"/>
    <mergeCell ref="D2836:F2836"/>
    <mergeCell ref="D2837:F2837"/>
    <mergeCell ref="D2838:F2838"/>
    <mergeCell ref="D2827:F2827"/>
    <mergeCell ref="D2828:F2828"/>
    <mergeCell ref="D2829:F2829"/>
    <mergeCell ref="D2830:F2830"/>
    <mergeCell ref="D2831:F2831"/>
    <mergeCell ref="D2832:F2832"/>
    <mergeCell ref="D2893:F2893"/>
    <mergeCell ref="D2894:F2894"/>
    <mergeCell ref="D2895:F2895"/>
    <mergeCell ref="D2896:F2896"/>
    <mergeCell ref="D2897:F2897"/>
    <mergeCell ref="D2898:F2898"/>
    <mergeCell ref="D2887:F2887"/>
    <mergeCell ref="D2888:F2888"/>
    <mergeCell ref="D2889:F2889"/>
    <mergeCell ref="D2890:F2890"/>
    <mergeCell ref="D2891:F2891"/>
    <mergeCell ref="D2892:F2892"/>
    <mergeCell ref="D2881:F2881"/>
    <mergeCell ref="D2882:F2882"/>
    <mergeCell ref="D2883:F2883"/>
    <mergeCell ref="D2884:F2884"/>
    <mergeCell ref="D2885:F2885"/>
    <mergeCell ref="D2886:F2886"/>
    <mergeCell ref="D2875:F2875"/>
    <mergeCell ref="D2876:F2876"/>
    <mergeCell ref="D2877:F2877"/>
    <mergeCell ref="D2878:F2878"/>
    <mergeCell ref="D2879:F2879"/>
    <mergeCell ref="D2880:F2880"/>
    <mergeCell ref="D2869:F2869"/>
    <mergeCell ref="D2870:F2870"/>
    <mergeCell ref="D2871:F2871"/>
    <mergeCell ref="D2872:F2872"/>
    <mergeCell ref="D2873:F2873"/>
    <mergeCell ref="D2874:F2874"/>
    <mergeCell ref="D2863:F2863"/>
    <mergeCell ref="D2864:F2864"/>
    <mergeCell ref="D2865:F2865"/>
    <mergeCell ref="D2866:F2866"/>
    <mergeCell ref="D2867:F2867"/>
    <mergeCell ref="D2868:F2868"/>
    <mergeCell ref="D2929:F2929"/>
    <mergeCell ref="D2930:F2930"/>
    <mergeCell ref="D2931:F2931"/>
    <mergeCell ref="D2932:F2932"/>
    <mergeCell ref="D2933:F2933"/>
    <mergeCell ref="D2934:F2934"/>
    <mergeCell ref="D2923:F2923"/>
    <mergeCell ref="D2924:F2924"/>
    <mergeCell ref="D2925:F2925"/>
    <mergeCell ref="D2926:F2926"/>
    <mergeCell ref="D2927:F2927"/>
    <mergeCell ref="D2928:F2928"/>
    <mergeCell ref="D2917:F2917"/>
    <mergeCell ref="D2918:F2918"/>
    <mergeCell ref="D2919:F2919"/>
    <mergeCell ref="D2920:F2920"/>
    <mergeCell ref="D2921:F2921"/>
    <mergeCell ref="D2922:F2922"/>
    <mergeCell ref="D2911:F2911"/>
    <mergeCell ref="D2912:F2912"/>
    <mergeCell ref="D2913:F2913"/>
    <mergeCell ref="D2914:F2914"/>
    <mergeCell ref="D2915:F2915"/>
    <mergeCell ref="D2916:F2916"/>
    <mergeCell ref="D2905:F2905"/>
    <mergeCell ref="D2906:F2906"/>
    <mergeCell ref="D2907:F2907"/>
    <mergeCell ref="D2908:F2908"/>
    <mergeCell ref="D2909:F2909"/>
    <mergeCell ref="D2910:F2910"/>
    <mergeCell ref="D2899:F2899"/>
    <mergeCell ref="D2900:F2900"/>
    <mergeCell ref="D2901:F2901"/>
    <mergeCell ref="D2902:F2902"/>
    <mergeCell ref="D2903:F2903"/>
    <mergeCell ref="D2904:F2904"/>
    <mergeCell ref="D2965:F2965"/>
    <mergeCell ref="D2966:F2966"/>
    <mergeCell ref="D2967:F2967"/>
    <mergeCell ref="D2968:F2968"/>
    <mergeCell ref="D2969:F2969"/>
    <mergeCell ref="D2970:F2970"/>
    <mergeCell ref="D2959:F2959"/>
    <mergeCell ref="D2960:F2960"/>
    <mergeCell ref="D2961:F2961"/>
    <mergeCell ref="D2962:F2962"/>
    <mergeCell ref="D2963:F2963"/>
    <mergeCell ref="D2964:F2964"/>
    <mergeCell ref="D2953:F2953"/>
    <mergeCell ref="D2954:F2954"/>
    <mergeCell ref="D2955:F2955"/>
    <mergeCell ref="D2956:F2956"/>
    <mergeCell ref="D2957:F2957"/>
    <mergeCell ref="D2958:F2958"/>
    <mergeCell ref="D2947:F2947"/>
    <mergeCell ref="D2948:F2948"/>
    <mergeCell ref="D2949:F2949"/>
    <mergeCell ref="D2950:F2950"/>
    <mergeCell ref="D2951:F2951"/>
    <mergeCell ref="D2952:F2952"/>
    <mergeCell ref="D2941:F2941"/>
    <mergeCell ref="D2942:F2942"/>
    <mergeCell ref="D2943:F2943"/>
    <mergeCell ref="D2944:F2944"/>
    <mergeCell ref="D2945:F2945"/>
    <mergeCell ref="D2946:F2946"/>
    <mergeCell ref="D2935:F2935"/>
    <mergeCell ref="D2936:F2936"/>
    <mergeCell ref="D2937:F2937"/>
    <mergeCell ref="D2938:F2938"/>
    <mergeCell ref="D2939:F2939"/>
    <mergeCell ref="D2940:F2940"/>
    <mergeCell ref="D3001:F3001"/>
    <mergeCell ref="D3002:F3002"/>
    <mergeCell ref="D3003:F3003"/>
    <mergeCell ref="D3004:F3004"/>
    <mergeCell ref="D3005:F3005"/>
    <mergeCell ref="D3006:F3006"/>
    <mergeCell ref="D2995:F2995"/>
    <mergeCell ref="D2996:F2996"/>
    <mergeCell ref="D2997:F2997"/>
    <mergeCell ref="D2998:F2998"/>
    <mergeCell ref="D2999:F2999"/>
    <mergeCell ref="D3000:F3000"/>
    <mergeCell ref="D2989:F2989"/>
    <mergeCell ref="D2990:F2990"/>
    <mergeCell ref="D2991:F2991"/>
    <mergeCell ref="D2992:F2992"/>
    <mergeCell ref="D2993:F2993"/>
    <mergeCell ref="D2994:F2994"/>
    <mergeCell ref="D2983:F2983"/>
    <mergeCell ref="D2984:F2984"/>
    <mergeCell ref="D2985:F2985"/>
    <mergeCell ref="D2986:F2986"/>
    <mergeCell ref="D2987:F2987"/>
    <mergeCell ref="D2988:F2988"/>
    <mergeCell ref="D2977:F2977"/>
    <mergeCell ref="D2978:F2978"/>
    <mergeCell ref="D2979:F2979"/>
    <mergeCell ref="D2980:F2980"/>
    <mergeCell ref="D2981:F2981"/>
    <mergeCell ref="D2982:F2982"/>
    <mergeCell ref="D2971:F2971"/>
    <mergeCell ref="D2972:F2972"/>
    <mergeCell ref="D2973:F2973"/>
    <mergeCell ref="D2974:F2974"/>
    <mergeCell ref="D2975:F2975"/>
    <mergeCell ref="D2976:F2976"/>
    <mergeCell ref="D3037:F3037"/>
    <mergeCell ref="D3038:F3038"/>
    <mergeCell ref="D3039:F3039"/>
    <mergeCell ref="D3040:F3040"/>
    <mergeCell ref="D3041:F3041"/>
    <mergeCell ref="D3042:F3042"/>
    <mergeCell ref="D3031:F3031"/>
    <mergeCell ref="D3032:F3032"/>
    <mergeCell ref="D3033:F3033"/>
    <mergeCell ref="D3034:F3034"/>
    <mergeCell ref="D3035:F3035"/>
    <mergeCell ref="D3036:F3036"/>
    <mergeCell ref="D3025:F3025"/>
    <mergeCell ref="D3026:F3026"/>
    <mergeCell ref="D3027:F3027"/>
    <mergeCell ref="D3028:F3028"/>
    <mergeCell ref="D3029:F3029"/>
    <mergeCell ref="D3030:F3030"/>
    <mergeCell ref="D3019:F3019"/>
    <mergeCell ref="D3020:F3020"/>
    <mergeCell ref="D3021:F3021"/>
    <mergeCell ref="D3022:F3022"/>
    <mergeCell ref="D3023:F3023"/>
    <mergeCell ref="D3024:F3024"/>
    <mergeCell ref="D3013:F3013"/>
    <mergeCell ref="D3014:F3014"/>
    <mergeCell ref="D3015:F3015"/>
    <mergeCell ref="D3016:F3016"/>
    <mergeCell ref="D3017:F3017"/>
    <mergeCell ref="D3018:F3018"/>
    <mergeCell ref="D3007:F3007"/>
    <mergeCell ref="D3008:F3008"/>
    <mergeCell ref="D3009:F3009"/>
    <mergeCell ref="D3010:F3010"/>
    <mergeCell ref="D3011:F3011"/>
    <mergeCell ref="D3012:F3012"/>
    <mergeCell ref="D3073:F3073"/>
    <mergeCell ref="D3074:F3074"/>
    <mergeCell ref="D3075:F3075"/>
    <mergeCell ref="D3076:F3076"/>
    <mergeCell ref="D3077:F3077"/>
    <mergeCell ref="D3078:F3078"/>
    <mergeCell ref="D3067:F3067"/>
    <mergeCell ref="D3068:F3068"/>
    <mergeCell ref="D3069:F3069"/>
    <mergeCell ref="D3070:F3070"/>
    <mergeCell ref="D3071:F3071"/>
    <mergeCell ref="D3072:F3072"/>
    <mergeCell ref="D3061:F3061"/>
    <mergeCell ref="D3062:F3062"/>
    <mergeCell ref="D3063:F3063"/>
    <mergeCell ref="D3064:F3064"/>
    <mergeCell ref="D3065:F3065"/>
    <mergeCell ref="D3066:F3066"/>
    <mergeCell ref="D3055:F3055"/>
    <mergeCell ref="D3056:F3056"/>
    <mergeCell ref="D3057:F3057"/>
    <mergeCell ref="D3058:F3058"/>
    <mergeCell ref="D3059:F3059"/>
    <mergeCell ref="D3060:F3060"/>
    <mergeCell ref="D3049:F3049"/>
    <mergeCell ref="D3050:F3050"/>
    <mergeCell ref="D3051:F3051"/>
    <mergeCell ref="D3052:F3052"/>
    <mergeCell ref="D3053:F3053"/>
    <mergeCell ref="D3054:F3054"/>
    <mergeCell ref="D3043:F3043"/>
    <mergeCell ref="D3044:F3044"/>
    <mergeCell ref="D3045:F3045"/>
    <mergeCell ref="D3046:F3046"/>
    <mergeCell ref="D3047:F3047"/>
    <mergeCell ref="D3048:F3048"/>
    <mergeCell ref="D3109:F3109"/>
    <mergeCell ref="D3110:F3110"/>
    <mergeCell ref="D3111:F3111"/>
    <mergeCell ref="D3112:F3112"/>
    <mergeCell ref="D3113:F3113"/>
    <mergeCell ref="D3114:F3114"/>
    <mergeCell ref="D3103:F3103"/>
    <mergeCell ref="D3104:F3104"/>
    <mergeCell ref="D3105:F3105"/>
    <mergeCell ref="D3106:F3106"/>
    <mergeCell ref="D3107:F3107"/>
    <mergeCell ref="D3108:F3108"/>
    <mergeCell ref="D3097:F3097"/>
    <mergeCell ref="D3098:F3098"/>
    <mergeCell ref="D3099:F3099"/>
    <mergeCell ref="D3100:F3100"/>
    <mergeCell ref="D3101:F3101"/>
    <mergeCell ref="D3102:F3102"/>
    <mergeCell ref="D3091:F3091"/>
    <mergeCell ref="D3092:F3092"/>
    <mergeCell ref="D3093:F3093"/>
    <mergeCell ref="D3094:F3094"/>
    <mergeCell ref="D3095:F3095"/>
    <mergeCell ref="D3096:F3096"/>
    <mergeCell ref="D3085:F3085"/>
    <mergeCell ref="D3086:F3086"/>
    <mergeCell ref="D3087:F3087"/>
    <mergeCell ref="D3088:F3088"/>
    <mergeCell ref="D3089:F3089"/>
    <mergeCell ref="D3090:F3090"/>
    <mergeCell ref="D3079:F3079"/>
    <mergeCell ref="D3080:F3080"/>
    <mergeCell ref="D3081:F3081"/>
    <mergeCell ref="D3082:F3082"/>
    <mergeCell ref="D3083:F3083"/>
    <mergeCell ref="D3084:F3084"/>
    <mergeCell ref="D3145:F3145"/>
    <mergeCell ref="D3146:F3146"/>
    <mergeCell ref="D3147:F3147"/>
    <mergeCell ref="D3148:F3148"/>
    <mergeCell ref="D3149:F3149"/>
    <mergeCell ref="D3150:F3150"/>
    <mergeCell ref="D3139:F3139"/>
    <mergeCell ref="D3140:F3140"/>
    <mergeCell ref="D3141:F3141"/>
    <mergeCell ref="D3142:F3142"/>
    <mergeCell ref="D3143:F3143"/>
    <mergeCell ref="D3144:F3144"/>
    <mergeCell ref="D3133:F3133"/>
    <mergeCell ref="D3134:F3134"/>
    <mergeCell ref="D3135:F3135"/>
    <mergeCell ref="D3136:F3136"/>
    <mergeCell ref="D3137:F3137"/>
    <mergeCell ref="D3138:F3138"/>
    <mergeCell ref="D3127:F3127"/>
    <mergeCell ref="D3128:F3128"/>
    <mergeCell ref="D3129:F3129"/>
    <mergeCell ref="D3130:F3130"/>
    <mergeCell ref="D3131:F3131"/>
    <mergeCell ref="D3132:F3132"/>
    <mergeCell ref="D3121:F3121"/>
    <mergeCell ref="D3122:F3122"/>
    <mergeCell ref="D3123:F3123"/>
    <mergeCell ref="D3124:F3124"/>
    <mergeCell ref="D3125:F3125"/>
    <mergeCell ref="D3126:F3126"/>
    <mergeCell ref="D3115:F3115"/>
    <mergeCell ref="D3116:F3116"/>
    <mergeCell ref="D3117:F3117"/>
    <mergeCell ref="D3118:F3118"/>
    <mergeCell ref="D3119:F3119"/>
    <mergeCell ref="D3120:F3120"/>
    <mergeCell ref="D3181:F3181"/>
    <mergeCell ref="D3182:F3182"/>
    <mergeCell ref="D3183:F3183"/>
    <mergeCell ref="D3184:F3184"/>
    <mergeCell ref="D3185:F3185"/>
    <mergeCell ref="D3186:F3186"/>
    <mergeCell ref="D3175:F3175"/>
    <mergeCell ref="D3176:F3176"/>
    <mergeCell ref="D3177:F3177"/>
    <mergeCell ref="D3178:F3178"/>
    <mergeCell ref="D3179:F3179"/>
    <mergeCell ref="D3180:F3180"/>
    <mergeCell ref="D3169:F3169"/>
    <mergeCell ref="D3170:F3170"/>
    <mergeCell ref="D3171:F3171"/>
    <mergeCell ref="D3172:F3172"/>
    <mergeCell ref="D3173:F3173"/>
    <mergeCell ref="D3174:F3174"/>
    <mergeCell ref="D3163:F3163"/>
    <mergeCell ref="D3164:F3164"/>
    <mergeCell ref="D3165:F3165"/>
    <mergeCell ref="D3166:F3166"/>
    <mergeCell ref="D3167:F3167"/>
    <mergeCell ref="D3168:F3168"/>
    <mergeCell ref="D3157:F3157"/>
    <mergeCell ref="D3158:F3158"/>
    <mergeCell ref="D3159:F3159"/>
    <mergeCell ref="D3160:F3160"/>
    <mergeCell ref="D3161:F3161"/>
    <mergeCell ref="D3162:F3162"/>
    <mergeCell ref="D3151:F3151"/>
    <mergeCell ref="D3152:F3152"/>
    <mergeCell ref="D3153:F3153"/>
    <mergeCell ref="D3154:F3154"/>
    <mergeCell ref="D3155:F3155"/>
    <mergeCell ref="D3156:F3156"/>
    <mergeCell ref="D3217:F3217"/>
    <mergeCell ref="D3218:F3218"/>
    <mergeCell ref="D3219:F3219"/>
    <mergeCell ref="D3220:F3220"/>
    <mergeCell ref="D3221:F3221"/>
    <mergeCell ref="D3222:F3222"/>
    <mergeCell ref="D3211:F3211"/>
    <mergeCell ref="D3212:F3212"/>
    <mergeCell ref="D3213:F3213"/>
    <mergeCell ref="D3214:F3214"/>
    <mergeCell ref="D3215:F3215"/>
    <mergeCell ref="D3216:F3216"/>
    <mergeCell ref="D3205:F3205"/>
    <mergeCell ref="D3206:F3206"/>
    <mergeCell ref="D3207:F3207"/>
    <mergeCell ref="D3208:F3208"/>
    <mergeCell ref="D3209:F3209"/>
    <mergeCell ref="D3210:F3210"/>
    <mergeCell ref="D3199:F3199"/>
    <mergeCell ref="D3200:F3200"/>
    <mergeCell ref="D3201:F3201"/>
    <mergeCell ref="D3202:F3202"/>
    <mergeCell ref="D3203:F3203"/>
    <mergeCell ref="D3204:F3204"/>
    <mergeCell ref="D3193:F3193"/>
    <mergeCell ref="D3194:F3194"/>
    <mergeCell ref="D3195:F3195"/>
    <mergeCell ref="D3196:F3196"/>
    <mergeCell ref="D3197:F3197"/>
    <mergeCell ref="D3198:F3198"/>
    <mergeCell ref="D3187:F3187"/>
    <mergeCell ref="D3188:F3188"/>
    <mergeCell ref="D3189:F3189"/>
    <mergeCell ref="D3190:F3190"/>
    <mergeCell ref="D3191:F3191"/>
    <mergeCell ref="D3192:F3192"/>
    <mergeCell ref="D3253:F3253"/>
    <mergeCell ref="D3254:F3254"/>
    <mergeCell ref="D3255:F3255"/>
    <mergeCell ref="D3256:F3256"/>
    <mergeCell ref="D3257:F3257"/>
    <mergeCell ref="D3258:F3258"/>
    <mergeCell ref="D3247:F3247"/>
    <mergeCell ref="D3248:F3248"/>
    <mergeCell ref="D3249:F3249"/>
    <mergeCell ref="D3250:F3250"/>
    <mergeCell ref="D3251:F3251"/>
    <mergeCell ref="D3252:F3252"/>
    <mergeCell ref="D3241:F3241"/>
    <mergeCell ref="D3242:F3242"/>
    <mergeCell ref="D3243:F3243"/>
    <mergeCell ref="D3244:F3244"/>
    <mergeCell ref="D3245:F3245"/>
    <mergeCell ref="D3246:F3246"/>
    <mergeCell ref="D3235:F3235"/>
    <mergeCell ref="D3236:F3236"/>
    <mergeCell ref="D3237:F3237"/>
    <mergeCell ref="D3238:F3238"/>
    <mergeCell ref="D3239:F3239"/>
    <mergeCell ref="D3240:F3240"/>
    <mergeCell ref="D3229:F3229"/>
    <mergeCell ref="D3230:F3230"/>
    <mergeCell ref="D3231:F3231"/>
    <mergeCell ref="D3232:F3232"/>
    <mergeCell ref="D3233:F3233"/>
    <mergeCell ref="D3234:F3234"/>
    <mergeCell ref="D3223:F3223"/>
    <mergeCell ref="D3224:F3224"/>
    <mergeCell ref="D3225:F3225"/>
    <mergeCell ref="D3226:F3226"/>
    <mergeCell ref="D3227:F3227"/>
    <mergeCell ref="D3228:F3228"/>
    <mergeCell ref="D3289:F3289"/>
    <mergeCell ref="D3290:F3290"/>
    <mergeCell ref="D3291:F3291"/>
    <mergeCell ref="D3292:F3292"/>
    <mergeCell ref="D3293:F3293"/>
    <mergeCell ref="D3294:F3294"/>
    <mergeCell ref="D3283:F3283"/>
    <mergeCell ref="D3284:F3284"/>
    <mergeCell ref="D3285:F3285"/>
    <mergeCell ref="D3286:F3286"/>
    <mergeCell ref="D3287:F3287"/>
    <mergeCell ref="D3288:F3288"/>
    <mergeCell ref="D3277:F3277"/>
    <mergeCell ref="D3278:F3278"/>
    <mergeCell ref="D3279:F3279"/>
    <mergeCell ref="D3280:F3280"/>
    <mergeCell ref="D3281:F3281"/>
    <mergeCell ref="D3282:F3282"/>
    <mergeCell ref="D3271:F3271"/>
    <mergeCell ref="D3272:F3272"/>
    <mergeCell ref="D3273:F3273"/>
    <mergeCell ref="D3274:F3274"/>
    <mergeCell ref="D3275:F3275"/>
    <mergeCell ref="D3276:F3276"/>
    <mergeCell ref="D3265:F3265"/>
    <mergeCell ref="D3266:F3266"/>
    <mergeCell ref="D3267:F3267"/>
    <mergeCell ref="D3268:F3268"/>
    <mergeCell ref="D3269:F3269"/>
    <mergeCell ref="D3270:F3270"/>
    <mergeCell ref="D3259:F3259"/>
    <mergeCell ref="D3260:F3260"/>
    <mergeCell ref="D3261:F3261"/>
    <mergeCell ref="D3262:F3262"/>
    <mergeCell ref="D3263:F3263"/>
    <mergeCell ref="D3264:F3264"/>
    <mergeCell ref="D3325:F3325"/>
    <mergeCell ref="D3326:F3326"/>
    <mergeCell ref="D3327:F3327"/>
    <mergeCell ref="D3328:F3328"/>
    <mergeCell ref="D3329:F3329"/>
    <mergeCell ref="D3330:F3330"/>
    <mergeCell ref="D3319:F3319"/>
    <mergeCell ref="D3320:F3320"/>
    <mergeCell ref="D3321:F3321"/>
    <mergeCell ref="D3322:F3322"/>
    <mergeCell ref="D3323:F3323"/>
    <mergeCell ref="D3324:F3324"/>
    <mergeCell ref="D3313:F3313"/>
    <mergeCell ref="D3314:F3314"/>
    <mergeCell ref="D3315:F3315"/>
    <mergeCell ref="D3316:F3316"/>
    <mergeCell ref="D3317:F3317"/>
    <mergeCell ref="D3318:F3318"/>
    <mergeCell ref="D3307:F3307"/>
    <mergeCell ref="D3308:F3308"/>
    <mergeCell ref="D3309:F3309"/>
    <mergeCell ref="D3310:F3310"/>
    <mergeCell ref="D3311:F3311"/>
    <mergeCell ref="D3312:F3312"/>
    <mergeCell ref="D3301:F3301"/>
    <mergeCell ref="D3302:F3302"/>
    <mergeCell ref="D3303:F3303"/>
    <mergeCell ref="D3304:F3304"/>
    <mergeCell ref="D3305:F3305"/>
    <mergeCell ref="D3306:F3306"/>
    <mergeCell ref="D3295:F3295"/>
    <mergeCell ref="D3296:F3296"/>
    <mergeCell ref="D3297:F3297"/>
    <mergeCell ref="D3298:F3298"/>
    <mergeCell ref="D3299:F3299"/>
    <mergeCell ref="D3300:F3300"/>
    <mergeCell ref="D3361:F3361"/>
    <mergeCell ref="D3362:F3362"/>
    <mergeCell ref="D3363:F3363"/>
    <mergeCell ref="D3364:F3364"/>
    <mergeCell ref="D3365:F3365"/>
    <mergeCell ref="D3366:F3366"/>
    <mergeCell ref="D3355:F3355"/>
    <mergeCell ref="D3356:F3356"/>
    <mergeCell ref="D3357:F3357"/>
    <mergeCell ref="D3358:F3358"/>
    <mergeCell ref="D3359:F3359"/>
    <mergeCell ref="D3360:F3360"/>
    <mergeCell ref="D3349:F3349"/>
    <mergeCell ref="D3350:F3350"/>
    <mergeCell ref="D3351:F3351"/>
    <mergeCell ref="D3352:F3352"/>
    <mergeCell ref="D3353:F3353"/>
    <mergeCell ref="D3354:F3354"/>
    <mergeCell ref="D3343:F3343"/>
    <mergeCell ref="D3344:F3344"/>
    <mergeCell ref="D3345:F3345"/>
    <mergeCell ref="D3346:F3346"/>
    <mergeCell ref="D3347:F3347"/>
    <mergeCell ref="D3348:F3348"/>
    <mergeCell ref="D3337:F3337"/>
    <mergeCell ref="D3338:F3338"/>
    <mergeCell ref="D3339:F3339"/>
    <mergeCell ref="D3340:F3340"/>
    <mergeCell ref="D3341:F3341"/>
    <mergeCell ref="D3342:F3342"/>
    <mergeCell ref="D3331:F3331"/>
    <mergeCell ref="D3332:F3332"/>
    <mergeCell ref="D3333:F3333"/>
    <mergeCell ref="D3334:F3334"/>
    <mergeCell ref="D3335:F3335"/>
    <mergeCell ref="D3336:F3336"/>
    <mergeCell ref="D3397:F3397"/>
    <mergeCell ref="D3398:F3398"/>
    <mergeCell ref="D3399:F3399"/>
    <mergeCell ref="D3400:F3400"/>
    <mergeCell ref="D3401:F3401"/>
    <mergeCell ref="D3402:F3402"/>
    <mergeCell ref="D3391:F3391"/>
    <mergeCell ref="D3392:F3392"/>
    <mergeCell ref="D3393:F3393"/>
    <mergeCell ref="D3394:F3394"/>
    <mergeCell ref="D3395:F3395"/>
    <mergeCell ref="D3396:F3396"/>
    <mergeCell ref="D3385:F3385"/>
    <mergeCell ref="D3386:F3386"/>
    <mergeCell ref="D3387:F3387"/>
    <mergeCell ref="D3388:F3388"/>
    <mergeCell ref="D3389:F3389"/>
    <mergeCell ref="D3390:F3390"/>
    <mergeCell ref="D3379:F3379"/>
    <mergeCell ref="D3380:F3380"/>
    <mergeCell ref="D3381:F3381"/>
    <mergeCell ref="D3382:F3382"/>
    <mergeCell ref="D3383:F3383"/>
    <mergeCell ref="D3384:F3384"/>
    <mergeCell ref="D3373:F3373"/>
    <mergeCell ref="D3374:F3374"/>
    <mergeCell ref="D3375:F3375"/>
    <mergeCell ref="D3376:F3376"/>
    <mergeCell ref="D3377:F3377"/>
    <mergeCell ref="D3378:F3378"/>
    <mergeCell ref="D3367:F3367"/>
    <mergeCell ref="D3368:F3368"/>
    <mergeCell ref="D3369:F3369"/>
    <mergeCell ref="D3370:F3370"/>
    <mergeCell ref="D3371:F3371"/>
    <mergeCell ref="D3372:F3372"/>
    <mergeCell ref="D3433:F3433"/>
    <mergeCell ref="D3434:F3434"/>
    <mergeCell ref="D3435:F3435"/>
    <mergeCell ref="D3436:F3436"/>
    <mergeCell ref="D3437:F3437"/>
    <mergeCell ref="D3438:F3438"/>
    <mergeCell ref="D3427:F3427"/>
    <mergeCell ref="D3428:F3428"/>
    <mergeCell ref="D3429:F3429"/>
    <mergeCell ref="D3430:F3430"/>
    <mergeCell ref="D3431:F3431"/>
    <mergeCell ref="D3432:F3432"/>
    <mergeCell ref="D3421:F3421"/>
    <mergeCell ref="D3422:F3422"/>
    <mergeCell ref="D3423:F3423"/>
    <mergeCell ref="D3424:F3424"/>
    <mergeCell ref="D3425:F3425"/>
    <mergeCell ref="D3426:F3426"/>
    <mergeCell ref="D3415:F3415"/>
    <mergeCell ref="D3416:F3416"/>
    <mergeCell ref="D3417:F3417"/>
    <mergeCell ref="D3418:F3418"/>
    <mergeCell ref="D3419:F3419"/>
    <mergeCell ref="D3420:F3420"/>
    <mergeCell ref="D3409:F3409"/>
    <mergeCell ref="D3410:F3410"/>
    <mergeCell ref="D3411:F3411"/>
    <mergeCell ref="D3412:F3412"/>
    <mergeCell ref="D3413:F3413"/>
    <mergeCell ref="D3414:F3414"/>
    <mergeCell ref="D3403:F3403"/>
    <mergeCell ref="D3404:F3404"/>
    <mergeCell ref="D3405:F3405"/>
    <mergeCell ref="D3406:F3406"/>
    <mergeCell ref="D3407:F3407"/>
    <mergeCell ref="D3408:F3408"/>
    <mergeCell ref="D3469:F3469"/>
    <mergeCell ref="D3470:F3470"/>
    <mergeCell ref="D3471:F3471"/>
    <mergeCell ref="D3472:F3472"/>
    <mergeCell ref="D3473:F3473"/>
    <mergeCell ref="D3474:F3474"/>
    <mergeCell ref="D3463:F3463"/>
    <mergeCell ref="D3464:F3464"/>
    <mergeCell ref="D3465:F3465"/>
    <mergeCell ref="D3466:F3466"/>
    <mergeCell ref="D3467:F3467"/>
    <mergeCell ref="D3468:F3468"/>
    <mergeCell ref="D3457:F3457"/>
    <mergeCell ref="D3458:F3458"/>
    <mergeCell ref="D3459:F3459"/>
    <mergeCell ref="D3460:F3460"/>
    <mergeCell ref="D3461:F3461"/>
    <mergeCell ref="D3462:F3462"/>
    <mergeCell ref="D3451:F3451"/>
    <mergeCell ref="D3452:F3452"/>
    <mergeCell ref="D3453:F3453"/>
    <mergeCell ref="D3454:F3454"/>
    <mergeCell ref="D3455:F3455"/>
    <mergeCell ref="D3456:F3456"/>
    <mergeCell ref="D3445:F3445"/>
    <mergeCell ref="D3446:F3446"/>
    <mergeCell ref="D3447:F3447"/>
    <mergeCell ref="D3448:F3448"/>
    <mergeCell ref="D3449:F3449"/>
    <mergeCell ref="D3450:F3450"/>
    <mergeCell ref="D3439:F3439"/>
    <mergeCell ref="D3440:F3440"/>
    <mergeCell ref="D3441:F3441"/>
    <mergeCell ref="D3442:F3442"/>
    <mergeCell ref="D3443:F3443"/>
    <mergeCell ref="D3444:F3444"/>
    <mergeCell ref="D3505:F3505"/>
    <mergeCell ref="D3506:F3506"/>
    <mergeCell ref="D3507:F3507"/>
    <mergeCell ref="D3508:F3508"/>
    <mergeCell ref="D3509:F3509"/>
    <mergeCell ref="D3510:F3510"/>
    <mergeCell ref="D3499:F3499"/>
    <mergeCell ref="D3500:F3500"/>
    <mergeCell ref="D3501:F3501"/>
    <mergeCell ref="D3502:F3502"/>
    <mergeCell ref="D3503:F3503"/>
    <mergeCell ref="D3504:F3504"/>
    <mergeCell ref="D3493:F3493"/>
    <mergeCell ref="D3494:F3494"/>
    <mergeCell ref="D3495:F3495"/>
    <mergeCell ref="D3496:F3496"/>
    <mergeCell ref="D3497:F3497"/>
    <mergeCell ref="D3498:F3498"/>
    <mergeCell ref="D3487:F3487"/>
    <mergeCell ref="D3488:F3488"/>
    <mergeCell ref="D3489:F3489"/>
    <mergeCell ref="D3490:F3490"/>
    <mergeCell ref="D3491:F3491"/>
    <mergeCell ref="D3492:F3492"/>
    <mergeCell ref="D3481:F3481"/>
    <mergeCell ref="D3482:F3482"/>
    <mergeCell ref="D3483:F3483"/>
    <mergeCell ref="D3484:F3484"/>
    <mergeCell ref="D3485:F3485"/>
    <mergeCell ref="D3486:F3486"/>
    <mergeCell ref="D3475:F3475"/>
    <mergeCell ref="D3476:F3476"/>
    <mergeCell ref="D3477:F3477"/>
    <mergeCell ref="D3478:F3478"/>
    <mergeCell ref="D3479:F3479"/>
    <mergeCell ref="D3480:F3480"/>
    <mergeCell ref="D3541:F3541"/>
    <mergeCell ref="D3542:F3542"/>
    <mergeCell ref="D3543:F3543"/>
    <mergeCell ref="D3544:F3544"/>
    <mergeCell ref="D3545:F3545"/>
    <mergeCell ref="D3546:F3546"/>
    <mergeCell ref="D3535:F3535"/>
    <mergeCell ref="D3536:F3536"/>
    <mergeCell ref="D3537:F3537"/>
    <mergeCell ref="D3538:F3538"/>
    <mergeCell ref="D3539:F3539"/>
    <mergeCell ref="D3540:F3540"/>
    <mergeCell ref="D3529:F3529"/>
    <mergeCell ref="D3530:F3530"/>
    <mergeCell ref="D3531:F3531"/>
    <mergeCell ref="D3532:F3532"/>
    <mergeCell ref="D3533:F3533"/>
    <mergeCell ref="D3534:F3534"/>
    <mergeCell ref="D3523:F3523"/>
    <mergeCell ref="D3524:F3524"/>
    <mergeCell ref="D3525:F3525"/>
    <mergeCell ref="D3526:F3526"/>
    <mergeCell ref="D3527:F3527"/>
    <mergeCell ref="D3528:F3528"/>
    <mergeCell ref="D3517:F3517"/>
    <mergeCell ref="D3518:F3518"/>
    <mergeCell ref="D3519:F3519"/>
    <mergeCell ref="D3520:F3520"/>
    <mergeCell ref="D3521:F3521"/>
    <mergeCell ref="D3522:F3522"/>
    <mergeCell ref="D3511:F3511"/>
    <mergeCell ref="D3512:F3512"/>
    <mergeCell ref="D3513:F3513"/>
    <mergeCell ref="D3514:F3514"/>
    <mergeCell ref="D3515:F3515"/>
    <mergeCell ref="D3516:F3516"/>
    <mergeCell ref="D3577:F3577"/>
    <mergeCell ref="D3578:F3578"/>
    <mergeCell ref="D3579:F3579"/>
    <mergeCell ref="D3580:F3580"/>
    <mergeCell ref="D3581:F3581"/>
    <mergeCell ref="D3582:F3582"/>
    <mergeCell ref="D3571:F3571"/>
    <mergeCell ref="D3572:F3572"/>
    <mergeCell ref="D3573:F3573"/>
    <mergeCell ref="D3574:F3574"/>
    <mergeCell ref="D3575:F3575"/>
    <mergeCell ref="D3576:F3576"/>
    <mergeCell ref="D3565:F3565"/>
    <mergeCell ref="D3566:F3566"/>
    <mergeCell ref="D3567:F3567"/>
    <mergeCell ref="D3568:F3568"/>
    <mergeCell ref="D3569:F3569"/>
    <mergeCell ref="D3570:F3570"/>
    <mergeCell ref="D3559:F3559"/>
    <mergeCell ref="D3560:F3560"/>
    <mergeCell ref="D3561:F3561"/>
    <mergeCell ref="D3562:F3562"/>
    <mergeCell ref="D3563:F3563"/>
    <mergeCell ref="D3564:F3564"/>
    <mergeCell ref="D3553:F3553"/>
    <mergeCell ref="D3554:F3554"/>
    <mergeCell ref="D3555:F3555"/>
    <mergeCell ref="D3556:F3556"/>
    <mergeCell ref="D3557:F3557"/>
    <mergeCell ref="D3558:F3558"/>
    <mergeCell ref="D3547:F3547"/>
    <mergeCell ref="D3548:F3548"/>
    <mergeCell ref="D3549:F3549"/>
    <mergeCell ref="D3550:F3550"/>
    <mergeCell ref="D3551:F3551"/>
    <mergeCell ref="D3552:F3552"/>
    <mergeCell ref="D3613:F3613"/>
    <mergeCell ref="D3614:F3614"/>
    <mergeCell ref="D3615:F3615"/>
    <mergeCell ref="D3616:F3616"/>
    <mergeCell ref="D3617:F3617"/>
    <mergeCell ref="D3618:F3618"/>
    <mergeCell ref="D3607:F3607"/>
    <mergeCell ref="D3608:F3608"/>
    <mergeCell ref="D3609:F3609"/>
    <mergeCell ref="D3610:F3610"/>
    <mergeCell ref="D3611:F3611"/>
    <mergeCell ref="D3612:F3612"/>
    <mergeCell ref="D3601:F3601"/>
    <mergeCell ref="D3602:F3602"/>
    <mergeCell ref="D3603:F3603"/>
    <mergeCell ref="D3604:F3604"/>
    <mergeCell ref="D3605:F3605"/>
    <mergeCell ref="D3606:F3606"/>
    <mergeCell ref="D3595:F3595"/>
    <mergeCell ref="D3596:F3596"/>
    <mergeCell ref="D3597:F3597"/>
    <mergeCell ref="D3598:F3598"/>
    <mergeCell ref="D3599:F3599"/>
    <mergeCell ref="D3600:F3600"/>
    <mergeCell ref="D3589:F3589"/>
    <mergeCell ref="D3590:F3590"/>
    <mergeCell ref="D3591:F3591"/>
    <mergeCell ref="D3592:F3592"/>
    <mergeCell ref="D3593:F3593"/>
    <mergeCell ref="D3594:F3594"/>
    <mergeCell ref="D3583:F3583"/>
    <mergeCell ref="D3584:F3584"/>
    <mergeCell ref="D3585:F3585"/>
    <mergeCell ref="D3586:F3586"/>
    <mergeCell ref="D3587:F3587"/>
    <mergeCell ref="D3588:F3588"/>
    <mergeCell ref="D3649:F3649"/>
    <mergeCell ref="D3650:F3650"/>
    <mergeCell ref="D3651:F3651"/>
    <mergeCell ref="D3652:F3652"/>
    <mergeCell ref="D3653:F3653"/>
    <mergeCell ref="D3654:F3654"/>
    <mergeCell ref="D3643:F3643"/>
    <mergeCell ref="D3644:F3644"/>
    <mergeCell ref="D3645:F3645"/>
    <mergeCell ref="D3646:F3646"/>
    <mergeCell ref="D3647:F3647"/>
    <mergeCell ref="D3648:F3648"/>
    <mergeCell ref="D3637:F3637"/>
    <mergeCell ref="D3638:F3638"/>
    <mergeCell ref="D3639:F3639"/>
    <mergeCell ref="D3640:F3640"/>
    <mergeCell ref="D3641:F3641"/>
    <mergeCell ref="D3642:F3642"/>
    <mergeCell ref="D3631:F3631"/>
    <mergeCell ref="D3632:F3632"/>
    <mergeCell ref="D3633:F3633"/>
    <mergeCell ref="D3634:F3634"/>
    <mergeCell ref="D3635:F3635"/>
    <mergeCell ref="D3636:F3636"/>
    <mergeCell ref="D3625:F3625"/>
    <mergeCell ref="D3626:F3626"/>
    <mergeCell ref="D3627:F3627"/>
    <mergeCell ref="D3628:F3628"/>
    <mergeCell ref="D3629:F3629"/>
    <mergeCell ref="D3630:F3630"/>
    <mergeCell ref="D3619:F3619"/>
    <mergeCell ref="D3620:F3620"/>
    <mergeCell ref="D3621:F3621"/>
    <mergeCell ref="D3622:F3622"/>
    <mergeCell ref="D3623:F3623"/>
    <mergeCell ref="D3624:F3624"/>
    <mergeCell ref="D3685:F3685"/>
    <mergeCell ref="D3686:F3686"/>
    <mergeCell ref="D3687:F3687"/>
    <mergeCell ref="D3688:F3688"/>
    <mergeCell ref="D3689:F3689"/>
    <mergeCell ref="D3690:F3690"/>
    <mergeCell ref="D3679:F3679"/>
    <mergeCell ref="D3680:F3680"/>
    <mergeCell ref="D3681:F3681"/>
    <mergeCell ref="D3682:F3682"/>
    <mergeCell ref="D3683:F3683"/>
    <mergeCell ref="D3684:F3684"/>
    <mergeCell ref="D3673:F3673"/>
    <mergeCell ref="D3674:F3674"/>
    <mergeCell ref="D3675:F3675"/>
    <mergeCell ref="D3676:F3676"/>
    <mergeCell ref="D3677:F3677"/>
    <mergeCell ref="D3678:F3678"/>
    <mergeCell ref="D3667:F3667"/>
    <mergeCell ref="D3668:F3668"/>
    <mergeCell ref="D3669:F3669"/>
    <mergeCell ref="D3670:F3670"/>
    <mergeCell ref="D3671:F3671"/>
    <mergeCell ref="D3672:F3672"/>
    <mergeCell ref="D3661:F3661"/>
    <mergeCell ref="D3662:F3662"/>
    <mergeCell ref="D3663:F3663"/>
    <mergeCell ref="D3664:F3664"/>
    <mergeCell ref="D3665:F3665"/>
    <mergeCell ref="D3666:F3666"/>
    <mergeCell ref="D3655:F3655"/>
    <mergeCell ref="D3656:F3656"/>
    <mergeCell ref="D3657:F3657"/>
    <mergeCell ref="D3658:F3658"/>
    <mergeCell ref="D3659:F3659"/>
    <mergeCell ref="D3660:F3660"/>
    <mergeCell ref="D3721:F3721"/>
    <mergeCell ref="D3722:F3722"/>
    <mergeCell ref="D3723:F3723"/>
    <mergeCell ref="D3724:F3724"/>
    <mergeCell ref="D3725:F3725"/>
    <mergeCell ref="D3726:F3726"/>
    <mergeCell ref="D3715:F3715"/>
    <mergeCell ref="D3716:F3716"/>
    <mergeCell ref="D3717:F3717"/>
    <mergeCell ref="D3718:F3718"/>
    <mergeCell ref="D3719:F3719"/>
    <mergeCell ref="D3720:F3720"/>
    <mergeCell ref="D3709:F3709"/>
    <mergeCell ref="D3710:F3710"/>
    <mergeCell ref="D3711:F3711"/>
    <mergeCell ref="D3712:F3712"/>
    <mergeCell ref="D3713:F3713"/>
    <mergeCell ref="D3714:F3714"/>
    <mergeCell ref="D3703:F3703"/>
    <mergeCell ref="D3704:F3704"/>
    <mergeCell ref="D3705:F3705"/>
    <mergeCell ref="D3706:F3706"/>
    <mergeCell ref="D3707:F3707"/>
    <mergeCell ref="D3708:F3708"/>
    <mergeCell ref="D3697:F3697"/>
    <mergeCell ref="D3698:F3698"/>
    <mergeCell ref="D3699:F3699"/>
    <mergeCell ref="D3700:F3700"/>
    <mergeCell ref="D3701:F3701"/>
    <mergeCell ref="D3702:F3702"/>
    <mergeCell ref="D3691:F3691"/>
    <mergeCell ref="D3692:F3692"/>
    <mergeCell ref="D3693:F3693"/>
    <mergeCell ref="D3694:F3694"/>
    <mergeCell ref="D3695:F3695"/>
    <mergeCell ref="D3696:F3696"/>
    <mergeCell ref="D3757:F3757"/>
    <mergeCell ref="D3758:F3758"/>
    <mergeCell ref="D3759:F3759"/>
    <mergeCell ref="D3760:F3760"/>
    <mergeCell ref="D3761:F3761"/>
    <mergeCell ref="D3762:F3762"/>
    <mergeCell ref="D3751:F3751"/>
    <mergeCell ref="D3752:F3752"/>
    <mergeCell ref="D3753:F3753"/>
    <mergeCell ref="D3754:F3754"/>
    <mergeCell ref="D3755:F3755"/>
    <mergeCell ref="D3756:F3756"/>
    <mergeCell ref="D3745:F3745"/>
    <mergeCell ref="D3746:F3746"/>
    <mergeCell ref="D3747:F3747"/>
    <mergeCell ref="D3748:F3748"/>
    <mergeCell ref="D3749:F3749"/>
    <mergeCell ref="D3750:F3750"/>
    <mergeCell ref="D3739:F3739"/>
    <mergeCell ref="D3740:F3740"/>
    <mergeCell ref="D3741:F3741"/>
    <mergeCell ref="D3742:F3742"/>
    <mergeCell ref="D3743:F3743"/>
    <mergeCell ref="D3744:F3744"/>
    <mergeCell ref="D3733:F3733"/>
    <mergeCell ref="D3734:F3734"/>
    <mergeCell ref="D3735:F3735"/>
    <mergeCell ref="D3736:F3736"/>
    <mergeCell ref="D3737:F3737"/>
    <mergeCell ref="D3738:F3738"/>
    <mergeCell ref="D3727:F3727"/>
    <mergeCell ref="D3728:F3728"/>
    <mergeCell ref="D3729:F3729"/>
    <mergeCell ref="D3730:F3730"/>
    <mergeCell ref="D3731:F3731"/>
    <mergeCell ref="D3732:F3732"/>
    <mergeCell ref="D3793:F3793"/>
    <mergeCell ref="D3794:F3794"/>
    <mergeCell ref="D3795:F3795"/>
    <mergeCell ref="D3796:F3796"/>
    <mergeCell ref="D3797:F3797"/>
    <mergeCell ref="D3798:F3798"/>
    <mergeCell ref="D3787:F3787"/>
    <mergeCell ref="D3788:F3788"/>
    <mergeCell ref="D3789:F3789"/>
    <mergeCell ref="D3790:F3790"/>
    <mergeCell ref="D3791:F3791"/>
    <mergeCell ref="D3792:F3792"/>
    <mergeCell ref="D3781:F3781"/>
    <mergeCell ref="D3782:F3782"/>
    <mergeCell ref="D3783:F3783"/>
    <mergeCell ref="D3784:F3784"/>
    <mergeCell ref="D3785:F3785"/>
    <mergeCell ref="D3786:F3786"/>
    <mergeCell ref="D3775:F3775"/>
    <mergeCell ref="D3776:F3776"/>
    <mergeCell ref="D3777:F3777"/>
    <mergeCell ref="D3778:F3778"/>
    <mergeCell ref="D3779:F3779"/>
    <mergeCell ref="D3780:F3780"/>
    <mergeCell ref="D3769:F3769"/>
    <mergeCell ref="D3770:F3770"/>
    <mergeCell ref="D3771:F3771"/>
    <mergeCell ref="D3772:F3772"/>
    <mergeCell ref="D3773:F3773"/>
    <mergeCell ref="D3774:F3774"/>
    <mergeCell ref="D3763:F3763"/>
    <mergeCell ref="D3764:F3764"/>
    <mergeCell ref="D3765:F3765"/>
    <mergeCell ref="D3766:F3766"/>
    <mergeCell ref="D3767:F3767"/>
    <mergeCell ref="D3768:F3768"/>
    <mergeCell ref="D3829:F3829"/>
    <mergeCell ref="D3830:F3830"/>
    <mergeCell ref="D3831:F3831"/>
    <mergeCell ref="D3832:F3832"/>
    <mergeCell ref="D3833:F3833"/>
    <mergeCell ref="D3834:F3834"/>
    <mergeCell ref="D3823:F3823"/>
    <mergeCell ref="D3824:F3824"/>
    <mergeCell ref="D3825:F3825"/>
    <mergeCell ref="D3826:F3826"/>
    <mergeCell ref="D3827:F3827"/>
    <mergeCell ref="D3828:F3828"/>
    <mergeCell ref="D3817:F3817"/>
    <mergeCell ref="D3818:F3818"/>
    <mergeCell ref="D3819:F3819"/>
    <mergeCell ref="D3820:F3820"/>
    <mergeCell ref="D3821:F3821"/>
    <mergeCell ref="D3822:F3822"/>
    <mergeCell ref="D3811:F3811"/>
    <mergeCell ref="D3812:F3812"/>
    <mergeCell ref="D3813:F3813"/>
    <mergeCell ref="D3814:F3814"/>
    <mergeCell ref="D3815:F3815"/>
    <mergeCell ref="D3816:F3816"/>
    <mergeCell ref="D3805:F3805"/>
    <mergeCell ref="D3806:F3806"/>
    <mergeCell ref="D3807:F3807"/>
    <mergeCell ref="D3808:F3808"/>
    <mergeCell ref="D3809:F3809"/>
    <mergeCell ref="D3810:F3810"/>
    <mergeCell ref="D3799:F3799"/>
    <mergeCell ref="D3800:F3800"/>
    <mergeCell ref="D3801:F3801"/>
    <mergeCell ref="D3802:F3802"/>
    <mergeCell ref="D3803:F3803"/>
    <mergeCell ref="D3804:F3804"/>
    <mergeCell ref="D3865:F3865"/>
    <mergeCell ref="D3866:F3866"/>
    <mergeCell ref="D3867:F3867"/>
    <mergeCell ref="D3868:F3868"/>
    <mergeCell ref="D3869:F3869"/>
    <mergeCell ref="D3870:F3870"/>
    <mergeCell ref="D3859:F3859"/>
    <mergeCell ref="D3860:F3860"/>
    <mergeCell ref="D3861:F3861"/>
    <mergeCell ref="D3862:F3862"/>
    <mergeCell ref="D3863:F3863"/>
    <mergeCell ref="D3864:F3864"/>
    <mergeCell ref="D3853:F3853"/>
    <mergeCell ref="D3854:F3854"/>
    <mergeCell ref="D3855:F3855"/>
    <mergeCell ref="D3856:F3856"/>
    <mergeCell ref="D3857:F3857"/>
    <mergeCell ref="D3858:F3858"/>
    <mergeCell ref="D3847:F3847"/>
    <mergeCell ref="D3848:F3848"/>
    <mergeCell ref="D3849:F3849"/>
    <mergeCell ref="D3850:F3850"/>
    <mergeCell ref="D3851:F3851"/>
    <mergeCell ref="D3852:F3852"/>
    <mergeCell ref="D3841:F3841"/>
    <mergeCell ref="D3842:F3842"/>
    <mergeCell ref="D3843:F3843"/>
    <mergeCell ref="D3844:F3844"/>
    <mergeCell ref="D3845:F3845"/>
    <mergeCell ref="D3846:F3846"/>
    <mergeCell ref="D3835:F3835"/>
    <mergeCell ref="D3836:F3836"/>
    <mergeCell ref="D3837:F3837"/>
    <mergeCell ref="D3838:F3838"/>
    <mergeCell ref="D3839:F3839"/>
    <mergeCell ref="D3840:F3840"/>
    <mergeCell ref="D3901:F3901"/>
    <mergeCell ref="D3902:F3902"/>
    <mergeCell ref="D3903:F3903"/>
    <mergeCell ref="D3904:F3904"/>
    <mergeCell ref="D3905:F3905"/>
    <mergeCell ref="D3906:F3906"/>
    <mergeCell ref="D3895:F3895"/>
    <mergeCell ref="D3896:F3896"/>
    <mergeCell ref="D3897:F3897"/>
    <mergeCell ref="D3898:F3898"/>
    <mergeCell ref="D3899:F3899"/>
    <mergeCell ref="D3900:F3900"/>
    <mergeCell ref="D3889:F3889"/>
    <mergeCell ref="D3890:F3890"/>
    <mergeCell ref="D3891:F3891"/>
    <mergeCell ref="D3892:F3892"/>
    <mergeCell ref="D3893:F3893"/>
    <mergeCell ref="D3894:F3894"/>
    <mergeCell ref="D3883:F3883"/>
    <mergeCell ref="D3884:F3884"/>
    <mergeCell ref="D3885:F3885"/>
    <mergeCell ref="D3886:F3886"/>
    <mergeCell ref="D3887:F3887"/>
    <mergeCell ref="D3888:F3888"/>
    <mergeCell ref="D3877:F3877"/>
    <mergeCell ref="D3878:F3878"/>
    <mergeCell ref="D3879:F3879"/>
    <mergeCell ref="D3880:F3880"/>
    <mergeCell ref="D3881:F3881"/>
    <mergeCell ref="D3882:F3882"/>
    <mergeCell ref="D3871:F3871"/>
    <mergeCell ref="D3872:F3872"/>
    <mergeCell ref="D3873:F3873"/>
    <mergeCell ref="D3874:F3874"/>
    <mergeCell ref="D3875:F3875"/>
    <mergeCell ref="D3876:F3876"/>
    <mergeCell ref="D3937:F3937"/>
    <mergeCell ref="D3938:F3938"/>
    <mergeCell ref="D3939:F3939"/>
    <mergeCell ref="D3940:F3940"/>
    <mergeCell ref="D3941:F3941"/>
    <mergeCell ref="D3942:F3942"/>
    <mergeCell ref="D3931:F3931"/>
    <mergeCell ref="D3932:F3932"/>
    <mergeCell ref="D3933:F3933"/>
    <mergeCell ref="D3934:F3934"/>
    <mergeCell ref="D3935:F3935"/>
    <mergeCell ref="D3936:F3936"/>
    <mergeCell ref="D3925:F3925"/>
    <mergeCell ref="D3926:F3926"/>
    <mergeCell ref="D3927:F3927"/>
    <mergeCell ref="D3928:F3928"/>
    <mergeCell ref="D3929:F3929"/>
    <mergeCell ref="D3930:F3930"/>
    <mergeCell ref="D3919:F3919"/>
    <mergeCell ref="D3920:F3920"/>
    <mergeCell ref="D3921:F3921"/>
    <mergeCell ref="D3922:F3922"/>
    <mergeCell ref="D3923:F3923"/>
    <mergeCell ref="D3924:F3924"/>
    <mergeCell ref="D3913:F3913"/>
    <mergeCell ref="D3914:F3914"/>
    <mergeCell ref="D3915:F3915"/>
    <mergeCell ref="D3916:F3916"/>
    <mergeCell ref="D3917:F3917"/>
    <mergeCell ref="D3918:F3918"/>
    <mergeCell ref="D3907:F3907"/>
    <mergeCell ref="D3908:F3908"/>
    <mergeCell ref="D3909:F3909"/>
    <mergeCell ref="D3910:F3910"/>
    <mergeCell ref="D3911:F3911"/>
    <mergeCell ref="D3912:F3912"/>
    <mergeCell ref="D3973:F3973"/>
    <mergeCell ref="D3974:F3974"/>
    <mergeCell ref="D3975:F3975"/>
    <mergeCell ref="D3976:F3976"/>
    <mergeCell ref="D3977:F3977"/>
    <mergeCell ref="D3978:F3978"/>
    <mergeCell ref="D3967:F3967"/>
    <mergeCell ref="D3968:F3968"/>
    <mergeCell ref="D3969:F3969"/>
    <mergeCell ref="D3970:F3970"/>
    <mergeCell ref="D3971:F3971"/>
    <mergeCell ref="D3972:F3972"/>
    <mergeCell ref="D3961:F3961"/>
    <mergeCell ref="D3962:F3962"/>
    <mergeCell ref="D3963:F3963"/>
    <mergeCell ref="D3964:F3964"/>
    <mergeCell ref="D3965:F3965"/>
    <mergeCell ref="D3966:F3966"/>
    <mergeCell ref="D3955:F3955"/>
    <mergeCell ref="D3956:F3956"/>
    <mergeCell ref="D3957:F3957"/>
    <mergeCell ref="D3958:F3958"/>
    <mergeCell ref="D3959:F3959"/>
    <mergeCell ref="D3960:F3960"/>
    <mergeCell ref="D3949:F3949"/>
    <mergeCell ref="D3950:F3950"/>
    <mergeCell ref="D3951:F3951"/>
    <mergeCell ref="D3952:F3952"/>
    <mergeCell ref="D3953:F3953"/>
    <mergeCell ref="D3954:F3954"/>
    <mergeCell ref="D3943:F3943"/>
    <mergeCell ref="D3944:F3944"/>
    <mergeCell ref="D3945:F3945"/>
    <mergeCell ref="D3946:F3946"/>
    <mergeCell ref="D3947:F3947"/>
    <mergeCell ref="D3948:F3948"/>
    <mergeCell ref="D4009:F4009"/>
    <mergeCell ref="D4010:F4010"/>
    <mergeCell ref="D4011:F4011"/>
    <mergeCell ref="D4012:F4012"/>
    <mergeCell ref="D4013:F4013"/>
    <mergeCell ref="D4014:F4014"/>
    <mergeCell ref="D4003:F4003"/>
    <mergeCell ref="D4004:F4004"/>
    <mergeCell ref="D4005:F4005"/>
    <mergeCell ref="D4006:F4006"/>
    <mergeCell ref="D4007:F4007"/>
    <mergeCell ref="D4008:F4008"/>
    <mergeCell ref="D3997:F3997"/>
    <mergeCell ref="D3998:F3998"/>
    <mergeCell ref="D3999:F3999"/>
    <mergeCell ref="D4000:F4000"/>
    <mergeCell ref="D4001:F4001"/>
    <mergeCell ref="D4002:F4002"/>
    <mergeCell ref="D3991:F3991"/>
    <mergeCell ref="D3992:F3992"/>
    <mergeCell ref="D3993:F3993"/>
    <mergeCell ref="D3994:F3994"/>
    <mergeCell ref="D3995:F3995"/>
    <mergeCell ref="D3996:F3996"/>
    <mergeCell ref="D3985:F3985"/>
    <mergeCell ref="D3986:F3986"/>
    <mergeCell ref="D3987:F3987"/>
    <mergeCell ref="D3988:F3988"/>
    <mergeCell ref="D3989:F3989"/>
    <mergeCell ref="D3990:F3990"/>
    <mergeCell ref="D3979:F3979"/>
    <mergeCell ref="D3980:F3980"/>
    <mergeCell ref="D3981:F3981"/>
    <mergeCell ref="D3982:F3982"/>
    <mergeCell ref="D3983:F3983"/>
    <mergeCell ref="D3984:F3984"/>
    <mergeCell ref="D4045:F4045"/>
    <mergeCell ref="D4046:F4046"/>
    <mergeCell ref="D4047:F4047"/>
    <mergeCell ref="D4048:F4048"/>
    <mergeCell ref="D4049:F4049"/>
    <mergeCell ref="D4050:F4050"/>
    <mergeCell ref="D4039:F4039"/>
    <mergeCell ref="D4040:F4040"/>
    <mergeCell ref="D4041:F4041"/>
    <mergeCell ref="D4042:F4042"/>
    <mergeCell ref="D4043:F4043"/>
    <mergeCell ref="D4044:F4044"/>
    <mergeCell ref="D4033:F4033"/>
    <mergeCell ref="D4034:F4034"/>
    <mergeCell ref="D4035:F4035"/>
    <mergeCell ref="D4036:F4036"/>
    <mergeCell ref="D4037:F4037"/>
    <mergeCell ref="D4038:F4038"/>
    <mergeCell ref="D4027:F4027"/>
    <mergeCell ref="D4028:F4028"/>
    <mergeCell ref="D4029:F4029"/>
    <mergeCell ref="D4030:F4030"/>
    <mergeCell ref="D4031:F4031"/>
    <mergeCell ref="D4032:F4032"/>
    <mergeCell ref="D4021:F4021"/>
    <mergeCell ref="D4022:F4022"/>
    <mergeCell ref="D4023:F4023"/>
    <mergeCell ref="D4024:F4024"/>
    <mergeCell ref="D4025:F4025"/>
    <mergeCell ref="D4026:F4026"/>
    <mergeCell ref="D4015:F4015"/>
    <mergeCell ref="D4016:F4016"/>
    <mergeCell ref="D4017:F4017"/>
    <mergeCell ref="D4018:F4018"/>
    <mergeCell ref="D4019:F4019"/>
    <mergeCell ref="D4020:F4020"/>
    <mergeCell ref="D4081:F4081"/>
    <mergeCell ref="D4082:F4082"/>
    <mergeCell ref="D4083:F4083"/>
    <mergeCell ref="D4084:F4084"/>
    <mergeCell ref="D4085:F4085"/>
    <mergeCell ref="D4086:F4086"/>
    <mergeCell ref="D4075:F4075"/>
    <mergeCell ref="D4076:F4076"/>
    <mergeCell ref="D4077:F4077"/>
    <mergeCell ref="D4078:F4078"/>
    <mergeCell ref="D4079:F4079"/>
    <mergeCell ref="D4080:F4080"/>
    <mergeCell ref="D4069:F4069"/>
    <mergeCell ref="D4070:F4070"/>
    <mergeCell ref="D4071:F4071"/>
    <mergeCell ref="D4072:F4072"/>
    <mergeCell ref="D4073:F4073"/>
    <mergeCell ref="D4074:F4074"/>
    <mergeCell ref="D4063:F4063"/>
    <mergeCell ref="D4064:F4064"/>
    <mergeCell ref="D4065:F4065"/>
    <mergeCell ref="D4066:F4066"/>
    <mergeCell ref="D4067:F4067"/>
    <mergeCell ref="D4068:F4068"/>
    <mergeCell ref="D4057:F4057"/>
    <mergeCell ref="D4058:F4058"/>
    <mergeCell ref="D4059:F4059"/>
    <mergeCell ref="D4060:F4060"/>
    <mergeCell ref="D4061:F4061"/>
    <mergeCell ref="D4062:F4062"/>
    <mergeCell ref="D4051:F4051"/>
    <mergeCell ref="D4052:F4052"/>
    <mergeCell ref="D4053:F4053"/>
    <mergeCell ref="D4054:F4054"/>
    <mergeCell ref="D4055:F4055"/>
    <mergeCell ref="D4056:F4056"/>
    <mergeCell ref="D4117:F4117"/>
    <mergeCell ref="D4118:F4118"/>
    <mergeCell ref="D4119:F4119"/>
    <mergeCell ref="D4120:F4120"/>
    <mergeCell ref="D4121:F4121"/>
    <mergeCell ref="D4122:F4122"/>
    <mergeCell ref="D4111:F4111"/>
    <mergeCell ref="D4112:F4112"/>
    <mergeCell ref="D4113:F4113"/>
    <mergeCell ref="D4114:F4114"/>
    <mergeCell ref="D4115:F4115"/>
    <mergeCell ref="D4116:F4116"/>
    <mergeCell ref="D4105:F4105"/>
    <mergeCell ref="D4106:F4106"/>
    <mergeCell ref="D4107:F4107"/>
    <mergeCell ref="D4108:F4108"/>
    <mergeCell ref="D4109:F4109"/>
    <mergeCell ref="D4110:F4110"/>
    <mergeCell ref="D4099:F4099"/>
    <mergeCell ref="D4100:F4100"/>
    <mergeCell ref="D4101:F4101"/>
    <mergeCell ref="D4102:F4102"/>
    <mergeCell ref="D4103:F4103"/>
    <mergeCell ref="D4104:F4104"/>
    <mergeCell ref="D4093:F4093"/>
    <mergeCell ref="D4094:F4094"/>
    <mergeCell ref="D4095:F4095"/>
    <mergeCell ref="D4096:F4096"/>
    <mergeCell ref="D4097:F4097"/>
    <mergeCell ref="D4098:F4098"/>
    <mergeCell ref="D4087:F4087"/>
    <mergeCell ref="D4088:F4088"/>
    <mergeCell ref="D4089:F4089"/>
    <mergeCell ref="D4090:F4090"/>
    <mergeCell ref="D4091:F4091"/>
    <mergeCell ref="D4092:F4092"/>
    <mergeCell ref="D4153:F4153"/>
    <mergeCell ref="D4154:F4154"/>
    <mergeCell ref="D4155:F4155"/>
    <mergeCell ref="D4156:F4156"/>
    <mergeCell ref="D4157:F4157"/>
    <mergeCell ref="D4158:F4158"/>
    <mergeCell ref="D4147:F4147"/>
    <mergeCell ref="D4148:F4148"/>
    <mergeCell ref="D4149:F4149"/>
    <mergeCell ref="D4150:F4150"/>
    <mergeCell ref="D4151:F4151"/>
    <mergeCell ref="D4152:F4152"/>
    <mergeCell ref="D4141:F4141"/>
    <mergeCell ref="D4142:F4142"/>
    <mergeCell ref="D4143:F4143"/>
    <mergeCell ref="D4144:F4144"/>
    <mergeCell ref="D4145:F4145"/>
    <mergeCell ref="D4146:F4146"/>
    <mergeCell ref="D4135:F4135"/>
    <mergeCell ref="D4136:F4136"/>
    <mergeCell ref="D4137:F4137"/>
    <mergeCell ref="D4138:F4138"/>
    <mergeCell ref="D4139:F4139"/>
    <mergeCell ref="D4140:F4140"/>
    <mergeCell ref="D4129:F4129"/>
    <mergeCell ref="D4130:F4130"/>
    <mergeCell ref="D4131:F4131"/>
    <mergeCell ref="D4132:F4132"/>
    <mergeCell ref="D4133:F4133"/>
    <mergeCell ref="D4134:F4134"/>
    <mergeCell ref="D4123:F4123"/>
    <mergeCell ref="D4124:F4124"/>
    <mergeCell ref="D4125:F4125"/>
    <mergeCell ref="D4126:F4126"/>
    <mergeCell ref="D4127:F4127"/>
    <mergeCell ref="D4128:F4128"/>
    <mergeCell ref="D4189:F4189"/>
    <mergeCell ref="D4190:F4190"/>
    <mergeCell ref="D4191:F4191"/>
    <mergeCell ref="D4192:F4192"/>
    <mergeCell ref="D4193:F4193"/>
    <mergeCell ref="D4194:F4194"/>
    <mergeCell ref="D4183:F4183"/>
    <mergeCell ref="D4184:F4184"/>
    <mergeCell ref="D4185:F4185"/>
    <mergeCell ref="D4186:F4186"/>
    <mergeCell ref="D4187:F4187"/>
    <mergeCell ref="D4188:F4188"/>
    <mergeCell ref="D4177:F4177"/>
    <mergeCell ref="D4178:F4178"/>
    <mergeCell ref="D4179:F4179"/>
    <mergeCell ref="D4180:F4180"/>
    <mergeCell ref="D4181:F4181"/>
    <mergeCell ref="D4182:F4182"/>
    <mergeCell ref="D4171:F4171"/>
    <mergeCell ref="D4172:F4172"/>
    <mergeCell ref="D4173:F4173"/>
    <mergeCell ref="D4174:F4174"/>
    <mergeCell ref="D4175:F4175"/>
    <mergeCell ref="D4176:F4176"/>
    <mergeCell ref="D4165:F4165"/>
    <mergeCell ref="D4166:F4166"/>
    <mergeCell ref="D4167:F4167"/>
    <mergeCell ref="D4168:F4168"/>
    <mergeCell ref="D4169:F4169"/>
    <mergeCell ref="D4170:F4170"/>
    <mergeCell ref="D4159:F4159"/>
    <mergeCell ref="D4160:F4160"/>
    <mergeCell ref="D4161:F4161"/>
    <mergeCell ref="D4162:F4162"/>
    <mergeCell ref="D4163:F4163"/>
    <mergeCell ref="D4164:F4164"/>
    <mergeCell ref="D4225:F4225"/>
    <mergeCell ref="D4226:F4226"/>
    <mergeCell ref="D4227:F4227"/>
    <mergeCell ref="D4228:F4228"/>
    <mergeCell ref="D4229:F4229"/>
    <mergeCell ref="D4230:F4230"/>
    <mergeCell ref="D4219:F4219"/>
    <mergeCell ref="D4220:F4220"/>
    <mergeCell ref="D4221:F4221"/>
    <mergeCell ref="D4222:F4222"/>
    <mergeCell ref="D4223:F4223"/>
    <mergeCell ref="D4224:F4224"/>
    <mergeCell ref="D4213:F4213"/>
    <mergeCell ref="D4214:F4214"/>
    <mergeCell ref="D4215:F4215"/>
    <mergeCell ref="D4216:F4216"/>
    <mergeCell ref="D4217:F4217"/>
    <mergeCell ref="D4218:F4218"/>
    <mergeCell ref="D4207:F4207"/>
    <mergeCell ref="D4208:F4208"/>
    <mergeCell ref="D4209:F4209"/>
    <mergeCell ref="D4210:F4210"/>
    <mergeCell ref="D4211:F4211"/>
    <mergeCell ref="D4212:F4212"/>
    <mergeCell ref="D4201:F4201"/>
    <mergeCell ref="D4202:F4202"/>
    <mergeCell ref="D4203:F4203"/>
    <mergeCell ref="D4204:F4204"/>
    <mergeCell ref="D4205:F4205"/>
    <mergeCell ref="D4206:F4206"/>
    <mergeCell ref="D4195:F4195"/>
    <mergeCell ref="D4196:F4196"/>
    <mergeCell ref="D4197:F4197"/>
    <mergeCell ref="D4198:F4198"/>
    <mergeCell ref="D4199:F4199"/>
    <mergeCell ref="D4200:F4200"/>
    <mergeCell ref="D4261:F4261"/>
    <mergeCell ref="D4262:F4262"/>
    <mergeCell ref="D4263:F4263"/>
    <mergeCell ref="D4264:F4264"/>
    <mergeCell ref="D4265:F4265"/>
    <mergeCell ref="D4266:F4266"/>
    <mergeCell ref="D4255:F4255"/>
    <mergeCell ref="D4256:F4256"/>
    <mergeCell ref="D4257:F4257"/>
    <mergeCell ref="D4258:F4258"/>
    <mergeCell ref="D4259:F4259"/>
    <mergeCell ref="D4260:F4260"/>
    <mergeCell ref="D4249:F4249"/>
    <mergeCell ref="D4250:F4250"/>
    <mergeCell ref="D4251:F4251"/>
    <mergeCell ref="D4252:F4252"/>
    <mergeCell ref="D4253:F4253"/>
    <mergeCell ref="D4254:F4254"/>
    <mergeCell ref="D4243:F4243"/>
    <mergeCell ref="D4244:F4244"/>
    <mergeCell ref="D4245:F4245"/>
    <mergeCell ref="D4246:F4246"/>
    <mergeCell ref="D4247:F4247"/>
    <mergeCell ref="D4248:F4248"/>
    <mergeCell ref="D4237:F4237"/>
    <mergeCell ref="D4238:F4238"/>
    <mergeCell ref="D4239:F4239"/>
    <mergeCell ref="D4240:F4240"/>
    <mergeCell ref="D4241:F4241"/>
    <mergeCell ref="D4242:F4242"/>
    <mergeCell ref="D4231:F4231"/>
    <mergeCell ref="D4232:F4232"/>
    <mergeCell ref="D4233:F4233"/>
    <mergeCell ref="D4234:F4234"/>
    <mergeCell ref="D4235:F4235"/>
    <mergeCell ref="D4236:F4236"/>
    <mergeCell ref="D4297:F4297"/>
    <mergeCell ref="D4298:F4298"/>
    <mergeCell ref="D4299:F4299"/>
    <mergeCell ref="D4300:F4300"/>
    <mergeCell ref="D4301:F4301"/>
    <mergeCell ref="D4302:F4302"/>
    <mergeCell ref="D4291:F4291"/>
    <mergeCell ref="D4292:F4292"/>
    <mergeCell ref="D4293:F4293"/>
    <mergeCell ref="D4294:F4294"/>
    <mergeCell ref="D4295:F4295"/>
    <mergeCell ref="D4296:F4296"/>
    <mergeCell ref="D4285:F4285"/>
    <mergeCell ref="D4286:F4286"/>
    <mergeCell ref="D4287:F4287"/>
    <mergeCell ref="D4288:F4288"/>
    <mergeCell ref="D4289:F4289"/>
    <mergeCell ref="D4290:F4290"/>
    <mergeCell ref="D4279:F4279"/>
    <mergeCell ref="D4280:F4280"/>
    <mergeCell ref="D4281:F4281"/>
    <mergeCell ref="D4282:F4282"/>
    <mergeCell ref="D4283:F4283"/>
    <mergeCell ref="D4284:F4284"/>
    <mergeCell ref="D4273:F4273"/>
    <mergeCell ref="D4274:F4274"/>
    <mergeCell ref="D4275:F4275"/>
    <mergeCell ref="D4276:F4276"/>
    <mergeCell ref="D4277:F4277"/>
    <mergeCell ref="D4278:F4278"/>
    <mergeCell ref="D4267:F4267"/>
    <mergeCell ref="D4268:F4268"/>
    <mergeCell ref="D4269:F4269"/>
    <mergeCell ref="D4270:F4270"/>
    <mergeCell ref="D4271:F4271"/>
    <mergeCell ref="D4272:F4272"/>
    <mergeCell ref="D4333:F4333"/>
    <mergeCell ref="D4334:F4334"/>
    <mergeCell ref="D4335:F4335"/>
    <mergeCell ref="D4336:F4336"/>
    <mergeCell ref="D4337:F4337"/>
    <mergeCell ref="D4338:F4338"/>
    <mergeCell ref="D4327:F4327"/>
    <mergeCell ref="D4328:F4328"/>
    <mergeCell ref="D4329:F4329"/>
    <mergeCell ref="D4330:F4330"/>
    <mergeCell ref="D4331:F4331"/>
    <mergeCell ref="D4332:F4332"/>
    <mergeCell ref="D4321:F4321"/>
    <mergeCell ref="D4322:F4322"/>
    <mergeCell ref="D4323:F4323"/>
    <mergeCell ref="D4324:F4324"/>
    <mergeCell ref="D4325:F4325"/>
    <mergeCell ref="D4326:F4326"/>
    <mergeCell ref="D4315:F4315"/>
    <mergeCell ref="D4316:F4316"/>
    <mergeCell ref="D4317:F4317"/>
    <mergeCell ref="D4318:F4318"/>
    <mergeCell ref="D4319:F4319"/>
    <mergeCell ref="D4320:F4320"/>
    <mergeCell ref="D4309:F4309"/>
    <mergeCell ref="D4310:F4310"/>
    <mergeCell ref="D4311:F4311"/>
    <mergeCell ref="D4312:F4312"/>
    <mergeCell ref="D4313:F4313"/>
    <mergeCell ref="D4314:F4314"/>
    <mergeCell ref="D4303:F4303"/>
    <mergeCell ref="D4304:F4304"/>
    <mergeCell ref="D4305:F4305"/>
    <mergeCell ref="D4306:F4306"/>
    <mergeCell ref="D4307:F4307"/>
    <mergeCell ref="D4308:F4308"/>
    <mergeCell ref="D4369:F4369"/>
    <mergeCell ref="D4370:F4370"/>
    <mergeCell ref="D4371:F4371"/>
    <mergeCell ref="D4372:F4372"/>
    <mergeCell ref="D4373:F4373"/>
    <mergeCell ref="D4374:F4374"/>
    <mergeCell ref="D4363:F4363"/>
    <mergeCell ref="D4364:F4364"/>
    <mergeCell ref="D4365:F4365"/>
    <mergeCell ref="D4366:F4366"/>
    <mergeCell ref="D4367:F4367"/>
    <mergeCell ref="D4368:F4368"/>
    <mergeCell ref="D4357:F4357"/>
    <mergeCell ref="D4358:F4358"/>
    <mergeCell ref="D4359:F4359"/>
    <mergeCell ref="D4360:F4360"/>
    <mergeCell ref="D4361:F4361"/>
    <mergeCell ref="D4362:F4362"/>
    <mergeCell ref="D4351:F4351"/>
    <mergeCell ref="D4352:F4352"/>
    <mergeCell ref="D4353:F4353"/>
    <mergeCell ref="D4354:F4354"/>
    <mergeCell ref="D4355:F4355"/>
    <mergeCell ref="D4356:F4356"/>
    <mergeCell ref="D4345:F4345"/>
    <mergeCell ref="D4346:F4346"/>
    <mergeCell ref="D4347:F4347"/>
    <mergeCell ref="D4348:F4348"/>
    <mergeCell ref="D4349:F4349"/>
    <mergeCell ref="D4350:F4350"/>
    <mergeCell ref="D4339:F4339"/>
    <mergeCell ref="D4340:F4340"/>
    <mergeCell ref="D4341:F4341"/>
    <mergeCell ref="D4342:F4342"/>
    <mergeCell ref="D4343:F4343"/>
    <mergeCell ref="D4344:F4344"/>
    <mergeCell ref="D4405:F4405"/>
    <mergeCell ref="D4406:F4406"/>
    <mergeCell ref="D4407:F4407"/>
    <mergeCell ref="D4408:F4408"/>
    <mergeCell ref="D4409:F4409"/>
    <mergeCell ref="D4410:F4410"/>
    <mergeCell ref="D4399:F4399"/>
    <mergeCell ref="D4400:F4400"/>
    <mergeCell ref="D4401:F4401"/>
    <mergeCell ref="D4402:F4402"/>
    <mergeCell ref="D4403:F4403"/>
    <mergeCell ref="D4404:F4404"/>
    <mergeCell ref="D4393:F4393"/>
    <mergeCell ref="D4394:F4394"/>
    <mergeCell ref="D4395:F4395"/>
    <mergeCell ref="D4396:F4396"/>
    <mergeCell ref="D4397:F4397"/>
    <mergeCell ref="D4398:F4398"/>
    <mergeCell ref="D4387:F4387"/>
    <mergeCell ref="D4388:F4388"/>
    <mergeCell ref="D4389:F4389"/>
    <mergeCell ref="D4390:F4390"/>
    <mergeCell ref="D4391:F4391"/>
    <mergeCell ref="D4392:F4392"/>
    <mergeCell ref="D4381:F4381"/>
    <mergeCell ref="D4382:F4382"/>
    <mergeCell ref="D4383:F4383"/>
    <mergeCell ref="D4384:F4384"/>
    <mergeCell ref="D4385:F4385"/>
    <mergeCell ref="D4386:F4386"/>
    <mergeCell ref="D4375:F4375"/>
    <mergeCell ref="D4376:F4376"/>
    <mergeCell ref="D4377:F4377"/>
    <mergeCell ref="D4378:F4378"/>
    <mergeCell ref="D4379:F4379"/>
    <mergeCell ref="D4380:F4380"/>
    <mergeCell ref="D4441:F4441"/>
    <mergeCell ref="D4442:F4442"/>
    <mergeCell ref="D4443:F4443"/>
    <mergeCell ref="D4444:F4444"/>
    <mergeCell ref="D4445:F4445"/>
    <mergeCell ref="D4446:F4446"/>
    <mergeCell ref="D4435:F4435"/>
    <mergeCell ref="D4436:F4436"/>
    <mergeCell ref="D4437:F4437"/>
    <mergeCell ref="D4438:F4438"/>
    <mergeCell ref="D4439:F4439"/>
    <mergeCell ref="D4440:F4440"/>
    <mergeCell ref="D4429:F4429"/>
    <mergeCell ref="D4430:F4430"/>
    <mergeCell ref="D4431:F4431"/>
    <mergeCell ref="D4432:F4432"/>
    <mergeCell ref="D4433:F4433"/>
    <mergeCell ref="D4434:F4434"/>
    <mergeCell ref="D4423:F4423"/>
    <mergeCell ref="D4424:F4424"/>
    <mergeCell ref="D4425:F4425"/>
    <mergeCell ref="D4426:F4426"/>
    <mergeCell ref="D4427:F4427"/>
    <mergeCell ref="D4428:F4428"/>
    <mergeCell ref="D4417:F4417"/>
    <mergeCell ref="D4418:F4418"/>
    <mergeCell ref="D4419:F4419"/>
    <mergeCell ref="D4420:F4420"/>
    <mergeCell ref="D4421:F4421"/>
    <mergeCell ref="D4422:F4422"/>
    <mergeCell ref="D4411:F4411"/>
    <mergeCell ref="D4412:F4412"/>
    <mergeCell ref="D4413:F4413"/>
    <mergeCell ref="D4414:F4414"/>
    <mergeCell ref="D4415:F4415"/>
    <mergeCell ref="D4416:F4416"/>
    <mergeCell ref="D4477:F4477"/>
    <mergeCell ref="D4478:F4478"/>
    <mergeCell ref="D4479:F4479"/>
    <mergeCell ref="D4480:F4480"/>
    <mergeCell ref="D4481:F4481"/>
    <mergeCell ref="D4482:F4482"/>
    <mergeCell ref="D4471:F4471"/>
    <mergeCell ref="D4472:F4472"/>
    <mergeCell ref="D4473:F4473"/>
    <mergeCell ref="D4474:F4474"/>
    <mergeCell ref="D4475:F4475"/>
    <mergeCell ref="D4476:F4476"/>
    <mergeCell ref="D4465:F4465"/>
    <mergeCell ref="D4466:F4466"/>
    <mergeCell ref="D4467:F4467"/>
    <mergeCell ref="D4468:F4468"/>
    <mergeCell ref="D4469:F4469"/>
    <mergeCell ref="D4470:F4470"/>
    <mergeCell ref="D4459:F4459"/>
    <mergeCell ref="D4460:F4460"/>
    <mergeCell ref="D4461:F4461"/>
    <mergeCell ref="D4462:F4462"/>
    <mergeCell ref="D4463:F4463"/>
    <mergeCell ref="D4464:F4464"/>
    <mergeCell ref="D4453:F4453"/>
    <mergeCell ref="D4454:F4454"/>
    <mergeCell ref="D4455:F4455"/>
    <mergeCell ref="D4456:F4456"/>
    <mergeCell ref="D4457:F4457"/>
    <mergeCell ref="D4458:F4458"/>
    <mergeCell ref="D4447:F4447"/>
    <mergeCell ref="D4448:F4448"/>
    <mergeCell ref="D4449:F4449"/>
    <mergeCell ref="D4450:F4450"/>
    <mergeCell ref="D4451:F4451"/>
    <mergeCell ref="D4452:F4452"/>
    <mergeCell ref="D4513:F4513"/>
    <mergeCell ref="D4514:F4514"/>
    <mergeCell ref="D4515:F4515"/>
    <mergeCell ref="D4516:F4516"/>
    <mergeCell ref="D4517:F4517"/>
    <mergeCell ref="D4518:F4518"/>
    <mergeCell ref="D4507:F4507"/>
    <mergeCell ref="D4508:F4508"/>
    <mergeCell ref="D4509:F4509"/>
    <mergeCell ref="D4510:F4510"/>
    <mergeCell ref="D4511:F4511"/>
    <mergeCell ref="D4512:F4512"/>
    <mergeCell ref="D4501:F4501"/>
    <mergeCell ref="D4502:F4502"/>
    <mergeCell ref="D4503:F4503"/>
    <mergeCell ref="D4504:F4504"/>
    <mergeCell ref="D4505:F4505"/>
    <mergeCell ref="D4506:F4506"/>
    <mergeCell ref="D4495:F4495"/>
    <mergeCell ref="D4496:F4496"/>
    <mergeCell ref="D4497:F4497"/>
    <mergeCell ref="D4498:F4498"/>
    <mergeCell ref="D4499:F4499"/>
    <mergeCell ref="D4500:F4500"/>
    <mergeCell ref="D4489:F4489"/>
    <mergeCell ref="D4490:F4490"/>
    <mergeCell ref="D4491:F4491"/>
    <mergeCell ref="D4492:F4492"/>
    <mergeCell ref="D4493:F4493"/>
    <mergeCell ref="D4494:F4494"/>
    <mergeCell ref="D4483:F4483"/>
    <mergeCell ref="D4484:F4484"/>
    <mergeCell ref="D4485:F4485"/>
    <mergeCell ref="D4486:F4486"/>
    <mergeCell ref="D4487:F4487"/>
    <mergeCell ref="D4488:F4488"/>
    <mergeCell ref="D4549:F4549"/>
    <mergeCell ref="D4550:F4550"/>
    <mergeCell ref="D4551:F4551"/>
    <mergeCell ref="D4552:F4552"/>
    <mergeCell ref="D4553:F4553"/>
    <mergeCell ref="D4554:F4554"/>
    <mergeCell ref="D4543:F4543"/>
    <mergeCell ref="D4544:F4544"/>
    <mergeCell ref="D4545:F4545"/>
    <mergeCell ref="D4546:F4546"/>
    <mergeCell ref="D4547:F4547"/>
    <mergeCell ref="D4548:F4548"/>
    <mergeCell ref="D4537:F4537"/>
    <mergeCell ref="D4538:F4538"/>
    <mergeCell ref="D4539:F4539"/>
    <mergeCell ref="D4540:F4540"/>
    <mergeCell ref="D4541:F4541"/>
    <mergeCell ref="D4542:F4542"/>
    <mergeCell ref="D4531:F4531"/>
    <mergeCell ref="D4532:F4532"/>
    <mergeCell ref="D4533:F4533"/>
    <mergeCell ref="D4534:F4534"/>
    <mergeCell ref="D4535:F4535"/>
    <mergeCell ref="D4536:F4536"/>
    <mergeCell ref="D4525:F4525"/>
    <mergeCell ref="D4526:F4526"/>
    <mergeCell ref="D4527:F4527"/>
    <mergeCell ref="D4528:F4528"/>
    <mergeCell ref="D4529:F4529"/>
    <mergeCell ref="D4530:F4530"/>
    <mergeCell ref="D4519:F4519"/>
    <mergeCell ref="D4520:F4520"/>
    <mergeCell ref="D4521:F4521"/>
    <mergeCell ref="D4522:F4522"/>
    <mergeCell ref="D4523:F4523"/>
    <mergeCell ref="D4524:F4524"/>
    <mergeCell ref="D4585:F4585"/>
    <mergeCell ref="D4586:F4586"/>
    <mergeCell ref="D4587:F4587"/>
    <mergeCell ref="D4588:F4588"/>
    <mergeCell ref="D4589:F4589"/>
    <mergeCell ref="D4590:F4590"/>
    <mergeCell ref="D4579:F4579"/>
    <mergeCell ref="D4580:F4580"/>
    <mergeCell ref="D4581:F4581"/>
    <mergeCell ref="D4582:F4582"/>
    <mergeCell ref="D4583:F4583"/>
    <mergeCell ref="D4584:F4584"/>
    <mergeCell ref="D4573:F4573"/>
    <mergeCell ref="D4574:F4574"/>
    <mergeCell ref="D4575:F4575"/>
    <mergeCell ref="D4576:F4576"/>
    <mergeCell ref="D4577:F4577"/>
    <mergeCell ref="D4578:F4578"/>
    <mergeCell ref="D4567:F4567"/>
    <mergeCell ref="D4568:F4568"/>
    <mergeCell ref="D4569:F4569"/>
    <mergeCell ref="D4570:F4570"/>
    <mergeCell ref="D4571:F4571"/>
    <mergeCell ref="D4572:F4572"/>
    <mergeCell ref="D4561:F4561"/>
    <mergeCell ref="D4562:F4562"/>
    <mergeCell ref="D4563:F4563"/>
    <mergeCell ref="D4564:F4564"/>
    <mergeCell ref="D4565:F4565"/>
    <mergeCell ref="D4566:F4566"/>
    <mergeCell ref="D4555:F4555"/>
    <mergeCell ref="D4556:F4556"/>
    <mergeCell ref="D4557:F4557"/>
    <mergeCell ref="D4558:F4558"/>
    <mergeCell ref="D4559:F4559"/>
    <mergeCell ref="D4560:F4560"/>
    <mergeCell ref="D4621:F4621"/>
    <mergeCell ref="D4622:F4622"/>
    <mergeCell ref="D4623:F4623"/>
    <mergeCell ref="D4624:F4624"/>
    <mergeCell ref="D4625:F4625"/>
    <mergeCell ref="D4626:F4626"/>
    <mergeCell ref="D4615:F4615"/>
    <mergeCell ref="D4616:F4616"/>
    <mergeCell ref="D4617:F4617"/>
    <mergeCell ref="D4618:F4618"/>
    <mergeCell ref="D4619:F4619"/>
    <mergeCell ref="D4620:F4620"/>
    <mergeCell ref="D4609:F4609"/>
    <mergeCell ref="D4610:F4610"/>
    <mergeCell ref="D4611:F4611"/>
    <mergeCell ref="D4612:F4612"/>
    <mergeCell ref="D4613:F4613"/>
    <mergeCell ref="D4614:F4614"/>
    <mergeCell ref="D4603:F4603"/>
    <mergeCell ref="D4604:F4604"/>
    <mergeCell ref="D4605:F4605"/>
    <mergeCell ref="D4606:F4606"/>
    <mergeCell ref="D4607:F4607"/>
    <mergeCell ref="D4608:F4608"/>
    <mergeCell ref="D4597:F4597"/>
    <mergeCell ref="D4598:F4598"/>
    <mergeCell ref="D4599:F4599"/>
    <mergeCell ref="D4600:F4600"/>
    <mergeCell ref="D4601:F4601"/>
    <mergeCell ref="D4602:F4602"/>
    <mergeCell ref="D4591:F4591"/>
    <mergeCell ref="D4592:F4592"/>
    <mergeCell ref="D4593:F4593"/>
    <mergeCell ref="D4594:F4594"/>
    <mergeCell ref="D4595:F4595"/>
    <mergeCell ref="D4596:F4596"/>
    <mergeCell ref="D4657:F4657"/>
    <mergeCell ref="D4658:F4658"/>
    <mergeCell ref="D4659:F4659"/>
    <mergeCell ref="D4660:F4660"/>
    <mergeCell ref="D4661:F4661"/>
    <mergeCell ref="D4662:F4662"/>
    <mergeCell ref="D4651:F4651"/>
    <mergeCell ref="D4652:F4652"/>
    <mergeCell ref="D4653:F4653"/>
    <mergeCell ref="D4654:F4654"/>
    <mergeCell ref="D4655:F4655"/>
    <mergeCell ref="D4656:F4656"/>
    <mergeCell ref="D4645:F4645"/>
    <mergeCell ref="D4646:F4646"/>
    <mergeCell ref="D4647:F4647"/>
    <mergeCell ref="D4648:F4648"/>
    <mergeCell ref="D4649:F4649"/>
    <mergeCell ref="D4650:F4650"/>
    <mergeCell ref="D4639:F4639"/>
    <mergeCell ref="D4640:F4640"/>
    <mergeCell ref="D4641:F4641"/>
    <mergeCell ref="D4642:F4642"/>
    <mergeCell ref="D4643:F4643"/>
    <mergeCell ref="D4644:F4644"/>
    <mergeCell ref="D4633:F4633"/>
    <mergeCell ref="D4634:F4634"/>
    <mergeCell ref="D4635:F4635"/>
    <mergeCell ref="D4636:F4636"/>
    <mergeCell ref="D4637:F4637"/>
    <mergeCell ref="D4638:F4638"/>
    <mergeCell ref="D4627:F4627"/>
    <mergeCell ref="D4628:F4628"/>
    <mergeCell ref="D4629:F4629"/>
    <mergeCell ref="D4630:F4630"/>
    <mergeCell ref="D4631:F4631"/>
    <mergeCell ref="D4632:F4632"/>
    <mergeCell ref="D4693:F4693"/>
    <mergeCell ref="D4694:F4694"/>
    <mergeCell ref="D4695:F4695"/>
    <mergeCell ref="D4696:F4696"/>
    <mergeCell ref="D4697:F4697"/>
    <mergeCell ref="D4698:F4698"/>
    <mergeCell ref="D4687:F4687"/>
    <mergeCell ref="D4688:F4688"/>
    <mergeCell ref="D4689:F4689"/>
    <mergeCell ref="D4690:F4690"/>
    <mergeCell ref="D4691:F4691"/>
    <mergeCell ref="D4692:F4692"/>
    <mergeCell ref="D4681:F4681"/>
    <mergeCell ref="D4682:F4682"/>
    <mergeCell ref="D4683:F4683"/>
    <mergeCell ref="D4684:F4684"/>
    <mergeCell ref="D4685:F4685"/>
    <mergeCell ref="D4686:F4686"/>
    <mergeCell ref="D4675:F4675"/>
    <mergeCell ref="D4676:F4676"/>
    <mergeCell ref="D4677:F4677"/>
    <mergeCell ref="D4678:F4678"/>
    <mergeCell ref="D4679:F4679"/>
    <mergeCell ref="D4680:F4680"/>
    <mergeCell ref="D4669:F4669"/>
    <mergeCell ref="D4670:F4670"/>
    <mergeCell ref="D4671:F4671"/>
    <mergeCell ref="D4672:F4672"/>
    <mergeCell ref="D4673:F4673"/>
    <mergeCell ref="D4674:F4674"/>
    <mergeCell ref="D4663:F4663"/>
    <mergeCell ref="D4664:F4664"/>
    <mergeCell ref="D4665:F4665"/>
    <mergeCell ref="D4666:F4666"/>
    <mergeCell ref="D4667:F4667"/>
    <mergeCell ref="D4668:F4668"/>
    <mergeCell ref="D4729:F4729"/>
    <mergeCell ref="D4730:F4730"/>
    <mergeCell ref="D4731:F4731"/>
    <mergeCell ref="D4732:F4732"/>
    <mergeCell ref="D4733:F4733"/>
    <mergeCell ref="D4734:F4734"/>
    <mergeCell ref="D4723:F4723"/>
    <mergeCell ref="D4724:F4724"/>
    <mergeCell ref="D4725:F4725"/>
    <mergeCell ref="D4726:F4726"/>
    <mergeCell ref="D4727:F4727"/>
    <mergeCell ref="D4728:F4728"/>
    <mergeCell ref="D4717:F4717"/>
    <mergeCell ref="D4718:F4718"/>
    <mergeCell ref="D4719:F4719"/>
    <mergeCell ref="D4720:F4720"/>
    <mergeCell ref="D4721:F4721"/>
    <mergeCell ref="D4722:F4722"/>
    <mergeCell ref="D4711:F4711"/>
    <mergeCell ref="D4712:F4712"/>
    <mergeCell ref="D4713:F4713"/>
    <mergeCell ref="D4714:F4714"/>
    <mergeCell ref="D4715:F4715"/>
    <mergeCell ref="D4716:F4716"/>
    <mergeCell ref="D4705:F4705"/>
    <mergeCell ref="D4706:F4706"/>
    <mergeCell ref="D4707:F4707"/>
    <mergeCell ref="D4708:F4708"/>
    <mergeCell ref="D4709:F4709"/>
    <mergeCell ref="D4710:F4710"/>
    <mergeCell ref="D4699:F4699"/>
    <mergeCell ref="D4700:F4700"/>
    <mergeCell ref="D4701:F4701"/>
    <mergeCell ref="D4702:F4702"/>
    <mergeCell ref="D4703:F4703"/>
    <mergeCell ref="D4704:F4704"/>
    <mergeCell ref="D4765:F4765"/>
    <mergeCell ref="D4766:F4766"/>
    <mergeCell ref="D4767:F4767"/>
    <mergeCell ref="D4768:F4768"/>
    <mergeCell ref="D4769:F4769"/>
    <mergeCell ref="D4770:F4770"/>
    <mergeCell ref="D4759:F4759"/>
    <mergeCell ref="D4760:F4760"/>
    <mergeCell ref="D4761:F4761"/>
    <mergeCell ref="D4762:F4762"/>
    <mergeCell ref="D4763:F4763"/>
    <mergeCell ref="D4764:F4764"/>
    <mergeCell ref="D4753:F4753"/>
    <mergeCell ref="D4754:F4754"/>
    <mergeCell ref="D4755:F4755"/>
    <mergeCell ref="D4756:F4756"/>
    <mergeCell ref="D4757:F4757"/>
    <mergeCell ref="D4758:F4758"/>
    <mergeCell ref="D4747:F4747"/>
    <mergeCell ref="D4748:F4748"/>
    <mergeCell ref="D4749:F4749"/>
    <mergeCell ref="D4750:F4750"/>
    <mergeCell ref="D4751:F4751"/>
    <mergeCell ref="D4752:F4752"/>
    <mergeCell ref="D4741:F4741"/>
    <mergeCell ref="D4742:F4742"/>
    <mergeCell ref="D4743:F4743"/>
    <mergeCell ref="D4744:F4744"/>
    <mergeCell ref="D4745:F4745"/>
    <mergeCell ref="D4746:F4746"/>
    <mergeCell ref="D4735:F4735"/>
    <mergeCell ref="D4736:F4736"/>
    <mergeCell ref="D4737:F4737"/>
    <mergeCell ref="D4738:F4738"/>
    <mergeCell ref="D4739:F4739"/>
    <mergeCell ref="D4740:F4740"/>
    <mergeCell ref="D4801:F4801"/>
    <mergeCell ref="D4802:F4802"/>
    <mergeCell ref="D4803:F4803"/>
    <mergeCell ref="D4804:F4804"/>
    <mergeCell ref="D4805:F4805"/>
    <mergeCell ref="D4806:F4806"/>
    <mergeCell ref="D4795:F4795"/>
    <mergeCell ref="D4796:F4796"/>
    <mergeCell ref="D4797:F4797"/>
    <mergeCell ref="D4798:F4798"/>
    <mergeCell ref="D4799:F4799"/>
    <mergeCell ref="D4800:F4800"/>
    <mergeCell ref="D4789:F4789"/>
    <mergeCell ref="D4790:F4790"/>
    <mergeCell ref="D4791:F4791"/>
    <mergeCell ref="D4792:F4792"/>
    <mergeCell ref="D4793:F4793"/>
    <mergeCell ref="D4794:F4794"/>
    <mergeCell ref="D4783:F4783"/>
    <mergeCell ref="D4784:F4784"/>
    <mergeCell ref="D4785:F4785"/>
    <mergeCell ref="D4786:F4786"/>
    <mergeCell ref="D4787:F4787"/>
    <mergeCell ref="D4788:F4788"/>
    <mergeCell ref="D4777:F4777"/>
    <mergeCell ref="D4778:F4778"/>
    <mergeCell ref="D4779:F4779"/>
    <mergeCell ref="D4780:F4780"/>
    <mergeCell ref="D4781:F4781"/>
    <mergeCell ref="D4782:F4782"/>
    <mergeCell ref="D4771:F4771"/>
    <mergeCell ref="D4772:F4772"/>
    <mergeCell ref="D4773:F4773"/>
    <mergeCell ref="D4774:F4774"/>
    <mergeCell ref="D4775:F4775"/>
    <mergeCell ref="D4776:F4776"/>
    <mergeCell ref="D4837:F4837"/>
    <mergeCell ref="D4838:F4838"/>
    <mergeCell ref="D4839:F4839"/>
    <mergeCell ref="D4840:F4840"/>
    <mergeCell ref="D4841:F4841"/>
    <mergeCell ref="D4842:F4842"/>
    <mergeCell ref="D4831:F4831"/>
    <mergeCell ref="D4832:F4832"/>
    <mergeCell ref="D4833:F4833"/>
    <mergeCell ref="D4834:F4834"/>
    <mergeCell ref="D4835:F4835"/>
    <mergeCell ref="D4836:F4836"/>
    <mergeCell ref="D4825:F4825"/>
    <mergeCell ref="D4826:F4826"/>
    <mergeCell ref="D4827:F4827"/>
    <mergeCell ref="D4828:F4828"/>
    <mergeCell ref="D4829:F4829"/>
    <mergeCell ref="D4830:F4830"/>
    <mergeCell ref="D4819:F4819"/>
    <mergeCell ref="D4820:F4820"/>
    <mergeCell ref="D4821:F4821"/>
    <mergeCell ref="D4822:F4822"/>
    <mergeCell ref="D4823:F4823"/>
    <mergeCell ref="D4824:F4824"/>
    <mergeCell ref="D4813:F4813"/>
    <mergeCell ref="D4814:F4814"/>
    <mergeCell ref="D4815:F4815"/>
    <mergeCell ref="D4816:F4816"/>
    <mergeCell ref="D4817:F4817"/>
    <mergeCell ref="D4818:F4818"/>
    <mergeCell ref="D4807:F4807"/>
    <mergeCell ref="D4808:F4808"/>
    <mergeCell ref="D4809:F4809"/>
    <mergeCell ref="D4810:F4810"/>
    <mergeCell ref="D4811:F4811"/>
    <mergeCell ref="D4812:F4812"/>
    <mergeCell ref="D4873:F4873"/>
    <mergeCell ref="D4874:F4874"/>
    <mergeCell ref="D4875:F4875"/>
    <mergeCell ref="D4876:F4876"/>
    <mergeCell ref="D4877:F4877"/>
    <mergeCell ref="D4878:F4878"/>
    <mergeCell ref="D4867:F4867"/>
    <mergeCell ref="D4868:F4868"/>
    <mergeCell ref="D4869:F4869"/>
    <mergeCell ref="D4870:F4870"/>
    <mergeCell ref="D4871:F4871"/>
    <mergeCell ref="D4872:F4872"/>
    <mergeCell ref="D4861:F4861"/>
    <mergeCell ref="D4862:F4862"/>
    <mergeCell ref="D4863:F4863"/>
    <mergeCell ref="D4864:F4864"/>
    <mergeCell ref="D4865:F4865"/>
    <mergeCell ref="D4866:F4866"/>
    <mergeCell ref="D4855:F4855"/>
    <mergeCell ref="D4856:F4856"/>
    <mergeCell ref="D4857:F4857"/>
    <mergeCell ref="D4858:F4858"/>
    <mergeCell ref="D4859:F4859"/>
    <mergeCell ref="D4860:F4860"/>
    <mergeCell ref="D4849:F4849"/>
    <mergeCell ref="D4850:F4850"/>
    <mergeCell ref="D4851:F4851"/>
    <mergeCell ref="D4852:F4852"/>
    <mergeCell ref="D4853:F4853"/>
    <mergeCell ref="D4854:F4854"/>
    <mergeCell ref="D4843:F4843"/>
    <mergeCell ref="D4844:F4844"/>
    <mergeCell ref="D4845:F4845"/>
    <mergeCell ref="D4846:F4846"/>
    <mergeCell ref="D4847:F4847"/>
    <mergeCell ref="D4848:F4848"/>
    <mergeCell ref="D4909:F4909"/>
    <mergeCell ref="D4910:F4910"/>
    <mergeCell ref="D4911:F4911"/>
    <mergeCell ref="D4912:F4912"/>
    <mergeCell ref="D4913:F4913"/>
    <mergeCell ref="D4914:F4914"/>
    <mergeCell ref="D4903:F4903"/>
    <mergeCell ref="D4904:F4904"/>
    <mergeCell ref="D4905:F4905"/>
    <mergeCell ref="D4906:F4906"/>
    <mergeCell ref="D4907:F4907"/>
    <mergeCell ref="D4908:F4908"/>
    <mergeCell ref="D4897:F4897"/>
    <mergeCell ref="D4898:F4898"/>
    <mergeCell ref="D4899:F4899"/>
    <mergeCell ref="D4900:F4900"/>
    <mergeCell ref="D4901:F4901"/>
    <mergeCell ref="D4902:F4902"/>
    <mergeCell ref="D4891:F4891"/>
    <mergeCell ref="D4892:F4892"/>
    <mergeCell ref="D4893:F4893"/>
    <mergeCell ref="D4894:F4894"/>
    <mergeCell ref="D4895:F4895"/>
    <mergeCell ref="D4896:F4896"/>
    <mergeCell ref="D4885:F4885"/>
    <mergeCell ref="D4886:F4886"/>
    <mergeCell ref="D4887:F4887"/>
    <mergeCell ref="D4888:F4888"/>
    <mergeCell ref="D4889:F4889"/>
    <mergeCell ref="D4890:F4890"/>
    <mergeCell ref="D4879:F4879"/>
    <mergeCell ref="D4880:F4880"/>
    <mergeCell ref="D4881:F4881"/>
    <mergeCell ref="D4882:F4882"/>
    <mergeCell ref="D4883:F4883"/>
    <mergeCell ref="D4884:F4884"/>
    <mergeCell ref="D4945:F4945"/>
    <mergeCell ref="D4946:F4946"/>
    <mergeCell ref="D4947:F4947"/>
    <mergeCell ref="D4948:F4948"/>
    <mergeCell ref="D4949:F4949"/>
    <mergeCell ref="D4950:F4950"/>
    <mergeCell ref="D4939:F4939"/>
    <mergeCell ref="D4940:F4940"/>
    <mergeCell ref="D4941:F4941"/>
    <mergeCell ref="D4942:F4942"/>
    <mergeCell ref="D4943:F4943"/>
    <mergeCell ref="D4944:F4944"/>
    <mergeCell ref="D4933:F4933"/>
    <mergeCell ref="D4934:F4934"/>
    <mergeCell ref="D4935:F4935"/>
    <mergeCell ref="D4936:F4936"/>
    <mergeCell ref="D4937:F4937"/>
    <mergeCell ref="D4938:F4938"/>
    <mergeCell ref="D4927:F4927"/>
    <mergeCell ref="D4928:F4928"/>
    <mergeCell ref="D4929:F4929"/>
    <mergeCell ref="D4930:F4930"/>
    <mergeCell ref="D4931:F4931"/>
    <mergeCell ref="D4932:F4932"/>
    <mergeCell ref="D4921:F4921"/>
    <mergeCell ref="D4922:F4922"/>
    <mergeCell ref="D4923:F4923"/>
    <mergeCell ref="D4924:F4924"/>
    <mergeCell ref="D4925:F4925"/>
    <mergeCell ref="D4926:F4926"/>
    <mergeCell ref="D4915:F4915"/>
    <mergeCell ref="D4916:F4916"/>
    <mergeCell ref="D4917:F4917"/>
    <mergeCell ref="D4918:F4918"/>
    <mergeCell ref="D4919:F4919"/>
    <mergeCell ref="D4920:F4920"/>
    <mergeCell ref="D4981:F4981"/>
    <mergeCell ref="D4982:F4982"/>
    <mergeCell ref="D4983:F4983"/>
    <mergeCell ref="D4984:F4984"/>
    <mergeCell ref="D4985:F4985"/>
    <mergeCell ref="D4986:F4986"/>
    <mergeCell ref="D4975:F4975"/>
    <mergeCell ref="D4976:F4976"/>
    <mergeCell ref="D4977:F4977"/>
    <mergeCell ref="D4978:F4978"/>
    <mergeCell ref="D4979:F4979"/>
    <mergeCell ref="D4980:F4980"/>
    <mergeCell ref="D4969:F4969"/>
    <mergeCell ref="D4970:F4970"/>
    <mergeCell ref="D4971:F4971"/>
    <mergeCell ref="D4972:F4972"/>
    <mergeCell ref="D4973:F4973"/>
    <mergeCell ref="D4974:F4974"/>
    <mergeCell ref="D4963:F4963"/>
    <mergeCell ref="D4964:F4964"/>
    <mergeCell ref="D4965:F4965"/>
    <mergeCell ref="D4966:F4966"/>
    <mergeCell ref="D4967:F4967"/>
    <mergeCell ref="D4968:F4968"/>
    <mergeCell ref="D4957:F4957"/>
    <mergeCell ref="D4958:F4958"/>
    <mergeCell ref="D4959:F4959"/>
    <mergeCell ref="D4960:F4960"/>
    <mergeCell ref="D4961:F4961"/>
    <mergeCell ref="D4962:F4962"/>
    <mergeCell ref="D4951:F4951"/>
    <mergeCell ref="D4952:F4952"/>
    <mergeCell ref="D4953:F4953"/>
    <mergeCell ref="D4954:F4954"/>
    <mergeCell ref="D4955:F4955"/>
    <mergeCell ref="D4956:F4956"/>
    <mergeCell ref="D5017:F5017"/>
    <mergeCell ref="D5018:F5018"/>
    <mergeCell ref="D5019:F5019"/>
    <mergeCell ref="D5020:F5020"/>
    <mergeCell ref="D5021:F5021"/>
    <mergeCell ref="D5022:F5022"/>
    <mergeCell ref="D5011:F5011"/>
    <mergeCell ref="D5012:F5012"/>
    <mergeCell ref="D5013:F5013"/>
    <mergeCell ref="D5014:F5014"/>
    <mergeCell ref="D5015:F5015"/>
    <mergeCell ref="D5016:F5016"/>
    <mergeCell ref="D5005:F5005"/>
    <mergeCell ref="D5006:F5006"/>
    <mergeCell ref="D5007:F5007"/>
    <mergeCell ref="D5008:F5008"/>
    <mergeCell ref="D5009:F5009"/>
    <mergeCell ref="D5010:F5010"/>
    <mergeCell ref="D4999:F4999"/>
    <mergeCell ref="D5000:F5000"/>
    <mergeCell ref="D5001:F5001"/>
    <mergeCell ref="D5002:F5002"/>
    <mergeCell ref="D5003:F5003"/>
    <mergeCell ref="D5004:F5004"/>
    <mergeCell ref="D4993:F4993"/>
    <mergeCell ref="D4994:F4994"/>
    <mergeCell ref="D4995:F4995"/>
    <mergeCell ref="D4996:F4996"/>
    <mergeCell ref="D4997:F4997"/>
    <mergeCell ref="D4998:F4998"/>
    <mergeCell ref="D4987:F4987"/>
    <mergeCell ref="D4988:F4988"/>
    <mergeCell ref="D4989:F4989"/>
    <mergeCell ref="D4990:F4990"/>
    <mergeCell ref="D4991:F4991"/>
    <mergeCell ref="D4992:F4992"/>
    <mergeCell ref="D5053:F5053"/>
    <mergeCell ref="D5054:F5054"/>
    <mergeCell ref="D5055:F5055"/>
    <mergeCell ref="D5056:F5056"/>
    <mergeCell ref="D5057:F5057"/>
    <mergeCell ref="D5058:F5058"/>
    <mergeCell ref="D5047:F5047"/>
    <mergeCell ref="D5048:F5048"/>
    <mergeCell ref="D5049:F5049"/>
    <mergeCell ref="D5050:F5050"/>
    <mergeCell ref="D5051:F5051"/>
    <mergeCell ref="D5052:F5052"/>
    <mergeCell ref="D5041:F5041"/>
    <mergeCell ref="D5042:F5042"/>
    <mergeCell ref="D5043:F5043"/>
    <mergeCell ref="D5044:F5044"/>
    <mergeCell ref="D5045:F5045"/>
    <mergeCell ref="D5046:F5046"/>
    <mergeCell ref="D5035:F5035"/>
    <mergeCell ref="D5036:F5036"/>
    <mergeCell ref="D5037:F5037"/>
    <mergeCell ref="D5038:F5038"/>
    <mergeCell ref="D5039:F5039"/>
    <mergeCell ref="D5040:F5040"/>
    <mergeCell ref="D5029:F5029"/>
    <mergeCell ref="D5030:F5030"/>
    <mergeCell ref="D5031:F5031"/>
    <mergeCell ref="D5032:F5032"/>
    <mergeCell ref="D5033:F5033"/>
    <mergeCell ref="D5034:F5034"/>
    <mergeCell ref="D5023:F5023"/>
    <mergeCell ref="D5024:F5024"/>
    <mergeCell ref="D5025:F5025"/>
    <mergeCell ref="D5026:F5026"/>
    <mergeCell ref="D5027:F5027"/>
    <mergeCell ref="D5028:F5028"/>
    <mergeCell ref="D5089:F5089"/>
    <mergeCell ref="D5090:F5090"/>
    <mergeCell ref="D5091:F5091"/>
    <mergeCell ref="D5092:F5092"/>
    <mergeCell ref="D5093:F5093"/>
    <mergeCell ref="D5094:F5094"/>
    <mergeCell ref="D5083:F5083"/>
    <mergeCell ref="D5084:F5084"/>
    <mergeCell ref="D5085:F5085"/>
    <mergeCell ref="D5086:F5086"/>
    <mergeCell ref="D5087:F5087"/>
    <mergeCell ref="D5088:F5088"/>
    <mergeCell ref="D5077:F5077"/>
    <mergeCell ref="D5078:F5078"/>
    <mergeCell ref="D5079:F5079"/>
    <mergeCell ref="D5080:F5080"/>
    <mergeCell ref="D5081:F5081"/>
    <mergeCell ref="D5082:F5082"/>
    <mergeCell ref="D5071:F5071"/>
    <mergeCell ref="D5072:F5072"/>
    <mergeCell ref="D5073:F5073"/>
    <mergeCell ref="D5074:F5074"/>
    <mergeCell ref="D5075:F5075"/>
    <mergeCell ref="D5076:F5076"/>
    <mergeCell ref="D5065:F5065"/>
    <mergeCell ref="D5066:F5066"/>
    <mergeCell ref="D5067:F5067"/>
    <mergeCell ref="D5068:F5068"/>
    <mergeCell ref="D5069:F5069"/>
    <mergeCell ref="D5070:F5070"/>
    <mergeCell ref="D5059:F5059"/>
    <mergeCell ref="D5060:F5060"/>
    <mergeCell ref="D5061:F5061"/>
    <mergeCell ref="D5062:F5062"/>
    <mergeCell ref="D5063:F5063"/>
    <mergeCell ref="D5064:F5064"/>
    <mergeCell ref="D5125:F5125"/>
    <mergeCell ref="D5126:F5126"/>
    <mergeCell ref="D5127:F5127"/>
    <mergeCell ref="D5128:F5128"/>
    <mergeCell ref="D5129:F5129"/>
    <mergeCell ref="D5130:F5130"/>
    <mergeCell ref="D5119:F5119"/>
    <mergeCell ref="D5120:F5120"/>
    <mergeCell ref="D5121:F5121"/>
    <mergeCell ref="D5122:F5122"/>
    <mergeCell ref="D5123:F5123"/>
    <mergeCell ref="D5124:F5124"/>
    <mergeCell ref="D5113:F5113"/>
    <mergeCell ref="D5114:F5114"/>
    <mergeCell ref="D5115:F5115"/>
    <mergeCell ref="D5116:F5116"/>
    <mergeCell ref="D5117:F5117"/>
    <mergeCell ref="D5118:F5118"/>
    <mergeCell ref="D5107:F5107"/>
    <mergeCell ref="D5108:F5108"/>
    <mergeCell ref="D5109:F5109"/>
    <mergeCell ref="D5110:F5110"/>
    <mergeCell ref="D5111:F5111"/>
    <mergeCell ref="D5112:F5112"/>
    <mergeCell ref="D5101:F5101"/>
    <mergeCell ref="D5102:F5102"/>
    <mergeCell ref="D5103:F5103"/>
    <mergeCell ref="D5104:F5104"/>
    <mergeCell ref="D5105:F5105"/>
    <mergeCell ref="D5106:F5106"/>
    <mergeCell ref="D5095:F5095"/>
    <mergeCell ref="D5096:F5096"/>
    <mergeCell ref="D5097:F5097"/>
    <mergeCell ref="D5098:F5098"/>
    <mergeCell ref="D5099:F5099"/>
    <mergeCell ref="D5100:F5100"/>
    <mergeCell ref="D5161:F5161"/>
    <mergeCell ref="D5162:F5162"/>
    <mergeCell ref="D5163:F5163"/>
    <mergeCell ref="D5164:F5164"/>
    <mergeCell ref="D5165:F5165"/>
    <mergeCell ref="D5166:F5166"/>
    <mergeCell ref="D5155:F5155"/>
    <mergeCell ref="D5156:F5156"/>
    <mergeCell ref="D5157:F5157"/>
    <mergeCell ref="D5158:F5158"/>
    <mergeCell ref="D5159:F5159"/>
    <mergeCell ref="D5160:F5160"/>
    <mergeCell ref="D5149:F5149"/>
    <mergeCell ref="D5150:F5150"/>
    <mergeCell ref="D5151:F5151"/>
    <mergeCell ref="D5152:F5152"/>
    <mergeCell ref="D5153:F5153"/>
    <mergeCell ref="D5154:F5154"/>
    <mergeCell ref="D5143:F5143"/>
    <mergeCell ref="D5144:F5144"/>
    <mergeCell ref="D5145:F5145"/>
    <mergeCell ref="D5146:F5146"/>
    <mergeCell ref="D5147:F5147"/>
    <mergeCell ref="D5148:F5148"/>
    <mergeCell ref="D5137:F5137"/>
    <mergeCell ref="D5138:F5138"/>
    <mergeCell ref="D5139:F5139"/>
    <mergeCell ref="D5140:F5140"/>
    <mergeCell ref="D5141:F5141"/>
    <mergeCell ref="D5142:F5142"/>
    <mergeCell ref="D5131:F5131"/>
    <mergeCell ref="D5132:F5132"/>
    <mergeCell ref="D5133:F5133"/>
    <mergeCell ref="D5134:F5134"/>
    <mergeCell ref="D5135:F5135"/>
    <mergeCell ref="D5136:F5136"/>
    <mergeCell ref="D5197:F5197"/>
    <mergeCell ref="D5198:F5198"/>
    <mergeCell ref="D5199:F5199"/>
    <mergeCell ref="D5200:F5200"/>
    <mergeCell ref="D5201:F5201"/>
    <mergeCell ref="D5202:F5202"/>
    <mergeCell ref="D5191:F5191"/>
    <mergeCell ref="D5192:F5192"/>
    <mergeCell ref="D5193:F5193"/>
    <mergeCell ref="D5194:F5194"/>
    <mergeCell ref="D5195:F5195"/>
    <mergeCell ref="D5196:F5196"/>
    <mergeCell ref="D5185:F5185"/>
    <mergeCell ref="D5186:F5186"/>
    <mergeCell ref="D5187:F5187"/>
    <mergeCell ref="D5188:F5188"/>
    <mergeCell ref="D5189:F5189"/>
    <mergeCell ref="D5190:F5190"/>
    <mergeCell ref="D5179:F5179"/>
    <mergeCell ref="D5180:F5180"/>
    <mergeCell ref="D5181:F5181"/>
    <mergeCell ref="D5182:F5182"/>
    <mergeCell ref="D5183:F5183"/>
    <mergeCell ref="D5184:F5184"/>
    <mergeCell ref="D5173:F5173"/>
    <mergeCell ref="D5174:F5174"/>
    <mergeCell ref="D5175:F5175"/>
    <mergeCell ref="D5176:F5176"/>
    <mergeCell ref="D5177:F5177"/>
    <mergeCell ref="D5178:F5178"/>
    <mergeCell ref="D5167:F5167"/>
    <mergeCell ref="D5168:F5168"/>
    <mergeCell ref="D5169:F5169"/>
    <mergeCell ref="D5170:F5170"/>
    <mergeCell ref="D5171:F5171"/>
    <mergeCell ref="D5172:F5172"/>
    <mergeCell ref="D5233:F5233"/>
    <mergeCell ref="D5234:F5234"/>
    <mergeCell ref="D5235:F5235"/>
    <mergeCell ref="D5236:F5236"/>
    <mergeCell ref="D5237:F5237"/>
    <mergeCell ref="D5238:F5238"/>
    <mergeCell ref="D5227:F5227"/>
    <mergeCell ref="D5228:F5228"/>
    <mergeCell ref="D5229:F5229"/>
    <mergeCell ref="D5230:F5230"/>
    <mergeCell ref="D5231:F5231"/>
    <mergeCell ref="D5232:F5232"/>
    <mergeCell ref="D5221:F5221"/>
    <mergeCell ref="D5222:F5222"/>
    <mergeCell ref="D5223:F5223"/>
    <mergeCell ref="D5224:F5224"/>
    <mergeCell ref="D5225:F5225"/>
    <mergeCell ref="D5226:F5226"/>
    <mergeCell ref="D5215:F5215"/>
    <mergeCell ref="D5216:F5216"/>
    <mergeCell ref="D5217:F5217"/>
    <mergeCell ref="D5218:F5218"/>
    <mergeCell ref="D5219:F5219"/>
    <mergeCell ref="D5220:F5220"/>
    <mergeCell ref="D5209:F5209"/>
    <mergeCell ref="D5210:F5210"/>
    <mergeCell ref="D5211:F5211"/>
    <mergeCell ref="D5212:F5212"/>
    <mergeCell ref="D5213:F5213"/>
    <mergeCell ref="D5214:F5214"/>
    <mergeCell ref="D5203:F5203"/>
    <mergeCell ref="D5204:F5204"/>
    <mergeCell ref="D5205:F5205"/>
    <mergeCell ref="D5206:F5206"/>
    <mergeCell ref="D5207:F5207"/>
    <mergeCell ref="D5208:F5208"/>
    <mergeCell ref="D5269:F5269"/>
    <mergeCell ref="D5270:F5270"/>
    <mergeCell ref="D5271:F5271"/>
    <mergeCell ref="D5272:F5272"/>
    <mergeCell ref="D5273:F5273"/>
    <mergeCell ref="D5274:F5274"/>
    <mergeCell ref="D5263:F5263"/>
    <mergeCell ref="D5264:F5264"/>
    <mergeCell ref="D5265:F5265"/>
    <mergeCell ref="D5266:F5266"/>
    <mergeCell ref="D5267:F5267"/>
    <mergeCell ref="D5268:F5268"/>
    <mergeCell ref="D5257:F5257"/>
    <mergeCell ref="D5258:F5258"/>
    <mergeCell ref="D5259:F5259"/>
    <mergeCell ref="D5260:F5260"/>
    <mergeCell ref="D5261:F5261"/>
    <mergeCell ref="D5262:F5262"/>
    <mergeCell ref="D5251:F5251"/>
    <mergeCell ref="D5252:F5252"/>
    <mergeCell ref="D5253:F5253"/>
    <mergeCell ref="D5254:F5254"/>
    <mergeCell ref="D5255:F5255"/>
    <mergeCell ref="D5256:F5256"/>
    <mergeCell ref="D5245:F5245"/>
    <mergeCell ref="D5246:F5246"/>
    <mergeCell ref="D5247:F5247"/>
    <mergeCell ref="D5248:F5248"/>
    <mergeCell ref="D5249:F5249"/>
    <mergeCell ref="D5250:F5250"/>
    <mergeCell ref="D5239:F5239"/>
    <mergeCell ref="D5240:F5240"/>
    <mergeCell ref="D5241:F5241"/>
    <mergeCell ref="D5242:F5242"/>
    <mergeCell ref="D5243:F5243"/>
    <mergeCell ref="D5244:F5244"/>
    <mergeCell ref="D5305:F5305"/>
    <mergeCell ref="D5306:F5306"/>
    <mergeCell ref="D5307:F5307"/>
    <mergeCell ref="D5308:F5308"/>
    <mergeCell ref="D5309:F5309"/>
    <mergeCell ref="D5310:F5310"/>
    <mergeCell ref="D5299:F5299"/>
    <mergeCell ref="D5300:F5300"/>
    <mergeCell ref="D5301:F5301"/>
    <mergeCell ref="D5302:F5302"/>
    <mergeCell ref="D5303:F5303"/>
    <mergeCell ref="D5304:F5304"/>
    <mergeCell ref="D5293:F5293"/>
    <mergeCell ref="D5294:F5294"/>
    <mergeCell ref="D5295:F5295"/>
    <mergeCell ref="D5296:F5296"/>
    <mergeCell ref="D5297:F5297"/>
    <mergeCell ref="D5298:F5298"/>
    <mergeCell ref="D5287:F5287"/>
    <mergeCell ref="D5288:F5288"/>
    <mergeCell ref="D5289:F5289"/>
    <mergeCell ref="D5290:F5290"/>
    <mergeCell ref="D5291:F5291"/>
    <mergeCell ref="D5292:F5292"/>
    <mergeCell ref="D5281:F5281"/>
    <mergeCell ref="D5282:F5282"/>
    <mergeCell ref="D5283:F5283"/>
    <mergeCell ref="D5284:F5284"/>
    <mergeCell ref="D5285:F5285"/>
    <mergeCell ref="D5286:F5286"/>
    <mergeCell ref="D5275:F5275"/>
    <mergeCell ref="D5276:F5276"/>
    <mergeCell ref="D5277:F5277"/>
    <mergeCell ref="D5278:F5278"/>
    <mergeCell ref="D5279:F5279"/>
    <mergeCell ref="D5280:F5280"/>
    <mergeCell ref="D5341:F5341"/>
    <mergeCell ref="D5342:F5342"/>
    <mergeCell ref="D5343:F5343"/>
    <mergeCell ref="D5344:F5344"/>
    <mergeCell ref="D5345:F5345"/>
    <mergeCell ref="D5346:F5346"/>
    <mergeCell ref="D5335:F5335"/>
    <mergeCell ref="D5336:F5336"/>
    <mergeCell ref="D5337:F5337"/>
    <mergeCell ref="D5338:F5338"/>
    <mergeCell ref="D5339:F5339"/>
    <mergeCell ref="D5340:F5340"/>
    <mergeCell ref="D5329:F5329"/>
    <mergeCell ref="D5330:F5330"/>
    <mergeCell ref="D5331:F5331"/>
    <mergeCell ref="D5332:F5332"/>
    <mergeCell ref="D5333:F5333"/>
    <mergeCell ref="D5334:F5334"/>
    <mergeCell ref="D5323:F5323"/>
    <mergeCell ref="D5324:F5324"/>
    <mergeCell ref="D5325:F5325"/>
    <mergeCell ref="D5326:F5326"/>
    <mergeCell ref="D5327:F5327"/>
    <mergeCell ref="D5328:F5328"/>
    <mergeCell ref="D5317:F5317"/>
    <mergeCell ref="D5318:F5318"/>
    <mergeCell ref="D5319:F5319"/>
    <mergeCell ref="D5320:F5320"/>
    <mergeCell ref="D5321:F5321"/>
    <mergeCell ref="D5322:F5322"/>
    <mergeCell ref="D5311:F5311"/>
    <mergeCell ref="D5312:F5312"/>
    <mergeCell ref="D5313:F5313"/>
    <mergeCell ref="D5314:F5314"/>
    <mergeCell ref="D5315:F5315"/>
    <mergeCell ref="D5316:F5316"/>
    <mergeCell ref="D5377:F5377"/>
    <mergeCell ref="D5378:F5378"/>
    <mergeCell ref="D5379:F5379"/>
    <mergeCell ref="D5380:F5380"/>
    <mergeCell ref="D5381:F5381"/>
    <mergeCell ref="D5382:F5382"/>
    <mergeCell ref="D5371:F5371"/>
    <mergeCell ref="D5372:F5372"/>
    <mergeCell ref="D5373:F5373"/>
    <mergeCell ref="D5374:F5374"/>
    <mergeCell ref="D5375:F5375"/>
    <mergeCell ref="D5376:F5376"/>
    <mergeCell ref="D5365:F5365"/>
    <mergeCell ref="D5366:F5366"/>
    <mergeCell ref="D5367:F5367"/>
    <mergeCell ref="D5368:F5368"/>
    <mergeCell ref="D5369:F5369"/>
    <mergeCell ref="D5370:F5370"/>
    <mergeCell ref="D5359:F5359"/>
    <mergeCell ref="D5360:F5360"/>
    <mergeCell ref="D5361:F5361"/>
    <mergeCell ref="D5362:F5362"/>
    <mergeCell ref="D5363:F5363"/>
    <mergeCell ref="D5364:F5364"/>
    <mergeCell ref="D5353:F5353"/>
    <mergeCell ref="D5354:F5354"/>
    <mergeCell ref="D5355:F5355"/>
    <mergeCell ref="D5356:F5356"/>
    <mergeCell ref="D5357:F5357"/>
    <mergeCell ref="D5358:F5358"/>
    <mergeCell ref="D5347:F5347"/>
    <mergeCell ref="D5348:F5348"/>
    <mergeCell ref="D5349:F5349"/>
    <mergeCell ref="D5350:F5350"/>
    <mergeCell ref="D5351:F5351"/>
    <mergeCell ref="D5352:F5352"/>
    <mergeCell ref="D5413:F5413"/>
    <mergeCell ref="D5414:F5414"/>
    <mergeCell ref="D5415:F5415"/>
    <mergeCell ref="D5416:F5416"/>
    <mergeCell ref="D5417:F5417"/>
    <mergeCell ref="D5418:F5418"/>
    <mergeCell ref="D5407:F5407"/>
    <mergeCell ref="D5408:F5408"/>
    <mergeCell ref="D5409:F5409"/>
    <mergeCell ref="D5410:F5410"/>
    <mergeCell ref="D5411:F5411"/>
    <mergeCell ref="D5412:F5412"/>
    <mergeCell ref="D5401:F5401"/>
    <mergeCell ref="D5402:F5402"/>
    <mergeCell ref="D5403:F5403"/>
    <mergeCell ref="D5404:F5404"/>
    <mergeCell ref="D5405:F5405"/>
    <mergeCell ref="D5406:F5406"/>
    <mergeCell ref="D5395:F5395"/>
    <mergeCell ref="D5396:F5396"/>
    <mergeCell ref="D5397:F5397"/>
    <mergeCell ref="D5398:F5398"/>
    <mergeCell ref="D5399:F5399"/>
    <mergeCell ref="D5400:F5400"/>
    <mergeCell ref="D5389:F5389"/>
    <mergeCell ref="D5390:F5390"/>
    <mergeCell ref="D5391:F5391"/>
    <mergeCell ref="D5392:F5392"/>
    <mergeCell ref="D5393:F5393"/>
    <mergeCell ref="D5394:F5394"/>
    <mergeCell ref="D5383:F5383"/>
    <mergeCell ref="D5384:F5384"/>
    <mergeCell ref="D5385:F5385"/>
    <mergeCell ref="D5386:F5386"/>
    <mergeCell ref="D5387:F5387"/>
    <mergeCell ref="D5388:F5388"/>
    <mergeCell ref="D5449:F5449"/>
    <mergeCell ref="D5450:F5450"/>
    <mergeCell ref="D5451:F5451"/>
    <mergeCell ref="D5452:F5452"/>
    <mergeCell ref="D5453:F5453"/>
    <mergeCell ref="D5454:F5454"/>
    <mergeCell ref="D5443:F5443"/>
    <mergeCell ref="D5444:F5444"/>
    <mergeCell ref="D5445:F5445"/>
    <mergeCell ref="D5446:F5446"/>
    <mergeCell ref="D5447:F5447"/>
    <mergeCell ref="D5448:F5448"/>
    <mergeCell ref="D5437:F5437"/>
    <mergeCell ref="D5438:F5438"/>
    <mergeCell ref="D5439:F5439"/>
    <mergeCell ref="D5440:F5440"/>
    <mergeCell ref="D5441:F5441"/>
    <mergeCell ref="D5442:F5442"/>
    <mergeCell ref="D5431:F5431"/>
    <mergeCell ref="D5432:F5432"/>
    <mergeCell ref="D5433:F5433"/>
    <mergeCell ref="D5434:F5434"/>
    <mergeCell ref="D5435:F5435"/>
    <mergeCell ref="D5436:F5436"/>
    <mergeCell ref="D5425:F5425"/>
    <mergeCell ref="D5426:F5426"/>
    <mergeCell ref="D5427:F5427"/>
    <mergeCell ref="D5428:F5428"/>
    <mergeCell ref="D5429:F5429"/>
    <mergeCell ref="D5430:F5430"/>
    <mergeCell ref="D5419:F5419"/>
    <mergeCell ref="D5420:F5420"/>
    <mergeCell ref="D5421:F5421"/>
    <mergeCell ref="D5422:F5422"/>
    <mergeCell ref="D5423:F5423"/>
    <mergeCell ref="D5424:F5424"/>
    <mergeCell ref="D5485:F5485"/>
    <mergeCell ref="D5486:F5486"/>
    <mergeCell ref="D5487:F5487"/>
    <mergeCell ref="D5488:F5488"/>
    <mergeCell ref="D5489:F5489"/>
    <mergeCell ref="D5490:F5490"/>
    <mergeCell ref="D5479:F5479"/>
    <mergeCell ref="D5480:F5480"/>
    <mergeCell ref="D5481:F5481"/>
    <mergeCell ref="D5482:F5482"/>
    <mergeCell ref="D5483:F5483"/>
    <mergeCell ref="D5484:F5484"/>
    <mergeCell ref="D5473:F5473"/>
    <mergeCell ref="D5474:F5474"/>
    <mergeCell ref="D5475:F5475"/>
    <mergeCell ref="D5476:F5476"/>
    <mergeCell ref="D5477:F5477"/>
    <mergeCell ref="D5478:F5478"/>
    <mergeCell ref="D5467:F5467"/>
    <mergeCell ref="D5468:F5468"/>
    <mergeCell ref="D5469:F5469"/>
    <mergeCell ref="D5470:F5470"/>
    <mergeCell ref="D5471:F5471"/>
    <mergeCell ref="D5472:F5472"/>
    <mergeCell ref="D5461:F5461"/>
    <mergeCell ref="D5462:F5462"/>
    <mergeCell ref="D5463:F5463"/>
    <mergeCell ref="D5464:F5464"/>
    <mergeCell ref="D5465:F5465"/>
    <mergeCell ref="D5466:F5466"/>
    <mergeCell ref="D5455:F5455"/>
    <mergeCell ref="D5456:F5456"/>
    <mergeCell ref="D5457:F5457"/>
    <mergeCell ref="D5458:F5458"/>
    <mergeCell ref="D5459:F5459"/>
    <mergeCell ref="D5460:F5460"/>
    <mergeCell ref="D5521:F5521"/>
    <mergeCell ref="D5522:F5522"/>
    <mergeCell ref="D5523:F5523"/>
    <mergeCell ref="D5524:F5524"/>
    <mergeCell ref="D5525:F5525"/>
    <mergeCell ref="D5526:F5526"/>
    <mergeCell ref="D5515:F5515"/>
    <mergeCell ref="D5516:F5516"/>
    <mergeCell ref="D5517:F5517"/>
    <mergeCell ref="D5518:F5518"/>
    <mergeCell ref="D5519:F5519"/>
    <mergeCell ref="D5520:F5520"/>
    <mergeCell ref="D5509:F5509"/>
    <mergeCell ref="D5510:F5510"/>
    <mergeCell ref="D5511:F5511"/>
    <mergeCell ref="D5512:F5512"/>
    <mergeCell ref="D5513:F5513"/>
    <mergeCell ref="D5514:F5514"/>
    <mergeCell ref="D5503:F5503"/>
    <mergeCell ref="D5504:F5504"/>
    <mergeCell ref="D5505:F5505"/>
    <mergeCell ref="D5506:F5506"/>
    <mergeCell ref="D5507:F5507"/>
    <mergeCell ref="D5508:F5508"/>
    <mergeCell ref="D5497:F5497"/>
    <mergeCell ref="D5498:F5498"/>
    <mergeCell ref="D5499:F5499"/>
    <mergeCell ref="D5500:F5500"/>
    <mergeCell ref="D5501:F5501"/>
    <mergeCell ref="D5502:F5502"/>
    <mergeCell ref="D5491:F5491"/>
    <mergeCell ref="D5492:F5492"/>
    <mergeCell ref="D5493:F5493"/>
    <mergeCell ref="D5494:F5494"/>
    <mergeCell ref="D5495:F5495"/>
    <mergeCell ref="D5496:F5496"/>
    <mergeCell ref="D5557:F5557"/>
    <mergeCell ref="D5558:F5558"/>
    <mergeCell ref="D5559:F5559"/>
    <mergeCell ref="D5560:F5560"/>
    <mergeCell ref="D5561:F5561"/>
    <mergeCell ref="D5562:F5562"/>
    <mergeCell ref="D5551:F5551"/>
    <mergeCell ref="D5552:F5552"/>
    <mergeCell ref="D5553:F5553"/>
    <mergeCell ref="D5554:F5554"/>
    <mergeCell ref="D5555:F5555"/>
    <mergeCell ref="D5556:F5556"/>
    <mergeCell ref="D5545:F5545"/>
    <mergeCell ref="D5546:F5546"/>
    <mergeCell ref="D5547:F5547"/>
    <mergeCell ref="D5548:F5548"/>
    <mergeCell ref="D5549:F5549"/>
    <mergeCell ref="D5550:F5550"/>
    <mergeCell ref="D5539:F5539"/>
    <mergeCell ref="D5540:F5540"/>
    <mergeCell ref="D5541:F5541"/>
    <mergeCell ref="D5542:F5542"/>
    <mergeCell ref="D5543:F5543"/>
    <mergeCell ref="D5544:F5544"/>
    <mergeCell ref="D5533:F5533"/>
    <mergeCell ref="D5534:F5534"/>
    <mergeCell ref="D5535:F5535"/>
    <mergeCell ref="D5536:F5536"/>
    <mergeCell ref="D5537:F5537"/>
    <mergeCell ref="D5538:F5538"/>
    <mergeCell ref="D5527:F5527"/>
    <mergeCell ref="D5528:F5528"/>
    <mergeCell ref="D5529:F5529"/>
    <mergeCell ref="D5530:F5530"/>
    <mergeCell ref="D5531:F5531"/>
    <mergeCell ref="D5532:F5532"/>
    <mergeCell ref="D5593:F5593"/>
    <mergeCell ref="D5594:F5594"/>
    <mergeCell ref="D5595:F5595"/>
    <mergeCell ref="D5596:F5596"/>
    <mergeCell ref="D5597:F5597"/>
    <mergeCell ref="D5598:F5598"/>
    <mergeCell ref="D5587:F5587"/>
    <mergeCell ref="D5588:F5588"/>
    <mergeCell ref="D5589:F5589"/>
    <mergeCell ref="D5590:F5590"/>
    <mergeCell ref="D5591:F5591"/>
    <mergeCell ref="D5592:F5592"/>
    <mergeCell ref="D5581:F5581"/>
    <mergeCell ref="D5582:F5582"/>
    <mergeCell ref="D5583:F5583"/>
    <mergeCell ref="D5584:F5584"/>
    <mergeCell ref="D5585:F5585"/>
    <mergeCell ref="D5586:F5586"/>
    <mergeCell ref="D5575:F5575"/>
    <mergeCell ref="D5576:F5576"/>
    <mergeCell ref="D5577:F5577"/>
    <mergeCell ref="D5578:F5578"/>
    <mergeCell ref="D5579:F5579"/>
    <mergeCell ref="D5580:F5580"/>
    <mergeCell ref="D5569:F5569"/>
    <mergeCell ref="D5570:F5570"/>
    <mergeCell ref="D5571:F5571"/>
    <mergeCell ref="D5572:F5572"/>
    <mergeCell ref="D5573:F5573"/>
    <mergeCell ref="D5574:F5574"/>
    <mergeCell ref="D5563:F5563"/>
    <mergeCell ref="D5564:F5564"/>
    <mergeCell ref="D5565:F5565"/>
    <mergeCell ref="D5566:F5566"/>
    <mergeCell ref="D5567:F5567"/>
    <mergeCell ref="D5568:F5568"/>
    <mergeCell ref="D5629:F5629"/>
    <mergeCell ref="D5630:F5630"/>
    <mergeCell ref="D5631:F5631"/>
    <mergeCell ref="D5632:F5632"/>
    <mergeCell ref="D5633:F5633"/>
    <mergeCell ref="D5634:F5634"/>
    <mergeCell ref="D5623:F5623"/>
    <mergeCell ref="D5624:F5624"/>
    <mergeCell ref="D5625:F5625"/>
    <mergeCell ref="D5626:F5626"/>
    <mergeCell ref="D5627:F5627"/>
    <mergeCell ref="D5628:F5628"/>
    <mergeCell ref="D5617:F5617"/>
    <mergeCell ref="D5618:F5618"/>
    <mergeCell ref="D5619:F5619"/>
    <mergeCell ref="D5620:F5620"/>
    <mergeCell ref="D5621:F5621"/>
    <mergeCell ref="D5622:F5622"/>
    <mergeCell ref="D5611:F5611"/>
    <mergeCell ref="D5612:F5612"/>
    <mergeCell ref="D5613:F5613"/>
    <mergeCell ref="D5614:F5614"/>
    <mergeCell ref="D5615:F5615"/>
    <mergeCell ref="D5616:F5616"/>
    <mergeCell ref="D5605:F5605"/>
    <mergeCell ref="D5606:F5606"/>
    <mergeCell ref="D5607:F5607"/>
    <mergeCell ref="D5608:F5608"/>
    <mergeCell ref="D5609:F5609"/>
    <mergeCell ref="D5610:F5610"/>
    <mergeCell ref="D5599:F5599"/>
    <mergeCell ref="D5600:F5600"/>
    <mergeCell ref="D5601:F5601"/>
    <mergeCell ref="D5602:F5602"/>
    <mergeCell ref="D5603:F5603"/>
    <mergeCell ref="D5604:F5604"/>
    <mergeCell ref="D5665:F5665"/>
    <mergeCell ref="D5666:F5666"/>
    <mergeCell ref="D5667:F5667"/>
    <mergeCell ref="D5668:F5668"/>
    <mergeCell ref="D5669:F5669"/>
    <mergeCell ref="D5670:F5670"/>
    <mergeCell ref="D5659:F5659"/>
    <mergeCell ref="D5660:F5660"/>
    <mergeCell ref="D5661:F5661"/>
    <mergeCell ref="D5662:F5662"/>
    <mergeCell ref="D5663:F5663"/>
    <mergeCell ref="D5664:F5664"/>
    <mergeCell ref="D5653:F5653"/>
    <mergeCell ref="D5654:F5654"/>
    <mergeCell ref="D5655:F5655"/>
    <mergeCell ref="D5656:F5656"/>
    <mergeCell ref="D5657:F5657"/>
    <mergeCell ref="D5658:F5658"/>
    <mergeCell ref="D5647:F5647"/>
    <mergeCell ref="D5648:F5648"/>
    <mergeCell ref="D5649:F5649"/>
    <mergeCell ref="D5650:F5650"/>
    <mergeCell ref="D5651:F5651"/>
    <mergeCell ref="D5652:F5652"/>
    <mergeCell ref="D5641:F5641"/>
    <mergeCell ref="D5642:F5642"/>
    <mergeCell ref="D5643:F5643"/>
    <mergeCell ref="D5644:F5644"/>
    <mergeCell ref="D5645:F5645"/>
    <mergeCell ref="D5646:F5646"/>
    <mergeCell ref="D5635:F5635"/>
    <mergeCell ref="D5636:F5636"/>
    <mergeCell ref="D5637:F5637"/>
    <mergeCell ref="D5638:F5638"/>
    <mergeCell ref="D5639:F5639"/>
    <mergeCell ref="D5640:F5640"/>
    <mergeCell ref="D5701:F5701"/>
    <mergeCell ref="D5702:F5702"/>
    <mergeCell ref="D5703:F5703"/>
    <mergeCell ref="D5704:F5704"/>
    <mergeCell ref="D5705:F5705"/>
    <mergeCell ref="D5706:F5706"/>
    <mergeCell ref="D5695:F5695"/>
    <mergeCell ref="D5696:F5696"/>
    <mergeCell ref="D5697:F5697"/>
    <mergeCell ref="D5698:F5698"/>
    <mergeCell ref="D5699:F5699"/>
    <mergeCell ref="D5700:F5700"/>
    <mergeCell ref="D5689:F5689"/>
    <mergeCell ref="D5690:F5690"/>
    <mergeCell ref="D5691:F5691"/>
    <mergeCell ref="D5692:F5692"/>
    <mergeCell ref="D5693:F5693"/>
    <mergeCell ref="D5694:F5694"/>
    <mergeCell ref="D5683:F5683"/>
    <mergeCell ref="D5684:F5684"/>
    <mergeCell ref="D5685:F5685"/>
    <mergeCell ref="D5686:F5686"/>
    <mergeCell ref="D5687:F5687"/>
    <mergeCell ref="D5688:F5688"/>
    <mergeCell ref="D5677:F5677"/>
    <mergeCell ref="D5678:F5678"/>
    <mergeCell ref="D5679:F5679"/>
    <mergeCell ref="D5680:F5680"/>
    <mergeCell ref="D5681:F5681"/>
    <mergeCell ref="D5682:F5682"/>
    <mergeCell ref="D5671:F5671"/>
    <mergeCell ref="D5672:F5672"/>
    <mergeCell ref="D5673:F5673"/>
    <mergeCell ref="D5674:F5674"/>
    <mergeCell ref="D5675:F5675"/>
    <mergeCell ref="D5676:F5676"/>
    <mergeCell ref="D5737:F5737"/>
    <mergeCell ref="D5738:F5738"/>
    <mergeCell ref="D5739:F5739"/>
    <mergeCell ref="D5740:F5740"/>
    <mergeCell ref="D5741:F5741"/>
    <mergeCell ref="D5742:F5742"/>
    <mergeCell ref="D5731:F5731"/>
    <mergeCell ref="D5732:F5732"/>
    <mergeCell ref="D5733:F5733"/>
    <mergeCell ref="D5734:F5734"/>
    <mergeCell ref="D5735:F5735"/>
    <mergeCell ref="D5736:F5736"/>
    <mergeCell ref="D5725:F5725"/>
    <mergeCell ref="D5726:F5726"/>
    <mergeCell ref="D5727:F5727"/>
    <mergeCell ref="D5728:F5728"/>
    <mergeCell ref="D5729:F5729"/>
    <mergeCell ref="D5730:F5730"/>
    <mergeCell ref="D5719:F5719"/>
    <mergeCell ref="D5720:F5720"/>
    <mergeCell ref="D5721:F5721"/>
    <mergeCell ref="D5722:F5722"/>
    <mergeCell ref="D5723:F5723"/>
    <mergeCell ref="D5724:F5724"/>
    <mergeCell ref="D5713:F5713"/>
    <mergeCell ref="D5714:F5714"/>
    <mergeCell ref="D5715:F5715"/>
    <mergeCell ref="D5716:F5716"/>
    <mergeCell ref="D5717:F5717"/>
    <mergeCell ref="D5718:F5718"/>
    <mergeCell ref="D5707:F5707"/>
    <mergeCell ref="D5708:F5708"/>
    <mergeCell ref="D5709:F5709"/>
    <mergeCell ref="D5710:F5710"/>
    <mergeCell ref="D5711:F5711"/>
    <mergeCell ref="D5712:F5712"/>
    <mergeCell ref="D5773:F5773"/>
    <mergeCell ref="D5774:F5774"/>
    <mergeCell ref="D5775:F5775"/>
    <mergeCell ref="D5776:F5776"/>
    <mergeCell ref="D5777:F5777"/>
    <mergeCell ref="D5778:F5778"/>
    <mergeCell ref="D5767:F5767"/>
    <mergeCell ref="D5768:F5768"/>
    <mergeCell ref="D5769:F5769"/>
    <mergeCell ref="D5770:F5770"/>
    <mergeCell ref="D5771:F5771"/>
    <mergeCell ref="D5772:F5772"/>
    <mergeCell ref="D5761:F5761"/>
    <mergeCell ref="D5762:F5762"/>
    <mergeCell ref="D5763:F5763"/>
    <mergeCell ref="D5764:F5764"/>
    <mergeCell ref="D5765:F5765"/>
    <mergeCell ref="D5766:F5766"/>
    <mergeCell ref="D5755:F5755"/>
    <mergeCell ref="D5756:F5756"/>
    <mergeCell ref="D5757:F5757"/>
    <mergeCell ref="D5758:F5758"/>
    <mergeCell ref="D5759:F5759"/>
    <mergeCell ref="D5760:F5760"/>
    <mergeCell ref="D5749:F5749"/>
    <mergeCell ref="D5750:F5750"/>
    <mergeCell ref="D5751:F5751"/>
    <mergeCell ref="D5752:F5752"/>
    <mergeCell ref="D5753:F5753"/>
    <mergeCell ref="D5754:F5754"/>
    <mergeCell ref="D5743:F5743"/>
    <mergeCell ref="D5744:F5744"/>
    <mergeCell ref="D5745:F5745"/>
    <mergeCell ref="D5746:F5746"/>
    <mergeCell ref="D5747:F5747"/>
    <mergeCell ref="D5748:F5748"/>
    <mergeCell ref="D5809:F5809"/>
    <mergeCell ref="D5810:F5810"/>
    <mergeCell ref="D5811:F5811"/>
    <mergeCell ref="D5812:F5812"/>
    <mergeCell ref="D5813:F5813"/>
    <mergeCell ref="D5814:F5814"/>
    <mergeCell ref="D5803:F5803"/>
    <mergeCell ref="D5804:F5804"/>
    <mergeCell ref="D5805:F5805"/>
    <mergeCell ref="D5806:F5806"/>
    <mergeCell ref="D5807:F5807"/>
    <mergeCell ref="D5808:F5808"/>
    <mergeCell ref="D5797:F5797"/>
    <mergeCell ref="D5798:F5798"/>
    <mergeCell ref="D5799:F5799"/>
    <mergeCell ref="D5800:F5800"/>
    <mergeCell ref="D5801:F5801"/>
    <mergeCell ref="D5802:F5802"/>
    <mergeCell ref="D5791:F5791"/>
    <mergeCell ref="D5792:F5792"/>
    <mergeCell ref="D5793:F5793"/>
    <mergeCell ref="D5794:F5794"/>
    <mergeCell ref="D5795:F5795"/>
    <mergeCell ref="D5796:F5796"/>
    <mergeCell ref="D5785:F5785"/>
    <mergeCell ref="D5786:F5786"/>
    <mergeCell ref="D5787:F5787"/>
    <mergeCell ref="D5788:F5788"/>
    <mergeCell ref="D5789:F5789"/>
    <mergeCell ref="D5790:F5790"/>
    <mergeCell ref="D5779:F5779"/>
    <mergeCell ref="D5780:F5780"/>
    <mergeCell ref="D5781:F5781"/>
    <mergeCell ref="D5782:F5782"/>
    <mergeCell ref="D5783:F5783"/>
    <mergeCell ref="D5784:F5784"/>
    <mergeCell ref="D5845:F5845"/>
    <mergeCell ref="D5846:F5846"/>
    <mergeCell ref="D5847:F5847"/>
    <mergeCell ref="D5848:F5848"/>
    <mergeCell ref="D5849:F5849"/>
    <mergeCell ref="D5850:F5850"/>
    <mergeCell ref="D5839:F5839"/>
    <mergeCell ref="D5840:F5840"/>
    <mergeCell ref="D5841:F5841"/>
    <mergeCell ref="D5842:F5842"/>
    <mergeCell ref="D5843:F5843"/>
    <mergeCell ref="D5844:F5844"/>
    <mergeCell ref="D5833:F5833"/>
    <mergeCell ref="D5834:F5834"/>
    <mergeCell ref="D5835:F5835"/>
    <mergeCell ref="D5836:F5836"/>
    <mergeCell ref="D5837:F5837"/>
    <mergeCell ref="D5838:F5838"/>
    <mergeCell ref="D5827:F5827"/>
    <mergeCell ref="D5828:F5828"/>
    <mergeCell ref="D5829:F5829"/>
    <mergeCell ref="D5830:F5830"/>
    <mergeCell ref="D5831:F5831"/>
    <mergeCell ref="D5832:F5832"/>
    <mergeCell ref="D5821:F5821"/>
    <mergeCell ref="D5822:F5822"/>
    <mergeCell ref="D5823:F5823"/>
    <mergeCell ref="D5824:F5824"/>
    <mergeCell ref="D5825:F5825"/>
    <mergeCell ref="D5826:F5826"/>
    <mergeCell ref="D5815:F5815"/>
    <mergeCell ref="D5816:F5816"/>
    <mergeCell ref="D5817:F5817"/>
    <mergeCell ref="D5818:F5818"/>
    <mergeCell ref="D5819:F5819"/>
    <mergeCell ref="D5820:F5820"/>
    <mergeCell ref="D5881:F5881"/>
    <mergeCell ref="D5882:F5882"/>
    <mergeCell ref="D5883:F5883"/>
    <mergeCell ref="D5884:F5884"/>
    <mergeCell ref="D5885:F5885"/>
    <mergeCell ref="D5886:F5886"/>
    <mergeCell ref="D5875:F5875"/>
    <mergeCell ref="D5876:F5876"/>
    <mergeCell ref="D5877:F5877"/>
    <mergeCell ref="D5878:F5878"/>
    <mergeCell ref="D5879:F5879"/>
    <mergeCell ref="D5880:F5880"/>
    <mergeCell ref="D5869:F5869"/>
    <mergeCell ref="D5870:F5870"/>
    <mergeCell ref="D5871:F5871"/>
    <mergeCell ref="D5872:F5872"/>
    <mergeCell ref="D5873:F5873"/>
    <mergeCell ref="D5874:F5874"/>
    <mergeCell ref="D5863:F5863"/>
    <mergeCell ref="D5864:F5864"/>
    <mergeCell ref="D5865:F5865"/>
    <mergeCell ref="D5866:F5866"/>
    <mergeCell ref="D5867:F5867"/>
    <mergeCell ref="D5868:F5868"/>
    <mergeCell ref="D5857:F5857"/>
    <mergeCell ref="D5858:F5858"/>
    <mergeCell ref="D5859:F5859"/>
    <mergeCell ref="D5860:F5860"/>
    <mergeCell ref="D5861:F5861"/>
    <mergeCell ref="D5862:F5862"/>
    <mergeCell ref="D5851:F5851"/>
    <mergeCell ref="D5852:F5852"/>
    <mergeCell ref="D5853:F5853"/>
    <mergeCell ref="D5854:F5854"/>
    <mergeCell ref="D5855:F5855"/>
    <mergeCell ref="D5856:F5856"/>
    <mergeCell ref="D5917:F5917"/>
    <mergeCell ref="D5918:F5918"/>
    <mergeCell ref="D5919:F5919"/>
    <mergeCell ref="D5920:F5920"/>
    <mergeCell ref="D5921:F5921"/>
    <mergeCell ref="D5922:F5922"/>
    <mergeCell ref="D5911:F5911"/>
    <mergeCell ref="D5912:F5912"/>
    <mergeCell ref="D5913:F5913"/>
    <mergeCell ref="D5914:F5914"/>
    <mergeCell ref="D5915:F5915"/>
    <mergeCell ref="D5916:F5916"/>
    <mergeCell ref="D5905:F5905"/>
    <mergeCell ref="D5906:F5906"/>
    <mergeCell ref="D5907:F5907"/>
    <mergeCell ref="D5908:F5908"/>
    <mergeCell ref="D5909:F5909"/>
    <mergeCell ref="D5910:F5910"/>
    <mergeCell ref="D5899:F5899"/>
    <mergeCell ref="D5900:F5900"/>
    <mergeCell ref="D5901:F5901"/>
    <mergeCell ref="D5902:F5902"/>
    <mergeCell ref="D5903:F5903"/>
    <mergeCell ref="D5904:F5904"/>
    <mergeCell ref="D5893:F5893"/>
    <mergeCell ref="D5894:F5894"/>
    <mergeCell ref="D5895:F5895"/>
    <mergeCell ref="D5896:F5896"/>
    <mergeCell ref="D5897:F5897"/>
    <mergeCell ref="D5898:F5898"/>
    <mergeCell ref="D5887:F5887"/>
    <mergeCell ref="D5888:F5888"/>
    <mergeCell ref="D5889:F5889"/>
    <mergeCell ref="D5890:F5890"/>
    <mergeCell ref="D5891:F5891"/>
    <mergeCell ref="D5892:F5892"/>
    <mergeCell ref="D5953:F5953"/>
    <mergeCell ref="D5954:F5954"/>
    <mergeCell ref="D5955:F5955"/>
    <mergeCell ref="D5956:F5956"/>
    <mergeCell ref="D5957:F5957"/>
    <mergeCell ref="D5958:F5958"/>
    <mergeCell ref="D5947:F5947"/>
    <mergeCell ref="D5948:F5948"/>
    <mergeCell ref="D5949:F5949"/>
    <mergeCell ref="D5950:F5950"/>
    <mergeCell ref="D5951:F5951"/>
    <mergeCell ref="D5952:F5952"/>
    <mergeCell ref="D5941:F5941"/>
    <mergeCell ref="D5942:F5942"/>
    <mergeCell ref="D5943:F5943"/>
    <mergeCell ref="D5944:F5944"/>
    <mergeCell ref="D5945:F5945"/>
    <mergeCell ref="D5946:F5946"/>
    <mergeCell ref="D5935:F5935"/>
    <mergeCell ref="D5936:F5936"/>
    <mergeCell ref="D5937:F5937"/>
    <mergeCell ref="D5938:F5938"/>
    <mergeCell ref="D5939:F5939"/>
    <mergeCell ref="D5940:F5940"/>
    <mergeCell ref="D5929:F5929"/>
    <mergeCell ref="D5930:F5930"/>
    <mergeCell ref="D5931:F5931"/>
    <mergeCell ref="D5932:F5932"/>
    <mergeCell ref="D5933:F5933"/>
    <mergeCell ref="D5934:F5934"/>
    <mergeCell ref="D5923:F5923"/>
    <mergeCell ref="D5924:F5924"/>
    <mergeCell ref="D5925:F5925"/>
    <mergeCell ref="D5926:F5926"/>
    <mergeCell ref="D5927:F5927"/>
    <mergeCell ref="D5928:F5928"/>
    <mergeCell ref="D5989:F5989"/>
    <mergeCell ref="D5990:F5990"/>
    <mergeCell ref="D5991:F5991"/>
    <mergeCell ref="D5992:F5992"/>
    <mergeCell ref="D5993:F5993"/>
    <mergeCell ref="D5994:F5994"/>
    <mergeCell ref="D5983:F5983"/>
    <mergeCell ref="D5984:F5984"/>
    <mergeCell ref="D5985:F5985"/>
    <mergeCell ref="D5986:F5986"/>
    <mergeCell ref="D5987:F5987"/>
    <mergeCell ref="D5988:F5988"/>
    <mergeCell ref="D5977:F5977"/>
    <mergeCell ref="D5978:F5978"/>
    <mergeCell ref="D5979:F5979"/>
    <mergeCell ref="D5980:F5980"/>
    <mergeCell ref="D5981:F5981"/>
    <mergeCell ref="D5982:F5982"/>
    <mergeCell ref="D5971:F5971"/>
    <mergeCell ref="D5972:F5972"/>
    <mergeCell ref="D5973:F5973"/>
    <mergeCell ref="D5974:F5974"/>
    <mergeCell ref="D5975:F5975"/>
    <mergeCell ref="D5976:F5976"/>
    <mergeCell ref="D5965:F5965"/>
    <mergeCell ref="D5966:F5966"/>
    <mergeCell ref="D5967:F5967"/>
    <mergeCell ref="D5968:F5968"/>
    <mergeCell ref="D5969:F5969"/>
    <mergeCell ref="D5970:F5970"/>
    <mergeCell ref="D5959:F5959"/>
    <mergeCell ref="D5960:F5960"/>
    <mergeCell ref="D5961:F5961"/>
    <mergeCell ref="D5962:F5962"/>
    <mergeCell ref="D5963:F5963"/>
    <mergeCell ref="D5964:F5964"/>
    <mergeCell ref="D6025:F6025"/>
    <mergeCell ref="D6026:F6026"/>
    <mergeCell ref="D6027:F6027"/>
    <mergeCell ref="D6028:F6028"/>
    <mergeCell ref="D6029:F6029"/>
    <mergeCell ref="D6030:F6030"/>
    <mergeCell ref="D6019:F6019"/>
    <mergeCell ref="D6020:F6020"/>
    <mergeCell ref="D6021:F6021"/>
    <mergeCell ref="D6022:F6022"/>
    <mergeCell ref="D6023:F6023"/>
    <mergeCell ref="D6024:F6024"/>
    <mergeCell ref="D6013:F6013"/>
    <mergeCell ref="D6014:F6014"/>
    <mergeCell ref="D6015:F6015"/>
    <mergeCell ref="D6016:F6016"/>
    <mergeCell ref="D6017:F6017"/>
    <mergeCell ref="D6018:F6018"/>
    <mergeCell ref="D6007:F6007"/>
    <mergeCell ref="D6008:F6008"/>
    <mergeCell ref="D6009:F6009"/>
    <mergeCell ref="D6010:F6010"/>
    <mergeCell ref="D6011:F6011"/>
    <mergeCell ref="D6012:F6012"/>
    <mergeCell ref="D6001:F6001"/>
    <mergeCell ref="D6002:F6002"/>
    <mergeCell ref="D6003:F6003"/>
    <mergeCell ref="D6004:F6004"/>
    <mergeCell ref="D6005:F6005"/>
    <mergeCell ref="D6006:F6006"/>
    <mergeCell ref="D5995:F5995"/>
    <mergeCell ref="D5996:F5996"/>
    <mergeCell ref="D5997:F5997"/>
    <mergeCell ref="D5998:F5998"/>
    <mergeCell ref="D5999:F5999"/>
    <mergeCell ref="D6000:F6000"/>
    <mergeCell ref="D6061:F6061"/>
    <mergeCell ref="D6062:F6062"/>
    <mergeCell ref="D6063:F6063"/>
    <mergeCell ref="D6064:F6064"/>
    <mergeCell ref="D6065:F6065"/>
    <mergeCell ref="D6066:F6066"/>
    <mergeCell ref="D6055:F6055"/>
    <mergeCell ref="D6056:F6056"/>
    <mergeCell ref="D6057:F6057"/>
    <mergeCell ref="D6058:F6058"/>
    <mergeCell ref="D6059:F6059"/>
    <mergeCell ref="D6060:F6060"/>
    <mergeCell ref="D6049:F6049"/>
    <mergeCell ref="D6050:F6050"/>
    <mergeCell ref="D6051:F6051"/>
    <mergeCell ref="D6052:F6052"/>
    <mergeCell ref="D6053:F6053"/>
    <mergeCell ref="D6054:F6054"/>
    <mergeCell ref="D6043:F6043"/>
    <mergeCell ref="D6044:F6044"/>
    <mergeCell ref="D6045:F6045"/>
    <mergeCell ref="D6046:F6046"/>
    <mergeCell ref="D6047:F6047"/>
    <mergeCell ref="D6048:F6048"/>
    <mergeCell ref="D6037:F6037"/>
    <mergeCell ref="D6038:F6038"/>
    <mergeCell ref="D6039:F6039"/>
    <mergeCell ref="D6040:F6040"/>
    <mergeCell ref="D6041:F6041"/>
    <mergeCell ref="D6042:F6042"/>
    <mergeCell ref="D6031:F6031"/>
    <mergeCell ref="D6032:F6032"/>
    <mergeCell ref="D6033:F6033"/>
    <mergeCell ref="D6034:F6034"/>
    <mergeCell ref="D6035:F6035"/>
    <mergeCell ref="D6036:F6036"/>
    <mergeCell ref="D6097:F6097"/>
    <mergeCell ref="D6098:F6098"/>
    <mergeCell ref="D6099:F6099"/>
    <mergeCell ref="D6100:F6100"/>
    <mergeCell ref="D6101:F6101"/>
    <mergeCell ref="D6102:F6102"/>
    <mergeCell ref="D6091:F6091"/>
    <mergeCell ref="D6092:F6092"/>
    <mergeCell ref="D6093:F6093"/>
    <mergeCell ref="D6094:F6094"/>
    <mergeCell ref="D6095:F6095"/>
    <mergeCell ref="D6096:F6096"/>
    <mergeCell ref="D6085:F6085"/>
    <mergeCell ref="D6086:F6086"/>
    <mergeCell ref="D6087:F6087"/>
    <mergeCell ref="D6088:F6088"/>
    <mergeCell ref="D6089:F6089"/>
    <mergeCell ref="D6090:F6090"/>
    <mergeCell ref="D6079:F6079"/>
    <mergeCell ref="D6080:F6080"/>
    <mergeCell ref="D6081:F6081"/>
    <mergeCell ref="D6082:F6082"/>
    <mergeCell ref="D6083:F6083"/>
    <mergeCell ref="D6084:F6084"/>
    <mergeCell ref="D6073:F6073"/>
    <mergeCell ref="D6074:F6074"/>
    <mergeCell ref="D6075:F6075"/>
    <mergeCell ref="D6076:F6076"/>
    <mergeCell ref="D6077:F6077"/>
    <mergeCell ref="D6078:F6078"/>
    <mergeCell ref="D6067:F6067"/>
    <mergeCell ref="D6068:F6068"/>
    <mergeCell ref="D6069:F6069"/>
    <mergeCell ref="D6070:F6070"/>
    <mergeCell ref="D6071:F6071"/>
    <mergeCell ref="D6072:F6072"/>
    <mergeCell ref="D6133:F6133"/>
    <mergeCell ref="D6134:F6134"/>
    <mergeCell ref="D6135:F6135"/>
    <mergeCell ref="D6136:F6136"/>
    <mergeCell ref="D6137:F6137"/>
    <mergeCell ref="D6138:F6138"/>
    <mergeCell ref="D6127:F6127"/>
    <mergeCell ref="D6128:F6128"/>
    <mergeCell ref="D6129:F6129"/>
    <mergeCell ref="D6130:F6130"/>
    <mergeCell ref="D6131:F6131"/>
    <mergeCell ref="D6132:F6132"/>
    <mergeCell ref="D6121:F6121"/>
    <mergeCell ref="D6122:F6122"/>
    <mergeCell ref="D6123:F6123"/>
    <mergeCell ref="D6124:F6124"/>
    <mergeCell ref="D6125:F6125"/>
    <mergeCell ref="D6126:F6126"/>
    <mergeCell ref="D6115:F6115"/>
    <mergeCell ref="D6116:F6116"/>
    <mergeCell ref="D6117:F6117"/>
    <mergeCell ref="D6118:F6118"/>
    <mergeCell ref="D6119:F6119"/>
    <mergeCell ref="D6120:F6120"/>
    <mergeCell ref="D6109:F6109"/>
    <mergeCell ref="D6110:F6110"/>
    <mergeCell ref="D6111:F6111"/>
    <mergeCell ref="D6112:F6112"/>
    <mergeCell ref="D6113:F6113"/>
    <mergeCell ref="D6114:F6114"/>
    <mergeCell ref="D6103:F6103"/>
    <mergeCell ref="D6104:F6104"/>
    <mergeCell ref="D6105:F6105"/>
    <mergeCell ref="D6106:F6106"/>
    <mergeCell ref="D6107:F6107"/>
    <mergeCell ref="D6108:F6108"/>
    <mergeCell ref="D6169:F6169"/>
    <mergeCell ref="D6170:F6170"/>
    <mergeCell ref="D6171:F6171"/>
    <mergeCell ref="D6172:F6172"/>
    <mergeCell ref="D6173:F6173"/>
    <mergeCell ref="D6174:F6174"/>
    <mergeCell ref="D6163:F6163"/>
    <mergeCell ref="D6164:F6164"/>
    <mergeCell ref="D6165:F6165"/>
    <mergeCell ref="D6166:F6166"/>
    <mergeCell ref="D6167:F6167"/>
    <mergeCell ref="D6168:F6168"/>
    <mergeCell ref="D6157:F6157"/>
    <mergeCell ref="D6158:F6158"/>
    <mergeCell ref="D6159:F6159"/>
    <mergeCell ref="D6160:F6160"/>
    <mergeCell ref="D6161:F6161"/>
    <mergeCell ref="D6162:F6162"/>
    <mergeCell ref="D6151:F6151"/>
    <mergeCell ref="D6152:F6152"/>
    <mergeCell ref="D6153:F6153"/>
    <mergeCell ref="D6154:F6154"/>
    <mergeCell ref="D6155:F6155"/>
    <mergeCell ref="D6156:F6156"/>
    <mergeCell ref="D6145:F6145"/>
    <mergeCell ref="D6146:F6146"/>
    <mergeCell ref="D6147:F6147"/>
    <mergeCell ref="D6148:F6148"/>
    <mergeCell ref="D6149:F6149"/>
    <mergeCell ref="D6150:F6150"/>
    <mergeCell ref="D6139:F6139"/>
    <mergeCell ref="D6140:F6140"/>
    <mergeCell ref="D6141:F6141"/>
    <mergeCell ref="D6142:F6142"/>
    <mergeCell ref="D6143:F6143"/>
    <mergeCell ref="D6144:F6144"/>
    <mergeCell ref="D6205:F6205"/>
    <mergeCell ref="D6206:F6206"/>
    <mergeCell ref="D6207:F6207"/>
    <mergeCell ref="D6208:F6208"/>
    <mergeCell ref="D6209:F6209"/>
    <mergeCell ref="D6210:F6210"/>
    <mergeCell ref="D6199:F6199"/>
    <mergeCell ref="D6200:F6200"/>
    <mergeCell ref="D6201:F6201"/>
    <mergeCell ref="D6202:F6202"/>
    <mergeCell ref="D6203:F6203"/>
    <mergeCell ref="D6204:F6204"/>
    <mergeCell ref="D6193:F6193"/>
    <mergeCell ref="D6194:F6194"/>
    <mergeCell ref="D6195:F6195"/>
    <mergeCell ref="D6196:F6196"/>
    <mergeCell ref="D6197:F6197"/>
    <mergeCell ref="D6198:F6198"/>
    <mergeCell ref="D6187:F6187"/>
    <mergeCell ref="D6188:F6188"/>
    <mergeCell ref="D6189:F6189"/>
    <mergeCell ref="D6190:F6190"/>
    <mergeCell ref="D6191:F6191"/>
    <mergeCell ref="D6192:F6192"/>
    <mergeCell ref="D6181:F6181"/>
    <mergeCell ref="D6182:F6182"/>
    <mergeCell ref="D6183:F6183"/>
    <mergeCell ref="D6184:F6184"/>
    <mergeCell ref="D6185:F6185"/>
    <mergeCell ref="D6186:F6186"/>
    <mergeCell ref="D6175:F6175"/>
    <mergeCell ref="D6176:F6176"/>
    <mergeCell ref="D6177:F6177"/>
    <mergeCell ref="D6178:F6178"/>
    <mergeCell ref="D6179:F6179"/>
    <mergeCell ref="D6180:F6180"/>
    <mergeCell ref="D6241:F6241"/>
    <mergeCell ref="D6242:F6242"/>
    <mergeCell ref="D6243:F6243"/>
    <mergeCell ref="D6244:F6244"/>
    <mergeCell ref="D6245:F6245"/>
    <mergeCell ref="D6246:F6246"/>
    <mergeCell ref="D6235:F6235"/>
    <mergeCell ref="D6236:F6236"/>
    <mergeCell ref="D6237:F6237"/>
    <mergeCell ref="D6238:F6238"/>
    <mergeCell ref="D6239:F6239"/>
    <mergeCell ref="D6240:F6240"/>
    <mergeCell ref="D6229:F6229"/>
    <mergeCell ref="D6230:F6230"/>
    <mergeCell ref="D6231:F6231"/>
    <mergeCell ref="D6232:F6232"/>
    <mergeCell ref="D6233:F6233"/>
    <mergeCell ref="D6234:F6234"/>
    <mergeCell ref="D6223:F6223"/>
    <mergeCell ref="D6224:F6224"/>
    <mergeCell ref="D6225:F6225"/>
    <mergeCell ref="D6226:F6226"/>
    <mergeCell ref="D6227:F6227"/>
    <mergeCell ref="D6228:F6228"/>
    <mergeCell ref="D6217:F6217"/>
    <mergeCell ref="D6218:F6218"/>
    <mergeCell ref="D6219:F6219"/>
    <mergeCell ref="D6220:F6220"/>
    <mergeCell ref="D6221:F6221"/>
    <mergeCell ref="D6222:F6222"/>
    <mergeCell ref="D6211:F6211"/>
    <mergeCell ref="D6212:F6212"/>
    <mergeCell ref="D6213:F6213"/>
    <mergeCell ref="D6214:F6214"/>
    <mergeCell ref="D6215:F6215"/>
    <mergeCell ref="D6216:F6216"/>
    <mergeCell ref="D6277:F6277"/>
    <mergeCell ref="D6278:F6278"/>
    <mergeCell ref="D6279:F6279"/>
    <mergeCell ref="D6280:F6280"/>
    <mergeCell ref="D6281:F6281"/>
    <mergeCell ref="D6282:F6282"/>
    <mergeCell ref="D6271:F6271"/>
    <mergeCell ref="D6272:F6272"/>
    <mergeCell ref="D6273:F6273"/>
    <mergeCell ref="D6274:F6274"/>
    <mergeCell ref="D6275:F6275"/>
    <mergeCell ref="D6276:F6276"/>
    <mergeCell ref="D6265:F6265"/>
    <mergeCell ref="D6266:F6266"/>
    <mergeCell ref="D6267:F6267"/>
    <mergeCell ref="D6268:F6268"/>
    <mergeCell ref="D6269:F6269"/>
    <mergeCell ref="D6270:F6270"/>
    <mergeCell ref="D6259:F6259"/>
    <mergeCell ref="D6260:F6260"/>
    <mergeCell ref="D6261:F6261"/>
    <mergeCell ref="D6262:F6262"/>
    <mergeCell ref="D6263:F6263"/>
    <mergeCell ref="D6264:F6264"/>
    <mergeCell ref="D6253:F6253"/>
    <mergeCell ref="D6254:F6254"/>
    <mergeCell ref="D6255:F6255"/>
    <mergeCell ref="D6256:F6256"/>
    <mergeCell ref="D6257:F6257"/>
    <mergeCell ref="D6258:F6258"/>
    <mergeCell ref="D6247:F6247"/>
    <mergeCell ref="D6248:F6248"/>
    <mergeCell ref="D6249:F6249"/>
    <mergeCell ref="D6250:F6250"/>
    <mergeCell ref="D6251:F6251"/>
    <mergeCell ref="D6252:F6252"/>
    <mergeCell ref="D6313:F6313"/>
    <mergeCell ref="D6314:F6314"/>
    <mergeCell ref="D6315:F6315"/>
    <mergeCell ref="D6316:F6316"/>
    <mergeCell ref="D6317:F6317"/>
    <mergeCell ref="D6318:F6318"/>
    <mergeCell ref="D6307:F6307"/>
    <mergeCell ref="D6308:F6308"/>
    <mergeCell ref="D6309:F6309"/>
    <mergeCell ref="D6310:F6310"/>
    <mergeCell ref="D6311:F6311"/>
    <mergeCell ref="D6312:F6312"/>
    <mergeCell ref="D6301:F6301"/>
    <mergeCell ref="D6302:F6302"/>
    <mergeCell ref="D6303:F6303"/>
    <mergeCell ref="D6304:F6304"/>
    <mergeCell ref="D6305:F6305"/>
    <mergeCell ref="D6306:F6306"/>
    <mergeCell ref="D6295:F6295"/>
    <mergeCell ref="D6296:F6296"/>
    <mergeCell ref="D6297:F6297"/>
    <mergeCell ref="D6298:F6298"/>
    <mergeCell ref="D6299:F6299"/>
    <mergeCell ref="D6300:F6300"/>
    <mergeCell ref="D6289:F6289"/>
    <mergeCell ref="D6290:F6290"/>
    <mergeCell ref="D6291:F6291"/>
    <mergeCell ref="D6292:F6292"/>
    <mergeCell ref="D6293:F6293"/>
    <mergeCell ref="D6294:F6294"/>
    <mergeCell ref="D6283:F6283"/>
    <mergeCell ref="D6284:F6284"/>
    <mergeCell ref="D6285:F6285"/>
    <mergeCell ref="D6286:F6286"/>
    <mergeCell ref="D6287:F6287"/>
    <mergeCell ref="D6288:F6288"/>
    <mergeCell ref="D6349:F6349"/>
    <mergeCell ref="D6350:F6350"/>
    <mergeCell ref="D6351:F6351"/>
    <mergeCell ref="D6352:F6352"/>
    <mergeCell ref="D6353:F6353"/>
    <mergeCell ref="D6354:F6354"/>
    <mergeCell ref="D6343:F6343"/>
    <mergeCell ref="D6344:F6344"/>
    <mergeCell ref="D6345:F6345"/>
    <mergeCell ref="D6346:F6346"/>
    <mergeCell ref="D6347:F6347"/>
    <mergeCell ref="D6348:F6348"/>
    <mergeCell ref="D6337:F6337"/>
    <mergeCell ref="D6338:F6338"/>
    <mergeCell ref="D6339:F6339"/>
    <mergeCell ref="D6340:F6340"/>
    <mergeCell ref="D6341:F6341"/>
    <mergeCell ref="D6342:F6342"/>
    <mergeCell ref="D6331:F6331"/>
    <mergeCell ref="D6332:F6332"/>
    <mergeCell ref="D6333:F6333"/>
    <mergeCell ref="D6334:F6334"/>
    <mergeCell ref="D6335:F6335"/>
    <mergeCell ref="D6336:F6336"/>
    <mergeCell ref="D6325:F6325"/>
    <mergeCell ref="D6326:F6326"/>
    <mergeCell ref="D6327:F6327"/>
    <mergeCell ref="D6328:F6328"/>
    <mergeCell ref="D6329:F6329"/>
    <mergeCell ref="D6330:F6330"/>
    <mergeCell ref="D6319:F6319"/>
    <mergeCell ref="D6320:F6320"/>
    <mergeCell ref="D6321:F6321"/>
    <mergeCell ref="D6322:F6322"/>
    <mergeCell ref="D6323:F6323"/>
    <mergeCell ref="D6324:F6324"/>
    <mergeCell ref="D6385:F6385"/>
    <mergeCell ref="D6386:F6386"/>
    <mergeCell ref="D6387:F6387"/>
    <mergeCell ref="D6388:F6388"/>
    <mergeCell ref="D6389:F6389"/>
    <mergeCell ref="D6390:F6390"/>
    <mergeCell ref="D6379:F6379"/>
    <mergeCell ref="D6380:F6380"/>
    <mergeCell ref="D6381:F6381"/>
    <mergeCell ref="D6382:F6382"/>
    <mergeCell ref="D6383:F6383"/>
    <mergeCell ref="D6384:F6384"/>
    <mergeCell ref="D6373:F6373"/>
    <mergeCell ref="D6374:F6374"/>
    <mergeCell ref="D6375:F6375"/>
    <mergeCell ref="D6376:F6376"/>
    <mergeCell ref="D6377:F6377"/>
    <mergeCell ref="D6378:F6378"/>
    <mergeCell ref="D6367:F6367"/>
    <mergeCell ref="D6368:F6368"/>
    <mergeCell ref="D6369:F6369"/>
    <mergeCell ref="D6370:F6370"/>
    <mergeCell ref="D6371:F6371"/>
    <mergeCell ref="D6372:F6372"/>
    <mergeCell ref="D6361:F6361"/>
    <mergeCell ref="D6362:F6362"/>
    <mergeCell ref="D6363:F6363"/>
    <mergeCell ref="D6364:F6364"/>
    <mergeCell ref="D6365:F6365"/>
    <mergeCell ref="D6366:F6366"/>
    <mergeCell ref="D6355:F6355"/>
    <mergeCell ref="D6356:F6356"/>
    <mergeCell ref="D6357:F6357"/>
    <mergeCell ref="D6358:F6358"/>
    <mergeCell ref="D6359:F6359"/>
    <mergeCell ref="D6360:F6360"/>
    <mergeCell ref="D6421:F6421"/>
    <mergeCell ref="D6422:F6422"/>
    <mergeCell ref="D6423:F6423"/>
    <mergeCell ref="D6424:F6424"/>
    <mergeCell ref="D6425:F6425"/>
    <mergeCell ref="D6426:F6426"/>
    <mergeCell ref="D6415:F6415"/>
    <mergeCell ref="D6416:F6416"/>
    <mergeCell ref="D6417:F6417"/>
    <mergeCell ref="D6418:F6418"/>
    <mergeCell ref="D6419:F6419"/>
    <mergeCell ref="D6420:F6420"/>
    <mergeCell ref="D6409:F6409"/>
    <mergeCell ref="D6410:F6410"/>
    <mergeCell ref="D6411:F6411"/>
    <mergeCell ref="D6412:F6412"/>
    <mergeCell ref="D6413:F6413"/>
    <mergeCell ref="D6414:F6414"/>
    <mergeCell ref="D6403:F6403"/>
    <mergeCell ref="D6404:F6404"/>
    <mergeCell ref="D6405:F6405"/>
    <mergeCell ref="D6406:F6406"/>
    <mergeCell ref="D6407:F6407"/>
    <mergeCell ref="D6408:F6408"/>
    <mergeCell ref="D6397:F6397"/>
    <mergeCell ref="D6398:F6398"/>
    <mergeCell ref="D6399:F6399"/>
    <mergeCell ref="D6400:F6400"/>
    <mergeCell ref="D6401:F6401"/>
    <mergeCell ref="D6402:F6402"/>
    <mergeCell ref="D6391:F6391"/>
    <mergeCell ref="D6392:F6392"/>
    <mergeCell ref="D6393:F6393"/>
    <mergeCell ref="D6394:F6394"/>
    <mergeCell ref="D6395:F6395"/>
    <mergeCell ref="D6396:F6396"/>
    <mergeCell ref="D6457:F6457"/>
    <mergeCell ref="D6458:F6458"/>
    <mergeCell ref="D6459:F6459"/>
    <mergeCell ref="D6460:F6460"/>
    <mergeCell ref="D6461:F6461"/>
    <mergeCell ref="D6462:F6462"/>
    <mergeCell ref="D6451:F6451"/>
    <mergeCell ref="D6452:F6452"/>
    <mergeCell ref="D6453:F6453"/>
    <mergeCell ref="D6454:F6454"/>
    <mergeCell ref="D6455:F6455"/>
    <mergeCell ref="D6456:F6456"/>
    <mergeCell ref="D6445:F6445"/>
    <mergeCell ref="D6446:F6446"/>
    <mergeCell ref="D6447:F6447"/>
    <mergeCell ref="D6448:F6448"/>
    <mergeCell ref="D6449:F6449"/>
    <mergeCell ref="D6450:F6450"/>
    <mergeCell ref="D6439:F6439"/>
    <mergeCell ref="D6440:F6440"/>
    <mergeCell ref="D6441:F6441"/>
    <mergeCell ref="D6442:F6442"/>
    <mergeCell ref="D6443:F6443"/>
    <mergeCell ref="D6444:F6444"/>
    <mergeCell ref="D6433:F6433"/>
    <mergeCell ref="D6434:F6434"/>
    <mergeCell ref="D6435:F6435"/>
    <mergeCell ref="D6436:F6436"/>
    <mergeCell ref="D6437:F6437"/>
    <mergeCell ref="D6438:F6438"/>
    <mergeCell ref="D6427:F6427"/>
    <mergeCell ref="D6428:F6428"/>
    <mergeCell ref="D6429:F6429"/>
    <mergeCell ref="D6430:F6430"/>
    <mergeCell ref="D6431:F6431"/>
    <mergeCell ref="D6432:F6432"/>
    <mergeCell ref="D6493:F6493"/>
    <mergeCell ref="D6494:F6494"/>
    <mergeCell ref="D6495:F6495"/>
    <mergeCell ref="D6496:F6496"/>
    <mergeCell ref="D6497:F6497"/>
    <mergeCell ref="D6498:F6498"/>
    <mergeCell ref="D6487:F6487"/>
    <mergeCell ref="D6488:F6488"/>
    <mergeCell ref="D6489:F6489"/>
    <mergeCell ref="D6490:F6490"/>
    <mergeCell ref="D6491:F6491"/>
    <mergeCell ref="D6492:F6492"/>
    <mergeCell ref="D6481:F6481"/>
    <mergeCell ref="D6482:F6482"/>
    <mergeCell ref="D6483:F6483"/>
    <mergeCell ref="D6484:F6484"/>
    <mergeCell ref="D6485:F6485"/>
    <mergeCell ref="D6486:F6486"/>
    <mergeCell ref="D6475:F6475"/>
    <mergeCell ref="D6476:F6476"/>
    <mergeCell ref="D6477:F6477"/>
    <mergeCell ref="D6478:F6478"/>
    <mergeCell ref="D6479:F6479"/>
    <mergeCell ref="D6480:F6480"/>
    <mergeCell ref="D6469:F6469"/>
    <mergeCell ref="D6470:F6470"/>
    <mergeCell ref="D6471:F6471"/>
    <mergeCell ref="D6472:F6472"/>
    <mergeCell ref="D6473:F6473"/>
    <mergeCell ref="D6474:F6474"/>
    <mergeCell ref="D6463:F6463"/>
    <mergeCell ref="D6464:F6464"/>
    <mergeCell ref="D6465:F6465"/>
    <mergeCell ref="D6466:F6466"/>
    <mergeCell ref="D6467:F6467"/>
    <mergeCell ref="D6468:F6468"/>
    <mergeCell ref="D6529:F6529"/>
    <mergeCell ref="D6530:F6530"/>
    <mergeCell ref="D6531:F6531"/>
    <mergeCell ref="D6532:F6532"/>
    <mergeCell ref="D6533:F6533"/>
    <mergeCell ref="D6534:F6534"/>
    <mergeCell ref="D6523:F6523"/>
    <mergeCell ref="D6524:F6524"/>
    <mergeCell ref="D6525:F6525"/>
    <mergeCell ref="D6526:F6526"/>
    <mergeCell ref="D6527:F6527"/>
    <mergeCell ref="D6528:F6528"/>
    <mergeCell ref="D6517:F6517"/>
    <mergeCell ref="D6518:F6518"/>
    <mergeCell ref="D6519:F6519"/>
    <mergeCell ref="D6520:F6520"/>
    <mergeCell ref="D6521:F6521"/>
    <mergeCell ref="D6522:F6522"/>
    <mergeCell ref="D6511:F6511"/>
    <mergeCell ref="D6512:F6512"/>
    <mergeCell ref="D6513:F6513"/>
    <mergeCell ref="D6514:F6514"/>
    <mergeCell ref="D6515:F6515"/>
    <mergeCell ref="D6516:F6516"/>
    <mergeCell ref="D6505:F6505"/>
    <mergeCell ref="D6506:F6506"/>
    <mergeCell ref="D6507:F6507"/>
    <mergeCell ref="D6508:F6508"/>
    <mergeCell ref="D6509:F6509"/>
    <mergeCell ref="D6510:F6510"/>
    <mergeCell ref="D6499:F6499"/>
    <mergeCell ref="D6500:F6500"/>
    <mergeCell ref="D6501:F6501"/>
    <mergeCell ref="D6502:F6502"/>
    <mergeCell ref="D6503:F6503"/>
    <mergeCell ref="D6504:F6504"/>
    <mergeCell ref="D6565:F6565"/>
    <mergeCell ref="D6566:F6566"/>
    <mergeCell ref="D6567:F6567"/>
    <mergeCell ref="D6568:F6568"/>
    <mergeCell ref="D6569:F6569"/>
    <mergeCell ref="D6570:F6570"/>
    <mergeCell ref="D6559:F6559"/>
    <mergeCell ref="D6560:F6560"/>
    <mergeCell ref="D6561:F6561"/>
    <mergeCell ref="D6562:F6562"/>
    <mergeCell ref="D6563:F6563"/>
    <mergeCell ref="D6564:F6564"/>
    <mergeCell ref="D6553:F6553"/>
    <mergeCell ref="D6554:F6554"/>
    <mergeCell ref="D6555:F6555"/>
    <mergeCell ref="D6556:F6556"/>
    <mergeCell ref="D6557:F6557"/>
    <mergeCell ref="D6558:F6558"/>
    <mergeCell ref="D6547:F6547"/>
    <mergeCell ref="D6548:F6548"/>
    <mergeCell ref="D6549:F6549"/>
    <mergeCell ref="D6550:F6550"/>
    <mergeCell ref="D6551:F6551"/>
    <mergeCell ref="D6552:F6552"/>
    <mergeCell ref="D6541:F6541"/>
    <mergeCell ref="D6542:F6542"/>
    <mergeCell ref="D6543:F6543"/>
    <mergeCell ref="D6544:F6544"/>
    <mergeCell ref="D6545:F6545"/>
    <mergeCell ref="D6546:F6546"/>
    <mergeCell ref="D6535:F6535"/>
    <mergeCell ref="D6536:F6536"/>
    <mergeCell ref="D6537:F6537"/>
    <mergeCell ref="D6538:F6538"/>
    <mergeCell ref="D6539:F6539"/>
    <mergeCell ref="D6540:F6540"/>
    <mergeCell ref="D6601:F6601"/>
    <mergeCell ref="D6602:F6602"/>
    <mergeCell ref="D6603:F6603"/>
    <mergeCell ref="D6604:F6604"/>
    <mergeCell ref="D6605:F6605"/>
    <mergeCell ref="D6606:F6606"/>
    <mergeCell ref="D6595:F6595"/>
    <mergeCell ref="D6596:F6596"/>
    <mergeCell ref="D6597:F6597"/>
    <mergeCell ref="D6598:F6598"/>
    <mergeCell ref="D6599:F6599"/>
    <mergeCell ref="D6600:F6600"/>
    <mergeCell ref="D6589:F6589"/>
    <mergeCell ref="D6590:F6590"/>
    <mergeCell ref="D6591:F6591"/>
    <mergeCell ref="D6592:F6592"/>
    <mergeCell ref="D6593:F6593"/>
    <mergeCell ref="D6594:F6594"/>
    <mergeCell ref="D6583:F6583"/>
    <mergeCell ref="D6584:F6584"/>
    <mergeCell ref="D6585:F6585"/>
    <mergeCell ref="D6586:F6586"/>
    <mergeCell ref="D6587:F6587"/>
    <mergeCell ref="D6588:F6588"/>
    <mergeCell ref="D6577:F6577"/>
    <mergeCell ref="D6578:F6578"/>
    <mergeCell ref="D6579:F6579"/>
    <mergeCell ref="D6580:F6580"/>
    <mergeCell ref="D6581:F6581"/>
    <mergeCell ref="D6582:F6582"/>
    <mergeCell ref="D6571:F6571"/>
    <mergeCell ref="D6572:F6572"/>
    <mergeCell ref="D6573:F6573"/>
    <mergeCell ref="D6574:F6574"/>
    <mergeCell ref="D6575:F6575"/>
    <mergeCell ref="D6576:F6576"/>
    <mergeCell ref="D6637:F6637"/>
    <mergeCell ref="D6638:F6638"/>
    <mergeCell ref="D6639:F6639"/>
    <mergeCell ref="D6640:F6640"/>
    <mergeCell ref="D6641:F6641"/>
    <mergeCell ref="D6642:F6642"/>
    <mergeCell ref="D6631:F6631"/>
    <mergeCell ref="D6632:F6632"/>
    <mergeCell ref="D6633:F6633"/>
    <mergeCell ref="D6634:F6634"/>
    <mergeCell ref="D6635:F6635"/>
    <mergeCell ref="D6636:F6636"/>
    <mergeCell ref="D6625:F6625"/>
    <mergeCell ref="D6626:F6626"/>
    <mergeCell ref="D6627:F6627"/>
    <mergeCell ref="D6628:F6628"/>
    <mergeCell ref="D6629:F6629"/>
    <mergeCell ref="D6630:F6630"/>
    <mergeCell ref="D6619:F6619"/>
    <mergeCell ref="D6620:F6620"/>
    <mergeCell ref="D6621:F6621"/>
    <mergeCell ref="D6622:F6622"/>
    <mergeCell ref="D6623:F6623"/>
    <mergeCell ref="D6624:F6624"/>
    <mergeCell ref="D6613:F6613"/>
    <mergeCell ref="D6614:F6614"/>
    <mergeCell ref="D6615:F6615"/>
    <mergeCell ref="D6616:F6616"/>
    <mergeCell ref="D6617:F6617"/>
    <mergeCell ref="D6618:F6618"/>
    <mergeCell ref="D6607:F6607"/>
    <mergeCell ref="D6608:F6608"/>
    <mergeCell ref="D6609:F6609"/>
    <mergeCell ref="D6610:F6610"/>
    <mergeCell ref="D6611:F6611"/>
    <mergeCell ref="D6612:F6612"/>
    <mergeCell ref="D6673:F6673"/>
    <mergeCell ref="D6674:F6674"/>
    <mergeCell ref="D6675:F6675"/>
    <mergeCell ref="D6676:F6676"/>
    <mergeCell ref="D6677:F6677"/>
    <mergeCell ref="D6678:F6678"/>
    <mergeCell ref="D6667:F6667"/>
    <mergeCell ref="D6668:F6668"/>
    <mergeCell ref="D6669:F6669"/>
    <mergeCell ref="D6670:F6670"/>
    <mergeCell ref="D6671:F6671"/>
    <mergeCell ref="D6672:F6672"/>
    <mergeCell ref="D6661:F6661"/>
    <mergeCell ref="D6662:F6662"/>
    <mergeCell ref="D6663:F6663"/>
    <mergeCell ref="D6664:F6664"/>
    <mergeCell ref="D6665:F6665"/>
    <mergeCell ref="D6666:F6666"/>
    <mergeCell ref="D6655:F6655"/>
    <mergeCell ref="D6656:F6656"/>
    <mergeCell ref="D6657:F6657"/>
    <mergeCell ref="D6658:F6658"/>
    <mergeCell ref="D6659:F6659"/>
    <mergeCell ref="D6660:F6660"/>
    <mergeCell ref="D6649:F6649"/>
    <mergeCell ref="D6650:F6650"/>
    <mergeCell ref="D6651:F6651"/>
    <mergeCell ref="D6652:F6652"/>
    <mergeCell ref="D6653:F6653"/>
    <mergeCell ref="D6654:F6654"/>
    <mergeCell ref="D6643:F6643"/>
    <mergeCell ref="D6644:F6644"/>
    <mergeCell ref="D6645:F6645"/>
    <mergeCell ref="D6646:F6646"/>
    <mergeCell ref="D6647:F6647"/>
    <mergeCell ref="D6648:F6648"/>
    <mergeCell ref="D6709:F6709"/>
    <mergeCell ref="D6710:F6710"/>
    <mergeCell ref="D6711:F6711"/>
    <mergeCell ref="D6712:F6712"/>
    <mergeCell ref="D6713:F6713"/>
    <mergeCell ref="D6714:F6714"/>
    <mergeCell ref="D6703:F6703"/>
    <mergeCell ref="D6704:F6704"/>
    <mergeCell ref="D6705:F6705"/>
    <mergeCell ref="D6706:F6706"/>
    <mergeCell ref="D6707:F6707"/>
    <mergeCell ref="D6708:F6708"/>
    <mergeCell ref="D6697:F6697"/>
    <mergeCell ref="D6698:F6698"/>
    <mergeCell ref="D6699:F6699"/>
    <mergeCell ref="D6700:F6700"/>
    <mergeCell ref="D6701:F6701"/>
    <mergeCell ref="D6702:F6702"/>
    <mergeCell ref="D6691:F6691"/>
    <mergeCell ref="D6692:F6692"/>
    <mergeCell ref="D6693:F6693"/>
    <mergeCell ref="D6694:F6694"/>
    <mergeCell ref="D6695:F6695"/>
    <mergeCell ref="D6696:F6696"/>
    <mergeCell ref="D6685:F6685"/>
    <mergeCell ref="D6686:F6686"/>
    <mergeCell ref="D6687:F6687"/>
    <mergeCell ref="D6688:F6688"/>
    <mergeCell ref="D6689:F6689"/>
    <mergeCell ref="D6690:F6690"/>
    <mergeCell ref="D6679:F6679"/>
    <mergeCell ref="D6680:F6680"/>
    <mergeCell ref="D6681:F6681"/>
    <mergeCell ref="D6682:F6682"/>
    <mergeCell ref="D6683:F6683"/>
    <mergeCell ref="D6684:F6684"/>
    <mergeCell ref="D6745:F6745"/>
    <mergeCell ref="D6746:F6746"/>
    <mergeCell ref="D6747:F6747"/>
    <mergeCell ref="D6748:F6748"/>
    <mergeCell ref="D6749:F6749"/>
    <mergeCell ref="D6750:F6750"/>
    <mergeCell ref="D6739:F6739"/>
    <mergeCell ref="D6740:F6740"/>
    <mergeCell ref="D6741:F6741"/>
    <mergeCell ref="D6742:F6742"/>
    <mergeCell ref="D6743:F6743"/>
    <mergeCell ref="D6744:F6744"/>
    <mergeCell ref="D6733:F6733"/>
    <mergeCell ref="D6734:F6734"/>
    <mergeCell ref="D6735:F6735"/>
    <mergeCell ref="D6736:F6736"/>
    <mergeCell ref="D6737:F6737"/>
    <mergeCell ref="D6738:F6738"/>
    <mergeCell ref="D6727:F6727"/>
    <mergeCell ref="D6728:F6728"/>
    <mergeCell ref="D6729:F6729"/>
    <mergeCell ref="D6730:F6730"/>
    <mergeCell ref="D6731:F6731"/>
    <mergeCell ref="D6732:F6732"/>
    <mergeCell ref="D6721:F6721"/>
    <mergeCell ref="D6722:F6722"/>
    <mergeCell ref="D6723:F6723"/>
    <mergeCell ref="D6724:F6724"/>
    <mergeCell ref="D6725:F6725"/>
    <mergeCell ref="D6726:F6726"/>
    <mergeCell ref="D6715:F6715"/>
    <mergeCell ref="D6716:F6716"/>
    <mergeCell ref="D6717:F6717"/>
    <mergeCell ref="D6718:F6718"/>
    <mergeCell ref="D6719:F6719"/>
    <mergeCell ref="D6720:F6720"/>
    <mergeCell ref="D6781:F6781"/>
    <mergeCell ref="D6782:F6782"/>
    <mergeCell ref="D6783:F6783"/>
    <mergeCell ref="D6784:F6784"/>
    <mergeCell ref="D6785:F6785"/>
    <mergeCell ref="D6786:F6786"/>
    <mergeCell ref="D6775:F6775"/>
    <mergeCell ref="D6776:F6776"/>
    <mergeCell ref="D6777:F6777"/>
    <mergeCell ref="D6778:F6778"/>
    <mergeCell ref="D6779:F6779"/>
    <mergeCell ref="D6780:F6780"/>
    <mergeCell ref="D6769:F6769"/>
    <mergeCell ref="D6770:F6770"/>
    <mergeCell ref="D6771:F6771"/>
    <mergeCell ref="D6772:F6772"/>
    <mergeCell ref="D6773:F6773"/>
    <mergeCell ref="D6774:F6774"/>
    <mergeCell ref="D6763:F6763"/>
    <mergeCell ref="D6764:F6764"/>
    <mergeCell ref="D6765:F6765"/>
    <mergeCell ref="D6766:F6766"/>
    <mergeCell ref="D6767:F6767"/>
    <mergeCell ref="D6768:F6768"/>
    <mergeCell ref="D6757:F6757"/>
    <mergeCell ref="D6758:F6758"/>
    <mergeCell ref="D6759:F6759"/>
    <mergeCell ref="D6760:F6760"/>
    <mergeCell ref="D6761:F6761"/>
    <mergeCell ref="D6762:F6762"/>
    <mergeCell ref="D6751:F6751"/>
    <mergeCell ref="D6752:F6752"/>
    <mergeCell ref="D6753:F6753"/>
    <mergeCell ref="D6754:F6754"/>
    <mergeCell ref="D6755:F6755"/>
    <mergeCell ref="D6756:F6756"/>
    <mergeCell ref="D6817:F6817"/>
    <mergeCell ref="D6818:F6818"/>
    <mergeCell ref="D6819:F6819"/>
    <mergeCell ref="D6820:F6820"/>
    <mergeCell ref="D6821:F6821"/>
    <mergeCell ref="D6822:F6822"/>
    <mergeCell ref="D6811:F6811"/>
    <mergeCell ref="D6812:F6812"/>
    <mergeCell ref="D6813:F6813"/>
    <mergeCell ref="D6814:F6814"/>
    <mergeCell ref="D6815:F6815"/>
    <mergeCell ref="D6816:F6816"/>
    <mergeCell ref="D6805:F6805"/>
    <mergeCell ref="D6806:F6806"/>
    <mergeCell ref="D6807:F6807"/>
    <mergeCell ref="D6808:F6808"/>
    <mergeCell ref="D6809:F6809"/>
    <mergeCell ref="D6810:F6810"/>
    <mergeCell ref="D6799:F6799"/>
    <mergeCell ref="D6800:F6800"/>
    <mergeCell ref="D6801:F6801"/>
    <mergeCell ref="D6802:F6802"/>
    <mergeCell ref="D6803:F6803"/>
    <mergeCell ref="D6804:F6804"/>
    <mergeCell ref="D6793:F6793"/>
    <mergeCell ref="D6794:F6794"/>
    <mergeCell ref="D6795:F6795"/>
    <mergeCell ref="D6796:F6796"/>
    <mergeCell ref="D6797:F6797"/>
    <mergeCell ref="D6798:F6798"/>
    <mergeCell ref="D6787:F6787"/>
    <mergeCell ref="D6788:F6788"/>
    <mergeCell ref="D6789:F6789"/>
    <mergeCell ref="D6790:F6790"/>
    <mergeCell ref="D6791:F6791"/>
    <mergeCell ref="D6792:F6792"/>
    <mergeCell ref="D6853:F6853"/>
    <mergeCell ref="D6854:F6854"/>
    <mergeCell ref="D6855:F6855"/>
    <mergeCell ref="D6856:F6856"/>
    <mergeCell ref="D6857:F6857"/>
    <mergeCell ref="D6858:F6858"/>
    <mergeCell ref="D6847:F6847"/>
    <mergeCell ref="D6848:F6848"/>
    <mergeCell ref="D6849:F6849"/>
    <mergeCell ref="D6850:F6850"/>
    <mergeCell ref="D6851:F6851"/>
    <mergeCell ref="D6852:F6852"/>
    <mergeCell ref="D6841:F6841"/>
    <mergeCell ref="D6842:F6842"/>
    <mergeCell ref="D6843:F6843"/>
    <mergeCell ref="D6844:F6844"/>
    <mergeCell ref="D6845:F6845"/>
    <mergeCell ref="D6846:F6846"/>
    <mergeCell ref="D6835:F6835"/>
    <mergeCell ref="D6836:F6836"/>
    <mergeCell ref="D6837:F6837"/>
    <mergeCell ref="D6838:F6838"/>
    <mergeCell ref="D6839:F6839"/>
    <mergeCell ref="D6840:F6840"/>
    <mergeCell ref="D6829:F6829"/>
    <mergeCell ref="D6830:F6830"/>
    <mergeCell ref="D6831:F6831"/>
    <mergeCell ref="D6832:F6832"/>
    <mergeCell ref="D6833:F6833"/>
    <mergeCell ref="D6834:F6834"/>
    <mergeCell ref="D6823:F6823"/>
    <mergeCell ref="D6824:F6824"/>
    <mergeCell ref="D6825:F6825"/>
    <mergeCell ref="D6826:F6826"/>
    <mergeCell ref="D6827:F6827"/>
    <mergeCell ref="D6828:F6828"/>
    <mergeCell ref="D6889:F6889"/>
    <mergeCell ref="D6890:F6890"/>
    <mergeCell ref="D6891:F6891"/>
    <mergeCell ref="D6892:F6892"/>
    <mergeCell ref="D6893:F6893"/>
    <mergeCell ref="D6894:F6894"/>
    <mergeCell ref="D6883:F6883"/>
    <mergeCell ref="D6884:F6884"/>
    <mergeCell ref="D6885:F6885"/>
    <mergeCell ref="D6886:F6886"/>
    <mergeCell ref="D6887:F6887"/>
    <mergeCell ref="D6888:F6888"/>
    <mergeCell ref="D6877:F6877"/>
    <mergeCell ref="D6878:F6878"/>
    <mergeCell ref="D6879:F6879"/>
    <mergeCell ref="D6880:F6880"/>
    <mergeCell ref="D6881:F6881"/>
    <mergeCell ref="D6882:F6882"/>
    <mergeCell ref="D6871:F6871"/>
    <mergeCell ref="D6872:F6872"/>
    <mergeCell ref="D6873:F6873"/>
    <mergeCell ref="D6874:F6874"/>
    <mergeCell ref="D6875:F6875"/>
    <mergeCell ref="D6876:F6876"/>
    <mergeCell ref="D6865:F6865"/>
    <mergeCell ref="D6866:F6866"/>
    <mergeCell ref="D6867:F6867"/>
    <mergeCell ref="D6868:F6868"/>
    <mergeCell ref="D6869:F6869"/>
    <mergeCell ref="D6870:F6870"/>
    <mergeCell ref="D6859:F6859"/>
    <mergeCell ref="D6860:F6860"/>
    <mergeCell ref="D6861:F6861"/>
    <mergeCell ref="D6862:F6862"/>
    <mergeCell ref="D6863:F6863"/>
    <mergeCell ref="D6864:F6864"/>
    <mergeCell ref="D6925:F6925"/>
    <mergeCell ref="D6926:F6926"/>
    <mergeCell ref="D6927:F6927"/>
    <mergeCell ref="D6928:F6928"/>
    <mergeCell ref="D6929:F6929"/>
    <mergeCell ref="D6930:F6930"/>
    <mergeCell ref="D6919:F6919"/>
    <mergeCell ref="D6920:F6920"/>
    <mergeCell ref="D6921:F6921"/>
    <mergeCell ref="D6922:F6922"/>
    <mergeCell ref="D6923:F6923"/>
    <mergeCell ref="D6924:F6924"/>
    <mergeCell ref="D6913:F6913"/>
    <mergeCell ref="D6914:F6914"/>
    <mergeCell ref="D6915:F6915"/>
    <mergeCell ref="D6916:F6916"/>
    <mergeCell ref="D6917:F6917"/>
    <mergeCell ref="D6918:F6918"/>
    <mergeCell ref="D6907:F6907"/>
    <mergeCell ref="D6908:F6908"/>
    <mergeCell ref="D6909:F6909"/>
    <mergeCell ref="D6910:F6910"/>
    <mergeCell ref="D6911:F6911"/>
    <mergeCell ref="D6912:F6912"/>
    <mergeCell ref="D6901:F6901"/>
    <mergeCell ref="D6902:F6902"/>
    <mergeCell ref="D6903:F6903"/>
    <mergeCell ref="D6904:F6904"/>
    <mergeCell ref="D6905:F6905"/>
    <mergeCell ref="D6906:F6906"/>
    <mergeCell ref="D6895:F6895"/>
    <mergeCell ref="D6896:F6896"/>
    <mergeCell ref="D6897:F6897"/>
    <mergeCell ref="D6898:F6898"/>
    <mergeCell ref="D6899:F6899"/>
    <mergeCell ref="D6900:F6900"/>
    <mergeCell ref="D6961:F6961"/>
    <mergeCell ref="D6962:F6962"/>
    <mergeCell ref="D6963:F6963"/>
    <mergeCell ref="D6964:F6964"/>
    <mergeCell ref="D6965:F6965"/>
    <mergeCell ref="D6966:F6966"/>
    <mergeCell ref="D6955:F6955"/>
    <mergeCell ref="D6956:F6956"/>
    <mergeCell ref="D6957:F6957"/>
    <mergeCell ref="D6958:F6958"/>
    <mergeCell ref="D6959:F6959"/>
    <mergeCell ref="D6960:F6960"/>
    <mergeCell ref="D6949:F6949"/>
    <mergeCell ref="D6950:F6950"/>
    <mergeCell ref="D6951:F6951"/>
    <mergeCell ref="D6952:F6952"/>
    <mergeCell ref="D6953:F6953"/>
    <mergeCell ref="D6954:F6954"/>
    <mergeCell ref="D6943:F6943"/>
    <mergeCell ref="D6944:F6944"/>
    <mergeCell ref="D6945:F6945"/>
    <mergeCell ref="D6946:F6946"/>
    <mergeCell ref="D6947:F6947"/>
    <mergeCell ref="D6948:F6948"/>
    <mergeCell ref="D6937:F6937"/>
    <mergeCell ref="D6938:F6938"/>
    <mergeCell ref="D6939:F6939"/>
    <mergeCell ref="D6940:F6940"/>
    <mergeCell ref="D6941:F6941"/>
    <mergeCell ref="D6942:F6942"/>
    <mergeCell ref="D6931:F6931"/>
    <mergeCell ref="D6932:F6932"/>
    <mergeCell ref="D6933:F6933"/>
    <mergeCell ref="D6934:F6934"/>
    <mergeCell ref="D6935:F6935"/>
    <mergeCell ref="D6936:F6936"/>
    <mergeCell ref="D6997:F6997"/>
    <mergeCell ref="D6998:F6998"/>
    <mergeCell ref="D6999:F6999"/>
    <mergeCell ref="D7000:F7000"/>
    <mergeCell ref="D7001:F7001"/>
    <mergeCell ref="D7002:F7002"/>
    <mergeCell ref="D6991:F6991"/>
    <mergeCell ref="D6992:F6992"/>
    <mergeCell ref="D6993:F6993"/>
    <mergeCell ref="D6994:F6994"/>
    <mergeCell ref="D6995:F6995"/>
    <mergeCell ref="D6996:F6996"/>
    <mergeCell ref="D6985:F6985"/>
    <mergeCell ref="D6986:F6986"/>
    <mergeCell ref="D6987:F6987"/>
    <mergeCell ref="D6988:F6988"/>
    <mergeCell ref="D6989:F6989"/>
    <mergeCell ref="D6990:F6990"/>
    <mergeCell ref="D6979:F6979"/>
    <mergeCell ref="D6980:F6980"/>
    <mergeCell ref="D6981:F6981"/>
    <mergeCell ref="D6982:F6982"/>
    <mergeCell ref="D6983:F6983"/>
    <mergeCell ref="D6984:F6984"/>
    <mergeCell ref="D6973:F6973"/>
    <mergeCell ref="D6974:F6974"/>
    <mergeCell ref="D6975:F6975"/>
    <mergeCell ref="D6976:F6976"/>
    <mergeCell ref="D6977:F6977"/>
    <mergeCell ref="D6978:F6978"/>
    <mergeCell ref="D6967:F6967"/>
    <mergeCell ref="D6968:F6968"/>
    <mergeCell ref="D6969:F6969"/>
    <mergeCell ref="D6970:F6970"/>
    <mergeCell ref="D6971:F6971"/>
    <mergeCell ref="D6972:F6972"/>
    <mergeCell ref="D7033:F7033"/>
    <mergeCell ref="D7034:F7034"/>
    <mergeCell ref="D7035:F7035"/>
    <mergeCell ref="D7036:F7036"/>
    <mergeCell ref="D7037:F7037"/>
    <mergeCell ref="D7038:F7038"/>
    <mergeCell ref="D7027:F7027"/>
    <mergeCell ref="D7028:F7028"/>
    <mergeCell ref="D7029:F7029"/>
    <mergeCell ref="D7030:F7030"/>
    <mergeCell ref="D7031:F7031"/>
    <mergeCell ref="D7032:F7032"/>
    <mergeCell ref="D7021:F7021"/>
    <mergeCell ref="D7022:F7022"/>
    <mergeCell ref="D7023:F7023"/>
    <mergeCell ref="D7024:F7024"/>
    <mergeCell ref="D7025:F7025"/>
    <mergeCell ref="D7026:F7026"/>
    <mergeCell ref="D7015:F7015"/>
    <mergeCell ref="D7016:F7016"/>
    <mergeCell ref="D7017:F7017"/>
    <mergeCell ref="D7018:F7018"/>
    <mergeCell ref="D7019:F7019"/>
    <mergeCell ref="D7020:F7020"/>
    <mergeCell ref="D7009:F7009"/>
    <mergeCell ref="D7010:F7010"/>
    <mergeCell ref="D7011:F7011"/>
    <mergeCell ref="D7012:F7012"/>
    <mergeCell ref="D7013:F7013"/>
    <mergeCell ref="D7014:F7014"/>
    <mergeCell ref="D7003:F7003"/>
    <mergeCell ref="D7004:F7004"/>
    <mergeCell ref="D7005:F7005"/>
    <mergeCell ref="D7006:F7006"/>
    <mergeCell ref="D7007:F7007"/>
    <mergeCell ref="D7008:F7008"/>
    <mergeCell ref="D7069:F7069"/>
    <mergeCell ref="D7070:F7070"/>
    <mergeCell ref="D7071:F7071"/>
    <mergeCell ref="D7072:F7072"/>
    <mergeCell ref="D7073:F7073"/>
    <mergeCell ref="D7074:F7074"/>
    <mergeCell ref="D7063:F7063"/>
    <mergeCell ref="D7064:F7064"/>
    <mergeCell ref="D7065:F7065"/>
    <mergeCell ref="D7066:F7066"/>
    <mergeCell ref="D7067:F7067"/>
    <mergeCell ref="D7068:F7068"/>
    <mergeCell ref="D7057:F7057"/>
    <mergeCell ref="D7058:F7058"/>
    <mergeCell ref="D7059:F7059"/>
    <mergeCell ref="D7060:F7060"/>
    <mergeCell ref="D7061:F7061"/>
    <mergeCell ref="D7062:F7062"/>
    <mergeCell ref="D7051:F7051"/>
    <mergeCell ref="D7052:F7052"/>
    <mergeCell ref="D7053:F7053"/>
    <mergeCell ref="D7054:F7054"/>
    <mergeCell ref="D7055:F7055"/>
    <mergeCell ref="D7056:F7056"/>
    <mergeCell ref="D7045:F7045"/>
    <mergeCell ref="D7046:F7046"/>
    <mergeCell ref="D7047:F7047"/>
    <mergeCell ref="D7048:F7048"/>
    <mergeCell ref="D7049:F7049"/>
    <mergeCell ref="D7050:F7050"/>
    <mergeCell ref="D7039:F7039"/>
    <mergeCell ref="D7040:F7040"/>
    <mergeCell ref="D7041:F7041"/>
    <mergeCell ref="D7042:F7042"/>
    <mergeCell ref="D7043:F7043"/>
    <mergeCell ref="D7044:F7044"/>
    <mergeCell ref="D7105:F7105"/>
    <mergeCell ref="D7106:F7106"/>
    <mergeCell ref="D7107:F7107"/>
    <mergeCell ref="D7108:F7108"/>
    <mergeCell ref="D7109:F7109"/>
    <mergeCell ref="D7110:F7110"/>
    <mergeCell ref="D7099:F7099"/>
    <mergeCell ref="D7100:F7100"/>
    <mergeCell ref="D7101:F7101"/>
    <mergeCell ref="D7102:F7102"/>
    <mergeCell ref="D7103:F7103"/>
    <mergeCell ref="D7104:F7104"/>
    <mergeCell ref="D7093:F7093"/>
    <mergeCell ref="D7094:F7094"/>
    <mergeCell ref="D7095:F7095"/>
    <mergeCell ref="D7096:F7096"/>
    <mergeCell ref="D7097:F7097"/>
    <mergeCell ref="D7098:F7098"/>
    <mergeCell ref="D7087:F7087"/>
    <mergeCell ref="D7088:F7088"/>
    <mergeCell ref="D7089:F7089"/>
    <mergeCell ref="D7090:F7090"/>
    <mergeCell ref="D7091:F7091"/>
    <mergeCell ref="D7092:F7092"/>
    <mergeCell ref="D7081:F7081"/>
    <mergeCell ref="D7082:F7082"/>
    <mergeCell ref="D7083:F7083"/>
    <mergeCell ref="D7084:F7084"/>
    <mergeCell ref="D7085:F7085"/>
    <mergeCell ref="D7086:F7086"/>
    <mergeCell ref="D7075:F7075"/>
    <mergeCell ref="D7076:F7076"/>
    <mergeCell ref="D7077:F7077"/>
    <mergeCell ref="D7078:F7078"/>
    <mergeCell ref="D7079:F7079"/>
    <mergeCell ref="D7080:F7080"/>
    <mergeCell ref="D7141:F7141"/>
    <mergeCell ref="D7142:F7142"/>
    <mergeCell ref="D7143:F7143"/>
    <mergeCell ref="D7144:F7144"/>
    <mergeCell ref="D7145:F7145"/>
    <mergeCell ref="D7146:F7146"/>
    <mergeCell ref="D7135:F7135"/>
    <mergeCell ref="D7136:F7136"/>
    <mergeCell ref="D7137:F7137"/>
    <mergeCell ref="D7138:F7138"/>
    <mergeCell ref="D7139:F7139"/>
    <mergeCell ref="D7140:F7140"/>
    <mergeCell ref="D7129:F7129"/>
    <mergeCell ref="D7130:F7130"/>
    <mergeCell ref="D7131:F7131"/>
    <mergeCell ref="D7132:F7132"/>
    <mergeCell ref="D7133:F7133"/>
    <mergeCell ref="D7134:F7134"/>
    <mergeCell ref="D7123:F7123"/>
    <mergeCell ref="D7124:F7124"/>
    <mergeCell ref="D7125:F7125"/>
    <mergeCell ref="D7126:F7126"/>
    <mergeCell ref="D7127:F7127"/>
    <mergeCell ref="D7128:F7128"/>
    <mergeCell ref="D7117:F7117"/>
    <mergeCell ref="D7118:F7118"/>
    <mergeCell ref="D7119:F7119"/>
    <mergeCell ref="D7120:F7120"/>
    <mergeCell ref="D7121:F7121"/>
    <mergeCell ref="D7122:F7122"/>
    <mergeCell ref="D7111:F7111"/>
    <mergeCell ref="D7112:F7112"/>
    <mergeCell ref="D7113:F7113"/>
    <mergeCell ref="D7114:F7114"/>
    <mergeCell ref="D7115:F7115"/>
    <mergeCell ref="D7116:F7116"/>
    <mergeCell ref="D7177:F7177"/>
    <mergeCell ref="D7178:F7178"/>
    <mergeCell ref="D7179:F7179"/>
    <mergeCell ref="D7180:F7180"/>
    <mergeCell ref="D7181:F7181"/>
    <mergeCell ref="D7182:F7182"/>
    <mergeCell ref="D7171:F7171"/>
    <mergeCell ref="D7172:F7172"/>
    <mergeCell ref="D7173:F7173"/>
    <mergeCell ref="D7174:F7174"/>
    <mergeCell ref="D7175:F7175"/>
    <mergeCell ref="D7176:F7176"/>
    <mergeCell ref="D7165:F7165"/>
    <mergeCell ref="D7166:F7166"/>
    <mergeCell ref="D7167:F7167"/>
    <mergeCell ref="D7168:F7168"/>
    <mergeCell ref="D7169:F7169"/>
    <mergeCell ref="D7170:F7170"/>
    <mergeCell ref="D7159:F7159"/>
    <mergeCell ref="D7160:F7160"/>
    <mergeCell ref="D7161:F7161"/>
    <mergeCell ref="D7162:F7162"/>
    <mergeCell ref="D7163:F7163"/>
    <mergeCell ref="D7164:F7164"/>
    <mergeCell ref="D7153:F7153"/>
    <mergeCell ref="D7154:F7154"/>
    <mergeCell ref="D7155:F7155"/>
    <mergeCell ref="D7156:F7156"/>
    <mergeCell ref="D7157:F7157"/>
    <mergeCell ref="D7158:F7158"/>
    <mergeCell ref="D7147:F7147"/>
    <mergeCell ref="D7148:F7148"/>
    <mergeCell ref="D7149:F7149"/>
    <mergeCell ref="D7150:F7150"/>
    <mergeCell ref="D7151:F7151"/>
    <mergeCell ref="D7152:F7152"/>
    <mergeCell ref="D7213:F7213"/>
    <mergeCell ref="D7214:F7214"/>
    <mergeCell ref="D7215:F7215"/>
    <mergeCell ref="D7216:F7216"/>
    <mergeCell ref="D7217:F7217"/>
    <mergeCell ref="D7218:F7218"/>
    <mergeCell ref="D7207:F7207"/>
    <mergeCell ref="D7208:F7208"/>
    <mergeCell ref="D7209:F7209"/>
    <mergeCell ref="D7210:F7210"/>
    <mergeCell ref="D7211:F7211"/>
    <mergeCell ref="D7212:F7212"/>
    <mergeCell ref="D7201:F7201"/>
    <mergeCell ref="D7202:F7202"/>
    <mergeCell ref="D7203:F7203"/>
    <mergeCell ref="D7204:F7204"/>
    <mergeCell ref="D7205:F7205"/>
    <mergeCell ref="D7206:F7206"/>
    <mergeCell ref="D7195:F7195"/>
    <mergeCell ref="D7196:F7196"/>
    <mergeCell ref="D7197:F7197"/>
    <mergeCell ref="D7198:F7198"/>
    <mergeCell ref="D7199:F7199"/>
    <mergeCell ref="D7200:F7200"/>
    <mergeCell ref="D7189:F7189"/>
    <mergeCell ref="D7190:F7190"/>
    <mergeCell ref="D7191:F7191"/>
    <mergeCell ref="D7192:F7192"/>
    <mergeCell ref="D7193:F7193"/>
    <mergeCell ref="D7194:F7194"/>
    <mergeCell ref="D7183:F7183"/>
    <mergeCell ref="D7184:F7184"/>
    <mergeCell ref="D7185:F7185"/>
    <mergeCell ref="D7186:F7186"/>
    <mergeCell ref="D7187:F7187"/>
    <mergeCell ref="D7188:F7188"/>
    <mergeCell ref="D7249:F7249"/>
    <mergeCell ref="D7250:F7250"/>
    <mergeCell ref="D7251:F7251"/>
    <mergeCell ref="D7252:F7252"/>
    <mergeCell ref="D7253:F7253"/>
    <mergeCell ref="D7254:F7254"/>
    <mergeCell ref="D7243:F7243"/>
    <mergeCell ref="D7244:F7244"/>
    <mergeCell ref="D7245:F7245"/>
    <mergeCell ref="D7246:F7246"/>
    <mergeCell ref="D7247:F7247"/>
    <mergeCell ref="D7248:F7248"/>
    <mergeCell ref="D7237:F7237"/>
    <mergeCell ref="D7238:F7238"/>
    <mergeCell ref="D7239:F7239"/>
    <mergeCell ref="D7240:F7240"/>
    <mergeCell ref="D7241:F7241"/>
    <mergeCell ref="D7242:F7242"/>
    <mergeCell ref="D7231:F7231"/>
    <mergeCell ref="D7232:F7232"/>
    <mergeCell ref="D7233:F7233"/>
    <mergeCell ref="D7234:F7234"/>
    <mergeCell ref="D7235:F7235"/>
    <mergeCell ref="D7236:F7236"/>
    <mergeCell ref="D7225:F7225"/>
    <mergeCell ref="D7226:F7226"/>
    <mergeCell ref="D7227:F7227"/>
    <mergeCell ref="D7228:F7228"/>
    <mergeCell ref="D7229:F7229"/>
    <mergeCell ref="D7230:F7230"/>
    <mergeCell ref="D7219:F7219"/>
    <mergeCell ref="D7220:F7220"/>
    <mergeCell ref="D7221:F7221"/>
    <mergeCell ref="D7222:F7222"/>
    <mergeCell ref="D7223:F7223"/>
    <mergeCell ref="D7224:F7224"/>
    <mergeCell ref="D7285:F7285"/>
    <mergeCell ref="D7286:F7286"/>
    <mergeCell ref="D7287:F7287"/>
    <mergeCell ref="D7288:F7288"/>
    <mergeCell ref="D7289:F7289"/>
    <mergeCell ref="D7290:F7290"/>
    <mergeCell ref="D7279:F7279"/>
    <mergeCell ref="D7280:F7280"/>
    <mergeCell ref="D7281:F7281"/>
    <mergeCell ref="D7282:F7282"/>
    <mergeCell ref="D7283:F7283"/>
    <mergeCell ref="D7284:F7284"/>
    <mergeCell ref="D7273:F7273"/>
    <mergeCell ref="D7274:F7274"/>
    <mergeCell ref="D7275:F7275"/>
    <mergeCell ref="D7276:F7276"/>
    <mergeCell ref="D7277:F7277"/>
    <mergeCell ref="D7278:F7278"/>
    <mergeCell ref="D7267:F7267"/>
    <mergeCell ref="D7268:F7268"/>
    <mergeCell ref="D7269:F7269"/>
    <mergeCell ref="D7270:F7270"/>
    <mergeCell ref="D7271:F7271"/>
    <mergeCell ref="D7272:F7272"/>
    <mergeCell ref="D7261:F7261"/>
    <mergeCell ref="D7262:F7262"/>
    <mergeCell ref="D7263:F7263"/>
    <mergeCell ref="D7264:F7264"/>
    <mergeCell ref="D7265:F7265"/>
    <mergeCell ref="D7266:F7266"/>
    <mergeCell ref="D7255:F7255"/>
    <mergeCell ref="D7256:F7256"/>
    <mergeCell ref="D7257:F7257"/>
    <mergeCell ref="D7258:F7258"/>
    <mergeCell ref="D7259:F7259"/>
    <mergeCell ref="D7260:F7260"/>
    <mergeCell ref="D7321:F7321"/>
    <mergeCell ref="D7322:F7322"/>
    <mergeCell ref="D7323:F7323"/>
    <mergeCell ref="D7324:F7324"/>
    <mergeCell ref="D7325:F7325"/>
    <mergeCell ref="D7326:F7326"/>
    <mergeCell ref="D7315:F7315"/>
    <mergeCell ref="D7316:F7316"/>
    <mergeCell ref="D7317:F7317"/>
    <mergeCell ref="D7318:F7318"/>
    <mergeCell ref="D7319:F7319"/>
    <mergeCell ref="D7320:F7320"/>
    <mergeCell ref="D7309:F7309"/>
    <mergeCell ref="D7310:F7310"/>
    <mergeCell ref="D7311:F7311"/>
    <mergeCell ref="D7312:F7312"/>
    <mergeCell ref="D7313:F7313"/>
    <mergeCell ref="D7314:F7314"/>
    <mergeCell ref="D7303:F7303"/>
    <mergeCell ref="D7304:F7304"/>
    <mergeCell ref="D7305:F7305"/>
    <mergeCell ref="D7306:F7306"/>
    <mergeCell ref="D7307:F7307"/>
    <mergeCell ref="D7308:F7308"/>
    <mergeCell ref="D7297:F7297"/>
    <mergeCell ref="D7298:F7298"/>
    <mergeCell ref="D7299:F7299"/>
    <mergeCell ref="D7300:F7300"/>
    <mergeCell ref="D7301:F7301"/>
    <mergeCell ref="D7302:F7302"/>
    <mergeCell ref="D7291:F7291"/>
    <mergeCell ref="D7292:F7292"/>
    <mergeCell ref="D7293:F7293"/>
    <mergeCell ref="D7294:F7294"/>
    <mergeCell ref="D7295:F7295"/>
    <mergeCell ref="D7296:F7296"/>
    <mergeCell ref="D7357:F7357"/>
    <mergeCell ref="D7358:F7358"/>
    <mergeCell ref="D7359:F7359"/>
    <mergeCell ref="D7360:F7360"/>
    <mergeCell ref="D7361:F7361"/>
    <mergeCell ref="D7362:F7362"/>
    <mergeCell ref="D7351:F7351"/>
    <mergeCell ref="D7352:F7352"/>
    <mergeCell ref="D7353:F7353"/>
    <mergeCell ref="D7354:F7354"/>
    <mergeCell ref="D7355:F7355"/>
    <mergeCell ref="D7356:F7356"/>
    <mergeCell ref="D7345:F7345"/>
    <mergeCell ref="D7346:F7346"/>
    <mergeCell ref="D7347:F7347"/>
    <mergeCell ref="D7348:F7348"/>
    <mergeCell ref="D7349:F7349"/>
    <mergeCell ref="D7350:F7350"/>
    <mergeCell ref="D7339:F7339"/>
    <mergeCell ref="D7340:F7340"/>
    <mergeCell ref="D7341:F7341"/>
    <mergeCell ref="D7342:F7342"/>
    <mergeCell ref="D7343:F7343"/>
    <mergeCell ref="D7344:F7344"/>
    <mergeCell ref="D7333:F7333"/>
    <mergeCell ref="D7334:F7334"/>
    <mergeCell ref="D7335:F7335"/>
    <mergeCell ref="D7336:F7336"/>
    <mergeCell ref="D7337:F7337"/>
    <mergeCell ref="D7338:F7338"/>
    <mergeCell ref="D7327:F7327"/>
    <mergeCell ref="D7328:F7328"/>
    <mergeCell ref="D7329:F7329"/>
    <mergeCell ref="D7330:F7330"/>
    <mergeCell ref="D7331:F7331"/>
    <mergeCell ref="D7332:F7332"/>
    <mergeCell ref="D7393:F7393"/>
    <mergeCell ref="D7394:F7394"/>
    <mergeCell ref="D7395:F7395"/>
    <mergeCell ref="D7396:F7396"/>
    <mergeCell ref="D7397:F7397"/>
    <mergeCell ref="D7398:F7398"/>
    <mergeCell ref="D7387:F7387"/>
    <mergeCell ref="D7388:F7388"/>
    <mergeCell ref="D7389:F7389"/>
    <mergeCell ref="D7390:F7390"/>
    <mergeCell ref="D7391:F7391"/>
    <mergeCell ref="D7392:F7392"/>
    <mergeCell ref="D7381:F7381"/>
    <mergeCell ref="D7382:F7382"/>
    <mergeCell ref="D7383:F7383"/>
    <mergeCell ref="D7384:F7384"/>
    <mergeCell ref="D7385:F7385"/>
    <mergeCell ref="D7386:F7386"/>
    <mergeCell ref="D7375:F7375"/>
    <mergeCell ref="D7376:F7376"/>
    <mergeCell ref="D7377:F7377"/>
    <mergeCell ref="D7378:F7378"/>
    <mergeCell ref="D7379:F7379"/>
    <mergeCell ref="D7380:F7380"/>
    <mergeCell ref="D7369:F7369"/>
    <mergeCell ref="D7370:F7370"/>
    <mergeCell ref="D7371:F7371"/>
    <mergeCell ref="D7372:F7372"/>
    <mergeCell ref="D7373:F7373"/>
    <mergeCell ref="D7374:F7374"/>
    <mergeCell ref="D7363:F7363"/>
    <mergeCell ref="D7364:F7364"/>
    <mergeCell ref="D7365:F7365"/>
    <mergeCell ref="D7366:F7366"/>
    <mergeCell ref="D7367:F7367"/>
    <mergeCell ref="D7368:F7368"/>
    <mergeCell ref="D7429:F7429"/>
    <mergeCell ref="D7430:F7430"/>
    <mergeCell ref="D7431:F7431"/>
    <mergeCell ref="D7432:F7432"/>
    <mergeCell ref="D7433:F7433"/>
    <mergeCell ref="D7434:F7434"/>
    <mergeCell ref="D7423:F7423"/>
    <mergeCell ref="D7424:F7424"/>
    <mergeCell ref="D7425:F7425"/>
    <mergeCell ref="D7426:F7426"/>
    <mergeCell ref="D7427:F7427"/>
    <mergeCell ref="D7428:F7428"/>
    <mergeCell ref="D7417:F7417"/>
    <mergeCell ref="D7418:F7418"/>
    <mergeCell ref="D7419:F7419"/>
    <mergeCell ref="D7420:F7420"/>
    <mergeCell ref="D7421:F7421"/>
    <mergeCell ref="D7422:F7422"/>
    <mergeCell ref="D7411:F7411"/>
    <mergeCell ref="D7412:F7412"/>
    <mergeCell ref="D7413:F7413"/>
    <mergeCell ref="D7414:F7414"/>
    <mergeCell ref="D7415:F7415"/>
    <mergeCell ref="D7416:F7416"/>
    <mergeCell ref="D7405:F7405"/>
    <mergeCell ref="D7406:F7406"/>
    <mergeCell ref="D7407:F7407"/>
    <mergeCell ref="D7408:F7408"/>
    <mergeCell ref="D7409:F7409"/>
    <mergeCell ref="D7410:F7410"/>
    <mergeCell ref="D7399:F7399"/>
    <mergeCell ref="D7400:F7400"/>
    <mergeCell ref="D7401:F7401"/>
    <mergeCell ref="D7402:F7402"/>
    <mergeCell ref="D7403:F7403"/>
    <mergeCell ref="D7404:F7404"/>
    <mergeCell ref="D7465:F7465"/>
    <mergeCell ref="D7466:F7466"/>
    <mergeCell ref="D7467:F7467"/>
    <mergeCell ref="D7468:F7468"/>
    <mergeCell ref="D7469:F7469"/>
    <mergeCell ref="D7470:F7470"/>
    <mergeCell ref="D7459:F7459"/>
    <mergeCell ref="D7460:F7460"/>
    <mergeCell ref="D7461:F7461"/>
    <mergeCell ref="D7462:F7462"/>
    <mergeCell ref="D7463:F7463"/>
    <mergeCell ref="D7464:F7464"/>
    <mergeCell ref="D7453:F7453"/>
    <mergeCell ref="D7454:F7454"/>
    <mergeCell ref="D7455:F7455"/>
    <mergeCell ref="D7456:F7456"/>
    <mergeCell ref="D7457:F7457"/>
    <mergeCell ref="D7458:F7458"/>
    <mergeCell ref="D7447:F7447"/>
    <mergeCell ref="D7448:F7448"/>
    <mergeCell ref="D7449:F7449"/>
    <mergeCell ref="D7450:F7450"/>
    <mergeCell ref="D7451:F7451"/>
    <mergeCell ref="D7452:F7452"/>
    <mergeCell ref="D7441:F7441"/>
    <mergeCell ref="D7442:F7442"/>
    <mergeCell ref="D7443:F7443"/>
    <mergeCell ref="D7444:F7444"/>
    <mergeCell ref="D7445:F7445"/>
    <mergeCell ref="D7446:F7446"/>
    <mergeCell ref="D7435:F7435"/>
    <mergeCell ref="D7436:F7436"/>
    <mergeCell ref="D7437:F7437"/>
    <mergeCell ref="D7438:F7438"/>
    <mergeCell ref="D7439:F7439"/>
    <mergeCell ref="D7440:F7440"/>
    <mergeCell ref="D7501:F7501"/>
    <mergeCell ref="D7502:F7502"/>
    <mergeCell ref="D7503:F7503"/>
    <mergeCell ref="D7504:F7504"/>
    <mergeCell ref="D7505:F7505"/>
    <mergeCell ref="D7506:F7506"/>
    <mergeCell ref="D7495:F7495"/>
    <mergeCell ref="D7496:F7496"/>
    <mergeCell ref="D7497:F7497"/>
    <mergeCell ref="D7498:F7498"/>
    <mergeCell ref="D7499:F7499"/>
    <mergeCell ref="D7500:F7500"/>
    <mergeCell ref="D7489:F7489"/>
    <mergeCell ref="D7490:F7490"/>
    <mergeCell ref="D7491:F7491"/>
    <mergeCell ref="D7492:F7492"/>
    <mergeCell ref="D7493:F7493"/>
    <mergeCell ref="D7494:F7494"/>
    <mergeCell ref="D7483:F7483"/>
    <mergeCell ref="D7484:F7484"/>
    <mergeCell ref="D7485:F7485"/>
    <mergeCell ref="D7486:F7486"/>
    <mergeCell ref="D7487:F7487"/>
    <mergeCell ref="D7488:F7488"/>
    <mergeCell ref="D7477:F7477"/>
    <mergeCell ref="D7478:F7478"/>
    <mergeCell ref="D7479:F7479"/>
    <mergeCell ref="D7480:F7480"/>
    <mergeCell ref="D7481:F7481"/>
    <mergeCell ref="D7482:F7482"/>
    <mergeCell ref="D7471:F7471"/>
    <mergeCell ref="D7472:F7472"/>
    <mergeCell ref="D7473:F7473"/>
    <mergeCell ref="D7474:F7474"/>
    <mergeCell ref="D7475:F7475"/>
    <mergeCell ref="D7476:F7476"/>
    <mergeCell ref="D7537:F7537"/>
    <mergeCell ref="D7538:F7538"/>
    <mergeCell ref="D7539:F7539"/>
    <mergeCell ref="D7540:F7540"/>
    <mergeCell ref="D7541:F7541"/>
    <mergeCell ref="D7542:F7542"/>
    <mergeCell ref="D7531:F7531"/>
    <mergeCell ref="D7532:F7532"/>
    <mergeCell ref="D7533:F7533"/>
    <mergeCell ref="D7534:F7534"/>
    <mergeCell ref="D7535:F7535"/>
    <mergeCell ref="D7536:F7536"/>
    <mergeCell ref="D7525:F7525"/>
    <mergeCell ref="D7526:F7526"/>
    <mergeCell ref="D7527:F7527"/>
    <mergeCell ref="D7528:F7528"/>
    <mergeCell ref="D7529:F7529"/>
    <mergeCell ref="D7530:F7530"/>
    <mergeCell ref="D7519:F7519"/>
    <mergeCell ref="D7520:F7520"/>
    <mergeCell ref="D7521:F7521"/>
    <mergeCell ref="D7522:F7522"/>
    <mergeCell ref="D7523:F7523"/>
    <mergeCell ref="D7524:F7524"/>
    <mergeCell ref="D7513:F7513"/>
    <mergeCell ref="D7514:F7514"/>
    <mergeCell ref="D7515:F7515"/>
    <mergeCell ref="D7516:F7516"/>
    <mergeCell ref="D7517:F7517"/>
    <mergeCell ref="D7518:F7518"/>
    <mergeCell ref="D7507:F7507"/>
    <mergeCell ref="D7508:F7508"/>
    <mergeCell ref="D7509:F7509"/>
    <mergeCell ref="D7510:F7510"/>
    <mergeCell ref="D7511:F7511"/>
    <mergeCell ref="D7512:F7512"/>
    <mergeCell ref="D7573:F7573"/>
    <mergeCell ref="D7574:F7574"/>
    <mergeCell ref="D7575:F7575"/>
    <mergeCell ref="D7576:F7576"/>
    <mergeCell ref="D7577:F7577"/>
    <mergeCell ref="D7578:F7578"/>
    <mergeCell ref="D7567:F7567"/>
    <mergeCell ref="D7568:F7568"/>
    <mergeCell ref="D7569:F7569"/>
    <mergeCell ref="D7570:F7570"/>
    <mergeCell ref="D7571:F7571"/>
    <mergeCell ref="D7572:F7572"/>
    <mergeCell ref="D7561:F7561"/>
    <mergeCell ref="D7562:F7562"/>
    <mergeCell ref="D7563:F7563"/>
    <mergeCell ref="D7564:F7564"/>
    <mergeCell ref="D7565:F7565"/>
    <mergeCell ref="D7566:F7566"/>
    <mergeCell ref="D7555:F7555"/>
    <mergeCell ref="D7556:F7556"/>
    <mergeCell ref="D7557:F7557"/>
    <mergeCell ref="D7558:F7558"/>
    <mergeCell ref="D7559:F7559"/>
    <mergeCell ref="D7560:F7560"/>
    <mergeCell ref="D7549:F7549"/>
    <mergeCell ref="D7550:F7550"/>
    <mergeCell ref="D7551:F7551"/>
    <mergeCell ref="D7552:F7552"/>
    <mergeCell ref="D7553:F7553"/>
    <mergeCell ref="D7554:F7554"/>
    <mergeCell ref="D7543:F7543"/>
    <mergeCell ref="D7544:F7544"/>
    <mergeCell ref="D7545:F7545"/>
    <mergeCell ref="D7546:F7546"/>
    <mergeCell ref="D7547:F7547"/>
    <mergeCell ref="D7548:F7548"/>
    <mergeCell ref="D7609:F7609"/>
    <mergeCell ref="D7610:F7610"/>
    <mergeCell ref="D7611:F7611"/>
    <mergeCell ref="D7612:F7612"/>
    <mergeCell ref="D7613:F7613"/>
    <mergeCell ref="D7614:F7614"/>
    <mergeCell ref="D7603:F7603"/>
    <mergeCell ref="D7604:F7604"/>
    <mergeCell ref="D7605:F7605"/>
    <mergeCell ref="D7606:F7606"/>
    <mergeCell ref="D7607:F7607"/>
    <mergeCell ref="D7608:F7608"/>
    <mergeCell ref="D7597:F7597"/>
    <mergeCell ref="D7598:F7598"/>
    <mergeCell ref="D7599:F7599"/>
    <mergeCell ref="D7600:F7600"/>
    <mergeCell ref="D7601:F7601"/>
    <mergeCell ref="D7602:F7602"/>
    <mergeCell ref="D7591:F7591"/>
    <mergeCell ref="D7592:F7592"/>
    <mergeCell ref="D7593:F7593"/>
    <mergeCell ref="D7594:F7594"/>
    <mergeCell ref="D7595:F7595"/>
    <mergeCell ref="D7596:F7596"/>
    <mergeCell ref="D7585:F7585"/>
    <mergeCell ref="D7586:F7586"/>
    <mergeCell ref="D7587:F7587"/>
    <mergeCell ref="D7588:F7588"/>
    <mergeCell ref="D7589:F7589"/>
    <mergeCell ref="D7590:F7590"/>
    <mergeCell ref="D7579:F7579"/>
    <mergeCell ref="D7580:F7580"/>
    <mergeCell ref="D7581:F7581"/>
    <mergeCell ref="D7582:F7582"/>
    <mergeCell ref="D7583:F7583"/>
    <mergeCell ref="D7584:F7584"/>
    <mergeCell ref="D7645:F7645"/>
    <mergeCell ref="D7646:F7646"/>
    <mergeCell ref="D7647:F7647"/>
    <mergeCell ref="D7648:F7648"/>
    <mergeCell ref="D7649:F7649"/>
    <mergeCell ref="D7650:F7650"/>
    <mergeCell ref="D7639:F7639"/>
    <mergeCell ref="D7640:F7640"/>
    <mergeCell ref="D7641:F7641"/>
    <mergeCell ref="D7642:F7642"/>
    <mergeCell ref="D7643:F7643"/>
    <mergeCell ref="D7644:F7644"/>
    <mergeCell ref="D7633:F7633"/>
    <mergeCell ref="D7634:F7634"/>
    <mergeCell ref="D7635:F7635"/>
    <mergeCell ref="D7636:F7636"/>
    <mergeCell ref="D7637:F7637"/>
    <mergeCell ref="D7638:F7638"/>
    <mergeCell ref="D7627:F7627"/>
    <mergeCell ref="D7628:F7628"/>
    <mergeCell ref="D7629:F7629"/>
    <mergeCell ref="D7630:F7630"/>
    <mergeCell ref="D7631:F7631"/>
    <mergeCell ref="D7632:F7632"/>
    <mergeCell ref="D7621:F7621"/>
    <mergeCell ref="D7622:F7622"/>
    <mergeCell ref="D7623:F7623"/>
    <mergeCell ref="D7624:F7624"/>
    <mergeCell ref="D7625:F7625"/>
    <mergeCell ref="D7626:F7626"/>
    <mergeCell ref="D7615:F7615"/>
    <mergeCell ref="D7616:F7616"/>
    <mergeCell ref="D7617:F7617"/>
    <mergeCell ref="D7618:F7618"/>
    <mergeCell ref="D7619:F7619"/>
    <mergeCell ref="D7620:F7620"/>
    <mergeCell ref="D7681:F7681"/>
    <mergeCell ref="D7682:F7682"/>
    <mergeCell ref="D7683:F7683"/>
    <mergeCell ref="D7684:F7684"/>
    <mergeCell ref="D7685:F7685"/>
    <mergeCell ref="D7686:F7686"/>
    <mergeCell ref="D7675:F7675"/>
    <mergeCell ref="D7676:F7676"/>
    <mergeCell ref="D7677:F7677"/>
    <mergeCell ref="D7678:F7678"/>
    <mergeCell ref="D7679:F7679"/>
    <mergeCell ref="D7680:F7680"/>
    <mergeCell ref="D7669:F7669"/>
    <mergeCell ref="D7670:F7670"/>
    <mergeCell ref="D7671:F7671"/>
    <mergeCell ref="D7672:F7672"/>
    <mergeCell ref="D7673:F7673"/>
    <mergeCell ref="D7674:F7674"/>
    <mergeCell ref="D7663:F7663"/>
    <mergeCell ref="D7664:F7664"/>
    <mergeCell ref="D7665:F7665"/>
    <mergeCell ref="D7666:F7666"/>
    <mergeCell ref="D7667:F7667"/>
    <mergeCell ref="D7668:F7668"/>
    <mergeCell ref="D7657:F7657"/>
    <mergeCell ref="D7658:F7658"/>
    <mergeCell ref="D7659:F7659"/>
    <mergeCell ref="D7660:F7660"/>
    <mergeCell ref="D7661:F7661"/>
    <mergeCell ref="D7662:F7662"/>
    <mergeCell ref="D7651:F7651"/>
    <mergeCell ref="D7652:F7652"/>
    <mergeCell ref="D7653:F7653"/>
    <mergeCell ref="D7654:F7654"/>
    <mergeCell ref="D7655:F7655"/>
    <mergeCell ref="D7656:F7656"/>
    <mergeCell ref="D7717:F7717"/>
    <mergeCell ref="D7718:F7718"/>
    <mergeCell ref="D7719:F7719"/>
    <mergeCell ref="D7720:F7720"/>
    <mergeCell ref="D7721:F7721"/>
    <mergeCell ref="D7722:F7722"/>
    <mergeCell ref="D7711:F7711"/>
    <mergeCell ref="D7712:F7712"/>
    <mergeCell ref="D7713:F7713"/>
    <mergeCell ref="D7714:F7714"/>
    <mergeCell ref="D7715:F7715"/>
    <mergeCell ref="D7716:F7716"/>
    <mergeCell ref="D7705:F7705"/>
    <mergeCell ref="D7706:F7706"/>
    <mergeCell ref="D7707:F7707"/>
    <mergeCell ref="D7708:F7708"/>
    <mergeCell ref="D7709:F7709"/>
    <mergeCell ref="D7710:F7710"/>
    <mergeCell ref="D7699:F7699"/>
    <mergeCell ref="D7700:F7700"/>
    <mergeCell ref="D7701:F7701"/>
    <mergeCell ref="D7702:F7702"/>
    <mergeCell ref="D7703:F7703"/>
    <mergeCell ref="D7704:F7704"/>
    <mergeCell ref="D7693:F7693"/>
    <mergeCell ref="D7694:F7694"/>
    <mergeCell ref="D7695:F7695"/>
    <mergeCell ref="D7696:F7696"/>
    <mergeCell ref="D7697:F7697"/>
    <mergeCell ref="D7698:F7698"/>
    <mergeCell ref="D7687:F7687"/>
    <mergeCell ref="D7688:F7688"/>
    <mergeCell ref="D7689:F7689"/>
    <mergeCell ref="D7690:F7690"/>
    <mergeCell ref="D7691:F7691"/>
    <mergeCell ref="D7692:F7692"/>
    <mergeCell ref="D7753:F7753"/>
    <mergeCell ref="D7754:F7754"/>
    <mergeCell ref="D7755:F7755"/>
    <mergeCell ref="D7756:F7756"/>
    <mergeCell ref="D7757:F7757"/>
    <mergeCell ref="D7758:F7758"/>
    <mergeCell ref="D7747:F7747"/>
    <mergeCell ref="D7748:F7748"/>
    <mergeCell ref="D7749:F7749"/>
    <mergeCell ref="D7750:F7750"/>
    <mergeCell ref="D7751:F7751"/>
    <mergeCell ref="D7752:F7752"/>
    <mergeCell ref="D7741:F7741"/>
    <mergeCell ref="D7742:F7742"/>
    <mergeCell ref="D7743:F7743"/>
    <mergeCell ref="D7744:F7744"/>
    <mergeCell ref="D7745:F7745"/>
    <mergeCell ref="D7746:F7746"/>
    <mergeCell ref="D7735:F7735"/>
    <mergeCell ref="D7736:F7736"/>
    <mergeCell ref="D7737:F7737"/>
    <mergeCell ref="D7738:F7738"/>
    <mergeCell ref="D7739:F7739"/>
    <mergeCell ref="D7740:F7740"/>
    <mergeCell ref="D7729:F7729"/>
    <mergeCell ref="D7730:F7730"/>
    <mergeCell ref="D7731:F7731"/>
    <mergeCell ref="D7732:F7732"/>
    <mergeCell ref="D7733:F7733"/>
    <mergeCell ref="D7734:F7734"/>
    <mergeCell ref="D7723:F7723"/>
    <mergeCell ref="D7724:F7724"/>
    <mergeCell ref="D7725:F7725"/>
    <mergeCell ref="D7726:F7726"/>
    <mergeCell ref="D7727:F7727"/>
    <mergeCell ref="D7728:F7728"/>
    <mergeCell ref="D7789:F7789"/>
    <mergeCell ref="D7790:F7790"/>
    <mergeCell ref="D7791:F7791"/>
    <mergeCell ref="D7792:F7792"/>
    <mergeCell ref="D7793:F7793"/>
    <mergeCell ref="D7794:F7794"/>
    <mergeCell ref="D7783:F7783"/>
    <mergeCell ref="D7784:F7784"/>
    <mergeCell ref="D7785:F7785"/>
    <mergeCell ref="D7786:F7786"/>
    <mergeCell ref="D7787:F7787"/>
    <mergeCell ref="D7788:F7788"/>
    <mergeCell ref="D7777:F7777"/>
    <mergeCell ref="D7778:F7778"/>
    <mergeCell ref="D7779:F7779"/>
    <mergeCell ref="D7780:F7780"/>
    <mergeCell ref="D7781:F7781"/>
    <mergeCell ref="D7782:F7782"/>
    <mergeCell ref="D7771:F7771"/>
    <mergeCell ref="D7772:F7772"/>
    <mergeCell ref="D7773:F7773"/>
    <mergeCell ref="D7774:F7774"/>
    <mergeCell ref="D7775:F7775"/>
    <mergeCell ref="D7776:F7776"/>
    <mergeCell ref="D7765:F7765"/>
    <mergeCell ref="D7766:F7766"/>
    <mergeCell ref="D7767:F7767"/>
    <mergeCell ref="D7768:F7768"/>
    <mergeCell ref="D7769:F7769"/>
    <mergeCell ref="D7770:F7770"/>
    <mergeCell ref="D7759:F7759"/>
    <mergeCell ref="D7760:F7760"/>
    <mergeCell ref="D7761:F7761"/>
    <mergeCell ref="D7762:F7762"/>
    <mergeCell ref="D7763:F7763"/>
    <mergeCell ref="D7764:F7764"/>
    <mergeCell ref="D7825:F7825"/>
    <mergeCell ref="D7826:F7826"/>
    <mergeCell ref="D7827:F7827"/>
    <mergeCell ref="D7828:F7828"/>
    <mergeCell ref="D7829:F7829"/>
    <mergeCell ref="D7830:F7830"/>
    <mergeCell ref="D7819:F7819"/>
    <mergeCell ref="D7820:F7820"/>
    <mergeCell ref="D7821:F7821"/>
    <mergeCell ref="D7822:F7822"/>
    <mergeCell ref="D7823:F7823"/>
    <mergeCell ref="D7824:F7824"/>
    <mergeCell ref="D7813:F7813"/>
    <mergeCell ref="D7814:F7814"/>
    <mergeCell ref="D7815:F7815"/>
    <mergeCell ref="D7816:F7816"/>
    <mergeCell ref="D7817:F7817"/>
    <mergeCell ref="D7818:F7818"/>
    <mergeCell ref="D7807:F7807"/>
    <mergeCell ref="D7808:F7808"/>
    <mergeCell ref="D7809:F7809"/>
    <mergeCell ref="D7810:F7810"/>
    <mergeCell ref="D7811:F7811"/>
    <mergeCell ref="D7812:F7812"/>
    <mergeCell ref="D7801:F7801"/>
    <mergeCell ref="D7802:F7802"/>
    <mergeCell ref="D7803:F7803"/>
    <mergeCell ref="D7804:F7804"/>
    <mergeCell ref="D7805:F7805"/>
    <mergeCell ref="D7806:F7806"/>
    <mergeCell ref="D7795:F7795"/>
    <mergeCell ref="D7796:F7796"/>
    <mergeCell ref="D7797:F7797"/>
    <mergeCell ref="D7798:F7798"/>
    <mergeCell ref="D7799:F7799"/>
    <mergeCell ref="D7800:F7800"/>
    <mergeCell ref="D7861:F7861"/>
    <mergeCell ref="D7862:F7862"/>
    <mergeCell ref="D7863:F7863"/>
    <mergeCell ref="D7864:F7864"/>
    <mergeCell ref="D7865:F7865"/>
    <mergeCell ref="D7866:F7866"/>
    <mergeCell ref="D7855:F7855"/>
    <mergeCell ref="D7856:F7856"/>
    <mergeCell ref="D7857:F7857"/>
    <mergeCell ref="D7858:F7858"/>
    <mergeCell ref="D7859:F7859"/>
    <mergeCell ref="D7860:F7860"/>
    <mergeCell ref="D7849:F7849"/>
    <mergeCell ref="D7850:F7850"/>
    <mergeCell ref="D7851:F7851"/>
    <mergeCell ref="D7852:F7852"/>
    <mergeCell ref="D7853:F7853"/>
    <mergeCell ref="D7854:F7854"/>
    <mergeCell ref="D7843:F7843"/>
    <mergeCell ref="D7844:F7844"/>
    <mergeCell ref="D7845:F7845"/>
    <mergeCell ref="D7846:F7846"/>
    <mergeCell ref="D7847:F7847"/>
    <mergeCell ref="D7848:F7848"/>
    <mergeCell ref="D7837:F7837"/>
    <mergeCell ref="D7838:F7838"/>
    <mergeCell ref="D7839:F7839"/>
    <mergeCell ref="D7840:F7840"/>
    <mergeCell ref="D7841:F7841"/>
    <mergeCell ref="D7842:F7842"/>
    <mergeCell ref="D7831:F7831"/>
    <mergeCell ref="D7832:F7832"/>
    <mergeCell ref="D7833:F7833"/>
    <mergeCell ref="D7834:F7834"/>
    <mergeCell ref="D7835:F7835"/>
    <mergeCell ref="D7836:F7836"/>
    <mergeCell ref="D7897:F7897"/>
    <mergeCell ref="D7898:F7898"/>
    <mergeCell ref="D7899:F7899"/>
    <mergeCell ref="D7900:F7900"/>
    <mergeCell ref="D7901:F7901"/>
    <mergeCell ref="D7902:F7902"/>
    <mergeCell ref="D7891:F7891"/>
    <mergeCell ref="D7892:F7892"/>
    <mergeCell ref="D7893:F7893"/>
    <mergeCell ref="D7894:F7894"/>
    <mergeCell ref="D7895:F7895"/>
    <mergeCell ref="D7896:F7896"/>
    <mergeCell ref="D7885:F7885"/>
    <mergeCell ref="D7886:F7886"/>
    <mergeCell ref="D7887:F7887"/>
    <mergeCell ref="D7888:F7888"/>
    <mergeCell ref="D7889:F7889"/>
    <mergeCell ref="D7890:F7890"/>
    <mergeCell ref="D7879:F7879"/>
    <mergeCell ref="D7880:F7880"/>
    <mergeCell ref="D7881:F7881"/>
    <mergeCell ref="D7882:F7882"/>
    <mergeCell ref="D7883:F7883"/>
    <mergeCell ref="D7884:F7884"/>
    <mergeCell ref="D7873:F7873"/>
    <mergeCell ref="D7874:F7874"/>
    <mergeCell ref="D7875:F7875"/>
    <mergeCell ref="D7876:F7876"/>
    <mergeCell ref="D7877:F7877"/>
    <mergeCell ref="D7878:F7878"/>
    <mergeCell ref="D7867:F7867"/>
    <mergeCell ref="D7868:F7868"/>
    <mergeCell ref="D7869:F7869"/>
    <mergeCell ref="D7870:F7870"/>
    <mergeCell ref="D7871:F7871"/>
    <mergeCell ref="D7872:F7872"/>
    <mergeCell ref="D7933:F7933"/>
    <mergeCell ref="D7934:F7934"/>
    <mergeCell ref="D7935:F7935"/>
    <mergeCell ref="D7936:F7936"/>
    <mergeCell ref="D7937:F7937"/>
    <mergeCell ref="D7938:F7938"/>
    <mergeCell ref="D7927:F7927"/>
    <mergeCell ref="D7928:F7928"/>
    <mergeCell ref="D7929:F7929"/>
    <mergeCell ref="D7930:F7930"/>
    <mergeCell ref="D7931:F7931"/>
    <mergeCell ref="D7932:F7932"/>
    <mergeCell ref="D7921:F7921"/>
    <mergeCell ref="D7922:F7922"/>
    <mergeCell ref="D7923:F7923"/>
    <mergeCell ref="D7924:F7924"/>
    <mergeCell ref="D7925:F7925"/>
    <mergeCell ref="D7926:F7926"/>
    <mergeCell ref="D7915:F7915"/>
    <mergeCell ref="D7916:F7916"/>
    <mergeCell ref="D7917:F7917"/>
    <mergeCell ref="D7918:F7918"/>
    <mergeCell ref="D7919:F7919"/>
    <mergeCell ref="D7920:F7920"/>
    <mergeCell ref="D7909:F7909"/>
    <mergeCell ref="D7910:F7910"/>
    <mergeCell ref="D7911:F7911"/>
    <mergeCell ref="D7912:F7912"/>
    <mergeCell ref="D7913:F7913"/>
    <mergeCell ref="D7914:F7914"/>
    <mergeCell ref="D7903:F7903"/>
    <mergeCell ref="D7904:F7904"/>
    <mergeCell ref="D7905:F7905"/>
    <mergeCell ref="D7906:F7906"/>
    <mergeCell ref="D7907:F7907"/>
    <mergeCell ref="D7908:F7908"/>
    <mergeCell ref="D7969:F7969"/>
    <mergeCell ref="D7970:F7970"/>
    <mergeCell ref="D7971:F7971"/>
    <mergeCell ref="D7972:F7972"/>
    <mergeCell ref="D7973:F7973"/>
    <mergeCell ref="D7974:F7974"/>
    <mergeCell ref="D7963:F7963"/>
    <mergeCell ref="D7964:F7964"/>
    <mergeCell ref="D7965:F7965"/>
    <mergeCell ref="D7966:F7966"/>
    <mergeCell ref="D7967:F7967"/>
    <mergeCell ref="D7968:F7968"/>
    <mergeCell ref="D7957:F7957"/>
    <mergeCell ref="D7958:F7958"/>
    <mergeCell ref="D7959:F7959"/>
    <mergeCell ref="D7960:F7960"/>
    <mergeCell ref="D7961:F7961"/>
    <mergeCell ref="D7962:F7962"/>
    <mergeCell ref="D7951:F7951"/>
    <mergeCell ref="D7952:F7952"/>
    <mergeCell ref="D7953:F7953"/>
    <mergeCell ref="D7954:F7954"/>
    <mergeCell ref="D7955:F7955"/>
    <mergeCell ref="D7956:F7956"/>
    <mergeCell ref="D7945:F7945"/>
    <mergeCell ref="D7946:F7946"/>
    <mergeCell ref="D7947:F7947"/>
    <mergeCell ref="D7948:F7948"/>
    <mergeCell ref="D7949:F7949"/>
    <mergeCell ref="D7950:F7950"/>
    <mergeCell ref="D7939:F7939"/>
    <mergeCell ref="D7940:F7940"/>
    <mergeCell ref="D7941:F7941"/>
    <mergeCell ref="D7942:F7942"/>
    <mergeCell ref="D7943:F7943"/>
    <mergeCell ref="D7944:F7944"/>
    <mergeCell ref="D8005:F8005"/>
    <mergeCell ref="D8006:F8006"/>
    <mergeCell ref="D8007:F8007"/>
    <mergeCell ref="D8008:F8008"/>
    <mergeCell ref="D8009:F8009"/>
    <mergeCell ref="D8010:F8010"/>
    <mergeCell ref="D7999:F7999"/>
    <mergeCell ref="D8000:F8000"/>
    <mergeCell ref="D8001:F8001"/>
    <mergeCell ref="D8002:F8002"/>
    <mergeCell ref="D8003:F8003"/>
    <mergeCell ref="D8004:F8004"/>
    <mergeCell ref="D7993:F7993"/>
    <mergeCell ref="D7994:F7994"/>
    <mergeCell ref="D7995:F7995"/>
    <mergeCell ref="D7996:F7996"/>
    <mergeCell ref="D7997:F7997"/>
    <mergeCell ref="D7998:F7998"/>
    <mergeCell ref="D7987:F7987"/>
    <mergeCell ref="D7988:F7988"/>
    <mergeCell ref="D7989:F7989"/>
    <mergeCell ref="D7990:F7990"/>
    <mergeCell ref="D7991:F7991"/>
    <mergeCell ref="D7992:F7992"/>
    <mergeCell ref="D7981:F7981"/>
    <mergeCell ref="D7982:F7982"/>
    <mergeCell ref="D7983:F7983"/>
    <mergeCell ref="D7984:F7984"/>
    <mergeCell ref="D7985:F7985"/>
    <mergeCell ref="D7986:F7986"/>
    <mergeCell ref="D7975:F7975"/>
    <mergeCell ref="D7976:F7976"/>
    <mergeCell ref="D7977:F7977"/>
    <mergeCell ref="D7978:F7978"/>
    <mergeCell ref="D7979:F7979"/>
    <mergeCell ref="D7980:F7980"/>
    <mergeCell ref="D8041:F8041"/>
    <mergeCell ref="D8042:F8042"/>
    <mergeCell ref="D8043:F8043"/>
    <mergeCell ref="D8044:F8044"/>
    <mergeCell ref="D8045:F8045"/>
    <mergeCell ref="D8046:F8046"/>
    <mergeCell ref="D8035:F8035"/>
    <mergeCell ref="D8036:F8036"/>
    <mergeCell ref="D8037:F8037"/>
    <mergeCell ref="D8038:F8038"/>
    <mergeCell ref="D8039:F8039"/>
    <mergeCell ref="D8040:F8040"/>
    <mergeCell ref="D8029:F8029"/>
    <mergeCell ref="D8030:F8030"/>
    <mergeCell ref="D8031:F8031"/>
    <mergeCell ref="D8032:F8032"/>
    <mergeCell ref="D8033:F8033"/>
    <mergeCell ref="D8034:F8034"/>
    <mergeCell ref="D8023:F8023"/>
    <mergeCell ref="D8024:F8024"/>
    <mergeCell ref="D8025:F8025"/>
    <mergeCell ref="D8026:F8026"/>
    <mergeCell ref="D8027:F8027"/>
    <mergeCell ref="D8028:F8028"/>
    <mergeCell ref="D8017:F8017"/>
    <mergeCell ref="D8018:F8018"/>
    <mergeCell ref="D8019:F8019"/>
    <mergeCell ref="D8020:F8020"/>
    <mergeCell ref="D8021:F8021"/>
    <mergeCell ref="D8022:F8022"/>
    <mergeCell ref="D8011:F8011"/>
    <mergeCell ref="D8012:F8012"/>
    <mergeCell ref="D8013:F8013"/>
    <mergeCell ref="D8014:F8014"/>
    <mergeCell ref="D8015:F8015"/>
    <mergeCell ref="D8016:F8016"/>
    <mergeCell ref="D8077:F8077"/>
    <mergeCell ref="D8078:F8078"/>
    <mergeCell ref="D8079:F8079"/>
    <mergeCell ref="D8080:F8080"/>
    <mergeCell ref="D8081:F8081"/>
    <mergeCell ref="D8082:F8082"/>
    <mergeCell ref="D8071:F8071"/>
    <mergeCell ref="D8072:F8072"/>
    <mergeCell ref="D8073:F8073"/>
    <mergeCell ref="D8074:F8074"/>
    <mergeCell ref="D8075:F8075"/>
    <mergeCell ref="D8076:F8076"/>
    <mergeCell ref="D8065:F8065"/>
    <mergeCell ref="D8066:F8066"/>
    <mergeCell ref="D8067:F8067"/>
    <mergeCell ref="D8068:F8068"/>
    <mergeCell ref="D8069:F8069"/>
    <mergeCell ref="D8070:F8070"/>
    <mergeCell ref="D8059:F8059"/>
    <mergeCell ref="D8060:F8060"/>
    <mergeCell ref="D8061:F8061"/>
    <mergeCell ref="D8062:F8062"/>
    <mergeCell ref="D8063:F8063"/>
    <mergeCell ref="D8064:F8064"/>
    <mergeCell ref="D8053:F8053"/>
    <mergeCell ref="D8054:F8054"/>
    <mergeCell ref="D8055:F8055"/>
    <mergeCell ref="D8056:F8056"/>
    <mergeCell ref="D8057:F8057"/>
    <mergeCell ref="D8058:F8058"/>
    <mergeCell ref="D8047:F8047"/>
    <mergeCell ref="D8048:F8048"/>
    <mergeCell ref="D8049:F8049"/>
    <mergeCell ref="D8050:F8050"/>
    <mergeCell ref="D8051:F8051"/>
    <mergeCell ref="D8052:F8052"/>
    <mergeCell ref="D8113:F8113"/>
    <mergeCell ref="D8114:F8114"/>
    <mergeCell ref="D8115:F8115"/>
    <mergeCell ref="D8116:F8116"/>
    <mergeCell ref="D8117:F8117"/>
    <mergeCell ref="D8118:F8118"/>
    <mergeCell ref="D8107:F8107"/>
    <mergeCell ref="D8108:F8108"/>
    <mergeCell ref="D8109:F8109"/>
    <mergeCell ref="D8110:F8110"/>
    <mergeCell ref="D8111:F8111"/>
    <mergeCell ref="D8112:F8112"/>
    <mergeCell ref="D8101:F8101"/>
    <mergeCell ref="D8102:F8102"/>
    <mergeCell ref="D8103:F8103"/>
    <mergeCell ref="D8104:F8104"/>
    <mergeCell ref="D8105:F8105"/>
    <mergeCell ref="D8106:F8106"/>
    <mergeCell ref="D8095:F8095"/>
    <mergeCell ref="D8096:F8096"/>
    <mergeCell ref="D8097:F8097"/>
    <mergeCell ref="D8098:F8098"/>
    <mergeCell ref="D8099:F8099"/>
    <mergeCell ref="D8100:F8100"/>
    <mergeCell ref="D8089:F8089"/>
    <mergeCell ref="D8090:F8090"/>
    <mergeCell ref="D8091:F8091"/>
    <mergeCell ref="D8092:F8092"/>
    <mergeCell ref="D8093:F8093"/>
    <mergeCell ref="D8094:F8094"/>
    <mergeCell ref="D8083:F8083"/>
    <mergeCell ref="D8084:F8084"/>
    <mergeCell ref="D8085:F8085"/>
    <mergeCell ref="D8086:F8086"/>
    <mergeCell ref="D8087:F8087"/>
    <mergeCell ref="D8088:F8088"/>
    <mergeCell ref="D8149:F8149"/>
    <mergeCell ref="D8150:F8150"/>
    <mergeCell ref="D8151:F8151"/>
    <mergeCell ref="D8152:F8152"/>
    <mergeCell ref="D8153:F8153"/>
    <mergeCell ref="D8154:F8154"/>
    <mergeCell ref="D8143:F8143"/>
    <mergeCell ref="D8144:F8144"/>
    <mergeCell ref="D8145:F8145"/>
    <mergeCell ref="D8146:F8146"/>
    <mergeCell ref="D8147:F8147"/>
    <mergeCell ref="D8148:F8148"/>
    <mergeCell ref="D8137:F8137"/>
    <mergeCell ref="D8138:F8138"/>
    <mergeCell ref="D8139:F8139"/>
    <mergeCell ref="D8140:F8140"/>
    <mergeCell ref="D8141:F8141"/>
    <mergeCell ref="D8142:F8142"/>
    <mergeCell ref="D8131:F8131"/>
    <mergeCell ref="D8132:F8132"/>
    <mergeCell ref="D8133:F8133"/>
    <mergeCell ref="D8134:F8134"/>
    <mergeCell ref="D8135:F8135"/>
    <mergeCell ref="D8136:F8136"/>
    <mergeCell ref="D8125:F8125"/>
    <mergeCell ref="D8126:F8126"/>
    <mergeCell ref="D8127:F8127"/>
    <mergeCell ref="D8128:F8128"/>
    <mergeCell ref="D8129:F8129"/>
    <mergeCell ref="D8130:F8130"/>
    <mergeCell ref="D8119:F8119"/>
    <mergeCell ref="D8120:F8120"/>
    <mergeCell ref="D8121:F8121"/>
    <mergeCell ref="D8122:F8122"/>
    <mergeCell ref="D8123:F8123"/>
    <mergeCell ref="D8124:F8124"/>
    <mergeCell ref="D8185:F8185"/>
    <mergeCell ref="D8186:F8186"/>
    <mergeCell ref="D8187:F8187"/>
    <mergeCell ref="D8188:F8188"/>
    <mergeCell ref="D8189:F8189"/>
    <mergeCell ref="D8190:F8190"/>
    <mergeCell ref="D8179:F8179"/>
    <mergeCell ref="D8180:F8180"/>
    <mergeCell ref="D8181:F8181"/>
    <mergeCell ref="D8182:F8182"/>
    <mergeCell ref="D8183:F8183"/>
    <mergeCell ref="D8184:F8184"/>
    <mergeCell ref="D8173:F8173"/>
    <mergeCell ref="D8174:F8174"/>
    <mergeCell ref="D8175:F8175"/>
    <mergeCell ref="D8176:F8176"/>
    <mergeCell ref="D8177:F8177"/>
    <mergeCell ref="D8178:F8178"/>
    <mergeCell ref="D8167:F8167"/>
    <mergeCell ref="D8168:F8168"/>
    <mergeCell ref="D8169:F8169"/>
    <mergeCell ref="D8170:F8170"/>
    <mergeCell ref="D8171:F8171"/>
    <mergeCell ref="D8172:F8172"/>
    <mergeCell ref="D8161:F8161"/>
    <mergeCell ref="D8162:F8162"/>
    <mergeCell ref="D8163:F8163"/>
    <mergeCell ref="D8164:F8164"/>
    <mergeCell ref="D8165:F8165"/>
    <mergeCell ref="D8166:F8166"/>
    <mergeCell ref="D8155:F8155"/>
    <mergeCell ref="D8156:F8156"/>
    <mergeCell ref="D8157:F8157"/>
    <mergeCell ref="D8158:F8158"/>
    <mergeCell ref="D8159:F8159"/>
    <mergeCell ref="D8160:F8160"/>
    <mergeCell ref="D8221:F8221"/>
    <mergeCell ref="D8222:F8222"/>
    <mergeCell ref="D8223:F8223"/>
    <mergeCell ref="D8224:F8224"/>
    <mergeCell ref="D8225:F8225"/>
    <mergeCell ref="D8226:F8226"/>
    <mergeCell ref="D8215:F8215"/>
    <mergeCell ref="D8216:F8216"/>
    <mergeCell ref="D8217:F8217"/>
    <mergeCell ref="D8218:F8218"/>
    <mergeCell ref="D8219:F8219"/>
    <mergeCell ref="D8220:F8220"/>
    <mergeCell ref="D8209:F8209"/>
    <mergeCell ref="D8210:F8210"/>
    <mergeCell ref="D8211:F8211"/>
    <mergeCell ref="D8212:F8212"/>
    <mergeCell ref="D8213:F8213"/>
    <mergeCell ref="D8214:F8214"/>
    <mergeCell ref="D8203:F8203"/>
    <mergeCell ref="D8204:F8204"/>
    <mergeCell ref="D8205:F8205"/>
    <mergeCell ref="D8206:F8206"/>
    <mergeCell ref="D8207:F8207"/>
    <mergeCell ref="D8208:F8208"/>
    <mergeCell ref="D8197:F8197"/>
    <mergeCell ref="D8198:F8198"/>
    <mergeCell ref="D8199:F8199"/>
    <mergeCell ref="D8200:F8200"/>
    <mergeCell ref="D8201:F8201"/>
    <mergeCell ref="D8202:F8202"/>
    <mergeCell ref="D8191:F8191"/>
    <mergeCell ref="D8192:F8192"/>
    <mergeCell ref="D8193:F8193"/>
    <mergeCell ref="D8194:F8194"/>
    <mergeCell ref="D8195:F8195"/>
    <mergeCell ref="D8196:F8196"/>
    <mergeCell ref="D8257:F8257"/>
    <mergeCell ref="D8258:F8258"/>
    <mergeCell ref="D8259:F8259"/>
    <mergeCell ref="D8260:F8260"/>
    <mergeCell ref="D8261:F8261"/>
    <mergeCell ref="D8262:F8262"/>
    <mergeCell ref="D8251:F8251"/>
    <mergeCell ref="D8252:F8252"/>
    <mergeCell ref="D8253:F8253"/>
    <mergeCell ref="D8254:F8254"/>
    <mergeCell ref="D8255:F8255"/>
    <mergeCell ref="D8256:F8256"/>
    <mergeCell ref="D8245:F8245"/>
    <mergeCell ref="D8246:F8246"/>
    <mergeCell ref="D8247:F8247"/>
    <mergeCell ref="D8248:F8248"/>
    <mergeCell ref="D8249:F8249"/>
    <mergeCell ref="D8250:F8250"/>
    <mergeCell ref="D8239:F8239"/>
    <mergeCell ref="D8240:F8240"/>
    <mergeCell ref="D8241:F8241"/>
    <mergeCell ref="D8242:F8242"/>
    <mergeCell ref="D8243:F8243"/>
    <mergeCell ref="D8244:F8244"/>
    <mergeCell ref="D8233:F8233"/>
    <mergeCell ref="D8234:F8234"/>
    <mergeCell ref="D8235:F8235"/>
    <mergeCell ref="D8236:F8236"/>
    <mergeCell ref="D8237:F8237"/>
    <mergeCell ref="D8238:F8238"/>
    <mergeCell ref="D8227:F8227"/>
    <mergeCell ref="D8228:F8228"/>
    <mergeCell ref="D8229:F8229"/>
    <mergeCell ref="D8230:F8230"/>
    <mergeCell ref="D8231:F8231"/>
    <mergeCell ref="D8232:F8232"/>
    <mergeCell ref="D8293:F8293"/>
    <mergeCell ref="D8294:F8294"/>
    <mergeCell ref="D8295:F8295"/>
    <mergeCell ref="D8296:F8296"/>
    <mergeCell ref="D8297:F8297"/>
    <mergeCell ref="D8298:F8298"/>
    <mergeCell ref="D8287:F8287"/>
    <mergeCell ref="D8288:F8288"/>
    <mergeCell ref="D8289:F8289"/>
    <mergeCell ref="D8290:F8290"/>
    <mergeCell ref="D8291:F8291"/>
    <mergeCell ref="D8292:F8292"/>
    <mergeCell ref="D8281:F8281"/>
    <mergeCell ref="D8282:F8282"/>
    <mergeCell ref="D8283:F8283"/>
    <mergeCell ref="D8284:F8284"/>
    <mergeCell ref="D8285:F8285"/>
    <mergeCell ref="D8286:F8286"/>
    <mergeCell ref="D8275:F8275"/>
    <mergeCell ref="D8276:F8276"/>
    <mergeCell ref="D8277:F8277"/>
    <mergeCell ref="D8278:F8278"/>
    <mergeCell ref="D8279:F8279"/>
    <mergeCell ref="D8280:F8280"/>
    <mergeCell ref="D8269:F8269"/>
    <mergeCell ref="D8270:F8270"/>
    <mergeCell ref="D8271:F8271"/>
    <mergeCell ref="D8272:F8272"/>
    <mergeCell ref="D8273:F8273"/>
    <mergeCell ref="D8274:F8274"/>
    <mergeCell ref="D8263:F8263"/>
    <mergeCell ref="D8264:F8264"/>
    <mergeCell ref="D8265:F8265"/>
    <mergeCell ref="D8266:F8266"/>
    <mergeCell ref="D8267:F8267"/>
    <mergeCell ref="D8268:F8268"/>
    <mergeCell ref="D8329:F8329"/>
    <mergeCell ref="D8330:F8330"/>
    <mergeCell ref="D8331:F8331"/>
    <mergeCell ref="D8332:F8332"/>
    <mergeCell ref="D8333:F8333"/>
    <mergeCell ref="D8334:F8334"/>
    <mergeCell ref="D8323:F8323"/>
    <mergeCell ref="D8324:F8324"/>
    <mergeCell ref="D8325:F8325"/>
    <mergeCell ref="D8326:F8326"/>
    <mergeCell ref="D8327:F8327"/>
    <mergeCell ref="D8328:F8328"/>
    <mergeCell ref="D8317:F8317"/>
    <mergeCell ref="D8318:F8318"/>
    <mergeCell ref="D8319:F8319"/>
    <mergeCell ref="D8320:F8320"/>
    <mergeCell ref="D8321:F8321"/>
    <mergeCell ref="D8322:F8322"/>
    <mergeCell ref="D8311:F8311"/>
    <mergeCell ref="D8312:F8312"/>
    <mergeCell ref="D8313:F8313"/>
    <mergeCell ref="D8314:F8314"/>
    <mergeCell ref="D8315:F8315"/>
    <mergeCell ref="D8316:F8316"/>
    <mergeCell ref="D8305:F8305"/>
    <mergeCell ref="D8306:F8306"/>
    <mergeCell ref="D8307:F8307"/>
    <mergeCell ref="D8308:F8308"/>
    <mergeCell ref="D8309:F8309"/>
    <mergeCell ref="D8310:F8310"/>
    <mergeCell ref="D8299:F8299"/>
    <mergeCell ref="D8300:F8300"/>
    <mergeCell ref="D8301:F8301"/>
    <mergeCell ref="D8302:F8302"/>
    <mergeCell ref="D8303:F8303"/>
    <mergeCell ref="D8304:F8304"/>
    <mergeCell ref="D8365:F8365"/>
    <mergeCell ref="D8366:F8366"/>
    <mergeCell ref="D8367:F8367"/>
    <mergeCell ref="D8368:F8368"/>
    <mergeCell ref="D8369:F8369"/>
    <mergeCell ref="D8370:F8370"/>
    <mergeCell ref="D8359:F8359"/>
    <mergeCell ref="D8360:F8360"/>
    <mergeCell ref="D8361:F8361"/>
    <mergeCell ref="D8362:F8362"/>
    <mergeCell ref="D8363:F8363"/>
    <mergeCell ref="D8364:F8364"/>
    <mergeCell ref="D8353:F8353"/>
    <mergeCell ref="D8354:F8354"/>
    <mergeCell ref="D8355:F8355"/>
    <mergeCell ref="D8356:F8356"/>
    <mergeCell ref="D8357:F8357"/>
    <mergeCell ref="D8358:F8358"/>
    <mergeCell ref="D8347:F8347"/>
    <mergeCell ref="D8348:F8348"/>
    <mergeCell ref="D8349:F8349"/>
    <mergeCell ref="D8350:F8350"/>
    <mergeCell ref="D8351:F8351"/>
    <mergeCell ref="D8352:F8352"/>
    <mergeCell ref="D8341:F8341"/>
    <mergeCell ref="D8342:F8342"/>
    <mergeCell ref="D8343:F8343"/>
    <mergeCell ref="D8344:F8344"/>
    <mergeCell ref="D8345:F8345"/>
    <mergeCell ref="D8346:F8346"/>
    <mergeCell ref="D8335:F8335"/>
    <mergeCell ref="D8336:F8336"/>
    <mergeCell ref="D8337:F8337"/>
    <mergeCell ref="D8338:F8338"/>
    <mergeCell ref="D8339:F8339"/>
    <mergeCell ref="D8340:F8340"/>
    <mergeCell ref="D8401:F8401"/>
    <mergeCell ref="D8402:F8402"/>
    <mergeCell ref="D8403:F8403"/>
    <mergeCell ref="D8404:F8404"/>
    <mergeCell ref="D8405:F8405"/>
    <mergeCell ref="D8406:F8406"/>
    <mergeCell ref="D8395:F8395"/>
    <mergeCell ref="D8396:F8396"/>
    <mergeCell ref="D8397:F8397"/>
    <mergeCell ref="D8398:F8398"/>
    <mergeCell ref="D8399:F8399"/>
    <mergeCell ref="D8400:F8400"/>
    <mergeCell ref="D8389:F8389"/>
    <mergeCell ref="D8390:F8390"/>
    <mergeCell ref="D8391:F8391"/>
    <mergeCell ref="D8392:F8392"/>
    <mergeCell ref="D8393:F8393"/>
    <mergeCell ref="D8394:F8394"/>
    <mergeCell ref="D8383:F8383"/>
    <mergeCell ref="D8384:F8384"/>
    <mergeCell ref="D8385:F8385"/>
    <mergeCell ref="D8386:F8386"/>
    <mergeCell ref="D8387:F8387"/>
    <mergeCell ref="D8388:F8388"/>
    <mergeCell ref="D8377:F8377"/>
    <mergeCell ref="D8378:F8378"/>
    <mergeCell ref="D8379:F8379"/>
    <mergeCell ref="D8380:F8380"/>
    <mergeCell ref="D8381:F8381"/>
    <mergeCell ref="D8382:F8382"/>
    <mergeCell ref="D8371:F8371"/>
    <mergeCell ref="D8372:F8372"/>
    <mergeCell ref="D8373:F8373"/>
    <mergeCell ref="D8374:F8374"/>
    <mergeCell ref="D8375:F8375"/>
    <mergeCell ref="D8376:F8376"/>
    <mergeCell ref="D8437:F8437"/>
    <mergeCell ref="D8438:F8438"/>
    <mergeCell ref="D8439:F8439"/>
    <mergeCell ref="D8440:F8440"/>
    <mergeCell ref="D8441:F8441"/>
    <mergeCell ref="D8442:F8442"/>
    <mergeCell ref="D8431:F8431"/>
    <mergeCell ref="D8432:F8432"/>
    <mergeCell ref="D8433:F8433"/>
    <mergeCell ref="D8434:F8434"/>
    <mergeCell ref="D8435:F8435"/>
    <mergeCell ref="D8436:F8436"/>
    <mergeCell ref="D8425:F8425"/>
    <mergeCell ref="D8426:F8426"/>
    <mergeCell ref="D8427:F8427"/>
    <mergeCell ref="D8428:F8428"/>
    <mergeCell ref="D8429:F8429"/>
    <mergeCell ref="D8430:F8430"/>
    <mergeCell ref="D8419:F8419"/>
    <mergeCell ref="D8420:F8420"/>
    <mergeCell ref="D8421:F8421"/>
    <mergeCell ref="D8422:F8422"/>
    <mergeCell ref="D8423:F8423"/>
    <mergeCell ref="D8424:F8424"/>
    <mergeCell ref="D8413:F8413"/>
    <mergeCell ref="D8414:F8414"/>
    <mergeCell ref="D8415:F8415"/>
    <mergeCell ref="D8416:F8416"/>
    <mergeCell ref="D8417:F8417"/>
    <mergeCell ref="D8418:F8418"/>
    <mergeCell ref="D8407:F8407"/>
    <mergeCell ref="D8408:F8408"/>
    <mergeCell ref="D8409:F8409"/>
    <mergeCell ref="D8410:F8410"/>
    <mergeCell ref="D8411:F8411"/>
    <mergeCell ref="D8412:F8412"/>
    <mergeCell ref="D8473:F8473"/>
    <mergeCell ref="D8474:F8474"/>
    <mergeCell ref="D8475:F8475"/>
    <mergeCell ref="D8476:F8476"/>
    <mergeCell ref="D8477:F8477"/>
    <mergeCell ref="D8478:F8478"/>
    <mergeCell ref="D8467:F8467"/>
    <mergeCell ref="D8468:F8468"/>
    <mergeCell ref="D8469:F8469"/>
    <mergeCell ref="D8470:F8470"/>
    <mergeCell ref="D8471:F8471"/>
    <mergeCell ref="D8472:F8472"/>
    <mergeCell ref="D8461:F8461"/>
    <mergeCell ref="D8462:F8462"/>
    <mergeCell ref="D8463:F8463"/>
    <mergeCell ref="D8464:F8464"/>
    <mergeCell ref="D8465:F8465"/>
    <mergeCell ref="D8466:F8466"/>
    <mergeCell ref="D8455:F8455"/>
    <mergeCell ref="D8456:F8456"/>
    <mergeCell ref="D8457:F8457"/>
    <mergeCell ref="D8458:F8458"/>
    <mergeCell ref="D8459:F8459"/>
    <mergeCell ref="D8460:F8460"/>
    <mergeCell ref="D8449:F8449"/>
    <mergeCell ref="D8450:F8450"/>
    <mergeCell ref="D8451:F8451"/>
    <mergeCell ref="D8452:F8452"/>
    <mergeCell ref="D8453:F8453"/>
    <mergeCell ref="D8454:F8454"/>
    <mergeCell ref="D8443:F8443"/>
    <mergeCell ref="D8444:F8444"/>
    <mergeCell ref="D8445:F8445"/>
    <mergeCell ref="D8446:F8446"/>
    <mergeCell ref="D8447:F8447"/>
    <mergeCell ref="D8448:F8448"/>
    <mergeCell ref="D8509:F8509"/>
    <mergeCell ref="D8510:F8510"/>
    <mergeCell ref="D8511:F8511"/>
    <mergeCell ref="D8512:F8512"/>
    <mergeCell ref="D8513:F8513"/>
    <mergeCell ref="D8514:F8514"/>
    <mergeCell ref="D8503:F8503"/>
    <mergeCell ref="D8504:F8504"/>
    <mergeCell ref="D8505:F8505"/>
    <mergeCell ref="D8506:F8506"/>
    <mergeCell ref="D8507:F8507"/>
    <mergeCell ref="D8508:F8508"/>
    <mergeCell ref="D8497:F8497"/>
    <mergeCell ref="D8498:F8498"/>
    <mergeCell ref="D8499:F8499"/>
    <mergeCell ref="D8500:F8500"/>
    <mergeCell ref="D8501:F8501"/>
    <mergeCell ref="D8502:F8502"/>
    <mergeCell ref="D8491:F8491"/>
    <mergeCell ref="D8492:F8492"/>
    <mergeCell ref="D8493:F8493"/>
    <mergeCell ref="D8494:F8494"/>
    <mergeCell ref="D8495:F8495"/>
    <mergeCell ref="D8496:F8496"/>
    <mergeCell ref="D8485:F8485"/>
    <mergeCell ref="D8486:F8486"/>
    <mergeCell ref="D8487:F8487"/>
    <mergeCell ref="D8488:F8488"/>
    <mergeCell ref="D8489:F8489"/>
    <mergeCell ref="D8490:F8490"/>
    <mergeCell ref="D8479:F8479"/>
    <mergeCell ref="D8480:F8480"/>
    <mergeCell ref="D8481:F8481"/>
    <mergeCell ref="D8482:F8482"/>
    <mergeCell ref="D8483:F8483"/>
    <mergeCell ref="D8484:F8484"/>
    <mergeCell ref="D8545:F8545"/>
    <mergeCell ref="D8546:F8546"/>
    <mergeCell ref="D8547:F8547"/>
    <mergeCell ref="D8548:F8548"/>
    <mergeCell ref="D8549:F8549"/>
    <mergeCell ref="D8550:F8550"/>
    <mergeCell ref="D8539:F8539"/>
    <mergeCell ref="D8540:F8540"/>
    <mergeCell ref="D8541:F8541"/>
    <mergeCell ref="D8542:F8542"/>
    <mergeCell ref="D8543:F8543"/>
    <mergeCell ref="D8544:F8544"/>
    <mergeCell ref="D8533:F8533"/>
    <mergeCell ref="D8534:F8534"/>
    <mergeCell ref="D8535:F8535"/>
    <mergeCell ref="D8536:F8536"/>
    <mergeCell ref="D8537:F8537"/>
    <mergeCell ref="D8538:F8538"/>
    <mergeCell ref="D8527:F8527"/>
    <mergeCell ref="D8528:F8528"/>
    <mergeCell ref="D8529:F8529"/>
    <mergeCell ref="D8530:F8530"/>
    <mergeCell ref="D8531:F8531"/>
    <mergeCell ref="D8532:F8532"/>
    <mergeCell ref="D8521:F8521"/>
    <mergeCell ref="D8522:F8522"/>
    <mergeCell ref="D8523:F8523"/>
    <mergeCell ref="D8524:F8524"/>
    <mergeCell ref="D8525:F8525"/>
    <mergeCell ref="D8526:F8526"/>
    <mergeCell ref="D8515:F8515"/>
    <mergeCell ref="D8516:F8516"/>
    <mergeCell ref="D8517:F8517"/>
    <mergeCell ref="D8518:F8518"/>
    <mergeCell ref="D8519:F8519"/>
    <mergeCell ref="D8520:F8520"/>
    <mergeCell ref="D8581:F8581"/>
    <mergeCell ref="D8582:F8582"/>
    <mergeCell ref="D8583:F8583"/>
    <mergeCell ref="D8584:F8584"/>
    <mergeCell ref="D8585:F8585"/>
    <mergeCell ref="D8586:F8586"/>
    <mergeCell ref="D8575:F8575"/>
    <mergeCell ref="D8576:F8576"/>
    <mergeCell ref="D8577:F8577"/>
    <mergeCell ref="D8578:F8578"/>
    <mergeCell ref="D8579:F8579"/>
    <mergeCell ref="D8580:F8580"/>
    <mergeCell ref="D8569:F8569"/>
    <mergeCell ref="D8570:F8570"/>
    <mergeCell ref="D8571:F8571"/>
    <mergeCell ref="D8572:F8572"/>
    <mergeCell ref="D8573:F8573"/>
    <mergeCell ref="D8574:F8574"/>
    <mergeCell ref="D8563:F8563"/>
    <mergeCell ref="D8564:F8564"/>
    <mergeCell ref="D8565:F8565"/>
    <mergeCell ref="D8566:F8566"/>
    <mergeCell ref="D8567:F8567"/>
    <mergeCell ref="D8568:F8568"/>
    <mergeCell ref="D8557:F8557"/>
    <mergeCell ref="D8558:F8558"/>
    <mergeCell ref="D8559:F8559"/>
    <mergeCell ref="D8560:F8560"/>
    <mergeCell ref="D8561:F8561"/>
    <mergeCell ref="D8562:F8562"/>
    <mergeCell ref="D8551:F8551"/>
    <mergeCell ref="D8552:F8552"/>
    <mergeCell ref="D8553:F8553"/>
    <mergeCell ref="D8554:F8554"/>
    <mergeCell ref="D8555:F8555"/>
    <mergeCell ref="D8556:F8556"/>
    <mergeCell ref="D8617:F8617"/>
    <mergeCell ref="D8618:F8618"/>
    <mergeCell ref="D8619:F8619"/>
    <mergeCell ref="D8620:F8620"/>
    <mergeCell ref="D8621:F8621"/>
    <mergeCell ref="D8622:F8622"/>
    <mergeCell ref="D8611:F8611"/>
    <mergeCell ref="D8612:F8612"/>
    <mergeCell ref="D8613:F8613"/>
    <mergeCell ref="D8614:F8614"/>
    <mergeCell ref="D8615:F8615"/>
    <mergeCell ref="D8616:F8616"/>
    <mergeCell ref="D8605:F8605"/>
    <mergeCell ref="D8606:F8606"/>
    <mergeCell ref="D8607:F8607"/>
    <mergeCell ref="D8608:F8608"/>
    <mergeCell ref="D8609:F8609"/>
    <mergeCell ref="D8610:F8610"/>
    <mergeCell ref="D8599:F8599"/>
    <mergeCell ref="D8600:F8600"/>
    <mergeCell ref="D8601:F8601"/>
    <mergeCell ref="D8602:F8602"/>
    <mergeCell ref="D8603:F8603"/>
    <mergeCell ref="D8604:F8604"/>
    <mergeCell ref="D8593:F8593"/>
    <mergeCell ref="D8594:F8594"/>
    <mergeCell ref="D8595:F8595"/>
    <mergeCell ref="D8596:F8596"/>
    <mergeCell ref="D8597:F8597"/>
    <mergeCell ref="D8598:F8598"/>
    <mergeCell ref="D8587:F8587"/>
    <mergeCell ref="D8588:F8588"/>
    <mergeCell ref="D8589:F8589"/>
    <mergeCell ref="D8590:F8590"/>
    <mergeCell ref="D8591:F8591"/>
    <mergeCell ref="D8592:F8592"/>
    <mergeCell ref="D8653:F8653"/>
    <mergeCell ref="D8654:F8654"/>
    <mergeCell ref="D8655:F8655"/>
    <mergeCell ref="D8656:F8656"/>
    <mergeCell ref="D8657:F8657"/>
    <mergeCell ref="D8658:F8658"/>
    <mergeCell ref="D8647:F8647"/>
    <mergeCell ref="D8648:F8648"/>
    <mergeCell ref="D8649:F8649"/>
    <mergeCell ref="D8650:F8650"/>
    <mergeCell ref="D8651:F8651"/>
    <mergeCell ref="D8652:F8652"/>
    <mergeCell ref="D8641:F8641"/>
    <mergeCell ref="D8642:F8642"/>
    <mergeCell ref="D8643:F8643"/>
    <mergeCell ref="D8644:F8644"/>
    <mergeCell ref="D8645:F8645"/>
    <mergeCell ref="D8646:F8646"/>
    <mergeCell ref="D8635:F8635"/>
    <mergeCell ref="D8636:F8636"/>
    <mergeCell ref="D8637:F8637"/>
    <mergeCell ref="D8638:F8638"/>
    <mergeCell ref="D8639:F8639"/>
    <mergeCell ref="D8640:F8640"/>
    <mergeCell ref="D8629:F8629"/>
    <mergeCell ref="D8630:F8630"/>
    <mergeCell ref="D8631:F8631"/>
    <mergeCell ref="D8632:F8632"/>
    <mergeCell ref="D8633:F8633"/>
    <mergeCell ref="D8634:F8634"/>
    <mergeCell ref="D8623:F8623"/>
    <mergeCell ref="D8624:F8624"/>
    <mergeCell ref="D8625:F8625"/>
    <mergeCell ref="D8626:F8626"/>
    <mergeCell ref="D8627:F8627"/>
    <mergeCell ref="D8628:F8628"/>
    <mergeCell ref="D8689:F8689"/>
    <mergeCell ref="D8690:F8690"/>
    <mergeCell ref="D8691:F8691"/>
    <mergeCell ref="D8692:F8692"/>
    <mergeCell ref="D8693:F8693"/>
    <mergeCell ref="D8694:F8694"/>
    <mergeCell ref="D8683:F8683"/>
    <mergeCell ref="D8684:F8684"/>
    <mergeCell ref="D8685:F8685"/>
    <mergeCell ref="D8686:F8686"/>
    <mergeCell ref="D8687:F8687"/>
    <mergeCell ref="D8688:F8688"/>
    <mergeCell ref="D8677:F8677"/>
    <mergeCell ref="D8678:F8678"/>
    <mergeCell ref="D8679:F8679"/>
    <mergeCell ref="D8680:F8680"/>
    <mergeCell ref="D8681:F8681"/>
    <mergeCell ref="D8682:F8682"/>
    <mergeCell ref="D8671:F8671"/>
    <mergeCell ref="D8672:F8672"/>
    <mergeCell ref="D8673:F8673"/>
    <mergeCell ref="D8674:F8674"/>
    <mergeCell ref="D8675:F8675"/>
    <mergeCell ref="D8676:F8676"/>
    <mergeCell ref="D8665:F8665"/>
    <mergeCell ref="D8666:F8666"/>
    <mergeCell ref="D8667:F8667"/>
    <mergeCell ref="D8668:F8668"/>
    <mergeCell ref="D8669:F8669"/>
    <mergeCell ref="D8670:F8670"/>
    <mergeCell ref="D8659:F8659"/>
    <mergeCell ref="D8660:F8660"/>
    <mergeCell ref="D8661:F8661"/>
    <mergeCell ref="D8662:F8662"/>
    <mergeCell ref="D8663:F8663"/>
    <mergeCell ref="D8664:F8664"/>
    <mergeCell ref="D8725:F8725"/>
    <mergeCell ref="D8726:F8726"/>
    <mergeCell ref="D8727:F8727"/>
    <mergeCell ref="D8728:F8728"/>
    <mergeCell ref="D8729:F8729"/>
    <mergeCell ref="D8730:F8730"/>
    <mergeCell ref="D8719:F8719"/>
    <mergeCell ref="D8720:F8720"/>
    <mergeCell ref="D8721:F8721"/>
    <mergeCell ref="D8722:F8722"/>
    <mergeCell ref="D8723:F8723"/>
    <mergeCell ref="D8724:F8724"/>
    <mergeCell ref="D8713:F8713"/>
    <mergeCell ref="D8714:F8714"/>
    <mergeCell ref="D8715:F8715"/>
    <mergeCell ref="D8716:F8716"/>
    <mergeCell ref="D8717:F8717"/>
    <mergeCell ref="D8718:F8718"/>
    <mergeCell ref="D8707:F8707"/>
    <mergeCell ref="D8708:F8708"/>
    <mergeCell ref="D8709:F8709"/>
    <mergeCell ref="D8710:F8710"/>
    <mergeCell ref="D8711:F8711"/>
    <mergeCell ref="D8712:F8712"/>
    <mergeCell ref="D8701:F8701"/>
    <mergeCell ref="D8702:F8702"/>
    <mergeCell ref="D8703:F8703"/>
    <mergeCell ref="D8704:F8704"/>
    <mergeCell ref="D8705:F8705"/>
    <mergeCell ref="D8706:F8706"/>
    <mergeCell ref="D8695:F8695"/>
    <mergeCell ref="D8696:F8696"/>
    <mergeCell ref="D8697:F8697"/>
    <mergeCell ref="D8698:F8698"/>
    <mergeCell ref="D8699:F8699"/>
    <mergeCell ref="D8700:F8700"/>
    <mergeCell ref="D8761:F8761"/>
    <mergeCell ref="D8762:F8762"/>
    <mergeCell ref="D8763:F8763"/>
    <mergeCell ref="D8764:F8764"/>
    <mergeCell ref="D8765:F8765"/>
    <mergeCell ref="D8766:F8766"/>
    <mergeCell ref="D8755:F8755"/>
    <mergeCell ref="D8756:F8756"/>
    <mergeCell ref="D8757:F8757"/>
    <mergeCell ref="D8758:F8758"/>
    <mergeCell ref="D8759:F8759"/>
    <mergeCell ref="D8760:F8760"/>
    <mergeCell ref="D8749:F8749"/>
    <mergeCell ref="D8750:F8750"/>
    <mergeCell ref="D8751:F8751"/>
    <mergeCell ref="D8752:F8752"/>
    <mergeCell ref="D8753:F8753"/>
    <mergeCell ref="D8754:F8754"/>
    <mergeCell ref="D8743:F8743"/>
    <mergeCell ref="D8744:F8744"/>
    <mergeCell ref="D8745:F8745"/>
    <mergeCell ref="D8746:F8746"/>
    <mergeCell ref="D8747:F8747"/>
    <mergeCell ref="D8748:F8748"/>
    <mergeCell ref="D8737:F8737"/>
    <mergeCell ref="D8738:F8738"/>
    <mergeCell ref="D8739:F8739"/>
    <mergeCell ref="D8740:F8740"/>
    <mergeCell ref="D8741:F8741"/>
    <mergeCell ref="D8742:F8742"/>
    <mergeCell ref="D8731:F8731"/>
    <mergeCell ref="D8732:F8732"/>
    <mergeCell ref="D8733:F8733"/>
    <mergeCell ref="D8734:F8734"/>
    <mergeCell ref="D8735:F8735"/>
    <mergeCell ref="D8736:F8736"/>
    <mergeCell ref="D8797:F8797"/>
    <mergeCell ref="D8798:F8798"/>
    <mergeCell ref="D8799:F8799"/>
    <mergeCell ref="D8800:F8800"/>
    <mergeCell ref="D8801:F8801"/>
    <mergeCell ref="D8802:F8802"/>
    <mergeCell ref="D8791:F8791"/>
    <mergeCell ref="D8792:F8792"/>
    <mergeCell ref="D8793:F8793"/>
    <mergeCell ref="D8794:F8794"/>
    <mergeCell ref="D8795:F8795"/>
    <mergeCell ref="D8796:F8796"/>
    <mergeCell ref="D8785:F8785"/>
    <mergeCell ref="D8786:F8786"/>
    <mergeCell ref="D8787:F8787"/>
    <mergeCell ref="D8788:F8788"/>
    <mergeCell ref="D8789:F8789"/>
    <mergeCell ref="D8790:F8790"/>
    <mergeCell ref="D8779:F8779"/>
    <mergeCell ref="D8780:F8780"/>
    <mergeCell ref="D8781:F8781"/>
    <mergeCell ref="D8782:F8782"/>
    <mergeCell ref="D8783:F8783"/>
    <mergeCell ref="D8784:F8784"/>
    <mergeCell ref="D8773:F8773"/>
    <mergeCell ref="D8774:F8774"/>
    <mergeCell ref="D8775:F8775"/>
    <mergeCell ref="D8776:F8776"/>
    <mergeCell ref="D8777:F8777"/>
    <mergeCell ref="D8778:F8778"/>
    <mergeCell ref="D8767:F8767"/>
    <mergeCell ref="D8768:F8768"/>
    <mergeCell ref="D8769:F8769"/>
    <mergeCell ref="D8770:F8770"/>
    <mergeCell ref="D8771:F8771"/>
    <mergeCell ref="D8772:F8772"/>
    <mergeCell ref="D8833:F8833"/>
    <mergeCell ref="D8834:F8834"/>
    <mergeCell ref="D8835:F8835"/>
    <mergeCell ref="D8836:F8836"/>
    <mergeCell ref="D8837:F8837"/>
    <mergeCell ref="D8838:F8838"/>
    <mergeCell ref="D8827:F8827"/>
    <mergeCell ref="D8828:F8828"/>
    <mergeCell ref="D8829:F8829"/>
    <mergeCell ref="D8830:F8830"/>
    <mergeCell ref="D8831:F8831"/>
    <mergeCell ref="D8832:F8832"/>
    <mergeCell ref="D8821:F8821"/>
    <mergeCell ref="D8822:F8822"/>
    <mergeCell ref="D8823:F8823"/>
    <mergeCell ref="D8824:F8824"/>
    <mergeCell ref="D8825:F8825"/>
    <mergeCell ref="D8826:F8826"/>
    <mergeCell ref="D8815:F8815"/>
    <mergeCell ref="D8816:F8816"/>
    <mergeCell ref="D8817:F8817"/>
    <mergeCell ref="D8818:F8818"/>
    <mergeCell ref="D8819:F8819"/>
    <mergeCell ref="D8820:F8820"/>
    <mergeCell ref="D8809:F8809"/>
    <mergeCell ref="D8810:F8810"/>
    <mergeCell ref="D8811:F8811"/>
    <mergeCell ref="D8812:F8812"/>
    <mergeCell ref="D8813:F8813"/>
    <mergeCell ref="D8814:F8814"/>
    <mergeCell ref="D8803:F8803"/>
    <mergeCell ref="D8804:F8804"/>
    <mergeCell ref="D8805:F8805"/>
    <mergeCell ref="D8806:F8806"/>
    <mergeCell ref="D8807:F8807"/>
    <mergeCell ref="D8808:F8808"/>
    <mergeCell ref="D8869:F8869"/>
    <mergeCell ref="D8870:F8870"/>
    <mergeCell ref="D8871:F8871"/>
    <mergeCell ref="D8872:F8872"/>
    <mergeCell ref="D8873:F8873"/>
    <mergeCell ref="D8874:F8874"/>
    <mergeCell ref="D8863:F8863"/>
    <mergeCell ref="D8864:F8864"/>
    <mergeCell ref="D8865:F8865"/>
    <mergeCell ref="D8866:F8866"/>
    <mergeCell ref="D8867:F8867"/>
    <mergeCell ref="D8868:F8868"/>
    <mergeCell ref="D8857:F8857"/>
    <mergeCell ref="D8858:F8858"/>
    <mergeCell ref="D8859:F8859"/>
    <mergeCell ref="D8860:F8860"/>
    <mergeCell ref="D8861:F8861"/>
    <mergeCell ref="D8862:F8862"/>
    <mergeCell ref="D8851:F8851"/>
    <mergeCell ref="D8852:F8852"/>
    <mergeCell ref="D8853:F8853"/>
    <mergeCell ref="D8854:F8854"/>
    <mergeCell ref="D8855:F8855"/>
    <mergeCell ref="D8856:F8856"/>
    <mergeCell ref="D8845:F8845"/>
    <mergeCell ref="D8846:F8846"/>
    <mergeCell ref="D8847:F8847"/>
    <mergeCell ref="D8848:F8848"/>
    <mergeCell ref="D8849:F8849"/>
    <mergeCell ref="D8850:F8850"/>
    <mergeCell ref="D8839:F8839"/>
    <mergeCell ref="D8840:F8840"/>
    <mergeCell ref="D8841:F8841"/>
    <mergeCell ref="D8842:F8842"/>
    <mergeCell ref="D8843:F8843"/>
    <mergeCell ref="D8844:F8844"/>
    <mergeCell ref="D8905:F8905"/>
    <mergeCell ref="D8906:F8906"/>
    <mergeCell ref="D8907:F8907"/>
    <mergeCell ref="D8908:F8908"/>
    <mergeCell ref="D8909:F8909"/>
    <mergeCell ref="D8910:F8910"/>
    <mergeCell ref="D8899:F8899"/>
    <mergeCell ref="D8900:F8900"/>
    <mergeCell ref="D8901:F8901"/>
    <mergeCell ref="D8902:F8902"/>
    <mergeCell ref="D8903:F8903"/>
    <mergeCell ref="D8904:F8904"/>
    <mergeCell ref="D8893:F8893"/>
    <mergeCell ref="D8894:F8894"/>
    <mergeCell ref="D8895:F8895"/>
    <mergeCell ref="D8896:F8896"/>
    <mergeCell ref="D8897:F8897"/>
    <mergeCell ref="D8898:F8898"/>
    <mergeCell ref="D8887:F8887"/>
    <mergeCell ref="D8888:F8888"/>
    <mergeCell ref="D8889:F8889"/>
    <mergeCell ref="D8890:F8890"/>
    <mergeCell ref="D8891:F8891"/>
    <mergeCell ref="D8892:F8892"/>
    <mergeCell ref="D8881:F8881"/>
    <mergeCell ref="D8882:F8882"/>
    <mergeCell ref="D8883:F8883"/>
    <mergeCell ref="D8884:F8884"/>
    <mergeCell ref="D8885:F8885"/>
    <mergeCell ref="D8886:F8886"/>
    <mergeCell ref="D8875:F8875"/>
    <mergeCell ref="D8876:F8876"/>
    <mergeCell ref="D8877:F8877"/>
    <mergeCell ref="D8878:F8878"/>
    <mergeCell ref="D8879:F8879"/>
    <mergeCell ref="D8880:F8880"/>
    <mergeCell ref="D8941:F8941"/>
    <mergeCell ref="D8942:F8942"/>
    <mergeCell ref="D8943:F8943"/>
    <mergeCell ref="D8944:F8944"/>
    <mergeCell ref="D8945:F8945"/>
    <mergeCell ref="D8946:F8946"/>
    <mergeCell ref="D8935:F8935"/>
    <mergeCell ref="D8936:F8936"/>
    <mergeCell ref="D8937:F8937"/>
    <mergeCell ref="D8938:F8938"/>
    <mergeCell ref="D8939:F8939"/>
    <mergeCell ref="D8940:F8940"/>
    <mergeCell ref="D8929:F8929"/>
    <mergeCell ref="D8930:F8930"/>
    <mergeCell ref="D8931:F8931"/>
    <mergeCell ref="D8932:F8932"/>
    <mergeCell ref="D8933:F8933"/>
    <mergeCell ref="D8934:F8934"/>
    <mergeCell ref="D8923:F8923"/>
    <mergeCell ref="D8924:F8924"/>
    <mergeCell ref="D8925:F8925"/>
    <mergeCell ref="D8926:F8926"/>
    <mergeCell ref="D8927:F8927"/>
    <mergeCell ref="D8928:F8928"/>
    <mergeCell ref="D8917:F8917"/>
    <mergeCell ref="D8918:F8918"/>
    <mergeCell ref="D8919:F8919"/>
    <mergeCell ref="D8920:F8920"/>
    <mergeCell ref="D8921:F8921"/>
    <mergeCell ref="D8922:F8922"/>
    <mergeCell ref="D8911:F8911"/>
    <mergeCell ref="D8912:F8912"/>
    <mergeCell ref="D8913:F8913"/>
    <mergeCell ref="D8914:F8914"/>
    <mergeCell ref="D8915:F8915"/>
    <mergeCell ref="D8916:F8916"/>
    <mergeCell ref="D8977:F8977"/>
    <mergeCell ref="D8978:F8978"/>
    <mergeCell ref="D8979:F8979"/>
    <mergeCell ref="D8980:F8980"/>
    <mergeCell ref="D8981:F8981"/>
    <mergeCell ref="D8982:F8982"/>
    <mergeCell ref="D8971:F8971"/>
    <mergeCell ref="D8972:F8972"/>
    <mergeCell ref="D8973:F8973"/>
    <mergeCell ref="D8974:F8974"/>
    <mergeCell ref="D8975:F8975"/>
    <mergeCell ref="D8976:F8976"/>
    <mergeCell ref="D8965:F8965"/>
    <mergeCell ref="D8966:F8966"/>
    <mergeCell ref="D8967:F8967"/>
    <mergeCell ref="D8968:F8968"/>
    <mergeCell ref="D8969:F8969"/>
    <mergeCell ref="D8970:F8970"/>
    <mergeCell ref="D8959:F8959"/>
    <mergeCell ref="D8960:F8960"/>
    <mergeCell ref="D8961:F8961"/>
    <mergeCell ref="D8962:F8962"/>
    <mergeCell ref="D8963:F8963"/>
    <mergeCell ref="D8964:F8964"/>
    <mergeCell ref="D8953:F8953"/>
    <mergeCell ref="D8954:F8954"/>
    <mergeCell ref="D8955:F8955"/>
    <mergeCell ref="D8956:F8956"/>
    <mergeCell ref="D8957:F8957"/>
    <mergeCell ref="D8958:F8958"/>
    <mergeCell ref="D8947:F8947"/>
    <mergeCell ref="D8948:F8948"/>
    <mergeCell ref="D8949:F8949"/>
    <mergeCell ref="D8950:F8950"/>
    <mergeCell ref="D8951:F8951"/>
    <mergeCell ref="D8952:F8952"/>
    <mergeCell ref="D9013:F9013"/>
    <mergeCell ref="D9014:F9014"/>
    <mergeCell ref="D9015:F9015"/>
    <mergeCell ref="D9016:F9016"/>
    <mergeCell ref="D9017:F9017"/>
    <mergeCell ref="D9018:F9018"/>
    <mergeCell ref="D9007:F9007"/>
    <mergeCell ref="D9008:F9008"/>
    <mergeCell ref="D9009:F9009"/>
    <mergeCell ref="D9010:F9010"/>
    <mergeCell ref="D9011:F9011"/>
    <mergeCell ref="D9012:F9012"/>
    <mergeCell ref="D9001:F9001"/>
    <mergeCell ref="D9002:F9002"/>
    <mergeCell ref="D9003:F9003"/>
    <mergeCell ref="D9004:F9004"/>
    <mergeCell ref="D9005:F9005"/>
    <mergeCell ref="D9006:F9006"/>
    <mergeCell ref="D8995:F8995"/>
    <mergeCell ref="D8996:F8996"/>
    <mergeCell ref="D8997:F8997"/>
    <mergeCell ref="D8998:F8998"/>
    <mergeCell ref="D8999:F8999"/>
    <mergeCell ref="D9000:F9000"/>
    <mergeCell ref="D8989:F8989"/>
    <mergeCell ref="D8990:F8990"/>
    <mergeCell ref="D8991:F8991"/>
    <mergeCell ref="D8992:F8992"/>
    <mergeCell ref="D8993:F8993"/>
    <mergeCell ref="D8994:F8994"/>
    <mergeCell ref="D8983:F8983"/>
    <mergeCell ref="D8984:F8984"/>
    <mergeCell ref="D8985:F8985"/>
    <mergeCell ref="D8986:F8986"/>
    <mergeCell ref="D8987:F8987"/>
    <mergeCell ref="D8988:F8988"/>
    <mergeCell ref="D9049:F9049"/>
    <mergeCell ref="D9050:F9050"/>
    <mergeCell ref="D9051:F9051"/>
    <mergeCell ref="D9052:F9052"/>
    <mergeCell ref="D9053:F9053"/>
    <mergeCell ref="D9054:F9054"/>
    <mergeCell ref="D9043:F9043"/>
    <mergeCell ref="D9044:F9044"/>
    <mergeCell ref="D9045:F9045"/>
    <mergeCell ref="D9046:F9046"/>
    <mergeCell ref="D9047:F9047"/>
    <mergeCell ref="D9048:F9048"/>
    <mergeCell ref="D9037:F9037"/>
    <mergeCell ref="D9038:F9038"/>
    <mergeCell ref="D9039:F9039"/>
    <mergeCell ref="D9040:F9040"/>
    <mergeCell ref="D9041:F9041"/>
    <mergeCell ref="D9042:F9042"/>
    <mergeCell ref="D9031:F9031"/>
    <mergeCell ref="D9032:F9032"/>
    <mergeCell ref="D9033:F9033"/>
    <mergeCell ref="D9034:F9034"/>
    <mergeCell ref="D9035:F9035"/>
    <mergeCell ref="D9036:F9036"/>
    <mergeCell ref="D9025:F9025"/>
    <mergeCell ref="D9026:F9026"/>
    <mergeCell ref="D9027:F9027"/>
    <mergeCell ref="D9028:F9028"/>
    <mergeCell ref="D9029:F9029"/>
    <mergeCell ref="D9030:F9030"/>
    <mergeCell ref="D9019:F9019"/>
    <mergeCell ref="D9020:F9020"/>
    <mergeCell ref="D9021:F9021"/>
    <mergeCell ref="D9022:F9022"/>
    <mergeCell ref="D9023:F9023"/>
    <mergeCell ref="D9024:F9024"/>
    <mergeCell ref="D9085:F9085"/>
    <mergeCell ref="D9086:F9086"/>
    <mergeCell ref="D9087:F9087"/>
    <mergeCell ref="D9088:F9088"/>
    <mergeCell ref="D9089:F9089"/>
    <mergeCell ref="D9090:F9090"/>
    <mergeCell ref="D9079:F9079"/>
    <mergeCell ref="D9080:F9080"/>
    <mergeCell ref="D9081:F9081"/>
    <mergeCell ref="D9082:F9082"/>
    <mergeCell ref="D9083:F9083"/>
    <mergeCell ref="D9084:F9084"/>
    <mergeCell ref="D9073:F9073"/>
    <mergeCell ref="D9074:F9074"/>
    <mergeCell ref="D9075:F9075"/>
    <mergeCell ref="D9076:F9076"/>
    <mergeCell ref="D9077:F9077"/>
    <mergeCell ref="D9078:F9078"/>
    <mergeCell ref="D9067:F9067"/>
    <mergeCell ref="D9068:F9068"/>
    <mergeCell ref="D9069:F9069"/>
    <mergeCell ref="D9070:F9070"/>
    <mergeCell ref="D9071:F9071"/>
    <mergeCell ref="D9072:F9072"/>
    <mergeCell ref="D9061:F9061"/>
    <mergeCell ref="D9062:F9062"/>
    <mergeCell ref="D9063:F9063"/>
    <mergeCell ref="D9064:F9064"/>
    <mergeCell ref="D9065:F9065"/>
    <mergeCell ref="D9066:F9066"/>
    <mergeCell ref="D9055:F9055"/>
    <mergeCell ref="D9056:F9056"/>
    <mergeCell ref="D9057:F9057"/>
    <mergeCell ref="D9058:F9058"/>
    <mergeCell ref="D9059:F9059"/>
    <mergeCell ref="D9060:F9060"/>
    <mergeCell ref="D9121:F9121"/>
    <mergeCell ref="D9122:F9122"/>
    <mergeCell ref="D9123:F9123"/>
    <mergeCell ref="D9124:F9124"/>
    <mergeCell ref="D9125:F9125"/>
    <mergeCell ref="D9126:F9126"/>
    <mergeCell ref="D9115:F9115"/>
    <mergeCell ref="D9116:F9116"/>
    <mergeCell ref="D9117:F9117"/>
    <mergeCell ref="D9118:F9118"/>
    <mergeCell ref="D9119:F9119"/>
    <mergeCell ref="D9120:F9120"/>
    <mergeCell ref="D9109:F9109"/>
    <mergeCell ref="D9110:F9110"/>
    <mergeCell ref="D9111:F9111"/>
    <mergeCell ref="D9112:F9112"/>
    <mergeCell ref="D9113:F9113"/>
    <mergeCell ref="D9114:F9114"/>
    <mergeCell ref="D9103:F9103"/>
    <mergeCell ref="D9104:F9104"/>
    <mergeCell ref="D9105:F9105"/>
    <mergeCell ref="D9106:F9106"/>
    <mergeCell ref="D9107:F9107"/>
    <mergeCell ref="D9108:F9108"/>
    <mergeCell ref="D9097:F9097"/>
    <mergeCell ref="D9098:F9098"/>
    <mergeCell ref="D9099:F9099"/>
    <mergeCell ref="D9100:F9100"/>
    <mergeCell ref="D9101:F9101"/>
    <mergeCell ref="D9102:F9102"/>
    <mergeCell ref="D9091:F9091"/>
    <mergeCell ref="D9092:F9092"/>
    <mergeCell ref="D9093:F9093"/>
    <mergeCell ref="D9094:F9094"/>
    <mergeCell ref="D9095:F9095"/>
    <mergeCell ref="D9096:F9096"/>
    <mergeCell ref="D9157:F9157"/>
    <mergeCell ref="D9158:F9158"/>
    <mergeCell ref="D9159:F9159"/>
    <mergeCell ref="D9160:F9160"/>
    <mergeCell ref="D9161:F9161"/>
    <mergeCell ref="D9162:F9162"/>
    <mergeCell ref="D9151:F9151"/>
    <mergeCell ref="D9152:F9152"/>
    <mergeCell ref="D9153:F9153"/>
    <mergeCell ref="D9154:F9154"/>
    <mergeCell ref="D9155:F9155"/>
    <mergeCell ref="D9156:F9156"/>
    <mergeCell ref="D9145:F9145"/>
    <mergeCell ref="D9146:F9146"/>
    <mergeCell ref="D9147:F9147"/>
    <mergeCell ref="D9148:F9148"/>
    <mergeCell ref="D9149:F9149"/>
    <mergeCell ref="D9150:F9150"/>
    <mergeCell ref="D9139:F9139"/>
    <mergeCell ref="D9140:F9140"/>
    <mergeCell ref="D9141:F9141"/>
    <mergeCell ref="D9142:F9142"/>
    <mergeCell ref="D9143:F9143"/>
    <mergeCell ref="D9144:F9144"/>
    <mergeCell ref="D9133:F9133"/>
    <mergeCell ref="D9134:F9134"/>
    <mergeCell ref="D9135:F9135"/>
    <mergeCell ref="D9136:F9136"/>
    <mergeCell ref="D9137:F9137"/>
    <mergeCell ref="D9138:F9138"/>
    <mergeCell ref="D9127:F9127"/>
    <mergeCell ref="D9128:F9128"/>
    <mergeCell ref="D9129:F9129"/>
    <mergeCell ref="D9130:F9130"/>
    <mergeCell ref="D9131:F9131"/>
    <mergeCell ref="D9132:F9132"/>
    <mergeCell ref="D9193:F9193"/>
    <mergeCell ref="D9194:F9194"/>
    <mergeCell ref="D9195:F9195"/>
    <mergeCell ref="D9196:F9196"/>
    <mergeCell ref="D9197:F9197"/>
    <mergeCell ref="D9198:F9198"/>
    <mergeCell ref="D9187:F9187"/>
    <mergeCell ref="D9188:F9188"/>
    <mergeCell ref="D9189:F9189"/>
    <mergeCell ref="D9190:F9190"/>
    <mergeCell ref="D9191:F9191"/>
    <mergeCell ref="D9192:F9192"/>
    <mergeCell ref="D9181:F9181"/>
    <mergeCell ref="D9182:F9182"/>
    <mergeCell ref="D9183:F9183"/>
    <mergeCell ref="D9184:F9184"/>
    <mergeCell ref="D9185:F9185"/>
    <mergeCell ref="D9186:F9186"/>
    <mergeCell ref="D9175:F9175"/>
    <mergeCell ref="D9176:F9176"/>
    <mergeCell ref="D9177:F9177"/>
    <mergeCell ref="D9178:F9178"/>
    <mergeCell ref="D9179:F9179"/>
    <mergeCell ref="D9180:F9180"/>
    <mergeCell ref="D9169:F9169"/>
    <mergeCell ref="D9170:F9170"/>
    <mergeCell ref="D9171:F9171"/>
    <mergeCell ref="D9172:F9172"/>
    <mergeCell ref="D9173:F9173"/>
    <mergeCell ref="D9174:F9174"/>
    <mergeCell ref="D9163:F9163"/>
    <mergeCell ref="D9164:F9164"/>
    <mergeCell ref="D9165:F9165"/>
    <mergeCell ref="D9166:F9166"/>
    <mergeCell ref="D9167:F9167"/>
    <mergeCell ref="D9168:F9168"/>
    <mergeCell ref="D9229:F9229"/>
    <mergeCell ref="D9230:F9230"/>
    <mergeCell ref="D9231:F9231"/>
    <mergeCell ref="D9232:F9232"/>
    <mergeCell ref="D9233:F9233"/>
    <mergeCell ref="D9234:F9234"/>
    <mergeCell ref="D9223:F9223"/>
    <mergeCell ref="D9224:F9224"/>
    <mergeCell ref="D9225:F9225"/>
    <mergeCell ref="D9226:F9226"/>
    <mergeCell ref="D9227:F9227"/>
    <mergeCell ref="D9228:F9228"/>
    <mergeCell ref="D9217:F9217"/>
    <mergeCell ref="D9218:F9218"/>
    <mergeCell ref="D9219:F9219"/>
    <mergeCell ref="D9220:F9220"/>
    <mergeCell ref="D9221:F9221"/>
    <mergeCell ref="D9222:F9222"/>
    <mergeCell ref="D9211:F9211"/>
    <mergeCell ref="D9212:F9212"/>
    <mergeCell ref="D9213:F9213"/>
    <mergeCell ref="D9214:F9214"/>
    <mergeCell ref="D9215:F9215"/>
    <mergeCell ref="D9216:F9216"/>
    <mergeCell ref="D9205:F9205"/>
    <mergeCell ref="D9206:F9206"/>
    <mergeCell ref="D9207:F9207"/>
    <mergeCell ref="D9208:F9208"/>
    <mergeCell ref="D9209:F9209"/>
    <mergeCell ref="D9210:F9210"/>
    <mergeCell ref="D9199:F9199"/>
    <mergeCell ref="D9200:F9200"/>
    <mergeCell ref="D9201:F9201"/>
    <mergeCell ref="D9202:F9202"/>
    <mergeCell ref="D9203:F9203"/>
    <mergeCell ref="D9204:F9204"/>
    <mergeCell ref="D9265:F9265"/>
    <mergeCell ref="D9266:F9266"/>
    <mergeCell ref="D9267:F9267"/>
    <mergeCell ref="D9268:F9268"/>
    <mergeCell ref="D9269:F9269"/>
    <mergeCell ref="D9270:F9270"/>
    <mergeCell ref="D9259:F9259"/>
    <mergeCell ref="D9260:F9260"/>
    <mergeCell ref="D9261:F9261"/>
    <mergeCell ref="D9262:F9262"/>
    <mergeCell ref="D9263:F9263"/>
    <mergeCell ref="D9264:F9264"/>
    <mergeCell ref="D9253:F9253"/>
    <mergeCell ref="D9254:F9254"/>
    <mergeCell ref="D9255:F9255"/>
    <mergeCell ref="D9256:F9256"/>
    <mergeCell ref="D9257:F9257"/>
    <mergeCell ref="D9258:F9258"/>
    <mergeCell ref="D9247:F9247"/>
    <mergeCell ref="D9248:F9248"/>
    <mergeCell ref="D9249:F9249"/>
    <mergeCell ref="D9250:F9250"/>
    <mergeCell ref="D9251:F9251"/>
    <mergeCell ref="D9252:F9252"/>
    <mergeCell ref="D9241:F9241"/>
    <mergeCell ref="D9242:F9242"/>
    <mergeCell ref="D9243:F9243"/>
    <mergeCell ref="D9244:F9244"/>
    <mergeCell ref="D9245:F9245"/>
    <mergeCell ref="D9246:F9246"/>
    <mergeCell ref="D9235:F9235"/>
    <mergeCell ref="D9236:F9236"/>
    <mergeCell ref="D9237:F9237"/>
    <mergeCell ref="D9238:F9238"/>
    <mergeCell ref="D9239:F9239"/>
    <mergeCell ref="D9240:F9240"/>
    <mergeCell ref="D9301:F9301"/>
    <mergeCell ref="D9302:F9302"/>
    <mergeCell ref="D9303:F9303"/>
    <mergeCell ref="D9304:F9304"/>
    <mergeCell ref="D9305:F9305"/>
    <mergeCell ref="D9306:F9306"/>
    <mergeCell ref="D9295:F9295"/>
    <mergeCell ref="D9296:F9296"/>
    <mergeCell ref="D9297:F9297"/>
    <mergeCell ref="D9298:F9298"/>
    <mergeCell ref="D9299:F9299"/>
    <mergeCell ref="D9300:F9300"/>
    <mergeCell ref="D9289:F9289"/>
    <mergeCell ref="D9290:F9290"/>
    <mergeCell ref="D9291:F9291"/>
    <mergeCell ref="D9292:F9292"/>
    <mergeCell ref="D9293:F9293"/>
    <mergeCell ref="D9294:F9294"/>
    <mergeCell ref="D9283:F9283"/>
    <mergeCell ref="D9284:F9284"/>
    <mergeCell ref="D9285:F9285"/>
    <mergeCell ref="D9286:F9286"/>
    <mergeCell ref="D9287:F9287"/>
    <mergeCell ref="D9288:F9288"/>
    <mergeCell ref="D9277:F9277"/>
    <mergeCell ref="D9278:F9278"/>
    <mergeCell ref="D9279:F9279"/>
    <mergeCell ref="D9280:F9280"/>
    <mergeCell ref="D9281:F9281"/>
    <mergeCell ref="D9282:F9282"/>
    <mergeCell ref="D9271:F9271"/>
    <mergeCell ref="D9272:F9272"/>
    <mergeCell ref="D9273:F9273"/>
    <mergeCell ref="D9274:F9274"/>
    <mergeCell ref="D9275:F9275"/>
    <mergeCell ref="D9276:F9276"/>
    <mergeCell ref="D9337:F9337"/>
    <mergeCell ref="D9338:F9338"/>
    <mergeCell ref="D9339:F9339"/>
    <mergeCell ref="D9340:F9340"/>
    <mergeCell ref="D9341:F9341"/>
    <mergeCell ref="D9342:F9342"/>
    <mergeCell ref="D9331:F9331"/>
    <mergeCell ref="D9332:F9332"/>
    <mergeCell ref="D9333:F9333"/>
    <mergeCell ref="D9334:F9334"/>
    <mergeCell ref="D9335:F9335"/>
    <mergeCell ref="D9336:F9336"/>
    <mergeCell ref="D9325:F9325"/>
    <mergeCell ref="D9326:F9326"/>
    <mergeCell ref="D9327:F9327"/>
    <mergeCell ref="D9328:F9328"/>
    <mergeCell ref="D9329:F9329"/>
    <mergeCell ref="D9330:F9330"/>
    <mergeCell ref="D9319:F9319"/>
    <mergeCell ref="D9320:F9320"/>
    <mergeCell ref="D9321:F9321"/>
    <mergeCell ref="D9322:F9322"/>
    <mergeCell ref="D9323:F9323"/>
    <mergeCell ref="D9324:F9324"/>
    <mergeCell ref="D9313:F9313"/>
    <mergeCell ref="D9314:F9314"/>
    <mergeCell ref="D9315:F9315"/>
    <mergeCell ref="D9316:F9316"/>
    <mergeCell ref="D9317:F9317"/>
    <mergeCell ref="D9318:F9318"/>
    <mergeCell ref="D9307:F9307"/>
    <mergeCell ref="D9308:F9308"/>
    <mergeCell ref="D9309:F9309"/>
    <mergeCell ref="D9310:F9310"/>
    <mergeCell ref="D9311:F9311"/>
    <mergeCell ref="D9312:F9312"/>
    <mergeCell ref="D9373:F9373"/>
    <mergeCell ref="D9374:F9374"/>
    <mergeCell ref="D9375:F9375"/>
    <mergeCell ref="D9376:F9376"/>
    <mergeCell ref="D9377:F9377"/>
    <mergeCell ref="D9378:F9378"/>
    <mergeCell ref="D9367:F9367"/>
    <mergeCell ref="D9368:F9368"/>
    <mergeCell ref="D9369:F9369"/>
    <mergeCell ref="D9370:F9370"/>
    <mergeCell ref="D9371:F9371"/>
    <mergeCell ref="D9372:F9372"/>
    <mergeCell ref="D9361:F9361"/>
    <mergeCell ref="D9362:F9362"/>
    <mergeCell ref="D9363:F9363"/>
    <mergeCell ref="D9364:F9364"/>
    <mergeCell ref="D9365:F9365"/>
    <mergeCell ref="D9366:F9366"/>
    <mergeCell ref="D9355:F9355"/>
    <mergeCell ref="D9356:F9356"/>
    <mergeCell ref="D9357:F9357"/>
    <mergeCell ref="D9358:F9358"/>
    <mergeCell ref="D9359:F9359"/>
    <mergeCell ref="D9360:F9360"/>
    <mergeCell ref="D9349:F9349"/>
    <mergeCell ref="D9350:F9350"/>
    <mergeCell ref="D9351:F9351"/>
    <mergeCell ref="D9352:F9352"/>
    <mergeCell ref="D9353:F9353"/>
    <mergeCell ref="D9354:F9354"/>
    <mergeCell ref="D9343:F9343"/>
    <mergeCell ref="D9344:F9344"/>
    <mergeCell ref="D9345:F9345"/>
    <mergeCell ref="D9346:F9346"/>
    <mergeCell ref="D9347:F9347"/>
    <mergeCell ref="D9348:F9348"/>
    <mergeCell ref="D9409:F9409"/>
    <mergeCell ref="D9410:F9410"/>
    <mergeCell ref="D9411:F9411"/>
    <mergeCell ref="D9412:F9412"/>
    <mergeCell ref="D9413:F9413"/>
    <mergeCell ref="D9414:F9414"/>
    <mergeCell ref="D9403:F9403"/>
    <mergeCell ref="D9404:F9404"/>
    <mergeCell ref="D9405:F9405"/>
    <mergeCell ref="D9406:F9406"/>
    <mergeCell ref="D9407:F9407"/>
    <mergeCell ref="D9408:F9408"/>
    <mergeCell ref="D9397:F9397"/>
    <mergeCell ref="D9398:F9398"/>
    <mergeCell ref="D9399:F9399"/>
    <mergeCell ref="D9400:F9400"/>
    <mergeCell ref="D9401:F9401"/>
    <mergeCell ref="D9402:F9402"/>
    <mergeCell ref="D9391:F9391"/>
    <mergeCell ref="D9392:F9392"/>
    <mergeCell ref="D9393:F9393"/>
    <mergeCell ref="D9394:F9394"/>
    <mergeCell ref="D9395:F9395"/>
    <mergeCell ref="D9396:F9396"/>
    <mergeCell ref="D9385:F9385"/>
    <mergeCell ref="D9386:F9386"/>
    <mergeCell ref="D9387:F9387"/>
    <mergeCell ref="D9388:F9388"/>
    <mergeCell ref="D9389:F9389"/>
    <mergeCell ref="D9390:F9390"/>
    <mergeCell ref="D9379:F9379"/>
    <mergeCell ref="D9380:F9380"/>
    <mergeCell ref="D9381:F9381"/>
    <mergeCell ref="D9382:F9382"/>
    <mergeCell ref="D9383:F9383"/>
    <mergeCell ref="D9384:F9384"/>
    <mergeCell ref="D9445:F9445"/>
    <mergeCell ref="D9446:F9446"/>
    <mergeCell ref="D9447:F9447"/>
    <mergeCell ref="D9448:F9448"/>
    <mergeCell ref="D9449:F9449"/>
    <mergeCell ref="D9450:F9450"/>
    <mergeCell ref="D9439:F9439"/>
    <mergeCell ref="D9440:F9440"/>
    <mergeCell ref="D9441:F9441"/>
    <mergeCell ref="D9442:F9442"/>
    <mergeCell ref="D9443:F9443"/>
    <mergeCell ref="D9444:F9444"/>
    <mergeCell ref="D9433:F9433"/>
    <mergeCell ref="D9434:F9434"/>
    <mergeCell ref="D9435:F9435"/>
    <mergeCell ref="D9436:F9436"/>
    <mergeCell ref="D9437:F9437"/>
    <mergeCell ref="D9438:F9438"/>
    <mergeCell ref="D9427:F9427"/>
    <mergeCell ref="D9428:F9428"/>
    <mergeCell ref="D9429:F9429"/>
    <mergeCell ref="D9430:F9430"/>
    <mergeCell ref="D9431:F9431"/>
    <mergeCell ref="D9432:F9432"/>
    <mergeCell ref="D9421:F9421"/>
    <mergeCell ref="D9422:F9422"/>
    <mergeCell ref="D9423:F9423"/>
    <mergeCell ref="D9424:F9424"/>
    <mergeCell ref="D9425:F9425"/>
    <mergeCell ref="D9426:F9426"/>
    <mergeCell ref="D9415:F9415"/>
    <mergeCell ref="D9416:F9416"/>
    <mergeCell ref="D9417:F9417"/>
    <mergeCell ref="D9418:F9418"/>
    <mergeCell ref="D9419:F9419"/>
    <mergeCell ref="D9420:F9420"/>
    <mergeCell ref="D9481:F9481"/>
    <mergeCell ref="D9482:F9482"/>
    <mergeCell ref="D9483:F9483"/>
    <mergeCell ref="D9484:F9484"/>
    <mergeCell ref="D9485:F9485"/>
    <mergeCell ref="D9486:F9486"/>
    <mergeCell ref="D9475:F9475"/>
    <mergeCell ref="D9476:F9476"/>
    <mergeCell ref="D9477:F9477"/>
    <mergeCell ref="D9478:F9478"/>
    <mergeCell ref="D9479:F9479"/>
    <mergeCell ref="D9480:F9480"/>
    <mergeCell ref="D9469:F9469"/>
    <mergeCell ref="D9470:F9470"/>
    <mergeCell ref="D9471:F9471"/>
    <mergeCell ref="D9472:F9472"/>
    <mergeCell ref="D9473:F9473"/>
    <mergeCell ref="D9474:F9474"/>
    <mergeCell ref="D9463:F9463"/>
    <mergeCell ref="D9464:F9464"/>
    <mergeCell ref="D9465:F9465"/>
    <mergeCell ref="D9466:F9466"/>
    <mergeCell ref="D9467:F9467"/>
    <mergeCell ref="D9468:F9468"/>
    <mergeCell ref="D9457:F9457"/>
    <mergeCell ref="D9458:F9458"/>
    <mergeCell ref="D9459:F9459"/>
    <mergeCell ref="D9460:F9460"/>
    <mergeCell ref="D9461:F9461"/>
    <mergeCell ref="D9462:F9462"/>
    <mergeCell ref="D9451:F9451"/>
    <mergeCell ref="D9452:F9452"/>
    <mergeCell ref="D9453:F9453"/>
    <mergeCell ref="D9454:F9454"/>
    <mergeCell ref="D9455:F9455"/>
    <mergeCell ref="D9456:F9456"/>
    <mergeCell ref="D9517:F9517"/>
    <mergeCell ref="D9518:F9518"/>
    <mergeCell ref="D9519:F9519"/>
    <mergeCell ref="D9520:F9520"/>
    <mergeCell ref="D9521:F9521"/>
    <mergeCell ref="D9522:F9522"/>
    <mergeCell ref="D9511:F9511"/>
    <mergeCell ref="D9512:F9512"/>
    <mergeCell ref="D9513:F9513"/>
    <mergeCell ref="D9514:F9514"/>
    <mergeCell ref="D9515:F9515"/>
    <mergeCell ref="D9516:F9516"/>
    <mergeCell ref="D9505:F9505"/>
    <mergeCell ref="D9506:F9506"/>
    <mergeCell ref="D9507:F9507"/>
    <mergeCell ref="D9508:F9508"/>
    <mergeCell ref="D9509:F9509"/>
    <mergeCell ref="D9510:F9510"/>
    <mergeCell ref="D9499:F9499"/>
    <mergeCell ref="D9500:F9500"/>
    <mergeCell ref="D9501:F9501"/>
    <mergeCell ref="D9502:F9502"/>
    <mergeCell ref="D9503:F9503"/>
    <mergeCell ref="D9504:F9504"/>
    <mergeCell ref="D9493:F9493"/>
    <mergeCell ref="D9494:F9494"/>
    <mergeCell ref="D9495:F9495"/>
    <mergeCell ref="D9496:F9496"/>
    <mergeCell ref="D9497:F9497"/>
    <mergeCell ref="D9498:F9498"/>
    <mergeCell ref="D9487:F9487"/>
    <mergeCell ref="D9488:F9488"/>
    <mergeCell ref="D9489:F9489"/>
    <mergeCell ref="D9490:F9490"/>
    <mergeCell ref="D9491:F9491"/>
    <mergeCell ref="D9492:F9492"/>
    <mergeCell ref="D9553:F9553"/>
    <mergeCell ref="D9554:F9554"/>
    <mergeCell ref="D9555:F9555"/>
    <mergeCell ref="D9556:F9556"/>
    <mergeCell ref="D9557:F9557"/>
    <mergeCell ref="D9558:F9558"/>
    <mergeCell ref="D9547:F9547"/>
    <mergeCell ref="D9548:F9548"/>
    <mergeCell ref="D9549:F9549"/>
    <mergeCell ref="D9550:F9550"/>
    <mergeCell ref="D9551:F9551"/>
    <mergeCell ref="D9552:F9552"/>
    <mergeCell ref="D9541:F9541"/>
    <mergeCell ref="D9542:F9542"/>
    <mergeCell ref="D9543:F9543"/>
    <mergeCell ref="D9544:F9544"/>
    <mergeCell ref="D9545:F9545"/>
    <mergeCell ref="D9546:F9546"/>
    <mergeCell ref="D9535:F9535"/>
    <mergeCell ref="D9536:F9536"/>
    <mergeCell ref="D9537:F9537"/>
    <mergeCell ref="D9538:F9538"/>
    <mergeCell ref="D9539:F9539"/>
    <mergeCell ref="D9540:F9540"/>
    <mergeCell ref="D9529:F9529"/>
    <mergeCell ref="D9530:F9530"/>
    <mergeCell ref="D9531:F9531"/>
    <mergeCell ref="D9532:F9532"/>
    <mergeCell ref="D9533:F9533"/>
    <mergeCell ref="D9534:F9534"/>
    <mergeCell ref="D9523:F9523"/>
    <mergeCell ref="D9524:F9524"/>
    <mergeCell ref="D9525:F9525"/>
    <mergeCell ref="D9526:F9526"/>
    <mergeCell ref="D9527:F9527"/>
    <mergeCell ref="D9528:F9528"/>
    <mergeCell ref="D9589:F9589"/>
    <mergeCell ref="D9590:F9590"/>
    <mergeCell ref="D9591:F9591"/>
    <mergeCell ref="D9592:F9592"/>
    <mergeCell ref="D9593:F9593"/>
    <mergeCell ref="D9594:F9594"/>
    <mergeCell ref="D9583:F9583"/>
    <mergeCell ref="D9584:F9584"/>
    <mergeCell ref="D9585:F9585"/>
    <mergeCell ref="D9586:F9586"/>
    <mergeCell ref="D9587:F9587"/>
    <mergeCell ref="D9588:F9588"/>
    <mergeCell ref="D9577:F9577"/>
    <mergeCell ref="D9578:F9578"/>
    <mergeCell ref="D9579:F9579"/>
    <mergeCell ref="D9580:F9580"/>
    <mergeCell ref="D9581:F9581"/>
    <mergeCell ref="D9582:F9582"/>
    <mergeCell ref="D9571:F9571"/>
    <mergeCell ref="D9572:F9572"/>
    <mergeCell ref="D9573:F9573"/>
    <mergeCell ref="D9574:F9574"/>
    <mergeCell ref="D9575:F9575"/>
    <mergeCell ref="D9576:F9576"/>
    <mergeCell ref="D9565:F9565"/>
    <mergeCell ref="D9566:F9566"/>
    <mergeCell ref="D9567:F9567"/>
    <mergeCell ref="D9568:F9568"/>
    <mergeCell ref="D9569:F9569"/>
    <mergeCell ref="D9570:F9570"/>
    <mergeCell ref="D9559:F9559"/>
    <mergeCell ref="D9560:F9560"/>
    <mergeCell ref="D9561:F9561"/>
    <mergeCell ref="D9562:F9562"/>
    <mergeCell ref="D9563:F9563"/>
    <mergeCell ref="D9564:F9564"/>
    <mergeCell ref="D9625:F9625"/>
    <mergeCell ref="D9626:F9626"/>
    <mergeCell ref="D9627:F9627"/>
    <mergeCell ref="D9628:F9628"/>
    <mergeCell ref="D9629:F9629"/>
    <mergeCell ref="D9630:F9630"/>
    <mergeCell ref="D9619:F9619"/>
    <mergeCell ref="D9620:F9620"/>
    <mergeCell ref="D9621:F9621"/>
    <mergeCell ref="D9622:F9622"/>
    <mergeCell ref="D9623:F9623"/>
    <mergeCell ref="D9624:F9624"/>
    <mergeCell ref="D9613:F9613"/>
    <mergeCell ref="D9614:F9614"/>
    <mergeCell ref="D9615:F9615"/>
    <mergeCell ref="D9616:F9616"/>
    <mergeCell ref="D9617:F9617"/>
    <mergeCell ref="D9618:F9618"/>
    <mergeCell ref="D9607:F9607"/>
    <mergeCell ref="D9608:F9608"/>
    <mergeCell ref="D9609:F9609"/>
    <mergeCell ref="D9610:F9610"/>
    <mergeCell ref="D9611:F9611"/>
    <mergeCell ref="D9612:F9612"/>
    <mergeCell ref="D9601:F9601"/>
    <mergeCell ref="D9602:F9602"/>
    <mergeCell ref="D9603:F9603"/>
    <mergeCell ref="D9604:F9604"/>
    <mergeCell ref="D9605:F9605"/>
    <mergeCell ref="D9606:F9606"/>
    <mergeCell ref="D9595:F9595"/>
    <mergeCell ref="D9596:F9596"/>
    <mergeCell ref="D9597:F9597"/>
    <mergeCell ref="D9598:F9598"/>
    <mergeCell ref="D9599:F9599"/>
    <mergeCell ref="D9600:F9600"/>
    <mergeCell ref="D9661:F9661"/>
    <mergeCell ref="D9662:F9662"/>
    <mergeCell ref="D9663:F9663"/>
    <mergeCell ref="D9664:F9664"/>
    <mergeCell ref="D9665:F9665"/>
    <mergeCell ref="D9666:F9666"/>
    <mergeCell ref="D9655:F9655"/>
    <mergeCell ref="D9656:F9656"/>
    <mergeCell ref="D9657:F9657"/>
    <mergeCell ref="D9658:F9658"/>
    <mergeCell ref="D9659:F9659"/>
    <mergeCell ref="D9660:F9660"/>
    <mergeCell ref="D9649:F9649"/>
    <mergeCell ref="D9650:F9650"/>
    <mergeCell ref="D9651:F9651"/>
    <mergeCell ref="D9652:F9652"/>
    <mergeCell ref="D9653:F9653"/>
    <mergeCell ref="D9654:F9654"/>
    <mergeCell ref="D9643:F9643"/>
    <mergeCell ref="D9644:F9644"/>
    <mergeCell ref="D9645:F9645"/>
    <mergeCell ref="D9646:F9646"/>
    <mergeCell ref="D9647:F9647"/>
    <mergeCell ref="D9648:F9648"/>
    <mergeCell ref="D9637:F9637"/>
    <mergeCell ref="D9638:F9638"/>
    <mergeCell ref="D9639:F9639"/>
    <mergeCell ref="D9640:F9640"/>
    <mergeCell ref="D9641:F9641"/>
    <mergeCell ref="D9642:F9642"/>
    <mergeCell ref="D9631:F9631"/>
    <mergeCell ref="D9632:F9632"/>
    <mergeCell ref="D9633:F9633"/>
    <mergeCell ref="D9634:F9634"/>
    <mergeCell ref="D9635:F9635"/>
    <mergeCell ref="D9636:F9636"/>
    <mergeCell ref="D9697:F9697"/>
    <mergeCell ref="D9698:F9698"/>
    <mergeCell ref="D9699:F9699"/>
    <mergeCell ref="D9700:F9700"/>
    <mergeCell ref="D9701:F9701"/>
    <mergeCell ref="D9702:F9702"/>
    <mergeCell ref="D9691:F9691"/>
    <mergeCell ref="D9692:F9692"/>
    <mergeCell ref="D9693:F9693"/>
    <mergeCell ref="D9694:F9694"/>
    <mergeCell ref="D9695:F9695"/>
    <mergeCell ref="D9696:F9696"/>
    <mergeCell ref="D9685:F9685"/>
    <mergeCell ref="D9686:F9686"/>
    <mergeCell ref="D9687:F9687"/>
    <mergeCell ref="D9688:F9688"/>
    <mergeCell ref="D9689:F9689"/>
    <mergeCell ref="D9690:F9690"/>
    <mergeCell ref="D9679:F9679"/>
    <mergeCell ref="D9680:F9680"/>
    <mergeCell ref="D9681:F9681"/>
    <mergeCell ref="D9682:F9682"/>
    <mergeCell ref="D9683:F9683"/>
    <mergeCell ref="D9684:F9684"/>
    <mergeCell ref="D9673:F9673"/>
    <mergeCell ref="D9674:F9674"/>
    <mergeCell ref="D9675:F9675"/>
    <mergeCell ref="D9676:F9676"/>
    <mergeCell ref="D9677:F9677"/>
    <mergeCell ref="D9678:F9678"/>
    <mergeCell ref="D9667:F9667"/>
    <mergeCell ref="D9668:F9668"/>
    <mergeCell ref="D9669:F9669"/>
    <mergeCell ref="D9670:F9670"/>
    <mergeCell ref="D9671:F9671"/>
    <mergeCell ref="D9672:F9672"/>
    <mergeCell ref="D9733:F9733"/>
    <mergeCell ref="D9734:F9734"/>
    <mergeCell ref="D9735:F9735"/>
    <mergeCell ref="D9736:F9736"/>
    <mergeCell ref="D9737:F9737"/>
    <mergeCell ref="D9738:F9738"/>
    <mergeCell ref="D9727:F9727"/>
    <mergeCell ref="D9728:F9728"/>
    <mergeCell ref="D9729:F9729"/>
    <mergeCell ref="D9730:F9730"/>
    <mergeCell ref="D9731:F9731"/>
    <mergeCell ref="D9732:F9732"/>
    <mergeCell ref="D9721:F9721"/>
    <mergeCell ref="D9722:F9722"/>
    <mergeCell ref="D9723:F9723"/>
    <mergeCell ref="D9724:F9724"/>
    <mergeCell ref="D9725:F9725"/>
    <mergeCell ref="D9726:F9726"/>
    <mergeCell ref="D9715:F9715"/>
    <mergeCell ref="D9716:F9716"/>
    <mergeCell ref="D9717:F9717"/>
    <mergeCell ref="D9718:F9718"/>
    <mergeCell ref="D9719:F9719"/>
    <mergeCell ref="D9720:F9720"/>
    <mergeCell ref="D9709:F9709"/>
    <mergeCell ref="D9710:F9710"/>
    <mergeCell ref="D9711:F9711"/>
    <mergeCell ref="D9712:F9712"/>
    <mergeCell ref="D9713:F9713"/>
    <mergeCell ref="D9714:F9714"/>
    <mergeCell ref="D9703:F9703"/>
    <mergeCell ref="D9704:F9704"/>
    <mergeCell ref="D9705:F9705"/>
    <mergeCell ref="D9706:F9706"/>
    <mergeCell ref="D9707:F9707"/>
    <mergeCell ref="D9708:F9708"/>
    <mergeCell ref="D9769:F9769"/>
    <mergeCell ref="D9770:F9770"/>
    <mergeCell ref="D9771:F9771"/>
    <mergeCell ref="D9772:F9772"/>
    <mergeCell ref="D9773:F9773"/>
    <mergeCell ref="D9774:F9774"/>
    <mergeCell ref="D9763:F9763"/>
    <mergeCell ref="D9764:F9764"/>
    <mergeCell ref="D9765:F9765"/>
    <mergeCell ref="D9766:F9766"/>
    <mergeCell ref="D9767:F9767"/>
    <mergeCell ref="D9768:F9768"/>
    <mergeCell ref="D9757:F9757"/>
    <mergeCell ref="D9758:F9758"/>
    <mergeCell ref="D9759:F9759"/>
    <mergeCell ref="D9760:F9760"/>
    <mergeCell ref="D9761:F9761"/>
    <mergeCell ref="D9762:F9762"/>
    <mergeCell ref="D9751:F9751"/>
    <mergeCell ref="D9752:F9752"/>
    <mergeCell ref="D9753:F9753"/>
    <mergeCell ref="D9754:F9754"/>
    <mergeCell ref="D9755:F9755"/>
    <mergeCell ref="D9756:F9756"/>
    <mergeCell ref="D9745:F9745"/>
    <mergeCell ref="D9746:F9746"/>
    <mergeCell ref="D9747:F9747"/>
    <mergeCell ref="D9748:F9748"/>
    <mergeCell ref="D9749:F9749"/>
    <mergeCell ref="D9750:F9750"/>
    <mergeCell ref="D9739:F9739"/>
    <mergeCell ref="D9740:F9740"/>
    <mergeCell ref="D9741:F9741"/>
    <mergeCell ref="D9742:F9742"/>
    <mergeCell ref="D9743:F9743"/>
    <mergeCell ref="D9744:F9744"/>
    <mergeCell ref="D9805:F9805"/>
    <mergeCell ref="D9806:F9806"/>
    <mergeCell ref="D9807:F9807"/>
    <mergeCell ref="D9808:F9808"/>
    <mergeCell ref="D9809:F9809"/>
    <mergeCell ref="D9810:F9810"/>
    <mergeCell ref="D9799:F9799"/>
    <mergeCell ref="D9800:F9800"/>
    <mergeCell ref="D9801:F9801"/>
    <mergeCell ref="D9802:F9802"/>
    <mergeCell ref="D9803:F9803"/>
    <mergeCell ref="D9804:F9804"/>
    <mergeCell ref="D9793:F9793"/>
    <mergeCell ref="D9794:F9794"/>
    <mergeCell ref="D9795:F9795"/>
    <mergeCell ref="D9796:F9796"/>
    <mergeCell ref="D9797:F9797"/>
    <mergeCell ref="D9798:F9798"/>
    <mergeCell ref="D9787:F9787"/>
    <mergeCell ref="D9788:F9788"/>
    <mergeCell ref="D9789:F9789"/>
    <mergeCell ref="D9790:F9790"/>
    <mergeCell ref="D9791:F9791"/>
    <mergeCell ref="D9792:F9792"/>
    <mergeCell ref="D9781:F9781"/>
    <mergeCell ref="D9782:F9782"/>
    <mergeCell ref="D9783:F9783"/>
    <mergeCell ref="D9784:F9784"/>
    <mergeCell ref="D9785:F9785"/>
    <mergeCell ref="D9786:F9786"/>
    <mergeCell ref="D9775:F9775"/>
    <mergeCell ref="D9776:F9776"/>
    <mergeCell ref="D9777:F9777"/>
    <mergeCell ref="D9778:F9778"/>
    <mergeCell ref="D9779:F9779"/>
    <mergeCell ref="D9780:F9780"/>
    <mergeCell ref="D9841:F9841"/>
    <mergeCell ref="D9842:F9842"/>
    <mergeCell ref="D9843:F9843"/>
    <mergeCell ref="D9844:F9844"/>
    <mergeCell ref="D9845:F9845"/>
    <mergeCell ref="D9846:F9846"/>
    <mergeCell ref="D9835:F9835"/>
    <mergeCell ref="D9836:F9836"/>
    <mergeCell ref="D9837:F9837"/>
    <mergeCell ref="D9838:F9838"/>
    <mergeCell ref="D9839:F9839"/>
    <mergeCell ref="D9840:F9840"/>
    <mergeCell ref="D9829:F9829"/>
    <mergeCell ref="D9830:F9830"/>
    <mergeCell ref="D9831:F9831"/>
    <mergeCell ref="D9832:F9832"/>
    <mergeCell ref="D9833:F9833"/>
    <mergeCell ref="D9834:F9834"/>
    <mergeCell ref="D9823:F9823"/>
    <mergeCell ref="D9824:F9824"/>
    <mergeCell ref="D9825:F9825"/>
    <mergeCell ref="D9826:F9826"/>
    <mergeCell ref="D9827:F9827"/>
    <mergeCell ref="D9828:F9828"/>
    <mergeCell ref="D9817:F9817"/>
    <mergeCell ref="D9818:F9818"/>
    <mergeCell ref="D9819:F9819"/>
    <mergeCell ref="D9820:F9820"/>
    <mergeCell ref="D9821:F9821"/>
    <mergeCell ref="D9822:F9822"/>
    <mergeCell ref="D9811:F9811"/>
    <mergeCell ref="D9812:F9812"/>
    <mergeCell ref="D9813:F9813"/>
    <mergeCell ref="D9814:F9814"/>
    <mergeCell ref="D9815:F9815"/>
    <mergeCell ref="D9816:F9816"/>
    <mergeCell ref="D9877:F9877"/>
    <mergeCell ref="D9878:F9878"/>
    <mergeCell ref="D9879:F9879"/>
    <mergeCell ref="D9880:F9880"/>
    <mergeCell ref="D9881:F9881"/>
    <mergeCell ref="D9882:F9882"/>
    <mergeCell ref="D9871:F9871"/>
    <mergeCell ref="D9872:F9872"/>
    <mergeCell ref="D9873:F9873"/>
    <mergeCell ref="D9874:F9874"/>
    <mergeCell ref="D9875:F9875"/>
    <mergeCell ref="D9876:F9876"/>
    <mergeCell ref="D9865:F9865"/>
    <mergeCell ref="D9866:F9866"/>
    <mergeCell ref="D9867:F9867"/>
    <mergeCell ref="D9868:F9868"/>
    <mergeCell ref="D9869:F9869"/>
    <mergeCell ref="D9870:F9870"/>
    <mergeCell ref="D9859:F9859"/>
    <mergeCell ref="D9860:F9860"/>
    <mergeCell ref="D9861:F9861"/>
    <mergeCell ref="D9862:F9862"/>
    <mergeCell ref="D9863:F9863"/>
    <mergeCell ref="D9864:F9864"/>
    <mergeCell ref="D9853:F9853"/>
    <mergeCell ref="D9854:F9854"/>
    <mergeCell ref="D9855:F9855"/>
    <mergeCell ref="D9856:F9856"/>
    <mergeCell ref="D9857:F9857"/>
    <mergeCell ref="D9858:F9858"/>
    <mergeCell ref="D9847:F9847"/>
    <mergeCell ref="D9848:F9848"/>
    <mergeCell ref="D9849:F9849"/>
    <mergeCell ref="D9850:F9850"/>
    <mergeCell ref="D9851:F9851"/>
    <mergeCell ref="D9852:F9852"/>
    <mergeCell ref="D9913:F9913"/>
    <mergeCell ref="D9914:F9914"/>
    <mergeCell ref="D9915:F9915"/>
    <mergeCell ref="D9916:F9916"/>
    <mergeCell ref="D9917:F9917"/>
    <mergeCell ref="D9918:F9918"/>
    <mergeCell ref="D9907:F9907"/>
    <mergeCell ref="D9908:F9908"/>
    <mergeCell ref="D9909:F9909"/>
    <mergeCell ref="D9910:F9910"/>
    <mergeCell ref="D9911:F9911"/>
    <mergeCell ref="D9912:F9912"/>
    <mergeCell ref="D9901:F9901"/>
    <mergeCell ref="D9902:F9902"/>
    <mergeCell ref="D9903:F9903"/>
    <mergeCell ref="D9904:F9904"/>
    <mergeCell ref="D9905:F9905"/>
    <mergeCell ref="D9906:F9906"/>
    <mergeCell ref="D9895:F9895"/>
    <mergeCell ref="D9896:F9896"/>
    <mergeCell ref="D9897:F9897"/>
    <mergeCell ref="D9898:F9898"/>
    <mergeCell ref="D9899:F9899"/>
    <mergeCell ref="D9900:F9900"/>
    <mergeCell ref="D9889:F9889"/>
    <mergeCell ref="D9890:F9890"/>
    <mergeCell ref="D9891:F9891"/>
    <mergeCell ref="D9892:F9892"/>
    <mergeCell ref="D9893:F9893"/>
    <mergeCell ref="D9894:F9894"/>
    <mergeCell ref="D9883:F9883"/>
    <mergeCell ref="D9884:F9884"/>
    <mergeCell ref="D9885:F9885"/>
    <mergeCell ref="D9886:F9886"/>
    <mergeCell ref="D9887:F9887"/>
    <mergeCell ref="D9888:F9888"/>
    <mergeCell ref="D9949:F9949"/>
    <mergeCell ref="D9950:F9950"/>
    <mergeCell ref="D9951:F9951"/>
    <mergeCell ref="D9952:F9952"/>
    <mergeCell ref="D9953:F9953"/>
    <mergeCell ref="D9954:F9954"/>
    <mergeCell ref="D9943:F9943"/>
    <mergeCell ref="D9944:F9944"/>
    <mergeCell ref="D9945:F9945"/>
    <mergeCell ref="D9946:F9946"/>
    <mergeCell ref="D9947:F9947"/>
    <mergeCell ref="D9948:F9948"/>
    <mergeCell ref="D9937:F9937"/>
    <mergeCell ref="D9938:F9938"/>
    <mergeCell ref="D9939:F9939"/>
    <mergeCell ref="D9940:F9940"/>
    <mergeCell ref="D9941:F9941"/>
    <mergeCell ref="D9942:F9942"/>
    <mergeCell ref="D9931:F9931"/>
    <mergeCell ref="D9932:F9932"/>
    <mergeCell ref="D9933:F9933"/>
    <mergeCell ref="D9934:F9934"/>
    <mergeCell ref="D9935:F9935"/>
    <mergeCell ref="D9936:F9936"/>
    <mergeCell ref="D9925:F9925"/>
    <mergeCell ref="D9926:F9926"/>
    <mergeCell ref="D9927:F9927"/>
    <mergeCell ref="D9928:F9928"/>
    <mergeCell ref="D9929:F9929"/>
    <mergeCell ref="D9930:F9930"/>
    <mergeCell ref="D9919:F9919"/>
    <mergeCell ref="D9920:F9920"/>
    <mergeCell ref="D9921:F9921"/>
    <mergeCell ref="D9922:F9922"/>
    <mergeCell ref="D9923:F9923"/>
    <mergeCell ref="D9924:F9924"/>
    <mergeCell ref="D9985:F9985"/>
    <mergeCell ref="D9986:F9986"/>
    <mergeCell ref="D9987:F9987"/>
    <mergeCell ref="D9988:F9988"/>
    <mergeCell ref="D9989:F9989"/>
    <mergeCell ref="D9990:F9990"/>
    <mergeCell ref="D9979:F9979"/>
    <mergeCell ref="D9980:F9980"/>
    <mergeCell ref="D9981:F9981"/>
    <mergeCell ref="D9982:F9982"/>
    <mergeCell ref="D9983:F9983"/>
    <mergeCell ref="D9984:F9984"/>
    <mergeCell ref="D9973:F9973"/>
    <mergeCell ref="D9974:F9974"/>
    <mergeCell ref="D9975:F9975"/>
    <mergeCell ref="D9976:F9976"/>
    <mergeCell ref="D9977:F9977"/>
    <mergeCell ref="D9978:F9978"/>
    <mergeCell ref="D9967:F9967"/>
    <mergeCell ref="D9968:F9968"/>
    <mergeCell ref="D9969:F9969"/>
    <mergeCell ref="D9970:F9970"/>
    <mergeCell ref="D9971:F9971"/>
    <mergeCell ref="D9972:F9972"/>
    <mergeCell ref="D9961:F9961"/>
    <mergeCell ref="D9962:F9962"/>
    <mergeCell ref="D9963:F9963"/>
    <mergeCell ref="D9964:F9964"/>
    <mergeCell ref="D9965:F9965"/>
    <mergeCell ref="D9966:F9966"/>
    <mergeCell ref="D9955:F9955"/>
    <mergeCell ref="D9956:F9956"/>
    <mergeCell ref="D9957:F9957"/>
    <mergeCell ref="D9958:F9958"/>
    <mergeCell ref="D9959:F9959"/>
    <mergeCell ref="D9960:F9960"/>
    <mergeCell ref="D10021:F10021"/>
    <mergeCell ref="D10022:F10022"/>
    <mergeCell ref="D10023:F10023"/>
    <mergeCell ref="D10024:F10024"/>
    <mergeCell ref="D10025:F10025"/>
    <mergeCell ref="D10026:F10026"/>
    <mergeCell ref="D10015:F10015"/>
    <mergeCell ref="D10016:F10016"/>
    <mergeCell ref="D10017:F10017"/>
    <mergeCell ref="D10018:F10018"/>
    <mergeCell ref="D10019:F10019"/>
    <mergeCell ref="D10020:F10020"/>
    <mergeCell ref="D10009:F10009"/>
    <mergeCell ref="D10010:F10010"/>
    <mergeCell ref="D10011:F10011"/>
    <mergeCell ref="D10012:F10012"/>
    <mergeCell ref="D10013:F10013"/>
    <mergeCell ref="D10014:F10014"/>
    <mergeCell ref="D10003:F10003"/>
    <mergeCell ref="D10004:F10004"/>
    <mergeCell ref="D10005:F10005"/>
    <mergeCell ref="D10006:F10006"/>
    <mergeCell ref="D10007:F10007"/>
    <mergeCell ref="D10008:F10008"/>
    <mergeCell ref="D9997:F9997"/>
    <mergeCell ref="D9998:F9998"/>
    <mergeCell ref="D9999:F9999"/>
    <mergeCell ref="D10000:F10000"/>
    <mergeCell ref="D10001:F10001"/>
    <mergeCell ref="D10002:F10002"/>
    <mergeCell ref="D9991:F9991"/>
    <mergeCell ref="D9992:F9992"/>
    <mergeCell ref="D9993:F9993"/>
    <mergeCell ref="D9994:F9994"/>
    <mergeCell ref="D9995:F9995"/>
    <mergeCell ref="D9996:F9996"/>
    <mergeCell ref="D10057:F10057"/>
    <mergeCell ref="D10058:F10058"/>
    <mergeCell ref="D10059:F10059"/>
    <mergeCell ref="D10060:F10060"/>
    <mergeCell ref="D10061:F10061"/>
    <mergeCell ref="D10062:F10062"/>
    <mergeCell ref="D10051:F10051"/>
    <mergeCell ref="D10052:F10052"/>
    <mergeCell ref="D10053:F10053"/>
    <mergeCell ref="D10054:F10054"/>
    <mergeCell ref="D10055:F10055"/>
    <mergeCell ref="D10056:F10056"/>
    <mergeCell ref="D10045:F10045"/>
    <mergeCell ref="D10046:F10046"/>
    <mergeCell ref="D10047:F10047"/>
    <mergeCell ref="D10048:F10048"/>
    <mergeCell ref="D10049:F10049"/>
    <mergeCell ref="D10050:F10050"/>
    <mergeCell ref="D10039:F10039"/>
    <mergeCell ref="D10040:F10040"/>
    <mergeCell ref="D10041:F10041"/>
    <mergeCell ref="D10042:F10042"/>
    <mergeCell ref="D10043:F10043"/>
    <mergeCell ref="D10044:F10044"/>
    <mergeCell ref="D10033:F10033"/>
    <mergeCell ref="D10034:F10034"/>
    <mergeCell ref="D10035:F10035"/>
    <mergeCell ref="D10036:F10036"/>
    <mergeCell ref="D10037:F10037"/>
    <mergeCell ref="D10038:F10038"/>
    <mergeCell ref="D10027:F10027"/>
    <mergeCell ref="D10028:F10028"/>
    <mergeCell ref="D10029:F10029"/>
    <mergeCell ref="D10030:F10030"/>
    <mergeCell ref="D10031:F10031"/>
    <mergeCell ref="D10032:F10032"/>
    <mergeCell ref="D10093:F10093"/>
    <mergeCell ref="D10094:F10094"/>
    <mergeCell ref="D10095:F10095"/>
    <mergeCell ref="D10096:F10096"/>
    <mergeCell ref="D10097:F10097"/>
    <mergeCell ref="D10098:F10098"/>
    <mergeCell ref="D10087:F10087"/>
    <mergeCell ref="D10088:F10088"/>
    <mergeCell ref="D10089:F10089"/>
    <mergeCell ref="D10090:F10090"/>
    <mergeCell ref="D10091:F10091"/>
    <mergeCell ref="D10092:F10092"/>
    <mergeCell ref="D10081:F10081"/>
    <mergeCell ref="D10082:F10082"/>
    <mergeCell ref="D10083:F10083"/>
    <mergeCell ref="D10084:F10084"/>
    <mergeCell ref="D10085:F10085"/>
    <mergeCell ref="D10086:F10086"/>
    <mergeCell ref="D10075:F10075"/>
    <mergeCell ref="D10076:F10076"/>
    <mergeCell ref="D10077:F10077"/>
    <mergeCell ref="D10078:F10078"/>
    <mergeCell ref="D10079:F10079"/>
    <mergeCell ref="D10080:F10080"/>
    <mergeCell ref="D10069:F10069"/>
    <mergeCell ref="D10070:F10070"/>
    <mergeCell ref="D10071:F10071"/>
    <mergeCell ref="D10072:F10072"/>
    <mergeCell ref="D10073:F10073"/>
    <mergeCell ref="D10074:F10074"/>
    <mergeCell ref="D10063:F10063"/>
    <mergeCell ref="D10064:F10064"/>
    <mergeCell ref="D10065:F10065"/>
    <mergeCell ref="D10066:F10066"/>
    <mergeCell ref="D10067:F10067"/>
    <mergeCell ref="D10068:F10068"/>
    <mergeCell ref="D10129:F10129"/>
    <mergeCell ref="D10130:F10130"/>
    <mergeCell ref="D10131:F10131"/>
    <mergeCell ref="D10132:F10132"/>
    <mergeCell ref="D10133:F10133"/>
    <mergeCell ref="D10134:F10134"/>
    <mergeCell ref="D10123:F10123"/>
    <mergeCell ref="D10124:F10124"/>
    <mergeCell ref="D10125:F10125"/>
    <mergeCell ref="D10126:F10126"/>
    <mergeCell ref="D10127:F10127"/>
    <mergeCell ref="D10128:F10128"/>
    <mergeCell ref="D10117:F10117"/>
    <mergeCell ref="D10118:F10118"/>
    <mergeCell ref="D10119:F10119"/>
    <mergeCell ref="D10120:F10120"/>
    <mergeCell ref="D10121:F10121"/>
    <mergeCell ref="D10122:F10122"/>
    <mergeCell ref="D10111:F10111"/>
    <mergeCell ref="D10112:F10112"/>
    <mergeCell ref="D10113:F10113"/>
    <mergeCell ref="D10114:F10114"/>
    <mergeCell ref="D10115:F10115"/>
    <mergeCell ref="D10116:F10116"/>
    <mergeCell ref="D10105:F10105"/>
    <mergeCell ref="D10106:F10106"/>
    <mergeCell ref="D10107:F10107"/>
    <mergeCell ref="D10108:F10108"/>
    <mergeCell ref="D10109:F10109"/>
    <mergeCell ref="D10110:F10110"/>
    <mergeCell ref="D10099:F10099"/>
    <mergeCell ref="D10100:F10100"/>
    <mergeCell ref="D10101:F10101"/>
    <mergeCell ref="D10102:F10102"/>
    <mergeCell ref="D10103:F10103"/>
    <mergeCell ref="D10104:F10104"/>
    <mergeCell ref="D10165:F10165"/>
    <mergeCell ref="D10166:F10166"/>
    <mergeCell ref="D10167:F10167"/>
    <mergeCell ref="D10168:F10168"/>
    <mergeCell ref="D10169:F10169"/>
    <mergeCell ref="D10170:F10170"/>
    <mergeCell ref="D10159:F10159"/>
    <mergeCell ref="D10160:F10160"/>
    <mergeCell ref="D10161:F10161"/>
    <mergeCell ref="D10162:F10162"/>
    <mergeCell ref="D10163:F10163"/>
    <mergeCell ref="D10164:F10164"/>
    <mergeCell ref="D10153:F10153"/>
    <mergeCell ref="D10154:F10154"/>
    <mergeCell ref="D10155:F10155"/>
    <mergeCell ref="D10156:F10156"/>
    <mergeCell ref="D10157:F10157"/>
    <mergeCell ref="D10158:F10158"/>
    <mergeCell ref="D10147:F10147"/>
    <mergeCell ref="D10148:F10148"/>
    <mergeCell ref="D10149:F10149"/>
    <mergeCell ref="D10150:F10150"/>
    <mergeCell ref="D10151:F10151"/>
    <mergeCell ref="D10152:F10152"/>
    <mergeCell ref="D10141:F10141"/>
    <mergeCell ref="D10142:F10142"/>
    <mergeCell ref="D10143:F10143"/>
    <mergeCell ref="D10144:F10144"/>
    <mergeCell ref="D10145:F10145"/>
    <mergeCell ref="D10146:F10146"/>
    <mergeCell ref="D10135:F10135"/>
    <mergeCell ref="D10136:F10136"/>
    <mergeCell ref="D10137:F10137"/>
    <mergeCell ref="D10138:F10138"/>
    <mergeCell ref="D10139:F10139"/>
    <mergeCell ref="D10140:F10140"/>
    <mergeCell ref="D10201:F10201"/>
    <mergeCell ref="D10202:F10202"/>
    <mergeCell ref="D10203:F10203"/>
    <mergeCell ref="D10204:F10204"/>
    <mergeCell ref="D10205:F10205"/>
    <mergeCell ref="D10206:F10206"/>
    <mergeCell ref="D10195:F10195"/>
    <mergeCell ref="D10196:F10196"/>
    <mergeCell ref="D10197:F10197"/>
    <mergeCell ref="D10198:F10198"/>
    <mergeCell ref="D10199:F10199"/>
    <mergeCell ref="D10200:F10200"/>
    <mergeCell ref="D10189:F10189"/>
    <mergeCell ref="D10190:F10190"/>
    <mergeCell ref="D10191:F10191"/>
    <mergeCell ref="D10192:F10192"/>
    <mergeCell ref="D10193:F10193"/>
    <mergeCell ref="D10194:F10194"/>
    <mergeCell ref="D10183:F10183"/>
    <mergeCell ref="D10184:F10184"/>
    <mergeCell ref="D10185:F10185"/>
    <mergeCell ref="D10186:F10186"/>
    <mergeCell ref="D10187:F10187"/>
    <mergeCell ref="D10188:F10188"/>
    <mergeCell ref="D10177:F10177"/>
    <mergeCell ref="D10178:F10178"/>
    <mergeCell ref="D10179:F10179"/>
    <mergeCell ref="D10180:F10180"/>
    <mergeCell ref="D10181:F10181"/>
    <mergeCell ref="D10182:F10182"/>
    <mergeCell ref="D10171:F10171"/>
    <mergeCell ref="D10172:F10172"/>
    <mergeCell ref="D10173:F10173"/>
    <mergeCell ref="D10174:F10174"/>
    <mergeCell ref="D10175:F10175"/>
    <mergeCell ref="D10176:F10176"/>
    <mergeCell ref="D10237:F10237"/>
    <mergeCell ref="D10238:F10238"/>
    <mergeCell ref="D10239:F10239"/>
    <mergeCell ref="D10240:F10240"/>
    <mergeCell ref="D10241:F10241"/>
    <mergeCell ref="D10242:F10242"/>
    <mergeCell ref="D10231:F10231"/>
    <mergeCell ref="D10232:F10232"/>
    <mergeCell ref="D10233:F10233"/>
    <mergeCell ref="D10234:F10234"/>
    <mergeCell ref="D10235:F10235"/>
    <mergeCell ref="D10236:F10236"/>
    <mergeCell ref="D10225:F10225"/>
    <mergeCell ref="D10226:F10226"/>
    <mergeCell ref="D10227:F10227"/>
    <mergeCell ref="D10228:F10228"/>
    <mergeCell ref="D10229:F10229"/>
    <mergeCell ref="D10230:F10230"/>
    <mergeCell ref="D10219:F10219"/>
    <mergeCell ref="D10220:F10220"/>
    <mergeCell ref="D10221:F10221"/>
    <mergeCell ref="D10222:F10222"/>
    <mergeCell ref="D10223:F10223"/>
    <mergeCell ref="D10224:F10224"/>
    <mergeCell ref="D10213:F10213"/>
    <mergeCell ref="D10214:F10214"/>
    <mergeCell ref="D10215:F10215"/>
    <mergeCell ref="D10216:F10216"/>
    <mergeCell ref="D10217:F10217"/>
    <mergeCell ref="D10218:F10218"/>
    <mergeCell ref="D10207:F10207"/>
    <mergeCell ref="D10208:F10208"/>
    <mergeCell ref="D10209:F10209"/>
    <mergeCell ref="D10210:F10210"/>
    <mergeCell ref="D10211:F10211"/>
    <mergeCell ref="D10212:F10212"/>
    <mergeCell ref="D10273:F10273"/>
    <mergeCell ref="D10274:F10274"/>
    <mergeCell ref="D10275:F10275"/>
    <mergeCell ref="D10276:F10276"/>
    <mergeCell ref="D10277:F10277"/>
    <mergeCell ref="D10278:F10278"/>
    <mergeCell ref="D10267:F10267"/>
    <mergeCell ref="D10268:F10268"/>
    <mergeCell ref="D10269:F10269"/>
    <mergeCell ref="D10270:F10270"/>
    <mergeCell ref="D10271:F10271"/>
    <mergeCell ref="D10272:F10272"/>
    <mergeCell ref="D10261:F10261"/>
    <mergeCell ref="D10262:F10262"/>
    <mergeCell ref="D10263:F10263"/>
    <mergeCell ref="D10264:F10264"/>
    <mergeCell ref="D10265:F10265"/>
    <mergeCell ref="D10266:F10266"/>
    <mergeCell ref="D10255:F10255"/>
    <mergeCell ref="D10256:F10256"/>
    <mergeCell ref="D10257:F10257"/>
    <mergeCell ref="D10258:F10258"/>
    <mergeCell ref="D10259:F10259"/>
    <mergeCell ref="D10260:F10260"/>
    <mergeCell ref="D10249:F10249"/>
    <mergeCell ref="D10250:F10250"/>
    <mergeCell ref="D10251:F10251"/>
    <mergeCell ref="D10252:F10252"/>
    <mergeCell ref="D10253:F10253"/>
    <mergeCell ref="D10254:F10254"/>
    <mergeCell ref="D10243:F10243"/>
    <mergeCell ref="D10244:F10244"/>
    <mergeCell ref="D10245:F10245"/>
    <mergeCell ref="D10246:F10246"/>
    <mergeCell ref="D10247:F10247"/>
    <mergeCell ref="D10248:F10248"/>
    <mergeCell ref="D10309:F10309"/>
    <mergeCell ref="D10310:F10310"/>
    <mergeCell ref="D10311:F10311"/>
    <mergeCell ref="D10312:F10312"/>
    <mergeCell ref="D10313:F10313"/>
    <mergeCell ref="D10314:F10314"/>
    <mergeCell ref="D10303:F10303"/>
    <mergeCell ref="D10304:F10304"/>
    <mergeCell ref="D10305:F10305"/>
    <mergeCell ref="D10306:F10306"/>
    <mergeCell ref="D10307:F10307"/>
    <mergeCell ref="D10308:F10308"/>
    <mergeCell ref="D10297:F10297"/>
    <mergeCell ref="D10298:F10298"/>
    <mergeCell ref="D10299:F10299"/>
    <mergeCell ref="D10300:F10300"/>
    <mergeCell ref="D10301:F10301"/>
    <mergeCell ref="D10302:F10302"/>
    <mergeCell ref="D10291:F10291"/>
    <mergeCell ref="D10292:F10292"/>
    <mergeCell ref="D10293:F10293"/>
    <mergeCell ref="D10294:F10294"/>
    <mergeCell ref="D10295:F10295"/>
    <mergeCell ref="D10296:F10296"/>
    <mergeCell ref="D10285:F10285"/>
    <mergeCell ref="D10286:F10286"/>
    <mergeCell ref="D10287:F10287"/>
    <mergeCell ref="D10288:F10288"/>
    <mergeCell ref="D10289:F10289"/>
    <mergeCell ref="D10290:F10290"/>
    <mergeCell ref="D10279:F10279"/>
    <mergeCell ref="D10280:F10280"/>
    <mergeCell ref="D10281:F10281"/>
    <mergeCell ref="D10282:F10282"/>
    <mergeCell ref="D10283:F10283"/>
    <mergeCell ref="D10284:F10284"/>
    <mergeCell ref="D10345:F10345"/>
    <mergeCell ref="D10346:F10346"/>
    <mergeCell ref="D10347:F10347"/>
    <mergeCell ref="D10348:F10348"/>
    <mergeCell ref="D10349:F10349"/>
    <mergeCell ref="D10350:F10350"/>
    <mergeCell ref="D10339:F10339"/>
    <mergeCell ref="D10340:F10340"/>
    <mergeCell ref="D10341:F10341"/>
    <mergeCell ref="D10342:F10342"/>
    <mergeCell ref="D10343:F10343"/>
    <mergeCell ref="D10344:F10344"/>
    <mergeCell ref="D10333:F10333"/>
    <mergeCell ref="D10334:F10334"/>
    <mergeCell ref="D10335:F10335"/>
    <mergeCell ref="D10336:F10336"/>
    <mergeCell ref="D10337:F10337"/>
    <mergeCell ref="D10338:F10338"/>
    <mergeCell ref="D10327:F10327"/>
    <mergeCell ref="D10328:F10328"/>
    <mergeCell ref="D10329:F10329"/>
    <mergeCell ref="D10330:F10330"/>
    <mergeCell ref="D10331:F10331"/>
    <mergeCell ref="D10332:F10332"/>
    <mergeCell ref="D10321:F10321"/>
    <mergeCell ref="D10322:F10322"/>
    <mergeCell ref="D10323:F10323"/>
    <mergeCell ref="D10324:F10324"/>
    <mergeCell ref="D10325:F10325"/>
    <mergeCell ref="D10326:F10326"/>
    <mergeCell ref="D10315:F10315"/>
    <mergeCell ref="D10316:F10316"/>
    <mergeCell ref="D10317:F10317"/>
    <mergeCell ref="D10318:F10318"/>
    <mergeCell ref="D10319:F10319"/>
    <mergeCell ref="D10320:F10320"/>
    <mergeCell ref="D10381:F10381"/>
    <mergeCell ref="D10382:F10382"/>
    <mergeCell ref="D10383:F10383"/>
    <mergeCell ref="D10384:F10384"/>
    <mergeCell ref="D10385:F10385"/>
    <mergeCell ref="D10386:F10386"/>
    <mergeCell ref="D10375:F10375"/>
    <mergeCell ref="D10376:F10376"/>
    <mergeCell ref="D10377:F10377"/>
    <mergeCell ref="D10378:F10378"/>
    <mergeCell ref="D10379:F10379"/>
    <mergeCell ref="D10380:F10380"/>
    <mergeCell ref="D10369:F10369"/>
    <mergeCell ref="D10370:F10370"/>
    <mergeCell ref="D10371:F10371"/>
    <mergeCell ref="D10372:F10372"/>
    <mergeCell ref="D10373:F10373"/>
    <mergeCell ref="D10374:F10374"/>
    <mergeCell ref="D10363:F10363"/>
    <mergeCell ref="D10364:F10364"/>
    <mergeCell ref="D10365:F10365"/>
    <mergeCell ref="D10366:F10366"/>
    <mergeCell ref="D10367:F10367"/>
    <mergeCell ref="D10368:F10368"/>
    <mergeCell ref="D10357:F10357"/>
    <mergeCell ref="D10358:F10358"/>
    <mergeCell ref="D10359:F10359"/>
    <mergeCell ref="D10360:F10360"/>
    <mergeCell ref="D10361:F10361"/>
    <mergeCell ref="D10362:F10362"/>
    <mergeCell ref="D10351:F10351"/>
    <mergeCell ref="D10352:F10352"/>
    <mergeCell ref="D10353:F10353"/>
    <mergeCell ref="D10354:F10354"/>
    <mergeCell ref="D10355:F10355"/>
    <mergeCell ref="D10356:F10356"/>
    <mergeCell ref="D10417:F10417"/>
    <mergeCell ref="D10418:F10418"/>
    <mergeCell ref="D10419:F10419"/>
    <mergeCell ref="D10420:F10420"/>
    <mergeCell ref="D10421:F10421"/>
    <mergeCell ref="D10422:F10422"/>
    <mergeCell ref="D10411:F10411"/>
    <mergeCell ref="D10412:F10412"/>
    <mergeCell ref="D10413:F10413"/>
    <mergeCell ref="D10414:F10414"/>
    <mergeCell ref="D10415:F10415"/>
    <mergeCell ref="D10416:F10416"/>
    <mergeCell ref="D10405:F10405"/>
    <mergeCell ref="D10406:F10406"/>
    <mergeCell ref="D10407:F10407"/>
    <mergeCell ref="D10408:F10408"/>
    <mergeCell ref="D10409:F10409"/>
    <mergeCell ref="D10410:F10410"/>
    <mergeCell ref="D10399:F10399"/>
    <mergeCell ref="D10400:F10400"/>
    <mergeCell ref="D10401:F10401"/>
    <mergeCell ref="D10402:F10402"/>
    <mergeCell ref="D10403:F10403"/>
    <mergeCell ref="D10404:F10404"/>
    <mergeCell ref="D10393:F10393"/>
    <mergeCell ref="D10394:F10394"/>
    <mergeCell ref="D10395:F10395"/>
    <mergeCell ref="D10396:F10396"/>
    <mergeCell ref="D10397:F10397"/>
    <mergeCell ref="D10398:F10398"/>
    <mergeCell ref="D10387:F10387"/>
    <mergeCell ref="D10388:F10388"/>
    <mergeCell ref="D10389:F10389"/>
    <mergeCell ref="D10390:F10390"/>
    <mergeCell ref="D10391:F10391"/>
    <mergeCell ref="D10392:F10392"/>
    <mergeCell ref="D10453:F10453"/>
    <mergeCell ref="D10454:F10454"/>
    <mergeCell ref="D10455:F10455"/>
    <mergeCell ref="D10456:F10456"/>
    <mergeCell ref="D10457:F10457"/>
    <mergeCell ref="D10458:F10458"/>
    <mergeCell ref="D10447:F10447"/>
    <mergeCell ref="D10448:F10448"/>
    <mergeCell ref="D10449:F10449"/>
    <mergeCell ref="D10450:F10450"/>
    <mergeCell ref="D10451:F10451"/>
    <mergeCell ref="D10452:F10452"/>
    <mergeCell ref="D10441:F10441"/>
    <mergeCell ref="D10442:F10442"/>
    <mergeCell ref="D10443:F10443"/>
    <mergeCell ref="D10444:F10444"/>
    <mergeCell ref="D10445:F10445"/>
    <mergeCell ref="D10446:F10446"/>
    <mergeCell ref="D10435:F10435"/>
    <mergeCell ref="D10436:F10436"/>
    <mergeCell ref="D10437:F10437"/>
    <mergeCell ref="D10438:F10438"/>
    <mergeCell ref="D10439:F10439"/>
    <mergeCell ref="D10440:F10440"/>
    <mergeCell ref="D10429:F10429"/>
    <mergeCell ref="D10430:F10430"/>
    <mergeCell ref="D10431:F10431"/>
    <mergeCell ref="D10432:F10432"/>
    <mergeCell ref="D10433:F10433"/>
    <mergeCell ref="D10434:F10434"/>
    <mergeCell ref="D10423:F10423"/>
    <mergeCell ref="D10424:F10424"/>
    <mergeCell ref="D10425:F10425"/>
    <mergeCell ref="D10426:F10426"/>
    <mergeCell ref="D10427:F10427"/>
    <mergeCell ref="D10428:F10428"/>
    <mergeCell ref="D10489:F10489"/>
    <mergeCell ref="D10490:F10490"/>
    <mergeCell ref="D10491:F10491"/>
    <mergeCell ref="D10492:F10492"/>
    <mergeCell ref="D10493:F10493"/>
    <mergeCell ref="D10494:F10494"/>
    <mergeCell ref="D10483:F10483"/>
    <mergeCell ref="D10484:F10484"/>
    <mergeCell ref="D10485:F10485"/>
    <mergeCell ref="D10486:F10486"/>
    <mergeCell ref="D10487:F10487"/>
    <mergeCell ref="D10488:F10488"/>
    <mergeCell ref="D10477:F10477"/>
    <mergeCell ref="D10478:F10478"/>
    <mergeCell ref="D10479:F10479"/>
    <mergeCell ref="D10480:F10480"/>
    <mergeCell ref="D10481:F10481"/>
    <mergeCell ref="D10482:F10482"/>
    <mergeCell ref="D10471:F10471"/>
    <mergeCell ref="D10472:F10472"/>
    <mergeCell ref="D10473:F10473"/>
    <mergeCell ref="D10474:F10474"/>
    <mergeCell ref="D10475:F10475"/>
    <mergeCell ref="D10476:F10476"/>
    <mergeCell ref="D10465:F10465"/>
    <mergeCell ref="D10466:F10466"/>
    <mergeCell ref="D10467:F10467"/>
    <mergeCell ref="D10468:F10468"/>
    <mergeCell ref="D10469:F10469"/>
    <mergeCell ref="D10470:F10470"/>
    <mergeCell ref="D10459:F10459"/>
    <mergeCell ref="D10460:F10460"/>
    <mergeCell ref="D10461:F10461"/>
    <mergeCell ref="D10462:F10462"/>
    <mergeCell ref="D10463:F10463"/>
    <mergeCell ref="D10464:F10464"/>
    <mergeCell ref="D10525:F10525"/>
    <mergeCell ref="D10526:F10526"/>
    <mergeCell ref="D10527:F10527"/>
    <mergeCell ref="D10528:F10528"/>
    <mergeCell ref="D10529:F10529"/>
    <mergeCell ref="D10530:F10530"/>
    <mergeCell ref="D10519:F10519"/>
    <mergeCell ref="D10520:F10520"/>
    <mergeCell ref="D10521:F10521"/>
    <mergeCell ref="D10522:F10522"/>
    <mergeCell ref="D10523:F10523"/>
    <mergeCell ref="D10524:F10524"/>
    <mergeCell ref="D10513:F10513"/>
    <mergeCell ref="D10514:F10514"/>
    <mergeCell ref="D10515:F10515"/>
    <mergeCell ref="D10516:F10516"/>
    <mergeCell ref="D10517:F10517"/>
    <mergeCell ref="D10518:F10518"/>
    <mergeCell ref="D10507:F10507"/>
    <mergeCell ref="D10508:F10508"/>
    <mergeCell ref="D10509:F10509"/>
    <mergeCell ref="D10510:F10510"/>
    <mergeCell ref="D10511:F10511"/>
    <mergeCell ref="D10512:F10512"/>
    <mergeCell ref="D10501:F10501"/>
    <mergeCell ref="D10502:F10502"/>
    <mergeCell ref="D10503:F10503"/>
    <mergeCell ref="D10504:F10504"/>
    <mergeCell ref="D10505:F10505"/>
    <mergeCell ref="D10506:F10506"/>
    <mergeCell ref="D10495:F10495"/>
    <mergeCell ref="D10496:F10496"/>
    <mergeCell ref="D10497:F10497"/>
    <mergeCell ref="D10498:F10498"/>
    <mergeCell ref="D10499:F10499"/>
    <mergeCell ref="D10500:F10500"/>
    <mergeCell ref="D10561:F10561"/>
    <mergeCell ref="D10562:F10562"/>
    <mergeCell ref="D10563:F10563"/>
    <mergeCell ref="D10564:F10564"/>
    <mergeCell ref="D10565:F10565"/>
    <mergeCell ref="D10566:F10566"/>
    <mergeCell ref="D10555:F10555"/>
    <mergeCell ref="D10556:F10556"/>
    <mergeCell ref="D10557:F10557"/>
    <mergeCell ref="D10558:F10558"/>
    <mergeCell ref="D10559:F10559"/>
    <mergeCell ref="D10560:F10560"/>
    <mergeCell ref="D10549:F10549"/>
    <mergeCell ref="D10550:F10550"/>
    <mergeCell ref="D10551:F10551"/>
    <mergeCell ref="D10552:F10552"/>
    <mergeCell ref="D10553:F10553"/>
    <mergeCell ref="D10554:F10554"/>
    <mergeCell ref="D10543:F10543"/>
    <mergeCell ref="D10544:F10544"/>
    <mergeCell ref="D10545:F10545"/>
    <mergeCell ref="D10546:F10546"/>
    <mergeCell ref="D10547:F10547"/>
    <mergeCell ref="D10548:F10548"/>
    <mergeCell ref="D10537:F10537"/>
    <mergeCell ref="D10538:F10538"/>
    <mergeCell ref="D10539:F10539"/>
    <mergeCell ref="D10540:F10540"/>
    <mergeCell ref="D10541:F10541"/>
    <mergeCell ref="D10542:F10542"/>
    <mergeCell ref="D10531:F10531"/>
    <mergeCell ref="D10532:F10532"/>
    <mergeCell ref="D10533:F10533"/>
    <mergeCell ref="D10534:F10534"/>
    <mergeCell ref="D10535:F10535"/>
    <mergeCell ref="D10536:F10536"/>
    <mergeCell ref="D10597:F10597"/>
    <mergeCell ref="D10598:F10598"/>
    <mergeCell ref="D10599:F10599"/>
    <mergeCell ref="D10600:F10600"/>
    <mergeCell ref="D10601:F10601"/>
    <mergeCell ref="D10602:F10602"/>
    <mergeCell ref="D10591:F10591"/>
    <mergeCell ref="D10592:F10592"/>
    <mergeCell ref="D10593:F10593"/>
    <mergeCell ref="D10594:F10594"/>
    <mergeCell ref="D10595:F10595"/>
    <mergeCell ref="D10596:F10596"/>
    <mergeCell ref="D10585:F10585"/>
    <mergeCell ref="D10586:F10586"/>
    <mergeCell ref="D10587:F10587"/>
    <mergeCell ref="D10588:F10588"/>
    <mergeCell ref="D10589:F10589"/>
    <mergeCell ref="D10590:F10590"/>
    <mergeCell ref="D10579:F10579"/>
    <mergeCell ref="D10580:F10580"/>
    <mergeCell ref="D10581:F10581"/>
    <mergeCell ref="D10582:F10582"/>
    <mergeCell ref="D10583:F10583"/>
    <mergeCell ref="D10584:F10584"/>
    <mergeCell ref="D10573:F10573"/>
    <mergeCell ref="D10574:F10574"/>
    <mergeCell ref="D10575:F10575"/>
    <mergeCell ref="D10576:F10576"/>
    <mergeCell ref="D10577:F10577"/>
    <mergeCell ref="D10578:F10578"/>
    <mergeCell ref="D10567:F10567"/>
    <mergeCell ref="D10568:F10568"/>
    <mergeCell ref="D10569:F10569"/>
    <mergeCell ref="D10570:F10570"/>
    <mergeCell ref="D10571:F10571"/>
    <mergeCell ref="D10572:F10572"/>
    <mergeCell ref="D10633:F10633"/>
    <mergeCell ref="D10634:F10634"/>
    <mergeCell ref="D10635:F10635"/>
    <mergeCell ref="D10636:F10636"/>
    <mergeCell ref="D10637:F10637"/>
    <mergeCell ref="D10638:F10638"/>
    <mergeCell ref="D10627:F10627"/>
    <mergeCell ref="D10628:F10628"/>
    <mergeCell ref="D10629:F10629"/>
    <mergeCell ref="D10630:F10630"/>
    <mergeCell ref="D10631:F10631"/>
    <mergeCell ref="D10632:F10632"/>
    <mergeCell ref="D10621:F10621"/>
    <mergeCell ref="D10622:F10622"/>
    <mergeCell ref="D10623:F10623"/>
    <mergeCell ref="D10624:F10624"/>
    <mergeCell ref="D10625:F10625"/>
    <mergeCell ref="D10626:F10626"/>
    <mergeCell ref="D10615:F10615"/>
    <mergeCell ref="D10616:F10616"/>
    <mergeCell ref="D10617:F10617"/>
    <mergeCell ref="D10618:F10618"/>
    <mergeCell ref="D10619:F10619"/>
    <mergeCell ref="D10620:F10620"/>
    <mergeCell ref="D10609:F10609"/>
    <mergeCell ref="D10610:F10610"/>
    <mergeCell ref="D10611:F10611"/>
    <mergeCell ref="D10612:F10612"/>
    <mergeCell ref="D10613:F10613"/>
    <mergeCell ref="D10614:F10614"/>
    <mergeCell ref="D10603:F10603"/>
    <mergeCell ref="D10604:F10604"/>
    <mergeCell ref="D10605:F10605"/>
    <mergeCell ref="D10606:F10606"/>
    <mergeCell ref="D10607:F10607"/>
    <mergeCell ref="D10608:F10608"/>
    <mergeCell ref="D10669:F10669"/>
    <mergeCell ref="D10670:F10670"/>
    <mergeCell ref="D10671:F10671"/>
    <mergeCell ref="D10672:F10672"/>
    <mergeCell ref="D10673:F10673"/>
    <mergeCell ref="D10674:F10674"/>
    <mergeCell ref="D10663:F10663"/>
    <mergeCell ref="D10664:F10664"/>
    <mergeCell ref="D10665:F10665"/>
    <mergeCell ref="D10666:F10666"/>
    <mergeCell ref="D10667:F10667"/>
    <mergeCell ref="D10668:F10668"/>
    <mergeCell ref="D10657:F10657"/>
    <mergeCell ref="D10658:F10658"/>
    <mergeCell ref="D10659:F10659"/>
    <mergeCell ref="D10660:F10660"/>
    <mergeCell ref="D10661:F10661"/>
    <mergeCell ref="D10662:F10662"/>
    <mergeCell ref="D10651:F10651"/>
    <mergeCell ref="D10652:F10652"/>
    <mergeCell ref="D10653:F10653"/>
    <mergeCell ref="D10654:F10654"/>
    <mergeCell ref="D10655:F10655"/>
    <mergeCell ref="D10656:F10656"/>
    <mergeCell ref="D10645:F10645"/>
    <mergeCell ref="D10646:F10646"/>
    <mergeCell ref="D10647:F10647"/>
    <mergeCell ref="D10648:F10648"/>
    <mergeCell ref="D10649:F10649"/>
    <mergeCell ref="D10650:F10650"/>
    <mergeCell ref="D10639:F10639"/>
    <mergeCell ref="D10640:F10640"/>
    <mergeCell ref="D10641:F10641"/>
    <mergeCell ref="D10642:F10642"/>
    <mergeCell ref="D10643:F10643"/>
    <mergeCell ref="D10644:F10644"/>
    <mergeCell ref="D10705:F10705"/>
    <mergeCell ref="D10706:F10706"/>
    <mergeCell ref="D10707:F10707"/>
    <mergeCell ref="D10708:F10708"/>
    <mergeCell ref="D10709:F10709"/>
    <mergeCell ref="D10710:F10710"/>
    <mergeCell ref="D10699:F10699"/>
    <mergeCell ref="D10700:F10700"/>
    <mergeCell ref="D10701:F10701"/>
    <mergeCell ref="D10702:F10702"/>
    <mergeCell ref="D10703:F10703"/>
    <mergeCell ref="D10704:F10704"/>
    <mergeCell ref="D10693:F10693"/>
    <mergeCell ref="D10694:F10694"/>
    <mergeCell ref="D10695:F10695"/>
    <mergeCell ref="D10696:F10696"/>
    <mergeCell ref="D10697:F10697"/>
    <mergeCell ref="D10698:F10698"/>
    <mergeCell ref="D10687:F10687"/>
    <mergeCell ref="D10688:F10688"/>
    <mergeCell ref="D10689:F10689"/>
    <mergeCell ref="D10690:F10690"/>
    <mergeCell ref="D10691:F10691"/>
    <mergeCell ref="D10692:F10692"/>
    <mergeCell ref="D10681:F10681"/>
    <mergeCell ref="D10682:F10682"/>
    <mergeCell ref="D10683:F10683"/>
    <mergeCell ref="D10684:F10684"/>
    <mergeCell ref="D10685:F10685"/>
    <mergeCell ref="D10686:F10686"/>
    <mergeCell ref="D10675:F10675"/>
    <mergeCell ref="D10676:F10676"/>
    <mergeCell ref="D10677:F10677"/>
    <mergeCell ref="D10678:F10678"/>
    <mergeCell ref="D10679:F10679"/>
    <mergeCell ref="D10680:F10680"/>
    <mergeCell ref="D10741:F10741"/>
    <mergeCell ref="D10742:F10742"/>
    <mergeCell ref="D10743:F10743"/>
    <mergeCell ref="D10744:F10744"/>
    <mergeCell ref="D10745:F10745"/>
    <mergeCell ref="D10746:F10746"/>
    <mergeCell ref="D10735:F10735"/>
    <mergeCell ref="D10736:F10736"/>
    <mergeCell ref="D10737:F10737"/>
    <mergeCell ref="D10738:F10738"/>
    <mergeCell ref="D10739:F10739"/>
    <mergeCell ref="D10740:F10740"/>
    <mergeCell ref="D10729:F10729"/>
    <mergeCell ref="D10730:F10730"/>
    <mergeCell ref="D10731:F10731"/>
    <mergeCell ref="D10732:F10732"/>
    <mergeCell ref="D10733:F10733"/>
    <mergeCell ref="D10734:F10734"/>
    <mergeCell ref="D10723:F10723"/>
    <mergeCell ref="D10724:F10724"/>
    <mergeCell ref="D10725:F10725"/>
    <mergeCell ref="D10726:F10726"/>
    <mergeCell ref="D10727:F10727"/>
    <mergeCell ref="D10728:F10728"/>
    <mergeCell ref="D10717:F10717"/>
    <mergeCell ref="D10718:F10718"/>
    <mergeCell ref="D10719:F10719"/>
    <mergeCell ref="D10720:F10720"/>
    <mergeCell ref="D10721:F10721"/>
    <mergeCell ref="D10722:F10722"/>
    <mergeCell ref="D10711:F10711"/>
    <mergeCell ref="D10712:F10712"/>
    <mergeCell ref="D10713:F10713"/>
    <mergeCell ref="D10714:F10714"/>
    <mergeCell ref="D10715:F10715"/>
    <mergeCell ref="D10716:F10716"/>
    <mergeCell ref="D10777:F10777"/>
    <mergeCell ref="D10778:F10778"/>
    <mergeCell ref="D10779:F10779"/>
    <mergeCell ref="D10780:F10780"/>
    <mergeCell ref="D10781:F10781"/>
    <mergeCell ref="D10782:F10782"/>
    <mergeCell ref="D10771:F10771"/>
    <mergeCell ref="D10772:F10772"/>
    <mergeCell ref="D10773:F10773"/>
    <mergeCell ref="D10774:F10774"/>
    <mergeCell ref="D10775:F10775"/>
    <mergeCell ref="D10776:F10776"/>
    <mergeCell ref="D10765:F10765"/>
    <mergeCell ref="D10766:F10766"/>
    <mergeCell ref="D10767:F10767"/>
    <mergeCell ref="D10768:F10768"/>
    <mergeCell ref="D10769:F10769"/>
    <mergeCell ref="D10770:F10770"/>
    <mergeCell ref="D10759:F10759"/>
    <mergeCell ref="D10760:F10760"/>
    <mergeCell ref="D10761:F10761"/>
    <mergeCell ref="D10762:F10762"/>
    <mergeCell ref="D10763:F10763"/>
    <mergeCell ref="D10764:F10764"/>
    <mergeCell ref="D10753:F10753"/>
    <mergeCell ref="D10754:F10754"/>
    <mergeCell ref="D10755:F10755"/>
    <mergeCell ref="D10756:F10756"/>
    <mergeCell ref="D10757:F10757"/>
    <mergeCell ref="D10758:F10758"/>
    <mergeCell ref="D10747:F10747"/>
    <mergeCell ref="D10748:F10748"/>
    <mergeCell ref="D10749:F10749"/>
    <mergeCell ref="D10750:F10750"/>
    <mergeCell ref="D10751:F10751"/>
    <mergeCell ref="D10752:F10752"/>
    <mergeCell ref="D10813:F10813"/>
    <mergeCell ref="D10814:F10814"/>
    <mergeCell ref="D10815:F10815"/>
    <mergeCell ref="D10816:F10816"/>
    <mergeCell ref="D10817:F10817"/>
    <mergeCell ref="D10818:F10818"/>
    <mergeCell ref="D10807:F10807"/>
    <mergeCell ref="D10808:F10808"/>
    <mergeCell ref="D10809:F10809"/>
    <mergeCell ref="D10810:F10810"/>
    <mergeCell ref="D10811:F10811"/>
    <mergeCell ref="D10812:F10812"/>
    <mergeCell ref="D10801:F10801"/>
    <mergeCell ref="D10802:F10802"/>
    <mergeCell ref="D10803:F10803"/>
    <mergeCell ref="D10804:F10804"/>
    <mergeCell ref="D10805:F10805"/>
    <mergeCell ref="D10806:F10806"/>
    <mergeCell ref="D10795:F10795"/>
    <mergeCell ref="D10796:F10796"/>
    <mergeCell ref="D10797:F10797"/>
    <mergeCell ref="D10798:F10798"/>
    <mergeCell ref="D10799:F10799"/>
    <mergeCell ref="D10800:F10800"/>
    <mergeCell ref="D10789:F10789"/>
    <mergeCell ref="D10790:F10790"/>
    <mergeCell ref="D10791:F10791"/>
    <mergeCell ref="D10792:F10792"/>
    <mergeCell ref="D10793:F10793"/>
    <mergeCell ref="D10794:F10794"/>
    <mergeCell ref="D10783:F10783"/>
    <mergeCell ref="D10784:F10784"/>
    <mergeCell ref="D10785:F10785"/>
    <mergeCell ref="D10786:F10786"/>
    <mergeCell ref="D10787:F10787"/>
    <mergeCell ref="D10788:F10788"/>
    <mergeCell ref="D10849:F10849"/>
    <mergeCell ref="D10850:F10850"/>
    <mergeCell ref="D10851:F10851"/>
    <mergeCell ref="D10852:F10852"/>
    <mergeCell ref="D10853:F10853"/>
    <mergeCell ref="D10854:F10854"/>
    <mergeCell ref="D10843:F10843"/>
    <mergeCell ref="D10844:F10844"/>
    <mergeCell ref="D10845:F10845"/>
    <mergeCell ref="D10846:F10846"/>
    <mergeCell ref="D10847:F10847"/>
    <mergeCell ref="D10848:F10848"/>
    <mergeCell ref="D10837:F10837"/>
    <mergeCell ref="D10838:F10838"/>
    <mergeCell ref="D10839:F10839"/>
    <mergeCell ref="D10840:F10840"/>
    <mergeCell ref="D10841:F10841"/>
    <mergeCell ref="D10842:F10842"/>
    <mergeCell ref="D10831:F10831"/>
    <mergeCell ref="D10832:F10832"/>
    <mergeCell ref="D10833:F10833"/>
    <mergeCell ref="D10834:F10834"/>
    <mergeCell ref="D10835:F10835"/>
    <mergeCell ref="D10836:F10836"/>
    <mergeCell ref="D10825:F10825"/>
    <mergeCell ref="D10826:F10826"/>
    <mergeCell ref="D10827:F10827"/>
    <mergeCell ref="D10828:F10828"/>
    <mergeCell ref="D10829:F10829"/>
    <mergeCell ref="D10830:F10830"/>
    <mergeCell ref="D10819:F10819"/>
    <mergeCell ref="D10820:F10820"/>
    <mergeCell ref="D10821:F10821"/>
    <mergeCell ref="D10822:F10822"/>
    <mergeCell ref="D10823:F10823"/>
    <mergeCell ref="D10824:F10824"/>
    <mergeCell ref="D10885:F10885"/>
    <mergeCell ref="D10886:F10886"/>
    <mergeCell ref="D10887:F10887"/>
    <mergeCell ref="D10888:F10888"/>
    <mergeCell ref="D10889:F10889"/>
    <mergeCell ref="D10890:F10890"/>
    <mergeCell ref="D10879:F10879"/>
    <mergeCell ref="D10880:F10880"/>
    <mergeCell ref="D10881:F10881"/>
    <mergeCell ref="D10882:F10882"/>
    <mergeCell ref="D10883:F10883"/>
    <mergeCell ref="D10884:F10884"/>
    <mergeCell ref="D10873:F10873"/>
    <mergeCell ref="D10874:F10874"/>
    <mergeCell ref="D10875:F10875"/>
    <mergeCell ref="D10876:F10876"/>
    <mergeCell ref="D10877:F10877"/>
    <mergeCell ref="D10878:F10878"/>
    <mergeCell ref="D10867:F10867"/>
    <mergeCell ref="D10868:F10868"/>
    <mergeCell ref="D10869:F10869"/>
    <mergeCell ref="D10870:F10870"/>
    <mergeCell ref="D10871:F10871"/>
    <mergeCell ref="D10872:F10872"/>
    <mergeCell ref="D10861:F10861"/>
    <mergeCell ref="D10862:F10862"/>
    <mergeCell ref="D10863:F10863"/>
    <mergeCell ref="D10864:F10864"/>
    <mergeCell ref="D10865:F10865"/>
    <mergeCell ref="D10866:F10866"/>
    <mergeCell ref="D10855:F10855"/>
    <mergeCell ref="D10856:F10856"/>
    <mergeCell ref="D10857:F10857"/>
    <mergeCell ref="D10858:F10858"/>
    <mergeCell ref="D10859:F10859"/>
    <mergeCell ref="D10860:F10860"/>
    <mergeCell ref="D10921:F10921"/>
    <mergeCell ref="D10922:F10922"/>
    <mergeCell ref="D10923:F10923"/>
    <mergeCell ref="D10924:F10924"/>
    <mergeCell ref="D10925:F10925"/>
    <mergeCell ref="D10926:F10926"/>
    <mergeCell ref="D10915:F10915"/>
    <mergeCell ref="D10916:F10916"/>
    <mergeCell ref="D10917:F10917"/>
    <mergeCell ref="D10918:F10918"/>
    <mergeCell ref="D10919:F10919"/>
    <mergeCell ref="D10920:F10920"/>
    <mergeCell ref="D10909:F10909"/>
    <mergeCell ref="D10910:F10910"/>
    <mergeCell ref="D10911:F10911"/>
    <mergeCell ref="D10912:F10912"/>
    <mergeCell ref="D10913:F10913"/>
    <mergeCell ref="D10914:F10914"/>
    <mergeCell ref="D10903:F10903"/>
    <mergeCell ref="D10904:F10904"/>
    <mergeCell ref="D10905:F10905"/>
    <mergeCell ref="D10906:F10906"/>
    <mergeCell ref="D10907:F10907"/>
    <mergeCell ref="D10908:F10908"/>
    <mergeCell ref="D10897:F10897"/>
    <mergeCell ref="D10898:F10898"/>
    <mergeCell ref="D10899:F10899"/>
    <mergeCell ref="D10900:F10900"/>
    <mergeCell ref="D10901:F10901"/>
    <mergeCell ref="D10902:F10902"/>
    <mergeCell ref="D10891:F10891"/>
    <mergeCell ref="D10892:F10892"/>
    <mergeCell ref="D10893:F10893"/>
    <mergeCell ref="D10894:F10894"/>
    <mergeCell ref="D10895:F10895"/>
    <mergeCell ref="D10896:F10896"/>
    <mergeCell ref="D10957:F10957"/>
    <mergeCell ref="D10958:F10958"/>
    <mergeCell ref="D10959:F10959"/>
    <mergeCell ref="D10960:F10960"/>
    <mergeCell ref="D10961:F10961"/>
    <mergeCell ref="D10962:F10962"/>
    <mergeCell ref="D10951:F10951"/>
    <mergeCell ref="D10952:F10952"/>
    <mergeCell ref="D10953:F10953"/>
    <mergeCell ref="D10954:F10954"/>
    <mergeCell ref="D10955:F10955"/>
    <mergeCell ref="D10956:F10956"/>
    <mergeCell ref="D10945:F10945"/>
    <mergeCell ref="D10946:F10946"/>
    <mergeCell ref="D10947:F10947"/>
    <mergeCell ref="D10948:F10948"/>
    <mergeCell ref="D10949:F10949"/>
    <mergeCell ref="D10950:F10950"/>
    <mergeCell ref="D10939:F10939"/>
    <mergeCell ref="D10940:F10940"/>
    <mergeCell ref="D10941:F10941"/>
    <mergeCell ref="D10942:F10942"/>
    <mergeCell ref="D10943:F10943"/>
    <mergeCell ref="D10944:F10944"/>
    <mergeCell ref="D10933:F10933"/>
    <mergeCell ref="D10934:F10934"/>
    <mergeCell ref="D10935:F10935"/>
    <mergeCell ref="D10936:F10936"/>
    <mergeCell ref="D10937:F10937"/>
    <mergeCell ref="D10938:F10938"/>
    <mergeCell ref="D10927:F10927"/>
    <mergeCell ref="D10928:F10928"/>
    <mergeCell ref="D10929:F10929"/>
    <mergeCell ref="D10930:F10930"/>
    <mergeCell ref="D10931:F10931"/>
    <mergeCell ref="D10932:F10932"/>
    <mergeCell ref="D10993:F10993"/>
    <mergeCell ref="D10994:F10994"/>
    <mergeCell ref="D10995:F10995"/>
    <mergeCell ref="D10996:F10996"/>
    <mergeCell ref="D10997:F10997"/>
    <mergeCell ref="D10998:F10998"/>
    <mergeCell ref="D10987:F10987"/>
    <mergeCell ref="D10988:F10988"/>
    <mergeCell ref="D10989:F10989"/>
    <mergeCell ref="D10990:F10990"/>
    <mergeCell ref="D10991:F10991"/>
    <mergeCell ref="D10992:F10992"/>
    <mergeCell ref="D10981:F10981"/>
    <mergeCell ref="D10982:F10982"/>
    <mergeCell ref="D10983:F10983"/>
    <mergeCell ref="D10984:F10984"/>
    <mergeCell ref="D10985:F10985"/>
    <mergeCell ref="D10986:F10986"/>
    <mergeCell ref="D10975:F10975"/>
    <mergeCell ref="D10976:F10976"/>
    <mergeCell ref="D10977:F10977"/>
    <mergeCell ref="D10978:F10978"/>
    <mergeCell ref="D10979:F10979"/>
    <mergeCell ref="D10980:F10980"/>
    <mergeCell ref="D10969:F10969"/>
    <mergeCell ref="D10970:F10970"/>
    <mergeCell ref="D10971:F10971"/>
    <mergeCell ref="D10972:F10972"/>
    <mergeCell ref="D10973:F10973"/>
    <mergeCell ref="D10974:F10974"/>
    <mergeCell ref="D10963:F10963"/>
    <mergeCell ref="D10964:F10964"/>
    <mergeCell ref="D10965:F10965"/>
    <mergeCell ref="D10966:F10966"/>
    <mergeCell ref="D10967:F10967"/>
    <mergeCell ref="D10968:F10968"/>
    <mergeCell ref="D11029:F11029"/>
    <mergeCell ref="D11030:F11030"/>
    <mergeCell ref="D11031:F11031"/>
    <mergeCell ref="D11032:F11032"/>
    <mergeCell ref="D11033:F11033"/>
    <mergeCell ref="D11034:F11034"/>
    <mergeCell ref="D11023:F11023"/>
    <mergeCell ref="D11024:F11024"/>
    <mergeCell ref="D11025:F11025"/>
    <mergeCell ref="D11026:F11026"/>
    <mergeCell ref="D11027:F11027"/>
    <mergeCell ref="D11028:F11028"/>
    <mergeCell ref="D11017:F11017"/>
    <mergeCell ref="D11018:F11018"/>
    <mergeCell ref="D11019:F11019"/>
    <mergeCell ref="D11020:F11020"/>
    <mergeCell ref="D11021:F11021"/>
    <mergeCell ref="D11022:F11022"/>
    <mergeCell ref="D11011:F11011"/>
    <mergeCell ref="D11012:F11012"/>
    <mergeCell ref="D11013:F11013"/>
    <mergeCell ref="D11014:F11014"/>
    <mergeCell ref="D11015:F11015"/>
    <mergeCell ref="D11016:F11016"/>
    <mergeCell ref="D11005:F11005"/>
    <mergeCell ref="D11006:F11006"/>
    <mergeCell ref="D11007:F11007"/>
    <mergeCell ref="D11008:F11008"/>
    <mergeCell ref="D11009:F11009"/>
    <mergeCell ref="D11010:F11010"/>
    <mergeCell ref="D10999:F10999"/>
    <mergeCell ref="D11000:F11000"/>
    <mergeCell ref="D11001:F11001"/>
    <mergeCell ref="D11002:F11002"/>
    <mergeCell ref="D11003:F11003"/>
    <mergeCell ref="D11004:F11004"/>
    <mergeCell ref="D11065:F11065"/>
    <mergeCell ref="D11066:F11066"/>
    <mergeCell ref="D11067:F11067"/>
    <mergeCell ref="D11068:F11068"/>
    <mergeCell ref="D11069:F11069"/>
    <mergeCell ref="D11070:F11070"/>
    <mergeCell ref="D11059:F11059"/>
    <mergeCell ref="D11060:F11060"/>
    <mergeCell ref="D11061:F11061"/>
    <mergeCell ref="D11062:F11062"/>
    <mergeCell ref="D11063:F11063"/>
    <mergeCell ref="D11064:F11064"/>
    <mergeCell ref="D11053:F11053"/>
    <mergeCell ref="D11054:F11054"/>
    <mergeCell ref="D11055:F11055"/>
    <mergeCell ref="D11056:F11056"/>
    <mergeCell ref="D11057:F11057"/>
    <mergeCell ref="D11058:F11058"/>
    <mergeCell ref="D11047:F11047"/>
    <mergeCell ref="D11048:F11048"/>
    <mergeCell ref="D11049:F11049"/>
    <mergeCell ref="D11050:F11050"/>
    <mergeCell ref="D11051:F11051"/>
    <mergeCell ref="D11052:F11052"/>
    <mergeCell ref="D11041:F11041"/>
    <mergeCell ref="D11042:F11042"/>
    <mergeCell ref="D11043:F11043"/>
    <mergeCell ref="D11044:F11044"/>
    <mergeCell ref="D11045:F11045"/>
    <mergeCell ref="D11046:F11046"/>
    <mergeCell ref="D11035:F11035"/>
    <mergeCell ref="D11036:F11036"/>
    <mergeCell ref="D11037:F11037"/>
    <mergeCell ref="D11038:F11038"/>
    <mergeCell ref="D11039:F11039"/>
    <mergeCell ref="D11040:F11040"/>
    <mergeCell ref="D11101:F11101"/>
    <mergeCell ref="D11102:F11102"/>
    <mergeCell ref="D11103:F11103"/>
    <mergeCell ref="D11104:F11104"/>
    <mergeCell ref="D11105:F11105"/>
    <mergeCell ref="D11106:F11106"/>
    <mergeCell ref="D11095:F11095"/>
    <mergeCell ref="D11096:F11096"/>
    <mergeCell ref="D11097:F11097"/>
    <mergeCell ref="D11098:F11098"/>
    <mergeCell ref="D11099:F11099"/>
    <mergeCell ref="D11100:F11100"/>
    <mergeCell ref="D11089:F11089"/>
    <mergeCell ref="D11090:F11090"/>
    <mergeCell ref="D11091:F11091"/>
    <mergeCell ref="D11092:F11092"/>
    <mergeCell ref="D11093:F11093"/>
    <mergeCell ref="D11094:F11094"/>
    <mergeCell ref="D11083:F11083"/>
    <mergeCell ref="D11084:F11084"/>
    <mergeCell ref="D11085:F11085"/>
    <mergeCell ref="D11086:F11086"/>
    <mergeCell ref="D11087:F11087"/>
    <mergeCell ref="D11088:F11088"/>
    <mergeCell ref="D11077:F11077"/>
    <mergeCell ref="D11078:F11078"/>
    <mergeCell ref="D11079:F11079"/>
    <mergeCell ref="D11080:F11080"/>
    <mergeCell ref="D11081:F11081"/>
    <mergeCell ref="D11082:F11082"/>
    <mergeCell ref="D11071:F11071"/>
    <mergeCell ref="D11072:F11072"/>
    <mergeCell ref="D11073:F11073"/>
    <mergeCell ref="D11074:F11074"/>
    <mergeCell ref="D11075:F11075"/>
    <mergeCell ref="D11076:F11076"/>
    <mergeCell ref="D11137:F11137"/>
    <mergeCell ref="D11138:F11138"/>
    <mergeCell ref="D11139:F11139"/>
    <mergeCell ref="D11140:F11140"/>
    <mergeCell ref="D11141:F11141"/>
    <mergeCell ref="D11142:F11142"/>
    <mergeCell ref="D11131:F11131"/>
    <mergeCell ref="D11132:F11132"/>
    <mergeCell ref="D11133:F11133"/>
    <mergeCell ref="D11134:F11134"/>
    <mergeCell ref="D11135:F11135"/>
    <mergeCell ref="D11136:F11136"/>
    <mergeCell ref="D11125:F11125"/>
    <mergeCell ref="D11126:F11126"/>
    <mergeCell ref="D11127:F11127"/>
    <mergeCell ref="D11128:F11128"/>
    <mergeCell ref="D11129:F11129"/>
    <mergeCell ref="D11130:F11130"/>
    <mergeCell ref="D11119:F11119"/>
    <mergeCell ref="D11120:F11120"/>
    <mergeCell ref="D11121:F11121"/>
    <mergeCell ref="D11122:F11122"/>
    <mergeCell ref="D11123:F11123"/>
    <mergeCell ref="D11124:F11124"/>
    <mergeCell ref="D11113:F11113"/>
    <mergeCell ref="D11114:F11114"/>
    <mergeCell ref="D11115:F11115"/>
    <mergeCell ref="D11116:F11116"/>
    <mergeCell ref="D11117:F11117"/>
    <mergeCell ref="D11118:F11118"/>
    <mergeCell ref="D11107:F11107"/>
    <mergeCell ref="D11108:F11108"/>
    <mergeCell ref="D11109:F11109"/>
    <mergeCell ref="D11110:F11110"/>
    <mergeCell ref="D11111:F11111"/>
    <mergeCell ref="D11112:F11112"/>
    <mergeCell ref="D11173:F11173"/>
    <mergeCell ref="D11174:F11174"/>
    <mergeCell ref="D11175:F11175"/>
    <mergeCell ref="D11176:F11176"/>
    <mergeCell ref="D11177:F11177"/>
    <mergeCell ref="D11178:F11178"/>
    <mergeCell ref="D11167:F11167"/>
    <mergeCell ref="D11168:F11168"/>
    <mergeCell ref="D11169:F11169"/>
    <mergeCell ref="D11170:F11170"/>
    <mergeCell ref="D11171:F11171"/>
    <mergeCell ref="D11172:F11172"/>
    <mergeCell ref="D11161:F11161"/>
    <mergeCell ref="D11162:F11162"/>
    <mergeCell ref="D11163:F11163"/>
    <mergeCell ref="D11164:F11164"/>
    <mergeCell ref="D11165:F11165"/>
    <mergeCell ref="D11166:F11166"/>
    <mergeCell ref="D11155:F11155"/>
    <mergeCell ref="D11156:F11156"/>
    <mergeCell ref="D11157:F11157"/>
    <mergeCell ref="D11158:F11158"/>
    <mergeCell ref="D11159:F11159"/>
    <mergeCell ref="D11160:F11160"/>
    <mergeCell ref="D11149:F11149"/>
    <mergeCell ref="D11150:F11150"/>
    <mergeCell ref="D11151:F11151"/>
    <mergeCell ref="D11152:F11152"/>
    <mergeCell ref="D11153:F11153"/>
    <mergeCell ref="D11154:F11154"/>
    <mergeCell ref="D11143:F11143"/>
    <mergeCell ref="D11144:F11144"/>
    <mergeCell ref="D11145:F11145"/>
    <mergeCell ref="D11146:F11146"/>
    <mergeCell ref="D11147:F11147"/>
    <mergeCell ref="D11148:F11148"/>
    <mergeCell ref="D11209:F11209"/>
    <mergeCell ref="D11210:F11210"/>
    <mergeCell ref="D11211:F11211"/>
    <mergeCell ref="D11212:F11212"/>
    <mergeCell ref="D11213:F11213"/>
    <mergeCell ref="D11214:F11214"/>
    <mergeCell ref="D11203:F11203"/>
    <mergeCell ref="D11204:F11204"/>
    <mergeCell ref="D11205:F11205"/>
    <mergeCell ref="D11206:F11206"/>
    <mergeCell ref="D11207:F11207"/>
    <mergeCell ref="D11208:F11208"/>
    <mergeCell ref="D11197:F11197"/>
    <mergeCell ref="D11198:F11198"/>
    <mergeCell ref="D11199:F11199"/>
    <mergeCell ref="D11200:F11200"/>
    <mergeCell ref="D11201:F11201"/>
    <mergeCell ref="D11202:F11202"/>
    <mergeCell ref="D11191:F11191"/>
    <mergeCell ref="D11192:F11192"/>
    <mergeCell ref="D11193:F11193"/>
    <mergeCell ref="D11194:F11194"/>
    <mergeCell ref="D11195:F11195"/>
    <mergeCell ref="D11196:F11196"/>
    <mergeCell ref="D11185:F11185"/>
    <mergeCell ref="D11186:F11186"/>
    <mergeCell ref="D11187:F11187"/>
    <mergeCell ref="D11188:F11188"/>
    <mergeCell ref="D11189:F11189"/>
    <mergeCell ref="D11190:F11190"/>
    <mergeCell ref="D11179:F11179"/>
    <mergeCell ref="D11180:F11180"/>
    <mergeCell ref="D11181:F11181"/>
    <mergeCell ref="D11182:F11182"/>
    <mergeCell ref="D11183:F11183"/>
    <mergeCell ref="D11184:F11184"/>
    <mergeCell ref="D11245:F11245"/>
    <mergeCell ref="D11246:F11246"/>
    <mergeCell ref="D11247:F11247"/>
    <mergeCell ref="D11248:F11248"/>
    <mergeCell ref="D11249:F11249"/>
    <mergeCell ref="D11250:F11250"/>
    <mergeCell ref="D11239:F11239"/>
    <mergeCell ref="D11240:F11240"/>
    <mergeCell ref="D11241:F11241"/>
    <mergeCell ref="D11242:F11242"/>
    <mergeCell ref="D11243:F11243"/>
    <mergeCell ref="D11244:F11244"/>
    <mergeCell ref="D11233:F11233"/>
    <mergeCell ref="D11234:F11234"/>
    <mergeCell ref="D11235:F11235"/>
    <mergeCell ref="D11236:F11236"/>
    <mergeCell ref="D11237:F11237"/>
    <mergeCell ref="D11238:F11238"/>
    <mergeCell ref="D11227:F11227"/>
    <mergeCell ref="D11228:F11228"/>
    <mergeCell ref="D11229:F11229"/>
    <mergeCell ref="D11230:F11230"/>
    <mergeCell ref="D11231:F11231"/>
    <mergeCell ref="D11232:F11232"/>
    <mergeCell ref="D11221:F11221"/>
    <mergeCell ref="D11222:F11222"/>
    <mergeCell ref="D11223:F11223"/>
    <mergeCell ref="D11224:F11224"/>
    <mergeCell ref="D11225:F11225"/>
    <mergeCell ref="D11226:F11226"/>
    <mergeCell ref="D11215:F11215"/>
    <mergeCell ref="D11216:F11216"/>
    <mergeCell ref="D11217:F11217"/>
    <mergeCell ref="D11218:F11218"/>
    <mergeCell ref="D11219:F11219"/>
    <mergeCell ref="D11220:F11220"/>
    <mergeCell ref="D11281:F11281"/>
    <mergeCell ref="D11282:F11282"/>
    <mergeCell ref="D11283:F11283"/>
    <mergeCell ref="D11284:F11284"/>
    <mergeCell ref="D11285:F11285"/>
    <mergeCell ref="D11286:F11286"/>
    <mergeCell ref="D11275:F11275"/>
    <mergeCell ref="D11276:F11276"/>
    <mergeCell ref="D11277:F11277"/>
    <mergeCell ref="D11278:F11278"/>
    <mergeCell ref="D11279:F11279"/>
    <mergeCell ref="D11280:F11280"/>
    <mergeCell ref="D11269:F11269"/>
    <mergeCell ref="D11270:F11270"/>
    <mergeCell ref="D11271:F11271"/>
    <mergeCell ref="D11272:F11272"/>
    <mergeCell ref="D11273:F11273"/>
    <mergeCell ref="D11274:F11274"/>
    <mergeCell ref="D11263:F11263"/>
    <mergeCell ref="D11264:F11264"/>
    <mergeCell ref="D11265:F11265"/>
    <mergeCell ref="D11266:F11266"/>
    <mergeCell ref="D11267:F11267"/>
    <mergeCell ref="D11268:F11268"/>
    <mergeCell ref="D11257:F11257"/>
    <mergeCell ref="D11258:F11258"/>
    <mergeCell ref="D11259:F11259"/>
    <mergeCell ref="D11260:F11260"/>
    <mergeCell ref="D11261:F11261"/>
    <mergeCell ref="D11262:F11262"/>
    <mergeCell ref="D11251:F11251"/>
    <mergeCell ref="D11252:F11252"/>
    <mergeCell ref="D11253:F11253"/>
    <mergeCell ref="D11254:F11254"/>
    <mergeCell ref="D11255:F11255"/>
    <mergeCell ref="D11256:F11256"/>
    <mergeCell ref="D11317:F11317"/>
    <mergeCell ref="D11318:F11318"/>
    <mergeCell ref="D11319:F11319"/>
    <mergeCell ref="D11320:F11320"/>
    <mergeCell ref="D11321:F11321"/>
    <mergeCell ref="D11322:F11322"/>
    <mergeCell ref="D11311:F11311"/>
    <mergeCell ref="D11312:F11312"/>
    <mergeCell ref="D11313:F11313"/>
    <mergeCell ref="D11314:F11314"/>
    <mergeCell ref="D11315:F11315"/>
    <mergeCell ref="D11316:F11316"/>
    <mergeCell ref="D11305:F11305"/>
    <mergeCell ref="D11306:F11306"/>
    <mergeCell ref="D11307:F11307"/>
    <mergeCell ref="D11308:F11308"/>
    <mergeCell ref="D11309:F11309"/>
    <mergeCell ref="D11310:F11310"/>
    <mergeCell ref="D11299:F11299"/>
    <mergeCell ref="D11300:F11300"/>
    <mergeCell ref="D11301:F11301"/>
    <mergeCell ref="D11302:F11302"/>
    <mergeCell ref="D11303:F11303"/>
    <mergeCell ref="D11304:F11304"/>
    <mergeCell ref="D11293:F11293"/>
    <mergeCell ref="D11294:F11294"/>
    <mergeCell ref="D11295:F11295"/>
    <mergeCell ref="D11296:F11296"/>
    <mergeCell ref="D11297:F11297"/>
    <mergeCell ref="D11298:F11298"/>
    <mergeCell ref="D11287:F11287"/>
    <mergeCell ref="D11288:F11288"/>
    <mergeCell ref="D11289:F11289"/>
    <mergeCell ref="D11290:F11290"/>
    <mergeCell ref="D11291:F11291"/>
    <mergeCell ref="D11292:F11292"/>
    <mergeCell ref="D11353:F11353"/>
    <mergeCell ref="D11354:F11354"/>
    <mergeCell ref="D11355:F11355"/>
    <mergeCell ref="D11356:F11356"/>
    <mergeCell ref="D11357:F11357"/>
    <mergeCell ref="D11358:F11358"/>
    <mergeCell ref="D11347:F11347"/>
    <mergeCell ref="D11348:F11348"/>
    <mergeCell ref="D11349:F11349"/>
    <mergeCell ref="D11350:F11350"/>
    <mergeCell ref="D11351:F11351"/>
    <mergeCell ref="D11352:F11352"/>
    <mergeCell ref="D11341:F11341"/>
    <mergeCell ref="D11342:F11342"/>
    <mergeCell ref="D11343:F11343"/>
    <mergeCell ref="D11344:F11344"/>
    <mergeCell ref="D11345:F11345"/>
    <mergeCell ref="D11346:F11346"/>
    <mergeCell ref="D11335:F11335"/>
    <mergeCell ref="D11336:F11336"/>
    <mergeCell ref="D11337:F11337"/>
    <mergeCell ref="D11338:F11338"/>
    <mergeCell ref="D11339:F11339"/>
    <mergeCell ref="D11340:F11340"/>
    <mergeCell ref="D11329:F11329"/>
    <mergeCell ref="D11330:F11330"/>
    <mergeCell ref="D11331:F11331"/>
    <mergeCell ref="D11332:F11332"/>
    <mergeCell ref="D11333:F11333"/>
    <mergeCell ref="D11334:F11334"/>
    <mergeCell ref="D11323:F11323"/>
    <mergeCell ref="D11324:F11324"/>
    <mergeCell ref="D11325:F11325"/>
    <mergeCell ref="D11326:F11326"/>
    <mergeCell ref="D11327:F11327"/>
    <mergeCell ref="D11328:F11328"/>
    <mergeCell ref="D11389:F11389"/>
    <mergeCell ref="D11390:F11390"/>
    <mergeCell ref="D11391:F11391"/>
    <mergeCell ref="D11392:F11392"/>
    <mergeCell ref="D11393:F11393"/>
    <mergeCell ref="D11394:F11394"/>
    <mergeCell ref="D11383:F11383"/>
    <mergeCell ref="D11384:F11384"/>
    <mergeCell ref="D11385:F11385"/>
    <mergeCell ref="D11386:F11386"/>
    <mergeCell ref="D11387:F11387"/>
    <mergeCell ref="D11388:F11388"/>
    <mergeCell ref="D11377:F11377"/>
    <mergeCell ref="D11378:F11378"/>
    <mergeCell ref="D11379:F11379"/>
    <mergeCell ref="D11380:F11380"/>
    <mergeCell ref="D11381:F11381"/>
    <mergeCell ref="D11382:F11382"/>
    <mergeCell ref="D11371:F11371"/>
    <mergeCell ref="D11372:F11372"/>
    <mergeCell ref="D11373:F11373"/>
    <mergeCell ref="D11374:F11374"/>
    <mergeCell ref="D11375:F11375"/>
    <mergeCell ref="D11376:F11376"/>
    <mergeCell ref="D11365:F11365"/>
    <mergeCell ref="D11366:F11366"/>
    <mergeCell ref="D11367:F11367"/>
    <mergeCell ref="D11368:F11368"/>
    <mergeCell ref="D11369:F11369"/>
    <mergeCell ref="D11370:F11370"/>
    <mergeCell ref="D11359:F11359"/>
    <mergeCell ref="D11360:F11360"/>
    <mergeCell ref="D11361:F11361"/>
    <mergeCell ref="D11362:F11362"/>
    <mergeCell ref="D11363:F11363"/>
    <mergeCell ref="D11364:F11364"/>
    <mergeCell ref="D11425:F11425"/>
    <mergeCell ref="D11426:F11426"/>
    <mergeCell ref="D11427:F11427"/>
    <mergeCell ref="D11428:F11428"/>
    <mergeCell ref="D11429:F11429"/>
    <mergeCell ref="D11430:F11430"/>
    <mergeCell ref="D11419:F11419"/>
    <mergeCell ref="D11420:F11420"/>
    <mergeCell ref="D11421:F11421"/>
    <mergeCell ref="D11422:F11422"/>
    <mergeCell ref="D11423:F11423"/>
    <mergeCell ref="D11424:F11424"/>
    <mergeCell ref="D11413:F11413"/>
    <mergeCell ref="D11414:F11414"/>
    <mergeCell ref="D11415:F11415"/>
    <mergeCell ref="D11416:F11416"/>
    <mergeCell ref="D11417:F11417"/>
    <mergeCell ref="D11418:F11418"/>
    <mergeCell ref="D11407:F11407"/>
    <mergeCell ref="D11408:F11408"/>
    <mergeCell ref="D11409:F11409"/>
    <mergeCell ref="D11410:F11410"/>
    <mergeCell ref="D11411:F11411"/>
    <mergeCell ref="D11412:F11412"/>
    <mergeCell ref="D11401:F11401"/>
    <mergeCell ref="D11402:F11402"/>
    <mergeCell ref="D11403:F11403"/>
    <mergeCell ref="D11404:F11404"/>
    <mergeCell ref="D11405:F11405"/>
    <mergeCell ref="D11406:F11406"/>
    <mergeCell ref="D11395:F11395"/>
    <mergeCell ref="D11396:F11396"/>
    <mergeCell ref="D11397:F11397"/>
    <mergeCell ref="D11398:F11398"/>
    <mergeCell ref="D11399:F11399"/>
    <mergeCell ref="D11400:F11400"/>
    <mergeCell ref="D11461:F11461"/>
    <mergeCell ref="D11462:F11462"/>
    <mergeCell ref="D11463:F11463"/>
    <mergeCell ref="D11464:F11464"/>
    <mergeCell ref="D11465:F11465"/>
    <mergeCell ref="D11466:F11466"/>
    <mergeCell ref="D11455:F11455"/>
    <mergeCell ref="D11456:F11456"/>
    <mergeCell ref="D11457:F11457"/>
    <mergeCell ref="D11458:F11458"/>
    <mergeCell ref="D11459:F11459"/>
    <mergeCell ref="D11460:F11460"/>
    <mergeCell ref="D11449:F11449"/>
    <mergeCell ref="D11450:F11450"/>
    <mergeCell ref="D11451:F11451"/>
    <mergeCell ref="D11452:F11452"/>
    <mergeCell ref="D11453:F11453"/>
    <mergeCell ref="D11454:F11454"/>
    <mergeCell ref="D11443:F11443"/>
    <mergeCell ref="D11444:F11444"/>
    <mergeCell ref="D11445:F11445"/>
    <mergeCell ref="D11446:F11446"/>
    <mergeCell ref="D11447:F11447"/>
    <mergeCell ref="D11448:F11448"/>
    <mergeCell ref="D11437:F11437"/>
    <mergeCell ref="D11438:F11438"/>
    <mergeCell ref="D11439:F11439"/>
    <mergeCell ref="D11440:F11440"/>
    <mergeCell ref="D11441:F11441"/>
    <mergeCell ref="D11442:F11442"/>
    <mergeCell ref="D11431:F11431"/>
    <mergeCell ref="D11432:F11432"/>
    <mergeCell ref="D11433:F11433"/>
    <mergeCell ref="D11434:F11434"/>
    <mergeCell ref="D11435:F11435"/>
    <mergeCell ref="D11436:F11436"/>
    <mergeCell ref="D11497:F11497"/>
    <mergeCell ref="D11498:F11498"/>
    <mergeCell ref="D11499:F11499"/>
    <mergeCell ref="D11500:F11500"/>
    <mergeCell ref="D11501:F11501"/>
    <mergeCell ref="D11502:F11502"/>
    <mergeCell ref="D11491:F11491"/>
    <mergeCell ref="D11492:F11492"/>
    <mergeCell ref="D11493:F11493"/>
    <mergeCell ref="D11494:F11494"/>
    <mergeCell ref="D11495:F11495"/>
    <mergeCell ref="D11496:F11496"/>
    <mergeCell ref="D11485:F11485"/>
    <mergeCell ref="D11486:F11486"/>
    <mergeCell ref="D11487:F11487"/>
    <mergeCell ref="D11488:F11488"/>
    <mergeCell ref="D11489:F11489"/>
    <mergeCell ref="D11490:F11490"/>
    <mergeCell ref="D11479:F11479"/>
    <mergeCell ref="D11480:F11480"/>
    <mergeCell ref="D11481:F11481"/>
    <mergeCell ref="D11482:F11482"/>
    <mergeCell ref="D11483:F11483"/>
    <mergeCell ref="D11484:F11484"/>
    <mergeCell ref="D11473:F11473"/>
    <mergeCell ref="D11474:F11474"/>
    <mergeCell ref="D11475:F11475"/>
    <mergeCell ref="D11476:F11476"/>
    <mergeCell ref="D11477:F11477"/>
    <mergeCell ref="D11478:F11478"/>
    <mergeCell ref="D11467:F11467"/>
    <mergeCell ref="D11468:F11468"/>
    <mergeCell ref="D11469:F11469"/>
    <mergeCell ref="D11470:F11470"/>
    <mergeCell ref="D11471:F11471"/>
    <mergeCell ref="D11472:F11472"/>
    <mergeCell ref="D11533:F11533"/>
    <mergeCell ref="D11534:F11534"/>
    <mergeCell ref="D11535:F11535"/>
    <mergeCell ref="D11536:F11536"/>
    <mergeCell ref="D11537:F11537"/>
    <mergeCell ref="D11538:F11538"/>
    <mergeCell ref="D11527:F11527"/>
    <mergeCell ref="D11528:F11528"/>
    <mergeCell ref="D11529:F11529"/>
    <mergeCell ref="D11530:F11530"/>
    <mergeCell ref="D11531:F11531"/>
    <mergeCell ref="D11532:F11532"/>
    <mergeCell ref="D11521:F11521"/>
    <mergeCell ref="D11522:F11522"/>
    <mergeCell ref="D11523:F11523"/>
    <mergeCell ref="D11524:F11524"/>
    <mergeCell ref="D11525:F11525"/>
    <mergeCell ref="D11526:F11526"/>
    <mergeCell ref="D11515:F11515"/>
    <mergeCell ref="D11516:F11516"/>
    <mergeCell ref="D11517:F11517"/>
    <mergeCell ref="D11518:F11518"/>
    <mergeCell ref="D11519:F11519"/>
    <mergeCell ref="D11520:F11520"/>
    <mergeCell ref="D11509:F11509"/>
    <mergeCell ref="D11510:F11510"/>
    <mergeCell ref="D11511:F11511"/>
    <mergeCell ref="D11512:F11512"/>
    <mergeCell ref="D11513:F11513"/>
    <mergeCell ref="D11514:F11514"/>
    <mergeCell ref="D11503:F11503"/>
    <mergeCell ref="D11504:F11504"/>
    <mergeCell ref="D11505:F11505"/>
    <mergeCell ref="D11506:F11506"/>
    <mergeCell ref="D11507:F11507"/>
    <mergeCell ref="D11508:F11508"/>
    <mergeCell ref="D11569:F11569"/>
    <mergeCell ref="D11570:F11570"/>
    <mergeCell ref="D11571:F11571"/>
    <mergeCell ref="D11572:F11572"/>
    <mergeCell ref="D11573:F11573"/>
    <mergeCell ref="D11574:F11574"/>
    <mergeCell ref="D11563:F11563"/>
    <mergeCell ref="D11564:F11564"/>
    <mergeCell ref="D11565:F11565"/>
    <mergeCell ref="D11566:F11566"/>
    <mergeCell ref="D11567:F11567"/>
    <mergeCell ref="D11568:F11568"/>
    <mergeCell ref="D11557:F11557"/>
    <mergeCell ref="D11558:F11558"/>
    <mergeCell ref="D11559:F11559"/>
    <mergeCell ref="D11560:F11560"/>
    <mergeCell ref="D11561:F11561"/>
    <mergeCell ref="D11562:F11562"/>
    <mergeCell ref="D11551:F11551"/>
    <mergeCell ref="D11552:F11552"/>
    <mergeCell ref="D11553:F11553"/>
    <mergeCell ref="D11554:F11554"/>
    <mergeCell ref="D11555:F11555"/>
    <mergeCell ref="D11556:F11556"/>
    <mergeCell ref="D11545:F11545"/>
    <mergeCell ref="D11546:F11546"/>
    <mergeCell ref="D11547:F11547"/>
    <mergeCell ref="D11548:F11548"/>
    <mergeCell ref="D11549:F11549"/>
    <mergeCell ref="D11550:F11550"/>
    <mergeCell ref="D11539:F11539"/>
    <mergeCell ref="D11540:F11540"/>
    <mergeCell ref="D11541:F11541"/>
    <mergeCell ref="D11542:F11542"/>
    <mergeCell ref="D11543:F11543"/>
    <mergeCell ref="D11544:F11544"/>
    <mergeCell ref="D11605:F11605"/>
    <mergeCell ref="D11606:F11606"/>
    <mergeCell ref="D11607:F11607"/>
    <mergeCell ref="D11608:F11608"/>
    <mergeCell ref="D11609:F11609"/>
    <mergeCell ref="D11610:F11610"/>
    <mergeCell ref="D11599:F11599"/>
    <mergeCell ref="D11600:F11600"/>
    <mergeCell ref="D11601:F11601"/>
    <mergeCell ref="D11602:F11602"/>
    <mergeCell ref="D11603:F11603"/>
    <mergeCell ref="D11604:F11604"/>
    <mergeCell ref="D11593:F11593"/>
    <mergeCell ref="D11594:F11594"/>
    <mergeCell ref="D11595:F11595"/>
    <mergeCell ref="D11596:F11596"/>
    <mergeCell ref="D11597:F11597"/>
    <mergeCell ref="D11598:F11598"/>
    <mergeCell ref="D11587:F11587"/>
    <mergeCell ref="D11588:F11588"/>
    <mergeCell ref="D11589:F11589"/>
    <mergeCell ref="D11590:F11590"/>
    <mergeCell ref="D11591:F11591"/>
    <mergeCell ref="D11592:F11592"/>
    <mergeCell ref="D11581:F11581"/>
    <mergeCell ref="D11582:F11582"/>
    <mergeCell ref="D11583:F11583"/>
    <mergeCell ref="D11584:F11584"/>
    <mergeCell ref="D11585:F11585"/>
    <mergeCell ref="D11586:F11586"/>
    <mergeCell ref="D11575:F11575"/>
    <mergeCell ref="D11576:F11576"/>
    <mergeCell ref="D11577:F11577"/>
    <mergeCell ref="D11578:F11578"/>
    <mergeCell ref="D11579:F11579"/>
    <mergeCell ref="D11580:F11580"/>
    <mergeCell ref="D11641:F11641"/>
    <mergeCell ref="D11642:F11642"/>
    <mergeCell ref="D11643:F11643"/>
    <mergeCell ref="D11644:F11644"/>
    <mergeCell ref="D11645:F11645"/>
    <mergeCell ref="D11646:F11646"/>
    <mergeCell ref="D11635:F11635"/>
    <mergeCell ref="D11636:F11636"/>
    <mergeCell ref="D11637:F11637"/>
    <mergeCell ref="D11638:F11638"/>
    <mergeCell ref="D11639:F11639"/>
    <mergeCell ref="D11640:F11640"/>
    <mergeCell ref="D11629:F11629"/>
    <mergeCell ref="D11630:F11630"/>
    <mergeCell ref="D11631:F11631"/>
    <mergeCell ref="D11632:F11632"/>
    <mergeCell ref="D11633:F11633"/>
    <mergeCell ref="D11634:F11634"/>
    <mergeCell ref="D11623:F11623"/>
    <mergeCell ref="D11624:F11624"/>
    <mergeCell ref="D11625:F11625"/>
    <mergeCell ref="D11626:F11626"/>
    <mergeCell ref="D11627:F11627"/>
    <mergeCell ref="D11628:F11628"/>
    <mergeCell ref="D11617:F11617"/>
    <mergeCell ref="D11618:F11618"/>
    <mergeCell ref="D11619:F11619"/>
    <mergeCell ref="D11620:F11620"/>
    <mergeCell ref="D11621:F11621"/>
    <mergeCell ref="D11622:F11622"/>
    <mergeCell ref="D11611:F11611"/>
    <mergeCell ref="D11612:F11612"/>
    <mergeCell ref="D11613:F11613"/>
    <mergeCell ref="D11614:F11614"/>
    <mergeCell ref="D11615:F11615"/>
    <mergeCell ref="D11616:F11616"/>
    <mergeCell ref="D11677:F11677"/>
    <mergeCell ref="D11678:F11678"/>
    <mergeCell ref="D11679:F11679"/>
    <mergeCell ref="D11680:F11680"/>
    <mergeCell ref="D11681:F11681"/>
    <mergeCell ref="D11682:F11682"/>
    <mergeCell ref="D11671:F11671"/>
    <mergeCell ref="D11672:F11672"/>
    <mergeCell ref="D11673:F11673"/>
    <mergeCell ref="D11674:F11674"/>
    <mergeCell ref="D11675:F11675"/>
    <mergeCell ref="D11676:F11676"/>
    <mergeCell ref="D11665:F11665"/>
    <mergeCell ref="D11666:F11666"/>
    <mergeCell ref="D11667:F11667"/>
    <mergeCell ref="D11668:F11668"/>
    <mergeCell ref="D11669:F11669"/>
    <mergeCell ref="D11670:F11670"/>
    <mergeCell ref="D11659:F11659"/>
    <mergeCell ref="D11660:F11660"/>
    <mergeCell ref="D11661:F11661"/>
    <mergeCell ref="D11662:F11662"/>
    <mergeCell ref="D11663:F11663"/>
    <mergeCell ref="D11664:F11664"/>
    <mergeCell ref="D11653:F11653"/>
    <mergeCell ref="D11654:F11654"/>
    <mergeCell ref="D11655:F11655"/>
    <mergeCell ref="D11656:F11656"/>
    <mergeCell ref="D11657:F11657"/>
    <mergeCell ref="D11658:F11658"/>
    <mergeCell ref="D11647:F11647"/>
    <mergeCell ref="D11648:F11648"/>
    <mergeCell ref="D11649:F11649"/>
    <mergeCell ref="D11650:F11650"/>
    <mergeCell ref="D11651:F11651"/>
    <mergeCell ref="D11652:F11652"/>
    <mergeCell ref="D11713:F11713"/>
    <mergeCell ref="D11714:F11714"/>
    <mergeCell ref="D11715:F11715"/>
    <mergeCell ref="D11716:F11716"/>
    <mergeCell ref="D11717:F11717"/>
    <mergeCell ref="D11718:F11718"/>
    <mergeCell ref="D11707:F11707"/>
    <mergeCell ref="D11708:F11708"/>
    <mergeCell ref="D11709:F11709"/>
    <mergeCell ref="D11710:F11710"/>
    <mergeCell ref="D11711:F11711"/>
    <mergeCell ref="D11712:F11712"/>
    <mergeCell ref="D11701:F11701"/>
    <mergeCell ref="D11702:F11702"/>
    <mergeCell ref="D11703:F11703"/>
    <mergeCell ref="D11704:F11704"/>
    <mergeCell ref="D11705:F11705"/>
    <mergeCell ref="D11706:F11706"/>
    <mergeCell ref="D11695:F11695"/>
    <mergeCell ref="D11696:F11696"/>
    <mergeCell ref="D11697:F11697"/>
    <mergeCell ref="D11698:F11698"/>
    <mergeCell ref="D11699:F11699"/>
    <mergeCell ref="D11700:F11700"/>
    <mergeCell ref="D11689:F11689"/>
    <mergeCell ref="D11690:F11690"/>
    <mergeCell ref="D11691:F11691"/>
    <mergeCell ref="D11692:F11692"/>
    <mergeCell ref="D11693:F11693"/>
    <mergeCell ref="D11694:F11694"/>
    <mergeCell ref="D11683:F11683"/>
    <mergeCell ref="D11684:F11684"/>
    <mergeCell ref="D11685:F11685"/>
    <mergeCell ref="D11686:F11686"/>
    <mergeCell ref="D11687:F11687"/>
    <mergeCell ref="D11688:F11688"/>
    <mergeCell ref="D11749:F11749"/>
    <mergeCell ref="D11750:F11750"/>
    <mergeCell ref="D11751:F11751"/>
    <mergeCell ref="D11752:F11752"/>
    <mergeCell ref="D11753:F11753"/>
    <mergeCell ref="D11754:F11754"/>
    <mergeCell ref="D11743:F11743"/>
    <mergeCell ref="D11744:F11744"/>
    <mergeCell ref="D11745:F11745"/>
    <mergeCell ref="D11746:F11746"/>
    <mergeCell ref="D11747:F11747"/>
    <mergeCell ref="D11748:F11748"/>
    <mergeCell ref="D11737:F11737"/>
    <mergeCell ref="D11738:F11738"/>
    <mergeCell ref="D11739:F11739"/>
    <mergeCell ref="D11740:F11740"/>
    <mergeCell ref="D11741:F11741"/>
    <mergeCell ref="D11742:F11742"/>
    <mergeCell ref="D11731:F11731"/>
    <mergeCell ref="D11732:F11732"/>
    <mergeCell ref="D11733:F11733"/>
    <mergeCell ref="D11734:F11734"/>
    <mergeCell ref="D11735:F11735"/>
    <mergeCell ref="D11736:F11736"/>
    <mergeCell ref="D11725:F11725"/>
    <mergeCell ref="D11726:F11726"/>
    <mergeCell ref="D11727:F11727"/>
    <mergeCell ref="D11728:F11728"/>
    <mergeCell ref="D11729:F11729"/>
    <mergeCell ref="D11730:F11730"/>
    <mergeCell ref="D11719:F11719"/>
    <mergeCell ref="D11720:F11720"/>
    <mergeCell ref="D11721:F11721"/>
    <mergeCell ref="D11722:F11722"/>
    <mergeCell ref="D11723:F11723"/>
    <mergeCell ref="D11724:F11724"/>
    <mergeCell ref="D11785:F11785"/>
    <mergeCell ref="D11786:F11786"/>
    <mergeCell ref="D11787:F11787"/>
    <mergeCell ref="D11788:F11788"/>
    <mergeCell ref="D11789:F11789"/>
    <mergeCell ref="D11790:F11790"/>
    <mergeCell ref="D11779:F11779"/>
    <mergeCell ref="D11780:F11780"/>
    <mergeCell ref="D11781:F11781"/>
    <mergeCell ref="D11782:F11782"/>
    <mergeCell ref="D11783:F11783"/>
    <mergeCell ref="D11784:F11784"/>
    <mergeCell ref="D11773:F11773"/>
    <mergeCell ref="D11774:F11774"/>
    <mergeCell ref="D11775:F11775"/>
    <mergeCell ref="D11776:F11776"/>
    <mergeCell ref="D11777:F11777"/>
    <mergeCell ref="D11778:F11778"/>
    <mergeCell ref="D11767:F11767"/>
    <mergeCell ref="D11768:F11768"/>
    <mergeCell ref="D11769:F11769"/>
    <mergeCell ref="D11770:F11770"/>
    <mergeCell ref="D11771:F11771"/>
    <mergeCell ref="D11772:F11772"/>
    <mergeCell ref="D11761:F11761"/>
    <mergeCell ref="D11762:F11762"/>
    <mergeCell ref="D11763:F11763"/>
    <mergeCell ref="D11764:F11764"/>
    <mergeCell ref="D11765:F11765"/>
    <mergeCell ref="D11766:F11766"/>
    <mergeCell ref="D11755:F11755"/>
    <mergeCell ref="D11756:F11756"/>
    <mergeCell ref="D11757:F11757"/>
    <mergeCell ref="D11758:F11758"/>
    <mergeCell ref="D11759:F11759"/>
    <mergeCell ref="D11760:F11760"/>
    <mergeCell ref="D11821:F11821"/>
    <mergeCell ref="D11822:F11822"/>
    <mergeCell ref="D11823:F11823"/>
    <mergeCell ref="D11824:F11824"/>
    <mergeCell ref="D11825:F11825"/>
    <mergeCell ref="D11826:F11826"/>
    <mergeCell ref="D11815:F11815"/>
    <mergeCell ref="D11816:F11816"/>
    <mergeCell ref="D11817:F11817"/>
    <mergeCell ref="D11818:F11818"/>
    <mergeCell ref="D11819:F11819"/>
    <mergeCell ref="D11820:F11820"/>
    <mergeCell ref="D11809:F11809"/>
    <mergeCell ref="D11810:F11810"/>
    <mergeCell ref="D11811:F11811"/>
    <mergeCell ref="D11812:F11812"/>
    <mergeCell ref="D11813:F11813"/>
    <mergeCell ref="D11814:F11814"/>
    <mergeCell ref="D11803:F11803"/>
    <mergeCell ref="D11804:F11804"/>
    <mergeCell ref="D11805:F11805"/>
    <mergeCell ref="D11806:F11806"/>
    <mergeCell ref="D11807:F11807"/>
    <mergeCell ref="D11808:F11808"/>
    <mergeCell ref="D11797:F11797"/>
    <mergeCell ref="D11798:F11798"/>
    <mergeCell ref="D11799:F11799"/>
    <mergeCell ref="D11800:F11800"/>
    <mergeCell ref="D11801:F11801"/>
    <mergeCell ref="D11802:F11802"/>
    <mergeCell ref="D11791:F11791"/>
    <mergeCell ref="D11792:F11792"/>
    <mergeCell ref="D11793:F11793"/>
    <mergeCell ref="D11794:F11794"/>
    <mergeCell ref="D11795:F11795"/>
    <mergeCell ref="D11796:F11796"/>
    <mergeCell ref="D11857:F11857"/>
    <mergeCell ref="D11858:F11858"/>
    <mergeCell ref="D11859:F11859"/>
    <mergeCell ref="D11860:F11860"/>
    <mergeCell ref="D11861:F11861"/>
    <mergeCell ref="D11862:F11862"/>
    <mergeCell ref="D11851:F11851"/>
    <mergeCell ref="D11852:F11852"/>
    <mergeCell ref="D11853:F11853"/>
    <mergeCell ref="D11854:F11854"/>
    <mergeCell ref="D11855:F11855"/>
    <mergeCell ref="D11856:F11856"/>
    <mergeCell ref="D11845:F11845"/>
    <mergeCell ref="D11846:F11846"/>
    <mergeCell ref="D11847:F11847"/>
    <mergeCell ref="D11848:F11848"/>
    <mergeCell ref="D11849:F11849"/>
    <mergeCell ref="D11850:F11850"/>
    <mergeCell ref="D11839:F11839"/>
    <mergeCell ref="D11840:F11840"/>
    <mergeCell ref="D11841:F11841"/>
    <mergeCell ref="D11842:F11842"/>
    <mergeCell ref="D11843:F11843"/>
    <mergeCell ref="D11844:F11844"/>
    <mergeCell ref="D11833:F11833"/>
    <mergeCell ref="D11834:F11834"/>
    <mergeCell ref="D11835:F11835"/>
    <mergeCell ref="D11836:F11836"/>
    <mergeCell ref="D11837:F11837"/>
    <mergeCell ref="D11838:F11838"/>
    <mergeCell ref="D11827:F11827"/>
    <mergeCell ref="D11828:F11828"/>
    <mergeCell ref="D11829:F11829"/>
    <mergeCell ref="D11830:F11830"/>
    <mergeCell ref="D11831:F11831"/>
    <mergeCell ref="D11832:F11832"/>
    <mergeCell ref="D11893:F11893"/>
    <mergeCell ref="D11894:F11894"/>
    <mergeCell ref="D11895:F11895"/>
    <mergeCell ref="D11896:F11896"/>
    <mergeCell ref="D11897:F11897"/>
    <mergeCell ref="D11898:F11898"/>
    <mergeCell ref="D11887:F11887"/>
    <mergeCell ref="D11888:F11888"/>
    <mergeCell ref="D11889:F11889"/>
    <mergeCell ref="D11890:F11890"/>
    <mergeCell ref="D11891:F11891"/>
    <mergeCell ref="D11892:F11892"/>
    <mergeCell ref="D11881:F11881"/>
    <mergeCell ref="D11882:F11882"/>
    <mergeCell ref="D11883:F11883"/>
    <mergeCell ref="D11884:F11884"/>
    <mergeCell ref="D11885:F11885"/>
    <mergeCell ref="D11886:F11886"/>
    <mergeCell ref="D11875:F11875"/>
    <mergeCell ref="D11876:F11876"/>
    <mergeCell ref="D11877:F11877"/>
    <mergeCell ref="D11878:F11878"/>
    <mergeCell ref="D11879:F11879"/>
    <mergeCell ref="D11880:F11880"/>
    <mergeCell ref="D11869:F11869"/>
    <mergeCell ref="D11870:F11870"/>
    <mergeCell ref="D11871:F11871"/>
    <mergeCell ref="D11872:F11872"/>
    <mergeCell ref="D11873:F11873"/>
    <mergeCell ref="D11874:F11874"/>
    <mergeCell ref="D11863:F11863"/>
    <mergeCell ref="D11864:F11864"/>
    <mergeCell ref="D11865:F11865"/>
    <mergeCell ref="D11866:F11866"/>
    <mergeCell ref="D11867:F11867"/>
    <mergeCell ref="D11868:F11868"/>
    <mergeCell ref="D11929:F11929"/>
    <mergeCell ref="D11930:F11930"/>
    <mergeCell ref="D11931:F11931"/>
    <mergeCell ref="D11932:F11932"/>
    <mergeCell ref="D11933:F11933"/>
    <mergeCell ref="D11934:F11934"/>
    <mergeCell ref="D11923:F11923"/>
    <mergeCell ref="D11924:F11924"/>
    <mergeCell ref="D11925:F11925"/>
    <mergeCell ref="D11926:F11926"/>
    <mergeCell ref="D11927:F11927"/>
    <mergeCell ref="D11928:F11928"/>
    <mergeCell ref="D11917:F11917"/>
    <mergeCell ref="D11918:F11918"/>
    <mergeCell ref="D11919:F11919"/>
    <mergeCell ref="D11920:F11920"/>
    <mergeCell ref="D11921:F11921"/>
    <mergeCell ref="D11922:F11922"/>
    <mergeCell ref="D11911:F11911"/>
    <mergeCell ref="D11912:F11912"/>
    <mergeCell ref="D11913:F11913"/>
    <mergeCell ref="D11914:F11914"/>
    <mergeCell ref="D11915:F11915"/>
    <mergeCell ref="D11916:F11916"/>
    <mergeCell ref="D11905:F11905"/>
    <mergeCell ref="D11906:F11906"/>
    <mergeCell ref="D11907:F11907"/>
    <mergeCell ref="D11908:F11908"/>
    <mergeCell ref="D11909:F11909"/>
    <mergeCell ref="D11910:F11910"/>
    <mergeCell ref="D11899:F11899"/>
    <mergeCell ref="D11900:F11900"/>
    <mergeCell ref="D11901:F11901"/>
    <mergeCell ref="D11902:F11902"/>
    <mergeCell ref="D11903:F11903"/>
    <mergeCell ref="D11904:F11904"/>
    <mergeCell ref="D11966:F11966"/>
    <mergeCell ref="D11967:F11967"/>
    <mergeCell ref="D11968:F11968"/>
    <mergeCell ref="D11969:F11969"/>
    <mergeCell ref="D11970:F11970"/>
    <mergeCell ref="D11959:F11959"/>
    <mergeCell ref="D11960:F11960"/>
    <mergeCell ref="D11961:F11961"/>
    <mergeCell ref="D11962:F11962"/>
    <mergeCell ref="D11963:F11963"/>
    <mergeCell ref="D11964:F11964"/>
    <mergeCell ref="D11953:F11953"/>
    <mergeCell ref="D11954:F11954"/>
    <mergeCell ref="D11955:F11955"/>
    <mergeCell ref="D11956:F11956"/>
    <mergeCell ref="D11957:F11957"/>
    <mergeCell ref="D11958:F11958"/>
    <mergeCell ref="D11947:F11947"/>
    <mergeCell ref="D11948:F11948"/>
    <mergeCell ref="D11949:F11949"/>
    <mergeCell ref="D11950:F11950"/>
    <mergeCell ref="D11951:F11951"/>
    <mergeCell ref="D11952:F11952"/>
    <mergeCell ref="D11941:F11941"/>
    <mergeCell ref="D11942:F11942"/>
    <mergeCell ref="D11943:F11943"/>
    <mergeCell ref="D11944:F11944"/>
    <mergeCell ref="D11945:F11945"/>
    <mergeCell ref="D11946:F11946"/>
    <mergeCell ref="D11935:F11935"/>
    <mergeCell ref="D11936:F11936"/>
    <mergeCell ref="D11937:F11937"/>
    <mergeCell ref="D11938:F11938"/>
    <mergeCell ref="D11939:F11939"/>
    <mergeCell ref="D11940:F11940"/>
    <mergeCell ref="D12031:F12031"/>
    <mergeCell ref="D8:F8"/>
    <mergeCell ref="A1:I2"/>
    <mergeCell ref="D12025:F12025"/>
    <mergeCell ref="D12026:F12026"/>
    <mergeCell ref="D12027:F12027"/>
    <mergeCell ref="D12028:F12028"/>
    <mergeCell ref="D12029:F12029"/>
    <mergeCell ref="D12030:F12030"/>
    <mergeCell ref="D12019:F12019"/>
    <mergeCell ref="D12020:F12020"/>
    <mergeCell ref="D12021:F12021"/>
    <mergeCell ref="D12022:F12022"/>
    <mergeCell ref="D12023:F12023"/>
    <mergeCell ref="D12024:F12024"/>
    <mergeCell ref="D12013:F12013"/>
    <mergeCell ref="D12014:F12014"/>
    <mergeCell ref="D12015:F12015"/>
    <mergeCell ref="D12016:F12016"/>
    <mergeCell ref="D12017:F12017"/>
    <mergeCell ref="D12018:F12018"/>
    <mergeCell ref="D12007:F12007"/>
    <mergeCell ref="D12008:F12008"/>
    <mergeCell ref="D12009:F12009"/>
    <mergeCell ref="D12010:F12010"/>
    <mergeCell ref="D12011:F12011"/>
    <mergeCell ref="D12012:F12012"/>
    <mergeCell ref="D12001:F12001"/>
    <mergeCell ref="D12002:F12002"/>
    <mergeCell ref="D12003:F12003"/>
    <mergeCell ref="D12004:F12004"/>
    <mergeCell ref="D12005:F12005"/>
    <mergeCell ref="D12006:F12006"/>
    <mergeCell ref="D11995:F11995"/>
    <mergeCell ref="D11996:F11996"/>
    <mergeCell ref="D11997:F11997"/>
    <mergeCell ref="D11998:F11998"/>
    <mergeCell ref="D11999:F11999"/>
    <mergeCell ref="D12000:F12000"/>
    <mergeCell ref="D11989:F11989"/>
    <mergeCell ref="D11990:F11990"/>
    <mergeCell ref="D11991:F11991"/>
    <mergeCell ref="D11992:F11992"/>
    <mergeCell ref="D11993:F11993"/>
    <mergeCell ref="D11994:F11994"/>
    <mergeCell ref="D11983:F11983"/>
    <mergeCell ref="D11984:F11984"/>
    <mergeCell ref="D11985:F11985"/>
    <mergeCell ref="D11986:F11986"/>
    <mergeCell ref="D11987:F11987"/>
    <mergeCell ref="D11988:F11988"/>
    <mergeCell ref="D11977:F11977"/>
    <mergeCell ref="D11978:F11978"/>
    <mergeCell ref="D11979:F11979"/>
    <mergeCell ref="D11980:F11980"/>
    <mergeCell ref="D11981:F11981"/>
    <mergeCell ref="D11982:F11982"/>
    <mergeCell ref="D11971:F11971"/>
    <mergeCell ref="D11972:F11972"/>
    <mergeCell ref="D11973:F11973"/>
    <mergeCell ref="D11974:F11974"/>
    <mergeCell ref="D11975:F11975"/>
    <mergeCell ref="D11976:F11976"/>
    <mergeCell ref="D11965:F11965"/>
  </mergeCells>
  <dataValidations count="1">
    <dataValidation type="list" allowBlank="1" showInputMessage="1" showErrorMessage="1" sqref="C9:C1048576" xr:uid="{90D1E1C6-3DEC-9F42-BFD3-61AB608222D5}">
      <formula1>$A$4:$A$11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44FD-6E76-AF4F-AF34-E11523130614}">
  <dimension ref="A1:Z1000"/>
  <sheetViews>
    <sheetView tabSelected="1" workbookViewId="0">
      <selection activeCell="B2" sqref="B2:B21"/>
    </sheetView>
  </sheetViews>
  <sheetFormatPr baseColWidth="10" defaultRowHeight="16" x14ac:dyDescent="0.2"/>
  <cols>
    <col min="1" max="1" width="62.5" bestFit="1" customWidth="1"/>
  </cols>
  <sheetData>
    <row r="1" spans="1:26" x14ac:dyDescent="0.2">
      <c r="A1" s="8" t="s">
        <v>13</v>
      </c>
      <c r="B1" s="9" t="s">
        <v>14</v>
      </c>
      <c r="C1" s="9" t="s">
        <v>15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">
      <c r="A2" s="10" t="s">
        <v>16</v>
      </c>
      <c r="B2" s="9">
        <v>300</v>
      </c>
      <c r="C2" s="9">
        <v>-70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">
      <c r="A3" s="10" t="s">
        <v>17</v>
      </c>
      <c r="B3" s="9">
        <v>220</v>
      </c>
      <c r="C3" s="9">
        <v>-3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">
      <c r="A4" s="10" t="s">
        <v>18</v>
      </c>
      <c r="B4" s="9">
        <v>120</v>
      </c>
      <c r="C4" s="9">
        <v>-20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">
      <c r="A5" s="10" t="s">
        <v>19</v>
      </c>
      <c r="B5" s="9">
        <v>120</v>
      </c>
      <c r="C5" s="9">
        <v>-800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">
      <c r="A6" s="10" t="s">
        <v>20</v>
      </c>
      <c r="B6" s="9">
        <v>640</v>
      </c>
      <c r="C6" s="9">
        <v>-66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">
      <c r="A7" s="9"/>
      <c r="B7" s="9">
        <v>200</v>
      </c>
      <c r="C7" s="9">
        <v>-29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">
      <c r="A8" s="9"/>
      <c r="B8" s="9">
        <v>75</v>
      </c>
      <c r="C8" s="9">
        <v>-200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">
      <c r="A9" s="9"/>
      <c r="B9" s="9">
        <v>50</v>
      </c>
      <c r="C9" s="9">
        <v>-100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">
      <c r="A10" s="9"/>
      <c r="B10" s="9">
        <v>200</v>
      </c>
      <c r="C10" s="9">
        <v>-200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">
      <c r="A11" s="9"/>
      <c r="B11" s="9">
        <v>300</v>
      </c>
      <c r="C11" s="9">
        <v>-90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">
      <c r="A12" s="9"/>
      <c r="B12" s="9">
        <v>60</v>
      </c>
      <c r="C12" s="9">
        <v>-156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">
      <c r="A13" s="9"/>
      <c r="B13" s="9">
        <v>90</v>
      </c>
      <c r="C13" s="9">
        <v>-40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">
      <c r="A14" s="9"/>
      <c r="B14" s="9">
        <v>180</v>
      </c>
      <c r="C14" s="9">
        <v>-100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">
      <c r="A15" s="9"/>
      <c r="B15" s="9">
        <v>859</v>
      </c>
      <c r="C15" s="9">
        <v>-205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">
      <c r="A16" s="9"/>
      <c r="B16" s="9">
        <v>100</v>
      </c>
      <c r="C16" s="9">
        <v>-300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">
      <c r="A17" s="9"/>
      <c r="B17" s="9">
        <v>60</v>
      </c>
      <c r="C17" s="9">
        <v>-215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">
      <c r="A18" s="9"/>
      <c r="B18" s="9">
        <v>638</v>
      </c>
      <c r="C18" s="9">
        <v>-500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">
      <c r="A19" s="9"/>
      <c r="B19" s="9">
        <v>392</v>
      </c>
      <c r="C19" s="9">
        <v>-100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">
      <c r="A20" s="9"/>
      <c r="B20" s="9">
        <v>280</v>
      </c>
      <c r="C20" s="9">
        <v>-210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">
      <c r="A21" s="9"/>
      <c r="B21" s="9">
        <v>200</v>
      </c>
      <c r="C21" s="9">
        <v>-50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">
      <c r="A22" s="9"/>
      <c r="B22" s="9"/>
      <c r="C22" s="9">
        <v>-10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">
      <c r="A23" s="9"/>
      <c r="B23" s="9"/>
      <c r="C23" s="9">
        <v>-200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">
      <c r="A24" s="9"/>
      <c r="B24" s="9"/>
      <c r="C24" s="9">
        <v>-40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">
      <c r="A25" s="9"/>
      <c r="B25" s="9"/>
      <c r="C25" s="9">
        <v>877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">
      <c r="A26" s="9"/>
      <c r="B26" s="9"/>
      <c r="C26" s="9">
        <v>-250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">
      <c r="A27" s="9"/>
      <c r="B27" s="9"/>
      <c r="C27" s="9">
        <v>-20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2">
      <c r="A28" s="9"/>
      <c r="B28" s="9"/>
      <c r="C28" s="9">
        <v>-10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2">
      <c r="A29" s="9"/>
      <c r="B29" s="9"/>
      <c r="C29" s="9">
        <v>-10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2">
      <c r="A30" s="9"/>
      <c r="B30" s="9"/>
      <c r="C30" s="9">
        <v>-80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2">
      <c r="A31" s="9"/>
      <c r="B31" s="9"/>
      <c r="C31" s="9">
        <v>-520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2">
      <c r="A32" s="9"/>
      <c r="B32" s="9"/>
      <c r="C32" s="11">
        <v>-1300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2BB5-3616-AA4E-A152-4C735DC00D3C}">
  <dimension ref="A1:F10"/>
  <sheetViews>
    <sheetView workbookViewId="0">
      <selection activeCell="E16" sqref="E16"/>
    </sheetView>
  </sheetViews>
  <sheetFormatPr baseColWidth="10" defaultRowHeight="16" x14ac:dyDescent="0.2"/>
  <cols>
    <col min="1" max="1" width="32.83203125" bestFit="1" customWidth="1"/>
    <col min="3" max="3" width="12.5" bestFit="1" customWidth="1"/>
    <col min="4" max="4" width="10.1640625" bestFit="1" customWidth="1"/>
    <col min="5" max="5" width="22.83203125" bestFit="1" customWidth="1"/>
  </cols>
  <sheetData>
    <row r="1" spans="1:6" x14ac:dyDescent="0.2">
      <c r="A1" s="12" t="s">
        <v>6</v>
      </c>
      <c r="B1" s="9" t="s">
        <v>15</v>
      </c>
      <c r="C1" s="9"/>
      <c r="D1" s="9" t="s">
        <v>14</v>
      </c>
      <c r="E1" s="9"/>
      <c r="F1" s="9"/>
    </row>
    <row r="2" spans="1:6" x14ac:dyDescent="0.2">
      <c r="A2" s="9" t="s">
        <v>21</v>
      </c>
      <c r="B2" s="9">
        <v>520</v>
      </c>
      <c r="C2" s="9" t="s">
        <v>22</v>
      </c>
      <c r="D2" s="18">
        <v>1500</v>
      </c>
      <c r="E2" s="9" t="s">
        <v>23</v>
      </c>
      <c r="F2" s="9"/>
    </row>
    <row r="3" spans="1:6" x14ac:dyDescent="0.2">
      <c r="A3" s="9" t="s">
        <v>24</v>
      </c>
      <c r="B3" s="9">
        <v>160</v>
      </c>
      <c r="C3" s="9" t="s">
        <v>25</v>
      </c>
      <c r="D3" s="18">
        <v>600</v>
      </c>
      <c r="E3" s="9"/>
      <c r="F3" s="9"/>
    </row>
    <row r="4" spans="1:6" x14ac:dyDescent="0.2">
      <c r="A4" s="9" t="s">
        <v>26</v>
      </c>
      <c r="B4" s="9">
        <v>250</v>
      </c>
      <c r="C4" s="9"/>
      <c r="D4" s="9"/>
      <c r="E4" s="9"/>
      <c r="F4" s="9"/>
    </row>
    <row r="5" spans="1:6" x14ac:dyDescent="0.2">
      <c r="A5" s="9" t="s">
        <v>27</v>
      </c>
      <c r="B5" s="9">
        <v>100</v>
      </c>
      <c r="C5" s="9"/>
      <c r="D5" s="9"/>
      <c r="E5" s="9"/>
      <c r="F5" s="9"/>
    </row>
    <row r="6" spans="1:6" x14ac:dyDescent="0.2">
      <c r="A6" s="9" t="s">
        <v>28</v>
      </c>
      <c r="B6" s="9">
        <v>230</v>
      </c>
      <c r="C6" s="9"/>
      <c r="D6" s="9"/>
      <c r="E6" s="9"/>
      <c r="F6" s="9"/>
    </row>
    <row r="7" spans="1:6" x14ac:dyDescent="0.2">
      <c r="A7" s="9" t="s">
        <v>29</v>
      </c>
      <c r="B7" s="9">
        <v>200</v>
      </c>
      <c r="C7" s="9"/>
      <c r="D7" s="9"/>
      <c r="E7" s="9"/>
      <c r="F7" s="9"/>
    </row>
    <row r="8" spans="1:6" x14ac:dyDescent="0.2">
      <c r="A8" s="9"/>
      <c r="B8" s="9"/>
      <c r="C8" s="9"/>
      <c r="D8" s="9"/>
      <c r="E8" s="9"/>
      <c r="F8" s="9"/>
    </row>
    <row r="9" spans="1:6" x14ac:dyDescent="0.2">
      <c r="A9" s="9"/>
      <c r="B9" s="9"/>
      <c r="C9" s="9"/>
      <c r="D9" s="9"/>
      <c r="E9" s="9"/>
      <c r="F9" s="9"/>
    </row>
    <row r="10" spans="1:6" x14ac:dyDescent="0.2">
      <c r="A10" s="9"/>
      <c r="B10" s="9"/>
      <c r="C10" s="9"/>
      <c r="D10" s="9"/>
      <c r="E10" s="9"/>
      <c r="F1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00BC-349A-D546-8C8C-7955172E0332}">
  <dimension ref="A1:D7"/>
  <sheetViews>
    <sheetView workbookViewId="0">
      <selection activeCell="G40" sqref="G40"/>
    </sheetView>
  </sheetViews>
  <sheetFormatPr baseColWidth="10" defaultRowHeight="16" x14ac:dyDescent="0.2"/>
  <cols>
    <col min="1" max="1" width="4.6640625" bestFit="1" customWidth="1"/>
    <col min="2" max="2" width="11" bestFit="1" customWidth="1"/>
    <col min="3" max="3" width="39.5" bestFit="1" customWidth="1"/>
    <col min="4" max="4" width="29.83203125" bestFit="1" customWidth="1"/>
  </cols>
  <sheetData>
    <row r="1" spans="1:4" x14ac:dyDescent="0.2">
      <c r="A1" s="9"/>
      <c r="B1" s="9"/>
      <c r="C1" s="10" t="s">
        <v>30</v>
      </c>
      <c r="D1" s="9"/>
    </row>
    <row r="2" spans="1:4" x14ac:dyDescent="0.2">
      <c r="A2" s="8" t="s">
        <v>14</v>
      </c>
      <c r="B2" s="8" t="s">
        <v>31</v>
      </c>
      <c r="C2" s="8" t="s">
        <v>32</v>
      </c>
      <c r="D2" s="8" t="s">
        <v>33</v>
      </c>
    </row>
    <row r="3" spans="1:4" x14ac:dyDescent="0.2">
      <c r="A3" s="9"/>
      <c r="B3" s="9">
        <v>30</v>
      </c>
      <c r="C3" s="9">
        <v>52</v>
      </c>
      <c r="D3" s="9">
        <v>1560</v>
      </c>
    </row>
    <row r="4" spans="1:4" x14ac:dyDescent="0.2">
      <c r="A4" s="9"/>
      <c r="B4" s="9"/>
      <c r="C4" s="9"/>
      <c r="D4" s="9"/>
    </row>
    <row r="5" spans="1:4" x14ac:dyDescent="0.2">
      <c r="A5" s="8" t="s">
        <v>15</v>
      </c>
      <c r="B5" s="8" t="s">
        <v>34</v>
      </c>
      <c r="C5" s="8" t="s">
        <v>35</v>
      </c>
      <c r="D5" s="9"/>
    </row>
    <row r="6" spans="1:4" x14ac:dyDescent="0.2">
      <c r="A6" s="9"/>
      <c r="B6" s="9" t="s">
        <v>36</v>
      </c>
      <c r="C6" s="9" t="s">
        <v>37</v>
      </c>
      <c r="D6" s="10" t="s">
        <v>38</v>
      </c>
    </row>
    <row r="7" spans="1:4" x14ac:dyDescent="0.2">
      <c r="B7">
        <v>300</v>
      </c>
      <c r="C7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DA9A-7FEF-2344-8D2E-A065CA7FCB18}">
  <dimension ref="A1:C5"/>
  <sheetViews>
    <sheetView workbookViewId="0">
      <selection activeCell="C3" sqref="C3"/>
    </sheetView>
  </sheetViews>
  <sheetFormatPr baseColWidth="10" defaultRowHeight="16" x14ac:dyDescent="0.2"/>
  <cols>
    <col min="1" max="1" width="11" bestFit="1" customWidth="1"/>
    <col min="2" max="2" width="34.83203125" bestFit="1" customWidth="1"/>
    <col min="3" max="3" width="15.33203125" bestFit="1" customWidth="1"/>
  </cols>
  <sheetData>
    <row r="1" spans="1:3" x14ac:dyDescent="0.2">
      <c r="A1" s="13" t="s">
        <v>8</v>
      </c>
      <c r="B1" s="9"/>
      <c r="C1" s="9"/>
    </row>
    <row r="2" spans="1:3" x14ac:dyDescent="0.2">
      <c r="A2" s="8" t="s">
        <v>15</v>
      </c>
      <c r="B2" s="9" t="s">
        <v>39</v>
      </c>
      <c r="C2" s="9" t="s">
        <v>40</v>
      </c>
    </row>
    <row r="3" spans="1:3" x14ac:dyDescent="0.2">
      <c r="A3" s="9"/>
      <c r="B3" s="9">
        <v>200</v>
      </c>
      <c r="C3" s="9">
        <v>990</v>
      </c>
    </row>
    <row r="4" spans="1:3" x14ac:dyDescent="0.2">
      <c r="A4" s="8" t="s">
        <v>14</v>
      </c>
      <c r="B4" s="9"/>
      <c r="C4" s="9" t="s">
        <v>41</v>
      </c>
    </row>
    <row r="5" spans="1:3" x14ac:dyDescent="0.2">
      <c r="A5" s="9"/>
      <c r="B5" s="9"/>
      <c r="C5" s="9">
        <v>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02AC-AC55-6744-88F7-B7181DC70797}">
  <dimension ref="A1:Z1000"/>
  <sheetViews>
    <sheetView workbookViewId="0">
      <selection activeCell="C8" sqref="C8"/>
    </sheetView>
  </sheetViews>
  <sheetFormatPr baseColWidth="10" defaultRowHeight="16" x14ac:dyDescent="0.2"/>
  <cols>
    <col min="2" max="2" width="13.33203125" bestFit="1" customWidth="1"/>
  </cols>
  <sheetData>
    <row r="1" spans="1:26" x14ac:dyDescent="0.2">
      <c r="A1" s="8" t="s">
        <v>15</v>
      </c>
      <c r="B1" s="8" t="s">
        <v>42</v>
      </c>
      <c r="C1" s="8" t="s">
        <v>43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">
      <c r="A2" s="9"/>
      <c r="B2" s="9">
        <v>1000</v>
      </c>
      <c r="C2" s="9" t="s">
        <v>44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">
      <c r="A3" s="9"/>
      <c r="B3" s="9">
        <v>520</v>
      </c>
      <c r="C3" s="9" t="s">
        <v>45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">
      <c r="A4" s="9"/>
      <c r="B4" s="9">
        <v>200</v>
      </c>
      <c r="C4" s="9" t="s">
        <v>46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">
      <c r="A5" s="9"/>
      <c r="B5" s="9">
        <v>150</v>
      </c>
      <c r="C5" s="9" t="s">
        <v>47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">
      <c r="A6" s="9"/>
      <c r="B6" s="9">
        <v>150</v>
      </c>
      <c r="C6" s="9" t="s">
        <v>48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">
      <c r="A7" s="9"/>
      <c r="B7" s="9">
        <v>50</v>
      </c>
      <c r="C7" s="9" t="s">
        <v>27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">
      <c r="A8" s="8" t="s">
        <v>14</v>
      </c>
      <c r="B8" s="8" t="s">
        <v>22</v>
      </c>
      <c r="C8" s="14">
        <v>1500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">
      <c r="A10" s="8" t="s">
        <v>49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8104-F41C-7C4B-8720-5CFA9D2713FB}">
  <dimension ref="A1:Z1000"/>
  <sheetViews>
    <sheetView workbookViewId="0">
      <selection activeCell="D2" sqref="D2"/>
    </sheetView>
  </sheetViews>
  <sheetFormatPr baseColWidth="10" defaultRowHeight="16" x14ac:dyDescent="0.2"/>
  <cols>
    <col min="2" max="2" width="15" bestFit="1" customWidth="1"/>
    <col min="3" max="3" width="20.5" bestFit="1" customWidth="1"/>
  </cols>
  <sheetData>
    <row r="1" spans="1:26" x14ac:dyDescent="0.2">
      <c r="A1" s="9" t="s">
        <v>15</v>
      </c>
      <c r="B1" s="9"/>
      <c r="C1" s="9" t="s">
        <v>14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">
      <c r="A2" s="9">
        <v>800</v>
      </c>
      <c r="B2" s="9" t="s">
        <v>50</v>
      </c>
      <c r="C2" s="9" t="s">
        <v>56</v>
      </c>
      <c r="D2" s="9">
        <v>600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">
      <c r="A3" s="9">
        <v>80</v>
      </c>
      <c r="B3" s="9" t="s">
        <v>51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">
      <c r="A4" s="9">
        <v>100</v>
      </c>
      <c r="B4" s="9" t="s">
        <v>52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">
      <c r="A5" s="9">
        <v>100</v>
      </c>
      <c r="B5" s="9" t="s">
        <v>27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Budget Tracker</vt:lpstr>
      <vt:lpstr>Income Tracker</vt:lpstr>
      <vt:lpstr>Bank Statment</vt:lpstr>
      <vt:lpstr>Tasty Event</vt:lpstr>
      <vt:lpstr>Football</vt:lpstr>
      <vt:lpstr>Puppy Yoga</vt:lpstr>
      <vt:lpstr>Eid Event</vt:lpstr>
      <vt:lpstr>Padel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El Harouchi</dc:creator>
  <cp:lastModifiedBy>Adam El Harouchi</cp:lastModifiedBy>
  <dcterms:created xsi:type="dcterms:W3CDTF">2025-08-13T03:59:57Z</dcterms:created>
  <dcterms:modified xsi:type="dcterms:W3CDTF">2025-08-26T03:32:36Z</dcterms:modified>
</cp:coreProperties>
</file>