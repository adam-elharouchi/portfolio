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elharouchi/Downloads/"/>
    </mc:Choice>
  </mc:AlternateContent>
  <xr:revisionPtr revIDLastSave="0" documentId="8_{2CDBACA4-BD6A-384E-8A59-431B6D964122}" xr6:coauthVersionLast="47" xr6:coauthVersionMax="47" xr10:uidLastSave="{00000000-0000-0000-0000-000000000000}"/>
  <bookViews>
    <workbookView xWindow="0" yWindow="500" windowWidth="28800" windowHeight="17500" activeTab="2" xr2:uid="{43140A61-FCAA-1443-8111-B8C8B79C6D98}"/>
  </bookViews>
  <sheets>
    <sheet name="24-25 &amp;25-26 estimated" sheetId="1" r:id="rId1"/>
    <sheet name="Actual" sheetId="2" r:id="rId2"/>
    <sheet name="Game Schedule Volta League" sheetId="4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12" i="2" s="1"/>
  <c r="E9" i="1"/>
  <c r="B13" i="1"/>
  <c r="A13" i="1"/>
  <c r="B10" i="1"/>
</calcChain>
</file>

<file path=xl/sharedStrings.xml><?xml version="1.0" encoding="utf-8"?>
<sst xmlns="http://schemas.openxmlformats.org/spreadsheetml/2006/main" count="246" uniqueCount="106">
  <si>
    <t>Event</t>
  </si>
  <si>
    <t>Amount</t>
  </si>
  <si>
    <t>Spring League - Dalton</t>
  </si>
  <si>
    <t>Membership Fees</t>
  </si>
  <si>
    <t>Amount Owed to Hult</t>
  </si>
  <si>
    <t>Fall League Dalton</t>
  </si>
  <si>
    <t xml:space="preserve">Fall Tournament </t>
  </si>
  <si>
    <t>Beanpot Tournament - Dalton</t>
  </si>
  <si>
    <t xml:space="preserve">Fall Event Funds Request </t>
  </si>
  <si>
    <t xml:space="preserve">Spring Event Funds Request </t>
  </si>
  <si>
    <t>Total</t>
  </si>
  <si>
    <t>Owed</t>
  </si>
  <si>
    <t>2024 - 2025</t>
  </si>
  <si>
    <t>2025 - 2026</t>
  </si>
  <si>
    <t>Estimated Membership Fees (Min 15 New Players)</t>
  </si>
  <si>
    <t xml:space="preserve">Fall League </t>
  </si>
  <si>
    <t>Comments</t>
  </si>
  <si>
    <t xml:space="preserve">The Team won't be playing in the fall only practicing </t>
  </si>
  <si>
    <t>Fall Funds to be used to repay amount owed</t>
  </si>
  <si>
    <t>Returning Players</t>
  </si>
  <si>
    <t>Andres Elizondo</t>
  </si>
  <si>
    <t>Tommaso Faccioli</t>
  </si>
  <si>
    <t>Adam El Harouchi</t>
  </si>
  <si>
    <t>Michel Ward</t>
  </si>
  <si>
    <t xml:space="preserve">Miguel Pastor </t>
  </si>
  <si>
    <t>Henry Paul</t>
  </si>
  <si>
    <t>Iago Diogo</t>
  </si>
  <si>
    <t>Karim Shaker</t>
  </si>
  <si>
    <t>Mathias Osland</t>
  </si>
  <si>
    <t>Justin Nikondeha</t>
  </si>
  <si>
    <t>Min Htet Aung (Mark)</t>
  </si>
  <si>
    <t>Estimated Membership Fees (Min 20 New Players)</t>
  </si>
  <si>
    <t>Fall League - Dalton</t>
  </si>
  <si>
    <t>Fall Beanpot Tournament - Dalton</t>
  </si>
  <si>
    <t>New Player Fee For The Year</t>
  </si>
  <si>
    <t>We will create this league and play every weekend</t>
  </si>
  <si>
    <t>We won't play in the league for the fall</t>
  </si>
  <si>
    <t>We will play the Spring League</t>
  </si>
  <si>
    <t>We will play the Fall Beanpot Tournament</t>
  </si>
  <si>
    <t>We will play the Spring Beanpot Tournament</t>
  </si>
  <si>
    <t>We have already used this amount</t>
  </si>
  <si>
    <t xml:space="preserve">We may use this equipment </t>
  </si>
  <si>
    <t>HULT FC PLAN 2025 - 2026</t>
  </si>
  <si>
    <t>How much should be left over</t>
  </si>
  <si>
    <t>Hult Volta League ( We Organize) 10 Teams 5v5. ($200 Per team)</t>
  </si>
  <si>
    <t>Total Cash Prize given out is 800$</t>
  </si>
  <si>
    <t>Cash Prize for Volta League</t>
  </si>
  <si>
    <t>Week</t>
  </si>
  <si>
    <t>Date</t>
  </si>
  <si>
    <t>Day</t>
  </si>
  <si>
    <t>Time</t>
  </si>
  <si>
    <t>Match</t>
  </si>
  <si>
    <t>Week 1</t>
  </si>
  <si>
    <t>Saturday</t>
  </si>
  <si>
    <t>Team B vs Team C</t>
  </si>
  <si>
    <t>Team A vs Team C</t>
  </si>
  <si>
    <t>Team A vs Team D</t>
  </si>
  <si>
    <t>Team A vs Team F</t>
  </si>
  <si>
    <t>Team B vs Team F</t>
  </si>
  <si>
    <t>Sunday</t>
  </si>
  <si>
    <t>Team A vs Team J</t>
  </si>
  <si>
    <t>Team A vs Team H</t>
  </si>
  <si>
    <t>Team B vs Team D</t>
  </si>
  <si>
    <t>Team C vs Team E</t>
  </si>
  <si>
    <t>Week 2</t>
  </si>
  <si>
    <t>Team I vs Team J</t>
  </si>
  <si>
    <t>Team C vs Team I</t>
  </si>
  <si>
    <t>Team C vs Team G</t>
  </si>
  <si>
    <t>Team B vs Team I</t>
  </si>
  <si>
    <t>Team A vs Team I</t>
  </si>
  <si>
    <t>Team A vs Team G</t>
  </si>
  <si>
    <t>Team C vs Team F</t>
  </si>
  <si>
    <t>Team E vs Team J</t>
  </si>
  <si>
    <t>Team G vs Team I</t>
  </si>
  <si>
    <t>Week 3</t>
  </si>
  <si>
    <t>Team A vs Team B</t>
  </si>
  <si>
    <t>Team D vs Team I</t>
  </si>
  <si>
    <t>Team H vs Team I</t>
  </si>
  <si>
    <t>Team B vs Team J</t>
  </si>
  <si>
    <t>Team D vs Team H</t>
  </si>
  <si>
    <t>Team F vs Team H</t>
  </si>
  <si>
    <t>Team H vs Team J</t>
  </si>
  <si>
    <t>Team B vs Team H</t>
  </si>
  <si>
    <t>Team C vs Team D</t>
  </si>
  <si>
    <t>Team D vs Team G</t>
  </si>
  <si>
    <t>Week 4</t>
  </si>
  <si>
    <t>Team D vs Team J</t>
  </si>
  <si>
    <t>Team B vs Team G</t>
  </si>
  <si>
    <t>Team F vs Team G</t>
  </si>
  <si>
    <t>Team D vs Team F</t>
  </si>
  <si>
    <t>Team E vs Team G</t>
  </si>
  <si>
    <t>Team C vs Team J</t>
  </si>
  <si>
    <t>Team C vs Team H</t>
  </si>
  <si>
    <t>Team E vs Team F</t>
  </si>
  <si>
    <t>Week 5</t>
  </si>
  <si>
    <t>Team A vs Team E</t>
  </si>
  <si>
    <t>Team B vs Team E</t>
  </si>
  <si>
    <t>Team D vs Team E</t>
  </si>
  <si>
    <t>Team G vs Team H</t>
  </si>
  <si>
    <t>Game Schedule</t>
  </si>
  <si>
    <t>Week 6</t>
  </si>
  <si>
    <t>Semis #1</t>
  </si>
  <si>
    <t>Semis #2</t>
  </si>
  <si>
    <t>3rd place</t>
  </si>
  <si>
    <t>Final</t>
  </si>
  <si>
    <t>Noah Zerihun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</si>
</sst>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434343"/>
      <name val="Arial"/>
      <family val="2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0" fillId="2" borderId="1" xfId="0" applyFill="1" applyBorder="1"/>
    <xf numFmtId="0" fontId="0" fillId="2" borderId="0" xfId="0" applyFill="1"/>
    <xf numFmtId="44" fontId="0" fillId="2" borderId="0" xfId="1" applyFont="1" applyFill="1"/>
    <xf numFmtId="44" fontId="0" fillId="2" borderId="1" xfId="1" applyFont="1" applyFill="1" applyBorder="1"/>
    <xf numFmtId="44" fontId="0" fillId="2" borderId="0" xfId="1" applyFont="1" applyFill="1" applyBorder="1"/>
    <xf numFmtId="44" fontId="0" fillId="2" borderId="0" xfId="0" applyNumberFormat="1" applyFill="1"/>
    <xf numFmtId="0" fontId="0" fillId="3" borderId="0" xfId="0" applyFill="1"/>
    <xf numFmtId="0" fontId="0" fillId="3" borderId="1" xfId="0" applyFill="1" applyBorder="1"/>
    <xf numFmtId="44" fontId="0" fillId="3" borderId="0" xfId="1" applyFont="1" applyFill="1"/>
    <xf numFmtId="44" fontId="0" fillId="3" borderId="1" xfId="1" applyFont="1" applyFill="1" applyBorder="1"/>
    <xf numFmtId="44" fontId="0" fillId="3" borderId="0" xfId="1" applyFont="1" applyFill="1" applyBorder="1"/>
    <xf numFmtId="0" fontId="0" fillId="3" borderId="3" xfId="0" applyFill="1" applyBorder="1"/>
    <xf numFmtId="0" fontId="0" fillId="3" borderId="4" xfId="0" applyFill="1" applyBorder="1"/>
    <xf numFmtId="44" fontId="0" fillId="3" borderId="5" xfId="1" applyFont="1" applyFill="1" applyBorder="1"/>
    <xf numFmtId="44" fontId="0" fillId="3" borderId="4" xfId="1" applyFont="1" applyFill="1" applyBorder="1"/>
    <xf numFmtId="0" fontId="0" fillId="3" borderId="6" xfId="0" applyFill="1" applyBorder="1"/>
    <xf numFmtId="44" fontId="0" fillId="3" borderId="6" xfId="1" applyFont="1" applyFill="1" applyBorder="1"/>
    <xf numFmtId="0" fontId="0" fillId="3" borderId="5" xfId="0" applyFill="1" applyBorder="1"/>
    <xf numFmtId="0" fontId="0" fillId="3" borderId="7" xfId="0" applyFill="1" applyBorder="1"/>
    <xf numFmtId="0" fontId="2" fillId="0" borderId="5" xfId="0" applyFont="1" applyBorder="1"/>
    <xf numFmtId="0" fontId="0" fillId="0" borderId="5" xfId="0" applyBorder="1"/>
    <xf numFmtId="0" fontId="3" fillId="0" borderId="0" xfId="0" applyFont="1"/>
    <xf numFmtId="0" fontId="5" fillId="0" borderId="0" xfId="0" applyFont="1"/>
    <xf numFmtId="16" fontId="4" fillId="0" borderId="0" xfId="0" applyNumberFormat="1" applyFont="1"/>
    <xf numFmtId="0" fontId="4" fillId="0" borderId="0" xfId="0" applyFont="1"/>
    <xf numFmtId="18" fontId="4" fillId="0" borderId="0" xfId="0" applyNumberFormat="1" applyFon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9" xfId="0" applyFill="1" applyBorder="1" applyAlignment="1">
      <alignment horizontal="center" shrinkToFit="1"/>
    </xf>
    <xf numFmtId="0" fontId="0" fillId="3" borderId="10" xfId="0" applyFill="1" applyBorder="1" applyAlignment="1">
      <alignment horizontal="center" shrinkToFit="1"/>
    </xf>
    <xf numFmtId="0" fontId="0" fillId="3" borderId="8" xfId="0" applyFill="1" applyBorder="1" applyAlignment="1">
      <alignment horizontal="center" shrinkToFit="1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 shrinkToFit="1"/>
    </xf>
    <xf numFmtId="0" fontId="0" fillId="3" borderId="1" xfId="0" applyFill="1" applyBorder="1" applyAlignment="1">
      <alignment horizontal="center" shrinkToFit="1"/>
    </xf>
    <xf numFmtId="0" fontId="0" fillId="3" borderId="2" xfId="0" applyFill="1" applyBorder="1" applyAlignment="1">
      <alignment horizontal="center" shrinkToFi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2ECF-BA18-8941-BA89-15CE213E927F}">
  <dimension ref="A1:H13"/>
  <sheetViews>
    <sheetView zoomScale="150" workbookViewId="0">
      <selection activeCell="C22" sqref="C22"/>
    </sheetView>
  </sheetViews>
  <sheetFormatPr baseColWidth="10" defaultRowHeight="16" x14ac:dyDescent="0.2"/>
  <cols>
    <col min="1" max="1" width="25.1640625" bestFit="1" customWidth="1"/>
    <col min="4" max="4" width="41.83203125" bestFit="1" customWidth="1"/>
    <col min="8" max="8" width="14.83203125" customWidth="1"/>
  </cols>
  <sheetData>
    <row r="1" spans="1:8" x14ac:dyDescent="0.2">
      <c r="A1" s="27" t="s">
        <v>12</v>
      </c>
      <c r="B1" s="27"/>
      <c r="D1" s="28" t="s">
        <v>13</v>
      </c>
      <c r="E1" s="28"/>
      <c r="F1" s="7"/>
      <c r="G1" s="7"/>
      <c r="H1" s="7"/>
    </row>
    <row r="2" spans="1:8" x14ac:dyDescent="0.2">
      <c r="A2" s="1" t="s">
        <v>0</v>
      </c>
      <c r="B2" s="1" t="s">
        <v>1</v>
      </c>
      <c r="D2" s="8" t="s">
        <v>0</v>
      </c>
      <c r="E2" s="8" t="s">
        <v>1</v>
      </c>
      <c r="F2" s="28" t="s">
        <v>16</v>
      </c>
      <c r="G2" s="28"/>
      <c r="H2" s="28"/>
    </row>
    <row r="3" spans="1:8" x14ac:dyDescent="0.2">
      <c r="A3" s="2" t="s">
        <v>3</v>
      </c>
      <c r="B3" s="3">
        <v>1200</v>
      </c>
      <c r="D3" s="7" t="s">
        <v>14</v>
      </c>
      <c r="E3" s="9">
        <v>1500</v>
      </c>
      <c r="F3" s="7"/>
      <c r="G3" s="7"/>
      <c r="H3" s="7"/>
    </row>
    <row r="4" spans="1:8" x14ac:dyDescent="0.2">
      <c r="A4" s="2" t="s">
        <v>4</v>
      </c>
      <c r="B4" s="3">
        <v>-500</v>
      </c>
      <c r="D4" s="7" t="s">
        <v>15</v>
      </c>
      <c r="E4" s="9">
        <v>0</v>
      </c>
      <c r="F4" s="29" t="s">
        <v>17</v>
      </c>
      <c r="G4" s="29"/>
      <c r="H4" s="29"/>
    </row>
    <row r="5" spans="1:8" x14ac:dyDescent="0.2">
      <c r="A5" s="2" t="s">
        <v>5</v>
      </c>
      <c r="B5" s="3">
        <v>-800</v>
      </c>
      <c r="D5" s="7" t="s">
        <v>6</v>
      </c>
      <c r="E5" s="9">
        <v>0</v>
      </c>
      <c r="F5" s="29"/>
      <c r="G5" s="29"/>
      <c r="H5" s="29"/>
    </row>
    <row r="6" spans="1:8" x14ac:dyDescent="0.2">
      <c r="A6" s="2" t="s">
        <v>6</v>
      </c>
      <c r="B6" s="3">
        <v>300</v>
      </c>
      <c r="D6" s="7" t="s">
        <v>2</v>
      </c>
      <c r="E6" s="9">
        <v>-600</v>
      </c>
      <c r="F6" s="7"/>
      <c r="G6" s="7"/>
      <c r="H6" s="7"/>
    </row>
    <row r="7" spans="1:8" x14ac:dyDescent="0.2">
      <c r="A7" s="2" t="s">
        <v>2</v>
      </c>
      <c r="B7" s="3">
        <v>-500</v>
      </c>
      <c r="D7" s="7" t="s">
        <v>7</v>
      </c>
      <c r="E7" s="9">
        <v>-300</v>
      </c>
      <c r="F7" s="7"/>
      <c r="G7" s="7"/>
      <c r="H7" s="7"/>
    </row>
    <row r="8" spans="1:8" x14ac:dyDescent="0.2">
      <c r="A8" s="2" t="s">
        <v>7</v>
      </c>
      <c r="B8" s="3">
        <v>-300</v>
      </c>
      <c r="D8" s="8" t="s">
        <v>8</v>
      </c>
      <c r="E8" s="10">
        <v>300</v>
      </c>
      <c r="F8" s="30" t="s">
        <v>18</v>
      </c>
      <c r="G8" s="30"/>
      <c r="H8" s="30"/>
    </row>
    <row r="9" spans="1:8" x14ac:dyDescent="0.2">
      <c r="A9" s="1" t="s">
        <v>9</v>
      </c>
      <c r="B9" s="4">
        <v>300</v>
      </c>
      <c r="D9" s="7" t="s">
        <v>10</v>
      </c>
      <c r="E9" s="11">
        <f>SUM(E3:E8)</f>
        <v>900</v>
      </c>
      <c r="F9" s="7"/>
      <c r="G9" s="7"/>
      <c r="H9" s="7"/>
    </row>
    <row r="10" spans="1:8" x14ac:dyDescent="0.2">
      <c r="A10" s="2" t="s">
        <v>10</v>
      </c>
      <c r="B10" s="5">
        <f>SUM(B3:B9)</f>
        <v>-300</v>
      </c>
    </row>
    <row r="11" spans="1:8" x14ac:dyDescent="0.2">
      <c r="A11" s="2"/>
      <c r="B11" s="2"/>
    </row>
    <row r="12" spans="1:8" x14ac:dyDescent="0.2">
      <c r="A12" s="1" t="s">
        <v>11</v>
      </c>
      <c r="B12" s="1" t="s">
        <v>1</v>
      </c>
    </row>
    <row r="13" spans="1:8" x14ac:dyDescent="0.2">
      <c r="A13" s="2" t="str">
        <f>A8</f>
        <v>Beanpot Tournament - Dalton</v>
      </c>
      <c r="B13" s="6">
        <f>B8</f>
        <v>-300</v>
      </c>
    </row>
  </sheetData>
  <mergeCells count="5">
    <mergeCell ref="A1:B1"/>
    <mergeCell ref="D1:E1"/>
    <mergeCell ref="F2:H2"/>
    <mergeCell ref="F4:H5"/>
    <mergeCell ref="F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5F67-C95D-544A-99BB-DEC71B885F07}">
  <dimension ref="A1:G19"/>
  <sheetViews>
    <sheetView zoomScale="125" workbookViewId="0">
      <selection activeCell="E18" sqref="E18"/>
    </sheetView>
  </sheetViews>
  <sheetFormatPr baseColWidth="10" defaultRowHeight="16" x14ac:dyDescent="0.2"/>
  <cols>
    <col min="1" max="1" width="53.5" bestFit="1" customWidth="1"/>
    <col min="2" max="2" width="10.6640625" bestFit="1" customWidth="1"/>
    <col min="7" max="7" width="17.5" style="21" bestFit="1" customWidth="1"/>
  </cols>
  <sheetData>
    <row r="1" spans="1:7" x14ac:dyDescent="0.2">
      <c r="A1" s="35" t="s">
        <v>42</v>
      </c>
      <c r="B1" s="35"/>
      <c r="C1" s="35"/>
      <c r="D1" s="35"/>
      <c r="E1" s="35"/>
      <c r="G1" s="16" t="s">
        <v>19</v>
      </c>
    </row>
    <row r="2" spans="1:7" x14ac:dyDescent="0.2">
      <c r="A2" s="13" t="s">
        <v>0</v>
      </c>
      <c r="B2" s="13" t="s">
        <v>1</v>
      </c>
      <c r="C2" s="28" t="s">
        <v>16</v>
      </c>
      <c r="D2" s="28"/>
      <c r="E2" s="34"/>
      <c r="F2">
        <v>1</v>
      </c>
      <c r="G2" s="20" t="s">
        <v>20</v>
      </c>
    </row>
    <row r="3" spans="1:7" x14ac:dyDescent="0.2">
      <c r="A3" s="18" t="s">
        <v>31</v>
      </c>
      <c r="B3" s="14">
        <f>100*20</f>
        <v>2000</v>
      </c>
      <c r="C3" s="31" t="s">
        <v>34</v>
      </c>
      <c r="D3" s="32"/>
      <c r="E3" s="33"/>
      <c r="F3">
        <v>2</v>
      </c>
      <c r="G3" s="20" t="s">
        <v>21</v>
      </c>
    </row>
    <row r="4" spans="1:7" x14ac:dyDescent="0.2">
      <c r="A4" s="18" t="s">
        <v>44</v>
      </c>
      <c r="B4" s="14">
        <f>200*10</f>
        <v>2000</v>
      </c>
      <c r="C4" s="31" t="s">
        <v>35</v>
      </c>
      <c r="D4" s="32"/>
      <c r="E4" s="33"/>
      <c r="F4">
        <v>3</v>
      </c>
      <c r="G4" s="20" t="s">
        <v>22</v>
      </c>
    </row>
    <row r="5" spans="1:7" x14ac:dyDescent="0.2">
      <c r="A5" s="18" t="s">
        <v>46</v>
      </c>
      <c r="B5" s="14">
        <v>-800</v>
      </c>
      <c r="C5" s="31" t="s">
        <v>45</v>
      </c>
      <c r="D5" s="32"/>
      <c r="E5" s="33"/>
      <c r="F5">
        <v>4</v>
      </c>
      <c r="G5" s="20" t="s">
        <v>23</v>
      </c>
    </row>
    <row r="6" spans="1:7" x14ac:dyDescent="0.2">
      <c r="A6" s="18" t="s">
        <v>32</v>
      </c>
      <c r="B6" s="14">
        <v>0</v>
      </c>
      <c r="C6" s="31" t="s">
        <v>36</v>
      </c>
      <c r="D6" s="32"/>
      <c r="E6" s="33"/>
      <c r="F6">
        <v>5</v>
      </c>
      <c r="G6" s="20" t="s">
        <v>24</v>
      </c>
    </row>
    <row r="7" spans="1:7" x14ac:dyDescent="0.2">
      <c r="A7" s="18" t="s">
        <v>33</v>
      </c>
      <c r="B7" s="14">
        <v>-500</v>
      </c>
      <c r="C7" s="31" t="s">
        <v>38</v>
      </c>
      <c r="D7" s="32"/>
      <c r="E7" s="33"/>
      <c r="F7">
        <v>6</v>
      </c>
      <c r="G7" s="20" t="s">
        <v>26</v>
      </c>
    </row>
    <row r="8" spans="1:7" x14ac:dyDescent="0.2">
      <c r="A8" s="18" t="s">
        <v>2</v>
      </c>
      <c r="B8" s="14">
        <v>-500</v>
      </c>
      <c r="C8" s="31" t="s">
        <v>37</v>
      </c>
      <c r="D8" s="32"/>
      <c r="E8" s="33"/>
      <c r="F8">
        <v>7</v>
      </c>
      <c r="G8" s="20" t="s">
        <v>25</v>
      </c>
    </row>
    <row r="9" spans="1:7" x14ac:dyDescent="0.2">
      <c r="A9" s="18" t="s">
        <v>7</v>
      </c>
      <c r="B9" s="14">
        <v>-500</v>
      </c>
      <c r="C9" s="31" t="s">
        <v>39</v>
      </c>
      <c r="D9" s="32"/>
      <c r="E9" s="33"/>
      <c r="F9">
        <v>8</v>
      </c>
      <c r="G9" s="20" t="s">
        <v>27</v>
      </c>
    </row>
    <row r="10" spans="1:7" x14ac:dyDescent="0.2">
      <c r="A10" s="12" t="s">
        <v>8</v>
      </c>
      <c r="B10" s="14">
        <v>0</v>
      </c>
      <c r="C10" s="31" t="s">
        <v>40</v>
      </c>
      <c r="D10" s="32"/>
      <c r="E10" s="33"/>
      <c r="F10">
        <v>9</v>
      </c>
      <c r="G10" s="20" t="s">
        <v>28</v>
      </c>
    </row>
    <row r="11" spans="1:7" x14ac:dyDescent="0.2">
      <c r="A11" s="13" t="s">
        <v>9</v>
      </c>
      <c r="B11" s="15">
        <v>300</v>
      </c>
      <c r="C11" s="31" t="s">
        <v>41</v>
      </c>
      <c r="D11" s="32"/>
      <c r="E11" s="33"/>
      <c r="F11">
        <v>10</v>
      </c>
      <c r="G11" s="20" t="s">
        <v>29</v>
      </c>
    </row>
    <row r="12" spans="1:7" x14ac:dyDescent="0.2">
      <c r="A12" s="19" t="s">
        <v>10</v>
      </c>
      <c r="B12" s="17">
        <f>SUM(B3:B11)</f>
        <v>2000</v>
      </c>
      <c r="C12" s="36" t="s">
        <v>43</v>
      </c>
      <c r="D12" s="37"/>
      <c r="E12" s="38"/>
      <c r="F12">
        <v>11</v>
      </c>
      <c r="G12" s="20" t="s">
        <v>105</v>
      </c>
    </row>
    <row r="13" spans="1:7" x14ac:dyDescent="0.2">
      <c r="F13">
        <v>12</v>
      </c>
      <c r="G13" s="20" t="s">
        <v>30</v>
      </c>
    </row>
    <row r="19" spans="1:1" x14ac:dyDescent="0.2">
      <c r="A19" s="22"/>
    </row>
  </sheetData>
  <mergeCells count="12">
    <mergeCell ref="C2:E2"/>
    <mergeCell ref="C10:E10"/>
    <mergeCell ref="A1:E1"/>
    <mergeCell ref="C11:E11"/>
    <mergeCell ref="C12:E12"/>
    <mergeCell ref="C3:E3"/>
    <mergeCell ref="C4:E4"/>
    <mergeCell ref="C5:E5"/>
    <mergeCell ref="C7:E7"/>
    <mergeCell ref="C6:E6"/>
    <mergeCell ref="C8:E8"/>
    <mergeCell ref="C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1FAE6-02BB-3C45-A94F-71AD4A8F5B41}">
  <dimension ref="A1:Q26"/>
  <sheetViews>
    <sheetView tabSelected="1" workbookViewId="0">
      <selection activeCell="K37" sqref="K37"/>
    </sheetView>
  </sheetViews>
  <sheetFormatPr baseColWidth="10" defaultRowHeight="16" x14ac:dyDescent="0.2"/>
  <cols>
    <col min="1" max="1" width="7.1640625" bestFit="1" customWidth="1"/>
    <col min="2" max="2" width="6.5" bestFit="1" customWidth="1"/>
    <col min="3" max="4" width="7.6640625" bestFit="1" customWidth="1"/>
    <col min="5" max="5" width="15.6640625" bestFit="1" customWidth="1"/>
    <col min="7" max="7" width="7.1640625" bestFit="1" customWidth="1"/>
    <col min="8" max="8" width="6.5" bestFit="1" customWidth="1"/>
    <col min="9" max="10" width="7.6640625" bestFit="1" customWidth="1"/>
    <col min="11" max="11" width="15.5" bestFit="1" customWidth="1"/>
    <col min="13" max="13" width="7.1640625" bestFit="1" customWidth="1"/>
    <col min="14" max="14" width="6.83203125" bestFit="1" customWidth="1"/>
    <col min="15" max="16" width="7.6640625" bestFit="1" customWidth="1"/>
    <col min="17" max="17" width="15.5" bestFit="1" customWidth="1"/>
  </cols>
  <sheetData>
    <row r="1" spans="1:17" x14ac:dyDescent="0.2">
      <c r="A1" s="30" t="s">
        <v>99</v>
      </c>
      <c r="B1" s="30"/>
      <c r="C1" s="30"/>
      <c r="D1" s="30"/>
      <c r="E1" s="30"/>
      <c r="G1" s="30" t="s">
        <v>99</v>
      </c>
      <c r="H1" s="30"/>
      <c r="I1" s="30"/>
      <c r="J1" s="30"/>
      <c r="K1" s="30"/>
      <c r="M1" s="30" t="s">
        <v>99</v>
      </c>
      <c r="N1" s="30"/>
      <c r="O1" s="30"/>
      <c r="P1" s="30"/>
      <c r="Q1" s="30"/>
    </row>
    <row r="2" spans="1:17" x14ac:dyDescent="0.2">
      <c r="A2" s="23" t="s">
        <v>47</v>
      </c>
      <c r="B2" s="23" t="s">
        <v>48</v>
      </c>
      <c r="C2" s="23" t="s">
        <v>49</v>
      </c>
      <c r="D2" s="23" t="s">
        <v>50</v>
      </c>
      <c r="E2" s="23" t="s">
        <v>51</v>
      </c>
      <c r="G2" s="23" t="s">
        <v>47</v>
      </c>
      <c r="H2" s="23" t="s">
        <v>48</v>
      </c>
      <c r="I2" s="23" t="s">
        <v>49</v>
      </c>
      <c r="J2" s="23" t="s">
        <v>50</v>
      </c>
      <c r="K2" s="23" t="s">
        <v>51</v>
      </c>
      <c r="M2" s="23" t="s">
        <v>47</v>
      </c>
      <c r="N2" s="23" t="s">
        <v>48</v>
      </c>
      <c r="O2" s="23" t="s">
        <v>49</v>
      </c>
      <c r="P2" s="23" t="s">
        <v>50</v>
      </c>
      <c r="Q2" s="23" t="s">
        <v>51</v>
      </c>
    </row>
    <row r="3" spans="1:17" x14ac:dyDescent="0.2">
      <c r="A3" s="23" t="s">
        <v>52</v>
      </c>
      <c r="B3" s="24">
        <v>45934</v>
      </c>
      <c r="C3" s="25" t="s">
        <v>53</v>
      </c>
      <c r="D3" s="26">
        <v>0.54166666666666663</v>
      </c>
      <c r="E3" s="25" t="s">
        <v>75</v>
      </c>
      <c r="G3" s="23" t="s">
        <v>64</v>
      </c>
      <c r="H3" s="24">
        <v>45941</v>
      </c>
      <c r="I3" s="25" t="s">
        <v>53</v>
      </c>
      <c r="J3" s="26">
        <v>0.54166666666666663</v>
      </c>
      <c r="K3" t="s">
        <v>56</v>
      </c>
      <c r="M3" s="23" t="s">
        <v>74</v>
      </c>
      <c r="N3" s="24">
        <v>45948</v>
      </c>
      <c r="O3" s="25" t="s">
        <v>53</v>
      </c>
      <c r="P3" s="26">
        <v>0.54166666666666663</v>
      </c>
      <c r="Q3" t="s">
        <v>57</v>
      </c>
    </row>
    <row r="4" spans="1:17" x14ac:dyDescent="0.2">
      <c r="A4" s="23" t="s">
        <v>52</v>
      </c>
      <c r="B4" s="24">
        <v>45934</v>
      </c>
      <c r="C4" s="25" t="s">
        <v>53</v>
      </c>
      <c r="D4" s="26">
        <v>0.57291666666666663</v>
      </c>
      <c r="E4" s="25" t="s">
        <v>83</v>
      </c>
      <c r="G4" s="23" t="s">
        <v>64</v>
      </c>
      <c r="H4" s="24">
        <v>45941</v>
      </c>
      <c r="I4" s="25" t="s">
        <v>53</v>
      </c>
      <c r="J4" s="26">
        <v>0.57291666666666663</v>
      </c>
      <c r="K4" t="s">
        <v>96</v>
      </c>
      <c r="M4" s="23" t="s">
        <v>74</v>
      </c>
      <c r="N4" s="24">
        <v>45948</v>
      </c>
      <c r="O4" s="25" t="s">
        <v>53</v>
      </c>
      <c r="P4" s="26">
        <v>0.57291666666666663</v>
      </c>
      <c r="Q4" t="s">
        <v>87</v>
      </c>
    </row>
    <row r="5" spans="1:17" x14ac:dyDescent="0.2">
      <c r="A5" s="23" t="s">
        <v>52</v>
      </c>
      <c r="B5" s="24">
        <v>45934</v>
      </c>
      <c r="C5" s="25" t="s">
        <v>53</v>
      </c>
      <c r="D5" s="26">
        <v>0.60416666666666663</v>
      </c>
      <c r="E5" s="25" t="s">
        <v>93</v>
      </c>
      <c r="G5" s="23" t="s">
        <v>64</v>
      </c>
      <c r="H5" s="24">
        <v>45941</v>
      </c>
      <c r="I5" s="25" t="s">
        <v>53</v>
      </c>
      <c r="J5" s="26">
        <v>0.60416666666666663</v>
      </c>
      <c r="K5" t="s">
        <v>71</v>
      </c>
      <c r="M5" s="23" t="s">
        <v>74</v>
      </c>
      <c r="N5" s="24">
        <v>45948</v>
      </c>
      <c r="O5" s="25" t="s">
        <v>53</v>
      </c>
      <c r="P5" s="26">
        <v>0.60416666666666663</v>
      </c>
      <c r="Q5" t="s">
        <v>92</v>
      </c>
    </row>
    <row r="6" spans="1:17" x14ac:dyDescent="0.2">
      <c r="A6" s="23" t="s">
        <v>52</v>
      </c>
      <c r="B6" s="24">
        <v>45934</v>
      </c>
      <c r="C6" s="25" t="s">
        <v>53</v>
      </c>
      <c r="D6" s="26">
        <v>0.63541666666666663</v>
      </c>
      <c r="E6" s="25" t="s">
        <v>98</v>
      </c>
      <c r="G6" s="23" t="s">
        <v>64</v>
      </c>
      <c r="H6" s="24">
        <v>45941</v>
      </c>
      <c r="I6" s="25" t="s">
        <v>53</v>
      </c>
      <c r="J6" s="26">
        <v>0.63541666666666663</v>
      </c>
      <c r="K6" t="s">
        <v>73</v>
      </c>
      <c r="M6" s="23" t="s">
        <v>74</v>
      </c>
      <c r="N6" s="24">
        <v>45948</v>
      </c>
      <c r="O6" s="25" t="s">
        <v>53</v>
      </c>
      <c r="P6" s="26">
        <v>0.63541666666666663</v>
      </c>
      <c r="Q6" t="s">
        <v>76</v>
      </c>
    </row>
    <row r="7" spans="1:17" x14ac:dyDescent="0.2">
      <c r="A7" s="23" t="s">
        <v>52</v>
      </c>
      <c r="B7" s="24">
        <v>45934</v>
      </c>
      <c r="C7" s="25" t="s">
        <v>53</v>
      </c>
      <c r="D7" s="26">
        <v>0.66666666666666663</v>
      </c>
      <c r="E7" s="25" t="s">
        <v>65</v>
      </c>
      <c r="G7" s="23" t="s">
        <v>64</v>
      </c>
      <c r="H7" s="24">
        <v>45941</v>
      </c>
      <c r="I7" s="25" t="s">
        <v>53</v>
      </c>
      <c r="J7" s="26">
        <v>0.66666666666666663</v>
      </c>
      <c r="K7" t="s">
        <v>81</v>
      </c>
      <c r="M7" s="23" t="s">
        <v>74</v>
      </c>
      <c r="N7" s="24">
        <v>45948</v>
      </c>
      <c r="O7" s="25" t="s">
        <v>53</v>
      </c>
      <c r="P7" s="26">
        <v>0.66666666666666663</v>
      </c>
      <c r="Q7" t="s">
        <v>72</v>
      </c>
    </row>
    <row r="8" spans="1:17" x14ac:dyDescent="0.2">
      <c r="A8" s="23" t="s">
        <v>52</v>
      </c>
      <c r="B8" s="24">
        <v>45935</v>
      </c>
      <c r="C8" s="25" t="s">
        <v>59</v>
      </c>
      <c r="D8" s="26">
        <v>0.54166666666666663</v>
      </c>
      <c r="E8" t="s">
        <v>55</v>
      </c>
      <c r="G8" s="23" t="s">
        <v>64</v>
      </c>
      <c r="H8" s="24">
        <v>45942</v>
      </c>
      <c r="I8" s="25" t="s">
        <v>59</v>
      </c>
      <c r="J8" s="26">
        <v>0.54166666666666663</v>
      </c>
      <c r="K8" t="s">
        <v>95</v>
      </c>
      <c r="M8" s="23" t="s">
        <v>74</v>
      </c>
      <c r="N8" s="24">
        <v>45949</v>
      </c>
      <c r="O8" s="25" t="s">
        <v>59</v>
      </c>
      <c r="P8" s="26">
        <v>0.54166666666666663</v>
      </c>
      <c r="Q8" t="s">
        <v>70</v>
      </c>
    </row>
    <row r="9" spans="1:17" x14ac:dyDescent="0.2">
      <c r="A9" s="23" t="s">
        <v>52</v>
      </c>
      <c r="B9" s="24">
        <v>45935</v>
      </c>
      <c r="C9" s="25" t="s">
        <v>59</v>
      </c>
      <c r="D9" s="26">
        <v>0.57291666666666663</v>
      </c>
      <c r="E9" t="s">
        <v>62</v>
      </c>
      <c r="G9" s="23" t="s">
        <v>64</v>
      </c>
      <c r="H9" s="24">
        <v>45942</v>
      </c>
      <c r="I9" s="25" t="s">
        <v>59</v>
      </c>
      <c r="J9" s="26">
        <v>0.57291666666666663</v>
      </c>
      <c r="K9" t="s">
        <v>58</v>
      </c>
      <c r="M9" s="23" t="s">
        <v>74</v>
      </c>
      <c r="N9" s="24">
        <v>45949</v>
      </c>
      <c r="O9" s="25" t="s">
        <v>59</v>
      </c>
      <c r="P9" s="26">
        <v>0.57291666666666663</v>
      </c>
      <c r="Q9" t="s">
        <v>82</v>
      </c>
    </row>
    <row r="10" spans="1:17" x14ac:dyDescent="0.2">
      <c r="A10" s="23" t="s">
        <v>52</v>
      </c>
      <c r="B10" s="24">
        <v>45935</v>
      </c>
      <c r="C10" s="25" t="s">
        <v>59</v>
      </c>
      <c r="D10" s="26">
        <v>0.60416666666666663</v>
      </c>
      <c r="E10" t="s">
        <v>90</v>
      </c>
      <c r="G10" s="23" t="s">
        <v>64</v>
      </c>
      <c r="H10" s="24">
        <v>45942</v>
      </c>
      <c r="I10" s="25" t="s">
        <v>59</v>
      </c>
      <c r="J10" s="26">
        <v>0.60416666666666663</v>
      </c>
      <c r="K10" t="s">
        <v>67</v>
      </c>
      <c r="M10" s="23" t="s">
        <v>74</v>
      </c>
      <c r="N10" s="24">
        <v>45949</v>
      </c>
      <c r="O10" s="25" t="s">
        <v>59</v>
      </c>
      <c r="P10" s="26">
        <v>0.60416666666666663</v>
      </c>
      <c r="Q10" t="s">
        <v>66</v>
      </c>
    </row>
    <row r="11" spans="1:17" x14ac:dyDescent="0.2">
      <c r="A11" s="23" t="s">
        <v>52</v>
      </c>
      <c r="B11" s="24">
        <v>45935</v>
      </c>
      <c r="C11" s="25" t="s">
        <v>59</v>
      </c>
      <c r="D11" s="26">
        <v>0.63541666666666663</v>
      </c>
      <c r="E11" t="s">
        <v>80</v>
      </c>
      <c r="G11" s="23" t="s">
        <v>64</v>
      </c>
      <c r="H11" s="24">
        <v>45942</v>
      </c>
      <c r="I11" s="25" t="s">
        <v>59</v>
      </c>
      <c r="J11" s="26">
        <v>0.63541666666666663</v>
      </c>
      <c r="K11" t="s">
        <v>79</v>
      </c>
      <c r="M11" s="23" t="s">
        <v>74</v>
      </c>
      <c r="N11" s="24">
        <v>45949</v>
      </c>
      <c r="O11" s="25" t="s">
        <v>59</v>
      </c>
      <c r="P11" s="26">
        <v>0.63541666666666663</v>
      </c>
      <c r="Q11" t="s">
        <v>86</v>
      </c>
    </row>
    <row r="12" spans="1:17" x14ac:dyDescent="0.2">
      <c r="A12" s="23" t="s">
        <v>52</v>
      </c>
      <c r="B12" s="24">
        <v>45935</v>
      </c>
      <c r="C12" s="25" t="s">
        <v>59</v>
      </c>
      <c r="D12" s="26">
        <v>0.66666666666666663</v>
      </c>
      <c r="E12" t="s">
        <v>65</v>
      </c>
      <c r="G12" s="23" t="s">
        <v>64</v>
      </c>
      <c r="H12" s="24">
        <v>45942</v>
      </c>
      <c r="I12" s="25" t="s">
        <v>59</v>
      </c>
      <c r="J12" s="26">
        <v>0.66666666666666663</v>
      </c>
      <c r="K12" t="s">
        <v>65</v>
      </c>
      <c r="M12" s="23" t="s">
        <v>74</v>
      </c>
      <c r="N12" s="24">
        <v>45949</v>
      </c>
      <c r="O12" s="25" t="s">
        <v>59</v>
      </c>
      <c r="P12" s="26">
        <v>0.66666666666666663</v>
      </c>
      <c r="Q12" t="s">
        <v>93</v>
      </c>
    </row>
    <row r="15" spans="1:17" x14ac:dyDescent="0.2">
      <c r="A15" s="30" t="s">
        <v>99</v>
      </c>
      <c r="B15" s="30"/>
      <c r="C15" s="30"/>
      <c r="D15" s="30"/>
      <c r="E15" s="30"/>
      <c r="G15" s="30" t="s">
        <v>99</v>
      </c>
      <c r="H15" s="30"/>
      <c r="I15" s="30"/>
      <c r="J15" s="30"/>
      <c r="K15" s="30"/>
      <c r="M15" s="30" t="s">
        <v>99</v>
      </c>
      <c r="N15" s="30"/>
      <c r="O15" s="30"/>
      <c r="P15" s="30"/>
      <c r="Q15" s="30"/>
    </row>
    <row r="16" spans="1:17" x14ac:dyDescent="0.2">
      <c r="A16" s="23" t="s">
        <v>47</v>
      </c>
      <c r="B16" s="23" t="s">
        <v>48</v>
      </c>
      <c r="C16" s="23" t="s">
        <v>49</v>
      </c>
      <c r="D16" s="23" t="s">
        <v>50</v>
      </c>
      <c r="E16" s="23" t="s">
        <v>51</v>
      </c>
      <c r="G16" s="23" t="s">
        <v>47</v>
      </c>
      <c r="H16" s="23" t="s">
        <v>48</v>
      </c>
      <c r="I16" s="23" t="s">
        <v>49</v>
      </c>
      <c r="J16" s="23" t="s">
        <v>50</v>
      </c>
      <c r="K16" s="23" t="s">
        <v>51</v>
      </c>
      <c r="M16" s="23" t="s">
        <v>47</v>
      </c>
      <c r="N16" s="23" t="s">
        <v>48</v>
      </c>
      <c r="O16" s="23" t="s">
        <v>49</v>
      </c>
      <c r="P16" s="23" t="s">
        <v>50</v>
      </c>
      <c r="Q16" s="23" t="s">
        <v>51</v>
      </c>
    </row>
    <row r="17" spans="1:17" x14ac:dyDescent="0.2">
      <c r="A17" s="23" t="s">
        <v>85</v>
      </c>
      <c r="B17" s="24">
        <v>45955</v>
      </c>
      <c r="C17" s="25" t="s">
        <v>53</v>
      </c>
      <c r="D17" s="26">
        <v>0.54166666666666663</v>
      </c>
      <c r="E17" t="s">
        <v>61</v>
      </c>
      <c r="G17" s="23" t="s">
        <v>94</v>
      </c>
      <c r="H17" s="24">
        <v>45962</v>
      </c>
      <c r="I17" s="25" t="s">
        <v>53</v>
      </c>
      <c r="J17" s="26">
        <v>0.54166666666666663</v>
      </c>
      <c r="K17" t="s">
        <v>60</v>
      </c>
      <c r="M17" s="23" t="s">
        <v>100</v>
      </c>
      <c r="N17" s="24">
        <v>45969</v>
      </c>
      <c r="O17" s="25" t="s">
        <v>53</v>
      </c>
      <c r="P17" s="26">
        <v>0.54166666666666663</v>
      </c>
      <c r="Q17" t="s">
        <v>101</v>
      </c>
    </row>
    <row r="18" spans="1:17" x14ac:dyDescent="0.2">
      <c r="A18" s="23" t="s">
        <v>85</v>
      </c>
      <c r="B18" s="24">
        <v>45955</v>
      </c>
      <c r="C18" s="25" t="s">
        <v>53</v>
      </c>
      <c r="D18" s="26">
        <v>0.57291666666666663</v>
      </c>
      <c r="E18" t="s">
        <v>68</v>
      </c>
      <c r="G18" s="23" t="s">
        <v>94</v>
      </c>
      <c r="H18" s="24">
        <v>45962</v>
      </c>
      <c r="I18" s="25" t="s">
        <v>53</v>
      </c>
      <c r="J18" s="26">
        <v>0.57291666666666663</v>
      </c>
      <c r="K18" t="s">
        <v>54</v>
      </c>
      <c r="M18" s="23" t="s">
        <v>100</v>
      </c>
      <c r="N18" s="24">
        <v>45969</v>
      </c>
      <c r="O18" s="25" t="s">
        <v>53</v>
      </c>
      <c r="P18" s="26">
        <v>0.57291666666666663</v>
      </c>
      <c r="Q18" t="s">
        <v>102</v>
      </c>
    </row>
    <row r="19" spans="1:17" x14ac:dyDescent="0.2">
      <c r="A19" s="23" t="s">
        <v>85</v>
      </c>
      <c r="B19" s="24">
        <v>45955</v>
      </c>
      <c r="C19" s="25" t="s">
        <v>53</v>
      </c>
      <c r="D19" s="26">
        <v>0.60416666666666663</v>
      </c>
      <c r="E19" t="s">
        <v>91</v>
      </c>
      <c r="G19" s="23" t="s">
        <v>94</v>
      </c>
      <c r="H19" s="24">
        <v>45962</v>
      </c>
      <c r="I19" s="25" t="s">
        <v>53</v>
      </c>
      <c r="J19" s="26">
        <v>0.60416666666666663</v>
      </c>
      <c r="K19" t="s">
        <v>97</v>
      </c>
      <c r="M19" s="23" t="s">
        <v>100</v>
      </c>
      <c r="N19" s="24">
        <v>45969</v>
      </c>
      <c r="O19" s="25" t="s">
        <v>53</v>
      </c>
      <c r="P19" s="26">
        <v>0.60416666666666663</v>
      </c>
      <c r="Q19" t="s">
        <v>103</v>
      </c>
    </row>
    <row r="20" spans="1:17" x14ac:dyDescent="0.2">
      <c r="A20" s="23" t="s">
        <v>85</v>
      </c>
      <c r="B20" s="24">
        <v>45955</v>
      </c>
      <c r="C20" s="25" t="s">
        <v>53</v>
      </c>
      <c r="D20" s="26">
        <v>0.63541666666666663</v>
      </c>
      <c r="E20" t="s">
        <v>89</v>
      </c>
      <c r="G20" s="23" t="s">
        <v>94</v>
      </c>
      <c r="H20" s="24">
        <v>45962</v>
      </c>
      <c r="I20" s="25" t="s">
        <v>53</v>
      </c>
      <c r="J20" s="26">
        <v>0.63541666666666663</v>
      </c>
      <c r="K20" t="s">
        <v>88</v>
      </c>
      <c r="M20" s="23" t="s">
        <v>100</v>
      </c>
      <c r="N20" s="24">
        <v>45969</v>
      </c>
      <c r="O20" s="25" t="s">
        <v>53</v>
      </c>
      <c r="P20" s="26">
        <v>0.63541666666666663</v>
      </c>
      <c r="Q20" t="s">
        <v>104</v>
      </c>
    </row>
    <row r="21" spans="1:17" x14ac:dyDescent="0.2">
      <c r="A21" s="23" t="s">
        <v>85</v>
      </c>
      <c r="B21" s="24">
        <v>45955</v>
      </c>
      <c r="C21" s="25" t="s">
        <v>53</v>
      </c>
      <c r="D21" s="26">
        <v>0.66666666666666663</v>
      </c>
      <c r="E21" t="s">
        <v>90</v>
      </c>
      <c r="G21" s="23" t="s">
        <v>94</v>
      </c>
      <c r="H21" s="24">
        <v>45962</v>
      </c>
      <c r="I21" s="25" t="s">
        <v>53</v>
      </c>
      <c r="J21" s="26">
        <v>0.66666666666666663</v>
      </c>
      <c r="K21" t="s">
        <v>77</v>
      </c>
      <c r="M21" s="23"/>
    </row>
    <row r="22" spans="1:17" x14ac:dyDescent="0.2">
      <c r="A22" s="23" t="s">
        <v>85</v>
      </c>
      <c r="B22" s="24">
        <v>45956</v>
      </c>
      <c r="C22" s="25" t="s">
        <v>59</v>
      </c>
      <c r="D22" s="26">
        <v>0.54166666666666663</v>
      </c>
      <c r="E22" t="s">
        <v>69</v>
      </c>
      <c r="G22" s="23"/>
      <c r="H22" s="24"/>
      <c r="I22" s="25"/>
      <c r="J22" s="26"/>
    </row>
    <row r="23" spans="1:17" x14ac:dyDescent="0.2">
      <c r="A23" s="23" t="s">
        <v>85</v>
      </c>
      <c r="B23" s="24">
        <v>45956</v>
      </c>
      <c r="C23" s="25" t="s">
        <v>59</v>
      </c>
      <c r="D23" s="26">
        <v>0.57291666666666663</v>
      </c>
      <c r="E23" t="s">
        <v>78</v>
      </c>
      <c r="G23" s="23"/>
      <c r="H23" s="24"/>
      <c r="I23" s="25"/>
      <c r="J23" s="26"/>
    </row>
    <row r="24" spans="1:17" x14ac:dyDescent="0.2">
      <c r="A24" s="23" t="s">
        <v>85</v>
      </c>
      <c r="B24" s="24">
        <v>45956</v>
      </c>
      <c r="C24" s="25" t="s">
        <v>59</v>
      </c>
      <c r="D24" s="26">
        <v>0.60416666666666663</v>
      </c>
      <c r="E24" t="s">
        <v>63</v>
      </c>
      <c r="G24" s="23"/>
      <c r="H24" s="24"/>
      <c r="I24" s="25"/>
      <c r="J24" s="26"/>
    </row>
    <row r="25" spans="1:17" x14ac:dyDescent="0.2">
      <c r="A25" s="23" t="s">
        <v>85</v>
      </c>
      <c r="B25" s="24">
        <v>45956</v>
      </c>
      <c r="C25" s="25" t="s">
        <v>59</v>
      </c>
      <c r="D25" s="26">
        <v>0.63541666666666663</v>
      </c>
      <c r="E25" t="s">
        <v>84</v>
      </c>
      <c r="G25" s="23"/>
      <c r="H25" s="24"/>
      <c r="I25" s="25"/>
      <c r="J25" s="26"/>
    </row>
    <row r="26" spans="1:17" x14ac:dyDescent="0.2">
      <c r="A26" s="23" t="s">
        <v>85</v>
      </c>
      <c r="B26" s="24">
        <v>45956</v>
      </c>
      <c r="C26" s="25" t="s">
        <v>59</v>
      </c>
      <c r="D26" s="26">
        <v>0.66666666666666663</v>
      </c>
      <c r="E26" t="s">
        <v>80</v>
      </c>
      <c r="G26" s="23"/>
      <c r="H26" s="24"/>
      <c r="I26" s="25"/>
      <c r="J26" s="26"/>
    </row>
  </sheetData>
  <mergeCells count="6">
    <mergeCell ref="A1:E1"/>
    <mergeCell ref="G1:K1"/>
    <mergeCell ref="A15:E15"/>
    <mergeCell ref="G15:K15"/>
    <mergeCell ref="M1:Q1"/>
    <mergeCell ref="M15:Q15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24-25 &amp;25-26 estimated</vt:lpstr>
      <vt:lpstr>Actual</vt:lpstr>
      <vt:lpstr>Game Schedule Volta League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El Harouchi</dc:creator>
  <cp:lastModifiedBy>Adam El Harouchi</cp:lastModifiedBy>
  <dcterms:created xsi:type="dcterms:W3CDTF">2025-01-27T19:18:19Z</dcterms:created>
  <dcterms:modified xsi:type="dcterms:W3CDTF">2025-08-13T03:57:27Z</dcterms:modified>
</cp:coreProperties>
</file>